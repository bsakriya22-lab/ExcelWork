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ook Up Mobile" sheetId="1" state="visible" r:id="rId1"/>
    <sheet name="Bill Maker 1" sheetId="2" state="visible" r:id="rId2"/>
    <sheet name="Bill Maker" sheetId="3" state="hidden" r:id="rId3"/>
    <sheet name="Gold Prices" sheetId="4" state="visible" r:id="rId4"/>
    <sheet name="Look Up" sheetId="5" state="visible" r:id="rId5"/>
    <sheet name="Ladies Ring" sheetId="6" state="visible" r:id="rId6"/>
    <sheet name="Gents Ring" sheetId="7" state="visible" r:id="rId7"/>
    <sheet name="Top" sheetId="8" state="visible" r:id="rId8"/>
    <sheet name="Locket" sheetId="9" state="visible" r:id="rId9"/>
    <sheet name="Jagganath" sheetId="10" state="visible" r:id="rId10"/>
    <sheet name="Prithivi" sheetId="11" state="visible" r:id="rId11"/>
    <sheet name="Necklace" sheetId="12" state="visible" r:id="rId12"/>
    <sheet name="Chura" sheetId="13" state="visible" r:id="rId13"/>
    <sheet name="Nosepin" sheetId="14" state="visible" r:id="rId14"/>
    <sheet name="Check Price" sheetId="15" state="visible" r:id="rId15"/>
    <sheet name="DJ Price" sheetId="16" state="visible" r:id="rId16"/>
    <sheet name="Prices" sheetId="17" state="visible" r:id="rId17"/>
    <sheet name="Certificate Data" sheetId="18" state="visible" r:id="rId18"/>
    <sheet name="Stock Sheet" sheetId="19" state="visible" r:id="rId19"/>
  </sheets>
  <definedNames>
    <definedName name="_xlnm._FilterDatabase" localSheetId="17" hidden="1">'Certificate Data'!$A$1:$T$79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_-[$Rs.-849]\ * #,##0.00_-;\-[$Rs.-849]\ * #,##0.00_-;_-[$Rs.-849]\ * &quot;-&quot;??_-;_-@"/>
    <numFmt numFmtId="165" formatCode="_(* #,##0_);_(* \(#,##0\);_(* &quot;-&quot;??_);_(@_)"/>
    <numFmt numFmtId="166" formatCode="_-[$Rs.-849]* #,##0.00_-;\-[$Rs.-849]* #,##0.00_-;_-[$Rs.-849]* &quot;-&quot;??_-;_-@"/>
  </numFmts>
  <fonts count="51">
    <font>
      <name val="Calibri"/>
      <color theme="1"/>
      <sz val="11"/>
      <scheme val="minor"/>
    </font>
    <font>
      <name val="Times New Roman"/>
      <b val="1"/>
      <color theme="1"/>
      <sz val="28"/>
    </font>
    <font/>
    <font>
      <name val="Times New Roman"/>
      <b val="1"/>
      <color theme="1"/>
      <sz val="20"/>
    </font>
    <font>
      <name val="Times New Roman"/>
      <b val="1"/>
      <color theme="1"/>
      <sz val="14"/>
    </font>
    <font>
      <name val="Times New Roman"/>
      <color theme="1"/>
      <sz val="24"/>
    </font>
    <font>
      <name val="Calibri"/>
      <b val="1"/>
      <color theme="1"/>
      <sz val="14"/>
    </font>
    <font>
      <name val="Calibri"/>
      <color theme="1"/>
      <sz val="14"/>
    </font>
    <font>
      <name val="Times New Roman"/>
      <b val="1"/>
      <color theme="1"/>
      <sz val="18"/>
    </font>
    <font>
      <name val="Arimo"/>
      <color theme="1"/>
      <sz val="10"/>
    </font>
    <font>
      <name val="Times New Roman"/>
      <color theme="1"/>
      <sz val="14"/>
    </font>
    <font>
      <name val="Times New Roman"/>
      <b val="1"/>
      <color theme="1"/>
      <sz val="14"/>
      <u val="single"/>
    </font>
    <font>
      <name val="Times New Roman"/>
      <b val="1"/>
      <color theme="1"/>
      <sz val="14"/>
      <u val="single"/>
    </font>
    <font>
      <name val="Calibri"/>
      <color theme="1"/>
      <sz val="11"/>
    </font>
    <font>
      <name val="Times New Roman"/>
      <b val="1"/>
      <color theme="1"/>
      <sz val="14"/>
      <u val="single"/>
    </font>
    <font>
      <name val="Calibri"/>
      <color theme="10"/>
      <sz val="11"/>
      <u val="single"/>
    </font>
    <font>
      <name val="Times New Roman"/>
      <b val="1"/>
      <color theme="1"/>
      <sz val="14"/>
      <u val="single"/>
    </font>
    <font>
      <name val="Calibri"/>
      <b val="1"/>
      <color theme="1"/>
      <sz val="14"/>
      <u val="single"/>
    </font>
    <font>
      <name val="Calibri"/>
      <b val="1"/>
      <color theme="1"/>
      <sz val="14"/>
      <u val="single"/>
    </font>
    <font>
      <name val="Calibri"/>
      <b val="1"/>
      <color theme="1"/>
      <sz val="14"/>
      <u val="single"/>
    </font>
    <font>
      <name val="Calibri"/>
      <b val="1"/>
      <color theme="1"/>
      <sz val="18"/>
    </font>
    <font>
      <name val="Calibri"/>
      <b val="1"/>
      <color theme="1"/>
      <sz val="18"/>
      <u val="single"/>
    </font>
    <font>
      <name val="Calibri"/>
      <color theme="10"/>
      <sz val="11"/>
      <u val="single"/>
    </font>
    <font>
      <name val="Calibri"/>
      <b val="1"/>
      <color theme="0"/>
      <sz val="14"/>
    </font>
    <font>
      <name val="Calibri"/>
      <color theme="10"/>
      <sz val="14"/>
    </font>
    <font>
      <name val="Times New Roman"/>
      <color theme="1"/>
      <sz val="18"/>
    </font>
    <font>
      <name val="Calibri"/>
      <b val="1"/>
      <color theme="1"/>
      <sz val="26"/>
    </font>
    <font>
      <name val="Calibri"/>
      <b val="1"/>
      <color theme="1"/>
      <sz val="22"/>
    </font>
    <font>
      <name val="Calibri"/>
      <b val="1"/>
      <color theme="1"/>
      <sz val="16"/>
    </font>
    <font>
      <name val="Calibri"/>
      <color theme="1"/>
      <sz val="18"/>
    </font>
    <font>
      <name val="Calibri"/>
      <color theme="1"/>
      <sz val="16"/>
    </font>
    <font>
      <name val="Calibri"/>
      <b val="1"/>
      <color theme="1"/>
      <sz val="14"/>
      <u val="single"/>
    </font>
    <font>
      <name val="Calibri"/>
      <b val="1"/>
      <color theme="1"/>
      <sz val="16"/>
      <u val="single"/>
    </font>
    <font>
      <name val="Calibri"/>
      <b val="1"/>
      <color theme="1"/>
      <sz val="14"/>
      <u val="single"/>
    </font>
    <font>
      <name val="Calibri"/>
      <b val="1"/>
      <color theme="1"/>
      <sz val="16"/>
      <u val="single"/>
    </font>
    <font>
      <name val="Calibri"/>
      <b val="1"/>
      <color theme="1"/>
      <sz val="14"/>
      <u val="single"/>
    </font>
    <font>
      <name val="Calibri"/>
      <b val="1"/>
      <color theme="1"/>
      <sz val="16"/>
      <u val="single"/>
    </font>
    <font>
      <name val="Calibri"/>
      <b val="1"/>
      <color theme="1"/>
      <sz val="14"/>
      <u val="single"/>
    </font>
    <font>
      <name val="Calibri"/>
      <b val="1"/>
      <color theme="1"/>
      <sz val="16"/>
      <u val="single"/>
    </font>
    <font>
      <name val="Calibri"/>
      <b val="1"/>
      <color theme="1"/>
      <sz val="11"/>
    </font>
    <font>
      <name val="Times New Roman"/>
      <color theme="1"/>
      <sz val="36"/>
    </font>
    <font>
      <name val="Times New Roman"/>
      <color theme="1"/>
      <sz val="11"/>
    </font>
    <font>
      <name val="Times New Roman"/>
      <color theme="1"/>
      <sz val="9"/>
    </font>
    <font>
      <name val="Times New Roman"/>
      <b val="1"/>
      <color theme="1"/>
      <sz val="16"/>
    </font>
    <font>
      <name val="Times New Roman"/>
      <b val="1"/>
      <color theme="1"/>
      <sz val="22"/>
    </font>
    <font>
      <name val="Calibri"/>
      <strike val="1"/>
      <color theme="1"/>
      <sz val="14"/>
    </font>
    <font>
      <name val="Calibri"/>
      <b val="1"/>
      <strike val="1"/>
      <color theme="1"/>
      <sz val="14"/>
    </font>
    <font>
      <name val="Times New Roman"/>
      <strike val="1"/>
      <color theme="1"/>
      <sz val="14"/>
    </font>
    <font>
      <name val="Times New Roman"/>
      <b val="1"/>
      <strike val="1"/>
      <color theme="1"/>
      <sz val="14"/>
    </font>
    <font>
      <name val="Times New Roman"/>
      <color rgb="FF0C0C0C"/>
      <sz val="14"/>
    </font>
    <font>
      <b val="1"/>
    </font>
  </fonts>
  <fills count="4">
    <fill>
      <patternFill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</fills>
  <borders count="60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</borders>
  <cellStyleXfs count="1">
    <xf numFmtId="0" fontId="0" fillId="0" borderId="0"/>
  </cellStyleXfs>
  <cellXfs count="244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4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6" fillId="0" borderId="2" applyAlignment="1" pivotButton="0" quotePrefix="0" xfId="0">
      <alignment horizontal="center" vertical="center"/>
    </xf>
    <xf numFmtId="0" fontId="6" fillId="0" borderId="4" pivotButton="0" quotePrefix="0" xfId="0"/>
    <xf numFmtId="0" fontId="7" fillId="0" borderId="0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8" fillId="0" borderId="0" applyAlignment="1" pivotButton="0" quotePrefix="0" xfId="0">
      <alignment horizontal="center"/>
    </xf>
    <xf numFmtId="0" fontId="9" fillId="0" borderId="11" pivotButton="0" quotePrefix="0" xfId="0"/>
    <xf numFmtId="0" fontId="4" fillId="0" borderId="12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164" fontId="11" fillId="0" borderId="13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center"/>
    </xf>
    <xf numFmtId="0" fontId="4" fillId="0" borderId="14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164" fontId="12" fillId="0" borderId="15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/>
    </xf>
    <xf numFmtId="0" fontId="4" fillId="0" borderId="16" applyAlignment="1" pivotButton="0" quotePrefix="0" xfId="0">
      <alignment horizontal="left" vertical="center"/>
    </xf>
    <xf numFmtId="0" fontId="7" fillId="0" borderId="9" applyAlignment="1" pivotButton="0" quotePrefix="0" xfId="0">
      <alignment vertical="center"/>
    </xf>
    <xf numFmtId="0" fontId="7" fillId="0" borderId="17" applyAlignment="1" pivotButton="0" quotePrefix="0" xfId="0">
      <alignment horizontal="right" vertical="center"/>
    </xf>
    <xf numFmtId="0" fontId="13" fillId="0" borderId="0" pivotButton="0" quotePrefix="0" xfId="0"/>
    <xf numFmtId="0" fontId="6" fillId="0" borderId="18" applyAlignment="1" pivotButton="0" quotePrefix="0" xfId="0">
      <alignment horizontal="right" vertical="center"/>
    </xf>
    <xf numFmtId="164" fontId="14" fillId="0" borderId="19" applyAlignment="1" pivotButton="0" quotePrefix="0" xfId="0">
      <alignment horizontal="left" vertical="center"/>
    </xf>
    <xf numFmtId="166" fontId="13" fillId="0" borderId="0" applyAlignment="1" pivotButton="0" quotePrefix="0" xfId="0">
      <alignment horizontal="right" vertical="center"/>
    </xf>
    <xf numFmtId="0" fontId="15" fillId="0" borderId="17" applyAlignment="1" pivotButton="0" quotePrefix="0" xfId="0">
      <alignment horizontal="right" vertical="center"/>
    </xf>
    <xf numFmtId="0" fontId="6" fillId="0" borderId="20" applyAlignment="1" pivotButton="0" quotePrefix="0" xfId="0">
      <alignment horizontal="right" vertical="center"/>
    </xf>
    <xf numFmtId="164" fontId="16" fillId="0" borderId="21" applyAlignment="1" pivotButton="0" quotePrefix="0" xfId="0">
      <alignment horizontal="left" vertical="center"/>
    </xf>
    <xf numFmtId="164" fontId="17" fillId="0" borderId="21" applyAlignment="1" pivotButton="0" quotePrefix="0" xfId="0">
      <alignment horizontal="left" vertical="center"/>
    </xf>
    <xf numFmtId="0" fontId="13" fillId="0" borderId="0" applyAlignment="1" pivotButton="0" quotePrefix="0" xfId="0">
      <alignment horizontal="right" vertical="center"/>
    </xf>
    <xf numFmtId="0" fontId="6" fillId="0" borderId="22" applyAlignment="1" pivotButton="0" quotePrefix="0" xfId="0">
      <alignment horizontal="right" vertical="center"/>
    </xf>
    <xf numFmtId="164" fontId="18" fillId="0" borderId="23" applyAlignment="1" pivotButton="0" quotePrefix="0" xfId="0">
      <alignment horizontal="left" vertical="center"/>
    </xf>
    <xf numFmtId="166" fontId="19" fillId="0" borderId="19" applyAlignment="1" pivotButton="0" quotePrefix="0" xfId="0">
      <alignment horizontal="right" vertical="center"/>
    </xf>
    <xf numFmtId="0" fontId="20" fillId="0" borderId="24" applyAlignment="1" pivotButton="0" quotePrefix="0" xfId="0">
      <alignment horizontal="right" vertical="center"/>
    </xf>
    <xf numFmtId="164" fontId="21" fillId="0" borderId="25" applyAlignment="1" pivotButton="0" quotePrefix="0" xfId="0">
      <alignment horizontal="left" vertical="center"/>
    </xf>
    <xf numFmtId="166" fontId="13" fillId="0" borderId="0" pivotButton="0" quotePrefix="0" xfId="0"/>
    <xf numFmtId="0" fontId="22" fillId="0" borderId="0" applyAlignment="1" pivotButton="0" quotePrefix="0" xfId="0">
      <alignment horizontal="right" vertical="center"/>
    </xf>
    <xf numFmtId="0" fontId="7" fillId="0" borderId="26" pivotButton="0" quotePrefix="0" xfId="0"/>
    <xf numFmtId="0" fontId="7" fillId="0" borderId="27" applyAlignment="1" pivotButton="0" quotePrefix="0" xfId="0">
      <alignment horizontal="center" vertical="center"/>
    </xf>
    <xf numFmtId="0" fontId="7" fillId="0" borderId="27" pivotButton="0" quotePrefix="0" xfId="0"/>
    <xf numFmtId="165" fontId="7" fillId="0" borderId="27" applyAlignment="1" pivotButton="0" quotePrefix="0" xfId="0">
      <alignment horizontal="right" vertical="center"/>
    </xf>
    <xf numFmtId="0" fontId="6" fillId="0" borderId="27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6" fillId="0" borderId="30" applyAlignment="1" pivotButton="0" quotePrefix="0" xfId="0">
      <alignment horizontal="center"/>
    </xf>
    <xf numFmtId="0" fontId="7" fillId="0" borderId="31" applyAlignment="1" pivotButton="0" quotePrefix="0" xfId="0">
      <alignment vertical="center"/>
    </xf>
    <xf numFmtId="0" fontId="7" fillId="0" borderId="31" applyAlignment="1" pivotButton="0" quotePrefix="0" xfId="0">
      <alignment horizontal="right"/>
    </xf>
    <xf numFmtId="0" fontId="7" fillId="0" borderId="31" pivotButton="0" quotePrefix="0" xfId="0"/>
    <xf numFmtId="0" fontId="7" fillId="0" borderId="31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/>
    </xf>
    <xf numFmtId="165" fontId="7" fillId="0" borderId="31" pivotButton="0" quotePrefix="0" xfId="0"/>
    <xf numFmtId="164" fontId="7" fillId="0" borderId="31" applyAlignment="1" pivotButton="0" quotePrefix="0" xfId="0">
      <alignment horizontal="left" vertical="center"/>
    </xf>
    <xf numFmtId="0" fontId="7" fillId="0" borderId="31" applyAlignment="1" pivotButton="0" quotePrefix="0" xfId="0">
      <alignment horizontal="left" vertical="center"/>
    </xf>
    <xf numFmtId="165" fontId="7" fillId="0" borderId="31" applyAlignment="1" pivotButton="0" quotePrefix="0" xfId="0">
      <alignment horizontal="right" vertical="center"/>
    </xf>
    <xf numFmtId="165" fontId="7" fillId="0" borderId="27" pivotButton="0" quotePrefix="0" xfId="0"/>
    <xf numFmtId="166" fontId="7" fillId="0" borderId="27" pivotButton="0" quotePrefix="0" xfId="0"/>
    <xf numFmtId="0" fontId="7" fillId="0" borderId="27" applyAlignment="1" pivotButton="0" quotePrefix="0" xfId="0">
      <alignment horizontal="left" vertical="center"/>
    </xf>
    <xf numFmtId="164" fontId="7" fillId="0" borderId="27" applyAlignment="1" pivotButton="0" quotePrefix="0" xfId="0">
      <alignment horizontal="left" vertical="center"/>
    </xf>
    <xf numFmtId="166" fontId="7" fillId="0" borderId="0" pivotButton="0" quotePrefix="0" xfId="0"/>
    <xf numFmtId="0" fontId="7" fillId="0" borderId="32" pivotButton="0" quotePrefix="0" xfId="0"/>
    <xf numFmtId="0" fontId="7" fillId="0" borderId="32" applyAlignment="1" pivotButton="0" quotePrefix="0" xfId="0">
      <alignment horizontal="left" vertical="center"/>
    </xf>
    <xf numFmtId="0" fontId="7" fillId="0" borderId="32" applyAlignment="1" pivotButton="0" quotePrefix="0" xfId="0">
      <alignment horizontal="right" vertical="center"/>
    </xf>
    <xf numFmtId="165" fontId="7" fillId="0" borderId="32" applyAlignment="1" pivotButton="0" quotePrefix="0" xfId="0">
      <alignment horizontal="right" vertical="center"/>
    </xf>
    <xf numFmtId="164" fontId="7" fillId="0" borderId="32" applyAlignment="1" pivotButton="0" quotePrefix="0" xfId="0">
      <alignment horizontal="left" vertical="center"/>
    </xf>
    <xf numFmtId="0" fontId="7" fillId="0" borderId="28" pivotButton="0" quotePrefix="0" xfId="0"/>
    <xf numFmtId="0" fontId="7" fillId="0" borderId="29" pivotButton="0" quotePrefix="0" xfId="0"/>
    <xf numFmtId="0" fontId="6" fillId="0" borderId="30" applyAlignment="1" pivotButton="0" quotePrefix="0" xfId="0">
      <alignment horizontal="right"/>
    </xf>
    <xf numFmtId="0" fontId="23" fillId="2" borderId="33" pivotButton="0" quotePrefix="0" xfId="0"/>
    <xf numFmtId="0" fontId="6" fillId="0" borderId="34" applyAlignment="1" pivotButton="0" quotePrefix="0" xfId="0">
      <alignment horizontal="right"/>
    </xf>
    <xf numFmtId="0" fontId="2" fillId="0" borderId="35" pivotButton="0" quotePrefix="0" xfId="0"/>
    <xf numFmtId="164" fontId="7" fillId="0" borderId="26" applyAlignment="1" pivotButton="0" quotePrefix="0" xfId="0">
      <alignment horizontal="left" vertical="center"/>
    </xf>
    <xf numFmtId="166" fontId="7" fillId="0" borderId="26" applyAlignment="1" pivotButton="0" quotePrefix="0" xfId="0">
      <alignment horizontal="right" vertical="center"/>
    </xf>
    <xf numFmtId="0" fontId="23" fillId="2" borderId="27" pivotButton="0" quotePrefix="0" xfId="0"/>
    <xf numFmtId="164" fontId="7" fillId="0" borderId="0" pivotButton="0" quotePrefix="0" xfId="0"/>
    <xf numFmtId="43" fontId="7" fillId="0" borderId="27" pivotButton="0" quotePrefix="0" xfId="0"/>
    <xf numFmtId="0" fontId="6" fillId="0" borderId="36" applyAlignment="1" pivotButton="0" quotePrefix="0" xfId="0">
      <alignment horizontal="right"/>
    </xf>
    <xf numFmtId="0" fontId="2" fillId="0" borderId="37" pivotButton="0" quotePrefix="0" xfId="0"/>
    <xf numFmtId="0" fontId="2" fillId="0" borderId="38" pivotButton="0" quotePrefix="0" xfId="0"/>
    <xf numFmtId="166" fontId="7" fillId="0" borderId="39" applyAlignment="1" pivotButton="0" quotePrefix="0" xfId="0">
      <alignment horizontal="center"/>
    </xf>
    <xf numFmtId="0" fontId="2" fillId="0" borderId="26" pivotButton="0" quotePrefix="0" xfId="0"/>
    <xf numFmtId="0" fontId="7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/>
    </xf>
    <xf numFmtId="2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left" vertical="center"/>
    </xf>
    <xf numFmtId="165" fontId="7" fillId="0" borderId="0" pivotButton="0" quotePrefix="0" xfId="0"/>
    <xf numFmtId="0" fontId="6" fillId="0" borderId="39" applyAlignment="1" pivotButton="0" quotePrefix="0" xfId="0">
      <alignment horizontal="center"/>
    </xf>
    <xf numFmtId="0" fontId="6" fillId="0" borderId="40" applyAlignment="1" pivotButton="0" quotePrefix="0" xfId="0">
      <alignment horizontal="center"/>
    </xf>
    <xf numFmtId="0" fontId="6" fillId="0" borderId="26" applyAlignment="1" pivotButton="0" quotePrefix="0" xfId="0">
      <alignment horizontal="center"/>
    </xf>
    <xf numFmtId="0" fontId="10" fillId="0" borderId="31" applyAlignment="1" pivotButton="0" quotePrefix="0" xfId="0">
      <alignment vertical="center"/>
    </xf>
    <xf numFmtId="0" fontId="25" fillId="0" borderId="31" applyAlignment="1" pivotButton="0" quotePrefix="0" xfId="0">
      <alignment vertical="center"/>
    </xf>
    <xf numFmtId="0" fontId="10" fillId="0" borderId="31" applyAlignment="1" pivotButton="0" quotePrefix="0" xfId="0">
      <alignment horizontal="right" vertical="center"/>
    </xf>
    <xf numFmtId="164" fontId="10" fillId="0" borderId="31" applyAlignment="1" pivotButton="0" quotePrefix="0" xfId="0">
      <alignment horizontal="left" vertical="center"/>
    </xf>
    <xf numFmtId="0" fontId="10" fillId="0" borderId="31" applyAlignment="1" pivotButton="0" quotePrefix="0" xfId="0">
      <alignment horizontal="left" vertical="center"/>
    </xf>
    <xf numFmtId="0" fontId="10" fillId="0" borderId="27" applyAlignment="1" pivotButton="0" quotePrefix="0" xfId="0">
      <alignment horizontal="left" vertical="center"/>
    </xf>
    <xf numFmtId="164" fontId="10" fillId="0" borderId="27" applyAlignment="1" pivotButton="0" quotePrefix="0" xfId="0">
      <alignment horizontal="left" vertical="center"/>
    </xf>
    <xf numFmtId="0" fontId="10" fillId="0" borderId="32" applyAlignment="1" pivotButton="0" quotePrefix="0" xfId="0">
      <alignment horizontal="left" vertical="center"/>
    </xf>
    <xf numFmtId="0" fontId="10" fillId="0" borderId="32" applyAlignment="1" pivotButton="0" quotePrefix="0" xfId="0">
      <alignment horizontal="right" vertical="center"/>
    </xf>
    <xf numFmtId="164" fontId="10" fillId="0" borderId="32" applyAlignment="1" pivotButton="0" quotePrefix="0" xfId="0">
      <alignment horizontal="left" vertical="center"/>
    </xf>
    <xf numFmtId="0" fontId="6" fillId="0" borderId="28" applyAlignment="1" pivotButton="0" quotePrefix="0" xfId="0">
      <alignment horizontal="center" vertical="center"/>
    </xf>
    <xf numFmtId="164" fontId="10" fillId="0" borderId="26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14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26" fillId="0" borderId="41" applyAlignment="1" pivotButton="0" quotePrefix="0" xfId="0">
      <alignment horizontal="center"/>
    </xf>
    <xf numFmtId="0" fontId="2" fillId="0" borderId="42" pivotButton="0" quotePrefix="0" xfId="0"/>
    <xf numFmtId="0" fontId="27" fillId="0" borderId="43" pivotButton="0" quotePrefix="0" xfId="0"/>
    <xf numFmtId="0" fontId="20" fillId="0" borderId="9" applyAlignment="1" pivotButton="0" quotePrefix="0" xfId="0">
      <alignment horizontal="center"/>
    </xf>
    <xf numFmtId="0" fontId="28" fillId="0" borderId="44" pivotButton="0" quotePrefix="0" xfId="0"/>
    <xf numFmtId="0" fontId="28" fillId="0" borderId="45" applyAlignment="1" pivotButton="0" quotePrefix="0" xfId="0">
      <alignment horizontal="left"/>
    </xf>
    <xf numFmtId="9" fontId="29" fillId="0" borderId="21" pivotButton="0" quotePrefix="0" xfId="0"/>
    <xf numFmtId="0" fontId="13" fillId="0" borderId="5" pivotButton="0" quotePrefix="0" xfId="0"/>
    <xf numFmtId="0" fontId="13" fillId="0" borderId="46" pivotButton="0" quotePrefix="0" xfId="0"/>
    <xf numFmtId="0" fontId="13" fillId="0" borderId="6" pivotButton="0" quotePrefix="0" xfId="0"/>
    <xf numFmtId="0" fontId="13" fillId="0" borderId="47" pivotButton="0" quotePrefix="0" xfId="0"/>
    <xf numFmtId="0" fontId="13" fillId="0" borderId="7" pivotButton="0" quotePrefix="0" xfId="0"/>
    <xf numFmtId="0" fontId="28" fillId="0" borderId="17" pivotButton="0" quotePrefix="0" xfId="0"/>
    <xf numFmtId="0" fontId="30" fillId="0" borderId="31" applyAlignment="1" pivotButton="0" quotePrefix="0" xfId="0">
      <alignment horizontal="left"/>
    </xf>
    <xf numFmtId="164" fontId="13" fillId="0" borderId="21" pivotButton="0" quotePrefix="0" xfId="0"/>
    <xf numFmtId="0" fontId="13" fillId="0" borderId="17" pivotButton="0" quotePrefix="0" xfId="0"/>
    <xf numFmtId="0" fontId="13" fillId="0" borderId="35" pivotButton="0" quotePrefix="0" xfId="0"/>
    <xf numFmtId="0" fontId="13" fillId="0" borderId="34" pivotButton="0" quotePrefix="0" xfId="0"/>
    <xf numFmtId="0" fontId="13" fillId="0" borderId="48" pivotButton="0" quotePrefix="0" xfId="0"/>
    <xf numFmtId="0" fontId="13" fillId="0" borderId="8" pivotButton="0" quotePrefix="0" xfId="0"/>
    <xf numFmtId="0" fontId="13" fillId="0" borderId="49" pivotButton="0" quotePrefix="0" xfId="0"/>
    <xf numFmtId="0" fontId="13" fillId="0" borderId="9" pivotButton="0" quotePrefix="0" xfId="0"/>
    <xf numFmtId="0" fontId="13" fillId="0" borderId="50" pivotButton="0" quotePrefix="0" xfId="0"/>
    <xf numFmtId="0" fontId="13" fillId="0" borderId="10" pivotButton="0" quotePrefix="0" xfId="0"/>
    <xf numFmtId="0" fontId="13" fillId="0" borderId="0" applyAlignment="1" pivotButton="0" quotePrefix="0" xfId="0">
      <alignment horizontal="center"/>
    </xf>
    <xf numFmtId="0" fontId="28" fillId="0" borderId="8" pivotButton="0" quotePrefix="0" xfId="0"/>
    <xf numFmtId="0" fontId="30" fillId="0" borderId="51" applyAlignment="1" pivotButton="0" quotePrefix="0" xfId="0">
      <alignment horizontal="left"/>
    </xf>
    <xf numFmtId="0" fontId="31" fillId="0" borderId="52" pivotButton="0" quotePrefix="0" xfId="0"/>
    <xf numFmtId="164" fontId="32" fillId="0" borderId="36" applyAlignment="1" pivotButton="0" quotePrefix="0" xfId="0">
      <alignment horizontal="left"/>
    </xf>
    <xf numFmtId="0" fontId="13" fillId="0" borderId="53" pivotButton="0" quotePrefix="0" xfId="0"/>
    <xf numFmtId="0" fontId="33" fillId="0" borderId="20" pivotButton="0" quotePrefix="0" xfId="0"/>
    <xf numFmtId="164" fontId="34" fillId="0" borderId="39" applyAlignment="1" pivotButton="0" quotePrefix="0" xfId="0">
      <alignment horizontal="left"/>
    </xf>
    <xf numFmtId="0" fontId="35" fillId="0" borderId="54" pivotButton="0" quotePrefix="0" xfId="0"/>
    <xf numFmtId="166" fontId="36" fillId="0" borderId="28" applyAlignment="1" pivotButton="0" quotePrefix="0" xfId="0">
      <alignment horizontal="left"/>
    </xf>
    <xf numFmtId="0" fontId="37" fillId="0" borderId="22" pivotButton="0" quotePrefix="0" xfId="0"/>
    <xf numFmtId="164" fontId="38" fillId="0" borderId="55" applyAlignment="1" pivotButton="0" quotePrefix="0" xfId="0">
      <alignment horizontal="left"/>
    </xf>
    <xf numFmtId="0" fontId="13" fillId="0" borderId="56" pivotButton="0" quotePrefix="0" xfId="0"/>
    <xf numFmtId="0" fontId="13" fillId="0" borderId="0" applyAlignment="1" pivotButton="0" quotePrefix="0" xfId="0">
      <alignment horizontal="left"/>
    </xf>
    <xf numFmtId="0" fontId="39" fillId="0" borderId="18" pivotButton="0" quotePrefix="0" xfId="0"/>
    <xf numFmtId="0" fontId="39" fillId="0" borderId="57" applyAlignment="1" pivotButton="0" quotePrefix="0" xfId="0">
      <alignment horizontal="center"/>
    </xf>
    <xf numFmtId="0" fontId="39" fillId="0" borderId="19" applyAlignment="1" pivotButton="0" quotePrefix="0" xfId="0">
      <alignment horizontal="center"/>
    </xf>
    <xf numFmtId="0" fontId="39" fillId="0" borderId="20" applyAlignment="1" pivotButton="0" quotePrefix="0" xfId="0">
      <alignment horizontal="right"/>
    </xf>
    <xf numFmtId="164" fontId="13" fillId="0" borderId="27" applyAlignment="1" pivotButton="0" quotePrefix="0" xfId="0">
      <alignment horizontal="left"/>
    </xf>
    <xf numFmtId="164" fontId="13" fillId="0" borderId="21" applyAlignment="1" pivotButton="0" quotePrefix="0" xfId="0">
      <alignment horizontal="left"/>
    </xf>
    <xf numFmtId="0" fontId="39" fillId="0" borderId="22" applyAlignment="1" pivotButton="0" quotePrefix="0" xfId="0">
      <alignment horizontal="right"/>
    </xf>
    <xf numFmtId="166" fontId="13" fillId="0" borderId="58" pivotButton="0" quotePrefix="0" xfId="0"/>
    <xf numFmtId="164" fontId="13" fillId="0" borderId="23" applyAlignment="1" pivotButton="0" quotePrefix="0" xfId="0">
      <alignment horizontal="left"/>
    </xf>
    <xf numFmtId="0" fontId="40" fillId="0" borderId="0" applyAlignment="1" pivotButton="0" quotePrefix="0" xfId="0">
      <alignment horizontal="left" vertical="center"/>
    </xf>
    <xf numFmtId="0" fontId="40" fillId="0" borderId="0" pivotButton="0" quotePrefix="0" xfId="0"/>
    <xf numFmtId="0" fontId="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1" fontId="8" fillId="0" borderId="0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5" fontId="25" fillId="0" borderId="9" applyAlignment="1" pivotButton="0" quotePrefix="0" xfId="0">
      <alignment horizontal="center"/>
    </xf>
    <xf numFmtId="165" fontId="25" fillId="0" borderId="0" applyAlignment="1" pivotButton="0" quotePrefix="0" xfId="0">
      <alignment horizontal="center"/>
    </xf>
    <xf numFmtId="165" fontId="42" fillId="0" borderId="0" applyAlignment="1" pivotButton="0" quotePrefix="0" xfId="0">
      <alignment horizontal="center"/>
    </xf>
    <xf numFmtId="165" fontId="43" fillId="0" borderId="0" applyAlignment="1" pivotButton="0" quotePrefix="0" xfId="0">
      <alignment horizontal="center"/>
    </xf>
    <xf numFmtId="165" fontId="44" fillId="0" borderId="9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 vertical="center" wrapText="1"/>
    </xf>
    <xf numFmtId="1" fontId="4" fillId="0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 vertical="center" wrapText="1"/>
    </xf>
    <xf numFmtId="165" fontId="25" fillId="0" borderId="9" applyAlignment="1" pivotButton="0" quotePrefix="0" xfId="0">
      <alignment horizontal="right"/>
    </xf>
    <xf numFmtId="43" fontId="10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center"/>
    </xf>
    <xf numFmtId="165" fontId="45" fillId="0" borderId="0" applyAlignment="1" pivotButton="0" quotePrefix="0" xfId="0">
      <alignment horizontal="center"/>
    </xf>
    <xf numFmtId="165" fontId="46" fillId="0" borderId="0" applyAlignment="1" pivotButton="0" quotePrefix="0" xfId="0">
      <alignment horizontal="center"/>
    </xf>
    <xf numFmtId="0" fontId="45" fillId="0" borderId="0" pivotButton="0" quotePrefix="0" xfId="0"/>
    <xf numFmtId="0" fontId="47" fillId="0" borderId="0" applyAlignment="1" pivotButton="0" quotePrefix="0" xfId="0">
      <alignment horizontal="center"/>
    </xf>
    <xf numFmtId="165" fontId="47" fillId="0" borderId="0" applyAlignment="1" pivotButton="0" quotePrefix="0" xfId="0">
      <alignment horizontal="center"/>
    </xf>
    <xf numFmtId="165" fontId="48" fillId="0" borderId="0" applyAlignment="1" pivotButton="0" quotePrefix="0" xfId="0">
      <alignment horizontal="center"/>
    </xf>
    <xf numFmtId="43" fontId="7" fillId="0" borderId="0" applyAlignment="1" pivotButton="0" quotePrefix="0" xfId="0">
      <alignment horizontal="center"/>
    </xf>
    <xf numFmtId="165" fontId="49" fillId="3" borderId="59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10" fillId="0" borderId="0" applyAlignment="1" pivotButton="0" quotePrefix="0" xfId="0">
      <alignment horizontal="right"/>
    </xf>
    <xf numFmtId="0" fontId="10" fillId="0" borderId="0" pivotButton="0" quotePrefix="0" xfId="0"/>
    <xf numFmtId="0" fontId="10" fillId="0" borderId="0" applyAlignment="1" pivotButton="0" quotePrefix="0" xfId="0">
      <alignment horizontal="left"/>
    </xf>
    <xf numFmtId="165" fontId="10" fillId="0" borderId="0" pivotButton="0" quotePrefix="0" xfId="0"/>
    <xf numFmtId="1" fontId="1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center" vertical="center"/>
    </xf>
    <xf numFmtId="2" fontId="10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0" fillId="0" borderId="0" applyAlignment="1" pivotButton="0" quotePrefix="0" xfId="0">
      <alignment vertical="center"/>
    </xf>
    <xf numFmtId="0" fontId="10" fillId="0" borderId="9" applyAlignment="1" pivotButton="0" quotePrefix="0" xfId="0">
      <alignment vertical="center"/>
    </xf>
    <xf numFmtId="0" fontId="7" fillId="0" borderId="9" pivotButton="0" quotePrefix="0" xfId="0"/>
    <xf numFmtId="0" fontId="7" fillId="0" borderId="9" applyAlignment="1" pivotButton="0" quotePrefix="0" xfId="0">
      <alignment horizontal="right"/>
    </xf>
    <xf numFmtId="0" fontId="13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0" borderId="1" applyAlignment="1" pivotButton="0" quotePrefix="0" xfId="0">
      <alignment horizontal="left" vertical="center"/>
    </xf>
    <xf numFmtId="0" fontId="5" fillId="0" borderId="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6" fillId="0" borderId="31" applyAlignment="1" pivotButton="0" quotePrefix="0" xfId="0">
      <alignment horizontal="right"/>
    </xf>
    <xf numFmtId="0" fontId="0" fillId="0" borderId="35" pivotButton="0" quotePrefix="0" xfId="0"/>
    <xf numFmtId="43" fontId="7" fillId="0" borderId="27" pivotButton="0" quotePrefix="0" xfId="0"/>
    <xf numFmtId="0" fontId="6" fillId="0" borderId="32" applyAlignment="1" pivotButton="0" quotePrefix="0" xfId="0">
      <alignment horizontal="right"/>
    </xf>
    <xf numFmtId="0" fontId="0" fillId="0" borderId="37" pivotButton="0" quotePrefix="0" xfId="0"/>
    <xf numFmtId="0" fontId="0" fillId="0" borderId="38" pivotButton="0" quotePrefix="0" xfId="0"/>
    <xf numFmtId="166" fontId="7" fillId="0" borderId="27" applyAlignment="1" pivotButton="0" quotePrefix="0" xfId="0">
      <alignment horizontal="center"/>
    </xf>
    <xf numFmtId="0" fontId="0" fillId="0" borderId="26" pivotButton="0" quotePrefix="0" xfId="0"/>
    <xf numFmtId="0" fontId="26" fillId="0" borderId="18" applyAlignment="1" pivotButton="0" quotePrefix="0" xfId="0">
      <alignment horizontal="center"/>
    </xf>
    <xf numFmtId="0" fontId="0" fillId="0" borderId="42" pivotButton="0" quotePrefix="0" xfId="0"/>
    <xf numFmtId="43" fontId="10" fillId="0" borderId="0" applyAlignment="1" pivotButton="0" quotePrefix="0" xfId="0">
      <alignment horizontal="center"/>
    </xf>
    <xf numFmtId="43" fontId="7" fillId="0" borderId="0" applyAlignment="1" pivotButton="0" quotePrefix="0" xfId="0">
      <alignment horizontal="center"/>
    </xf>
    <xf numFmtId="0" fontId="50" fillId="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00BC24"/>
          <bgColor rgb="FF00BC24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C00000"/>
          <bgColor rgb="FFC00000"/>
        </patternFill>
      </fill>
      <border/>
    </dxf>
    <dxf>
      <font>
        <strike val="1"/>
      </font>
      <fill>
        <patternFill patternType="solid">
          <fgColor theme="5"/>
          <bgColor theme="5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" customWidth="1" style="220" min="1" max="1"/>
    <col width="8.43" customWidth="1" style="220" min="2" max="2"/>
    <col width="9.859999999999999" customWidth="1" style="220" min="3" max="3"/>
    <col width="18.43" customWidth="1" style="220" min="4" max="4"/>
    <col width="26.86" customWidth="1" style="220" min="5" max="5"/>
    <col width="16.43" customWidth="1" style="220" min="6" max="6"/>
    <col width="15.71" customWidth="1" style="220" min="7" max="7"/>
    <col width="11.57" customWidth="1" style="220" min="8" max="8"/>
    <col width="7.43" customWidth="1" style="220" min="9" max="9"/>
    <col width="9.859999999999999" customWidth="1" style="220" min="10" max="10"/>
    <col width="8.140000000000001" customWidth="1" style="220" min="11" max="11"/>
    <col width="13.86" customWidth="1" style="220" min="12" max="15"/>
    <col width="12" customWidth="1" style="220" min="16" max="16"/>
    <col width="14" customWidth="1" style="220" min="17" max="17"/>
    <col width="17.57" customWidth="1" style="220" min="18" max="18"/>
    <col width="18.57" customWidth="1" style="220" min="19" max="19"/>
    <col width="11.57" customWidth="1" style="220" min="20" max="20"/>
    <col width="7.29" customWidth="1" style="220" min="21" max="21"/>
    <col width="10.14" customWidth="1" style="220" min="22" max="22"/>
    <col width="7.29" customWidth="1" style="220" min="23" max="26"/>
  </cols>
  <sheetData>
    <row r="1">
      <c r="A1" s="221" t="inlineStr">
        <is>
          <t>Ladies Ring</t>
        </is>
      </c>
      <c r="B1" s="222" t="n"/>
      <c r="C1" s="222" t="n"/>
      <c r="D1" s="223" t="n"/>
      <c r="E1" s="4" t="inlineStr">
        <is>
          <t>Discount</t>
        </is>
      </c>
      <c r="F1" s="5" t="n"/>
    </row>
    <row r="2">
      <c r="A2" s="224" t="inlineStr">
        <is>
          <t>Sn</t>
        </is>
      </c>
      <c r="B2" s="225" t="n">
        <v>217</v>
      </c>
      <c r="C2" s="226" t="n"/>
      <c r="D2" s="227" t="n"/>
      <c r="E2" s="10" t="n">
        <v>37.5</v>
      </c>
      <c r="F2" s="11" t="inlineStr">
        <is>
          <t>Cert Check</t>
        </is>
      </c>
      <c r="G2" s="12" t="n"/>
    </row>
    <row r="3">
      <c r="A3" s="228" t="n"/>
      <c r="B3" s="228" t="n"/>
      <c r="C3" s="229" t="n"/>
      <c r="D3" s="230" t="n"/>
      <c r="E3" s="16">
        <f>IF(G5&gt;30,"G",IF(AND(G5&gt;25,G5&lt;30),"A",IF(AND(G5&gt;20,G5&lt;25),"B","C")))</f>
        <v/>
      </c>
      <c r="F3" s="17">
        <f t="array" ref="F3">XLOOKUP(A1&amp;B2, 'Certificate Data'!A:A, 'Certificate Data'!P:P)</f>
        <v/>
      </c>
      <c r="G3" s="12" t="n"/>
    </row>
    <row r="4">
      <c r="A4" s="18" t="inlineStr">
        <is>
          <t>Net Weight</t>
        </is>
      </c>
      <c r="B4" s="12">
        <f t="array" ref="B4">VLOOKUP($B$2,INDIRECT("'"&amp;A1&amp;"'!$A$2:$S$999"), 2, 0)</f>
        <v/>
      </c>
      <c r="C4" s="12">
        <f t="array" ref="C4">VLOOKUP($B$2,INDIRECT("'"&amp;A1&amp;"'!$A$2:$S$999"), 3, 0)</f>
        <v/>
      </c>
      <c r="D4" s="19">
        <f t="array" ref="D4">VLOOKUP($B$2,INDIRECT("'"&amp;A1&amp;"'!$A$2:$S$999"), 4, 0)</f>
        <v/>
      </c>
      <c r="E4" s="20">
        <f t="array" ref="E4">VLOOKUP($B$2,INDIRECT("'"&amp;A1&amp;"'!$A$2:$S$999"), 17, 0)</f>
        <v/>
      </c>
      <c r="F4" s="21">
        <f>IFERROR(E4/D4,0)</f>
        <v/>
      </c>
      <c r="G4" s="22">
        <f>(((D4*0.6)/11.664)*Prices!A4)+D5*38000+D6*51900+D7*60900+D8*140000+D9*2000+D10*8000+D11*1200</f>
        <v/>
      </c>
    </row>
    <row r="5">
      <c r="A5" s="23" t="inlineStr">
        <is>
          <t>Dmd &lt; 0.06</t>
        </is>
      </c>
      <c r="B5" s="24" t="n"/>
      <c r="C5" s="24" t="n"/>
      <c r="D5" s="19">
        <f t="array" ref="D5">VLOOKUP($B$2,INDIRECT("'"&amp;A1&amp;"'!$A$2:$S$999"), 5, 0)</f>
        <v/>
      </c>
      <c r="E5" s="25">
        <f t="array" ref="E5">VLOOKUP($B$2,INDIRECT("'"&amp;A1&amp;"'!$A$2:$S$999"), 12, 0)</f>
        <v/>
      </c>
      <c r="F5" s="21">
        <f>IFERROR(E5/D5,0)</f>
        <v/>
      </c>
      <c r="G5" s="12">
        <f>((E17-G4)/E17)*100</f>
        <v/>
      </c>
    </row>
    <row r="6">
      <c r="A6" s="23" t="inlineStr">
        <is>
          <t>Dmd &lt; 0.12</t>
        </is>
      </c>
      <c r="B6" s="24" t="n"/>
      <c r="C6" s="24" t="n"/>
      <c r="D6" s="19">
        <f t="array" ref="D6">VLOOKUP($B$2,INDIRECT("'"&amp;A1&amp;"'!$A$2:$S$999"), 6, 0)</f>
        <v/>
      </c>
      <c r="E6" s="25">
        <f t="array" ref="E6">VLOOKUP($B$2,INDIRECT("'"&amp;A1&amp;"'!$A$2:$S$999"), 13, 0)</f>
        <v/>
      </c>
      <c r="F6" s="21">
        <f>IFERROR(E6/D6,0)</f>
        <v/>
      </c>
      <c r="G6" s="12" t="n"/>
    </row>
    <row r="7">
      <c r="A7" s="23" t="inlineStr">
        <is>
          <t>Dmd &lt; 0.17</t>
        </is>
      </c>
      <c r="B7" s="24" t="n"/>
      <c r="C7" s="24" t="n"/>
      <c r="D7" s="19">
        <f t="array" ref="D7">VLOOKUP($B$2,INDIRECT("'"&amp;A1&amp;"'!$A$2:$S$999"), 7, 0)</f>
        <v/>
      </c>
      <c r="E7" s="25">
        <f t="array" ref="E7">VLOOKUP($B$2,INDIRECT("'"&amp;A1&amp;"'!$A$2:$S$999"), 14, 0)</f>
        <v/>
      </c>
      <c r="F7" s="21">
        <f>IFERROR(E7/D7,0)</f>
        <v/>
      </c>
      <c r="G7" s="26" t="n"/>
    </row>
    <row r="8">
      <c r="A8" s="23" t="inlineStr">
        <is>
          <t>Dmd Big</t>
        </is>
      </c>
      <c r="B8" s="24" t="n"/>
      <c r="C8" s="24" t="n"/>
      <c r="D8" s="19">
        <f t="array" ref="D8">VLOOKUP($B$2,INDIRECT("'"&amp;A1&amp;"'!$A$2:$S$999"), 8, 0)</f>
        <v/>
      </c>
      <c r="E8" s="25">
        <f t="array" ref="E8">VLOOKUP($B$2,INDIRECT("'"&amp;A1&amp;"'!$A$2:$S$999"), 15, 0)</f>
        <v/>
      </c>
      <c r="F8" s="21">
        <f>IFERROR(E8/D8,0)</f>
        <v/>
      </c>
      <c r="G8" s="26" t="n"/>
    </row>
    <row r="9">
      <c r="A9" s="23" t="inlineStr">
        <is>
          <t>Ruby</t>
        </is>
      </c>
      <c r="B9" s="24" t="n"/>
      <c r="C9" s="24" t="n"/>
      <c r="D9" s="19">
        <f t="array" ref="D9">VLOOKUP($B$2,INDIRECT("'"&amp;A1&amp;"'!$A$2:$S$999"), 9, 0)</f>
        <v/>
      </c>
      <c r="E9" s="25">
        <f t="array" ref="E9">IF(D9&lt;&gt;0,VLOOKUP($B$2,INDIRECT("'"&amp;A1&amp;"'!$A$2:$S$999"),16,0),0)</f>
        <v/>
      </c>
      <c r="F9" s="21">
        <f>IFERROR(E9/D9,0)</f>
        <v/>
      </c>
      <c r="G9" s="12" t="n"/>
    </row>
    <row r="10">
      <c r="A10" s="23" t="inlineStr">
        <is>
          <t>Emreld</t>
        </is>
      </c>
      <c r="B10" s="24" t="n"/>
      <c r="C10" s="24" t="n"/>
      <c r="D10" s="19">
        <f t="array" ref="D10">VLOOKUP($B$2,INDIRECT("'"&amp;A1&amp;"'!$A$2:$S$999"), 10, 0)</f>
        <v/>
      </c>
      <c r="E10" s="25">
        <f t="array" ref="E10">IF(D10&lt;&gt;0,VLOOKUP($B$2,INDIRECT("'"&amp;A1&amp;"'!$A$2:$S$999"),16,0),0)</f>
        <v/>
      </c>
      <c r="F10" s="21">
        <f>IFERROR(E10/D10,0)</f>
        <v/>
      </c>
      <c r="G10" s="12" t="n"/>
    </row>
    <row r="11">
      <c r="A11" s="27" t="inlineStr">
        <is>
          <t>Muga</t>
        </is>
      </c>
      <c r="B11" s="28" t="n"/>
      <c r="C11" s="28" t="n"/>
      <c r="D11" s="19">
        <f t="array" ref="D11">VLOOKUP($B$2,INDIRECT("'"&amp;A1&amp;"'!$A$2:$S$999"), 11, 0)</f>
        <v/>
      </c>
      <c r="E11" s="25">
        <f t="array" ref="E11">IF(D11&lt;&gt;0,VLOOKUP($B$2,INDIRECT("'"&amp;A1&amp;"'!$A$2:$S$999"),16,0),0)</f>
        <v/>
      </c>
      <c r="F11" s="21">
        <f>IFERROR(E11/D11,0)</f>
        <v/>
      </c>
      <c r="G11" s="12" t="n"/>
    </row>
    <row r="12" ht="15" customHeight="1" s="220">
      <c r="A12" s="29" t="n"/>
      <c r="B12" s="24" t="n"/>
      <c r="C12" s="30" t="n"/>
      <c r="D12" s="31" t="inlineStr">
        <is>
          <t>Gold Total</t>
        </is>
      </c>
      <c r="E12" s="32">
        <f t="array" ref="E12">VLOOKUP($B$2,INDIRECT("'"&amp;A1&amp;"'!$A$2:$S$999"), 17, 0)</f>
        <v/>
      </c>
      <c r="F12" s="33" t="n"/>
    </row>
    <row r="13" ht="15" customHeight="1" s="220">
      <c r="A13" s="34" t="n"/>
      <c r="B13" s="24" t="n"/>
      <c r="C13" s="30" t="n"/>
      <c r="D13" s="35" t="inlineStr">
        <is>
          <t>Diamond Total</t>
        </is>
      </c>
      <c r="E13" s="36">
        <f t="array" ref="E13">VLOOKUP($B$2,INDIRECT("'"&amp;A1&amp;"'!$A$2:$S$999"), 18, 0)</f>
        <v/>
      </c>
      <c r="F13" s="33" t="n"/>
      <c r="G13" s="30" t="n"/>
    </row>
    <row r="14" ht="15" customHeight="1" s="220">
      <c r="A14" s="29" t="n"/>
      <c r="B14" s="24" t="n"/>
      <c r="C14" s="30" t="n"/>
      <c r="D14" s="35" t="inlineStr">
        <is>
          <t>Stone Total</t>
        </is>
      </c>
      <c r="E14" s="36">
        <f t="array" ref="E14">VLOOKUP($B$2,INDIRECT("'"&amp;A1&amp;"'!$A$2:$S$999"), 16, 0)</f>
        <v/>
      </c>
      <c r="F14" s="33" t="n"/>
    </row>
    <row r="15" ht="15" customHeight="1" s="220">
      <c r="A15" s="29" t="n"/>
      <c r="B15" s="24" t="n"/>
      <c r="C15" s="30" t="n"/>
      <c r="D15" s="35" t="inlineStr">
        <is>
          <t>Total</t>
        </is>
      </c>
      <c r="E15" s="37">
        <f>E14+E12+E13</f>
        <v/>
      </c>
      <c r="F15" s="38" t="n"/>
    </row>
    <row r="16" ht="15" customHeight="1" s="220">
      <c r="D16" s="35" t="inlineStr">
        <is>
          <t>Discount</t>
        </is>
      </c>
      <c r="E16" s="37">
        <f>E13*E2%</f>
        <v/>
      </c>
    </row>
    <row r="17" ht="15" customHeight="1" s="220">
      <c r="D17" s="39" t="inlineStr">
        <is>
          <t>Net Total</t>
        </is>
      </c>
      <c r="E17" s="40">
        <f>E15-E16</f>
        <v/>
      </c>
    </row>
    <row r="18" ht="15" customHeight="1" s="220">
      <c r="D18" s="31" t="inlineStr">
        <is>
          <t>2% Luxury Tax</t>
        </is>
      </c>
      <c r="E18" s="41">
        <f>E12*0.02</f>
        <v/>
      </c>
    </row>
    <row r="19" ht="15" customHeight="1" s="220">
      <c r="D19" s="42" t="inlineStr">
        <is>
          <t>Grand Total</t>
        </is>
      </c>
      <c r="E19" s="43">
        <f>E15-E16+E18</f>
        <v/>
      </c>
      <c r="F19" s="44" t="n"/>
    </row>
    <row r="20" ht="15" customHeight="1" s="220">
      <c r="H20" s="30" t="n"/>
      <c r="I20" s="30" t="n"/>
      <c r="J20" s="45" t="n"/>
    </row>
    <row r="21" ht="15" customHeight="1" s="220">
      <c r="H21" s="30" t="n"/>
      <c r="I21" s="30" t="n"/>
      <c r="J21" s="30" t="n"/>
    </row>
  </sheetData>
  <mergeCells count="3">
    <mergeCell ref="B2:D3"/>
    <mergeCell ref="A1:D1"/>
    <mergeCell ref="A2:A3"/>
  </mergeCells>
  <conditionalFormatting sqref="E3">
    <cfRule type="containsText" priority="1" operator="containsText" dxfId="0" text="C">
      <formula>NOT(ISERROR(SEARCH(("C"),(E3))))</formula>
    </cfRule>
    <cfRule type="containsText" priority="2" operator="containsText" dxfId="1" text="B">
      <formula>NOT(ISERROR(SEARCH(("B"),(E3))))</formula>
    </cfRule>
    <cfRule type="containsText" priority="3" operator="containsText" dxfId="2" text="A">
      <formula>NOT(ISERROR(SEARCH(("A"),(E3))))</formula>
    </cfRule>
    <cfRule type="containsText" priority="4" operator="containsText" dxfId="3" text="G">
      <formula>NOT(ISERROR(SEARCH(("G"),(E3))))</formula>
    </cfRule>
  </conditionalFormatting>
  <conditionalFormatting sqref="F3">
    <cfRule type="notContainsText" priority="5" operator="notContains" dxfId="0" text="Not Found">
      <formula>ISERROR(SEARCH(("Not Found"),(F3)))</formula>
    </cfRule>
  </conditionalFormatting>
  <dataValidations count="2">
    <dataValidation sqref="E2" showDropDown="0" showInputMessage="0" showErrorMessage="1" allowBlank="1" type="list">
      <formula1>Prices!$B$9:$B$15</formula1>
    </dataValidation>
    <dataValidation sqref="A1" showDropDown="0" showInputMessage="0" showErrorMessage="1" allowBlank="1" type="list">
      <formula1>Prices!$A$9:$A$18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9.43" customWidth="1" style="220" min="1" max="1"/>
    <col width="24.43" customWidth="1" style="220" min="2" max="2"/>
    <col width="12.14" customWidth="1" style="220" min="3" max="3"/>
    <col width="13.43" customWidth="1" style="220" min="4" max="4"/>
    <col width="13.29" customWidth="1" style="220" min="5" max="5"/>
    <col width="16.14" customWidth="1" style="220" min="6" max="6"/>
    <col width="14.57" customWidth="1" style="220" min="7" max="7"/>
    <col width="20" customWidth="1" style="220" min="8" max="8"/>
    <col width="21" customWidth="1" style="220" min="9" max="9"/>
    <col width="13.86" customWidth="1" style="220" min="10" max="10"/>
    <col hidden="1" width="17.57" customWidth="1" style="220" min="11" max="11"/>
    <col hidden="1" width="19.43" customWidth="1" style="220" min="12" max="13"/>
    <col hidden="1" width="18.57" customWidth="1" style="220" min="14" max="14"/>
    <col hidden="1" width="19.43" customWidth="1" style="220" min="15" max="17"/>
    <col hidden="1" width="18" customWidth="1" style="220" min="18" max="18"/>
  </cols>
  <sheetData>
    <row r="1" ht="18.75" customHeight="1" s="220">
      <c r="A1" s="12" t="n"/>
      <c r="B1" s="12" t="n"/>
      <c r="C1" s="46" t="inlineStr">
        <is>
          <t>Discount</t>
        </is>
      </c>
      <c r="D1" s="47" t="n">
        <v>42</v>
      </c>
      <c r="E1" s="46" t="inlineStr">
        <is>
          <t>Gold Rate</t>
        </is>
      </c>
      <c r="F1" s="48" t="n">
        <v>296800</v>
      </c>
      <c r="G1" s="12" t="n">
        <v>1100</v>
      </c>
      <c r="H1" s="12" t="n"/>
      <c r="I1" s="12" t="n"/>
      <c r="J1" s="12" t="n"/>
      <c r="K1" s="46" t="inlineStr">
        <is>
          <t>14k</t>
        </is>
      </c>
      <c r="L1" s="49">
        <f>L12</f>
        <v/>
      </c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18.75" customHeight="1" s="220">
      <c r="A2" s="50" t="inlineStr">
        <is>
          <t>SN</t>
        </is>
      </c>
      <c r="B2" s="50" t="inlineStr">
        <is>
          <t>Description</t>
        </is>
      </c>
      <c r="C2" s="50" t="inlineStr">
        <is>
          <t>Net Wt</t>
        </is>
      </c>
      <c r="D2" s="50" t="inlineStr">
        <is>
          <t>Wastage</t>
        </is>
      </c>
      <c r="E2" s="50" t="inlineStr">
        <is>
          <t>Total Wt</t>
        </is>
      </c>
      <c r="F2" s="50" t="inlineStr">
        <is>
          <t>Rate</t>
        </is>
      </c>
      <c r="G2" s="50" t="inlineStr">
        <is>
          <t>Labour</t>
        </is>
      </c>
      <c r="H2" s="50" t="inlineStr">
        <is>
          <t>Taxable Amount</t>
        </is>
      </c>
      <c r="I2" s="50" t="inlineStr">
        <is>
          <t>Amount</t>
        </is>
      </c>
      <c r="J2" s="51" t="n"/>
      <c r="K2" s="52" t="n"/>
      <c r="L2" s="53" t="inlineStr">
        <is>
          <t>Rate</t>
        </is>
      </c>
      <c r="M2" s="54" t="n"/>
      <c r="N2" s="12" t="n"/>
      <c r="O2" s="12" t="n"/>
      <c r="P2" s="12" t="n"/>
      <c r="Q2" s="12" t="n"/>
      <c r="R2" s="12" t="n"/>
      <c r="S2" s="12" t="n"/>
      <c r="T2" s="51" t="n"/>
      <c r="U2" s="12" t="n"/>
      <c r="V2" s="12" t="n"/>
      <c r="W2" s="51" t="n"/>
      <c r="X2" s="51" t="n"/>
      <c r="Y2" s="51" t="n"/>
      <c r="Z2" s="51" t="n"/>
    </row>
    <row r="3" ht="18.75" customHeight="1" s="220">
      <c r="A3" s="55" t="inlineStr">
        <is>
          <t>AJ1</t>
        </is>
      </c>
      <c r="B3" s="55" t="inlineStr">
        <is>
          <t>DJ Price</t>
        </is>
      </c>
      <c r="C3" s="56">
        <f t="array" ref="C3">VLOOKUP($A$3,INDIRECT("'"&amp;B3&amp;"'!$A$2:$S$999"), 2, 0)</f>
        <v/>
      </c>
      <c r="D3" s="57">
        <f t="array" ref="D3">VLOOKUP($A$3,INDIRECT("'"&amp;B3&amp;"'!$A$2:$S$999"), 3, 0)</f>
        <v/>
      </c>
      <c r="E3" s="58">
        <f t="array" ref="E3">VLOOKUP($A$3,INDIRECT("'"&amp;B3&amp;"'!$A$2:$S$999"), 4, 0)</f>
        <v/>
      </c>
      <c r="F3" s="59">
        <f>ROUNDDOWN((F1/11.664)*0.6,0)</f>
        <v/>
      </c>
      <c r="G3" s="60">
        <f>L4*E3</f>
        <v/>
      </c>
      <c r="H3" s="61">
        <f>(F3*E3)+G3</f>
        <v/>
      </c>
      <c r="I3" s="57" t="n"/>
      <c r="J3" s="12" t="n"/>
      <c r="K3" s="48" t="inlineStr">
        <is>
          <t>Gold</t>
        </is>
      </c>
      <c r="L3" s="48">
        <f>ROUNDDOWN((F1/11.664)*0.6,0)</f>
        <v/>
      </c>
      <c r="M3" s="48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</row>
    <row r="4" ht="18.75" customHeight="1" s="220">
      <c r="A4" s="57" t="n"/>
      <c r="B4" s="62" t="inlineStr">
        <is>
          <t>Dmd &lt; 0.06</t>
        </is>
      </c>
      <c r="C4" s="57" t="n"/>
      <c r="D4" s="57" t="n"/>
      <c r="E4" s="58">
        <f t="array" ref="E4">VLOOKUP($A$3,INDIRECT("'"&amp;B3&amp;"'!$A$2:$S$999"), 5, 0)</f>
        <v/>
      </c>
      <c r="F4" s="63">
        <f>P5</f>
        <v/>
      </c>
      <c r="G4" s="57" t="n"/>
      <c r="H4" s="57" t="n"/>
      <c r="I4" s="61">
        <f>F4*E4</f>
        <v/>
      </c>
      <c r="J4" s="12" t="n"/>
      <c r="K4" s="48" t="inlineStr">
        <is>
          <t>Labour Rate</t>
        </is>
      </c>
      <c r="L4" s="64" t="n">
        <v>1100</v>
      </c>
      <c r="M4" s="65">
        <f>L12-L3</f>
        <v/>
      </c>
      <c r="N4" s="12" t="n"/>
      <c r="O4" s="52" t="n"/>
      <c r="P4" s="53" t="inlineStr">
        <is>
          <t>Rate</t>
        </is>
      </c>
      <c r="Q4" s="54" t="n"/>
      <c r="R4" s="12">
        <f>COUNTIF(E4:E7, "&gt;0")</f>
        <v/>
      </c>
      <c r="S4" s="12" t="n"/>
      <c r="T4" s="12" t="n"/>
      <c r="U4" s="12" t="n"/>
      <c r="V4" s="12" t="n"/>
      <c r="W4" s="12" t="n"/>
      <c r="X4" s="12" t="n"/>
      <c r="Y4" s="12" t="n"/>
      <c r="Z4" s="12" t="n"/>
    </row>
    <row r="5" ht="18.75" customHeight="1" s="220">
      <c r="A5" s="57" t="n"/>
      <c r="B5" s="62" t="inlineStr">
        <is>
          <t>Dmd &lt; 0.12</t>
        </is>
      </c>
      <c r="C5" s="57" t="n"/>
      <c r="D5" s="57" t="n"/>
      <c r="E5" s="58">
        <f t="array" ref="E5">VLOOKUP($A$3,INDIRECT("'"&amp;B3&amp;"'!$A$2:$S$999"), 6, 0)</f>
        <v/>
      </c>
      <c r="F5" s="63">
        <f>P6</f>
        <v/>
      </c>
      <c r="G5" s="57" t="n"/>
      <c r="H5" s="57" t="n"/>
      <c r="I5" s="61">
        <f>F5*E5</f>
        <v/>
      </c>
      <c r="J5" s="12" t="n"/>
      <c r="K5" s="66" t="inlineStr">
        <is>
          <t>Dmd &lt; 0.06</t>
        </is>
      </c>
      <c r="L5" s="48">
        <f>IFERROR(M5/E4,0)</f>
        <v/>
      </c>
      <c r="M5" s="67">
        <f t="array" ref="M5">VLOOKUP($A$3,INDIRECT("'"&amp;B3&amp;"'!$A$2:$S$999"), 12, 0)</f>
        <v/>
      </c>
      <c r="N5" s="63">
        <f>L5-(L5*$D$1%)</f>
        <v/>
      </c>
      <c r="O5" s="66" t="inlineStr">
        <is>
          <t>Dmd &lt; 0.06</t>
        </is>
      </c>
      <c r="P5" s="65">
        <f>IFERROR(Q5/E4,0)</f>
        <v/>
      </c>
      <c r="Q5" s="67">
        <f>IF(E4&lt;&gt;0,(N5*E4)+R5,0)</f>
        <v/>
      </c>
      <c r="R5" s="68">
        <f>$R$15/$R$4</f>
        <v/>
      </c>
      <c r="S5" s="12" t="n"/>
      <c r="T5" s="12" t="n"/>
      <c r="U5" s="12" t="n"/>
      <c r="V5" s="12" t="n"/>
      <c r="W5" s="12" t="n"/>
      <c r="X5" s="12" t="n"/>
      <c r="Y5" s="12" t="n"/>
      <c r="Z5" s="12" t="n"/>
    </row>
    <row r="6" ht="18.75" customHeight="1" s="220">
      <c r="A6" s="57" t="n"/>
      <c r="B6" s="62" t="inlineStr">
        <is>
          <t>Dmd &lt; 0.17</t>
        </is>
      </c>
      <c r="C6" s="57" t="n"/>
      <c r="D6" s="57" t="n"/>
      <c r="E6" s="58">
        <f t="array" ref="E6">VLOOKUP($A$3,INDIRECT("'"&amp;B3&amp;"'!$A$2:$S$999"), 7, 0)</f>
        <v/>
      </c>
      <c r="F6" s="63">
        <f>P7</f>
        <v/>
      </c>
      <c r="G6" s="57" t="n"/>
      <c r="H6" s="57" t="n"/>
      <c r="I6" s="61">
        <f>F6*E6</f>
        <v/>
      </c>
      <c r="J6" s="12" t="n"/>
      <c r="K6" s="66" t="inlineStr">
        <is>
          <t>Dmd &lt; 0.12</t>
        </is>
      </c>
      <c r="L6" s="48">
        <f>IFERROR(M6/E5,0)</f>
        <v/>
      </c>
      <c r="M6" s="67">
        <f t="array" ref="M6">VLOOKUP($A$3,INDIRECT("'"&amp;B3&amp;"'!$A$2:$S$999"), 13, 0)</f>
        <v/>
      </c>
      <c r="N6" s="63">
        <f>L6-(L6*$D$1%)</f>
        <v/>
      </c>
      <c r="O6" s="66" t="inlineStr">
        <is>
          <t>Dmd &lt; 0.12</t>
        </is>
      </c>
      <c r="P6" s="65">
        <f>IFERROR(Q6/E5,0)</f>
        <v/>
      </c>
      <c r="Q6" s="67">
        <f>IF(E5&lt;&gt;0,(N6*E5)+R6,0)</f>
        <v/>
      </c>
      <c r="R6" s="68">
        <f>$R$15/$R$4</f>
        <v/>
      </c>
      <c r="S6" s="12" t="n"/>
      <c r="T6" s="12" t="n"/>
      <c r="U6" s="12" t="n"/>
      <c r="V6" s="12" t="n"/>
      <c r="W6" s="12" t="n"/>
      <c r="X6" s="12" t="n"/>
      <c r="Y6" s="12" t="n"/>
      <c r="Z6" s="12" t="n"/>
    </row>
    <row r="7" ht="18.75" customHeight="1" s="220">
      <c r="A7" s="57" t="n"/>
      <c r="B7" s="62" t="inlineStr">
        <is>
          <t>Dmd Big</t>
        </is>
      </c>
      <c r="C7" s="57" t="n"/>
      <c r="D7" s="57" t="n"/>
      <c r="E7" s="58">
        <f t="array" ref="E7">VLOOKUP($A$3,INDIRECT("'"&amp;B3&amp;"'!$A$2:$S$999"), 8, 0)</f>
        <v/>
      </c>
      <c r="F7" s="63">
        <f>P8</f>
        <v/>
      </c>
      <c r="G7" s="57" t="n"/>
      <c r="H7" s="57" t="n"/>
      <c r="I7" s="61">
        <f>F7*E7</f>
        <v/>
      </c>
      <c r="J7" s="12" t="n"/>
      <c r="K7" s="66" t="inlineStr">
        <is>
          <t>Dmd &lt; 0.17</t>
        </is>
      </c>
      <c r="L7" s="48">
        <f>IFERROR(M7/E6,0)</f>
        <v/>
      </c>
      <c r="M7" s="67">
        <f t="array" ref="M7">VLOOKUP($A$3,INDIRECT("'"&amp;B3&amp;"'!$A$2:$S$999"), 14, 0)</f>
        <v/>
      </c>
      <c r="N7" s="63">
        <f>L7-(L7*$D$1%)</f>
        <v/>
      </c>
      <c r="O7" s="66" t="inlineStr">
        <is>
          <t>Dmd &lt; 0.17</t>
        </is>
      </c>
      <c r="P7" s="65">
        <f>IFERROR(Q7/E6,0)</f>
        <v/>
      </c>
      <c r="Q7" s="67">
        <f>IF(E6&lt;&gt;0,(N7*E6)+R7,0)</f>
        <v/>
      </c>
      <c r="R7" s="68">
        <f>$R$15/$R$4</f>
        <v/>
      </c>
      <c r="S7" s="12" t="n"/>
      <c r="T7" s="12" t="n"/>
      <c r="U7" s="12" t="n"/>
      <c r="V7" s="12" t="n"/>
      <c r="W7" s="12" t="n"/>
      <c r="X7" s="12" t="n"/>
      <c r="Y7" s="12" t="n"/>
      <c r="Z7" s="12" t="n"/>
    </row>
    <row r="8" ht="18.75" customHeight="1" s="220">
      <c r="A8" s="57" t="n"/>
      <c r="B8" s="62" t="inlineStr">
        <is>
          <t>Ruby</t>
        </is>
      </c>
      <c r="C8" s="57" t="n"/>
      <c r="D8" s="57" t="n"/>
      <c r="E8" s="58">
        <f t="array" ref="E8">VLOOKUP($A$3,INDIRECT("'"&amp;B3&amp;"'!$A$2:$S$999"), 9, 0)</f>
        <v/>
      </c>
      <c r="F8" s="63">
        <f>IFERROR(I8/E8,0)</f>
        <v/>
      </c>
      <c r="G8" s="57" t="n"/>
      <c r="H8" s="57" t="n"/>
      <c r="I8" s="61">
        <f t="array" ref="I8">IF(E8&lt;&gt;0,VLOOKUP($A$3,INDIRECT("'"&amp;B3&amp;"'!$A$2:$S$999"),16,0),0)</f>
        <v/>
      </c>
      <c r="J8" s="12" t="n"/>
      <c r="K8" s="66" t="inlineStr">
        <is>
          <t>Dmd Big</t>
        </is>
      </c>
      <c r="L8" s="48">
        <f>IFERROR(M8/E7,0)</f>
        <v/>
      </c>
      <c r="M8" s="67">
        <f t="array" ref="M8">VLOOKUP($A$3,INDIRECT("'"&amp;B3&amp;"'!$A$2:$S$999"), 15, 0)</f>
        <v/>
      </c>
      <c r="N8" s="63">
        <f>L8-(L8*$D$1%)</f>
        <v/>
      </c>
      <c r="O8" s="66" t="inlineStr">
        <is>
          <t>Dmd Big</t>
        </is>
      </c>
      <c r="P8" s="65">
        <f>IFERROR(Q8/E7,0)</f>
        <v/>
      </c>
      <c r="Q8" s="67">
        <f>IF(E7&lt;&gt;0,(N8*E7)+R8,0)</f>
        <v/>
      </c>
      <c r="R8" s="68">
        <f>$R$15/$R$4</f>
        <v/>
      </c>
      <c r="S8" s="12" t="n"/>
      <c r="T8" s="12" t="n"/>
      <c r="U8" s="12" t="n"/>
      <c r="V8" s="12" t="n"/>
      <c r="W8" s="12" t="n"/>
      <c r="X8" s="12" t="n"/>
      <c r="Y8" s="12" t="n"/>
      <c r="Z8" s="12" t="n"/>
    </row>
    <row r="9" ht="18.75" customHeight="1" s="220">
      <c r="A9" s="57" t="n"/>
      <c r="B9" s="62" t="inlineStr">
        <is>
          <t>Emreld</t>
        </is>
      </c>
      <c r="C9" s="57" t="n"/>
      <c r="D9" s="57" t="n"/>
      <c r="E9" s="58">
        <f t="array" ref="E9">VLOOKUP($A$3,INDIRECT("'"&amp;B3&amp;"'!$A$2:$S$999"), 10, 0)</f>
        <v/>
      </c>
      <c r="F9" s="63">
        <f>IFERROR(I9/E9,0)</f>
        <v/>
      </c>
      <c r="G9" s="57" t="n"/>
      <c r="H9" s="57" t="n"/>
      <c r="I9" s="61">
        <f t="array" ref="I9">IF(E9&lt;&gt;0,VLOOKUP($A$3,INDIRECT("'"&amp;B3&amp;"'!$A$2:$S$999"),16,0),0)</f>
        <v/>
      </c>
      <c r="J9" s="12" t="n"/>
      <c r="K9" s="66" t="inlineStr">
        <is>
          <t>Ruby</t>
        </is>
      </c>
      <c r="L9" s="48">
        <f>IFERROR(M9/E8,0)</f>
        <v/>
      </c>
      <c r="M9" s="67">
        <f t="array" ref="M9">IF(I8&lt;&gt;0,VLOOKUP($A$3,INDIRECT("'"&amp;B3&amp;"'!$A$2:$S$999"),16,0),0)</f>
        <v/>
      </c>
      <c r="N9" s="12" t="n"/>
      <c r="O9" s="66" t="inlineStr">
        <is>
          <t>Ruby</t>
        </is>
      </c>
      <c r="P9" s="65">
        <f>IFERROR(Q9/E8,0)</f>
        <v/>
      </c>
      <c r="Q9" s="67">
        <f t="array" ref="Q9">IF(I8&lt;&gt;0,VLOOKUP($A$3,INDIRECT("'"&amp;B3&amp;"'!$A$2:$S$999"),16,0),0)</f>
        <v/>
      </c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</row>
    <row r="10" ht="18.75" customHeight="1" s="220">
      <c r="A10" s="69" t="n"/>
      <c r="B10" s="70" t="inlineStr">
        <is>
          <t>Muga</t>
        </is>
      </c>
      <c r="C10" s="69" t="n"/>
      <c r="D10" s="69" t="n"/>
      <c r="E10" s="71">
        <f t="array" ref="E10">VLOOKUP($A$3,INDIRECT("'"&amp;B3&amp;"'!$A$2:$S$999"), 11, 0)</f>
        <v/>
      </c>
      <c r="F10" s="72">
        <f>IFERROR(I10/E10,0)</f>
        <v/>
      </c>
      <c r="G10" s="69" t="n"/>
      <c r="H10" s="69" t="n"/>
      <c r="I10" s="73">
        <f t="array" ref="I10">IF(E10&lt;&gt;0,VLOOKUP($A$3,INDIRECT("'"&amp;B3&amp;"'!$A$2:$S$999"),16,0),0)</f>
        <v/>
      </c>
      <c r="J10" s="12" t="n"/>
      <c r="K10" s="66" t="inlineStr">
        <is>
          <t>Emreld</t>
        </is>
      </c>
      <c r="L10" s="48">
        <f>IFERROR(M10/E9,0)</f>
        <v/>
      </c>
      <c r="M10" s="67">
        <f t="array" ref="M10">IF(I9&lt;&gt;0,VLOOKUP($A$3,INDIRECT("'"&amp;B3&amp;"'!$A$2:$S$999"),16,0),0)</f>
        <v/>
      </c>
      <c r="N10" s="12" t="n"/>
      <c r="O10" s="66" t="inlineStr">
        <is>
          <t>Emreld</t>
        </is>
      </c>
      <c r="P10" s="65">
        <f>IFERROR(Q10/E9,0)</f>
        <v/>
      </c>
      <c r="Q10" s="67">
        <f t="array" ref="Q10">IF(I9&lt;&gt;0,VLOOKUP($A$3,INDIRECT("'"&amp;B3&amp;"'!$A$2:$S$999"),16,0),0)</f>
        <v/>
      </c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</row>
    <row r="11" ht="18.75" customHeight="1" s="220">
      <c r="A11" s="12" t="n"/>
      <c r="B11" s="12" t="n"/>
      <c r="C11" s="12" t="n"/>
      <c r="D11" s="12" t="n"/>
      <c r="E11" s="74" t="n"/>
      <c r="F11" s="75" t="n"/>
      <c r="G11" s="76" t="inlineStr">
        <is>
          <t>Discount</t>
        </is>
      </c>
      <c r="H11" s="77" t="n"/>
      <c r="I11" s="67" t="n">
        <v>288</v>
      </c>
      <c r="J11" s="12" t="n"/>
      <c r="K11" s="66" t="inlineStr">
        <is>
          <t>Muga</t>
        </is>
      </c>
      <c r="L11" s="48">
        <f>IFERROR(M11/E10,0)</f>
        <v/>
      </c>
      <c r="M11" s="67">
        <f t="array" ref="M11">IF(I10&lt;&gt;0,VLOOKUP($A$3,INDIRECT("'"&amp;B3&amp;"'!$A$2:$S$999"),16,0),0)</f>
        <v/>
      </c>
      <c r="N11" s="12" t="n"/>
      <c r="O11" s="66" t="inlineStr">
        <is>
          <t>Muga</t>
        </is>
      </c>
      <c r="P11" s="65">
        <f>IFERROR(Q11/E10,0)</f>
        <v/>
      </c>
      <c r="Q11" s="67">
        <f t="array" ref="Q11">IF(I10&lt;&gt;0,VLOOKUP($A$3,INDIRECT("'"&amp;B3&amp;"'!$A$2:$S$999"),16,0),0)</f>
        <v/>
      </c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</row>
    <row r="12" ht="18.75" customHeight="1" s="220">
      <c r="A12" s="12" t="n"/>
      <c r="B12" s="12" t="n"/>
      <c r="C12" s="12" t="n"/>
      <c r="D12" s="12" t="n"/>
      <c r="E12" s="231" t="inlineStr">
        <is>
          <t>Amount Before TAX</t>
        </is>
      </c>
      <c r="G12" s="232" t="n"/>
      <c r="H12" s="80">
        <f>H3</f>
        <v/>
      </c>
      <c r="I12" s="65">
        <f>I4-I11+I10+I9+I7+I8+I6+I5</f>
        <v/>
      </c>
      <c r="J12" s="12" t="n"/>
      <c r="K12" s="48" t="inlineStr">
        <is>
          <t>Gold</t>
        </is>
      </c>
      <c r="L12" s="65">
        <f>M12/E3</f>
        <v/>
      </c>
      <c r="M12" s="67">
        <f t="array" ref="M12">VLOOKUP($A$3,INDIRECT("'"&amp;$B$3&amp;"'!$A$2:$S$999"), 17, 0)</f>
        <v/>
      </c>
      <c r="N12" s="12" t="n"/>
      <c r="O12" s="48" t="inlineStr">
        <is>
          <t>Gold</t>
        </is>
      </c>
      <c r="P12" s="48">
        <f>ROUNDDOWN((F1/11.664)*0.6,0)</f>
        <v/>
      </c>
      <c r="Q12" s="67">
        <f>E3*P12</f>
        <v/>
      </c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</row>
    <row r="13" ht="18.75" customHeight="1" s="220">
      <c r="A13" s="12" t="n"/>
      <c r="B13" s="12" t="n"/>
      <c r="C13" s="12" t="n"/>
      <c r="D13" s="12" t="n"/>
      <c r="E13" s="231" t="inlineStr">
        <is>
          <t>2% TAX</t>
        </is>
      </c>
      <c r="G13" s="232" t="n"/>
      <c r="H13" s="81">
        <f>H12*0.02</f>
        <v/>
      </c>
      <c r="I13" s="82" t="n"/>
      <c r="J13" s="12" t="n"/>
      <c r="K13" s="66" t="inlineStr">
        <is>
          <t>Tax</t>
        </is>
      </c>
      <c r="L13" s="48" t="n"/>
      <c r="M13" s="65">
        <f>M12*0.02</f>
        <v/>
      </c>
      <c r="N13" s="83" t="n"/>
      <c r="O13" s="66" t="inlineStr">
        <is>
          <t>Labour</t>
        </is>
      </c>
      <c r="P13" s="64" t="n">
        <v>1100</v>
      </c>
      <c r="Q13" s="233">
        <f>E3*P13</f>
        <v/>
      </c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</row>
    <row r="14" ht="18.75" customHeight="1" s="220">
      <c r="A14" s="12" t="n"/>
      <c r="B14" s="12" t="n"/>
      <c r="C14" s="12" t="n"/>
      <c r="D14" s="12" t="n"/>
      <c r="E14" s="234" t="inlineStr">
        <is>
          <t>Grand Total</t>
        </is>
      </c>
      <c r="F14" s="235" t="n"/>
      <c r="G14" s="236" t="n"/>
      <c r="H14" s="237">
        <f>H12+I12+H13</f>
        <v/>
      </c>
      <c r="I14" s="238" t="n"/>
      <c r="J14" s="12" t="n"/>
      <c r="K14" s="48" t="inlineStr">
        <is>
          <t>Diamond</t>
        </is>
      </c>
      <c r="L14" s="65">
        <f>M14/(E4+E5+E6+E7)</f>
        <v/>
      </c>
      <c r="M14" s="67">
        <f t="array" ref="M14">VLOOKUP($A$3,INDIRECT("'"&amp;$B$3&amp;"'!$A$2:$S$999"), 18, 0)</f>
        <v/>
      </c>
      <c r="N14" s="12" t="n"/>
      <c r="O14" s="66" t="inlineStr">
        <is>
          <t>Tax</t>
        </is>
      </c>
      <c r="P14" s="48" t="n"/>
      <c r="Q14" s="65">
        <f>(Q12+Q13)*0.02</f>
        <v/>
      </c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</row>
    <row r="15" ht="18.75" customHeight="1" s="220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48" t="inlineStr">
        <is>
          <t>net</t>
        </is>
      </c>
      <c r="L15" s="48" t="n"/>
      <c r="M15" s="67">
        <f>M14+M13+M12+M11+M10+M9</f>
        <v/>
      </c>
      <c r="N15" s="68" t="n"/>
      <c r="O15" s="48" t="inlineStr">
        <is>
          <t>Diamond</t>
        </is>
      </c>
      <c r="P15" s="65" t="n"/>
      <c r="Q15" s="67">
        <f>Q18-Q9-Q10-Q11-Q12-Q13-Q14</f>
        <v/>
      </c>
      <c r="R15" s="68">
        <f>Q15-M17</f>
        <v/>
      </c>
      <c r="S15" s="12" t="n"/>
      <c r="T15" s="12" t="n"/>
      <c r="U15" s="12" t="n"/>
      <c r="V15" s="12" t="n"/>
      <c r="W15" s="12" t="n"/>
      <c r="X15" s="12" t="n"/>
      <c r="Y15" s="12" t="n"/>
      <c r="Z15" s="12" t="n"/>
    </row>
    <row r="16" ht="18.75" customHeight="1" s="220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48" t="inlineStr">
        <is>
          <t>Discount</t>
        </is>
      </c>
      <c r="L16" s="48" t="n"/>
      <c r="M16" s="65">
        <f>M14*D1%</f>
        <v/>
      </c>
      <c r="N16" s="12" t="n"/>
      <c r="O16" s="48" t="inlineStr">
        <is>
          <t>net</t>
        </is>
      </c>
      <c r="P16" s="48" t="n"/>
      <c r="Q16" s="67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</row>
    <row r="17" ht="18.75" customHeight="1" s="220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57" t="inlineStr">
        <is>
          <t>Diamond Aft Disc</t>
        </is>
      </c>
      <c r="L17" s="12" t="n"/>
      <c r="M17" s="68">
        <f>M14-M16</f>
        <v/>
      </c>
      <c r="N17" s="12" t="n"/>
      <c r="O17" s="48" t="inlineStr">
        <is>
          <t>Discount</t>
        </is>
      </c>
      <c r="P17" s="48" t="n"/>
      <c r="Q17" s="65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</row>
    <row r="18" ht="18.75" customHeight="1" s="220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48" t="inlineStr">
        <is>
          <t>Grand Total</t>
        </is>
      </c>
      <c r="L18" s="48" t="n"/>
      <c r="M18" s="65">
        <f>M9+M10+M11+M12+M13+M14-M16</f>
        <v/>
      </c>
      <c r="N18" s="12" t="n"/>
      <c r="O18" s="48" t="inlineStr">
        <is>
          <t>Grand Total</t>
        </is>
      </c>
      <c r="P18" s="48" t="n"/>
      <c r="Q18" s="65">
        <f>M18</f>
        <v/>
      </c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</row>
    <row r="19" ht="18.75" customHeight="1" s="220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</row>
    <row r="20" ht="18.75" customHeight="1" s="2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</row>
    <row r="21" ht="18.75" customHeight="1" s="220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</row>
    <row r="22" ht="18.75" customHeight="1" s="220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</row>
    <row r="23" ht="18.75" customHeight="1" s="220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</row>
    <row r="24" ht="18.75" customHeight="1" s="220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</row>
    <row r="25" ht="18.75" customHeight="1" s="220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</row>
    <row r="26" ht="18.75" customHeight="1" s="220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</row>
    <row r="27" ht="18.75" customHeight="1" s="220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</row>
    <row r="28" ht="18.75" customHeight="1" s="220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</row>
    <row r="29" ht="18.75" customHeight="1" s="220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</row>
    <row r="30" ht="18.75" customHeight="1" s="22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</row>
    <row r="31" ht="18.75" customHeight="1" s="220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</row>
    <row r="32" ht="18.75" customHeight="1" s="220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</row>
    <row r="33" ht="18.75" customHeight="1" s="220">
      <c r="A33" s="12" t="n"/>
      <c r="B33" s="12" t="n"/>
      <c r="C33" s="12" t="n"/>
      <c r="D33" s="12" t="n"/>
      <c r="E33" s="12" t="n"/>
      <c r="F33" s="12" t="n"/>
      <c r="G33" s="12" t="n"/>
      <c r="H33" s="12" t="n"/>
      <c r="I33" s="90" t="n"/>
      <c r="J33" s="91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</row>
    <row r="34" ht="18.75" customHeight="1" s="220">
      <c r="A34" s="12" t="n"/>
      <c r="B34" s="12" t="n"/>
      <c r="C34" s="12" t="n"/>
      <c r="D34" s="12" t="n"/>
      <c r="E34" s="9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</row>
    <row r="35" ht="18.75" customHeight="1" s="220">
      <c r="A35" s="12" t="n"/>
      <c r="B35" s="12" t="n"/>
      <c r="C35" s="12" t="n"/>
      <c r="D35" s="12" t="n"/>
      <c r="F35" s="12" t="n"/>
      <c r="G35" s="12" t="n"/>
      <c r="H35" s="12" t="n"/>
      <c r="I35" s="93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</row>
    <row r="36" ht="18.75" customHeight="1" s="220">
      <c r="A36" s="12" t="n"/>
      <c r="B36" s="12" t="n"/>
      <c r="C36" s="12" t="n"/>
      <c r="D36" s="12" t="n"/>
      <c r="E36" s="92" t="n"/>
      <c r="F36" s="12" t="n"/>
      <c r="G36" s="12" t="n"/>
      <c r="H36" s="12" t="n"/>
      <c r="I36" s="12" t="n"/>
      <c r="J36" s="12" t="n"/>
      <c r="K36" s="94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</row>
    <row r="37" ht="18.75" customHeight="1" s="220">
      <c r="A37" s="12" t="n"/>
      <c r="B37" s="12" t="n"/>
      <c r="C37" s="12" t="n"/>
      <c r="D37" s="12" t="n"/>
      <c r="E37" s="12" t="n"/>
      <c r="F37" s="24" t="n"/>
      <c r="G37" s="24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</row>
    <row r="38" ht="18.75" customHeight="1" s="220">
      <c r="A38" s="12" t="n"/>
      <c r="B38" s="12" t="n"/>
      <c r="C38" s="12" t="n"/>
      <c r="D38" s="12" t="n"/>
      <c r="E38" s="12" t="n"/>
      <c r="F38" s="24" t="n"/>
      <c r="G38" s="24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</row>
    <row r="39" ht="18.75" customHeight="1" s="220">
      <c r="A39" s="12" t="n"/>
      <c r="B39" s="12" t="n"/>
      <c r="C39" s="12" t="n"/>
      <c r="D39" s="12" t="n"/>
      <c r="E39" s="12" t="n"/>
      <c r="F39" s="24" t="n"/>
      <c r="G39" s="24" t="n"/>
      <c r="H39" s="12" t="n"/>
      <c r="I39" s="12" t="n"/>
      <c r="J39" s="12" t="n"/>
      <c r="K39" s="93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</row>
    <row r="40" ht="18.75" customHeight="1" s="220">
      <c r="A40" s="12" t="n"/>
      <c r="B40" s="12" t="n"/>
      <c r="C40" s="12" t="n"/>
      <c r="D40" s="12" t="n"/>
      <c r="E40" s="12" t="n"/>
      <c r="F40" s="24" t="n"/>
      <c r="G40" s="24" t="n"/>
      <c r="H40" s="12" t="n"/>
      <c r="I40" s="12" t="n"/>
      <c r="J40" s="12" t="n"/>
      <c r="K40" s="93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</row>
    <row r="41" ht="18.75" customHeight="1" s="220">
      <c r="A41" s="12" t="n"/>
      <c r="B41" s="12" t="n"/>
      <c r="C41" s="12" t="n"/>
      <c r="D41" s="12" t="n"/>
      <c r="E41" s="12" t="n"/>
      <c r="F41" s="24" t="n"/>
      <c r="G41" s="24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</row>
    <row r="42" ht="18.75" customHeight="1" s="220">
      <c r="A42" s="12" t="n"/>
      <c r="B42" s="12" t="n"/>
      <c r="C42" s="12" t="n"/>
      <c r="D42" s="12" t="n"/>
      <c r="E42" s="12" t="n"/>
      <c r="F42" s="24" t="n"/>
      <c r="G42" s="24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</row>
    <row r="43" ht="18.75" customHeight="1" s="220">
      <c r="A43" s="12" t="n"/>
      <c r="B43" s="12" t="n"/>
      <c r="C43" s="12" t="n"/>
      <c r="D43" s="12" t="n"/>
      <c r="E43" s="12" t="n"/>
      <c r="F43" s="24" t="n"/>
      <c r="G43" s="24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</row>
    <row r="44" ht="18.75" customHeight="1" s="220">
      <c r="A44" s="12" t="n"/>
      <c r="B44" s="12" t="n"/>
      <c r="C44" s="12" t="n"/>
      <c r="D44" s="12" t="n"/>
      <c r="E44" s="95" t="n"/>
      <c r="F44" s="24" t="n"/>
      <c r="G44" s="12" t="n"/>
      <c r="H44" s="12" t="n"/>
      <c r="I44" s="12" t="n"/>
      <c r="J44" s="96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</row>
    <row r="45" ht="18.75" customHeight="1" s="220">
      <c r="A45" s="12" t="n"/>
      <c r="B45" s="12" t="n"/>
      <c r="C45" s="12" t="n"/>
      <c r="D45" s="12" t="n"/>
      <c r="E45" s="97" t="n"/>
      <c r="F45" s="24" t="n"/>
      <c r="G45" s="12" t="n"/>
      <c r="H45" s="12" t="n"/>
      <c r="I45" s="12" t="n"/>
      <c r="J45" s="96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</row>
    <row r="46" ht="18.75" customHeight="1" s="220">
      <c r="A46" s="12" t="n"/>
      <c r="B46" s="12" t="n"/>
      <c r="C46" s="12" t="n"/>
      <c r="D46" s="12" t="n"/>
      <c r="E46" s="95" t="n"/>
      <c r="F46" s="24" t="n"/>
      <c r="G46" s="12" t="n"/>
      <c r="H46" s="12" t="n"/>
      <c r="I46" s="12" t="n"/>
      <c r="J46" s="96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</row>
    <row r="47" ht="18.75" customHeight="1" s="220">
      <c r="A47" s="12" t="n"/>
      <c r="B47" s="12" t="n"/>
      <c r="C47" s="12" t="n"/>
      <c r="D47" s="12" t="n"/>
      <c r="E47" s="95" t="n"/>
      <c r="F47" s="24" t="n"/>
      <c r="G47" s="12" t="n"/>
      <c r="H47" s="12" t="n"/>
      <c r="I47" s="12" t="n"/>
      <c r="J47" s="95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</row>
    <row r="48" ht="18.75" customHeight="1" s="220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</row>
    <row r="49" ht="18.75" customHeight="1" s="220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</row>
    <row r="50" ht="18.75" customHeight="1" s="22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</row>
    <row r="51" ht="18.75" customHeight="1" s="220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</row>
    <row r="52" ht="18.75" customHeight="1" s="220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68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</row>
    <row r="53" ht="18.75" customHeight="1" s="220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</row>
    <row r="54" ht="18.75" customHeight="1" s="220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</row>
    <row r="55" ht="18.75" customHeight="1" s="220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</row>
    <row r="56" ht="18.75" customHeight="1" s="220">
      <c r="A56" s="12" t="n"/>
      <c r="B56" s="12" t="n"/>
      <c r="C56" s="12" t="n"/>
      <c r="D56" s="12" t="n"/>
      <c r="E56" s="12" t="n"/>
      <c r="F56" s="12" t="n"/>
      <c r="G56" s="12" t="n"/>
      <c r="H56" s="95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</row>
    <row r="57" ht="18.75" customHeight="1" s="220">
      <c r="A57" s="12" t="n"/>
      <c r="B57" s="12" t="n"/>
      <c r="C57" s="12" t="n"/>
      <c r="D57" s="12" t="n"/>
      <c r="E57" s="12" t="n"/>
      <c r="F57" s="12" t="n"/>
      <c r="G57" s="12" t="n"/>
      <c r="H57" s="95" t="n"/>
      <c r="I57" s="98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</row>
    <row r="58" ht="18.75" customHeight="1" s="220">
      <c r="A58" s="12" t="n"/>
      <c r="B58" s="12" t="n"/>
      <c r="C58" s="12" t="n"/>
      <c r="D58" s="12" t="n"/>
      <c r="E58" s="12" t="n"/>
      <c r="F58" s="12" t="n"/>
      <c r="G58" s="12" t="n"/>
      <c r="H58" s="95" t="n"/>
      <c r="I58" s="98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</row>
    <row r="59" ht="18.75" customHeight="1" s="220">
      <c r="A59" s="12" t="n"/>
      <c r="B59" s="12" t="n"/>
      <c r="C59" s="12" t="n"/>
      <c r="D59" s="12" t="n"/>
      <c r="E59" s="12" t="n"/>
      <c r="F59" s="12" t="n"/>
      <c r="G59" s="12" t="n"/>
      <c r="H59" s="95" t="n"/>
      <c r="I59" s="98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</row>
    <row r="60" ht="18.75" customHeight="1" s="220">
      <c r="A60" s="12" t="n"/>
      <c r="B60" s="12" t="n"/>
      <c r="C60" s="12" t="n"/>
      <c r="D60" s="12" t="n"/>
      <c r="E60" s="12" t="n"/>
      <c r="F60" s="12" t="n"/>
      <c r="G60" s="12" t="n"/>
      <c r="H60" s="95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</row>
    <row r="61" ht="18.75" customHeight="1" s="220">
      <c r="A61" s="12" t="n"/>
      <c r="B61" s="12" t="n"/>
      <c r="C61" s="12" t="n"/>
      <c r="D61" s="12" t="n"/>
      <c r="E61" s="12" t="n"/>
      <c r="F61" s="12" t="n"/>
      <c r="G61" s="12" t="n"/>
      <c r="H61" s="95" t="n"/>
      <c r="I61" s="98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</row>
    <row r="62" ht="18.75" customHeight="1" s="220">
      <c r="A62" s="12" t="n"/>
      <c r="B62" s="12" t="n"/>
      <c r="C62" s="12" t="n"/>
      <c r="D62" s="12" t="n"/>
      <c r="E62" s="12" t="n"/>
      <c r="F62" s="12" t="n"/>
      <c r="G62" s="12" t="n"/>
      <c r="H62" s="95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</row>
    <row r="63" ht="18.75" customHeight="1" s="220">
      <c r="A63" s="12" t="n"/>
      <c r="B63" s="12" t="n"/>
      <c r="C63" s="12" t="n"/>
      <c r="D63" s="12" t="n"/>
      <c r="E63" s="12" t="n"/>
      <c r="F63" s="12" t="n"/>
      <c r="G63" s="12" t="n"/>
      <c r="H63" s="95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</row>
    <row r="64" ht="18.75" customHeight="1" s="220">
      <c r="A64" s="12" t="n"/>
      <c r="B64" s="12" t="n"/>
      <c r="C64" s="12" t="n"/>
      <c r="D64" s="12" t="n"/>
      <c r="E64" s="12" t="n"/>
      <c r="F64" s="12" t="n"/>
      <c r="G64" s="12" t="n"/>
      <c r="H64" s="95" t="n"/>
      <c r="I64" s="98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</row>
    <row r="65" ht="18.75" customHeight="1" s="220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</row>
    <row r="66" ht="18.75" customHeight="1" s="220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</row>
    <row r="67" ht="18.75" customHeight="1" s="220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</row>
    <row r="68" ht="18.75" customHeight="1" s="220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</row>
    <row r="69" ht="18.75" customHeight="1" s="220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</row>
    <row r="70" ht="18.75" customHeight="1" s="22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</row>
    <row r="71" ht="18.75" customHeight="1" s="220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</row>
    <row r="72" ht="18.75" customHeight="1" s="220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</row>
    <row r="73" ht="18.75" customHeight="1" s="220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</row>
    <row r="74" ht="18.75" customHeight="1" s="220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</row>
    <row r="75" ht="18.75" customHeight="1" s="220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</row>
    <row r="76" ht="18.75" customHeight="1" s="220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</row>
    <row r="77" ht="18.75" customHeight="1" s="220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</row>
    <row r="78" ht="18.75" customHeight="1" s="220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</row>
    <row r="79" ht="18.75" customHeight="1" s="220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</row>
    <row r="80" ht="18.75" customHeight="1" s="22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</row>
    <row r="81" ht="18.75" customHeight="1" s="220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</row>
    <row r="82" ht="18.75" customHeight="1" s="220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</row>
    <row r="83" ht="18.75" customHeight="1" s="220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</row>
    <row r="84" ht="18.75" customHeight="1" s="220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</row>
    <row r="85" ht="18.75" customHeight="1" s="220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</row>
    <row r="86" ht="18.75" customHeight="1" s="220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</row>
    <row r="87" ht="18.75" customHeight="1" s="220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</row>
    <row r="88" ht="18.75" customHeight="1" s="220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</row>
    <row r="89" ht="18.75" customHeight="1" s="220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</row>
    <row r="90" ht="18.75" customHeight="1" s="22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</row>
    <row r="91" ht="18.75" customHeight="1" s="220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</row>
    <row r="92" ht="18.75" customHeight="1" s="220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</row>
    <row r="93" ht="18.75" customHeight="1" s="220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</row>
    <row r="94" ht="18.75" customHeight="1" s="220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</row>
    <row r="95" ht="18.75" customHeight="1" s="220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</row>
    <row r="96" ht="18.75" customHeight="1" s="220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</row>
    <row r="97" ht="18.75" customHeight="1" s="220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</row>
    <row r="98" ht="18.75" customHeight="1" s="220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</row>
    <row r="99" ht="18.75" customHeight="1" s="220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</row>
    <row r="100" ht="18.75" customHeight="1" s="22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</row>
    <row r="101" ht="18.75" customHeight="1" s="220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</row>
    <row r="102" ht="18.75" customHeight="1" s="220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</row>
    <row r="103" ht="18.75" customHeight="1" s="220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</row>
    <row r="104" ht="18.75" customHeight="1" s="220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</row>
    <row r="105" ht="18.75" customHeight="1" s="220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</row>
    <row r="106" ht="18.75" customHeight="1" s="220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</row>
    <row r="107" ht="18.75" customHeight="1" s="220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</row>
    <row r="108" ht="18.75" customHeight="1" s="220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</row>
    <row r="109" ht="18.75" customHeight="1" s="220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</row>
    <row r="110" ht="18.75" customHeight="1" s="22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</row>
    <row r="111" ht="18.75" customHeight="1" s="220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</row>
    <row r="112" ht="18.75" customHeight="1" s="220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</row>
    <row r="113" ht="18.75" customHeight="1" s="220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</row>
    <row r="114" ht="18.75" customHeight="1" s="220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</row>
    <row r="115" ht="18.75" customHeight="1" s="220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</row>
    <row r="116" ht="18.75" customHeight="1" s="220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</row>
    <row r="117" ht="18.75" customHeight="1" s="220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</row>
    <row r="118" ht="18.75" customHeight="1" s="220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</row>
    <row r="119" ht="18.75" customHeight="1" s="220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</row>
    <row r="120" ht="18.75" customHeight="1" s="2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</row>
    <row r="121" ht="18.75" customHeight="1" s="220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</row>
    <row r="122" ht="18.75" customHeight="1" s="220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</row>
    <row r="123" ht="18.75" customHeight="1" s="220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</row>
    <row r="124" ht="18.75" customHeight="1" s="220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</row>
    <row r="125" ht="18.75" customHeight="1" s="220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</row>
    <row r="126" ht="18.75" customHeight="1" s="220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</row>
    <row r="127" ht="18.75" customHeight="1" s="220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</row>
    <row r="128" ht="18.75" customHeight="1" s="220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</row>
    <row r="129" ht="18.75" customHeight="1" s="220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</row>
    <row r="130" ht="18.75" customHeight="1" s="22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</row>
    <row r="131" ht="18.75" customHeight="1" s="220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</row>
    <row r="132" ht="18.75" customHeight="1" s="220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</row>
    <row r="133" ht="18.75" customHeight="1" s="220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</row>
    <row r="134" ht="18.75" customHeight="1" s="220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</row>
    <row r="135" ht="18.75" customHeight="1" s="220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</row>
    <row r="136" ht="18.75" customHeight="1" s="220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</row>
    <row r="137" ht="18.75" customHeight="1" s="220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</row>
    <row r="138" ht="18.75" customHeight="1" s="220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</row>
    <row r="139" ht="18.75" customHeight="1" s="220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</row>
    <row r="140" ht="18.75" customHeight="1" s="22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</row>
    <row r="141" ht="18.75" customHeight="1" s="220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</row>
    <row r="142" ht="18.75" customHeight="1" s="220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</row>
    <row r="143" ht="18.75" customHeight="1" s="220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</row>
    <row r="144" ht="18.75" customHeight="1" s="220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</row>
    <row r="145" ht="18.75" customHeight="1" s="220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</row>
    <row r="146" ht="18.75" customHeight="1" s="220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</row>
    <row r="147" ht="18.75" customHeight="1" s="220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</row>
    <row r="148" ht="18.75" customHeight="1" s="220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</row>
    <row r="149" ht="18.75" customHeight="1" s="220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</row>
    <row r="150" ht="18.75" customHeight="1" s="22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</row>
    <row r="151" ht="18.75" customHeight="1" s="220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</row>
    <row r="152" ht="18.75" customHeight="1" s="220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</row>
    <row r="153" ht="18.75" customHeight="1" s="220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</row>
    <row r="154" ht="18.75" customHeight="1" s="220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</row>
    <row r="155" ht="18.75" customHeight="1" s="220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</row>
    <row r="156" ht="18.75" customHeight="1" s="220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</row>
    <row r="157" ht="18.75" customHeight="1" s="220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</row>
    <row r="158" ht="18.75" customHeight="1" s="220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</row>
    <row r="159" ht="18.75" customHeight="1" s="220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</row>
    <row r="160" ht="18.75" customHeight="1" s="22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</row>
    <row r="161" ht="18.75" customHeight="1" s="220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</row>
    <row r="162" ht="18.75" customHeight="1" s="220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</row>
    <row r="163" ht="18.75" customHeight="1" s="220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</row>
    <row r="164" ht="18.75" customHeight="1" s="220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</row>
    <row r="165" ht="18.75" customHeight="1" s="220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</row>
    <row r="166" ht="18.75" customHeight="1" s="220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</row>
    <row r="167" ht="18.75" customHeight="1" s="220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</row>
    <row r="168" ht="18.75" customHeight="1" s="220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</row>
    <row r="169" ht="18.75" customHeight="1" s="220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</row>
    <row r="170" ht="18.75" customHeight="1" s="22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</row>
    <row r="171" ht="18.75" customHeight="1" s="220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</row>
    <row r="172" ht="18.75" customHeight="1" s="220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</row>
    <row r="173" ht="18.75" customHeight="1" s="220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</row>
    <row r="174" ht="18.75" customHeight="1" s="220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</row>
    <row r="175" ht="18.75" customHeight="1" s="220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</row>
    <row r="176" ht="18.75" customHeight="1" s="220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</row>
    <row r="177" ht="18.75" customHeight="1" s="220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</row>
    <row r="178" ht="18.75" customHeight="1" s="220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</row>
    <row r="179" ht="18.75" customHeight="1" s="220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</row>
    <row r="180" ht="18.75" customHeight="1" s="22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</row>
    <row r="181" ht="18.75" customHeight="1" s="220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</row>
    <row r="182" ht="18.75" customHeight="1" s="220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</row>
    <row r="183" ht="18.75" customHeight="1" s="220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</row>
    <row r="184" ht="18.75" customHeight="1" s="220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</row>
    <row r="185" ht="18.75" customHeight="1" s="220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</row>
    <row r="186" ht="18.75" customHeight="1" s="220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</row>
    <row r="187" ht="18.75" customHeight="1" s="220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</row>
    <row r="188" ht="18.75" customHeight="1" s="220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</row>
    <row r="189" ht="18.75" customHeight="1" s="220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</row>
    <row r="190" ht="18.75" customHeight="1" s="22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</row>
    <row r="191" ht="18.75" customHeight="1" s="220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</row>
    <row r="192" ht="18.75" customHeight="1" s="220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</row>
    <row r="193" ht="18.75" customHeight="1" s="220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</row>
    <row r="194" ht="18.75" customHeight="1" s="220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</row>
    <row r="195" ht="18.75" customHeight="1" s="220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</row>
    <row r="196" ht="18.75" customHeight="1" s="220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</row>
    <row r="197" ht="18.75" customHeight="1" s="220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</row>
    <row r="198" ht="18.75" customHeight="1" s="220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</row>
    <row r="199" ht="18.75" customHeight="1" s="220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</row>
    <row r="200" ht="18.75" customHeight="1" s="22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</row>
    <row r="201" ht="18.75" customHeight="1" s="220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</row>
    <row r="202" ht="18.75" customHeight="1" s="220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</row>
    <row r="203" ht="18.75" customHeight="1" s="220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</row>
    <row r="204" ht="18.75" customHeight="1" s="220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</row>
    <row r="205" ht="18.75" customHeight="1" s="220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</row>
    <row r="206" ht="18.75" customHeight="1" s="220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</row>
    <row r="207" ht="18.75" customHeight="1" s="220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</row>
    <row r="208" ht="18.75" customHeight="1" s="220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</row>
    <row r="209" ht="18.75" customHeight="1" s="220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</row>
    <row r="210" ht="18.75" customHeight="1" s="22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</row>
    <row r="211" ht="18.75" customHeight="1" s="220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</row>
    <row r="212" ht="18.75" customHeight="1" s="220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</row>
    <row r="213" ht="18.75" customHeight="1" s="220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</row>
    <row r="214" ht="18.75" customHeight="1" s="220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</row>
    <row r="215" ht="18.75" customHeight="1" s="220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</row>
    <row r="216" ht="18.75" customHeight="1" s="220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</row>
    <row r="217" ht="18.75" customHeight="1" s="220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</row>
    <row r="218" ht="18.75" customHeight="1" s="220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</row>
    <row r="219" ht="18.75" customHeight="1" s="220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</row>
    <row r="220" ht="18.75" customHeight="1" s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</row>
    <row r="221" ht="15.75" customHeight="1" s="220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</row>
    <row r="222" ht="15.75" customHeight="1" s="220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</row>
    <row r="223" ht="15.75" customHeight="1" s="220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</row>
    <row r="224" ht="15.75" customHeight="1" s="220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</row>
    <row r="225" ht="15.75" customHeight="1" s="220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</row>
    <row r="226" ht="15.75" customHeight="1" s="220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</row>
    <row r="227" ht="15.75" customHeight="1" s="220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</row>
    <row r="228" ht="15.75" customHeight="1" s="220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</row>
    <row r="229" ht="15.75" customHeight="1" s="220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</row>
    <row r="230" ht="15.75" customHeight="1" s="22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</row>
    <row r="231" ht="15.75" customHeight="1" s="220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</row>
    <row r="232" ht="15.75" customHeight="1" s="220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</row>
    <row r="233" ht="15.75" customHeight="1" s="220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</row>
    <row r="234" ht="15.75" customHeight="1" s="220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</row>
    <row r="235" ht="15.75" customHeight="1" s="220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</row>
    <row r="236" ht="15.75" customHeight="1" s="220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</row>
    <row r="237" ht="15.75" customHeight="1" s="220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</row>
    <row r="238" ht="15.75" customHeight="1" s="220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</row>
    <row r="239" ht="15.75" customHeight="1" s="220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</row>
    <row r="240" ht="15.75" customHeight="1" s="22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</row>
    <row r="241" ht="15.75" customHeight="1" s="220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</row>
    <row r="242" ht="15.75" customHeight="1" s="220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</row>
    <row r="243" ht="15.75" customHeight="1" s="220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</row>
    <row r="244" ht="15.75" customHeight="1" s="220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</row>
    <row r="245" ht="15.75" customHeight="1" s="220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</row>
    <row r="246" ht="15.75" customHeight="1" s="220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</row>
    <row r="247" ht="15.75" customHeight="1" s="220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</row>
    <row r="248" ht="15.75" customHeight="1" s="220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</row>
    <row r="249" ht="15.75" customHeight="1" s="220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</row>
    <row r="250" ht="15.75" customHeight="1" s="22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</row>
    <row r="251" ht="15.75" customHeight="1" s="220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</row>
    <row r="252" ht="15.75" customHeight="1" s="220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</row>
    <row r="253" ht="15.75" customHeight="1" s="220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</row>
    <row r="254" ht="15.75" customHeight="1" s="220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</row>
    <row r="255" ht="15.75" customHeight="1" s="220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</row>
    <row r="256" ht="15.75" customHeight="1" s="220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</row>
    <row r="257" ht="15.75" customHeight="1" s="220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</row>
    <row r="258" ht="15.75" customHeight="1" s="220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</row>
    <row r="259" ht="15.75" customHeight="1" s="220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</row>
    <row r="260" ht="15.75" customHeight="1" s="22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</row>
    <row r="261" ht="15.75" customHeight="1" s="220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</row>
    <row r="262" ht="15.75" customHeight="1" s="220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</row>
    <row r="263" ht="15.75" customHeight="1" s="220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</row>
    <row r="264" ht="15.75" customHeight="1" s="220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</row>
    <row r="265" ht="15.75" customHeight="1" s="220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</row>
    <row r="266" ht="15.75" customHeight="1" s="220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</row>
    <row r="267" ht="15.75" customHeight="1" s="220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</row>
    <row r="268" ht="15.75" customHeight="1" s="220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</row>
    <row r="269" ht="15.75" customHeight="1" s="220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</row>
    <row r="270" ht="15.75" customHeight="1" s="22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</row>
    <row r="271" ht="15.75" customHeight="1" s="220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</row>
    <row r="272" ht="15.75" customHeight="1" s="220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</row>
    <row r="273" ht="15.75" customHeight="1" s="220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</row>
    <row r="274" ht="15.75" customHeight="1" s="220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</row>
    <row r="275" ht="15.75" customHeight="1" s="220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</row>
    <row r="276" ht="15.75" customHeight="1" s="220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</row>
    <row r="277" ht="15.75" customHeight="1" s="220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</row>
    <row r="278" ht="15.75" customHeight="1" s="220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</row>
    <row r="279" ht="15.75" customHeight="1" s="220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</row>
    <row r="280" ht="15.75" customHeight="1" s="22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</row>
    <row r="281" ht="15.75" customHeight="1" s="220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</row>
    <row r="282" ht="15.75" customHeight="1" s="220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</row>
    <row r="283" ht="15.75" customHeight="1" s="220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</row>
    <row r="284" ht="15.75" customHeight="1" s="220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</row>
    <row r="285" ht="15.75" customHeight="1" s="220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</row>
    <row r="286" ht="15.75" customHeight="1" s="220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</row>
    <row r="287" ht="15.75" customHeight="1" s="220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</row>
    <row r="288" ht="15.75" customHeight="1" s="220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</row>
    <row r="289" ht="15.75" customHeight="1" s="220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</row>
    <row r="290" ht="15.75" customHeight="1" s="22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</row>
    <row r="291" ht="15.75" customHeight="1" s="220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</row>
    <row r="292" ht="15.75" customHeight="1" s="220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</row>
    <row r="293" ht="15.75" customHeight="1" s="220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</row>
    <row r="294" ht="15.75" customHeight="1" s="220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</row>
    <row r="295" ht="15.75" customHeight="1" s="220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</row>
    <row r="296" ht="15.75" customHeight="1" s="220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</row>
    <row r="297" ht="15.75" customHeight="1" s="220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</row>
    <row r="298" ht="15.75" customHeight="1" s="220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</row>
    <row r="299" ht="15.75" customHeight="1" s="220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</row>
    <row r="300" ht="15.75" customHeight="1" s="22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</row>
    <row r="301" ht="15.75" customHeight="1" s="220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</row>
    <row r="302" ht="15.75" customHeight="1" s="220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</row>
    <row r="303" ht="15.75" customHeight="1" s="220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</row>
    <row r="304" ht="15.75" customHeight="1" s="220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</row>
    <row r="305" ht="15.75" customHeight="1" s="220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</row>
    <row r="306" ht="15.75" customHeight="1" s="220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</row>
    <row r="307" ht="15.75" customHeight="1" s="220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</row>
    <row r="308" ht="15.75" customHeight="1" s="220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</row>
    <row r="309" ht="15.75" customHeight="1" s="220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</row>
    <row r="310" ht="15.75" customHeight="1" s="22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</row>
    <row r="311" ht="15.75" customHeight="1" s="220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</row>
    <row r="312" ht="15.75" customHeight="1" s="220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</row>
    <row r="313" ht="15.75" customHeight="1" s="220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</row>
    <row r="314" ht="15.75" customHeight="1" s="220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</row>
    <row r="315" ht="15.75" customHeight="1" s="220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</row>
    <row r="316" ht="15.75" customHeight="1" s="220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</row>
    <row r="317" ht="15.75" customHeight="1" s="220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</row>
    <row r="318" ht="15.75" customHeight="1" s="220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</row>
    <row r="319" ht="15.75" customHeight="1" s="220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</row>
    <row r="320" ht="15.75" customHeight="1" s="2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</row>
    <row r="321" ht="15.75" customHeight="1" s="220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</row>
    <row r="322" ht="15.75" customHeight="1" s="220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</row>
    <row r="323" ht="15.75" customHeight="1" s="220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</row>
    <row r="324" ht="15.75" customHeight="1" s="220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</row>
    <row r="325" ht="15.75" customHeight="1" s="220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</row>
    <row r="326" ht="15.75" customHeight="1" s="220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</row>
    <row r="327" ht="15.75" customHeight="1" s="220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</row>
    <row r="328" ht="15.75" customHeight="1" s="220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</row>
    <row r="329" ht="15.75" customHeight="1" s="220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</row>
    <row r="330" ht="15.75" customHeight="1" s="22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</row>
    <row r="331" ht="15.75" customHeight="1" s="220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</row>
    <row r="332" ht="15.75" customHeight="1" s="220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</row>
    <row r="333" ht="15.75" customHeight="1" s="220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</row>
    <row r="334" ht="15.75" customHeight="1" s="220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</row>
    <row r="335" ht="15.75" customHeight="1" s="220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</row>
    <row r="336" ht="15.75" customHeight="1" s="220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</row>
    <row r="337" ht="15.75" customHeight="1" s="220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</row>
    <row r="338" ht="15.75" customHeight="1" s="220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</row>
    <row r="339" ht="15.75" customHeight="1" s="220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</row>
    <row r="340" ht="15.75" customHeight="1" s="22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</row>
    <row r="341" ht="15.75" customHeight="1" s="220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</row>
    <row r="342" ht="15.75" customHeight="1" s="220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</row>
    <row r="343" ht="15.75" customHeight="1" s="220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</row>
    <row r="344" ht="15.75" customHeight="1" s="220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</row>
    <row r="345" ht="15.75" customHeight="1" s="220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</row>
    <row r="346" ht="15.75" customHeight="1" s="220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</row>
    <row r="347" ht="15.75" customHeight="1" s="220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</row>
    <row r="348" ht="15.75" customHeight="1" s="220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</row>
    <row r="349" ht="15.75" customHeight="1" s="220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</row>
    <row r="350" ht="15.75" customHeight="1" s="22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</row>
    <row r="351" ht="15.75" customHeight="1" s="220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</row>
    <row r="352" ht="15.75" customHeight="1" s="220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</row>
    <row r="353" ht="15.75" customHeight="1" s="220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</row>
    <row r="354" ht="15.75" customHeight="1" s="220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</row>
    <row r="355" ht="15.75" customHeight="1" s="220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</row>
    <row r="356" ht="15.75" customHeight="1" s="220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</row>
    <row r="357" ht="15.75" customHeight="1" s="220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</row>
    <row r="358" ht="15.75" customHeight="1" s="220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</row>
    <row r="359" ht="15.75" customHeight="1" s="220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</row>
    <row r="360" ht="15.75" customHeight="1" s="22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</row>
    <row r="361" ht="15.75" customHeight="1" s="220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</row>
    <row r="362" ht="15.75" customHeight="1" s="220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</row>
    <row r="363" ht="15.75" customHeight="1" s="220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</row>
    <row r="364" ht="15.75" customHeight="1" s="220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</row>
    <row r="365" ht="15.75" customHeight="1" s="220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</row>
    <row r="366" ht="15.75" customHeight="1" s="220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</row>
    <row r="367" ht="15.75" customHeight="1" s="220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</row>
    <row r="368" ht="15.75" customHeight="1" s="220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</row>
    <row r="369" ht="15.75" customHeight="1" s="220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</row>
    <row r="370" ht="15.75" customHeight="1" s="22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</row>
    <row r="371" ht="15.75" customHeight="1" s="220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</row>
    <row r="372" ht="15.75" customHeight="1" s="220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</row>
    <row r="373" ht="15.75" customHeight="1" s="220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</row>
    <row r="374" ht="15.75" customHeight="1" s="220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</row>
    <row r="375" ht="15.75" customHeight="1" s="220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</row>
    <row r="376" ht="15.75" customHeight="1" s="220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</row>
    <row r="377" ht="15.75" customHeight="1" s="220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</row>
    <row r="378" ht="15.75" customHeight="1" s="220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</row>
    <row r="379" ht="15.75" customHeight="1" s="220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</row>
    <row r="380" ht="15.75" customHeight="1" s="22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</row>
    <row r="381" ht="15.75" customHeight="1" s="220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</row>
    <row r="382" ht="15.75" customHeight="1" s="220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</row>
    <row r="383" ht="15.75" customHeight="1" s="220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</row>
    <row r="384" ht="15.75" customHeight="1" s="220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</row>
    <row r="385" ht="15.75" customHeight="1" s="220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</row>
    <row r="386" ht="15.75" customHeight="1" s="220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</row>
    <row r="387" ht="15.75" customHeight="1" s="220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</row>
    <row r="388" ht="15.75" customHeight="1" s="220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</row>
    <row r="389" ht="15.75" customHeight="1" s="220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</row>
    <row r="390" ht="15.75" customHeight="1" s="22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</row>
    <row r="391" ht="15.75" customHeight="1" s="220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</row>
    <row r="392" ht="15.75" customHeight="1" s="220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</row>
    <row r="393" ht="15.75" customHeight="1" s="220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</row>
    <row r="394" ht="15.75" customHeight="1" s="220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</row>
    <row r="395" ht="15.75" customHeight="1" s="220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</row>
    <row r="396" ht="15.75" customHeight="1" s="220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</row>
    <row r="397" ht="15.75" customHeight="1" s="220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</row>
    <row r="398" ht="15.75" customHeight="1" s="220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</row>
    <row r="399" ht="15.75" customHeight="1" s="220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</row>
    <row r="400" ht="15.75" customHeight="1" s="22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</row>
    <row r="401" ht="15.75" customHeight="1" s="220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</row>
    <row r="402" ht="15.75" customHeight="1" s="220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</row>
    <row r="403" ht="15.75" customHeight="1" s="220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</row>
    <row r="404" ht="15.75" customHeight="1" s="220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</row>
    <row r="405" ht="15.75" customHeight="1" s="220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</row>
    <row r="406" ht="15.75" customHeight="1" s="220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</row>
    <row r="407" ht="15.75" customHeight="1" s="220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</row>
    <row r="408" ht="15.75" customHeight="1" s="220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</row>
    <row r="409" ht="15.75" customHeight="1" s="220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</row>
    <row r="410" ht="15.75" customHeight="1" s="22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</row>
    <row r="411" ht="15.75" customHeight="1" s="220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</row>
    <row r="412" ht="15.75" customHeight="1" s="220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</row>
    <row r="413" ht="15.75" customHeight="1" s="220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</row>
    <row r="414" ht="15.75" customHeight="1" s="220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</row>
    <row r="415" ht="15.75" customHeight="1" s="220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</row>
    <row r="416" ht="15.75" customHeight="1" s="220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</row>
    <row r="417" ht="15.75" customHeight="1" s="220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</row>
    <row r="418" ht="15.75" customHeight="1" s="220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</row>
    <row r="419" ht="15.75" customHeight="1" s="220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</row>
    <row r="420" ht="15.75" customHeight="1" s="2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</row>
    <row r="421" ht="15.75" customHeight="1" s="220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</row>
    <row r="422" ht="15.75" customHeight="1" s="220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</row>
    <row r="423" ht="15.75" customHeight="1" s="220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</row>
    <row r="424" ht="15.75" customHeight="1" s="220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</row>
    <row r="425" ht="15.75" customHeight="1" s="220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</row>
    <row r="426" ht="15.75" customHeight="1" s="220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</row>
    <row r="427" ht="15.75" customHeight="1" s="220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</row>
    <row r="428" ht="15.75" customHeight="1" s="220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</row>
    <row r="429" ht="15.75" customHeight="1" s="220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</row>
    <row r="430" ht="15.75" customHeight="1" s="22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</row>
    <row r="431" ht="15.75" customHeight="1" s="220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</row>
    <row r="432" ht="15.75" customHeight="1" s="220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</row>
    <row r="433" ht="15.75" customHeight="1" s="220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</row>
    <row r="434" ht="15.75" customHeight="1" s="220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</row>
    <row r="435" ht="15.75" customHeight="1" s="220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</row>
    <row r="436" ht="15.75" customHeight="1" s="220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</row>
    <row r="437" ht="15.75" customHeight="1" s="220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</row>
    <row r="438" ht="15.75" customHeight="1" s="220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</row>
    <row r="439" ht="15.75" customHeight="1" s="220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</row>
    <row r="440" ht="15.75" customHeight="1" s="22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</row>
    <row r="441" ht="15.75" customHeight="1" s="220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</row>
    <row r="442" ht="15.75" customHeight="1" s="220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</row>
    <row r="443" ht="15.75" customHeight="1" s="220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</row>
    <row r="444" ht="15.75" customHeight="1" s="220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</row>
    <row r="445" ht="15.75" customHeight="1" s="220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</row>
    <row r="446" ht="15.75" customHeight="1" s="220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</row>
    <row r="447" ht="15.75" customHeight="1" s="220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</row>
    <row r="448" ht="15.75" customHeight="1" s="220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</row>
    <row r="449" ht="15.75" customHeight="1" s="220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</row>
    <row r="450" ht="15.75" customHeight="1" s="22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</row>
    <row r="451" ht="15.75" customHeight="1" s="220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</row>
    <row r="452" ht="15.75" customHeight="1" s="220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</row>
    <row r="453" ht="15.75" customHeight="1" s="220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</row>
    <row r="454" ht="15.75" customHeight="1" s="220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</row>
    <row r="455" ht="15.75" customHeight="1" s="220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</row>
    <row r="456" ht="15.75" customHeight="1" s="220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</row>
    <row r="457" ht="15.75" customHeight="1" s="220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</row>
    <row r="458" ht="15.75" customHeight="1" s="220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</row>
    <row r="459" ht="15.75" customHeight="1" s="220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</row>
    <row r="460" ht="15.75" customHeight="1" s="22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</row>
    <row r="461" ht="15.75" customHeight="1" s="220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</row>
    <row r="462" ht="15.75" customHeight="1" s="220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</row>
    <row r="463" ht="15.75" customHeight="1" s="220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</row>
    <row r="464" ht="15.75" customHeight="1" s="220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</row>
    <row r="465" ht="15.75" customHeight="1" s="220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</row>
    <row r="466" ht="15.75" customHeight="1" s="220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</row>
    <row r="467" ht="15.75" customHeight="1" s="220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</row>
    <row r="468" ht="15.75" customHeight="1" s="220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</row>
    <row r="469" ht="15.75" customHeight="1" s="220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</row>
    <row r="470" ht="15.75" customHeight="1" s="22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</row>
    <row r="471" ht="15.75" customHeight="1" s="220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</row>
    <row r="472" ht="15.75" customHeight="1" s="220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</row>
    <row r="473" ht="15.75" customHeight="1" s="220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</row>
    <row r="474" ht="15.75" customHeight="1" s="220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</row>
    <row r="475" ht="15.75" customHeight="1" s="220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</row>
    <row r="476" ht="15.75" customHeight="1" s="220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</row>
    <row r="477" ht="15.75" customHeight="1" s="220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</row>
    <row r="478" ht="15.75" customHeight="1" s="220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</row>
    <row r="479" ht="15.75" customHeight="1" s="220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</row>
    <row r="480" ht="15.75" customHeight="1" s="22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</row>
    <row r="481" ht="15.75" customHeight="1" s="220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</row>
    <row r="482" ht="15.75" customHeight="1" s="220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</row>
    <row r="483" ht="15.75" customHeight="1" s="220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</row>
    <row r="484" ht="15.75" customHeight="1" s="220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</row>
    <row r="485" ht="15.75" customHeight="1" s="220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</row>
    <row r="486" ht="15.75" customHeight="1" s="220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</row>
    <row r="487" ht="15.75" customHeight="1" s="220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</row>
    <row r="488" ht="15.75" customHeight="1" s="220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</row>
    <row r="489" ht="15.75" customHeight="1" s="220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</row>
    <row r="490" ht="15.75" customHeight="1" s="22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</row>
    <row r="491" ht="15.75" customHeight="1" s="220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</row>
    <row r="492" ht="15.75" customHeight="1" s="220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</row>
    <row r="493" ht="15.75" customHeight="1" s="220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</row>
    <row r="494" ht="15.75" customHeight="1" s="220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</row>
    <row r="495" ht="15.75" customHeight="1" s="220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</row>
    <row r="496" ht="15.75" customHeight="1" s="220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</row>
    <row r="497" ht="15.75" customHeight="1" s="220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</row>
    <row r="498" ht="15.75" customHeight="1" s="220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</row>
    <row r="499" ht="15.75" customHeight="1" s="220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</row>
    <row r="500" ht="15.75" customHeight="1" s="22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</row>
    <row r="501" ht="15.75" customHeight="1" s="220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</row>
    <row r="502" ht="15.75" customHeight="1" s="220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</row>
    <row r="503" ht="15.75" customHeight="1" s="220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</row>
    <row r="504" ht="15.75" customHeight="1" s="220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</row>
    <row r="505" ht="15.75" customHeight="1" s="220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</row>
    <row r="506" ht="15.75" customHeight="1" s="220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</row>
    <row r="507" ht="15.75" customHeight="1" s="220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</row>
    <row r="508" ht="15.75" customHeight="1" s="220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</row>
    <row r="509" ht="15.75" customHeight="1" s="220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</row>
    <row r="510" ht="15.75" customHeight="1" s="22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</row>
    <row r="511" ht="15.75" customHeight="1" s="220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</row>
    <row r="512" ht="15.75" customHeight="1" s="220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</row>
    <row r="513" ht="15.75" customHeight="1" s="220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</row>
    <row r="514" ht="15.75" customHeight="1" s="220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</row>
    <row r="515" ht="15.75" customHeight="1" s="220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</row>
    <row r="516" ht="15.75" customHeight="1" s="220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</row>
    <row r="517" ht="15.75" customHeight="1" s="220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</row>
    <row r="518" ht="15.75" customHeight="1" s="220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</row>
    <row r="519" ht="15.75" customHeight="1" s="220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</row>
    <row r="520" ht="15.75" customHeight="1" s="2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</row>
    <row r="521" ht="15.75" customHeight="1" s="220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</row>
    <row r="522" ht="15.75" customHeight="1" s="220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</row>
    <row r="523" ht="15.75" customHeight="1" s="220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</row>
    <row r="524" ht="15.75" customHeight="1" s="220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</row>
    <row r="525" ht="15.75" customHeight="1" s="220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</row>
    <row r="526" ht="15.75" customHeight="1" s="220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</row>
    <row r="527" ht="15.75" customHeight="1" s="220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</row>
    <row r="528" ht="15.75" customHeight="1" s="220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</row>
    <row r="529" ht="15.75" customHeight="1" s="220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</row>
    <row r="530" ht="15.75" customHeight="1" s="22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</row>
    <row r="531" ht="15.75" customHeight="1" s="220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</row>
    <row r="532" ht="15.75" customHeight="1" s="220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</row>
    <row r="533" ht="15.75" customHeight="1" s="220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</row>
    <row r="534" ht="15.75" customHeight="1" s="220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</row>
    <row r="535" ht="15.75" customHeight="1" s="220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</row>
    <row r="536" ht="15.75" customHeight="1" s="220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</row>
    <row r="537" ht="15.75" customHeight="1" s="220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</row>
    <row r="538" ht="15.75" customHeight="1" s="220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</row>
    <row r="539" ht="15.75" customHeight="1" s="220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</row>
    <row r="540" ht="15.75" customHeight="1" s="22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</row>
    <row r="541" ht="15.75" customHeight="1" s="220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</row>
    <row r="542" ht="15.75" customHeight="1" s="220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</row>
    <row r="543" ht="15.75" customHeight="1" s="220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</row>
    <row r="544" ht="15.75" customHeight="1" s="220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</row>
    <row r="545" ht="15.75" customHeight="1" s="220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</row>
    <row r="546" ht="15.75" customHeight="1" s="220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</row>
    <row r="547" ht="15.75" customHeight="1" s="220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</row>
    <row r="548" ht="15.75" customHeight="1" s="220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</row>
    <row r="549" ht="15.75" customHeight="1" s="220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</row>
    <row r="550" ht="15.75" customHeight="1" s="22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</row>
    <row r="551" ht="15.75" customHeight="1" s="220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</row>
    <row r="552" ht="15.75" customHeight="1" s="220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</row>
    <row r="553" ht="15.75" customHeight="1" s="220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</row>
    <row r="554" ht="15.75" customHeight="1" s="220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</row>
    <row r="555" ht="15.75" customHeight="1" s="220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</row>
    <row r="556" ht="15.75" customHeight="1" s="220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</row>
    <row r="557" ht="15.75" customHeight="1" s="220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</row>
    <row r="558" ht="15.75" customHeight="1" s="220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</row>
    <row r="559" ht="15.75" customHeight="1" s="220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</row>
    <row r="560" ht="15.75" customHeight="1" s="22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</row>
    <row r="561" ht="15.75" customHeight="1" s="220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</row>
    <row r="562" ht="15.75" customHeight="1" s="220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</row>
    <row r="563" ht="15.75" customHeight="1" s="220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</row>
    <row r="564" ht="15.75" customHeight="1" s="220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</row>
    <row r="565" ht="15.75" customHeight="1" s="220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</row>
    <row r="566" ht="15.75" customHeight="1" s="220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</row>
    <row r="567" ht="15.75" customHeight="1" s="220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</row>
    <row r="568" ht="15.75" customHeight="1" s="220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</row>
    <row r="569" ht="15.75" customHeight="1" s="220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</row>
    <row r="570" ht="15.75" customHeight="1" s="22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</row>
    <row r="571" ht="15.75" customHeight="1" s="220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</row>
    <row r="572" ht="15.75" customHeight="1" s="220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</row>
    <row r="573" ht="15.75" customHeight="1" s="220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</row>
    <row r="574" ht="15.75" customHeight="1" s="220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</row>
    <row r="575" ht="15.75" customHeight="1" s="220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</row>
    <row r="576" ht="15.75" customHeight="1" s="220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</row>
    <row r="577" ht="15.75" customHeight="1" s="220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</row>
    <row r="578" ht="15.75" customHeight="1" s="220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</row>
    <row r="579" ht="15.75" customHeight="1" s="220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</row>
    <row r="580" ht="15.75" customHeight="1" s="22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</row>
    <row r="581" ht="15.75" customHeight="1" s="220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</row>
    <row r="582" ht="15.75" customHeight="1" s="220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</row>
    <row r="583" ht="15.75" customHeight="1" s="220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</row>
    <row r="584" ht="15.75" customHeight="1" s="220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</row>
    <row r="585" ht="15.75" customHeight="1" s="220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</row>
    <row r="586" ht="15.75" customHeight="1" s="220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</row>
    <row r="587" ht="15.75" customHeight="1" s="220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</row>
    <row r="588" ht="15.75" customHeight="1" s="220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</row>
    <row r="589" ht="15.75" customHeight="1" s="220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</row>
    <row r="590" ht="15.75" customHeight="1" s="22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</row>
    <row r="591" ht="15.75" customHeight="1" s="220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</row>
    <row r="592" ht="15.75" customHeight="1" s="220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</row>
    <row r="593" ht="15.75" customHeight="1" s="220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</row>
    <row r="594" ht="15.75" customHeight="1" s="220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</row>
    <row r="595" ht="15.75" customHeight="1" s="220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</row>
    <row r="596" ht="15.75" customHeight="1" s="220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</row>
    <row r="597" ht="15.75" customHeight="1" s="220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</row>
    <row r="598" ht="15.75" customHeight="1" s="220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</row>
    <row r="599" ht="15.75" customHeight="1" s="220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</row>
    <row r="600" ht="15.75" customHeight="1" s="22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</row>
    <row r="601" ht="15.75" customHeight="1" s="220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</row>
    <row r="602" ht="15.75" customHeight="1" s="220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</row>
    <row r="603" ht="15.75" customHeight="1" s="220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</row>
    <row r="604" ht="15.75" customHeight="1" s="220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</row>
    <row r="605" ht="15.75" customHeight="1" s="220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</row>
    <row r="606" ht="15.75" customHeight="1" s="220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</row>
    <row r="607" ht="15.75" customHeight="1" s="220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</row>
    <row r="608" ht="15.75" customHeight="1" s="220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</row>
    <row r="609" ht="15.75" customHeight="1" s="220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</row>
    <row r="610" ht="15.75" customHeight="1" s="22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</row>
    <row r="611" ht="15.75" customHeight="1" s="220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</row>
    <row r="612" ht="15.75" customHeight="1" s="220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</row>
    <row r="613" ht="15.75" customHeight="1" s="220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</row>
    <row r="614" ht="15.75" customHeight="1" s="220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</row>
    <row r="615" ht="15.75" customHeight="1" s="220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</row>
    <row r="616" ht="15.75" customHeight="1" s="220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</row>
    <row r="617" ht="15.75" customHeight="1" s="220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</row>
    <row r="618" ht="15.75" customHeight="1" s="220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</row>
    <row r="619" ht="15.75" customHeight="1" s="220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</row>
    <row r="620" ht="15.75" customHeight="1" s="2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</row>
    <row r="621" ht="15.75" customHeight="1" s="220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</row>
    <row r="622" ht="15.75" customHeight="1" s="220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</row>
    <row r="623" ht="15.75" customHeight="1" s="220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</row>
    <row r="624" ht="15.75" customHeight="1" s="220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</row>
    <row r="625" ht="15.75" customHeight="1" s="220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</row>
    <row r="626" ht="15.75" customHeight="1" s="220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</row>
    <row r="627" ht="15.75" customHeight="1" s="220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</row>
    <row r="628" ht="15.75" customHeight="1" s="220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</row>
    <row r="629" ht="15.75" customHeight="1" s="220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</row>
    <row r="630" ht="15.75" customHeight="1" s="22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</row>
    <row r="631" ht="15.75" customHeight="1" s="220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</row>
    <row r="632" ht="15.75" customHeight="1" s="220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</row>
    <row r="633" ht="15.75" customHeight="1" s="220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</row>
    <row r="634" ht="15.75" customHeight="1" s="220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</row>
    <row r="635" ht="15.75" customHeight="1" s="220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</row>
    <row r="636" ht="15.75" customHeight="1" s="220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</row>
    <row r="637" ht="15.75" customHeight="1" s="220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</row>
    <row r="638" ht="15.75" customHeight="1" s="220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</row>
    <row r="639" ht="15.75" customHeight="1" s="220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</row>
    <row r="640" ht="15.75" customHeight="1" s="22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</row>
    <row r="641" ht="15.75" customHeight="1" s="220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</row>
    <row r="642" ht="15.75" customHeight="1" s="220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</row>
    <row r="643" ht="15.75" customHeight="1" s="220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</row>
    <row r="644" ht="15.75" customHeight="1" s="220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</row>
    <row r="645" ht="15.75" customHeight="1" s="220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</row>
    <row r="646" ht="15.75" customHeight="1" s="220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</row>
    <row r="647" ht="15.75" customHeight="1" s="220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</row>
    <row r="648" ht="15.75" customHeight="1" s="220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</row>
    <row r="649" ht="15.75" customHeight="1" s="220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</row>
    <row r="650" ht="15.75" customHeight="1" s="22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</row>
    <row r="651" ht="15.75" customHeight="1" s="220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</row>
    <row r="652" ht="15.75" customHeight="1" s="220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</row>
    <row r="653" ht="15.75" customHeight="1" s="220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</row>
    <row r="654" ht="15.75" customHeight="1" s="220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</row>
    <row r="655" ht="15.75" customHeight="1" s="220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</row>
    <row r="656" ht="15.75" customHeight="1" s="220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</row>
    <row r="657" ht="15.75" customHeight="1" s="220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</row>
    <row r="658" ht="15.75" customHeight="1" s="220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</row>
    <row r="659" ht="15.75" customHeight="1" s="220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</row>
    <row r="660" ht="15.75" customHeight="1" s="22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</row>
    <row r="661" ht="15.75" customHeight="1" s="220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</row>
    <row r="662" ht="15.75" customHeight="1" s="220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</row>
    <row r="663" ht="15.75" customHeight="1" s="220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</row>
    <row r="664" ht="15.75" customHeight="1" s="220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</row>
    <row r="665" ht="15.75" customHeight="1" s="220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</row>
    <row r="666" ht="15.75" customHeight="1" s="220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</row>
    <row r="667" ht="15.75" customHeight="1" s="220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</row>
    <row r="668" ht="15.75" customHeight="1" s="220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</row>
    <row r="669" ht="15.75" customHeight="1" s="220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</row>
    <row r="670" ht="15.75" customHeight="1" s="22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</row>
    <row r="671" ht="15.75" customHeight="1" s="220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</row>
    <row r="672" ht="15.75" customHeight="1" s="220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</row>
    <row r="673" ht="15.75" customHeight="1" s="220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</row>
    <row r="674" ht="15.75" customHeight="1" s="220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</row>
    <row r="675" ht="15.75" customHeight="1" s="220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</row>
    <row r="676" ht="15.75" customHeight="1" s="220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</row>
    <row r="677" ht="15.75" customHeight="1" s="220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</row>
    <row r="678" ht="15.75" customHeight="1" s="220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</row>
    <row r="679" ht="15.75" customHeight="1" s="220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</row>
    <row r="680" ht="15.75" customHeight="1" s="22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</row>
    <row r="681" ht="15.75" customHeight="1" s="220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</row>
    <row r="682" ht="15.75" customHeight="1" s="220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</row>
    <row r="683" ht="15.75" customHeight="1" s="220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</row>
    <row r="684" ht="15.75" customHeight="1" s="220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</row>
    <row r="685" ht="15.75" customHeight="1" s="220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</row>
    <row r="686" ht="15.75" customHeight="1" s="220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</row>
    <row r="687" ht="15.75" customHeight="1" s="220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</row>
    <row r="688" ht="15.75" customHeight="1" s="220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</row>
    <row r="689" ht="15.75" customHeight="1" s="220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</row>
    <row r="690" ht="15.75" customHeight="1" s="22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</row>
    <row r="691" ht="15.75" customHeight="1" s="220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</row>
    <row r="692" ht="15.75" customHeight="1" s="220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</row>
    <row r="693" ht="15.75" customHeight="1" s="220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</row>
    <row r="694" ht="15.75" customHeight="1" s="220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</row>
    <row r="695" ht="15.75" customHeight="1" s="220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</row>
    <row r="696" ht="15.75" customHeight="1" s="220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</row>
    <row r="697" ht="15.75" customHeight="1" s="220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</row>
    <row r="698" ht="15.75" customHeight="1" s="220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</row>
    <row r="699" ht="15.75" customHeight="1" s="220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</row>
    <row r="700" ht="15.75" customHeight="1" s="22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</row>
    <row r="701" ht="15.75" customHeight="1" s="220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</row>
    <row r="702" ht="15.75" customHeight="1" s="220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</row>
    <row r="703" ht="15.75" customHeight="1" s="220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</row>
    <row r="704" ht="15.75" customHeight="1" s="220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</row>
    <row r="705" ht="15.75" customHeight="1" s="220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</row>
    <row r="706" ht="15.75" customHeight="1" s="220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</row>
    <row r="707" ht="15.75" customHeight="1" s="220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</row>
    <row r="708" ht="15.75" customHeight="1" s="220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</row>
    <row r="709" ht="15.75" customHeight="1" s="220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</row>
    <row r="710" ht="15.75" customHeight="1" s="22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</row>
    <row r="711" ht="15.75" customHeight="1" s="220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</row>
    <row r="712" ht="15.75" customHeight="1" s="220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</row>
    <row r="713" ht="15.75" customHeight="1" s="220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</row>
    <row r="714" ht="15.75" customHeight="1" s="220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</row>
    <row r="715" ht="15.75" customHeight="1" s="220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</row>
    <row r="716" ht="15.75" customHeight="1" s="220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</row>
    <row r="717" ht="15.75" customHeight="1" s="220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</row>
    <row r="718" ht="15.75" customHeight="1" s="220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</row>
    <row r="719" ht="15.75" customHeight="1" s="220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</row>
    <row r="720" ht="15.75" customHeight="1" s="2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</row>
    <row r="721" ht="15.75" customHeight="1" s="220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</row>
    <row r="722" ht="15.75" customHeight="1" s="220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</row>
    <row r="723" ht="15.75" customHeight="1" s="220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</row>
    <row r="724" ht="15.75" customHeight="1" s="220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</row>
    <row r="725" ht="15.75" customHeight="1" s="220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</row>
    <row r="726" ht="15.75" customHeight="1" s="220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</row>
    <row r="727" ht="15.75" customHeight="1" s="220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</row>
    <row r="728" ht="15.75" customHeight="1" s="220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</row>
    <row r="729" ht="15.75" customHeight="1" s="220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</row>
    <row r="730" ht="15.75" customHeight="1" s="22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</row>
    <row r="731" ht="15.75" customHeight="1" s="220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</row>
    <row r="732" ht="15.75" customHeight="1" s="220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</row>
    <row r="733" ht="15.75" customHeight="1" s="220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</row>
    <row r="734" ht="15.75" customHeight="1" s="220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</row>
    <row r="735" ht="15.75" customHeight="1" s="220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</row>
    <row r="736" ht="15.75" customHeight="1" s="220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</row>
    <row r="737" ht="15.75" customHeight="1" s="220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</row>
    <row r="738" ht="15.75" customHeight="1" s="220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</row>
    <row r="739" ht="15.75" customHeight="1" s="220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</row>
    <row r="740" ht="15.75" customHeight="1" s="22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</row>
    <row r="741" ht="15.75" customHeight="1" s="220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</row>
    <row r="742" ht="15.75" customHeight="1" s="220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</row>
    <row r="743" ht="15.75" customHeight="1" s="220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</row>
    <row r="744" ht="15.75" customHeight="1" s="220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</row>
    <row r="745" ht="15.75" customHeight="1" s="220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</row>
    <row r="746" ht="15.75" customHeight="1" s="220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</row>
    <row r="747" ht="15.75" customHeight="1" s="220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</row>
    <row r="748" ht="15.75" customHeight="1" s="220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</row>
    <row r="749" ht="15.75" customHeight="1" s="220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</row>
    <row r="750" ht="15.75" customHeight="1" s="22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</row>
    <row r="751" ht="15.75" customHeight="1" s="220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</row>
    <row r="752" ht="15.75" customHeight="1" s="220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</row>
    <row r="753" ht="15.75" customHeight="1" s="220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</row>
    <row r="754" ht="15.75" customHeight="1" s="220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</row>
    <row r="755" ht="15.75" customHeight="1" s="220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</row>
    <row r="756" ht="15.75" customHeight="1" s="220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</row>
    <row r="757" ht="15.75" customHeight="1" s="220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</row>
    <row r="758" ht="15.75" customHeight="1" s="220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</row>
    <row r="759" ht="15.75" customHeight="1" s="220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</row>
    <row r="760" ht="15.75" customHeight="1" s="22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</row>
    <row r="761" ht="15.75" customHeight="1" s="220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</row>
    <row r="762" ht="15.75" customHeight="1" s="220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</row>
    <row r="763" ht="15.75" customHeight="1" s="220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</row>
    <row r="764" ht="15.75" customHeight="1" s="220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</row>
    <row r="765" ht="15.75" customHeight="1" s="220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</row>
    <row r="766" ht="15.75" customHeight="1" s="220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</row>
    <row r="767" ht="15.75" customHeight="1" s="220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</row>
    <row r="768" ht="15.75" customHeight="1" s="220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</row>
    <row r="769" ht="15.75" customHeight="1" s="220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</row>
    <row r="770" ht="15.75" customHeight="1" s="22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</row>
    <row r="771" ht="15.75" customHeight="1" s="220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</row>
    <row r="772" ht="15.75" customHeight="1" s="220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</row>
    <row r="773" ht="15.75" customHeight="1" s="220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</row>
    <row r="774" ht="15.75" customHeight="1" s="220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</row>
    <row r="775" ht="15.75" customHeight="1" s="220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</row>
    <row r="776" ht="15.75" customHeight="1" s="220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</row>
    <row r="777" ht="15.75" customHeight="1" s="220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</row>
    <row r="778" ht="15.75" customHeight="1" s="220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</row>
    <row r="779" ht="15.75" customHeight="1" s="220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</row>
    <row r="780" ht="15.75" customHeight="1" s="22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</row>
    <row r="781" ht="15.75" customHeight="1" s="220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</row>
    <row r="782" ht="15.75" customHeight="1" s="220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</row>
    <row r="783" ht="15.75" customHeight="1" s="220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</row>
    <row r="784" ht="15.75" customHeight="1" s="220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</row>
    <row r="785" ht="15.75" customHeight="1" s="220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</row>
    <row r="786" ht="15.75" customHeight="1" s="220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</row>
    <row r="787" ht="15.75" customHeight="1" s="220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</row>
    <row r="788" ht="15.75" customHeight="1" s="220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</row>
    <row r="789" ht="15.75" customHeight="1" s="220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</row>
    <row r="790" ht="15.75" customHeight="1" s="22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</row>
    <row r="791" ht="15.75" customHeight="1" s="220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</row>
    <row r="792" ht="15.75" customHeight="1" s="220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</row>
    <row r="793" ht="15.75" customHeight="1" s="220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</row>
    <row r="794" ht="15.75" customHeight="1" s="220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</row>
    <row r="795" ht="15.75" customHeight="1" s="220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</row>
    <row r="796" ht="15.75" customHeight="1" s="220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</row>
    <row r="797" ht="15.75" customHeight="1" s="220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</row>
    <row r="798" ht="15.75" customHeight="1" s="220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</row>
    <row r="799" ht="15.75" customHeight="1" s="220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</row>
    <row r="800" ht="15.75" customHeight="1" s="22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</row>
    <row r="801" ht="15.75" customHeight="1" s="220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</row>
    <row r="802" ht="15.75" customHeight="1" s="220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</row>
    <row r="803" ht="15.75" customHeight="1" s="220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</row>
    <row r="804" ht="15.75" customHeight="1" s="220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</row>
    <row r="805" ht="15.75" customHeight="1" s="220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</row>
    <row r="806" ht="15.75" customHeight="1" s="220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</row>
    <row r="807" ht="15.75" customHeight="1" s="220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</row>
    <row r="808" ht="15.75" customHeight="1" s="220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</row>
    <row r="809" ht="15.75" customHeight="1" s="220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</row>
    <row r="810" ht="15.75" customHeight="1" s="22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</row>
    <row r="811" ht="15.75" customHeight="1" s="220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</row>
    <row r="812" ht="15.75" customHeight="1" s="220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</row>
    <row r="813" ht="15.75" customHeight="1" s="220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</row>
    <row r="814" ht="15.75" customHeight="1" s="220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</row>
    <row r="815" ht="15.75" customHeight="1" s="220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</row>
    <row r="816" ht="15.75" customHeight="1" s="220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</row>
    <row r="817" ht="15.75" customHeight="1" s="220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</row>
    <row r="818" ht="15.75" customHeight="1" s="220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</row>
    <row r="819" ht="15.75" customHeight="1" s="220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</row>
    <row r="820" ht="15.75" customHeight="1" s="2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</row>
    <row r="821" ht="15.75" customHeight="1" s="220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</row>
    <row r="822" ht="15.75" customHeight="1" s="220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</row>
    <row r="823" ht="15.75" customHeight="1" s="220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</row>
    <row r="824" ht="15.75" customHeight="1" s="220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</row>
    <row r="825" ht="15.75" customHeight="1" s="220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</row>
    <row r="826" ht="15.75" customHeight="1" s="220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</row>
    <row r="827" ht="15.75" customHeight="1" s="220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</row>
    <row r="828" ht="15.75" customHeight="1" s="220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</row>
    <row r="829" ht="15.75" customHeight="1" s="220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</row>
    <row r="830" ht="15.75" customHeight="1" s="22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</row>
    <row r="831" ht="15.75" customHeight="1" s="220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</row>
    <row r="832" ht="15.75" customHeight="1" s="220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</row>
    <row r="833" ht="15.75" customHeight="1" s="220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</row>
    <row r="834" ht="15.75" customHeight="1" s="220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</row>
    <row r="835" ht="15.75" customHeight="1" s="220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</row>
    <row r="836" ht="15.75" customHeight="1" s="220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</row>
    <row r="837" ht="15.75" customHeight="1" s="220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</row>
    <row r="838" ht="15.75" customHeight="1" s="220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</row>
    <row r="839" ht="15.75" customHeight="1" s="220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</row>
    <row r="840" ht="15.75" customHeight="1" s="22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</row>
    <row r="841" ht="15.75" customHeight="1" s="220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</row>
    <row r="842" ht="15.75" customHeight="1" s="220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</row>
    <row r="843" ht="15.75" customHeight="1" s="220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</row>
    <row r="844" ht="15.75" customHeight="1" s="220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</row>
    <row r="845" ht="15.75" customHeight="1" s="220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</row>
    <row r="846" ht="15.75" customHeight="1" s="220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</row>
    <row r="847" ht="15.75" customHeight="1" s="220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</row>
    <row r="848" ht="15.75" customHeight="1" s="220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</row>
    <row r="849" ht="15.75" customHeight="1" s="220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</row>
    <row r="850" ht="15.75" customHeight="1" s="22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</row>
    <row r="851" ht="15.75" customHeight="1" s="220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</row>
    <row r="852" ht="15.75" customHeight="1" s="220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</row>
    <row r="853" ht="15.75" customHeight="1" s="220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</row>
    <row r="854" ht="15.75" customHeight="1" s="220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</row>
    <row r="855" ht="15.75" customHeight="1" s="220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</row>
    <row r="856" ht="15.75" customHeight="1" s="220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</row>
    <row r="857" ht="15.75" customHeight="1" s="220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</row>
    <row r="858" ht="15.75" customHeight="1" s="220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</row>
    <row r="859" ht="15.75" customHeight="1" s="220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</row>
    <row r="860" ht="15.75" customHeight="1" s="22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</row>
    <row r="861" ht="15.75" customHeight="1" s="220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</row>
    <row r="862" ht="15.75" customHeight="1" s="220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</row>
    <row r="863" ht="15.75" customHeight="1" s="220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</row>
    <row r="864" ht="15.75" customHeight="1" s="220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</row>
    <row r="865" ht="15.75" customHeight="1" s="220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</row>
    <row r="866" ht="15.75" customHeight="1" s="220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</row>
    <row r="867" ht="15.75" customHeight="1" s="220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</row>
    <row r="868" ht="15.75" customHeight="1" s="220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</row>
    <row r="869" ht="15.75" customHeight="1" s="220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</row>
    <row r="870" ht="15.75" customHeight="1" s="22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</row>
    <row r="871" ht="15.75" customHeight="1" s="220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</row>
    <row r="872" ht="15.75" customHeight="1" s="220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</row>
    <row r="873" ht="15.75" customHeight="1" s="220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</row>
    <row r="874" ht="15.75" customHeight="1" s="220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</row>
    <row r="875" ht="15.75" customHeight="1" s="220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</row>
    <row r="876" ht="15.75" customHeight="1" s="220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</row>
    <row r="877" ht="15.75" customHeight="1" s="220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</row>
    <row r="878" ht="15.75" customHeight="1" s="220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</row>
    <row r="879" ht="15.75" customHeight="1" s="220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</row>
    <row r="880" ht="15.75" customHeight="1" s="22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</row>
    <row r="881" ht="15.75" customHeight="1" s="220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</row>
    <row r="882" ht="15.75" customHeight="1" s="220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</row>
    <row r="883" ht="15.75" customHeight="1" s="220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</row>
    <row r="884" ht="15.75" customHeight="1" s="220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</row>
    <row r="885" ht="15.75" customHeight="1" s="220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</row>
    <row r="886" ht="15.75" customHeight="1" s="220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</row>
    <row r="887" ht="15.75" customHeight="1" s="220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</row>
    <row r="888" ht="15.75" customHeight="1" s="220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</row>
    <row r="889" ht="15.75" customHeight="1" s="220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</row>
    <row r="890" ht="15.75" customHeight="1" s="22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</row>
    <row r="891" ht="15.75" customHeight="1" s="220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</row>
    <row r="892" ht="15.75" customHeight="1" s="220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</row>
    <row r="893" ht="15.75" customHeight="1" s="220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</row>
    <row r="894" ht="15.75" customHeight="1" s="220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</row>
    <row r="895" ht="15.75" customHeight="1" s="220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</row>
    <row r="896" ht="15.75" customHeight="1" s="220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</row>
    <row r="897" ht="15.75" customHeight="1" s="220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</row>
    <row r="898" ht="15.75" customHeight="1" s="220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</row>
    <row r="899" ht="15.75" customHeight="1" s="220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</row>
    <row r="900" ht="15.75" customHeight="1" s="22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</row>
    <row r="901" ht="15.75" customHeight="1" s="220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</row>
    <row r="902" ht="15.75" customHeight="1" s="220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</row>
    <row r="903" ht="15.75" customHeight="1" s="220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</row>
    <row r="904" ht="15.75" customHeight="1" s="220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</row>
    <row r="905" ht="15.75" customHeight="1" s="220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</row>
    <row r="906" ht="15.75" customHeight="1" s="220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</row>
    <row r="907" ht="15.75" customHeight="1" s="220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</row>
    <row r="908" ht="15.75" customHeight="1" s="220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</row>
    <row r="909" ht="15.75" customHeight="1" s="220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</row>
    <row r="910" ht="15.75" customHeight="1" s="22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</row>
    <row r="911" ht="15.75" customHeight="1" s="220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</row>
    <row r="912" ht="15.75" customHeight="1" s="220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</row>
    <row r="913" ht="15.75" customHeight="1" s="220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</row>
    <row r="914" ht="15.75" customHeight="1" s="220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</row>
    <row r="915" ht="15.75" customHeight="1" s="220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</row>
    <row r="916" ht="15.75" customHeight="1" s="220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</row>
    <row r="917" ht="15.75" customHeight="1" s="220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</row>
    <row r="918" ht="15.75" customHeight="1" s="220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</row>
    <row r="919" ht="15.75" customHeight="1" s="220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</row>
    <row r="920" ht="15.75" customHeight="1" s="2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</row>
    <row r="921" ht="15.75" customHeight="1" s="220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</row>
    <row r="922" ht="15.75" customHeight="1" s="220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</row>
    <row r="923" ht="15.75" customHeight="1" s="220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</row>
    <row r="924" ht="15.75" customHeight="1" s="220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</row>
    <row r="925" ht="15.75" customHeight="1" s="220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</row>
    <row r="926" ht="15.75" customHeight="1" s="220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</row>
    <row r="927" ht="15.75" customHeight="1" s="220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</row>
    <row r="928" ht="15.75" customHeight="1" s="220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</row>
    <row r="929" ht="15.75" customHeight="1" s="220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</row>
    <row r="930" ht="15.75" customHeight="1" s="22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</row>
    <row r="931" ht="15.75" customHeight="1" s="220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</row>
    <row r="932" ht="15.75" customHeight="1" s="220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</row>
    <row r="933" ht="15.75" customHeight="1" s="220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</row>
    <row r="934" ht="15.75" customHeight="1" s="220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</row>
    <row r="935" ht="15.75" customHeight="1" s="220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</row>
    <row r="936" ht="15.75" customHeight="1" s="220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</row>
    <row r="937" ht="15.75" customHeight="1" s="220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</row>
    <row r="938" ht="15.75" customHeight="1" s="220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</row>
    <row r="939" ht="15.75" customHeight="1" s="220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</row>
    <row r="940" ht="15.75" customHeight="1" s="22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</row>
    <row r="941" ht="15.75" customHeight="1" s="220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</row>
    <row r="942" ht="15.75" customHeight="1" s="220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</row>
    <row r="943" ht="15.75" customHeight="1" s="220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</row>
    <row r="944" ht="15.75" customHeight="1" s="220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</row>
    <row r="945" ht="15.75" customHeight="1" s="220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</row>
    <row r="946" ht="15.75" customHeight="1" s="220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</row>
    <row r="947" ht="15.75" customHeight="1" s="220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</row>
    <row r="948" ht="15.75" customHeight="1" s="220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</row>
    <row r="949" ht="15.75" customHeight="1" s="220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</row>
    <row r="950" ht="15.75" customHeight="1" s="22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</row>
    <row r="951" ht="15.75" customHeight="1" s="220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</row>
    <row r="952" ht="15.75" customHeight="1" s="220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</row>
    <row r="953" ht="15.75" customHeight="1" s="220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</row>
    <row r="954" ht="15.75" customHeight="1" s="220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</row>
    <row r="955" ht="15.75" customHeight="1" s="220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</row>
    <row r="956" ht="15.75" customHeight="1" s="220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</row>
    <row r="957" ht="15.75" customHeight="1" s="220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</row>
    <row r="958" ht="15.75" customHeight="1" s="220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</row>
    <row r="959" ht="15.75" customHeight="1" s="220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</row>
    <row r="960" ht="15.75" customHeight="1" s="22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</row>
    <row r="961" ht="15.75" customHeight="1" s="220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</row>
    <row r="962" ht="15.75" customHeight="1" s="220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</row>
    <row r="963" ht="15.75" customHeight="1" s="220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</row>
    <row r="964" ht="15.75" customHeight="1" s="220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</row>
    <row r="965" ht="15.75" customHeight="1" s="220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</row>
    <row r="966" ht="15.75" customHeight="1" s="220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</row>
    <row r="967" ht="15.75" customHeight="1" s="220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</row>
    <row r="968" ht="15.75" customHeight="1" s="220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</row>
    <row r="969" ht="15.75" customHeight="1" s="220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</row>
    <row r="970" ht="15.75" customHeight="1" s="22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</row>
    <row r="971" ht="15.75" customHeight="1" s="220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</row>
    <row r="972" ht="15.75" customHeight="1" s="220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</row>
    <row r="973" ht="15.75" customHeight="1" s="220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</row>
    <row r="974" ht="15.75" customHeight="1" s="220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</row>
    <row r="975" ht="15.75" customHeight="1" s="220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</row>
    <row r="976" ht="15.75" customHeight="1" s="220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</row>
    <row r="977" ht="15.75" customHeight="1" s="220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</row>
    <row r="978" ht="15.75" customHeight="1" s="220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</row>
    <row r="979" ht="15.75" customHeight="1" s="220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</row>
    <row r="980" ht="15.75" customHeight="1" s="22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</row>
    <row r="981" ht="15.75" customHeight="1" s="220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</row>
    <row r="982" ht="15.75" customHeight="1" s="220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</row>
    <row r="983" ht="15.75" customHeight="1" s="220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</row>
    <row r="984" ht="15.75" customHeight="1" s="220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</row>
    <row r="985" ht="15.75" customHeight="1" s="220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</row>
    <row r="986" ht="15.75" customHeight="1" s="220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</row>
    <row r="987" ht="15.75" customHeight="1" s="220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</row>
    <row r="988" ht="15.75" customHeight="1" s="220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</row>
    <row r="989" ht="15.75" customHeight="1" s="220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</row>
    <row r="990" ht="15.75" customHeight="1" s="22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</row>
    <row r="991" ht="15.75" customHeight="1" s="220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</row>
    <row r="992" ht="15.75" customHeight="1" s="220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</row>
    <row r="993" ht="15.75" customHeight="1" s="220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</row>
    <row r="994" ht="15.75" customHeight="1" s="220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</row>
    <row r="995" ht="15.75" customHeight="1" s="220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</row>
    <row r="996" ht="15.75" customHeight="1" s="220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</row>
    <row r="997" ht="15.75" customHeight="1" s="220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</row>
    <row r="998" ht="15.75" customHeight="1" s="220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</row>
    <row r="999" ht="15.75" customHeight="1" s="220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</row>
    <row r="1000" ht="15.75" customHeight="1" s="22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</row>
  </sheetData>
  <mergeCells count="5">
    <mergeCell ref="E13:G13"/>
    <mergeCell ref="E14:G14"/>
    <mergeCell ref="E12:G12"/>
    <mergeCell ref="H14:I14"/>
    <mergeCell ref="E34:E35"/>
  </mergeCells>
  <conditionalFormatting sqref="I35">
    <cfRule type="containsText" priority="1" operator="containsText" dxfId="0" text="C">
      <formula>NOT(ISERROR(SEARCH(("C"),(I35))))</formula>
    </cfRule>
    <cfRule type="containsText" priority="2" operator="containsText" dxfId="1" text="B">
      <formula>NOT(ISERROR(SEARCH(("B"),(I35))))</formula>
    </cfRule>
    <cfRule type="containsText" priority="3" operator="containsText" dxfId="2" text="A">
      <formula>NOT(ISERROR(SEARCH(("A"),(I35))))</formula>
    </cfRule>
    <cfRule type="containsText" priority="4" operator="containsText" dxfId="3" text="G">
      <formula>NOT(ISERROR(SEARCH(("G"),(I35))))</formula>
    </cfRule>
  </conditionalFormatting>
  <dataValidations count="1">
    <dataValidation sqref="B3" showDropDown="0" showInputMessage="0" showErrorMessage="1" allowBlank="1" type="list">
      <formula1>Prices!$A$9:$A$18</formula1>
    </dataValidation>
  </dataValidation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99"/>
  <sheetViews>
    <sheetView showGridLines="0" workbookViewId="0">
      <selection activeCell="A1" sqref="A1"/>
    </sheetView>
  </sheetViews>
  <sheetFormatPr baseColWidth="8" defaultColWidth="14.43" defaultRowHeight="15" customHeight="1"/>
  <cols>
    <col width="9.43" customWidth="1" style="220" min="1" max="1"/>
    <col width="24.43" customWidth="1" style="220" min="2" max="2"/>
    <col width="12.14" customWidth="1" style="220" min="3" max="3"/>
    <col width="13.43" customWidth="1" style="220" min="4" max="4"/>
    <col width="13.29" customWidth="1" style="220" min="5" max="5"/>
    <col width="16.14" customWidth="1" style="220" min="6" max="6"/>
    <col width="14.57" customWidth="1" style="220" min="7" max="7"/>
    <col width="22" customWidth="1" style="220" min="8" max="8"/>
    <col width="21" customWidth="1" style="220" min="9" max="9"/>
    <col width="13.86" customWidth="1" style="220" min="10" max="11"/>
    <col width="19.43" customWidth="1" style="220" min="13" max="13"/>
  </cols>
  <sheetData>
    <row r="1" ht="18.75" customHeight="1" s="220">
      <c r="A1" s="12" t="n"/>
      <c r="B1" s="12" t="n"/>
      <c r="C1" s="12" t="n"/>
      <c r="D1" s="12" t="n"/>
      <c r="E1" s="12" t="n"/>
      <c r="F1" s="48" t="inlineStr">
        <is>
          <t>Gold Rate</t>
        </is>
      </c>
      <c r="G1" s="48" t="n">
        <v>238000</v>
      </c>
      <c r="H1" s="48" t="inlineStr">
        <is>
          <t>14k Rate</t>
        </is>
      </c>
      <c r="I1" s="49">
        <f>IFERROR(H3/E3,0)</f>
        <v/>
      </c>
      <c r="J1" s="99">
        <f>I1-F3</f>
        <v/>
      </c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18.75" customHeight="1" s="220">
      <c r="A2" s="50" t="inlineStr">
        <is>
          <t>SN</t>
        </is>
      </c>
      <c r="B2" s="50" t="inlineStr">
        <is>
          <t>Description</t>
        </is>
      </c>
      <c r="C2" s="50" t="inlineStr">
        <is>
          <t>Net Wt</t>
        </is>
      </c>
      <c r="D2" s="50" t="inlineStr">
        <is>
          <t>Wastage</t>
        </is>
      </c>
      <c r="E2" s="50" t="inlineStr">
        <is>
          <t>Total Wt</t>
        </is>
      </c>
      <c r="F2" s="50" t="inlineStr">
        <is>
          <t>Rate</t>
        </is>
      </c>
      <c r="G2" s="50" t="inlineStr">
        <is>
          <t>Labour</t>
        </is>
      </c>
      <c r="H2" s="50" t="inlineStr">
        <is>
          <t>Taxable Amount</t>
        </is>
      </c>
      <c r="I2" s="50" t="inlineStr">
        <is>
          <t>Amount</t>
        </is>
      </c>
      <c r="J2" s="51" t="n"/>
      <c r="K2" s="100" t="n"/>
      <c r="L2" s="101" t="inlineStr">
        <is>
          <t>Rate</t>
        </is>
      </c>
      <c r="M2" s="102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220">
      <c r="A3" s="103" t="n">
        <v>337</v>
      </c>
      <c r="B3" s="104" t="inlineStr">
        <is>
          <t>Ladies Ring</t>
        </is>
      </c>
      <c r="C3" s="56">
        <f t="array" ref="C3">VLOOKUP($A$3,INDIRECT("'"&amp;B3&amp;"'!$A$2:$S$999"), 2, 0)</f>
        <v/>
      </c>
      <c r="D3" s="57">
        <f t="array" ref="D3">VLOOKUP($A$3,INDIRECT("'"&amp;B3&amp;"'!$A$2:$S$999"), 3, 0)</f>
        <v/>
      </c>
      <c r="E3" s="105">
        <f t="array" ref="E3">VLOOKUP($A$3,INDIRECT("'"&amp;B3&amp;"'!$A$2:$S$999"), 4, 0)</f>
        <v/>
      </c>
      <c r="F3" s="59">
        <f>ROUNDDOWN((G1/11.664)*0.6,0)</f>
        <v/>
      </c>
      <c r="G3" s="60">
        <f>J1*E3</f>
        <v/>
      </c>
      <c r="H3" s="106">
        <f t="array" ref="H3">VLOOKUP($A$3,INDIRECT("'"&amp;B3&amp;"'!$A$2:$S$999"), 17, 0)</f>
        <v/>
      </c>
      <c r="I3" s="57" t="n"/>
      <c r="J3" s="12" t="n"/>
      <c r="K3" s="69" t="inlineStr">
        <is>
          <t>Gold</t>
        </is>
      </c>
      <c r="L3" s="69">
        <f>ROUNDDOWN((G1/11.664)*0.6,0)</f>
        <v/>
      </c>
      <c r="M3" s="69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</row>
    <row r="4" ht="18.75" customHeight="1" s="220">
      <c r="A4" s="57" t="n"/>
      <c r="B4" s="107" t="inlineStr">
        <is>
          <t>Dmd &lt; 0.06</t>
        </is>
      </c>
      <c r="C4" s="57" t="n"/>
      <c r="D4" s="57" t="n"/>
      <c r="E4" s="105">
        <f t="array" ref="E4">VLOOKUP($A$3,INDIRECT("'"&amp;B3&amp;"'!$A$2:$S$999"), 5, 0)</f>
        <v/>
      </c>
      <c r="F4" s="63">
        <f>L4-(L4*E11%)</f>
        <v/>
      </c>
      <c r="G4" s="57" t="n"/>
      <c r="H4" s="57" t="n"/>
      <c r="I4" s="106">
        <f>F4*E4</f>
        <v/>
      </c>
      <c r="J4" s="12" t="n"/>
      <c r="K4" s="108" t="inlineStr">
        <is>
          <t>Dmd &lt; 0.06</t>
        </is>
      </c>
      <c r="L4" s="48">
        <f>IFERROR(M4/E4,0)</f>
        <v/>
      </c>
      <c r="M4" s="109">
        <f t="array" ref="M4">VLOOKUP($A$3,INDIRECT("'"&amp;B3&amp;"'!$A$2:$S$999"), 12, 0)</f>
        <v/>
      </c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 ht="18.75" customHeight="1" s="220">
      <c r="A5" s="57" t="n"/>
      <c r="B5" s="107" t="inlineStr">
        <is>
          <t>Dmd &lt; 0.12</t>
        </is>
      </c>
      <c r="C5" s="57" t="n"/>
      <c r="D5" s="57" t="n"/>
      <c r="E5" s="105">
        <f t="array" ref="E5">VLOOKUP($A$3,INDIRECT("'"&amp;B3&amp;"'!$A$2:$S$999"), 6, 0)</f>
        <v/>
      </c>
      <c r="F5" s="63">
        <f>IFERROR(I5/E5,0)</f>
        <v/>
      </c>
      <c r="G5" s="57" t="n"/>
      <c r="H5" s="57" t="n"/>
      <c r="I5" s="106">
        <f t="array" ref="I5">VLOOKUP($A$3,INDIRECT("'"&amp;B3&amp;"'!$A$2:$S$999"), 13, 0)</f>
        <v/>
      </c>
      <c r="J5" s="12" t="n"/>
      <c r="K5" s="108" t="inlineStr">
        <is>
          <t>Dmd &lt; 0.12</t>
        </is>
      </c>
      <c r="L5" s="48">
        <f>IFERROR(M5/E5,0)</f>
        <v/>
      </c>
      <c r="M5" s="109">
        <f t="array" ref="M5">VLOOKUP($A$3,INDIRECT("'"&amp;B3&amp;"'!$A$2:$S$999"), 13, 0)</f>
        <v/>
      </c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ht="18.75" customHeight="1" s="220">
      <c r="A6" s="57" t="n"/>
      <c r="B6" s="107" t="inlineStr">
        <is>
          <t>Dmd &lt; 0.17</t>
        </is>
      </c>
      <c r="C6" s="57" t="n"/>
      <c r="D6" s="57" t="n"/>
      <c r="E6" s="105">
        <f t="array" ref="E6">VLOOKUP($A$3,INDIRECT("'"&amp;B3&amp;"'!$A$2:$S$999"), 7, 0)</f>
        <v/>
      </c>
      <c r="F6" s="63">
        <f>IFERROR(I6/E6,0)</f>
        <v/>
      </c>
      <c r="G6" s="57" t="n"/>
      <c r="H6" s="57" t="n"/>
      <c r="I6" s="106">
        <f t="array" ref="I6">VLOOKUP($A$3,INDIRECT("'"&amp;B3&amp;"'!$A$2:$S$999"), 14, 0)</f>
        <v/>
      </c>
      <c r="J6" s="12" t="n"/>
      <c r="K6" s="108" t="inlineStr">
        <is>
          <t>Dmd &lt; 0.17</t>
        </is>
      </c>
      <c r="L6" s="48">
        <f>IFERROR(M6/E6,0)</f>
        <v/>
      </c>
      <c r="M6" s="109">
        <f t="array" ref="M6">VLOOKUP($A$3,INDIRECT("'"&amp;B3&amp;"'!$A$2:$S$999"), 14, 0)</f>
        <v/>
      </c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</row>
    <row r="7" ht="18.75" customHeight="1" s="220">
      <c r="A7" s="57" t="n"/>
      <c r="B7" s="107" t="inlineStr">
        <is>
          <t>Dmd Big</t>
        </is>
      </c>
      <c r="C7" s="57" t="n"/>
      <c r="D7" s="57" t="n"/>
      <c r="E7" s="105">
        <f t="array" ref="E7">VLOOKUP($A$3,INDIRECT("'"&amp;B3&amp;"'!$A$2:$S$999"), 8, 0)</f>
        <v/>
      </c>
      <c r="F7" s="63">
        <f>IFERROR(I7/E7,0)</f>
        <v/>
      </c>
      <c r="G7" s="57" t="n"/>
      <c r="H7" s="57" t="n"/>
      <c r="I7" s="106">
        <f t="array" ref="I7">VLOOKUP($A$3,INDIRECT("'"&amp;B3&amp;"'!$A$2:$S$999"), 15, 0)</f>
        <v/>
      </c>
      <c r="J7" s="12" t="n"/>
      <c r="K7" s="108" t="inlineStr">
        <is>
          <t>Dmd Big</t>
        </is>
      </c>
      <c r="L7" s="48">
        <f>IFERROR(M7/E7,0)</f>
        <v/>
      </c>
      <c r="M7" s="109">
        <f t="array" ref="M7">VLOOKUP($A$3,INDIRECT("'"&amp;B3&amp;"'!$A$2:$S$999"), 15, 0)</f>
        <v/>
      </c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</row>
    <row r="8" ht="18.75" customHeight="1" s="220">
      <c r="A8" s="57" t="n"/>
      <c r="B8" s="107" t="inlineStr">
        <is>
          <t>Ruby</t>
        </is>
      </c>
      <c r="C8" s="57" t="n"/>
      <c r="D8" s="57" t="n"/>
      <c r="E8" s="105">
        <f t="array" ref="E8">VLOOKUP($A$3,INDIRECT("'"&amp;B3&amp;"'!$A$2:$S$999"), 9, 0)</f>
        <v/>
      </c>
      <c r="F8" s="63">
        <f>IFERROR(I8/E8,0)</f>
        <v/>
      </c>
      <c r="G8" s="57" t="n"/>
      <c r="H8" s="57" t="n"/>
      <c r="I8" s="106">
        <f t="array" ref="I8">IF(E8&lt;&gt;0,VLOOKUP($A$3,INDIRECT("'"&amp;B3&amp;"'!$A$2:$S$999"),16,0),0)</f>
        <v/>
      </c>
      <c r="J8" s="12" t="n"/>
      <c r="K8" s="108" t="inlineStr">
        <is>
          <t>Ruby</t>
        </is>
      </c>
      <c r="L8" s="48">
        <f>IFERROR(M8/E8,0)</f>
        <v/>
      </c>
      <c r="M8" s="109">
        <f t="array" ref="M8">IF(I8&lt;&gt;0,VLOOKUP($A$3,INDIRECT("'"&amp;B3&amp;"'!$A$2:$S$999"),16,0),0)</f>
        <v/>
      </c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</row>
    <row r="9" ht="18.75" customHeight="1" s="220">
      <c r="A9" s="57" t="n"/>
      <c r="B9" s="107" t="inlineStr">
        <is>
          <t>Emreld</t>
        </is>
      </c>
      <c r="C9" s="57" t="n"/>
      <c r="D9" s="57" t="n"/>
      <c r="E9" s="105">
        <f t="array" ref="E9">VLOOKUP($A$3,INDIRECT("'"&amp;B3&amp;"'!$A$2:$S$999"), 10, 0)</f>
        <v/>
      </c>
      <c r="F9" s="63">
        <f>IFERROR(I9/E9,0)</f>
        <v/>
      </c>
      <c r="G9" s="57" t="n"/>
      <c r="H9" s="57" t="n"/>
      <c r="I9" s="106">
        <f t="array" ref="I9">IF(E9&lt;&gt;0,VLOOKUP($A$3,INDIRECT("'"&amp;B3&amp;"'!$A$2:$S$999"),16,0),0)</f>
        <v/>
      </c>
      <c r="J9" s="12" t="n"/>
      <c r="K9" s="108" t="inlineStr">
        <is>
          <t>Emreld</t>
        </is>
      </c>
      <c r="L9" s="48">
        <f>IFERROR(M9/E9,0)</f>
        <v/>
      </c>
      <c r="M9" s="109">
        <f t="array" ref="M9">IF(I9&lt;&gt;0,VLOOKUP($A$3,INDIRECT("'"&amp;B3&amp;"'!$A$2:$S$999"),16,0),0)</f>
        <v/>
      </c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</row>
    <row r="10" ht="18.75" customHeight="1" s="220">
      <c r="A10" s="69" t="n"/>
      <c r="B10" s="110" t="inlineStr">
        <is>
          <t>Muga</t>
        </is>
      </c>
      <c r="C10" s="69" t="n"/>
      <c r="D10" s="69" t="n"/>
      <c r="E10" s="111">
        <f t="array" ref="E10">VLOOKUP($A$3,INDIRECT("'"&amp;B3&amp;"'!$A$2:$S$999"), 11, 0)</f>
        <v/>
      </c>
      <c r="F10" s="72">
        <f>IFERROR(I10/E10,0)</f>
        <v/>
      </c>
      <c r="G10" s="69" t="n"/>
      <c r="H10" s="69" t="n"/>
      <c r="I10" s="112">
        <f t="array" ref="I10">IF(E10&lt;&gt;0,VLOOKUP($A$3,INDIRECT("'"&amp;B3&amp;"'!$A$2:$S$999"),16,0),0)</f>
        <v/>
      </c>
      <c r="J10" s="12" t="n"/>
      <c r="K10" s="108" t="inlineStr">
        <is>
          <t>Muga</t>
        </is>
      </c>
      <c r="L10" s="48">
        <f>IFERROR(M10/E10,0)</f>
        <v/>
      </c>
      <c r="M10" s="109">
        <f t="array" ref="M10">IF(I10&lt;&gt;0,VLOOKUP($A$3,INDIRECT("'"&amp;B3&amp;"'!$A$2:$S$999"),16,0),0)</f>
        <v/>
      </c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</row>
    <row r="11" ht="18.75" customHeight="1" s="220">
      <c r="A11" s="12" t="n"/>
      <c r="B11" s="12" t="n"/>
      <c r="C11" s="12" t="n"/>
      <c r="D11" s="12" t="n"/>
      <c r="E11" s="113" t="n">
        <v>38</v>
      </c>
      <c r="F11" s="75" t="inlineStr">
        <is>
          <t>%</t>
        </is>
      </c>
      <c r="G11" s="76" t="inlineStr">
        <is>
          <t>Discount</t>
        </is>
      </c>
      <c r="H11" s="77" t="n"/>
      <c r="I11" s="67" t="n">
        <v>696</v>
      </c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</row>
    <row r="12" ht="18.75" customHeight="1" s="220">
      <c r="A12" s="12" t="n"/>
      <c r="B12" s="12" t="n"/>
      <c r="C12" s="12" t="n"/>
      <c r="D12" s="12" t="n"/>
      <c r="E12" s="231" t="inlineStr">
        <is>
          <t>Amount Before TAX</t>
        </is>
      </c>
      <c r="G12" s="232" t="n"/>
      <c r="H12" s="114">
        <f t="array" ref="H12">VLOOKUP($A$3,INDIRECT("'"&amp;B3&amp;"'!$A$2:$S$999"), 17, 0)</f>
        <v/>
      </c>
      <c r="I12" s="65">
        <f>SUM(I4:I10)-I11</f>
        <v/>
      </c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</row>
    <row r="13" ht="18.75" customHeight="1" s="220">
      <c r="A13" s="12" t="n"/>
      <c r="B13" s="12" t="n"/>
      <c r="C13" s="12" t="n"/>
      <c r="D13" s="12" t="n"/>
      <c r="E13" s="231" t="inlineStr">
        <is>
          <t>2% TAX</t>
        </is>
      </c>
      <c r="G13" s="232" t="n"/>
      <c r="H13" s="81">
        <f>H12*0.02</f>
        <v/>
      </c>
      <c r="I13" s="8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</row>
    <row r="14" ht="18.75" customHeight="1" s="220">
      <c r="A14" s="12" t="n"/>
      <c r="B14" s="12" t="n"/>
      <c r="C14" s="12" t="n"/>
      <c r="D14" s="12" t="n"/>
      <c r="E14" s="234" t="inlineStr">
        <is>
          <t>Grand Total</t>
        </is>
      </c>
      <c r="F14" s="235" t="n"/>
      <c r="G14" s="236" t="n"/>
      <c r="H14" s="237">
        <f>H12+I12+H13</f>
        <v/>
      </c>
      <c r="I14" s="238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</row>
    <row r="15" ht="18.75" customHeight="1" s="220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</row>
    <row r="16" ht="18.75" customHeight="1" s="220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</row>
    <row r="17" ht="18.75" customHeight="1" s="220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</row>
    <row r="18" ht="18.75" customHeight="1" s="220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</row>
    <row r="19" ht="18.75" customHeight="1" s="220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</row>
    <row r="20" ht="18.75" customHeight="1" s="2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</row>
    <row r="21" ht="18.75" customHeight="1" s="220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</row>
    <row r="22" ht="18.75" customHeight="1" s="220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</row>
    <row r="23" ht="18.75" customHeight="1" s="220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</row>
    <row r="24" ht="18.75" customHeight="1" s="220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</row>
    <row r="25" ht="18.75" customHeight="1" s="220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</row>
    <row r="26" ht="18.75" customHeight="1" s="220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</row>
    <row r="27" ht="18.75" customHeight="1" s="220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</row>
    <row r="28" ht="18.75" customHeight="1" s="220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</row>
    <row r="29" ht="18.75" customHeight="1" s="220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</row>
    <row r="30" ht="18.75" customHeight="1" s="22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</row>
    <row r="31" ht="18.75" customHeight="1" s="220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</row>
    <row r="32" ht="18.75" customHeight="1" s="220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</row>
    <row r="33" ht="18.75" customHeight="1" s="220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15" t="n"/>
      <c r="J33" s="116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</row>
    <row r="34" ht="18.75" customHeight="1" s="220">
      <c r="A34" s="12" t="n"/>
      <c r="B34" s="12" t="n"/>
      <c r="C34" s="12" t="n"/>
      <c r="D34" s="12" t="n"/>
      <c r="E34" s="117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</row>
    <row r="35" ht="18.75" customHeight="1" s="220">
      <c r="A35" s="12" t="n"/>
      <c r="B35" s="12" t="n"/>
      <c r="C35" s="12" t="n"/>
      <c r="D35" s="12" t="n"/>
      <c r="F35" s="12" t="n"/>
      <c r="G35" s="12" t="n"/>
      <c r="H35" s="12" t="n"/>
      <c r="I35" s="26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</row>
    <row r="36" ht="18.75" customHeight="1" s="220">
      <c r="A36" s="12" t="n"/>
      <c r="B36" s="12" t="n"/>
      <c r="C36" s="12" t="n"/>
      <c r="D36" s="12" t="n"/>
      <c r="E36" s="117" t="n"/>
      <c r="F36" s="12" t="n"/>
      <c r="G36" s="12" t="n"/>
      <c r="H36" s="12" t="n"/>
      <c r="I36" s="12" t="n"/>
      <c r="J36" s="12" t="n"/>
      <c r="K36" s="2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</row>
    <row r="37" ht="18.75" customHeight="1" s="220">
      <c r="A37" s="12" t="n"/>
      <c r="B37" s="12" t="n"/>
      <c r="C37" s="12" t="n"/>
      <c r="D37" s="12" t="n"/>
      <c r="E37" s="12" t="n"/>
      <c r="F37" s="24" t="n"/>
      <c r="G37" s="24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</row>
    <row r="38" ht="18.75" customHeight="1" s="220">
      <c r="A38" s="12" t="n"/>
      <c r="B38" s="12" t="n"/>
      <c r="C38" s="12" t="n"/>
      <c r="D38" s="12" t="n"/>
      <c r="E38" s="12" t="n"/>
      <c r="F38" s="24" t="n"/>
      <c r="G38" s="24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</row>
    <row r="39" ht="18.75" customHeight="1" s="220">
      <c r="A39" s="12" t="n"/>
      <c r="B39" s="12" t="n"/>
      <c r="C39" s="12" t="n"/>
      <c r="D39" s="12" t="n"/>
      <c r="E39" s="12" t="n"/>
      <c r="F39" s="24" t="n"/>
      <c r="G39" s="24" t="n"/>
      <c r="H39" s="12" t="n"/>
      <c r="I39" s="12" t="n"/>
      <c r="J39" s="12" t="n"/>
      <c r="K39" s="26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</row>
    <row r="40" ht="18.75" customHeight="1" s="220">
      <c r="A40" s="12" t="n"/>
      <c r="B40" s="12" t="n"/>
      <c r="C40" s="12" t="n"/>
      <c r="D40" s="12" t="n"/>
      <c r="E40" s="12" t="n"/>
      <c r="F40" s="24" t="n"/>
      <c r="G40" s="24" t="n"/>
      <c r="H40" s="12" t="n"/>
      <c r="I40" s="12" t="n"/>
      <c r="J40" s="12" t="n"/>
      <c r="K40" s="26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</row>
    <row r="41" ht="18.75" customHeight="1" s="220">
      <c r="A41" s="12" t="n"/>
      <c r="B41" s="12" t="n"/>
      <c r="C41" s="12" t="n"/>
      <c r="D41" s="12" t="n"/>
      <c r="E41" s="12" t="n"/>
      <c r="F41" s="24" t="n"/>
      <c r="G41" s="24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</row>
    <row r="42" ht="18.75" customHeight="1" s="220">
      <c r="A42" s="12" t="n"/>
      <c r="B42" s="12" t="n"/>
      <c r="C42" s="12" t="n"/>
      <c r="D42" s="12" t="n"/>
      <c r="E42" s="12" t="n"/>
      <c r="F42" s="24" t="n"/>
      <c r="G42" s="24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</row>
    <row r="43" ht="18.75" customHeight="1" s="220">
      <c r="A43" s="12" t="n"/>
      <c r="B43" s="12" t="n"/>
      <c r="C43" s="12" t="n"/>
      <c r="D43" s="12" t="n"/>
      <c r="E43" s="12" t="n"/>
      <c r="F43" s="24" t="n"/>
      <c r="G43" s="24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</row>
    <row r="44" ht="18.75" customHeight="1" s="220">
      <c r="A44" s="12" t="n"/>
      <c r="B44" s="12" t="n"/>
      <c r="C44" s="12" t="n"/>
      <c r="D44" s="12" t="n"/>
      <c r="E44" s="95" t="n"/>
      <c r="F44" s="24" t="n"/>
      <c r="G44" s="12" t="n"/>
      <c r="H44" s="12" t="n"/>
      <c r="I44" s="12" t="n"/>
      <c r="J44" s="96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</row>
    <row r="45" ht="18.75" customHeight="1" s="220">
      <c r="A45" s="12" t="n"/>
      <c r="B45" s="12" t="n"/>
      <c r="C45" s="12" t="n"/>
      <c r="D45" s="12" t="n"/>
      <c r="E45" s="97" t="n"/>
      <c r="F45" s="24" t="n"/>
      <c r="G45" s="12" t="n"/>
      <c r="H45" s="12" t="n"/>
      <c r="I45" s="12" t="n"/>
      <c r="J45" s="96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</row>
    <row r="46" ht="18.75" customHeight="1" s="220">
      <c r="A46" s="12" t="n"/>
      <c r="B46" s="12" t="n"/>
      <c r="C46" s="12" t="n"/>
      <c r="D46" s="12" t="n"/>
      <c r="E46" s="95" t="n"/>
      <c r="F46" s="24" t="n"/>
      <c r="G46" s="12" t="n"/>
      <c r="H46" s="12" t="n"/>
      <c r="I46" s="12" t="n"/>
      <c r="J46" s="96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</row>
    <row r="47" ht="18.75" customHeight="1" s="220">
      <c r="A47" s="12" t="n"/>
      <c r="B47" s="12" t="n"/>
      <c r="C47" s="12" t="n"/>
      <c r="D47" s="12" t="n"/>
      <c r="E47" s="95" t="n"/>
      <c r="F47" s="24" t="n"/>
      <c r="G47" s="12" t="n"/>
      <c r="H47" s="12" t="n"/>
      <c r="I47" s="12" t="n"/>
      <c r="J47" s="95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</row>
    <row r="48" ht="18.75" customHeight="1" s="220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</row>
    <row r="49" ht="18.75" customHeight="1" s="220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</row>
    <row r="50" ht="18.75" customHeight="1" s="22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</row>
    <row r="51" ht="18.75" customHeight="1" s="220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</row>
    <row r="52" ht="18.75" customHeight="1" s="220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68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</row>
    <row r="53" ht="18.75" customHeight="1" s="220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</row>
    <row r="54" ht="18.75" customHeight="1" s="220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</row>
    <row r="55" ht="18.75" customHeight="1" s="220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</row>
    <row r="56" ht="18.75" customHeight="1" s="220">
      <c r="A56" s="12" t="n"/>
      <c r="B56" s="12" t="n"/>
      <c r="C56" s="12" t="n"/>
      <c r="D56" s="12" t="n"/>
      <c r="E56" s="12" t="n"/>
      <c r="F56" s="12" t="n"/>
      <c r="G56" s="12" t="n"/>
      <c r="H56" s="95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</row>
    <row r="57" ht="18.75" customHeight="1" s="220">
      <c r="A57" s="12" t="n"/>
      <c r="B57" s="12" t="n"/>
      <c r="C57" s="12" t="n"/>
      <c r="D57" s="12" t="n"/>
      <c r="E57" s="12" t="n"/>
      <c r="F57" s="12" t="n"/>
      <c r="G57" s="12" t="n"/>
      <c r="H57" s="95" t="n"/>
      <c r="I57" s="118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</row>
    <row r="58" ht="18.75" customHeight="1" s="220">
      <c r="A58" s="12" t="n"/>
      <c r="B58" s="12" t="n"/>
      <c r="C58" s="12" t="n"/>
      <c r="D58" s="12" t="n"/>
      <c r="E58" s="12" t="n"/>
      <c r="F58" s="12" t="n"/>
      <c r="G58" s="12" t="n"/>
      <c r="H58" s="95" t="n"/>
      <c r="I58" s="118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</row>
    <row r="59" ht="18.75" customHeight="1" s="220">
      <c r="A59" s="12" t="n"/>
      <c r="B59" s="12" t="n"/>
      <c r="C59" s="12" t="n"/>
      <c r="D59" s="12" t="n"/>
      <c r="E59" s="12" t="n"/>
      <c r="F59" s="12" t="n"/>
      <c r="G59" s="12" t="n"/>
      <c r="H59" s="95" t="n"/>
      <c r="I59" s="98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</row>
    <row r="60" ht="18.75" customHeight="1" s="220">
      <c r="A60" s="12" t="n"/>
      <c r="B60" s="12" t="n"/>
      <c r="C60" s="12" t="n"/>
      <c r="D60" s="12" t="n"/>
      <c r="E60" s="12" t="n"/>
      <c r="F60" s="12" t="n"/>
      <c r="G60" s="12" t="n"/>
      <c r="H60" s="95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</row>
    <row r="61" ht="18.75" customHeight="1" s="220">
      <c r="A61" s="12" t="n"/>
      <c r="B61" s="12" t="n"/>
      <c r="C61" s="12" t="n"/>
      <c r="D61" s="12" t="n"/>
      <c r="E61" s="12" t="n"/>
      <c r="F61" s="12" t="n"/>
      <c r="G61" s="12" t="n"/>
      <c r="H61" s="95" t="n"/>
      <c r="I61" s="98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</row>
    <row r="62" ht="18.75" customHeight="1" s="220">
      <c r="A62" s="12" t="n"/>
      <c r="B62" s="12" t="n"/>
      <c r="C62" s="12" t="n"/>
      <c r="D62" s="12" t="n"/>
      <c r="E62" s="12" t="n"/>
      <c r="F62" s="12" t="n"/>
      <c r="G62" s="12" t="n"/>
      <c r="H62" s="95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</row>
    <row r="63" ht="18.75" customHeight="1" s="220">
      <c r="A63" s="12" t="n"/>
      <c r="B63" s="12" t="n"/>
      <c r="C63" s="12" t="n"/>
      <c r="D63" s="12" t="n"/>
      <c r="E63" s="12" t="n"/>
      <c r="F63" s="12" t="n"/>
      <c r="G63" s="12" t="n"/>
      <c r="H63" s="95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</row>
    <row r="64" ht="18.75" customHeight="1" s="220">
      <c r="A64" s="12" t="n"/>
      <c r="B64" s="12" t="n"/>
      <c r="C64" s="12" t="n"/>
      <c r="D64" s="12" t="n"/>
      <c r="E64" s="12" t="n"/>
      <c r="F64" s="12" t="n"/>
      <c r="G64" s="12" t="n"/>
      <c r="H64" s="95" t="n"/>
      <c r="I64" s="98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</row>
    <row r="65" ht="18.75" customHeight="1" s="220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</row>
    <row r="66" ht="18.75" customHeight="1" s="220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</row>
    <row r="67" ht="18.75" customHeight="1" s="220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</row>
    <row r="68" ht="18.75" customHeight="1" s="220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</row>
    <row r="69" ht="18.75" customHeight="1" s="220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</row>
    <row r="70" ht="18.75" customHeight="1" s="22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</row>
    <row r="71" ht="18.75" customHeight="1" s="220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</row>
    <row r="72" ht="18.75" customHeight="1" s="220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</row>
    <row r="73" ht="18.75" customHeight="1" s="220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</row>
    <row r="74" ht="18.75" customHeight="1" s="220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</row>
    <row r="75" ht="18.75" customHeight="1" s="220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</row>
    <row r="76" ht="18.75" customHeight="1" s="220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</row>
    <row r="77" ht="18.75" customHeight="1" s="220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</row>
    <row r="78" ht="18.75" customHeight="1" s="220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</row>
    <row r="79" ht="18.75" customHeight="1" s="220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</row>
    <row r="80" ht="18.75" customHeight="1" s="22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</row>
    <row r="81" ht="18.75" customHeight="1" s="220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</row>
    <row r="82" ht="18.75" customHeight="1" s="220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</row>
    <row r="83" ht="18.75" customHeight="1" s="220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</row>
    <row r="84" ht="18.75" customHeight="1" s="220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</row>
    <row r="85" ht="18.75" customHeight="1" s="220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</row>
    <row r="86" ht="18.75" customHeight="1" s="220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</row>
    <row r="87" ht="18.75" customHeight="1" s="220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</row>
    <row r="88" ht="18.75" customHeight="1" s="220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</row>
    <row r="89" ht="18.75" customHeight="1" s="220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</row>
    <row r="90" ht="18.75" customHeight="1" s="22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</row>
    <row r="91" ht="18.75" customHeight="1" s="220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</row>
    <row r="92" ht="18.75" customHeight="1" s="220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</row>
    <row r="93" ht="18.75" customHeight="1" s="220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</row>
    <row r="94" ht="18.75" customHeight="1" s="220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</row>
    <row r="95" ht="18.75" customHeight="1" s="220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</row>
    <row r="96" ht="18.75" customHeight="1" s="220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</row>
    <row r="97" ht="18.75" customHeight="1" s="220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</row>
    <row r="98" ht="18.75" customHeight="1" s="220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</row>
    <row r="99" ht="18.75" customHeight="1" s="220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</row>
    <row r="100" ht="18.75" customHeight="1" s="22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</row>
    <row r="101" ht="18.75" customHeight="1" s="220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</row>
    <row r="102" ht="18.75" customHeight="1" s="220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</row>
    <row r="103" ht="18.75" customHeight="1" s="220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</row>
    <row r="104" ht="18.75" customHeight="1" s="220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</row>
    <row r="105" ht="18.75" customHeight="1" s="220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</row>
    <row r="106" ht="18.75" customHeight="1" s="220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</row>
    <row r="107" ht="18.75" customHeight="1" s="220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</row>
    <row r="108" ht="18.75" customHeight="1" s="220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</row>
    <row r="109" ht="18.75" customHeight="1" s="220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</row>
    <row r="110" ht="18.75" customHeight="1" s="22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</row>
    <row r="111" ht="18.75" customHeight="1" s="220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</row>
    <row r="112" ht="18.75" customHeight="1" s="220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</row>
    <row r="113" ht="18.75" customHeight="1" s="220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</row>
    <row r="114" ht="18.75" customHeight="1" s="220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</row>
    <row r="115" ht="18.75" customHeight="1" s="220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</row>
    <row r="116" ht="18.75" customHeight="1" s="220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</row>
    <row r="117" ht="18.75" customHeight="1" s="220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</row>
    <row r="118" ht="18.75" customHeight="1" s="220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</row>
    <row r="119" ht="18.75" customHeight="1" s="220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</row>
    <row r="120" ht="18.75" customHeight="1" s="2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</row>
    <row r="121" ht="18.75" customHeight="1" s="220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</row>
    <row r="122" ht="18.75" customHeight="1" s="220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</row>
    <row r="123" ht="18.75" customHeight="1" s="220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</row>
    <row r="124" ht="18.75" customHeight="1" s="220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</row>
    <row r="125" ht="18.75" customHeight="1" s="220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</row>
    <row r="126" ht="18.75" customHeight="1" s="220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</row>
    <row r="127" ht="18.75" customHeight="1" s="220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</row>
    <row r="128" ht="18.75" customHeight="1" s="220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</row>
    <row r="129" ht="18.75" customHeight="1" s="220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</row>
    <row r="130" ht="18.75" customHeight="1" s="22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</row>
    <row r="131" ht="18.75" customHeight="1" s="220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</row>
    <row r="132" ht="18.75" customHeight="1" s="220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</row>
    <row r="133" ht="18.75" customHeight="1" s="220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</row>
    <row r="134" ht="18.75" customHeight="1" s="220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</row>
    <row r="135" ht="18.75" customHeight="1" s="220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</row>
    <row r="136" ht="18.75" customHeight="1" s="220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</row>
    <row r="137" ht="18.75" customHeight="1" s="220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</row>
    <row r="138" ht="18.75" customHeight="1" s="220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</row>
    <row r="139" ht="18.75" customHeight="1" s="220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</row>
    <row r="140" ht="18.75" customHeight="1" s="22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</row>
    <row r="141" ht="18.75" customHeight="1" s="220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</row>
    <row r="142" ht="18.75" customHeight="1" s="220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</row>
    <row r="143" ht="18.75" customHeight="1" s="220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</row>
    <row r="144" ht="18.75" customHeight="1" s="220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</row>
    <row r="145" ht="18.75" customHeight="1" s="220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</row>
    <row r="146" ht="18.75" customHeight="1" s="220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</row>
    <row r="147" ht="18.75" customHeight="1" s="220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</row>
    <row r="148" ht="18.75" customHeight="1" s="220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</row>
    <row r="149" ht="18.75" customHeight="1" s="220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</row>
    <row r="150" ht="18.75" customHeight="1" s="22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</row>
    <row r="151" ht="18.75" customHeight="1" s="220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</row>
    <row r="152" ht="18.75" customHeight="1" s="220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</row>
    <row r="153" ht="18.75" customHeight="1" s="220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</row>
    <row r="154" ht="18.75" customHeight="1" s="220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</row>
    <row r="155" ht="18.75" customHeight="1" s="220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</row>
    <row r="156" ht="18.75" customHeight="1" s="220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</row>
    <row r="157" ht="18.75" customHeight="1" s="220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</row>
    <row r="158" ht="18.75" customHeight="1" s="220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</row>
    <row r="159" ht="18.75" customHeight="1" s="220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</row>
    <row r="160" ht="18.75" customHeight="1" s="22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</row>
    <row r="161" ht="18.75" customHeight="1" s="220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</row>
    <row r="162" ht="18.75" customHeight="1" s="220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</row>
    <row r="163" ht="18.75" customHeight="1" s="220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</row>
    <row r="164" ht="18.75" customHeight="1" s="220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</row>
    <row r="165" ht="18.75" customHeight="1" s="220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</row>
    <row r="166" ht="18.75" customHeight="1" s="220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</row>
    <row r="167" ht="18.75" customHeight="1" s="220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</row>
    <row r="168" ht="18.75" customHeight="1" s="220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</row>
    <row r="169" ht="18.75" customHeight="1" s="220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</row>
    <row r="170" ht="18.75" customHeight="1" s="22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</row>
    <row r="171" ht="18.75" customHeight="1" s="220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</row>
    <row r="172" ht="18.75" customHeight="1" s="220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</row>
    <row r="173" ht="18.75" customHeight="1" s="220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</row>
    <row r="174" ht="18.75" customHeight="1" s="220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</row>
    <row r="175" ht="18.75" customHeight="1" s="220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</row>
    <row r="176" ht="18.75" customHeight="1" s="220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</row>
    <row r="177" ht="18.75" customHeight="1" s="220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</row>
    <row r="178" ht="18.75" customHeight="1" s="220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</row>
    <row r="179" ht="18.75" customHeight="1" s="220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</row>
    <row r="180" ht="18.75" customHeight="1" s="22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</row>
    <row r="181" ht="18.75" customHeight="1" s="220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</row>
    <row r="182" ht="18.75" customHeight="1" s="220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</row>
    <row r="183" ht="18.75" customHeight="1" s="220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</row>
    <row r="184" ht="18.75" customHeight="1" s="220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</row>
    <row r="185" ht="18.75" customHeight="1" s="220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</row>
    <row r="186" ht="18.75" customHeight="1" s="220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</row>
    <row r="187" ht="18.75" customHeight="1" s="220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</row>
    <row r="188" ht="18.75" customHeight="1" s="220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</row>
    <row r="189" ht="18.75" customHeight="1" s="220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</row>
    <row r="190" ht="18.75" customHeight="1" s="22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</row>
    <row r="191" ht="18.75" customHeight="1" s="220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</row>
    <row r="192" ht="18.75" customHeight="1" s="220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</row>
    <row r="193" ht="18.75" customHeight="1" s="220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</row>
    <row r="194" ht="18.75" customHeight="1" s="220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</row>
    <row r="195" ht="18.75" customHeight="1" s="220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</row>
    <row r="196" ht="18.75" customHeight="1" s="220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</row>
    <row r="197" ht="18.75" customHeight="1" s="220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</row>
    <row r="198" ht="18.75" customHeight="1" s="220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</row>
    <row r="199" ht="18.75" customHeight="1" s="220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</row>
    <row r="200" ht="18.75" customHeight="1" s="22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</row>
    <row r="201" ht="18.75" customHeight="1" s="220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</row>
    <row r="202" ht="18.75" customHeight="1" s="220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</row>
    <row r="203" ht="18.75" customHeight="1" s="220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</row>
    <row r="204" ht="18.75" customHeight="1" s="220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</row>
    <row r="205" ht="18.75" customHeight="1" s="220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</row>
    <row r="206" ht="18.75" customHeight="1" s="220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</row>
    <row r="207" ht="18.75" customHeight="1" s="220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</row>
    <row r="208" ht="18.75" customHeight="1" s="220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</row>
    <row r="209" ht="18.75" customHeight="1" s="220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</row>
    <row r="210" ht="18.75" customHeight="1" s="22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</row>
    <row r="211" ht="18.75" customHeight="1" s="220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</row>
    <row r="212" ht="18.75" customHeight="1" s="220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</row>
    <row r="213" ht="18.75" customHeight="1" s="220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</row>
    <row r="214" ht="18.75" customHeight="1" s="220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</row>
    <row r="215" ht="18.75" customHeight="1" s="220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</row>
    <row r="216" ht="18.75" customHeight="1" s="220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</row>
    <row r="217" ht="18.75" customHeight="1" s="220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</row>
    <row r="218" ht="18.75" customHeight="1" s="220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</row>
    <row r="219" ht="18.75" customHeight="1" s="220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</row>
    <row r="220" ht="18.75" customHeight="1" s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</row>
    <row r="221" ht="18.75" customHeight="1" s="220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</row>
    <row r="222" ht="18.75" customHeight="1" s="220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</row>
    <row r="223" ht="18.75" customHeight="1" s="220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</row>
    <row r="224" ht="18.75" customHeight="1" s="220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</row>
    <row r="225" ht="18.75" customHeight="1" s="220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</row>
    <row r="226" ht="18.75" customHeight="1" s="220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</row>
    <row r="227" ht="18.75" customHeight="1" s="220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</row>
    <row r="228" ht="18.75" customHeight="1" s="220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</row>
    <row r="229" ht="18.75" customHeight="1" s="220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</row>
    <row r="230" ht="18.75" customHeight="1" s="22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</row>
    <row r="231" ht="18.75" customHeight="1" s="220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</row>
    <row r="232" ht="18.75" customHeight="1" s="220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</row>
    <row r="233" ht="18.75" customHeight="1" s="220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</row>
    <row r="234" ht="18.75" customHeight="1" s="220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</row>
    <row r="235" ht="18.75" customHeight="1" s="220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</row>
    <row r="236" ht="18.75" customHeight="1" s="220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</row>
    <row r="237" ht="18.75" customHeight="1" s="220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</row>
    <row r="238" ht="18.75" customHeight="1" s="220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</row>
    <row r="239" ht="18.75" customHeight="1" s="220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</row>
    <row r="240" ht="18.75" customHeight="1" s="22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</row>
    <row r="241" ht="18.75" customHeight="1" s="220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</row>
    <row r="242" ht="18.75" customHeight="1" s="220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</row>
    <row r="243" ht="18.75" customHeight="1" s="220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</row>
    <row r="244" ht="18.75" customHeight="1" s="220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</row>
    <row r="245" ht="18.75" customHeight="1" s="220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</row>
    <row r="246" ht="18.75" customHeight="1" s="220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</row>
    <row r="247" ht="18.75" customHeight="1" s="220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</row>
    <row r="248" ht="18.75" customHeight="1" s="220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</row>
    <row r="249" ht="18.75" customHeight="1" s="220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</row>
    <row r="250" ht="18.75" customHeight="1" s="22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</row>
    <row r="251" ht="18.75" customHeight="1" s="220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</row>
    <row r="252" ht="18.75" customHeight="1" s="220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</row>
    <row r="253" ht="18.75" customHeight="1" s="220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</row>
    <row r="254" ht="18.75" customHeight="1" s="220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</row>
    <row r="255" ht="18.75" customHeight="1" s="220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</row>
    <row r="256" ht="18.75" customHeight="1" s="220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</row>
    <row r="257" ht="18.75" customHeight="1" s="220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</row>
    <row r="258" ht="18.75" customHeight="1" s="220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</row>
    <row r="259" ht="18.75" customHeight="1" s="220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</row>
    <row r="260" ht="18.75" customHeight="1" s="22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</row>
    <row r="261" ht="18.75" customHeight="1" s="220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</row>
    <row r="262" ht="18.75" customHeight="1" s="220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</row>
    <row r="263" ht="18.75" customHeight="1" s="220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</row>
    <row r="264" ht="18.75" customHeight="1" s="220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</row>
    <row r="265" ht="18.75" customHeight="1" s="220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</row>
    <row r="266" ht="18.75" customHeight="1" s="220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</row>
    <row r="267" ht="18.75" customHeight="1" s="220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</row>
    <row r="268" ht="18.75" customHeight="1" s="220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</row>
    <row r="269" ht="18.75" customHeight="1" s="220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</row>
    <row r="270" ht="18.75" customHeight="1" s="22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</row>
    <row r="271" ht="18.75" customHeight="1" s="220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</row>
    <row r="272" ht="18.75" customHeight="1" s="220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</row>
    <row r="273" ht="18.75" customHeight="1" s="220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</row>
    <row r="274" ht="18.75" customHeight="1" s="220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</row>
    <row r="275" ht="18.75" customHeight="1" s="220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</row>
    <row r="276" ht="18.75" customHeight="1" s="220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</row>
    <row r="277" ht="18.75" customHeight="1" s="220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</row>
    <row r="278" ht="18.75" customHeight="1" s="220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</row>
    <row r="279" ht="18.75" customHeight="1" s="220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</row>
    <row r="280" ht="18.75" customHeight="1" s="22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</row>
    <row r="281" ht="18.75" customHeight="1" s="220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</row>
    <row r="282" ht="18.75" customHeight="1" s="220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</row>
    <row r="283" ht="18.75" customHeight="1" s="220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</row>
    <row r="284" ht="18.75" customHeight="1" s="220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</row>
    <row r="285" ht="18.75" customHeight="1" s="220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</row>
    <row r="286" ht="18.75" customHeight="1" s="220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</row>
    <row r="287" ht="18.75" customHeight="1" s="220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</row>
    <row r="288" ht="18.75" customHeight="1" s="220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</row>
    <row r="289" ht="18.75" customHeight="1" s="220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</row>
    <row r="290" ht="18.75" customHeight="1" s="22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</row>
    <row r="291" ht="18.75" customHeight="1" s="220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</row>
    <row r="292" ht="18.75" customHeight="1" s="220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</row>
    <row r="293" ht="18.75" customHeight="1" s="220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</row>
    <row r="294" ht="18.75" customHeight="1" s="220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</row>
    <row r="295" ht="18.75" customHeight="1" s="220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</row>
    <row r="296" ht="18.75" customHeight="1" s="220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</row>
    <row r="297" ht="18.75" customHeight="1" s="220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</row>
    <row r="298" ht="18.75" customHeight="1" s="220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</row>
    <row r="299" ht="18.75" customHeight="1" s="220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</row>
    <row r="300" ht="18.75" customHeight="1" s="22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</row>
    <row r="301" ht="18.75" customHeight="1" s="220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</row>
    <row r="302" ht="18.75" customHeight="1" s="220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</row>
    <row r="303" ht="18.75" customHeight="1" s="220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</row>
    <row r="304" ht="18.75" customHeight="1" s="220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</row>
    <row r="305" ht="18.75" customHeight="1" s="220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</row>
    <row r="306" ht="18.75" customHeight="1" s="220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</row>
    <row r="307" ht="18.75" customHeight="1" s="220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</row>
    <row r="308" ht="18.75" customHeight="1" s="220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</row>
    <row r="309" ht="18.75" customHeight="1" s="220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</row>
    <row r="310" ht="18.75" customHeight="1" s="22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</row>
    <row r="311" ht="18.75" customHeight="1" s="220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</row>
    <row r="312" ht="18.75" customHeight="1" s="220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</row>
    <row r="313" ht="18.75" customHeight="1" s="220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</row>
    <row r="314" ht="18.75" customHeight="1" s="220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</row>
    <row r="315" ht="18.75" customHeight="1" s="220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</row>
    <row r="316" ht="18.75" customHeight="1" s="220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</row>
    <row r="317" ht="18.75" customHeight="1" s="220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</row>
    <row r="318" ht="18.75" customHeight="1" s="220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</row>
    <row r="319" ht="18.75" customHeight="1" s="220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</row>
    <row r="320" ht="18.75" customHeight="1" s="2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</row>
    <row r="321" ht="18.75" customHeight="1" s="220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</row>
    <row r="322" ht="18.75" customHeight="1" s="220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</row>
    <row r="323" ht="18.75" customHeight="1" s="220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</row>
    <row r="324" ht="18.75" customHeight="1" s="220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</row>
    <row r="325" ht="18.75" customHeight="1" s="220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</row>
    <row r="326" ht="18.75" customHeight="1" s="220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</row>
    <row r="327" ht="18.75" customHeight="1" s="220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</row>
    <row r="328" ht="18.75" customHeight="1" s="220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</row>
    <row r="329" ht="18.75" customHeight="1" s="220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</row>
    <row r="330" ht="18.75" customHeight="1" s="22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</row>
    <row r="331" ht="18.75" customHeight="1" s="220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</row>
    <row r="332" ht="18.75" customHeight="1" s="220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</row>
    <row r="333" ht="18.75" customHeight="1" s="220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</row>
    <row r="334" ht="18.75" customHeight="1" s="220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</row>
    <row r="335" ht="18.75" customHeight="1" s="220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</row>
    <row r="336" ht="18.75" customHeight="1" s="220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</row>
    <row r="337" ht="18.75" customHeight="1" s="220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</row>
    <row r="338" ht="18.75" customHeight="1" s="220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</row>
    <row r="339" ht="18.75" customHeight="1" s="220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</row>
    <row r="340" ht="18.75" customHeight="1" s="22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</row>
    <row r="341" ht="18.75" customHeight="1" s="220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</row>
    <row r="342" ht="18.75" customHeight="1" s="220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</row>
    <row r="343" ht="18.75" customHeight="1" s="220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</row>
    <row r="344" ht="18.75" customHeight="1" s="220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</row>
    <row r="345" ht="18.75" customHeight="1" s="220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</row>
    <row r="346" ht="18.75" customHeight="1" s="220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</row>
    <row r="347" ht="18.75" customHeight="1" s="220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</row>
    <row r="348" ht="18.75" customHeight="1" s="220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</row>
    <row r="349" ht="18.75" customHeight="1" s="220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</row>
    <row r="350" ht="18.75" customHeight="1" s="22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</row>
    <row r="351" ht="18.75" customHeight="1" s="220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</row>
    <row r="352" ht="18.75" customHeight="1" s="220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</row>
    <row r="353" ht="18.75" customHeight="1" s="220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</row>
    <row r="354" ht="18.75" customHeight="1" s="220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</row>
    <row r="355" ht="18.75" customHeight="1" s="220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</row>
    <row r="356" ht="18.75" customHeight="1" s="220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</row>
    <row r="357" ht="18.75" customHeight="1" s="220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</row>
    <row r="358" ht="18.75" customHeight="1" s="220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</row>
    <row r="359" ht="18.75" customHeight="1" s="220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</row>
    <row r="360" ht="18.75" customHeight="1" s="22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</row>
    <row r="361" ht="18.75" customHeight="1" s="220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</row>
    <row r="362" ht="18.75" customHeight="1" s="220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</row>
    <row r="363" ht="18.75" customHeight="1" s="220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</row>
    <row r="364" ht="18.75" customHeight="1" s="220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</row>
    <row r="365" ht="18.75" customHeight="1" s="220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</row>
    <row r="366" ht="18.75" customHeight="1" s="220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</row>
    <row r="367" ht="18.75" customHeight="1" s="220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</row>
    <row r="368" ht="18.75" customHeight="1" s="220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</row>
    <row r="369" ht="18.75" customHeight="1" s="220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</row>
    <row r="370" ht="18.75" customHeight="1" s="22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</row>
    <row r="371" ht="18.75" customHeight="1" s="220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</row>
    <row r="372" ht="18.75" customHeight="1" s="220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</row>
    <row r="373" ht="18.75" customHeight="1" s="220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</row>
    <row r="374" ht="18.75" customHeight="1" s="220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</row>
    <row r="375" ht="18.75" customHeight="1" s="220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</row>
    <row r="376" ht="18.75" customHeight="1" s="220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</row>
    <row r="377" ht="18.75" customHeight="1" s="220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</row>
    <row r="378" ht="18.75" customHeight="1" s="220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</row>
    <row r="379" ht="18.75" customHeight="1" s="220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</row>
    <row r="380" ht="18.75" customHeight="1" s="22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</row>
    <row r="381" ht="18.75" customHeight="1" s="220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</row>
    <row r="382" ht="18.75" customHeight="1" s="220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</row>
    <row r="383" ht="18.75" customHeight="1" s="220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</row>
    <row r="384" ht="18.75" customHeight="1" s="220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</row>
    <row r="385" ht="18.75" customHeight="1" s="220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</row>
    <row r="386" ht="18.75" customHeight="1" s="220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</row>
    <row r="387" ht="18.75" customHeight="1" s="220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</row>
    <row r="388" ht="18.75" customHeight="1" s="220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</row>
    <row r="389" ht="18.75" customHeight="1" s="220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</row>
    <row r="390" ht="18.75" customHeight="1" s="22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</row>
    <row r="391" ht="18.75" customHeight="1" s="220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</row>
    <row r="392" ht="18.75" customHeight="1" s="220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</row>
    <row r="393" ht="18.75" customHeight="1" s="220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</row>
    <row r="394" ht="18.75" customHeight="1" s="220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</row>
    <row r="395" ht="18.75" customHeight="1" s="220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</row>
    <row r="396" ht="18.75" customHeight="1" s="220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</row>
    <row r="397" ht="18.75" customHeight="1" s="220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</row>
    <row r="398" ht="18.75" customHeight="1" s="220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</row>
    <row r="399" ht="18.75" customHeight="1" s="220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</row>
    <row r="400" ht="18.75" customHeight="1" s="22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</row>
    <row r="401" ht="18.75" customHeight="1" s="220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</row>
    <row r="402" ht="18.75" customHeight="1" s="220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</row>
    <row r="403" ht="18.75" customHeight="1" s="220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</row>
    <row r="404" ht="18.75" customHeight="1" s="220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</row>
    <row r="405" ht="18.75" customHeight="1" s="220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</row>
    <row r="406" ht="18.75" customHeight="1" s="220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</row>
    <row r="407" ht="18.75" customHeight="1" s="220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</row>
    <row r="408" ht="18.75" customHeight="1" s="220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</row>
    <row r="409" ht="18.75" customHeight="1" s="220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</row>
    <row r="410" ht="18.75" customHeight="1" s="22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</row>
    <row r="411" ht="18.75" customHeight="1" s="220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</row>
    <row r="412" ht="18.75" customHeight="1" s="220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</row>
    <row r="413" ht="18.75" customHeight="1" s="220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</row>
    <row r="414" ht="18.75" customHeight="1" s="220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</row>
    <row r="415" ht="18.75" customHeight="1" s="220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</row>
    <row r="416" ht="18.75" customHeight="1" s="220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</row>
    <row r="417" ht="18.75" customHeight="1" s="220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</row>
    <row r="418" ht="18.75" customHeight="1" s="220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</row>
    <row r="419" ht="18.75" customHeight="1" s="220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</row>
    <row r="420" ht="18.75" customHeight="1" s="2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</row>
    <row r="421" ht="18.75" customHeight="1" s="220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</row>
    <row r="422" ht="18.75" customHeight="1" s="220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</row>
    <row r="423" ht="18.75" customHeight="1" s="220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</row>
    <row r="424" ht="18.75" customHeight="1" s="220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</row>
    <row r="425" ht="18.75" customHeight="1" s="220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</row>
    <row r="426" ht="18.75" customHeight="1" s="220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</row>
    <row r="427" ht="18.75" customHeight="1" s="220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</row>
    <row r="428" ht="18.75" customHeight="1" s="220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</row>
    <row r="429" ht="18.75" customHeight="1" s="220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</row>
    <row r="430" ht="18.75" customHeight="1" s="22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</row>
    <row r="431" ht="18.75" customHeight="1" s="220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</row>
    <row r="432" ht="18.75" customHeight="1" s="220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</row>
    <row r="433" ht="18.75" customHeight="1" s="220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</row>
    <row r="434" ht="18.75" customHeight="1" s="220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</row>
    <row r="435" ht="18.75" customHeight="1" s="220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</row>
    <row r="436" ht="18.75" customHeight="1" s="220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</row>
    <row r="437" ht="18.75" customHeight="1" s="220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</row>
    <row r="438" ht="18.75" customHeight="1" s="220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</row>
    <row r="439" ht="18.75" customHeight="1" s="220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</row>
    <row r="440" ht="18.75" customHeight="1" s="22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</row>
    <row r="441" ht="18.75" customHeight="1" s="220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</row>
    <row r="442" ht="18.75" customHeight="1" s="220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</row>
    <row r="443" ht="18.75" customHeight="1" s="220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</row>
    <row r="444" ht="18.75" customHeight="1" s="220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</row>
    <row r="445" ht="18.75" customHeight="1" s="220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</row>
    <row r="446" ht="18.75" customHeight="1" s="220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</row>
    <row r="447" ht="18.75" customHeight="1" s="220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</row>
    <row r="448" ht="18.75" customHeight="1" s="220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</row>
    <row r="449" ht="18.75" customHeight="1" s="220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</row>
    <row r="450" ht="18.75" customHeight="1" s="22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</row>
    <row r="451" ht="18.75" customHeight="1" s="220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</row>
    <row r="452" ht="18.75" customHeight="1" s="220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</row>
    <row r="453" ht="18.75" customHeight="1" s="220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</row>
    <row r="454" ht="18.75" customHeight="1" s="220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</row>
    <row r="455" ht="18.75" customHeight="1" s="220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</row>
    <row r="456" ht="18.75" customHeight="1" s="220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</row>
    <row r="457" ht="18.75" customHeight="1" s="220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</row>
    <row r="458" ht="18.75" customHeight="1" s="220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</row>
    <row r="459" ht="18.75" customHeight="1" s="220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</row>
    <row r="460" ht="18.75" customHeight="1" s="22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</row>
    <row r="461" ht="18.75" customHeight="1" s="220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</row>
    <row r="462" ht="18.75" customHeight="1" s="220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</row>
    <row r="463" ht="18.75" customHeight="1" s="220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</row>
    <row r="464" ht="18.75" customHeight="1" s="220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</row>
    <row r="465" ht="18.75" customHeight="1" s="220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</row>
    <row r="466" ht="18.75" customHeight="1" s="220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</row>
    <row r="467" ht="18.75" customHeight="1" s="220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</row>
    <row r="468" ht="18.75" customHeight="1" s="220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</row>
    <row r="469" ht="18.75" customHeight="1" s="220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</row>
    <row r="470" ht="18.75" customHeight="1" s="22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</row>
    <row r="471" ht="18.75" customHeight="1" s="220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</row>
    <row r="472" ht="18.75" customHeight="1" s="220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</row>
    <row r="473" ht="18.75" customHeight="1" s="220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</row>
    <row r="474" ht="18.75" customHeight="1" s="220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</row>
    <row r="475" ht="18.75" customHeight="1" s="220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</row>
    <row r="476" ht="18.75" customHeight="1" s="220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</row>
    <row r="477" ht="18.75" customHeight="1" s="220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</row>
    <row r="478" ht="18.75" customHeight="1" s="220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</row>
    <row r="479" ht="18.75" customHeight="1" s="220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</row>
    <row r="480" ht="18.75" customHeight="1" s="22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</row>
    <row r="481" ht="18.75" customHeight="1" s="220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</row>
    <row r="482" ht="18.75" customHeight="1" s="220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</row>
    <row r="483" ht="18.75" customHeight="1" s="220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</row>
    <row r="484" ht="18.75" customHeight="1" s="220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</row>
    <row r="485" ht="18.75" customHeight="1" s="220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</row>
    <row r="486" ht="18.75" customHeight="1" s="220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</row>
    <row r="487" ht="18.75" customHeight="1" s="220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</row>
    <row r="488" ht="18.75" customHeight="1" s="220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</row>
    <row r="489" ht="18.75" customHeight="1" s="220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</row>
    <row r="490" ht="18.75" customHeight="1" s="22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</row>
    <row r="491" ht="18.75" customHeight="1" s="220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</row>
    <row r="492" ht="18.75" customHeight="1" s="220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</row>
    <row r="493" ht="18.75" customHeight="1" s="220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</row>
    <row r="494" ht="18.75" customHeight="1" s="220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</row>
    <row r="495" ht="18.75" customHeight="1" s="220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</row>
    <row r="496" ht="18.75" customHeight="1" s="220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</row>
    <row r="497" ht="18.75" customHeight="1" s="220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</row>
    <row r="498" ht="18.75" customHeight="1" s="220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</row>
    <row r="499" ht="18.75" customHeight="1" s="220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</row>
    <row r="500" ht="18.75" customHeight="1" s="22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</row>
    <row r="501" ht="18.75" customHeight="1" s="220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</row>
    <row r="502" ht="18.75" customHeight="1" s="220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</row>
    <row r="503" ht="18.75" customHeight="1" s="220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</row>
    <row r="504" ht="18.75" customHeight="1" s="220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</row>
    <row r="505" ht="18.75" customHeight="1" s="220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</row>
    <row r="506" ht="18.75" customHeight="1" s="220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</row>
    <row r="507" ht="18.75" customHeight="1" s="220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</row>
    <row r="508" ht="18.75" customHeight="1" s="220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</row>
    <row r="509" ht="18.75" customHeight="1" s="220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</row>
    <row r="510" ht="18.75" customHeight="1" s="22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</row>
    <row r="511" ht="18.75" customHeight="1" s="220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</row>
    <row r="512" ht="18.75" customHeight="1" s="220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</row>
    <row r="513" ht="18.75" customHeight="1" s="220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</row>
    <row r="514" ht="18.75" customHeight="1" s="220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</row>
    <row r="515" ht="18.75" customHeight="1" s="220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</row>
    <row r="516" ht="18.75" customHeight="1" s="220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</row>
    <row r="517" ht="18.75" customHeight="1" s="220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</row>
    <row r="518" ht="18.75" customHeight="1" s="220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</row>
    <row r="519" ht="18.75" customHeight="1" s="220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</row>
    <row r="520" ht="18.75" customHeight="1" s="2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</row>
    <row r="521" ht="18.75" customHeight="1" s="220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</row>
    <row r="522" ht="18.75" customHeight="1" s="220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</row>
    <row r="523" ht="18.75" customHeight="1" s="220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</row>
    <row r="524" ht="18.75" customHeight="1" s="220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</row>
    <row r="525" ht="18.75" customHeight="1" s="220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</row>
    <row r="526" ht="18.75" customHeight="1" s="220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</row>
    <row r="527" ht="18.75" customHeight="1" s="220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</row>
    <row r="528" ht="18.75" customHeight="1" s="220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</row>
    <row r="529" ht="18.75" customHeight="1" s="220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</row>
    <row r="530" ht="18.75" customHeight="1" s="22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</row>
    <row r="531" ht="18.75" customHeight="1" s="220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</row>
    <row r="532" ht="18.75" customHeight="1" s="220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</row>
    <row r="533" ht="18.75" customHeight="1" s="220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</row>
    <row r="534" ht="18.75" customHeight="1" s="220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</row>
    <row r="535" ht="18.75" customHeight="1" s="220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</row>
    <row r="536" ht="18.75" customHeight="1" s="220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</row>
    <row r="537" ht="18.75" customHeight="1" s="220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</row>
    <row r="538" ht="18.75" customHeight="1" s="220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</row>
    <row r="539" ht="18.75" customHeight="1" s="220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</row>
    <row r="540" ht="18.75" customHeight="1" s="22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</row>
    <row r="541" ht="18.75" customHeight="1" s="220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</row>
    <row r="542" ht="18.75" customHeight="1" s="220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</row>
    <row r="543" ht="18.75" customHeight="1" s="220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</row>
    <row r="544" ht="18.75" customHeight="1" s="220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</row>
    <row r="545" ht="18.75" customHeight="1" s="220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</row>
    <row r="546" ht="18.75" customHeight="1" s="220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</row>
    <row r="547" ht="18.75" customHeight="1" s="220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</row>
    <row r="548" ht="18.75" customHeight="1" s="220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</row>
    <row r="549" ht="18.75" customHeight="1" s="220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</row>
    <row r="550" ht="18.75" customHeight="1" s="22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</row>
    <row r="551" ht="18.75" customHeight="1" s="220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</row>
    <row r="552" ht="18.75" customHeight="1" s="220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</row>
    <row r="553" ht="18.75" customHeight="1" s="220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</row>
    <row r="554" ht="18.75" customHeight="1" s="220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</row>
    <row r="555" ht="18.75" customHeight="1" s="220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</row>
    <row r="556" ht="18.75" customHeight="1" s="220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</row>
    <row r="557" ht="18.75" customHeight="1" s="220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</row>
    <row r="558" ht="18.75" customHeight="1" s="220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</row>
    <row r="559" ht="18.75" customHeight="1" s="220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</row>
    <row r="560" ht="18.75" customHeight="1" s="22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</row>
    <row r="561" ht="18.75" customHeight="1" s="220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</row>
    <row r="562" ht="18.75" customHeight="1" s="220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</row>
    <row r="563" ht="18.75" customHeight="1" s="220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</row>
    <row r="564" ht="18.75" customHeight="1" s="220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</row>
    <row r="565" ht="18.75" customHeight="1" s="220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</row>
    <row r="566" ht="18.75" customHeight="1" s="220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</row>
    <row r="567" ht="18.75" customHeight="1" s="220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</row>
    <row r="568" ht="18.75" customHeight="1" s="220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</row>
    <row r="569" ht="18.75" customHeight="1" s="220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</row>
    <row r="570" ht="18.75" customHeight="1" s="22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</row>
    <row r="571" ht="18.75" customHeight="1" s="220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</row>
    <row r="572" ht="18.75" customHeight="1" s="220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</row>
    <row r="573" ht="18.75" customHeight="1" s="220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</row>
    <row r="574" ht="18.75" customHeight="1" s="220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</row>
    <row r="575" ht="18.75" customHeight="1" s="220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</row>
    <row r="576" ht="18.75" customHeight="1" s="220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</row>
    <row r="577" ht="18.75" customHeight="1" s="220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</row>
    <row r="578" ht="18.75" customHeight="1" s="220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</row>
    <row r="579" ht="18.75" customHeight="1" s="220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</row>
    <row r="580" ht="18.75" customHeight="1" s="22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</row>
    <row r="581" ht="18.75" customHeight="1" s="220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</row>
    <row r="582" ht="18.75" customHeight="1" s="220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</row>
    <row r="583" ht="18.75" customHeight="1" s="220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</row>
    <row r="584" ht="18.75" customHeight="1" s="220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</row>
    <row r="585" ht="18.75" customHeight="1" s="220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</row>
    <row r="586" ht="18.75" customHeight="1" s="220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</row>
    <row r="587" ht="18.75" customHeight="1" s="220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</row>
    <row r="588" ht="18.75" customHeight="1" s="220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</row>
    <row r="589" ht="18.75" customHeight="1" s="220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</row>
    <row r="590" ht="18.75" customHeight="1" s="22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</row>
    <row r="591" ht="18.75" customHeight="1" s="220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</row>
    <row r="592" ht="18.75" customHeight="1" s="220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</row>
    <row r="593" ht="18.75" customHeight="1" s="220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</row>
    <row r="594" ht="18.75" customHeight="1" s="220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</row>
    <row r="595" ht="18.75" customHeight="1" s="220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</row>
    <row r="596" ht="18.75" customHeight="1" s="220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</row>
    <row r="597" ht="18.75" customHeight="1" s="220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</row>
    <row r="598" ht="18.75" customHeight="1" s="220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</row>
    <row r="599" ht="18.75" customHeight="1" s="220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</row>
    <row r="600" ht="18.75" customHeight="1" s="22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</row>
    <row r="601" ht="18.75" customHeight="1" s="220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</row>
    <row r="602" ht="18.75" customHeight="1" s="220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</row>
    <row r="603" ht="18.75" customHeight="1" s="220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</row>
    <row r="604" ht="18.75" customHeight="1" s="220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</row>
    <row r="605" ht="18.75" customHeight="1" s="220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</row>
    <row r="606" ht="18.75" customHeight="1" s="220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</row>
    <row r="607" ht="18.75" customHeight="1" s="220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</row>
    <row r="608" ht="18.75" customHeight="1" s="220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</row>
    <row r="609" ht="18.75" customHeight="1" s="220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</row>
    <row r="610" ht="18.75" customHeight="1" s="22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</row>
    <row r="611" ht="18.75" customHeight="1" s="220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</row>
    <row r="612" ht="18.75" customHeight="1" s="220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</row>
    <row r="613" ht="18.75" customHeight="1" s="220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</row>
    <row r="614" ht="18.75" customHeight="1" s="220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</row>
    <row r="615" ht="18.75" customHeight="1" s="220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</row>
    <row r="616" ht="18.75" customHeight="1" s="220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</row>
    <row r="617" ht="18.75" customHeight="1" s="220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</row>
    <row r="618" ht="18.75" customHeight="1" s="220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</row>
    <row r="619" ht="18.75" customHeight="1" s="220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</row>
    <row r="620" ht="18.75" customHeight="1" s="2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</row>
    <row r="621" ht="18.75" customHeight="1" s="220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</row>
    <row r="622" ht="18.75" customHeight="1" s="220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</row>
    <row r="623" ht="18.75" customHeight="1" s="220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</row>
    <row r="624" ht="18.75" customHeight="1" s="220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</row>
    <row r="625" ht="18.75" customHeight="1" s="220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</row>
    <row r="626" ht="18.75" customHeight="1" s="220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</row>
    <row r="627" ht="18.75" customHeight="1" s="220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</row>
    <row r="628" ht="18.75" customHeight="1" s="220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</row>
    <row r="629" ht="18.75" customHeight="1" s="220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</row>
    <row r="630" ht="18.75" customHeight="1" s="22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</row>
    <row r="631" ht="18.75" customHeight="1" s="220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</row>
    <row r="632" ht="18.75" customHeight="1" s="220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</row>
    <row r="633" ht="18.75" customHeight="1" s="220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</row>
    <row r="634" ht="18.75" customHeight="1" s="220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</row>
    <row r="635" ht="18.75" customHeight="1" s="220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</row>
    <row r="636" ht="18.75" customHeight="1" s="220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</row>
    <row r="637" ht="18.75" customHeight="1" s="220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</row>
    <row r="638" ht="18.75" customHeight="1" s="220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</row>
    <row r="639" ht="18.75" customHeight="1" s="220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</row>
    <row r="640" ht="18.75" customHeight="1" s="22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</row>
    <row r="641" ht="18.75" customHeight="1" s="220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</row>
    <row r="642" ht="18.75" customHeight="1" s="220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</row>
    <row r="643" ht="18.75" customHeight="1" s="220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</row>
    <row r="644" ht="18.75" customHeight="1" s="220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</row>
    <row r="645" ht="18.75" customHeight="1" s="220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</row>
    <row r="646" ht="18.75" customHeight="1" s="220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</row>
    <row r="647" ht="18.75" customHeight="1" s="220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</row>
    <row r="648" ht="18.75" customHeight="1" s="220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</row>
    <row r="649" ht="18.75" customHeight="1" s="220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</row>
    <row r="650" ht="18.75" customHeight="1" s="22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</row>
    <row r="651" ht="18.75" customHeight="1" s="220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</row>
    <row r="652" ht="18.75" customHeight="1" s="220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</row>
    <row r="653" ht="18.75" customHeight="1" s="220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</row>
    <row r="654" ht="18.75" customHeight="1" s="220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</row>
    <row r="655" ht="18.75" customHeight="1" s="220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</row>
    <row r="656" ht="18.75" customHeight="1" s="220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</row>
    <row r="657" ht="18.75" customHeight="1" s="220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</row>
    <row r="658" ht="18.75" customHeight="1" s="220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</row>
    <row r="659" ht="18.75" customHeight="1" s="220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</row>
    <row r="660" ht="18.75" customHeight="1" s="22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</row>
    <row r="661" ht="18.75" customHeight="1" s="220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</row>
    <row r="662" ht="18.75" customHeight="1" s="220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</row>
    <row r="663" ht="18.75" customHeight="1" s="220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</row>
    <row r="664" ht="18.75" customHeight="1" s="220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</row>
    <row r="665" ht="18.75" customHeight="1" s="220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</row>
    <row r="666" ht="18.75" customHeight="1" s="220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</row>
    <row r="667" ht="18.75" customHeight="1" s="220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</row>
    <row r="668" ht="18.75" customHeight="1" s="220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</row>
    <row r="669" ht="18.75" customHeight="1" s="220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</row>
    <row r="670" ht="18.75" customHeight="1" s="22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</row>
    <row r="671" ht="18.75" customHeight="1" s="220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</row>
    <row r="672" ht="18.75" customHeight="1" s="220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</row>
    <row r="673" ht="18.75" customHeight="1" s="220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</row>
    <row r="674" ht="18.75" customHeight="1" s="220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</row>
    <row r="675" ht="18.75" customHeight="1" s="220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</row>
    <row r="676" ht="18.75" customHeight="1" s="220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</row>
    <row r="677" ht="18.75" customHeight="1" s="220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</row>
    <row r="678" ht="18.75" customHeight="1" s="220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</row>
    <row r="679" ht="18.75" customHeight="1" s="220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</row>
    <row r="680" ht="18.75" customHeight="1" s="22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</row>
    <row r="681" ht="18.75" customHeight="1" s="220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</row>
    <row r="682" ht="18.75" customHeight="1" s="220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</row>
    <row r="683" ht="18.75" customHeight="1" s="220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</row>
    <row r="684" ht="18.75" customHeight="1" s="220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</row>
    <row r="685" ht="18.75" customHeight="1" s="220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</row>
    <row r="686" ht="18.75" customHeight="1" s="220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</row>
    <row r="687" ht="18.75" customHeight="1" s="220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</row>
    <row r="688" ht="18.75" customHeight="1" s="220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</row>
    <row r="689" ht="18.75" customHeight="1" s="220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</row>
    <row r="690" ht="18.75" customHeight="1" s="22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</row>
    <row r="691" ht="18.75" customHeight="1" s="220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</row>
    <row r="692" ht="18.75" customHeight="1" s="220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</row>
    <row r="693" ht="18.75" customHeight="1" s="220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</row>
    <row r="694" ht="18.75" customHeight="1" s="220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</row>
    <row r="695" ht="18.75" customHeight="1" s="220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</row>
    <row r="696" ht="18.75" customHeight="1" s="220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</row>
    <row r="697" ht="18.75" customHeight="1" s="220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</row>
    <row r="698" ht="18.75" customHeight="1" s="220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</row>
    <row r="699" ht="18.75" customHeight="1" s="220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</row>
    <row r="700" ht="18.75" customHeight="1" s="22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</row>
    <row r="701" ht="18.75" customHeight="1" s="220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</row>
    <row r="702" ht="18.75" customHeight="1" s="220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</row>
    <row r="703" ht="18.75" customHeight="1" s="220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</row>
    <row r="704" ht="18.75" customHeight="1" s="220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</row>
    <row r="705" ht="18.75" customHeight="1" s="220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</row>
    <row r="706" ht="18.75" customHeight="1" s="220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</row>
    <row r="707" ht="18.75" customHeight="1" s="220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</row>
    <row r="708" ht="18.75" customHeight="1" s="220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</row>
    <row r="709" ht="18.75" customHeight="1" s="220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</row>
    <row r="710" ht="18.75" customHeight="1" s="22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</row>
    <row r="711" ht="18.75" customHeight="1" s="220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</row>
    <row r="712" ht="18.75" customHeight="1" s="220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</row>
    <row r="713" ht="18.75" customHeight="1" s="220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</row>
    <row r="714" ht="18.75" customHeight="1" s="220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</row>
    <row r="715" ht="18.75" customHeight="1" s="220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</row>
    <row r="716" ht="18.75" customHeight="1" s="220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</row>
    <row r="717" ht="18.75" customHeight="1" s="220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</row>
    <row r="718" ht="18.75" customHeight="1" s="220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</row>
    <row r="719" ht="18.75" customHeight="1" s="220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</row>
    <row r="720" ht="18.75" customHeight="1" s="2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</row>
    <row r="721" ht="18.75" customHeight="1" s="220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</row>
    <row r="722" ht="18.75" customHeight="1" s="220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</row>
    <row r="723" ht="18.75" customHeight="1" s="220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</row>
    <row r="724" ht="18.75" customHeight="1" s="220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</row>
    <row r="725" ht="18.75" customHeight="1" s="220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</row>
    <row r="726" ht="18.75" customHeight="1" s="220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</row>
    <row r="727" ht="18.75" customHeight="1" s="220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</row>
    <row r="728" ht="18.75" customHeight="1" s="220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</row>
    <row r="729" ht="18.75" customHeight="1" s="220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</row>
    <row r="730" ht="18.75" customHeight="1" s="22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</row>
    <row r="731" ht="18.75" customHeight="1" s="220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</row>
    <row r="732" ht="18.75" customHeight="1" s="220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</row>
    <row r="733" ht="18.75" customHeight="1" s="220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</row>
    <row r="734" ht="18.75" customHeight="1" s="220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</row>
    <row r="735" ht="18.75" customHeight="1" s="220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</row>
    <row r="736" ht="18.75" customHeight="1" s="220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</row>
    <row r="737" ht="18.75" customHeight="1" s="220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</row>
    <row r="738" ht="18.75" customHeight="1" s="220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</row>
    <row r="739" ht="18.75" customHeight="1" s="220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</row>
    <row r="740" ht="18.75" customHeight="1" s="22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</row>
    <row r="741" ht="18.75" customHeight="1" s="220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</row>
    <row r="742" ht="18.75" customHeight="1" s="220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</row>
    <row r="743" ht="18.75" customHeight="1" s="220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</row>
    <row r="744" ht="18.75" customHeight="1" s="220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</row>
    <row r="745" ht="18.75" customHeight="1" s="220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</row>
    <row r="746" ht="18.75" customHeight="1" s="220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</row>
    <row r="747" ht="18.75" customHeight="1" s="220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</row>
    <row r="748" ht="18.75" customHeight="1" s="220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</row>
    <row r="749" ht="18.75" customHeight="1" s="220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</row>
    <row r="750" ht="18.75" customHeight="1" s="22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</row>
    <row r="751" ht="18.75" customHeight="1" s="220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</row>
    <row r="752" ht="18.75" customHeight="1" s="220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</row>
    <row r="753" ht="18.75" customHeight="1" s="220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</row>
    <row r="754" ht="18.75" customHeight="1" s="220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</row>
    <row r="755" ht="18.75" customHeight="1" s="220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</row>
    <row r="756" ht="18.75" customHeight="1" s="220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</row>
    <row r="757" ht="18.75" customHeight="1" s="220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</row>
    <row r="758" ht="18.75" customHeight="1" s="220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</row>
    <row r="759" ht="18.75" customHeight="1" s="220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</row>
    <row r="760" ht="18.75" customHeight="1" s="22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</row>
    <row r="761" ht="18.75" customHeight="1" s="220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</row>
    <row r="762" ht="18.75" customHeight="1" s="220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</row>
    <row r="763" ht="18.75" customHeight="1" s="220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</row>
    <row r="764" ht="18.75" customHeight="1" s="220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</row>
    <row r="765" ht="18.75" customHeight="1" s="220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</row>
    <row r="766" ht="18.75" customHeight="1" s="220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</row>
    <row r="767" ht="18.75" customHeight="1" s="220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</row>
    <row r="768" ht="18.75" customHeight="1" s="220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</row>
    <row r="769" ht="18.75" customHeight="1" s="220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</row>
    <row r="770" ht="18.75" customHeight="1" s="22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</row>
    <row r="771" ht="18.75" customHeight="1" s="220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</row>
    <row r="772" ht="18.75" customHeight="1" s="220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</row>
    <row r="773" ht="18.75" customHeight="1" s="220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</row>
    <row r="774" ht="18.75" customHeight="1" s="220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</row>
    <row r="775" ht="18.75" customHeight="1" s="220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</row>
    <row r="776" ht="18.75" customHeight="1" s="220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</row>
    <row r="777" ht="18.75" customHeight="1" s="220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</row>
    <row r="778" ht="18.75" customHeight="1" s="220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</row>
    <row r="779" ht="18.75" customHeight="1" s="220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</row>
    <row r="780" ht="18.75" customHeight="1" s="22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</row>
    <row r="781" ht="18.75" customHeight="1" s="220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</row>
    <row r="782" ht="18.75" customHeight="1" s="220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</row>
    <row r="783" ht="18.75" customHeight="1" s="220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</row>
    <row r="784" ht="18.75" customHeight="1" s="220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</row>
    <row r="785" ht="18.75" customHeight="1" s="220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</row>
    <row r="786" ht="18.75" customHeight="1" s="220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</row>
    <row r="787" ht="18.75" customHeight="1" s="220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</row>
    <row r="788" ht="18.75" customHeight="1" s="220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</row>
    <row r="789" ht="18.75" customHeight="1" s="220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</row>
    <row r="790" ht="18.75" customHeight="1" s="22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</row>
    <row r="791" ht="18.75" customHeight="1" s="220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</row>
    <row r="792" ht="18.75" customHeight="1" s="220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</row>
    <row r="793" ht="18.75" customHeight="1" s="220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</row>
    <row r="794" ht="18.75" customHeight="1" s="220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</row>
    <row r="795" ht="18.75" customHeight="1" s="220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</row>
    <row r="796" ht="18.75" customHeight="1" s="220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</row>
    <row r="797" ht="18.75" customHeight="1" s="220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</row>
    <row r="798" ht="18.75" customHeight="1" s="220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</row>
    <row r="799" ht="18.75" customHeight="1" s="220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</row>
    <row r="800" ht="18.75" customHeight="1" s="22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</row>
    <row r="801" ht="18.75" customHeight="1" s="220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</row>
    <row r="802" ht="18.75" customHeight="1" s="220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</row>
    <row r="803" ht="18.75" customHeight="1" s="220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</row>
    <row r="804" ht="18.75" customHeight="1" s="220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</row>
    <row r="805" ht="18.75" customHeight="1" s="220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</row>
    <row r="806" ht="18.75" customHeight="1" s="220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</row>
    <row r="807" ht="18.75" customHeight="1" s="220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</row>
    <row r="808" ht="18.75" customHeight="1" s="220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</row>
    <row r="809" ht="18.75" customHeight="1" s="220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</row>
    <row r="810" ht="18.75" customHeight="1" s="22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</row>
    <row r="811" ht="18.75" customHeight="1" s="220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</row>
    <row r="812" ht="18.75" customHeight="1" s="220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</row>
    <row r="813" ht="18.75" customHeight="1" s="220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</row>
    <row r="814" ht="18.75" customHeight="1" s="220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</row>
    <row r="815" ht="18.75" customHeight="1" s="220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</row>
    <row r="816" ht="18.75" customHeight="1" s="220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</row>
    <row r="817" ht="18.75" customHeight="1" s="220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</row>
    <row r="818" ht="18.75" customHeight="1" s="220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</row>
    <row r="819" ht="18.75" customHeight="1" s="220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</row>
    <row r="820" ht="18.75" customHeight="1" s="2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</row>
    <row r="821" ht="18.75" customHeight="1" s="220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</row>
    <row r="822" ht="18.75" customHeight="1" s="220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</row>
    <row r="823" ht="18.75" customHeight="1" s="220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</row>
    <row r="824" ht="18.75" customHeight="1" s="220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</row>
    <row r="825" ht="18.75" customHeight="1" s="220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</row>
    <row r="826" ht="18.75" customHeight="1" s="220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</row>
    <row r="827" ht="18.75" customHeight="1" s="220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</row>
    <row r="828" ht="18.75" customHeight="1" s="220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</row>
    <row r="829" ht="18.75" customHeight="1" s="220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</row>
    <row r="830" ht="18.75" customHeight="1" s="22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</row>
    <row r="831" ht="18.75" customHeight="1" s="220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</row>
    <row r="832" ht="18.75" customHeight="1" s="220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</row>
    <row r="833" ht="18.75" customHeight="1" s="220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</row>
    <row r="834" ht="18.75" customHeight="1" s="220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</row>
    <row r="835" ht="18.75" customHeight="1" s="220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</row>
    <row r="836" ht="18.75" customHeight="1" s="220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</row>
    <row r="837" ht="18.75" customHeight="1" s="220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</row>
    <row r="838" ht="18.75" customHeight="1" s="220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</row>
    <row r="839" ht="18.75" customHeight="1" s="220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</row>
    <row r="840" ht="18.75" customHeight="1" s="22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</row>
    <row r="841" ht="18.75" customHeight="1" s="220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</row>
    <row r="842" ht="18.75" customHeight="1" s="220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</row>
    <row r="843" ht="18.75" customHeight="1" s="220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</row>
    <row r="844" ht="18.75" customHeight="1" s="220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</row>
    <row r="845" ht="18.75" customHeight="1" s="220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</row>
    <row r="846" ht="18.75" customHeight="1" s="220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</row>
    <row r="847" ht="18.75" customHeight="1" s="220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</row>
    <row r="848" ht="18.75" customHeight="1" s="220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</row>
    <row r="849" ht="18.75" customHeight="1" s="220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</row>
    <row r="850" ht="18.75" customHeight="1" s="22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</row>
    <row r="851" ht="18.75" customHeight="1" s="220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</row>
    <row r="852" ht="18.75" customHeight="1" s="220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</row>
    <row r="853" ht="18.75" customHeight="1" s="220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</row>
    <row r="854" ht="18.75" customHeight="1" s="220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</row>
    <row r="855" ht="18.75" customHeight="1" s="220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</row>
    <row r="856" ht="18.75" customHeight="1" s="220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</row>
    <row r="857" ht="18.75" customHeight="1" s="220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</row>
    <row r="858" ht="18.75" customHeight="1" s="220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</row>
    <row r="859" ht="18.75" customHeight="1" s="220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</row>
    <row r="860" ht="18.75" customHeight="1" s="22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</row>
    <row r="861" ht="18.75" customHeight="1" s="220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</row>
    <row r="862" ht="18.75" customHeight="1" s="220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</row>
    <row r="863" ht="18.75" customHeight="1" s="220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</row>
    <row r="864" ht="18.75" customHeight="1" s="220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</row>
    <row r="865" ht="18.75" customHeight="1" s="220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</row>
    <row r="866" ht="18.75" customHeight="1" s="220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</row>
    <row r="867" ht="18.75" customHeight="1" s="220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</row>
    <row r="868" ht="18.75" customHeight="1" s="220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</row>
    <row r="869" ht="18.75" customHeight="1" s="220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</row>
    <row r="870" ht="18.75" customHeight="1" s="22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</row>
    <row r="871" ht="18.75" customHeight="1" s="220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</row>
    <row r="872" ht="18.75" customHeight="1" s="220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</row>
    <row r="873" ht="18.75" customHeight="1" s="220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</row>
    <row r="874" ht="18.75" customHeight="1" s="220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</row>
    <row r="875" ht="18.75" customHeight="1" s="220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</row>
    <row r="876" ht="18.75" customHeight="1" s="220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</row>
    <row r="877" ht="18.75" customHeight="1" s="220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</row>
    <row r="878" ht="18.75" customHeight="1" s="220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</row>
    <row r="879" ht="18.75" customHeight="1" s="220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</row>
    <row r="880" ht="18.75" customHeight="1" s="22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</row>
    <row r="881" ht="18.75" customHeight="1" s="220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</row>
    <row r="882" ht="18.75" customHeight="1" s="220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</row>
    <row r="883" ht="18.75" customHeight="1" s="220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</row>
    <row r="884" ht="18.75" customHeight="1" s="220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</row>
    <row r="885" ht="18.75" customHeight="1" s="220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</row>
    <row r="886" ht="18.75" customHeight="1" s="220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</row>
    <row r="887" ht="18.75" customHeight="1" s="220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</row>
    <row r="888" ht="18.75" customHeight="1" s="220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</row>
    <row r="889" ht="18.75" customHeight="1" s="220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</row>
    <row r="890" ht="18.75" customHeight="1" s="22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</row>
    <row r="891" ht="18.75" customHeight="1" s="220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</row>
    <row r="892" ht="18.75" customHeight="1" s="220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</row>
    <row r="893" ht="18.75" customHeight="1" s="220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</row>
    <row r="894" ht="18.75" customHeight="1" s="220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</row>
    <row r="895" ht="18.75" customHeight="1" s="220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</row>
    <row r="896" ht="18.75" customHeight="1" s="220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</row>
    <row r="897" ht="18.75" customHeight="1" s="220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</row>
    <row r="898" ht="18.75" customHeight="1" s="220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</row>
    <row r="899" ht="18.75" customHeight="1" s="220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</row>
    <row r="900" ht="18.75" customHeight="1" s="22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</row>
    <row r="901" ht="18.75" customHeight="1" s="220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</row>
    <row r="902" ht="18.75" customHeight="1" s="220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</row>
    <row r="903" ht="18.75" customHeight="1" s="220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</row>
    <row r="904" ht="18.75" customHeight="1" s="220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</row>
    <row r="905" ht="18.75" customHeight="1" s="220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</row>
    <row r="906" ht="18.75" customHeight="1" s="220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</row>
    <row r="907" ht="18.75" customHeight="1" s="220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</row>
    <row r="908" ht="18.75" customHeight="1" s="220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</row>
    <row r="909" ht="18.75" customHeight="1" s="220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</row>
    <row r="910" ht="18.75" customHeight="1" s="22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</row>
    <row r="911" ht="18.75" customHeight="1" s="220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</row>
    <row r="912" ht="18.75" customHeight="1" s="220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</row>
    <row r="913" ht="18.75" customHeight="1" s="220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</row>
    <row r="914" ht="18.75" customHeight="1" s="220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</row>
    <row r="915" ht="18.75" customHeight="1" s="220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</row>
    <row r="916" ht="18.75" customHeight="1" s="220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</row>
    <row r="917" ht="18.75" customHeight="1" s="220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</row>
    <row r="918" ht="18.75" customHeight="1" s="220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</row>
    <row r="919" ht="18.75" customHeight="1" s="220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</row>
    <row r="920" ht="18.75" customHeight="1" s="2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</row>
    <row r="921" ht="18.75" customHeight="1" s="220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</row>
    <row r="922" ht="18.75" customHeight="1" s="220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</row>
    <row r="923" ht="18.75" customHeight="1" s="220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</row>
    <row r="924" ht="18.75" customHeight="1" s="220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</row>
    <row r="925" ht="18.75" customHeight="1" s="220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</row>
    <row r="926" ht="18.75" customHeight="1" s="220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</row>
    <row r="927" ht="18.75" customHeight="1" s="220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</row>
    <row r="928" ht="18.75" customHeight="1" s="220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</row>
    <row r="929" ht="18.75" customHeight="1" s="220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</row>
    <row r="930" ht="18.75" customHeight="1" s="22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</row>
    <row r="931" ht="18.75" customHeight="1" s="220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</row>
    <row r="932" ht="18.75" customHeight="1" s="220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</row>
    <row r="933" ht="18.75" customHeight="1" s="220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</row>
    <row r="934" ht="18.75" customHeight="1" s="220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</row>
    <row r="935" ht="18.75" customHeight="1" s="220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</row>
    <row r="936" ht="18.75" customHeight="1" s="220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</row>
    <row r="937" ht="18.75" customHeight="1" s="220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</row>
    <row r="938" ht="18.75" customHeight="1" s="220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</row>
    <row r="939" ht="18.75" customHeight="1" s="220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</row>
    <row r="940" ht="18.75" customHeight="1" s="22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</row>
    <row r="941" ht="18.75" customHeight="1" s="220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</row>
    <row r="942" ht="18.75" customHeight="1" s="220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</row>
    <row r="943" ht="18.75" customHeight="1" s="220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</row>
    <row r="944" ht="18.75" customHeight="1" s="220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</row>
    <row r="945" ht="18.75" customHeight="1" s="220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</row>
    <row r="946" ht="18.75" customHeight="1" s="220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</row>
    <row r="947" ht="18.75" customHeight="1" s="220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</row>
    <row r="948" ht="18.75" customHeight="1" s="220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</row>
    <row r="949" ht="18.75" customHeight="1" s="220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</row>
    <row r="950" ht="18.75" customHeight="1" s="22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</row>
    <row r="951" ht="18.75" customHeight="1" s="220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</row>
    <row r="952" ht="18.75" customHeight="1" s="220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</row>
    <row r="953" ht="18.75" customHeight="1" s="220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</row>
    <row r="954" ht="18.75" customHeight="1" s="220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</row>
    <row r="955" ht="18.75" customHeight="1" s="220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</row>
    <row r="956" ht="18.75" customHeight="1" s="220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</row>
    <row r="957" ht="18.75" customHeight="1" s="220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</row>
    <row r="958" ht="18.75" customHeight="1" s="220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</row>
    <row r="959" ht="18.75" customHeight="1" s="220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</row>
    <row r="960" ht="18.75" customHeight="1" s="22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</row>
    <row r="961" ht="18.75" customHeight="1" s="220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</row>
    <row r="962" ht="18.75" customHeight="1" s="220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</row>
    <row r="963" ht="18.75" customHeight="1" s="220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</row>
    <row r="964" ht="18.75" customHeight="1" s="220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</row>
    <row r="965" ht="18.75" customHeight="1" s="220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</row>
    <row r="966" ht="18.75" customHeight="1" s="220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</row>
    <row r="967" ht="18.75" customHeight="1" s="220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</row>
    <row r="968" ht="18.75" customHeight="1" s="220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</row>
    <row r="969" ht="18.75" customHeight="1" s="220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</row>
    <row r="970" ht="18.75" customHeight="1" s="22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</row>
    <row r="971" ht="18.75" customHeight="1" s="220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</row>
    <row r="972" ht="18.75" customHeight="1" s="220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</row>
    <row r="973" ht="18.75" customHeight="1" s="220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</row>
    <row r="974" ht="18.75" customHeight="1" s="220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</row>
    <row r="975" ht="18.75" customHeight="1" s="220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</row>
    <row r="976" ht="18.75" customHeight="1" s="220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</row>
    <row r="977" ht="18.75" customHeight="1" s="220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</row>
    <row r="978" ht="18.75" customHeight="1" s="220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</row>
    <row r="979" ht="18.75" customHeight="1" s="220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</row>
    <row r="980" ht="18.75" customHeight="1" s="22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</row>
    <row r="981" ht="18.75" customHeight="1" s="220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</row>
    <row r="982" ht="18.75" customHeight="1" s="220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</row>
    <row r="983" ht="18.75" customHeight="1" s="220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</row>
    <row r="984" ht="18.75" customHeight="1" s="220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</row>
    <row r="985" ht="18.75" customHeight="1" s="220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</row>
    <row r="986" ht="18.75" customHeight="1" s="220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</row>
    <row r="987" ht="18.75" customHeight="1" s="220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</row>
    <row r="988" ht="18.75" customHeight="1" s="220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</row>
    <row r="989" ht="18.75" customHeight="1" s="220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</row>
    <row r="990" ht="18.75" customHeight="1" s="22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</row>
    <row r="991" ht="18.75" customHeight="1" s="220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</row>
    <row r="992" ht="18.75" customHeight="1" s="220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</row>
    <row r="993" ht="18.75" customHeight="1" s="220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</row>
    <row r="994" ht="18.75" customHeight="1" s="220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</row>
    <row r="995" ht="18.75" customHeight="1" s="220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</row>
    <row r="996" ht="18.75" customHeight="1" s="220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</row>
    <row r="997" ht="18.75" customHeight="1" s="220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</row>
    <row r="998" ht="18.75" customHeight="1" s="220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</row>
    <row r="999" ht="18.75" customHeight="1" s="220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</row>
  </sheetData>
  <mergeCells count="5">
    <mergeCell ref="E13:G13"/>
    <mergeCell ref="E14:G14"/>
    <mergeCell ref="E12:G12"/>
    <mergeCell ref="H14:I14"/>
    <mergeCell ref="E34:E35"/>
  </mergeCells>
  <conditionalFormatting sqref="I35">
    <cfRule type="containsText" priority="1" operator="containsText" dxfId="0" text="C">
      <formula>NOT(ISERROR(SEARCH(("C"),(I35))))</formula>
    </cfRule>
    <cfRule type="containsText" priority="2" operator="containsText" dxfId="1" text="B">
      <formula>NOT(ISERROR(SEARCH(("B"),(I35))))</formula>
    </cfRule>
    <cfRule type="containsText" priority="3" operator="containsText" dxfId="2" text="A">
      <formula>NOT(ISERROR(SEARCH(("A"),(I35))))</formula>
    </cfRule>
    <cfRule type="containsText" priority="4" operator="containsText" dxfId="3" text="G">
      <formula>NOT(ISERROR(SEARCH(("G"),(I35))))</formula>
    </cfRule>
  </conditionalFormatting>
  <dataValidations count="1">
    <dataValidation sqref="B3" showDropDown="0" showInputMessage="0" showErrorMessage="1" allowBlank="1" type="list">
      <formula1>Prices!$A$9:$A$18</formula1>
    </dataValidation>
  </dataValidation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03"/>
  <sheetViews>
    <sheetView workbookViewId="0">
      <selection activeCell="A1" sqref="A1"/>
    </sheetView>
  </sheetViews>
  <sheetFormatPr baseColWidth="8" defaultColWidth="14.43" defaultRowHeight="15" customHeight="1"/>
  <cols>
    <col width="17.29" customWidth="1" style="220" min="1" max="1"/>
    <col width="20.29" customWidth="1" style="220" min="2" max="2"/>
    <col width="14.71" customWidth="1" style="220" min="3" max="3"/>
    <col width="2.57" customWidth="1" style="220" min="4" max="4"/>
    <col width="5.71" customWidth="1" style="220" min="5" max="5"/>
    <col width="17.29" customWidth="1" style="220" min="6" max="6"/>
    <col width="20.29" customWidth="1" style="220" min="7" max="7"/>
    <col width="13.71" customWidth="1" style="220" min="8" max="8"/>
    <col width="8.710000000000001" customWidth="1" style="220" min="9" max="9"/>
    <col width="2" customWidth="1" style="220" min="10" max="10"/>
    <col width="6" customWidth="1" style="220" min="11" max="11"/>
    <col width="4" customWidth="1" style="220" min="12" max="12"/>
    <col width="2" customWidth="1" style="220" min="13" max="13"/>
    <col width="9" customWidth="1" style="220" min="14" max="14"/>
    <col width="4" customWidth="1" style="220" min="15" max="15"/>
    <col width="8.710000000000001" customWidth="1" style="220" min="16" max="27"/>
  </cols>
  <sheetData>
    <row r="1">
      <c r="A1" s="239" t="inlineStr">
        <is>
          <t>Gold</t>
        </is>
      </c>
      <c r="B1" s="240" t="n"/>
      <c r="C1" s="121" t="inlineStr">
        <is>
          <t>18K</t>
        </is>
      </c>
      <c r="D1" s="30" t="n"/>
      <c r="E1" s="30" t="n"/>
      <c r="F1" s="239" t="inlineStr">
        <is>
          <t>Gold</t>
        </is>
      </c>
      <c r="G1" s="240" t="n"/>
      <c r="H1" s="121" t="inlineStr">
        <is>
          <t>14K</t>
        </is>
      </c>
      <c r="I1" s="30" t="n"/>
      <c r="J1" s="30" t="n"/>
      <c r="K1" s="122" t="inlineStr">
        <is>
          <t>Conversion</t>
        </is>
      </c>
      <c r="L1" s="229" t="n"/>
      <c r="M1" s="229" t="n"/>
      <c r="N1" s="229" t="n"/>
      <c r="O1" s="229" t="n"/>
      <c r="P1" s="30" t="n"/>
      <c r="Q1" s="30" t="n"/>
      <c r="R1" s="30" t="n"/>
      <c r="S1" s="30" t="n"/>
      <c r="T1" s="30" t="n"/>
      <c r="U1" s="30" t="n"/>
      <c r="V1" s="30" t="n"/>
      <c r="W1" s="30" t="n"/>
      <c r="X1" s="30" t="n"/>
      <c r="Y1" s="30" t="n"/>
      <c r="Z1" s="30" t="n"/>
      <c r="AA1" s="30" t="n"/>
    </row>
    <row r="2">
      <c r="A2" s="123" t="inlineStr">
        <is>
          <t>Weight</t>
        </is>
      </c>
      <c r="B2" s="124" t="n">
        <v>27</v>
      </c>
      <c r="C2" s="125" t="n">
        <v>0.12</v>
      </c>
      <c r="D2" s="30" t="inlineStr">
        <is>
          <t>%</t>
        </is>
      </c>
      <c r="F2" s="123" t="inlineStr">
        <is>
          <t>Weight</t>
        </is>
      </c>
      <c r="G2" s="124" t="n">
        <v>3.021</v>
      </c>
      <c r="H2" s="125" t="n">
        <v>0.2</v>
      </c>
      <c r="K2" s="126">
        <f>B2</f>
        <v/>
      </c>
      <c r="L2" s="127" t="inlineStr">
        <is>
          <t>lal</t>
        </is>
      </c>
      <c r="M2" s="128" t="inlineStr">
        <is>
          <t>=</t>
        </is>
      </c>
      <c r="N2" s="129">
        <f>B2*0.1164</f>
        <v/>
      </c>
      <c r="O2" s="130" t="inlineStr">
        <is>
          <t>gm</t>
        </is>
      </c>
      <c r="P2" s="30" t="n"/>
      <c r="Q2" s="30" t="n"/>
      <c r="R2" s="30" t="n"/>
      <c r="S2" s="30" t="n"/>
      <c r="T2" s="30" t="n"/>
      <c r="U2" s="30" t="n"/>
      <c r="V2" s="30" t="n"/>
      <c r="W2" s="30" t="n"/>
      <c r="X2" s="30" t="n"/>
      <c r="Y2" s="30" t="n"/>
      <c r="Z2" s="30" t="n"/>
      <c r="AA2" s="30" t="n"/>
    </row>
    <row r="3">
      <c r="A3" s="131" t="inlineStr">
        <is>
          <t>Jarti</t>
        </is>
      </c>
      <c r="B3" s="132">
        <f>B2*(C2)</f>
        <v/>
      </c>
      <c r="C3" s="133">
        <f>IF(A1="Gold",IF(C1="24K",B15,IF(C1="22K",B16,IF(C1="18K",B17,B18))),C15)</f>
        <v/>
      </c>
      <c r="D3" s="30" t="n"/>
      <c r="F3" s="131" t="inlineStr">
        <is>
          <t>Jarti</t>
        </is>
      </c>
      <c r="G3" s="132">
        <f>G2*(H2)</f>
        <v/>
      </c>
      <c r="H3" s="133">
        <f>IF(F1="Gold",IF(H1="24K",G15,IF(H1="22K",G16,IF(H1="18K",G17,G18))),H15)</f>
        <v/>
      </c>
      <c r="K3" s="134">
        <f>B3</f>
        <v/>
      </c>
      <c r="L3" s="135" t="inlineStr">
        <is>
          <t>lal</t>
        </is>
      </c>
      <c r="M3" s="30" t="inlineStr">
        <is>
          <t>=</t>
        </is>
      </c>
      <c r="N3" s="136">
        <f>B3*0.1164</f>
        <v/>
      </c>
      <c r="O3" s="137" t="inlineStr">
        <is>
          <t>gm</t>
        </is>
      </c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</row>
    <row r="4">
      <c r="A4" s="131" t="inlineStr">
        <is>
          <t>Total Weight</t>
        </is>
      </c>
      <c r="B4" s="132">
        <f>B2+B3</f>
        <v/>
      </c>
      <c r="C4" s="137" t="n"/>
      <c r="D4" s="30" t="n"/>
      <c r="F4" s="131" t="inlineStr">
        <is>
          <t>Total Weight</t>
        </is>
      </c>
      <c r="G4" s="132">
        <f>G2+G3</f>
        <v/>
      </c>
      <c r="H4" s="137" t="n"/>
      <c r="K4" s="138">
        <f>B4</f>
        <v/>
      </c>
      <c r="L4" s="139" t="inlineStr">
        <is>
          <t>lal</t>
        </is>
      </c>
      <c r="M4" s="140" t="inlineStr">
        <is>
          <t>=</t>
        </is>
      </c>
      <c r="N4" s="141">
        <f>B4*0.1164</f>
        <v/>
      </c>
      <c r="O4" s="142" t="inlineStr">
        <is>
          <t>gm</t>
        </is>
      </c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</row>
    <row r="5">
      <c r="A5" s="131" t="inlineStr">
        <is>
          <t>Jyala/pc</t>
        </is>
      </c>
      <c r="B5" s="132" t="n">
        <v>1500</v>
      </c>
      <c r="C5" s="137" t="n"/>
      <c r="D5" s="30" t="n"/>
      <c r="F5" s="131" t="inlineStr">
        <is>
          <t>Jyala/pc</t>
        </is>
      </c>
      <c r="G5" s="132" t="n"/>
      <c r="H5" s="137" t="n"/>
      <c r="I5" s="143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</row>
    <row r="6">
      <c r="A6" s="131" t="inlineStr">
        <is>
          <t>Jyala %</t>
        </is>
      </c>
      <c r="B6" s="132" t="n"/>
      <c r="C6" s="137" t="n"/>
      <c r="D6" s="30" t="n"/>
      <c r="F6" s="131" t="inlineStr">
        <is>
          <t>Jyala %</t>
        </is>
      </c>
      <c r="G6" s="132" t="n">
        <v>5</v>
      </c>
      <c r="H6" s="137" t="n"/>
      <c r="I6" s="143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</row>
    <row r="7">
      <c r="A7" s="144" t="inlineStr">
        <is>
          <t>Jyala/tola</t>
        </is>
      </c>
      <c r="B7" s="145" t="n"/>
      <c r="C7" s="142" t="n"/>
      <c r="D7" s="30" t="n"/>
      <c r="E7" s="143" t="n"/>
      <c r="F7" s="144" t="inlineStr">
        <is>
          <t>Jyala/gm</t>
        </is>
      </c>
      <c r="G7" s="145" t="n"/>
      <c r="H7" s="142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</row>
    <row r="8">
      <c r="A8" s="146" t="inlineStr">
        <is>
          <t>Total Price</t>
        </is>
      </c>
      <c r="B8" s="147">
        <f>IF($A$1="Gold",B4*(C3/100),B4*(C15))</f>
        <v/>
      </c>
      <c r="C8" s="148" t="n"/>
      <c r="D8" s="30" t="n"/>
      <c r="E8" s="30" t="n"/>
      <c r="F8" s="146" t="inlineStr">
        <is>
          <t>Total Price</t>
        </is>
      </c>
      <c r="G8" s="147">
        <f>IF($A$1="Gold",G4*(H3),G4*(H15))</f>
        <v/>
      </c>
      <c r="H8" s="148" t="n"/>
      <c r="I8" s="143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</row>
    <row r="9">
      <c r="A9" s="149" t="inlineStr">
        <is>
          <t>Jyala</t>
        </is>
      </c>
      <c r="B9" s="150">
        <f>IF(B6&lt;&gt;0,((B4*B6%)*(C3/100)),IF(B7&lt;&gt;0,B7*B4,B5))</f>
        <v/>
      </c>
      <c r="C9" s="148" t="n"/>
      <c r="D9" s="30" t="n"/>
      <c r="E9" s="30" t="n"/>
      <c r="F9" s="149" t="inlineStr">
        <is>
          <t>Jyala</t>
        </is>
      </c>
      <c r="G9" s="150">
        <f>IF(G6&lt;&gt;0,((G4*G6%)*(H3)),IF(G7&lt;&gt;0,G7*G4,G5))</f>
        <v/>
      </c>
      <c r="H9" s="148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</row>
    <row r="10">
      <c r="A10" s="149" t="inlineStr">
        <is>
          <t>Stone</t>
        </is>
      </c>
      <c r="B10" s="150" t="n"/>
      <c r="C10" s="148" t="n"/>
      <c r="D10" s="30" t="n"/>
      <c r="E10" s="30" t="n"/>
      <c r="F10" s="149" t="inlineStr">
        <is>
          <t>Stone</t>
        </is>
      </c>
      <c r="G10" s="150" t="n"/>
      <c r="H10" s="148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</row>
    <row r="11">
      <c r="A11" s="151" t="inlineStr">
        <is>
          <t>Tax</t>
        </is>
      </c>
      <c r="B11" s="152">
        <f>IF(A1="Gold",SUM(B8:B9)*0.02,0)</f>
        <v/>
      </c>
      <c r="C11" s="148" t="n"/>
      <c r="D11" s="30" t="n"/>
      <c r="E11" s="30" t="n"/>
      <c r="F11" s="151" t="inlineStr">
        <is>
          <t>Tax</t>
        </is>
      </c>
      <c r="G11" s="152">
        <f>IF(F1="Gold",SUM(G8:G9)*0.02,0)</f>
        <v/>
      </c>
      <c r="H11" s="148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</row>
    <row r="12">
      <c r="A12" s="153" t="inlineStr">
        <is>
          <t>Grand Total</t>
        </is>
      </c>
      <c r="B12" s="154">
        <f>SUM(B8:B11)</f>
        <v/>
      </c>
      <c r="C12" s="155" t="n"/>
      <c r="D12" s="30" t="n"/>
      <c r="E12" s="30" t="n"/>
      <c r="F12" s="153" t="inlineStr">
        <is>
          <t>Grand Total</t>
        </is>
      </c>
      <c r="G12" s="154">
        <f>SUM(G8:G11)</f>
        <v/>
      </c>
      <c r="H12" s="155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</row>
    <row r="13">
      <c r="A13" s="30" t="n"/>
      <c r="B13" s="156" t="n"/>
      <c r="C13" s="30" t="n"/>
      <c r="D13" s="30" t="n"/>
      <c r="E13" s="30" t="n"/>
      <c r="F13" s="30" t="n"/>
      <c r="G13" s="156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</row>
    <row r="14">
      <c r="A14" s="157" t="n"/>
      <c r="B14" s="158" t="inlineStr">
        <is>
          <t>Gold</t>
        </is>
      </c>
      <c r="C14" s="159" t="inlineStr">
        <is>
          <t>Silver</t>
        </is>
      </c>
      <c r="D14" s="30" t="n"/>
      <c r="E14" s="30" t="n"/>
      <c r="F14" s="157" t="n"/>
      <c r="G14" s="158" t="inlineStr">
        <is>
          <t>Gold</t>
        </is>
      </c>
      <c r="H14" s="159" t="inlineStr">
        <is>
          <t>Silver</t>
        </is>
      </c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</row>
    <row r="15">
      <c r="A15" s="160" t="inlineStr">
        <is>
          <t>24K</t>
        </is>
      </c>
      <c r="B15" s="161" t="n">
        <v>306500</v>
      </c>
      <c r="C15" s="162" t="n">
        <v>4080</v>
      </c>
      <c r="D15" s="30" t="n"/>
      <c r="E15" s="30" t="n"/>
      <c r="F15" s="160" t="inlineStr">
        <is>
          <t>24K</t>
        </is>
      </c>
      <c r="G15" s="161">
        <f>B15/11.664</f>
        <v/>
      </c>
      <c r="H15" s="162" t="n">
        <v>4080</v>
      </c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</row>
    <row r="16">
      <c r="A16" s="160" t="inlineStr">
        <is>
          <t>22K</t>
        </is>
      </c>
      <c r="B16" s="161">
        <f>ROUNDUP(B15*91.6%, -1)</f>
        <v/>
      </c>
      <c r="C16" s="162" t="n"/>
      <c r="D16" s="30" t="n"/>
      <c r="E16" s="30" t="n"/>
      <c r="F16" s="160" t="inlineStr">
        <is>
          <t>22K</t>
        </is>
      </c>
      <c r="G16" s="161">
        <f>ROUNDUP(G15*91.6%, -1)</f>
        <v/>
      </c>
      <c r="H16" s="162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</row>
    <row r="17">
      <c r="A17" s="160" t="inlineStr">
        <is>
          <t>18K</t>
        </is>
      </c>
      <c r="B17" s="161">
        <f>B15*0.8</f>
        <v/>
      </c>
      <c r="C17" s="162" t="n"/>
      <c r="D17" s="30" t="n"/>
      <c r="E17" s="30" t="n"/>
      <c r="F17" s="160" t="inlineStr">
        <is>
          <t>18K</t>
        </is>
      </c>
      <c r="G17" s="161">
        <f>G15*0.8</f>
        <v/>
      </c>
      <c r="H17" s="162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</row>
    <row r="18">
      <c r="A18" s="163" t="inlineStr">
        <is>
          <t>14k</t>
        </is>
      </c>
      <c r="B18" s="164">
        <f>B15*0.6</f>
        <v/>
      </c>
      <c r="C18" s="165" t="n"/>
      <c r="D18" s="30" t="n"/>
      <c r="E18" s="30" t="n"/>
      <c r="F18" s="163" t="inlineStr">
        <is>
          <t>14K</t>
        </is>
      </c>
      <c r="G18" s="164">
        <f>G15*0.6</f>
        <v/>
      </c>
      <c r="H18" s="165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</row>
    <row r="19">
      <c r="A19" s="30" t="n"/>
      <c r="B19" s="156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</row>
    <row r="20">
      <c r="A20" s="30" t="n"/>
      <c r="B20" s="156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</row>
    <row r="21">
      <c r="A21" s="30" t="n"/>
      <c r="B21" s="156" t="n"/>
      <c r="C21" s="30" t="n"/>
      <c r="D21" s="30" t="n"/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</row>
    <row r="22">
      <c r="A22" s="30" t="n"/>
      <c r="B22" s="156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</row>
    <row r="23">
      <c r="A23" s="30" t="n"/>
      <c r="B23" s="156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</row>
    <row r="24">
      <c r="A24" s="30" t="n"/>
      <c r="B24" s="156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</row>
    <row r="25">
      <c r="A25" s="30" t="n"/>
      <c r="B25" s="156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</row>
    <row r="26">
      <c r="A26" s="30" t="n"/>
      <c r="B26" s="156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</row>
    <row r="27">
      <c r="A27" s="30" t="n"/>
      <c r="B27" s="156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</row>
    <row r="28">
      <c r="A28" s="30" t="n"/>
      <c r="B28" s="156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</row>
    <row r="29">
      <c r="A29" s="30" t="n"/>
      <c r="B29" s="156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</row>
    <row r="30">
      <c r="A30" s="30" t="n"/>
      <c r="B30" s="156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</row>
    <row r="31">
      <c r="A31" s="30" t="n"/>
      <c r="B31" s="156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</row>
    <row r="32">
      <c r="A32" s="30" t="n"/>
      <c r="B32" s="156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</row>
    <row r="33">
      <c r="A33" s="30" t="n"/>
      <c r="B33" s="156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</row>
    <row r="34">
      <c r="A34" s="30" t="n"/>
      <c r="B34" s="156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</row>
    <row r="35">
      <c r="A35" s="30" t="n"/>
      <c r="B35" s="156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</row>
    <row r="36">
      <c r="A36" s="30" t="n"/>
      <c r="B36" s="156" t="n"/>
      <c r="C36" s="30" t="n"/>
      <c r="D36" s="30" t="n"/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</row>
    <row r="37">
      <c r="A37" s="30" t="n"/>
      <c r="B37" s="156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</row>
    <row r="38">
      <c r="A38" s="30" t="n"/>
      <c r="B38" s="156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</row>
    <row r="39">
      <c r="A39" s="30" t="n"/>
      <c r="B39" s="156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</row>
    <row r="40">
      <c r="A40" s="30" t="n"/>
      <c r="B40" s="156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</row>
    <row r="41">
      <c r="A41" s="30" t="n"/>
      <c r="B41" s="156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</row>
    <row r="42">
      <c r="A42" s="30" t="n"/>
      <c r="B42" s="156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</row>
    <row r="43">
      <c r="A43" s="30" t="n"/>
      <c r="B43" s="156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  <c r="P43" s="30" t="n"/>
      <c r="Q43" s="30" t="n"/>
      <c r="R43" s="30" t="n"/>
      <c r="S43" s="30" t="n"/>
      <c r="T43" s="30" t="n"/>
      <c r="U43" s="30" t="n"/>
      <c r="V43" s="30" t="n"/>
      <c r="W43" s="30" t="n"/>
      <c r="X43" s="30" t="n"/>
      <c r="Y43" s="30" t="n"/>
      <c r="Z43" s="30" t="n"/>
      <c r="AA43" s="30" t="n"/>
    </row>
    <row r="44">
      <c r="A44" s="30" t="n"/>
      <c r="B44" s="156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  <c r="P44" s="30" t="n"/>
      <c r="Q44" s="30" t="n"/>
      <c r="R44" s="30" t="n"/>
      <c r="S44" s="30" t="n"/>
      <c r="T44" s="30" t="n"/>
      <c r="U44" s="30" t="n"/>
      <c r="V44" s="30" t="n"/>
      <c r="W44" s="30" t="n"/>
      <c r="X44" s="30" t="n"/>
      <c r="Y44" s="30" t="n"/>
      <c r="Z44" s="30" t="n"/>
      <c r="AA44" s="30" t="n"/>
    </row>
    <row r="45">
      <c r="A45" s="30" t="n"/>
      <c r="B45" s="156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  <c r="O45" s="30" t="n"/>
      <c r="P45" s="30" t="n"/>
      <c r="Q45" s="30" t="n"/>
      <c r="R45" s="30" t="n"/>
      <c r="S45" s="30" t="n"/>
      <c r="T45" s="30" t="n"/>
      <c r="U45" s="30" t="n"/>
      <c r="V45" s="30" t="n"/>
      <c r="W45" s="30" t="n"/>
      <c r="X45" s="30" t="n"/>
      <c r="Y45" s="30" t="n"/>
      <c r="Z45" s="30" t="n"/>
      <c r="AA45" s="30" t="n"/>
    </row>
    <row r="46">
      <c r="A46" s="30" t="n"/>
      <c r="B46" s="156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  <c r="O46" s="30" t="n"/>
      <c r="P46" s="30" t="n"/>
      <c r="Q46" s="30" t="n"/>
      <c r="R46" s="30" t="n"/>
      <c r="S46" s="30" t="n"/>
      <c r="T46" s="30" t="n"/>
      <c r="U46" s="30" t="n"/>
      <c r="V46" s="30" t="n"/>
      <c r="W46" s="30" t="n"/>
      <c r="X46" s="30" t="n"/>
      <c r="Y46" s="30" t="n"/>
      <c r="Z46" s="30" t="n"/>
      <c r="AA46" s="30" t="n"/>
    </row>
    <row r="47">
      <c r="A47" s="30" t="n"/>
      <c r="B47" s="156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  <c r="P47" s="30" t="n"/>
      <c r="Q47" s="30" t="n"/>
      <c r="R47" s="30" t="n"/>
      <c r="S47" s="30" t="n"/>
      <c r="T47" s="30" t="n"/>
      <c r="U47" s="30" t="n"/>
      <c r="V47" s="30" t="n"/>
      <c r="W47" s="30" t="n"/>
      <c r="X47" s="30" t="n"/>
      <c r="Y47" s="30" t="n"/>
      <c r="Z47" s="30" t="n"/>
      <c r="AA47" s="30" t="n"/>
    </row>
    <row r="48">
      <c r="A48" s="30" t="n"/>
      <c r="B48" s="156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  <c r="O48" s="30" t="n"/>
      <c r="P48" s="30" t="n"/>
      <c r="Q48" s="30" t="n"/>
      <c r="R48" s="30" t="n"/>
      <c r="S48" s="30" t="n"/>
      <c r="T48" s="30" t="n"/>
      <c r="U48" s="30" t="n"/>
      <c r="V48" s="30" t="n"/>
      <c r="W48" s="30" t="n"/>
      <c r="X48" s="30" t="n"/>
      <c r="Y48" s="30" t="n"/>
      <c r="Z48" s="30" t="n"/>
      <c r="AA48" s="30" t="n"/>
    </row>
    <row r="49">
      <c r="A49" s="30" t="n"/>
      <c r="B49" s="156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  <c r="P49" s="30" t="n"/>
      <c r="Q49" s="30" t="n"/>
      <c r="R49" s="30" t="n"/>
      <c r="S49" s="30" t="n"/>
      <c r="T49" s="30" t="n"/>
      <c r="U49" s="30" t="n"/>
      <c r="V49" s="30" t="n"/>
      <c r="W49" s="30" t="n"/>
      <c r="X49" s="30" t="n"/>
      <c r="Y49" s="30" t="n"/>
      <c r="Z49" s="30" t="n"/>
      <c r="AA49" s="30" t="n"/>
    </row>
    <row r="50">
      <c r="A50" s="30" t="n"/>
      <c r="B50" s="156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  <c r="O50" s="30" t="n"/>
      <c r="P50" s="30" t="n"/>
      <c r="Q50" s="30" t="n"/>
      <c r="R50" s="30" t="n"/>
      <c r="S50" s="30" t="n"/>
      <c r="T50" s="30" t="n"/>
      <c r="U50" s="30" t="n"/>
      <c r="V50" s="30" t="n"/>
      <c r="W50" s="30" t="n"/>
      <c r="X50" s="30" t="n"/>
      <c r="Y50" s="30" t="n"/>
      <c r="Z50" s="30" t="n"/>
      <c r="AA50" s="30" t="n"/>
    </row>
    <row r="51">
      <c r="A51" s="30" t="n"/>
      <c r="B51" s="156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  <c r="P51" s="30" t="n"/>
      <c r="Q51" s="30" t="n"/>
      <c r="R51" s="30" t="n"/>
      <c r="S51" s="30" t="n"/>
      <c r="T51" s="30" t="n"/>
      <c r="U51" s="30" t="n"/>
      <c r="V51" s="30" t="n"/>
      <c r="W51" s="30" t="n"/>
      <c r="X51" s="30" t="n"/>
      <c r="Y51" s="30" t="n"/>
      <c r="Z51" s="30" t="n"/>
      <c r="AA51" s="30" t="n"/>
    </row>
    <row r="52">
      <c r="A52" s="30" t="n"/>
      <c r="B52" s="156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  <c r="O52" s="30" t="n"/>
      <c r="P52" s="30" t="n"/>
      <c r="Q52" s="30" t="n"/>
      <c r="R52" s="30" t="n"/>
      <c r="S52" s="30" t="n"/>
      <c r="T52" s="30" t="n"/>
      <c r="U52" s="30" t="n"/>
      <c r="V52" s="30" t="n"/>
      <c r="W52" s="30" t="n"/>
      <c r="X52" s="30" t="n"/>
      <c r="Y52" s="30" t="n"/>
      <c r="Z52" s="30" t="n"/>
      <c r="AA52" s="30" t="n"/>
    </row>
    <row r="53">
      <c r="A53" s="30" t="n"/>
      <c r="B53" s="156" t="n"/>
      <c r="C53" s="30" t="n"/>
      <c r="D53" s="30" t="n"/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  <c r="P53" s="30" t="n"/>
      <c r="Q53" s="30" t="n"/>
      <c r="R53" s="30" t="n"/>
      <c r="S53" s="30" t="n"/>
      <c r="T53" s="30" t="n"/>
      <c r="U53" s="30" t="n"/>
      <c r="V53" s="30" t="n"/>
      <c r="W53" s="30" t="n"/>
      <c r="X53" s="30" t="n"/>
      <c r="Y53" s="30" t="n"/>
      <c r="Z53" s="30" t="n"/>
      <c r="AA53" s="30" t="n"/>
    </row>
    <row r="54">
      <c r="A54" s="30" t="n"/>
      <c r="B54" s="156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  <c r="O54" s="30" t="n"/>
      <c r="P54" s="30" t="n"/>
      <c r="Q54" s="30" t="n"/>
      <c r="R54" s="30" t="n"/>
      <c r="S54" s="30" t="n"/>
      <c r="T54" s="30" t="n"/>
      <c r="U54" s="30" t="n"/>
      <c r="V54" s="30" t="n"/>
      <c r="W54" s="30" t="n"/>
      <c r="X54" s="30" t="n"/>
      <c r="Y54" s="30" t="n"/>
      <c r="Z54" s="30" t="n"/>
      <c r="AA54" s="30" t="n"/>
    </row>
    <row r="55">
      <c r="A55" s="30" t="n"/>
      <c r="B55" s="156" t="n"/>
      <c r="C55" s="30" t="n"/>
      <c r="D55" s="30" t="n"/>
      <c r="E55" s="30" t="n"/>
      <c r="F55" s="30" t="n"/>
      <c r="G55" s="30" t="n"/>
      <c r="H55" s="30" t="n"/>
      <c r="I55" s="30" t="n"/>
      <c r="J55" s="30" t="n"/>
      <c r="K55" s="30" t="n"/>
      <c r="L55" s="30" t="n"/>
      <c r="M55" s="30" t="n"/>
      <c r="N55" s="30" t="n"/>
      <c r="O55" s="30" t="n"/>
      <c r="P55" s="30" t="n"/>
      <c r="Q55" s="30" t="n"/>
      <c r="R55" s="30" t="n"/>
      <c r="S55" s="30" t="n"/>
      <c r="T55" s="30" t="n"/>
      <c r="U55" s="30" t="n"/>
      <c r="V55" s="30" t="n"/>
      <c r="W55" s="30" t="n"/>
      <c r="X55" s="30" t="n"/>
      <c r="Y55" s="30" t="n"/>
      <c r="Z55" s="30" t="n"/>
      <c r="AA55" s="30" t="n"/>
    </row>
    <row r="56">
      <c r="A56" s="30" t="n"/>
      <c r="B56" s="156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  <c r="L56" s="30" t="n"/>
      <c r="M56" s="30" t="n"/>
      <c r="N56" s="30" t="n"/>
      <c r="O56" s="30" t="n"/>
      <c r="P56" s="30" t="n"/>
      <c r="Q56" s="30" t="n"/>
      <c r="R56" s="30" t="n"/>
      <c r="S56" s="30" t="n"/>
      <c r="T56" s="30" t="n"/>
      <c r="U56" s="30" t="n"/>
      <c r="V56" s="30" t="n"/>
      <c r="W56" s="30" t="n"/>
      <c r="X56" s="30" t="n"/>
      <c r="Y56" s="30" t="n"/>
      <c r="Z56" s="30" t="n"/>
      <c r="AA56" s="30" t="n"/>
    </row>
    <row r="57">
      <c r="A57" s="30" t="n"/>
      <c r="B57" s="156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  <c r="L57" s="30" t="n"/>
      <c r="M57" s="30" t="n"/>
      <c r="N57" s="30" t="n"/>
      <c r="O57" s="30" t="n"/>
      <c r="P57" s="30" t="n"/>
      <c r="Q57" s="30" t="n"/>
      <c r="R57" s="30" t="n"/>
      <c r="S57" s="30" t="n"/>
      <c r="T57" s="30" t="n"/>
      <c r="U57" s="30" t="n"/>
      <c r="V57" s="30" t="n"/>
      <c r="W57" s="30" t="n"/>
      <c r="X57" s="30" t="n"/>
      <c r="Y57" s="30" t="n"/>
      <c r="Z57" s="30" t="n"/>
      <c r="AA57" s="30" t="n"/>
    </row>
    <row r="58">
      <c r="A58" s="30" t="n"/>
      <c r="B58" s="156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  <c r="L58" s="30" t="n"/>
      <c r="M58" s="30" t="n"/>
      <c r="N58" s="30" t="n"/>
      <c r="O58" s="30" t="n"/>
      <c r="P58" s="30" t="n"/>
      <c r="Q58" s="30" t="n"/>
      <c r="R58" s="30" t="n"/>
      <c r="S58" s="30" t="n"/>
      <c r="T58" s="30" t="n"/>
      <c r="U58" s="30" t="n"/>
      <c r="V58" s="30" t="n"/>
      <c r="W58" s="30" t="n"/>
      <c r="X58" s="30" t="n"/>
      <c r="Y58" s="30" t="n"/>
      <c r="Z58" s="30" t="n"/>
      <c r="AA58" s="30" t="n"/>
    </row>
    <row r="59">
      <c r="A59" s="30" t="n"/>
      <c r="B59" s="156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  <c r="L59" s="30" t="n"/>
      <c r="M59" s="30" t="n"/>
      <c r="N59" s="30" t="n"/>
      <c r="O59" s="30" t="n"/>
      <c r="P59" s="30" t="n"/>
      <c r="Q59" s="30" t="n"/>
      <c r="R59" s="30" t="n"/>
      <c r="S59" s="30" t="n"/>
      <c r="T59" s="30" t="n"/>
      <c r="U59" s="30" t="n"/>
      <c r="V59" s="30" t="n"/>
      <c r="W59" s="30" t="n"/>
      <c r="X59" s="30" t="n"/>
      <c r="Y59" s="30" t="n"/>
      <c r="Z59" s="30" t="n"/>
      <c r="AA59" s="30" t="n"/>
    </row>
    <row r="60">
      <c r="A60" s="30" t="n"/>
      <c r="B60" s="156" t="n"/>
      <c r="C60" s="30" t="n"/>
      <c r="D60" s="30" t="n"/>
      <c r="E60" s="30" t="n"/>
      <c r="F60" s="30" t="n"/>
      <c r="G60" s="30" t="n"/>
      <c r="H60" s="30" t="n"/>
      <c r="I60" s="30" t="n"/>
      <c r="J60" s="30" t="n"/>
      <c r="K60" s="30" t="n"/>
      <c r="L60" s="30" t="n"/>
      <c r="M60" s="30" t="n"/>
      <c r="N60" s="30" t="n"/>
      <c r="O60" s="30" t="n"/>
      <c r="P60" s="30" t="n"/>
      <c r="Q60" s="30" t="n"/>
      <c r="R60" s="30" t="n"/>
      <c r="S60" s="30" t="n"/>
      <c r="T60" s="30" t="n"/>
      <c r="U60" s="30" t="n"/>
      <c r="V60" s="30" t="n"/>
      <c r="W60" s="30" t="n"/>
      <c r="X60" s="30" t="n"/>
      <c r="Y60" s="30" t="n"/>
      <c r="Z60" s="30" t="n"/>
      <c r="AA60" s="30" t="n"/>
    </row>
    <row r="61">
      <c r="A61" s="30" t="n"/>
      <c r="B61" s="156" t="n"/>
      <c r="C61" s="30" t="n"/>
      <c r="D61" s="30" t="n"/>
      <c r="E61" s="30" t="n"/>
      <c r="F61" s="30" t="n"/>
      <c r="G61" s="30" t="n"/>
      <c r="H61" s="30" t="n"/>
      <c r="I61" s="30" t="n"/>
      <c r="J61" s="30" t="n"/>
      <c r="K61" s="30" t="n"/>
      <c r="L61" s="30" t="n"/>
      <c r="M61" s="30" t="n"/>
      <c r="N61" s="30" t="n"/>
      <c r="O61" s="30" t="n"/>
      <c r="P61" s="30" t="n"/>
      <c r="Q61" s="30" t="n"/>
      <c r="R61" s="30" t="n"/>
      <c r="S61" s="30" t="n"/>
      <c r="T61" s="30" t="n"/>
      <c r="U61" s="30" t="n"/>
      <c r="V61" s="30" t="n"/>
      <c r="W61" s="30" t="n"/>
      <c r="X61" s="30" t="n"/>
      <c r="Y61" s="30" t="n"/>
      <c r="Z61" s="30" t="n"/>
      <c r="AA61" s="30" t="n"/>
    </row>
    <row r="62">
      <c r="A62" s="30" t="n"/>
      <c r="B62" s="156" t="n"/>
      <c r="C62" s="30" t="n"/>
      <c r="D62" s="30" t="n"/>
      <c r="E62" s="30" t="n"/>
      <c r="F62" s="30" t="n"/>
      <c r="G62" s="30" t="n"/>
      <c r="H62" s="30" t="n"/>
      <c r="I62" s="30" t="n"/>
      <c r="J62" s="30" t="n"/>
      <c r="K62" s="30" t="n"/>
      <c r="L62" s="30" t="n"/>
      <c r="M62" s="30" t="n"/>
      <c r="N62" s="30" t="n"/>
      <c r="O62" s="30" t="n"/>
      <c r="P62" s="30" t="n"/>
      <c r="Q62" s="30" t="n"/>
      <c r="R62" s="30" t="n"/>
      <c r="S62" s="30" t="n"/>
      <c r="T62" s="30" t="n"/>
      <c r="U62" s="30" t="n"/>
      <c r="V62" s="30" t="n"/>
      <c r="W62" s="30" t="n"/>
      <c r="X62" s="30" t="n"/>
      <c r="Y62" s="30" t="n"/>
      <c r="Z62" s="30" t="n"/>
      <c r="AA62" s="30" t="n"/>
    </row>
    <row r="63">
      <c r="A63" s="30" t="n"/>
      <c r="B63" s="156" t="n"/>
      <c r="C63" s="30" t="n"/>
      <c r="D63" s="30" t="n"/>
      <c r="E63" s="30" t="n"/>
      <c r="F63" s="30" t="n"/>
      <c r="G63" s="30" t="n"/>
      <c r="H63" s="30" t="n"/>
      <c r="I63" s="30" t="n"/>
      <c r="J63" s="30" t="n"/>
      <c r="K63" s="30" t="n"/>
      <c r="L63" s="30" t="n"/>
      <c r="M63" s="30" t="n"/>
      <c r="N63" s="30" t="n"/>
      <c r="O63" s="30" t="n"/>
      <c r="P63" s="30" t="n"/>
      <c r="Q63" s="30" t="n"/>
      <c r="R63" s="30" t="n"/>
      <c r="S63" s="30" t="n"/>
      <c r="T63" s="30" t="n"/>
      <c r="U63" s="30" t="n"/>
      <c r="V63" s="30" t="n"/>
      <c r="W63" s="30" t="n"/>
      <c r="X63" s="30" t="n"/>
      <c r="Y63" s="30" t="n"/>
      <c r="Z63" s="30" t="n"/>
      <c r="AA63" s="30" t="n"/>
    </row>
    <row r="64">
      <c r="A64" s="30" t="n"/>
      <c r="B64" s="156" t="n"/>
      <c r="C64" s="30" t="n"/>
      <c r="D64" s="30" t="n"/>
      <c r="E64" s="30" t="n"/>
      <c r="F64" s="30" t="n"/>
      <c r="G64" s="30" t="n"/>
      <c r="H64" s="30" t="n"/>
      <c r="I64" s="30" t="n"/>
      <c r="J64" s="30" t="n"/>
      <c r="K64" s="30" t="n"/>
      <c r="L64" s="30" t="n"/>
      <c r="M64" s="30" t="n"/>
      <c r="N64" s="30" t="n"/>
      <c r="O64" s="30" t="n"/>
      <c r="P64" s="30" t="n"/>
      <c r="Q64" s="30" t="n"/>
      <c r="R64" s="30" t="n"/>
      <c r="S64" s="30" t="n"/>
      <c r="T64" s="30" t="n"/>
      <c r="U64" s="30" t="n"/>
      <c r="V64" s="30" t="n"/>
      <c r="W64" s="30" t="n"/>
      <c r="X64" s="30" t="n"/>
      <c r="Y64" s="30" t="n"/>
      <c r="Z64" s="30" t="n"/>
      <c r="AA64" s="30" t="n"/>
    </row>
    <row r="65">
      <c r="A65" s="30" t="n"/>
      <c r="B65" s="156" t="n"/>
      <c r="C65" s="30" t="n"/>
      <c r="D65" s="30" t="n"/>
      <c r="E65" s="30" t="n"/>
      <c r="F65" s="30" t="n"/>
      <c r="G65" s="30" t="n"/>
      <c r="H65" s="30" t="n"/>
      <c r="I65" s="30" t="n"/>
      <c r="J65" s="30" t="n"/>
      <c r="K65" s="30" t="n"/>
      <c r="L65" s="30" t="n"/>
      <c r="M65" s="30" t="n"/>
      <c r="N65" s="30" t="n"/>
      <c r="O65" s="30" t="n"/>
      <c r="P65" s="30" t="n"/>
      <c r="Q65" s="30" t="n"/>
      <c r="R65" s="30" t="n"/>
      <c r="S65" s="30" t="n"/>
      <c r="T65" s="30" t="n"/>
      <c r="U65" s="30" t="n"/>
      <c r="V65" s="30" t="n"/>
      <c r="W65" s="30" t="n"/>
      <c r="X65" s="30" t="n"/>
      <c r="Y65" s="30" t="n"/>
      <c r="Z65" s="30" t="n"/>
      <c r="AA65" s="30" t="n"/>
    </row>
    <row r="66">
      <c r="A66" s="30" t="n"/>
      <c r="B66" s="156" t="n"/>
      <c r="C66" s="30" t="n"/>
      <c r="D66" s="30" t="n"/>
      <c r="E66" s="30" t="n"/>
      <c r="F66" s="30" t="n"/>
      <c r="G66" s="30" t="n"/>
      <c r="H66" s="30" t="n"/>
      <c r="I66" s="30" t="n"/>
      <c r="J66" s="30" t="n"/>
      <c r="K66" s="30" t="n"/>
      <c r="L66" s="30" t="n"/>
      <c r="M66" s="30" t="n"/>
      <c r="N66" s="30" t="n"/>
      <c r="O66" s="30" t="n"/>
      <c r="P66" s="30" t="n"/>
      <c r="Q66" s="30" t="n"/>
      <c r="R66" s="30" t="n"/>
      <c r="S66" s="30" t="n"/>
      <c r="T66" s="30" t="n"/>
      <c r="U66" s="30" t="n"/>
      <c r="V66" s="30" t="n"/>
      <c r="W66" s="30" t="n"/>
      <c r="X66" s="30" t="n"/>
      <c r="Y66" s="30" t="n"/>
      <c r="Z66" s="30" t="n"/>
      <c r="AA66" s="30" t="n"/>
    </row>
    <row r="67">
      <c r="A67" s="30" t="n"/>
      <c r="B67" s="156" t="n"/>
      <c r="C67" s="30" t="n"/>
      <c r="D67" s="30" t="n"/>
      <c r="E67" s="30" t="n"/>
      <c r="F67" s="30" t="n"/>
      <c r="G67" s="30" t="n"/>
      <c r="H67" s="30" t="n"/>
      <c r="I67" s="30" t="n"/>
      <c r="J67" s="30" t="n"/>
      <c r="K67" s="30" t="n"/>
      <c r="L67" s="30" t="n"/>
      <c r="M67" s="30" t="n"/>
      <c r="N67" s="30" t="n"/>
      <c r="O67" s="30" t="n"/>
      <c r="P67" s="30" t="n"/>
      <c r="Q67" s="30" t="n"/>
      <c r="R67" s="30" t="n"/>
      <c r="S67" s="30" t="n"/>
      <c r="T67" s="30" t="n"/>
      <c r="U67" s="30" t="n"/>
      <c r="V67" s="30" t="n"/>
      <c r="W67" s="30" t="n"/>
      <c r="X67" s="30" t="n"/>
      <c r="Y67" s="30" t="n"/>
      <c r="Z67" s="30" t="n"/>
      <c r="AA67" s="30" t="n"/>
    </row>
    <row r="68">
      <c r="A68" s="30" t="n"/>
      <c r="B68" s="156" t="n"/>
      <c r="C68" s="30" t="n"/>
      <c r="D68" s="30" t="n"/>
      <c r="E68" s="30" t="n"/>
      <c r="F68" s="30" t="n"/>
      <c r="G68" s="30" t="n"/>
      <c r="H68" s="30" t="n"/>
      <c r="I68" s="30" t="n"/>
      <c r="J68" s="30" t="n"/>
      <c r="K68" s="30" t="n"/>
      <c r="L68" s="30" t="n"/>
      <c r="M68" s="30" t="n"/>
      <c r="N68" s="30" t="n"/>
      <c r="O68" s="30" t="n"/>
      <c r="P68" s="30" t="n"/>
      <c r="Q68" s="30" t="n"/>
      <c r="R68" s="30" t="n"/>
      <c r="S68" s="30" t="n"/>
      <c r="T68" s="30" t="n"/>
      <c r="U68" s="30" t="n"/>
      <c r="V68" s="30" t="n"/>
      <c r="W68" s="30" t="n"/>
      <c r="X68" s="30" t="n"/>
      <c r="Y68" s="30" t="n"/>
      <c r="Z68" s="30" t="n"/>
      <c r="AA68" s="30" t="n"/>
    </row>
    <row r="69">
      <c r="A69" s="30" t="n"/>
      <c r="B69" s="156" t="n"/>
      <c r="C69" s="30" t="n"/>
      <c r="D69" s="30" t="n"/>
      <c r="E69" s="30" t="n"/>
      <c r="F69" s="30" t="n"/>
      <c r="G69" s="30" t="n"/>
      <c r="H69" s="30" t="n"/>
      <c r="I69" s="30" t="n"/>
      <c r="J69" s="30" t="n"/>
      <c r="K69" s="30" t="n"/>
      <c r="L69" s="30" t="n"/>
      <c r="M69" s="30" t="n"/>
      <c r="N69" s="30" t="n"/>
      <c r="O69" s="30" t="n"/>
      <c r="P69" s="30" t="n"/>
      <c r="Q69" s="30" t="n"/>
      <c r="R69" s="30" t="n"/>
      <c r="S69" s="30" t="n"/>
      <c r="T69" s="30" t="n"/>
      <c r="U69" s="30" t="n"/>
      <c r="V69" s="30" t="n"/>
      <c r="W69" s="30" t="n"/>
      <c r="X69" s="30" t="n"/>
      <c r="Y69" s="30" t="n"/>
      <c r="Z69" s="30" t="n"/>
      <c r="AA69" s="30" t="n"/>
    </row>
    <row r="70">
      <c r="A70" s="30" t="n"/>
      <c r="B70" s="156" t="n"/>
      <c r="C70" s="30" t="n"/>
      <c r="D70" s="30" t="n"/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  <c r="O70" s="30" t="n"/>
      <c r="P70" s="30" t="n"/>
      <c r="Q70" s="30" t="n"/>
      <c r="R70" s="30" t="n"/>
      <c r="S70" s="30" t="n"/>
      <c r="T70" s="30" t="n"/>
      <c r="U70" s="30" t="n"/>
      <c r="V70" s="30" t="n"/>
      <c r="W70" s="30" t="n"/>
      <c r="X70" s="30" t="n"/>
      <c r="Y70" s="30" t="n"/>
      <c r="Z70" s="30" t="n"/>
      <c r="AA70" s="30" t="n"/>
    </row>
    <row r="71">
      <c r="A71" s="30" t="n"/>
      <c r="B71" s="156" t="n"/>
      <c r="C71" s="30" t="n"/>
      <c r="D71" s="30" t="n"/>
      <c r="E71" s="30" t="n"/>
      <c r="F71" s="30" t="n"/>
      <c r="G71" s="30" t="n"/>
      <c r="H71" s="30" t="n"/>
      <c r="I71" s="30" t="n"/>
      <c r="J71" s="30" t="n"/>
      <c r="K71" s="30" t="n"/>
      <c r="L71" s="30" t="n"/>
      <c r="M71" s="30" t="n"/>
      <c r="N71" s="30" t="n"/>
      <c r="O71" s="30" t="n"/>
      <c r="P71" s="30" t="n"/>
      <c r="Q71" s="30" t="n"/>
      <c r="R71" s="30" t="n"/>
      <c r="S71" s="30" t="n"/>
      <c r="T71" s="30" t="n"/>
      <c r="U71" s="30" t="n"/>
      <c r="V71" s="30" t="n"/>
      <c r="W71" s="30" t="n"/>
      <c r="X71" s="30" t="n"/>
      <c r="Y71" s="30" t="n"/>
      <c r="Z71" s="30" t="n"/>
      <c r="AA71" s="30" t="n"/>
    </row>
    <row r="72">
      <c r="A72" s="30" t="n"/>
      <c r="B72" s="156" t="n"/>
      <c r="C72" s="30" t="n"/>
      <c r="D72" s="30" t="n"/>
      <c r="E72" s="30" t="n"/>
      <c r="F72" s="30" t="n"/>
      <c r="G72" s="30" t="n"/>
      <c r="H72" s="30" t="n"/>
      <c r="I72" s="30" t="n"/>
      <c r="J72" s="30" t="n"/>
      <c r="K72" s="30" t="n"/>
      <c r="L72" s="30" t="n"/>
      <c r="M72" s="30" t="n"/>
      <c r="N72" s="30" t="n"/>
      <c r="O72" s="30" t="n"/>
      <c r="P72" s="30" t="n"/>
      <c r="Q72" s="30" t="n"/>
      <c r="R72" s="30" t="n"/>
      <c r="S72" s="30" t="n"/>
      <c r="T72" s="30" t="n"/>
      <c r="U72" s="30" t="n"/>
      <c r="V72" s="30" t="n"/>
      <c r="W72" s="30" t="n"/>
      <c r="X72" s="30" t="n"/>
      <c r="Y72" s="30" t="n"/>
      <c r="Z72" s="30" t="n"/>
      <c r="AA72" s="30" t="n"/>
    </row>
    <row r="73">
      <c r="A73" s="30" t="n"/>
      <c r="B73" s="156" t="n"/>
      <c r="C73" s="30" t="n"/>
      <c r="D73" s="30" t="n"/>
      <c r="E73" s="30" t="n"/>
      <c r="F73" s="30" t="n"/>
      <c r="G73" s="30" t="n"/>
      <c r="H73" s="30" t="n"/>
      <c r="I73" s="30" t="n"/>
      <c r="J73" s="30" t="n"/>
      <c r="K73" s="30" t="n"/>
      <c r="L73" s="30" t="n"/>
      <c r="M73" s="30" t="n"/>
      <c r="N73" s="30" t="n"/>
      <c r="O73" s="30" t="n"/>
      <c r="P73" s="30" t="n"/>
      <c r="Q73" s="30" t="n"/>
      <c r="R73" s="30" t="n"/>
      <c r="S73" s="30" t="n"/>
      <c r="T73" s="30" t="n"/>
      <c r="U73" s="30" t="n"/>
      <c r="V73" s="30" t="n"/>
      <c r="W73" s="30" t="n"/>
      <c r="X73" s="30" t="n"/>
      <c r="Y73" s="30" t="n"/>
      <c r="Z73" s="30" t="n"/>
      <c r="AA73" s="30" t="n"/>
    </row>
    <row r="74">
      <c r="A74" s="30" t="n"/>
      <c r="B74" s="156" t="n"/>
      <c r="C74" s="30" t="n"/>
      <c r="D74" s="30" t="n"/>
      <c r="E74" s="30" t="n"/>
      <c r="F74" s="30" t="n"/>
      <c r="G74" s="30" t="n"/>
      <c r="H74" s="30" t="n"/>
      <c r="I74" s="30" t="n"/>
      <c r="J74" s="30" t="n"/>
      <c r="K74" s="30" t="n"/>
      <c r="L74" s="30" t="n"/>
      <c r="M74" s="30" t="n"/>
      <c r="N74" s="30" t="n"/>
      <c r="O74" s="30" t="n"/>
      <c r="P74" s="30" t="n"/>
      <c r="Q74" s="30" t="n"/>
      <c r="R74" s="30" t="n"/>
      <c r="S74" s="30" t="n"/>
      <c r="T74" s="30" t="n"/>
      <c r="U74" s="30" t="n"/>
      <c r="V74" s="30" t="n"/>
      <c r="W74" s="30" t="n"/>
      <c r="X74" s="30" t="n"/>
      <c r="Y74" s="30" t="n"/>
      <c r="Z74" s="30" t="n"/>
      <c r="AA74" s="30" t="n"/>
    </row>
    <row r="75">
      <c r="A75" s="30" t="n"/>
      <c r="B75" s="156" t="n"/>
      <c r="C75" s="30" t="n"/>
      <c r="D75" s="30" t="n"/>
      <c r="E75" s="30" t="n"/>
      <c r="F75" s="30" t="n"/>
      <c r="G75" s="30" t="n"/>
      <c r="H75" s="30" t="n"/>
      <c r="I75" s="30" t="n"/>
      <c r="J75" s="30" t="n"/>
      <c r="K75" s="30" t="n"/>
      <c r="L75" s="30" t="n"/>
      <c r="M75" s="30" t="n"/>
      <c r="N75" s="30" t="n"/>
      <c r="O75" s="30" t="n"/>
      <c r="P75" s="30" t="n"/>
      <c r="Q75" s="30" t="n"/>
      <c r="R75" s="30" t="n"/>
      <c r="S75" s="30" t="n"/>
      <c r="T75" s="30" t="n"/>
      <c r="U75" s="30" t="n"/>
      <c r="V75" s="30" t="n"/>
      <c r="W75" s="30" t="n"/>
      <c r="X75" s="30" t="n"/>
      <c r="Y75" s="30" t="n"/>
      <c r="Z75" s="30" t="n"/>
      <c r="AA75" s="30" t="n"/>
    </row>
    <row r="76">
      <c r="A76" s="30" t="n"/>
      <c r="B76" s="156" t="n"/>
      <c r="C76" s="30" t="n"/>
      <c r="D76" s="30" t="n"/>
      <c r="E76" s="30" t="n"/>
      <c r="F76" s="30" t="n"/>
      <c r="G76" s="30" t="n"/>
      <c r="H76" s="30" t="n"/>
      <c r="I76" s="30" t="n"/>
      <c r="J76" s="30" t="n"/>
      <c r="K76" s="30" t="n"/>
      <c r="L76" s="30" t="n"/>
      <c r="M76" s="30" t="n"/>
      <c r="N76" s="30" t="n"/>
      <c r="O76" s="30" t="n"/>
      <c r="P76" s="30" t="n"/>
      <c r="Q76" s="30" t="n"/>
      <c r="R76" s="30" t="n"/>
      <c r="S76" s="30" t="n"/>
      <c r="T76" s="30" t="n"/>
      <c r="U76" s="30" t="n"/>
      <c r="V76" s="30" t="n"/>
      <c r="W76" s="30" t="n"/>
      <c r="X76" s="30" t="n"/>
      <c r="Y76" s="30" t="n"/>
      <c r="Z76" s="30" t="n"/>
      <c r="AA76" s="30" t="n"/>
    </row>
    <row r="77">
      <c r="A77" s="30" t="n"/>
      <c r="B77" s="156" t="n"/>
      <c r="C77" s="30" t="n"/>
      <c r="D77" s="30" t="n"/>
      <c r="E77" s="30" t="n"/>
      <c r="F77" s="30" t="n"/>
      <c r="G77" s="30" t="n"/>
      <c r="H77" s="30" t="n"/>
      <c r="I77" s="30" t="n"/>
      <c r="J77" s="30" t="n"/>
      <c r="K77" s="30" t="n"/>
      <c r="L77" s="30" t="n"/>
      <c r="M77" s="30" t="n"/>
      <c r="N77" s="30" t="n"/>
      <c r="O77" s="30" t="n"/>
      <c r="P77" s="30" t="n"/>
      <c r="Q77" s="30" t="n"/>
      <c r="R77" s="30" t="n"/>
      <c r="S77" s="30" t="n"/>
      <c r="T77" s="30" t="n"/>
      <c r="U77" s="30" t="n"/>
      <c r="V77" s="30" t="n"/>
      <c r="W77" s="30" t="n"/>
      <c r="X77" s="30" t="n"/>
      <c r="Y77" s="30" t="n"/>
      <c r="Z77" s="30" t="n"/>
      <c r="AA77" s="30" t="n"/>
    </row>
    <row r="78">
      <c r="A78" s="30" t="n"/>
      <c r="B78" s="156" t="n"/>
      <c r="C78" s="30" t="n"/>
      <c r="D78" s="30" t="n"/>
      <c r="E78" s="30" t="n"/>
      <c r="F78" s="30" t="n"/>
      <c r="G78" s="30" t="n"/>
      <c r="H78" s="30" t="n"/>
      <c r="I78" s="30" t="n"/>
      <c r="J78" s="30" t="n"/>
      <c r="K78" s="30" t="n"/>
      <c r="L78" s="30" t="n"/>
      <c r="M78" s="30" t="n"/>
      <c r="N78" s="30" t="n"/>
      <c r="O78" s="30" t="n"/>
      <c r="P78" s="30" t="n"/>
      <c r="Q78" s="30" t="n"/>
      <c r="R78" s="30" t="n"/>
      <c r="S78" s="30" t="n"/>
      <c r="T78" s="30" t="n"/>
      <c r="U78" s="30" t="n"/>
      <c r="V78" s="30" t="n"/>
      <c r="W78" s="30" t="n"/>
      <c r="X78" s="30" t="n"/>
      <c r="Y78" s="30" t="n"/>
      <c r="Z78" s="30" t="n"/>
      <c r="AA78" s="30" t="n"/>
    </row>
    <row r="79">
      <c r="A79" s="30" t="n"/>
      <c r="B79" s="156" t="n"/>
      <c r="C79" s="30" t="n"/>
      <c r="D79" s="30" t="n"/>
      <c r="E79" s="30" t="n"/>
      <c r="F79" s="30" t="n"/>
      <c r="G79" s="30" t="n"/>
      <c r="H79" s="30" t="n"/>
      <c r="I79" s="30" t="n"/>
      <c r="J79" s="30" t="n"/>
      <c r="K79" s="30" t="n"/>
      <c r="L79" s="30" t="n"/>
      <c r="M79" s="30" t="n"/>
      <c r="N79" s="30" t="n"/>
      <c r="O79" s="30" t="n"/>
      <c r="P79" s="30" t="n"/>
      <c r="Q79" s="30" t="n"/>
      <c r="R79" s="30" t="n"/>
      <c r="S79" s="30" t="n"/>
      <c r="T79" s="30" t="n"/>
      <c r="U79" s="30" t="n"/>
      <c r="V79" s="30" t="n"/>
      <c r="W79" s="30" t="n"/>
      <c r="X79" s="30" t="n"/>
      <c r="Y79" s="30" t="n"/>
      <c r="Z79" s="30" t="n"/>
      <c r="AA79" s="30" t="n"/>
    </row>
    <row r="80">
      <c r="A80" s="30" t="n"/>
      <c r="B80" s="156" t="n"/>
      <c r="C80" s="30" t="n"/>
      <c r="D80" s="30" t="n"/>
      <c r="E80" s="30" t="n"/>
      <c r="F80" s="30" t="n"/>
      <c r="G80" s="30" t="n"/>
      <c r="H80" s="30" t="n"/>
      <c r="I80" s="30" t="n"/>
      <c r="J80" s="30" t="n"/>
      <c r="K80" s="30" t="n"/>
      <c r="L80" s="30" t="n"/>
      <c r="M80" s="30" t="n"/>
      <c r="N80" s="30" t="n"/>
      <c r="O80" s="30" t="n"/>
      <c r="P80" s="30" t="n"/>
      <c r="Q80" s="30" t="n"/>
      <c r="R80" s="30" t="n"/>
      <c r="S80" s="30" t="n"/>
      <c r="T80" s="30" t="n"/>
      <c r="U80" s="30" t="n"/>
      <c r="V80" s="30" t="n"/>
      <c r="W80" s="30" t="n"/>
      <c r="X80" s="30" t="n"/>
      <c r="Y80" s="30" t="n"/>
      <c r="Z80" s="30" t="n"/>
      <c r="AA80" s="30" t="n"/>
    </row>
    <row r="81">
      <c r="A81" s="30" t="n"/>
      <c r="B81" s="156" t="n"/>
      <c r="C81" s="30" t="n"/>
      <c r="D81" s="30" t="n"/>
      <c r="E81" s="30" t="n"/>
      <c r="F81" s="30" t="n"/>
      <c r="G81" s="30" t="n"/>
      <c r="H81" s="30" t="n"/>
      <c r="I81" s="30" t="n"/>
      <c r="J81" s="30" t="n"/>
      <c r="K81" s="30" t="n"/>
      <c r="L81" s="30" t="n"/>
      <c r="M81" s="30" t="n"/>
      <c r="N81" s="30" t="n"/>
      <c r="O81" s="30" t="n"/>
      <c r="P81" s="30" t="n"/>
      <c r="Q81" s="30" t="n"/>
      <c r="R81" s="30" t="n"/>
      <c r="S81" s="30" t="n"/>
      <c r="T81" s="30" t="n"/>
      <c r="U81" s="30" t="n"/>
      <c r="V81" s="30" t="n"/>
      <c r="W81" s="30" t="n"/>
      <c r="X81" s="30" t="n"/>
      <c r="Y81" s="30" t="n"/>
      <c r="Z81" s="30" t="n"/>
      <c r="AA81" s="30" t="n"/>
    </row>
    <row r="82">
      <c r="A82" s="30" t="n"/>
      <c r="B82" s="156" t="n"/>
      <c r="C82" s="30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30" t="n"/>
      <c r="P82" s="30" t="n"/>
      <c r="Q82" s="30" t="n"/>
      <c r="R82" s="30" t="n"/>
      <c r="S82" s="30" t="n"/>
      <c r="T82" s="30" t="n"/>
      <c r="U82" s="30" t="n"/>
      <c r="V82" s="30" t="n"/>
      <c r="W82" s="30" t="n"/>
      <c r="X82" s="30" t="n"/>
      <c r="Y82" s="30" t="n"/>
      <c r="Z82" s="30" t="n"/>
      <c r="AA82" s="30" t="n"/>
    </row>
    <row r="83">
      <c r="A83" s="30" t="n"/>
      <c r="B83" s="156" t="n"/>
      <c r="C83" s="30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30" t="n"/>
      <c r="P83" s="30" t="n"/>
      <c r="Q83" s="30" t="n"/>
      <c r="R83" s="30" t="n"/>
      <c r="S83" s="30" t="n"/>
      <c r="T83" s="30" t="n"/>
      <c r="U83" s="30" t="n"/>
      <c r="V83" s="30" t="n"/>
      <c r="W83" s="30" t="n"/>
      <c r="X83" s="30" t="n"/>
      <c r="Y83" s="30" t="n"/>
      <c r="Z83" s="30" t="n"/>
      <c r="AA83" s="30" t="n"/>
    </row>
    <row r="84">
      <c r="A84" s="30" t="n"/>
      <c r="B84" s="156" t="n"/>
      <c r="C84" s="30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30" t="n"/>
      <c r="P84" s="30" t="n"/>
      <c r="Q84" s="30" t="n"/>
      <c r="R84" s="30" t="n"/>
      <c r="S84" s="30" t="n"/>
      <c r="T84" s="30" t="n"/>
      <c r="U84" s="30" t="n"/>
      <c r="V84" s="30" t="n"/>
      <c r="W84" s="30" t="n"/>
      <c r="X84" s="30" t="n"/>
      <c r="Y84" s="30" t="n"/>
      <c r="Z84" s="30" t="n"/>
      <c r="AA84" s="30" t="n"/>
    </row>
    <row r="85">
      <c r="A85" s="30" t="n"/>
      <c r="B85" s="156" t="n"/>
      <c r="C85" s="30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30" t="n"/>
      <c r="P85" s="30" t="n"/>
      <c r="Q85" s="30" t="n"/>
      <c r="R85" s="30" t="n"/>
      <c r="S85" s="30" t="n"/>
      <c r="T85" s="30" t="n"/>
      <c r="U85" s="30" t="n"/>
      <c r="V85" s="30" t="n"/>
      <c r="W85" s="30" t="n"/>
      <c r="X85" s="30" t="n"/>
      <c r="Y85" s="30" t="n"/>
      <c r="Z85" s="30" t="n"/>
      <c r="AA85" s="30" t="n"/>
    </row>
    <row r="86">
      <c r="A86" s="30" t="n"/>
      <c r="B86" s="156" t="n"/>
      <c r="C86" s="30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0" t="n"/>
      <c r="Y86" s="30" t="n"/>
      <c r="Z86" s="30" t="n"/>
      <c r="AA86" s="30" t="n"/>
    </row>
    <row r="87">
      <c r="A87" s="30" t="n"/>
      <c r="B87" s="156" t="n"/>
      <c r="C87" s="30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0" t="n"/>
      <c r="Y87" s="30" t="n"/>
      <c r="Z87" s="30" t="n"/>
      <c r="AA87" s="30" t="n"/>
    </row>
    <row r="88">
      <c r="A88" s="30" t="n"/>
      <c r="B88" s="156" t="n"/>
      <c r="C88" s="30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0" t="n"/>
      <c r="Y88" s="30" t="n"/>
      <c r="Z88" s="30" t="n"/>
      <c r="AA88" s="30" t="n"/>
    </row>
    <row r="89">
      <c r="A89" s="30" t="n"/>
      <c r="B89" s="156" t="n"/>
      <c r="C89" s="30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0" t="n"/>
      <c r="Y89" s="30" t="n"/>
      <c r="Z89" s="30" t="n"/>
      <c r="AA89" s="30" t="n"/>
    </row>
    <row r="90">
      <c r="A90" s="30" t="n"/>
      <c r="B90" s="156" t="n"/>
      <c r="C90" s="30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0" t="n"/>
      <c r="Y90" s="30" t="n"/>
      <c r="Z90" s="30" t="n"/>
      <c r="AA90" s="30" t="n"/>
    </row>
    <row r="91">
      <c r="A91" s="30" t="n"/>
      <c r="B91" s="156" t="n"/>
      <c r="C91" s="30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0" t="n"/>
      <c r="Y91" s="30" t="n"/>
      <c r="Z91" s="30" t="n"/>
      <c r="AA91" s="30" t="n"/>
    </row>
    <row r="92">
      <c r="A92" s="30" t="n"/>
      <c r="B92" s="156" t="n"/>
      <c r="C92" s="30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0" t="n"/>
      <c r="Y92" s="30" t="n"/>
      <c r="Z92" s="30" t="n"/>
      <c r="AA92" s="30" t="n"/>
    </row>
    <row r="93">
      <c r="A93" s="30" t="n"/>
      <c r="B93" s="156" t="n"/>
      <c r="C93" s="30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30" t="n"/>
      <c r="P93" s="30" t="n"/>
      <c r="Q93" s="30" t="n"/>
      <c r="R93" s="30" t="n"/>
      <c r="S93" s="30" t="n"/>
      <c r="T93" s="30" t="n"/>
      <c r="U93" s="30" t="n"/>
      <c r="V93" s="30" t="n"/>
      <c r="W93" s="30" t="n"/>
      <c r="X93" s="30" t="n"/>
      <c r="Y93" s="30" t="n"/>
      <c r="Z93" s="30" t="n"/>
      <c r="AA93" s="30" t="n"/>
    </row>
    <row r="94">
      <c r="A94" s="30" t="n"/>
      <c r="B94" s="156" t="n"/>
      <c r="C94" s="30" t="n"/>
      <c r="D94" s="30" t="n"/>
      <c r="E94" s="30" t="n"/>
      <c r="F94" s="30" t="n"/>
      <c r="G94" s="30" t="n"/>
      <c r="H94" s="30" t="n"/>
      <c r="I94" s="30" t="n"/>
      <c r="J94" s="30" t="n"/>
      <c r="K94" s="30" t="n"/>
      <c r="L94" s="30" t="n"/>
      <c r="M94" s="30" t="n"/>
      <c r="N94" s="30" t="n"/>
      <c r="O94" s="30" t="n"/>
      <c r="P94" s="30" t="n"/>
      <c r="Q94" s="30" t="n"/>
      <c r="R94" s="30" t="n"/>
      <c r="S94" s="30" t="n"/>
      <c r="T94" s="30" t="n"/>
      <c r="U94" s="30" t="n"/>
      <c r="V94" s="30" t="n"/>
      <c r="W94" s="30" t="n"/>
      <c r="X94" s="30" t="n"/>
      <c r="Y94" s="30" t="n"/>
      <c r="Z94" s="30" t="n"/>
      <c r="AA94" s="30" t="n"/>
    </row>
    <row r="95">
      <c r="A95" s="30" t="n"/>
      <c r="B95" s="156" t="n"/>
      <c r="C95" s="30" t="n"/>
      <c r="D95" s="30" t="n"/>
      <c r="E95" s="30" t="n"/>
      <c r="F95" s="30" t="n"/>
      <c r="G95" s="30" t="n"/>
      <c r="H95" s="30" t="n"/>
      <c r="I95" s="30" t="n"/>
      <c r="J95" s="30" t="n"/>
      <c r="K95" s="30" t="n"/>
      <c r="L95" s="30" t="n"/>
      <c r="M95" s="30" t="n"/>
      <c r="N95" s="30" t="n"/>
      <c r="O95" s="30" t="n"/>
      <c r="P95" s="30" t="n"/>
      <c r="Q95" s="30" t="n"/>
      <c r="R95" s="30" t="n"/>
      <c r="S95" s="30" t="n"/>
      <c r="T95" s="30" t="n"/>
      <c r="U95" s="30" t="n"/>
      <c r="V95" s="30" t="n"/>
      <c r="W95" s="30" t="n"/>
      <c r="X95" s="30" t="n"/>
      <c r="Y95" s="30" t="n"/>
      <c r="Z95" s="30" t="n"/>
      <c r="AA95" s="30" t="n"/>
    </row>
    <row r="96">
      <c r="A96" s="30" t="n"/>
      <c r="B96" s="156" t="n"/>
      <c r="C96" s="30" t="n"/>
      <c r="D96" s="30" t="n"/>
      <c r="E96" s="30" t="n"/>
      <c r="F96" s="30" t="n"/>
      <c r="G96" s="30" t="n"/>
      <c r="H96" s="30" t="n"/>
      <c r="I96" s="30" t="n"/>
      <c r="J96" s="30" t="n"/>
      <c r="K96" s="30" t="n"/>
      <c r="L96" s="30" t="n"/>
      <c r="M96" s="30" t="n"/>
      <c r="N96" s="30" t="n"/>
      <c r="O96" s="30" t="n"/>
      <c r="P96" s="30" t="n"/>
      <c r="Q96" s="30" t="n"/>
      <c r="R96" s="30" t="n"/>
      <c r="S96" s="30" t="n"/>
      <c r="T96" s="30" t="n"/>
      <c r="U96" s="30" t="n"/>
      <c r="V96" s="30" t="n"/>
      <c r="W96" s="30" t="n"/>
      <c r="X96" s="30" t="n"/>
      <c r="Y96" s="30" t="n"/>
      <c r="Z96" s="30" t="n"/>
      <c r="AA96" s="30" t="n"/>
    </row>
    <row r="97">
      <c r="A97" s="30" t="n"/>
      <c r="B97" s="156" t="n"/>
      <c r="C97" s="30" t="n"/>
      <c r="D97" s="30" t="n"/>
      <c r="E97" s="30" t="n"/>
      <c r="F97" s="30" t="n"/>
      <c r="G97" s="30" t="n"/>
      <c r="H97" s="30" t="n"/>
      <c r="I97" s="30" t="n"/>
      <c r="J97" s="30" t="n"/>
      <c r="K97" s="30" t="n"/>
      <c r="L97" s="30" t="n"/>
      <c r="M97" s="30" t="n"/>
      <c r="N97" s="30" t="n"/>
      <c r="O97" s="30" t="n"/>
      <c r="P97" s="30" t="n"/>
      <c r="Q97" s="30" t="n"/>
      <c r="R97" s="30" t="n"/>
      <c r="S97" s="30" t="n"/>
      <c r="T97" s="30" t="n"/>
      <c r="U97" s="30" t="n"/>
      <c r="V97" s="30" t="n"/>
      <c r="W97" s="30" t="n"/>
      <c r="X97" s="30" t="n"/>
      <c r="Y97" s="30" t="n"/>
      <c r="Z97" s="30" t="n"/>
      <c r="AA97" s="30" t="n"/>
    </row>
    <row r="98">
      <c r="A98" s="30" t="n"/>
      <c r="B98" s="156" t="n"/>
      <c r="C98" s="30" t="n"/>
      <c r="D98" s="30" t="n"/>
      <c r="E98" s="30" t="n"/>
      <c r="F98" s="30" t="n"/>
      <c r="G98" s="30" t="n"/>
      <c r="H98" s="30" t="n"/>
      <c r="I98" s="30" t="n"/>
      <c r="J98" s="30" t="n"/>
      <c r="K98" s="30" t="n"/>
      <c r="L98" s="30" t="n"/>
      <c r="M98" s="30" t="n"/>
      <c r="N98" s="30" t="n"/>
      <c r="O98" s="30" t="n"/>
      <c r="P98" s="30" t="n"/>
      <c r="Q98" s="30" t="n"/>
      <c r="R98" s="30" t="n"/>
      <c r="S98" s="30" t="n"/>
      <c r="T98" s="30" t="n"/>
      <c r="U98" s="30" t="n"/>
      <c r="V98" s="30" t="n"/>
      <c r="W98" s="30" t="n"/>
      <c r="X98" s="30" t="n"/>
      <c r="Y98" s="30" t="n"/>
      <c r="Z98" s="30" t="n"/>
      <c r="AA98" s="30" t="n"/>
    </row>
    <row r="99">
      <c r="A99" s="30" t="n"/>
      <c r="B99" s="156" t="n"/>
      <c r="C99" s="30" t="n"/>
      <c r="D99" s="30" t="n"/>
      <c r="E99" s="30" t="n"/>
      <c r="F99" s="30" t="n"/>
      <c r="G99" s="30" t="n"/>
      <c r="H99" s="30" t="n"/>
      <c r="I99" s="30" t="n"/>
      <c r="J99" s="30" t="n"/>
      <c r="K99" s="30" t="n"/>
      <c r="L99" s="30" t="n"/>
      <c r="M99" s="30" t="n"/>
      <c r="N99" s="30" t="n"/>
      <c r="O99" s="30" t="n"/>
      <c r="P99" s="30" t="n"/>
      <c r="Q99" s="30" t="n"/>
      <c r="R99" s="30" t="n"/>
      <c r="S99" s="30" t="n"/>
      <c r="T99" s="30" t="n"/>
      <c r="U99" s="30" t="n"/>
      <c r="V99" s="30" t="n"/>
      <c r="W99" s="30" t="n"/>
      <c r="X99" s="30" t="n"/>
      <c r="Y99" s="30" t="n"/>
      <c r="Z99" s="30" t="n"/>
      <c r="AA99" s="30" t="n"/>
    </row>
    <row r="100">
      <c r="A100" s="30" t="n"/>
      <c r="B100" s="156" t="n"/>
      <c r="C100" s="30" t="n"/>
      <c r="D100" s="30" t="n"/>
      <c r="E100" s="30" t="n"/>
      <c r="F100" s="30" t="n"/>
      <c r="G100" s="30" t="n"/>
      <c r="H100" s="30" t="n"/>
      <c r="I100" s="30" t="n"/>
      <c r="J100" s="30" t="n"/>
      <c r="K100" s="30" t="n"/>
      <c r="L100" s="30" t="n"/>
      <c r="M100" s="30" t="n"/>
      <c r="N100" s="30" t="n"/>
      <c r="O100" s="30" t="n"/>
      <c r="P100" s="30" t="n"/>
      <c r="Q100" s="30" t="n"/>
      <c r="R100" s="30" t="n"/>
      <c r="S100" s="30" t="n"/>
      <c r="T100" s="30" t="n"/>
      <c r="U100" s="30" t="n"/>
      <c r="V100" s="30" t="n"/>
      <c r="W100" s="30" t="n"/>
      <c r="X100" s="30" t="n"/>
      <c r="Y100" s="30" t="n"/>
      <c r="Z100" s="30" t="n"/>
      <c r="AA100" s="30" t="n"/>
    </row>
    <row r="101">
      <c r="A101" s="30" t="n"/>
      <c r="B101" s="156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0" t="n"/>
      <c r="L101" s="30" t="n"/>
      <c r="M101" s="30" t="n"/>
      <c r="N101" s="30" t="n"/>
      <c r="O101" s="30" t="n"/>
      <c r="P101" s="30" t="n"/>
      <c r="Q101" s="30" t="n"/>
      <c r="R101" s="30" t="n"/>
      <c r="S101" s="30" t="n"/>
      <c r="T101" s="30" t="n"/>
      <c r="U101" s="30" t="n"/>
      <c r="V101" s="30" t="n"/>
      <c r="W101" s="30" t="n"/>
      <c r="X101" s="30" t="n"/>
      <c r="Y101" s="30" t="n"/>
      <c r="Z101" s="30" t="n"/>
      <c r="AA101" s="30" t="n"/>
    </row>
    <row r="102">
      <c r="A102" s="30" t="n"/>
      <c r="B102" s="156" t="n"/>
      <c r="C102" s="30" t="n"/>
      <c r="D102" s="30" t="n"/>
      <c r="E102" s="30" t="n"/>
      <c r="F102" s="30" t="n"/>
      <c r="G102" s="30" t="n"/>
      <c r="H102" s="30" t="n"/>
      <c r="I102" s="30" t="n"/>
      <c r="J102" s="30" t="n"/>
      <c r="K102" s="30" t="n"/>
      <c r="L102" s="30" t="n"/>
      <c r="M102" s="30" t="n"/>
      <c r="N102" s="30" t="n"/>
      <c r="O102" s="30" t="n"/>
      <c r="P102" s="30" t="n"/>
      <c r="Q102" s="30" t="n"/>
      <c r="R102" s="30" t="n"/>
      <c r="S102" s="30" t="n"/>
      <c r="T102" s="30" t="n"/>
      <c r="U102" s="30" t="n"/>
      <c r="V102" s="30" t="n"/>
      <c r="W102" s="30" t="n"/>
      <c r="X102" s="30" t="n"/>
      <c r="Y102" s="30" t="n"/>
      <c r="Z102" s="30" t="n"/>
      <c r="AA102" s="30" t="n"/>
    </row>
    <row r="103">
      <c r="A103" s="30" t="n"/>
      <c r="B103" s="156" t="n"/>
      <c r="C103" s="30" t="n"/>
      <c r="D103" s="30" t="n"/>
      <c r="E103" s="30" t="n"/>
      <c r="F103" s="30" t="n"/>
      <c r="G103" s="30" t="n"/>
      <c r="H103" s="30" t="n"/>
      <c r="I103" s="30" t="n"/>
      <c r="J103" s="30" t="n"/>
      <c r="K103" s="30" t="n"/>
      <c r="L103" s="30" t="n"/>
      <c r="M103" s="30" t="n"/>
      <c r="N103" s="30" t="n"/>
      <c r="O103" s="30" t="n"/>
      <c r="P103" s="30" t="n"/>
      <c r="Q103" s="30" t="n"/>
      <c r="R103" s="30" t="n"/>
      <c r="S103" s="30" t="n"/>
      <c r="T103" s="30" t="n"/>
      <c r="U103" s="30" t="n"/>
      <c r="V103" s="30" t="n"/>
      <c r="W103" s="30" t="n"/>
      <c r="X103" s="30" t="n"/>
      <c r="Y103" s="30" t="n"/>
      <c r="Z103" s="30" t="n"/>
      <c r="AA103" s="30" t="n"/>
    </row>
    <row r="104">
      <c r="A104" s="30" t="n"/>
      <c r="B104" s="156" t="n"/>
      <c r="C104" s="30" t="n"/>
      <c r="D104" s="30" t="n"/>
      <c r="E104" s="30" t="n"/>
      <c r="F104" s="30" t="n"/>
      <c r="G104" s="30" t="n"/>
      <c r="H104" s="30" t="n"/>
      <c r="I104" s="30" t="n"/>
      <c r="J104" s="30" t="n"/>
      <c r="K104" s="30" t="n"/>
      <c r="L104" s="30" t="n"/>
      <c r="M104" s="30" t="n"/>
      <c r="N104" s="30" t="n"/>
      <c r="O104" s="30" t="n"/>
      <c r="P104" s="30" t="n"/>
      <c r="Q104" s="30" t="n"/>
      <c r="R104" s="30" t="n"/>
      <c r="S104" s="30" t="n"/>
      <c r="T104" s="30" t="n"/>
      <c r="U104" s="30" t="n"/>
      <c r="V104" s="30" t="n"/>
      <c r="W104" s="30" t="n"/>
      <c r="X104" s="30" t="n"/>
      <c r="Y104" s="30" t="n"/>
      <c r="Z104" s="30" t="n"/>
      <c r="AA104" s="30" t="n"/>
    </row>
    <row r="105">
      <c r="A105" s="30" t="n"/>
      <c r="B105" s="156" t="n"/>
      <c r="C105" s="30" t="n"/>
      <c r="D105" s="30" t="n"/>
      <c r="E105" s="30" t="n"/>
      <c r="F105" s="30" t="n"/>
      <c r="G105" s="30" t="n"/>
      <c r="H105" s="30" t="n"/>
      <c r="I105" s="30" t="n"/>
      <c r="J105" s="30" t="n"/>
      <c r="K105" s="30" t="n"/>
      <c r="L105" s="30" t="n"/>
      <c r="M105" s="30" t="n"/>
      <c r="N105" s="30" t="n"/>
      <c r="O105" s="30" t="n"/>
      <c r="P105" s="30" t="n"/>
      <c r="Q105" s="30" t="n"/>
      <c r="R105" s="30" t="n"/>
      <c r="S105" s="30" t="n"/>
      <c r="T105" s="30" t="n"/>
      <c r="U105" s="30" t="n"/>
      <c r="V105" s="30" t="n"/>
      <c r="W105" s="30" t="n"/>
      <c r="X105" s="30" t="n"/>
      <c r="Y105" s="30" t="n"/>
      <c r="Z105" s="30" t="n"/>
      <c r="AA105" s="30" t="n"/>
    </row>
    <row r="106">
      <c r="A106" s="30" t="n"/>
      <c r="B106" s="156" t="n"/>
      <c r="C106" s="30" t="n"/>
      <c r="D106" s="30" t="n"/>
      <c r="E106" s="30" t="n"/>
      <c r="F106" s="30" t="n"/>
      <c r="G106" s="30" t="n"/>
      <c r="H106" s="30" t="n"/>
      <c r="I106" s="30" t="n"/>
      <c r="J106" s="30" t="n"/>
      <c r="K106" s="30" t="n"/>
      <c r="L106" s="30" t="n"/>
      <c r="M106" s="30" t="n"/>
      <c r="N106" s="30" t="n"/>
      <c r="O106" s="30" t="n"/>
      <c r="P106" s="30" t="n"/>
      <c r="Q106" s="30" t="n"/>
      <c r="R106" s="30" t="n"/>
      <c r="S106" s="30" t="n"/>
      <c r="T106" s="30" t="n"/>
      <c r="U106" s="30" t="n"/>
      <c r="V106" s="30" t="n"/>
      <c r="W106" s="30" t="n"/>
      <c r="X106" s="30" t="n"/>
      <c r="Y106" s="30" t="n"/>
      <c r="Z106" s="30" t="n"/>
      <c r="AA106" s="30" t="n"/>
    </row>
    <row r="107">
      <c r="A107" s="30" t="n"/>
      <c r="B107" s="156" t="n"/>
      <c r="C107" s="30" t="n"/>
      <c r="D107" s="30" t="n"/>
      <c r="E107" s="30" t="n"/>
      <c r="F107" s="30" t="n"/>
      <c r="G107" s="30" t="n"/>
      <c r="H107" s="30" t="n"/>
      <c r="I107" s="30" t="n"/>
      <c r="J107" s="30" t="n"/>
      <c r="K107" s="30" t="n"/>
      <c r="L107" s="30" t="n"/>
      <c r="M107" s="30" t="n"/>
      <c r="N107" s="30" t="n"/>
      <c r="O107" s="30" t="n"/>
      <c r="P107" s="30" t="n"/>
      <c r="Q107" s="30" t="n"/>
      <c r="R107" s="30" t="n"/>
      <c r="S107" s="30" t="n"/>
      <c r="T107" s="30" t="n"/>
      <c r="U107" s="30" t="n"/>
      <c r="V107" s="30" t="n"/>
      <c r="W107" s="30" t="n"/>
      <c r="X107" s="30" t="n"/>
      <c r="Y107" s="30" t="n"/>
      <c r="Z107" s="30" t="n"/>
      <c r="AA107" s="30" t="n"/>
    </row>
    <row r="108">
      <c r="A108" s="30" t="n"/>
      <c r="B108" s="156" t="n"/>
      <c r="C108" s="30" t="n"/>
      <c r="D108" s="30" t="n"/>
      <c r="E108" s="30" t="n"/>
      <c r="F108" s="30" t="n"/>
      <c r="G108" s="30" t="n"/>
      <c r="H108" s="30" t="n"/>
      <c r="I108" s="30" t="n"/>
      <c r="J108" s="30" t="n"/>
      <c r="K108" s="30" t="n"/>
      <c r="L108" s="30" t="n"/>
      <c r="M108" s="30" t="n"/>
      <c r="N108" s="30" t="n"/>
      <c r="O108" s="30" t="n"/>
      <c r="P108" s="30" t="n"/>
      <c r="Q108" s="30" t="n"/>
      <c r="R108" s="30" t="n"/>
      <c r="S108" s="30" t="n"/>
      <c r="T108" s="30" t="n"/>
      <c r="U108" s="30" t="n"/>
      <c r="V108" s="30" t="n"/>
      <c r="W108" s="30" t="n"/>
      <c r="X108" s="30" t="n"/>
      <c r="Y108" s="30" t="n"/>
      <c r="Z108" s="30" t="n"/>
      <c r="AA108" s="30" t="n"/>
    </row>
    <row r="109">
      <c r="A109" s="30" t="n"/>
      <c r="B109" s="156" t="n"/>
      <c r="C109" s="30" t="n"/>
      <c r="D109" s="30" t="n"/>
      <c r="E109" s="30" t="n"/>
      <c r="F109" s="30" t="n"/>
      <c r="G109" s="30" t="n"/>
      <c r="H109" s="30" t="n"/>
      <c r="I109" s="30" t="n"/>
      <c r="J109" s="30" t="n"/>
      <c r="K109" s="30" t="n"/>
      <c r="L109" s="30" t="n"/>
      <c r="M109" s="30" t="n"/>
      <c r="N109" s="30" t="n"/>
      <c r="O109" s="30" t="n"/>
      <c r="P109" s="30" t="n"/>
      <c r="Q109" s="30" t="n"/>
      <c r="R109" s="30" t="n"/>
      <c r="S109" s="30" t="n"/>
      <c r="T109" s="30" t="n"/>
      <c r="U109" s="30" t="n"/>
      <c r="V109" s="30" t="n"/>
      <c r="W109" s="30" t="n"/>
      <c r="X109" s="30" t="n"/>
      <c r="Y109" s="30" t="n"/>
      <c r="Z109" s="30" t="n"/>
      <c r="AA109" s="30" t="n"/>
    </row>
    <row r="110">
      <c r="A110" s="30" t="n"/>
      <c r="B110" s="156" t="n"/>
      <c r="C110" s="30" t="n"/>
      <c r="D110" s="30" t="n"/>
      <c r="E110" s="30" t="n"/>
      <c r="F110" s="30" t="n"/>
      <c r="G110" s="30" t="n"/>
      <c r="H110" s="30" t="n"/>
      <c r="I110" s="30" t="n"/>
      <c r="J110" s="30" t="n"/>
      <c r="K110" s="30" t="n"/>
      <c r="L110" s="30" t="n"/>
      <c r="M110" s="30" t="n"/>
      <c r="N110" s="30" t="n"/>
      <c r="O110" s="30" t="n"/>
      <c r="P110" s="30" t="n"/>
      <c r="Q110" s="30" t="n"/>
      <c r="R110" s="30" t="n"/>
      <c r="S110" s="30" t="n"/>
      <c r="T110" s="30" t="n"/>
      <c r="U110" s="30" t="n"/>
      <c r="V110" s="30" t="n"/>
      <c r="W110" s="30" t="n"/>
      <c r="X110" s="30" t="n"/>
      <c r="Y110" s="30" t="n"/>
      <c r="Z110" s="30" t="n"/>
      <c r="AA110" s="30" t="n"/>
    </row>
    <row r="111">
      <c r="A111" s="30" t="n"/>
      <c r="B111" s="156" t="n"/>
      <c r="C111" s="30" t="n"/>
      <c r="D111" s="30" t="n"/>
      <c r="E111" s="30" t="n"/>
      <c r="F111" s="30" t="n"/>
      <c r="G111" s="30" t="n"/>
      <c r="H111" s="30" t="n"/>
      <c r="I111" s="30" t="n"/>
      <c r="J111" s="30" t="n"/>
      <c r="K111" s="30" t="n"/>
      <c r="L111" s="30" t="n"/>
      <c r="M111" s="30" t="n"/>
      <c r="N111" s="30" t="n"/>
      <c r="O111" s="30" t="n"/>
      <c r="P111" s="30" t="n"/>
      <c r="Q111" s="30" t="n"/>
      <c r="R111" s="30" t="n"/>
      <c r="S111" s="30" t="n"/>
      <c r="T111" s="30" t="n"/>
      <c r="U111" s="30" t="n"/>
      <c r="V111" s="30" t="n"/>
      <c r="W111" s="30" t="n"/>
      <c r="X111" s="30" t="n"/>
      <c r="Y111" s="30" t="n"/>
      <c r="Z111" s="30" t="n"/>
      <c r="AA111" s="30" t="n"/>
    </row>
    <row r="112">
      <c r="A112" s="30" t="n"/>
      <c r="B112" s="156" t="n"/>
      <c r="C112" s="30" t="n"/>
      <c r="D112" s="30" t="n"/>
      <c r="E112" s="30" t="n"/>
      <c r="F112" s="30" t="n"/>
      <c r="G112" s="30" t="n"/>
      <c r="H112" s="30" t="n"/>
      <c r="I112" s="30" t="n"/>
      <c r="J112" s="30" t="n"/>
      <c r="K112" s="30" t="n"/>
      <c r="L112" s="30" t="n"/>
      <c r="M112" s="30" t="n"/>
      <c r="N112" s="30" t="n"/>
      <c r="O112" s="30" t="n"/>
      <c r="P112" s="30" t="n"/>
      <c r="Q112" s="30" t="n"/>
      <c r="R112" s="30" t="n"/>
      <c r="S112" s="30" t="n"/>
      <c r="T112" s="30" t="n"/>
      <c r="U112" s="30" t="n"/>
      <c r="V112" s="30" t="n"/>
      <c r="W112" s="30" t="n"/>
      <c r="X112" s="30" t="n"/>
      <c r="Y112" s="30" t="n"/>
      <c r="Z112" s="30" t="n"/>
      <c r="AA112" s="30" t="n"/>
    </row>
    <row r="113">
      <c r="A113" s="30" t="n"/>
      <c r="B113" s="156" t="n"/>
      <c r="C113" s="30" t="n"/>
      <c r="D113" s="30" t="n"/>
      <c r="E113" s="30" t="n"/>
      <c r="F113" s="30" t="n"/>
      <c r="G113" s="30" t="n"/>
      <c r="H113" s="30" t="n"/>
      <c r="I113" s="30" t="n"/>
      <c r="J113" s="30" t="n"/>
      <c r="K113" s="30" t="n"/>
      <c r="L113" s="30" t="n"/>
      <c r="M113" s="30" t="n"/>
      <c r="N113" s="30" t="n"/>
      <c r="O113" s="30" t="n"/>
      <c r="P113" s="30" t="n"/>
      <c r="Q113" s="30" t="n"/>
      <c r="R113" s="30" t="n"/>
      <c r="S113" s="30" t="n"/>
      <c r="T113" s="30" t="n"/>
      <c r="U113" s="30" t="n"/>
      <c r="V113" s="30" t="n"/>
      <c r="W113" s="30" t="n"/>
      <c r="X113" s="30" t="n"/>
      <c r="Y113" s="30" t="n"/>
      <c r="Z113" s="30" t="n"/>
      <c r="AA113" s="30" t="n"/>
    </row>
    <row r="114">
      <c r="A114" s="30" t="n"/>
      <c r="B114" s="156" t="n"/>
      <c r="C114" s="30" t="n"/>
      <c r="D114" s="30" t="n"/>
      <c r="E114" s="30" t="n"/>
      <c r="F114" s="30" t="n"/>
      <c r="G114" s="30" t="n"/>
      <c r="H114" s="30" t="n"/>
      <c r="I114" s="30" t="n"/>
      <c r="J114" s="30" t="n"/>
      <c r="K114" s="30" t="n"/>
      <c r="L114" s="30" t="n"/>
      <c r="M114" s="30" t="n"/>
      <c r="N114" s="30" t="n"/>
      <c r="O114" s="30" t="n"/>
      <c r="P114" s="30" t="n"/>
      <c r="Q114" s="30" t="n"/>
      <c r="R114" s="30" t="n"/>
      <c r="S114" s="30" t="n"/>
      <c r="T114" s="30" t="n"/>
      <c r="U114" s="30" t="n"/>
      <c r="V114" s="30" t="n"/>
      <c r="W114" s="30" t="n"/>
      <c r="X114" s="30" t="n"/>
      <c r="Y114" s="30" t="n"/>
      <c r="Z114" s="30" t="n"/>
      <c r="AA114" s="30" t="n"/>
    </row>
    <row r="115">
      <c r="A115" s="30" t="n"/>
      <c r="B115" s="156" t="n"/>
      <c r="C115" s="30" t="n"/>
      <c r="D115" s="30" t="n"/>
      <c r="E115" s="30" t="n"/>
      <c r="F115" s="30" t="n"/>
      <c r="G115" s="30" t="n"/>
      <c r="H115" s="30" t="n"/>
      <c r="I115" s="30" t="n"/>
      <c r="J115" s="30" t="n"/>
      <c r="K115" s="30" t="n"/>
      <c r="L115" s="30" t="n"/>
      <c r="M115" s="30" t="n"/>
      <c r="N115" s="30" t="n"/>
      <c r="O115" s="30" t="n"/>
      <c r="P115" s="30" t="n"/>
      <c r="Q115" s="30" t="n"/>
      <c r="R115" s="30" t="n"/>
      <c r="S115" s="30" t="n"/>
      <c r="T115" s="30" t="n"/>
      <c r="U115" s="30" t="n"/>
      <c r="V115" s="30" t="n"/>
      <c r="W115" s="30" t="n"/>
      <c r="X115" s="30" t="n"/>
      <c r="Y115" s="30" t="n"/>
      <c r="Z115" s="30" t="n"/>
      <c r="AA115" s="30" t="n"/>
    </row>
    <row r="116">
      <c r="A116" s="30" t="n"/>
      <c r="B116" s="156" t="n"/>
      <c r="C116" s="30" t="n"/>
      <c r="D116" s="30" t="n"/>
      <c r="E116" s="30" t="n"/>
      <c r="F116" s="30" t="n"/>
      <c r="G116" s="30" t="n"/>
      <c r="H116" s="30" t="n"/>
      <c r="I116" s="30" t="n"/>
      <c r="J116" s="30" t="n"/>
      <c r="K116" s="30" t="n"/>
      <c r="L116" s="30" t="n"/>
      <c r="M116" s="30" t="n"/>
      <c r="N116" s="30" t="n"/>
      <c r="O116" s="30" t="n"/>
      <c r="P116" s="30" t="n"/>
      <c r="Q116" s="30" t="n"/>
      <c r="R116" s="30" t="n"/>
      <c r="S116" s="30" t="n"/>
      <c r="T116" s="30" t="n"/>
      <c r="U116" s="30" t="n"/>
      <c r="V116" s="30" t="n"/>
      <c r="W116" s="30" t="n"/>
      <c r="X116" s="30" t="n"/>
      <c r="Y116" s="30" t="n"/>
      <c r="Z116" s="30" t="n"/>
      <c r="AA116" s="30" t="n"/>
    </row>
    <row r="117">
      <c r="A117" s="30" t="n"/>
      <c r="B117" s="156" t="n"/>
      <c r="C117" s="30" t="n"/>
      <c r="D117" s="30" t="n"/>
      <c r="E117" s="30" t="n"/>
      <c r="F117" s="30" t="n"/>
      <c r="G117" s="30" t="n"/>
      <c r="H117" s="30" t="n"/>
      <c r="I117" s="30" t="n"/>
      <c r="J117" s="30" t="n"/>
      <c r="K117" s="30" t="n"/>
      <c r="L117" s="30" t="n"/>
      <c r="M117" s="30" t="n"/>
      <c r="N117" s="30" t="n"/>
      <c r="O117" s="30" t="n"/>
      <c r="P117" s="30" t="n"/>
      <c r="Q117" s="30" t="n"/>
      <c r="R117" s="30" t="n"/>
      <c r="S117" s="30" t="n"/>
      <c r="T117" s="30" t="n"/>
      <c r="U117" s="30" t="n"/>
      <c r="V117" s="30" t="n"/>
      <c r="W117" s="30" t="n"/>
      <c r="X117" s="30" t="n"/>
      <c r="Y117" s="30" t="n"/>
      <c r="Z117" s="30" t="n"/>
      <c r="AA117" s="30" t="n"/>
    </row>
    <row r="118">
      <c r="A118" s="30" t="n"/>
      <c r="B118" s="156" t="n"/>
      <c r="C118" s="30" t="n"/>
      <c r="D118" s="30" t="n"/>
      <c r="E118" s="30" t="n"/>
      <c r="F118" s="30" t="n"/>
      <c r="G118" s="30" t="n"/>
      <c r="H118" s="30" t="n"/>
      <c r="I118" s="30" t="n"/>
      <c r="J118" s="30" t="n"/>
      <c r="K118" s="30" t="n"/>
      <c r="L118" s="30" t="n"/>
      <c r="M118" s="30" t="n"/>
      <c r="N118" s="30" t="n"/>
      <c r="O118" s="30" t="n"/>
      <c r="P118" s="30" t="n"/>
      <c r="Q118" s="30" t="n"/>
      <c r="R118" s="30" t="n"/>
      <c r="S118" s="30" t="n"/>
      <c r="T118" s="30" t="n"/>
      <c r="U118" s="30" t="n"/>
      <c r="V118" s="30" t="n"/>
      <c r="W118" s="30" t="n"/>
      <c r="X118" s="30" t="n"/>
      <c r="Y118" s="30" t="n"/>
      <c r="Z118" s="30" t="n"/>
      <c r="AA118" s="30" t="n"/>
    </row>
    <row r="119">
      <c r="A119" s="30" t="n"/>
      <c r="B119" s="156" t="n"/>
      <c r="C119" s="30" t="n"/>
      <c r="D119" s="30" t="n"/>
      <c r="E119" s="30" t="n"/>
      <c r="F119" s="30" t="n"/>
      <c r="G119" s="30" t="n"/>
      <c r="H119" s="30" t="n"/>
      <c r="I119" s="30" t="n"/>
      <c r="J119" s="30" t="n"/>
      <c r="K119" s="30" t="n"/>
      <c r="L119" s="30" t="n"/>
      <c r="M119" s="30" t="n"/>
      <c r="N119" s="30" t="n"/>
      <c r="O119" s="30" t="n"/>
      <c r="P119" s="30" t="n"/>
      <c r="Q119" s="30" t="n"/>
      <c r="R119" s="30" t="n"/>
      <c r="S119" s="30" t="n"/>
      <c r="T119" s="30" t="n"/>
      <c r="U119" s="30" t="n"/>
      <c r="V119" s="30" t="n"/>
      <c r="W119" s="30" t="n"/>
      <c r="X119" s="30" t="n"/>
      <c r="Y119" s="30" t="n"/>
      <c r="Z119" s="30" t="n"/>
      <c r="AA119" s="30" t="n"/>
    </row>
    <row r="120">
      <c r="A120" s="30" t="n"/>
      <c r="B120" s="156" t="n"/>
      <c r="C120" s="30" t="n"/>
      <c r="D120" s="30" t="n"/>
      <c r="E120" s="30" t="n"/>
      <c r="F120" s="30" t="n"/>
      <c r="G120" s="30" t="n"/>
      <c r="H120" s="30" t="n"/>
      <c r="I120" s="30" t="n"/>
      <c r="J120" s="30" t="n"/>
      <c r="K120" s="30" t="n"/>
      <c r="L120" s="30" t="n"/>
      <c r="M120" s="30" t="n"/>
      <c r="N120" s="30" t="n"/>
      <c r="O120" s="30" t="n"/>
      <c r="P120" s="30" t="n"/>
      <c r="Q120" s="30" t="n"/>
      <c r="R120" s="30" t="n"/>
      <c r="S120" s="30" t="n"/>
      <c r="T120" s="30" t="n"/>
      <c r="U120" s="30" t="n"/>
      <c r="V120" s="30" t="n"/>
      <c r="W120" s="30" t="n"/>
      <c r="X120" s="30" t="n"/>
      <c r="Y120" s="30" t="n"/>
      <c r="Z120" s="30" t="n"/>
      <c r="AA120" s="30" t="n"/>
    </row>
    <row r="121">
      <c r="A121" s="30" t="n"/>
      <c r="B121" s="156" t="n"/>
      <c r="C121" s="30" t="n"/>
      <c r="D121" s="30" t="n"/>
      <c r="E121" s="30" t="n"/>
      <c r="F121" s="30" t="n"/>
      <c r="G121" s="30" t="n"/>
      <c r="H121" s="30" t="n"/>
      <c r="I121" s="30" t="n"/>
      <c r="J121" s="30" t="n"/>
      <c r="K121" s="30" t="n"/>
      <c r="L121" s="30" t="n"/>
      <c r="M121" s="30" t="n"/>
      <c r="N121" s="30" t="n"/>
      <c r="O121" s="30" t="n"/>
      <c r="P121" s="30" t="n"/>
      <c r="Q121" s="30" t="n"/>
      <c r="R121" s="30" t="n"/>
      <c r="S121" s="30" t="n"/>
      <c r="T121" s="30" t="n"/>
      <c r="U121" s="30" t="n"/>
      <c r="V121" s="30" t="n"/>
      <c r="W121" s="30" t="n"/>
      <c r="X121" s="30" t="n"/>
      <c r="Y121" s="30" t="n"/>
      <c r="Z121" s="30" t="n"/>
      <c r="AA121" s="30" t="n"/>
    </row>
    <row r="122">
      <c r="A122" s="30" t="n"/>
      <c r="B122" s="156" t="n"/>
      <c r="C122" s="30" t="n"/>
      <c r="D122" s="30" t="n"/>
      <c r="E122" s="30" t="n"/>
      <c r="F122" s="30" t="n"/>
      <c r="G122" s="30" t="n"/>
      <c r="H122" s="30" t="n"/>
      <c r="I122" s="30" t="n"/>
      <c r="J122" s="30" t="n"/>
      <c r="K122" s="30" t="n"/>
      <c r="L122" s="30" t="n"/>
      <c r="M122" s="30" t="n"/>
      <c r="N122" s="30" t="n"/>
      <c r="O122" s="30" t="n"/>
      <c r="P122" s="30" t="n"/>
      <c r="Q122" s="30" t="n"/>
      <c r="R122" s="30" t="n"/>
      <c r="S122" s="30" t="n"/>
      <c r="T122" s="30" t="n"/>
      <c r="U122" s="30" t="n"/>
      <c r="V122" s="30" t="n"/>
      <c r="W122" s="30" t="n"/>
      <c r="X122" s="30" t="n"/>
      <c r="Y122" s="30" t="n"/>
      <c r="Z122" s="30" t="n"/>
      <c r="AA122" s="30" t="n"/>
    </row>
    <row r="123">
      <c r="A123" s="30" t="n"/>
      <c r="B123" s="156" t="n"/>
      <c r="C123" s="30" t="n"/>
      <c r="D123" s="30" t="n"/>
      <c r="E123" s="30" t="n"/>
      <c r="F123" s="30" t="n"/>
      <c r="G123" s="30" t="n"/>
      <c r="H123" s="30" t="n"/>
      <c r="I123" s="30" t="n"/>
      <c r="J123" s="30" t="n"/>
      <c r="K123" s="30" t="n"/>
      <c r="L123" s="30" t="n"/>
      <c r="M123" s="30" t="n"/>
      <c r="N123" s="30" t="n"/>
      <c r="O123" s="30" t="n"/>
      <c r="P123" s="30" t="n"/>
      <c r="Q123" s="30" t="n"/>
      <c r="R123" s="30" t="n"/>
      <c r="S123" s="30" t="n"/>
      <c r="T123" s="30" t="n"/>
      <c r="U123" s="30" t="n"/>
      <c r="V123" s="30" t="n"/>
      <c r="W123" s="30" t="n"/>
      <c r="X123" s="30" t="n"/>
      <c r="Y123" s="30" t="n"/>
      <c r="Z123" s="30" t="n"/>
      <c r="AA123" s="30" t="n"/>
    </row>
    <row r="124">
      <c r="A124" s="30" t="n"/>
      <c r="B124" s="156" t="n"/>
      <c r="C124" s="30" t="n"/>
      <c r="D124" s="30" t="n"/>
      <c r="E124" s="30" t="n"/>
      <c r="F124" s="30" t="n"/>
      <c r="G124" s="30" t="n"/>
      <c r="H124" s="30" t="n"/>
      <c r="I124" s="30" t="n"/>
      <c r="J124" s="30" t="n"/>
      <c r="K124" s="30" t="n"/>
      <c r="L124" s="30" t="n"/>
      <c r="M124" s="30" t="n"/>
      <c r="N124" s="30" t="n"/>
      <c r="O124" s="30" t="n"/>
      <c r="P124" s="30" t="n"/>
      <c r="Q124" s="30" t="n"/>
      <c r="R124" s="30" t="n"/>
      <c r="S124" s="30" t="n"/>
      <c r="T124" s="30" t="n"/>
      <c r="U124" s="30" t="n"/>
      <c r="V124" s="30" t="n"/>
      <c r="W124" s="30" t="n"/>
      <c r="X124" s="30" t="n"/>
      <c r="Y124" s="30" t="n"/>
      <c r="Z124" s="30" t="n"/>
      <c r="AA124" s="30" t="n"/>
    </row>
    <row r="125">
      <c r="A125" s="30" t="n"/>
      <c r="B125" s="156" t="n"/>
      <c r="C125" s="30" t="n"/>
      <c r="D125" s="30" t="n"/>
      <c r="E125" s="30" t="n"/>
      <c r="F125" s="30" t="n"/>
      <c r="G125" s="30" t="n"/>
      <c r="H125" s="30" t="n"/>
      <c r="I125" s="30" t="n"/>
      <c r="J125" s="30" t="n"/>
      <c r="K125" s="30" t="n"/>
      <c r="L125" s="30" t="n"/>
      <c r="M125" s="30" t="n"/>
      <c r="N125" s="30" t="n"/>
      <c r="O125" s="30" t="n"/>
      <c r="P125" s="30" t="n"/>
      <c r="Q125" s="30" t="n"/>
      <c r="R125" s="30" t="n"/>
      <c r="S125" s="30" t="n"/>
      <c r="T125" s="30" t="n"/>
      <c r="U125" s="30" t="n"/>
      <c r="V125" s="30" t="n"/>
      <c r="W125" s="30" t="n"/>
      <c r="X125" s="30" t="n"/>
      <c r="Y125" s="30" t="n"/>
      <c r="Z125" s="30" t="n"/>
      <c r="AA125" s="30" t="n"/>
    </row>
    <row r="126">
      <c r="A126" s="30" t="n"/>
      <c r="B126" s="156" t="n"/>
      <c r="C126" s="30" t="n"/>
      <c r="D126" s="30" t="n"/>
      <c r="E126" s="30" t="n"/>
      <c r="F126" s="30" t="n"/>
      <c r="G126" s="30" t="n"/>
      <c r="H126" s="30" t="n"/>
      <c r="I126" s="30" t="n"/>
      <c r="J126" s="30" t="n"/>
      <c r="K126" s="30" t="n"/>
      <c r="L126" s="30" t="n"/>
      <c r="M126" s="30" t="n"/>
      <c r="N126" s="30" t="n"/>
      <c r="O126" s="30" t="n"/>
      <c r="P126" s="30" t="n"/>
      <c r="Q126" s="30" t="n"/>
      <c r="R126" s="30" t="n"/>
      <c r="S126" s="30" t="n"/>
      <c r="T126" s="30" t="n"/>
      <c r="U126" s="30" t="n"/>
      <c r="V126" s="30" t="n"/>
      <c r="W126" s="30" t="n"/>
      <c r="X126" s="30" t="n"/>
      <c r="Y126" s="30" t="n"/>
      <c r="Z126" s="30" t="n"/>
      <c r="AA126" s="30" t="n"/>
    </row>
    <row r="127">
      <c r="A127" s="30" t="n"/>
      <c r="B127" s="156" t="n"/>
      <c r="C127" s="30" t="n"/>
      <c r="D127" s="30" t="n"/>
      <c r="E127" s="30" t="n"/>
      <c r="F127" s="30" t="n"/>
      <c r="G127" s="30" t="n"/>
      <c r="H127" s="30" t="n"/>
      <c r="I127" s="30" t="n"/>
      <c r="J127" s="30" t="n"/>
      <c r="K127" s="30" t="n"/>
      <c r="L127" s="30" t="n"/>
      <c r="M127" s="30" t="n"/>
      <c r="N127" s="30" t="n"/>
      <c r="O127" s="30" t="n"/>
      <c r="P127" s="30" t="n"/>
      <c r="Q127" s="30" t="n"/>
      <c r="R127" s="30" t="n"/>
      <c r="S127" s="30" t="n"/>
      <c r="T127" s="30" t="n"/>
      <c r="U127" s="30" t="n"/>
      <c r="V127" s="30" t="n"/>
      <c r="W127" s="30" t="n"/>
      <c r="X127" s="30" t="n"/>
      <c r="Y127" s="30" t="n"/>
      <c r="Z127" s="30" t="n"/>
      <c r="AA127" s="30" t="n"/>
    </row>
    <row r="128">
      <c r="A128" s="30" t="n"/>
      <c r="B128" s="156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0" t="n"/>
      <c r="L128" s="30" t="n"/>
      <c r="M128" s="30" t="n"/>
      <c r="N128" s="30" t="n"/>
      <c r="O128" s="30" t="n"/>
      <c r="P128" s="30" t="n"/>
      <c r="Q128" s="30" t="n"/>
      <c r="R128" s="30" t="n"/>
      <c r="S128" s="30" t="n"/>
      <c r="T128" s="30" t="n"/>
      <c r="U128" s="30" t="n"/>
      <c r="V128" s="30" t="n"/>
      <c r="W128" s="30" t="n"/>
      <c r="X128" s="30" t="n"/>
      <c r="Y128" s="30" t="n"/>
      <c r="Z128" s="30" t="n"/>
      <c r="AA128" s="30" t="n"/>
    </row>
    <row r="129">
      <c r="A129" s="30" t="n"/>
      <c r="B129" s="156" t="n"/>
      <c r="C129" s="30" t="n"/>
      <c r="D129" s="30" t="n"/>
      <c r="E129" s="30" t="n"/>
      <c r="F129" s="30" t="n"/>
      <c r="G129" s="30" t="n"/>
      <c r="H129" s="30" t="n"/>
      <c r="I129" s="30" t="n"/>
      <c r="J129" s="30" t="n"/>
      <c r="K129" s="30" t="n"/>
      <c r="L129" s="30" t="n"/>
      <c r="M129" s="30" t="n"/>
      <c r="N129" s="30" t="n"/>
      <c r="O129" s="30" t="n"/>
      <c r="P129" s="30" t="n"/>
      <c r="Q129" s="30" t="n"/>
      <c r="R129" s="30" t="n"/>
      <c r="S129" s="30" t="n"/>
      <c r="T129" s="30" t="n"/>
      <c r="U129" s="30" t="n"/>
      <c r="V129" s="30" t="n"/>
      <c r="W129" s="30" t="n"/>
      <c r="X129" s="30" t="n"/>
      <c r="Y129" s="30" t="n"/>
      <c r="Z129" s="30" t="n"/>
      <c r="AA129" s="30" t="n"/>
    </row>
    <row r="130">
      <c r="A130" s="30" t="n"/>
      <c r="B130" s="156" t="n"/>
      <c r="C130" s="30" t="n"/>
      <c r="D130" s="30" t="n"/>
      <c r="E130" s="30" t="n"/>
      <c r="F130" s="30" t="n"/>
      <c r="G130" s="30" t="n"/>
      <c r="H130" s="30" t="n"/>
      <c r="I130" s="30" t="n"/>
      <c r="J130" s="30" t="n"/>
      <c r="K130" s="30" t="n"/>
      <c r="L130" s="30" t="n"/>
      <c r="M130" s="30" t="n"/>
      <c r="N130" s="30" t="n"/>
      <c r="O130" s="30" t="n"/>
      <c r="P130" s="30" t="n"/>
      <c r="Q130" s="30" t="n"/>
      <c r="R130" s="30" t="n"/>
      <c r="S130" s="30" t="n"/>
      <c r="T130" s="30" t="n"/>
      <c r="U130" s="30" t="n"/>
      <c r="V130" s="30" t="n"/>
      <c r="W130" s="30" t="n"/>
      <c r="X130" s="30" t="n"/>
      <c r="Y130" s="30" t="n"/>
      <c r="Z130" s="30" t="n"/>
      <c r="AA130" s="30" t="n"/>
    </row>
    <row r="131">
      <c r="A131" s="30" t="n"/>
      <c r="B131" s="156" t="n"/>
      <c r="C131" s="30" t="n"/>
      <c r="D131" s="30" t="n"/>
      <c r="E131" s="30" t="n"/>
      <c r="F131" s="30" t="n"/>
      <c r="G131" s="30" t="n"/>
      <c r="H131" s="30" t="n"/>
      <c r="I131" s="30" t="n"/>
      <c r="J131" s="30" t="n"/>
      <c r="K131" s="30" t="n"/>
      <c r="L131" s="30" t="n"/>
      <c r="M131" s="30" t="n"/>
      <c r="N131" s="30" t="n"/>
      <c r="O131" s="30" t="n"/>
      <c r="P131" s="30" t="n"/>
      <c r="Q131" s="30" t="n"/>
      <c r="R131" s="30" t="n"/>
      <c r="S131" s="30" t="n"/>
      <c r="T131" s="30" t="n"/>
      <c r="U131" s="30" t="n"/>
      <c r="V131" s="30" t="n"/>
      <c r="W131" s="30" t="n"/>
      <c r="X131" s="30" t="n"/>
      <c r="Y131" s="30" t="n"/>
      <c r="Z131" s="30" t="n"/>
      <c r="AA131" s="30" t="n"/>
    </row>
    <row r="132">
      <c r="A132" s="30" t="n"/>
      <c r="B132" s="156" t="n"/>
      <c r="C132" s="30" t="n"/>
      <c r="D132" s="30" t="n"/>
      <c r="E132" s="30" t="n"/>
      <c r="F132" s="30" t="n"/>
      <c r="G132" s="30" t="n"/>
      <c r="H132" s="30" t="n"/>
      <c r="I132" s="30" t="n"/>
      <c r="J132" s="30" t="n"/>
      <c r="K132" s="30" t="n"/>
      <c r="L132" s="30" t="n"/>
      <c r="M132" s="30" t="n"/>
      <c r="N132" s="30" t="n"/>
      <c r="O132" s="30" t="n"/>
      <c r="P132" s="30" t="n"/>
      <c r="Q132" s="30" t="n"/>
      <c r="R132" s="30" t="n"/>
      <c r="S132" s="30" t="n"/>
      <c r="T132" s="30" t="n"/>
      <c r="U132" s="30" t="n"/>
      <c r="V132" s="30" t="n"/>
      <c r="W132" s="30" t="n"/>
      <c r="X132" s="30" t="n"/>
      <c r="Y132" s="30" t="n"/>
      <c r="Z132" s="30" t="n"/>
      <c r="AA132" s="30" t="n"/>
    </row>
    <row r="133">
      <c r="A133" s="30" t="n"/>
      <c r="B133" s="156" t="n"/>
      <c r="C133" s="30" t="n"/>
      <c r="D133" s="30" t="n"/>
      <c r="E133" s="30" t="n"/>
      <c r="F133" s="30" t="n"/>
      <c r="G133" s="30" t="n"/>
      <c r="H133" s="30" t="n"/>
      <c r="I133" s="30" t="n"/>
      <c r="J133" s="30" t="n"/>
      <c r="K133" s="30" t="n"/>
      <c r="L133" s="30" t="n"/>
      <c r="M133" s="30" t="n"/>
      <c r="N133" s="30" t="n"/>
      <c r="O133" s="30" t="n"/>
      <c r="P133" s="30" t="n"/>
      <c r="Q133" s="30" t="n"/>
      <c r="R133" s="30" t="n"/>
      <c r="S133" s="30" t="n"/>
      <c r="T133" s="30" t="n"/>
      <c r="U133" s="30" t="n"/>
      <c r="V133" s="30" t="n"/>
      <c r="W133" s="30" t="n"/>
      <c r="X133" s="30" t="n"/>
      <c r="Y133" s="30" t="n"/>
      <c r="Z133" s="30" t="n"/>
      <c r="AA133" s="30" t="n"/>
    </row>
    <row r="134">
      <c r="A134" s="30" t="n"/>
      <c r="B134" s="156" t="n"/>
      <c r="C134" s="30" t="n"/>
      <c r="D134" s="30" t="n"/>
      <c r="E134" s="30" t="n"/>
      <c r="F134" s="30" t="n"/>
      <c r="G134" s="30" t="n"/>
      <c r="H134" s="30" t="n"/>
      <c r="I134" s="30" t="n"/>
      <c r="J134" s="30" t="n"/>
      <c r="K134" s="30" t="n"/>
      <c r="L134" s="30" t="n"/>
      <c r="M134" s="30" t="n"/>
      <c r="N134" s="30" t="n"/>
      <c r="O134" s="30" t="n"/>
      <c r="P134" s="30" t="n"/>
      <c r="Q134" s="30" t="n"/>
      <c r="R134" s="30" t="n"/>
      <c r="S134" s="30" t="n"/>
      <c r="T134" s="30" t="n"/>
      <c r="U134" s="30" t="n"/>
      <c r="V134" s="30" t="n"/>
      <c r="W134" s="30" t="n"/>
      <c r="X134" s="30" t="n"/>
      <c r="Y134" s="30" t="n"/>
      <c r="Z134" s="30" t="n"/>
      <c r="AA134" s="30" t="n"/>
    </row>
    <row r="135">
      <c r="A135" s="30" t="n"/>
      <c r="B135" s="156" t="n"/>
      <c r="C135" s="30" t="n"/>
      <c r="D135" s="30" t="n"/>
      <c r="E135" s="30" t="n"/>
      <c r="F135" s="30" t="n"/>
      <c r="G135" s="30" t="n"/>
      <c r="H135" s="30" t="n"/>
      <c r="I135" s="30" t="n"/>
      <c r="J135" s="30" t="n"/>
      <c r="K135" s="30" t="n"/>
      <c r="L135" s="30" t="n"/>
      <c r="M135" s="30" t="n"/>
      <c r="N135" s="30" t="n"/>
      <c r="O135" s="30" t="n"/>
      <c r="P135" s="30" t="n"/>
      <c r="Q135" s="30" t="n"/>
      <c r="R135" s="30" t="n"/>
      <c r="S135" s="30" t="n"/>
      <c r="T135" s="30" t="n"/>
      <c r="U135" s="30" t="n"/>
      <c r="V135" s="30" t="n"/>
      <c r="W135" s="30" t="n"/>
      <c r="X135" s="30" t="n"/>
      <c r="Y135" s="30" t="n"/>
      <c r="Z135" s="30" t="n"/>
      <c r="AA135" s="30" t="n"/>
    </row>
    <row r="136">
      <c r="A136" s="30" t="n"/>
      <c r="B136" s="156" t="n"/>
      <c r="C136" s="30" t="n"/>
      <c r="D136" s="30" t="n"/>
      <c r="E136" s="30" t="n"/>
      <c r="F136" s="30" t="n"/>
      <c r="G136" s="30" t="n"/>
      <c r="H136" s="30" t="n"/>
      <c r="I136" s="30" t="n"/>
      <c r="J136" s="30" t="n"/>
      <c r="K136" s="30" t="n"/>
      <c r="L136" s="30" t="n"/>
      <c r="M136" s="30" t="n"/>
      <c r="N136" s="30" t="n"/>
      <c r="O136" s="30" t="n"/>
      <c r="P136" s="30" t="n"/>
      <c r="Q136" s="30" t="n"/>
      <c r="R136" s="30" t="n"/>
      <c r="S136" s="30" t="n"/>
      <c r="T136" s="30" t="n"/>
      <c r="U136" s="30" t="n"/>
      <c r="V136" s="30" t="n"/>
      <c r="W136" s="30" t="n"/>
      <c r="X136" s="30" t="n"/>
      <c r="Y136" s="30" t="n"/>
      <c r="Z136" s="30" t="n"/>
      <c r="AA136" s="30" t="n"/>
    </row>
    <row r="137">
      <c r="A137" s="30" t="n"/>
      <c r="B137" s="156" t="n"/>
      <c r="C137" s="30" t="n"/>
      <c r="D137" s="30" t="n"/>
      <c r="E137" s="30" t="n"/>
      <c r="F137" s="30" t="n"/>
      <c r="G137" s="30" t="n"/>
      <c r="H137" s="30" t="n"/>
      <c r="I137" s="30" t="n"/>
      <c r="J137" s="30" t="n"/>
      <c r="K137" s="30" t="n"/>
      <c r="L137" s="30" t="n"/>
      <c r="M137" s="30" t="n"/>
      <c r="N137" s="30" t="n"/>
      <c r="O137" s="30" t="n"/>
      <c r="P137" s="30" t="n"/>
      <c r="Q137" s="30" t="n"/>
      <c r="R137" s="30" t="n"/>
      <c r="S137" s="30" t="n"/>
      <c r="T137" s="30" t="n"/>
      <c r="U137" s="30" t="n"/>
      <c r="V137" s="30" t="n"/>
      <c r="W137" s="30" t="n"/>
      <c r="X137" s="30" t="n"/>
      <c r="Y137" s="30" t="n"/>
      <c r="Z137" s="30" t="n"/>
      <c r="AA137" s="30" t="n"/>
    </row>
    <row r="138">
      <c r="A138" s="30" t="n"/>
      <c r="B138" s="156" t="n"/>
      <c r="C138" s="30" t="n"/>
      <c r="D138" s="30" t="n"/>
      <c r="E138" s="30" t="n"/>
      <c r="F138" s="30" t="n"/>
      <c r="G138" s="30" t="n"/>
      <c r="H138" s="30" t="n"/>
      <c r="I138" s="30" t="n"/>
      <c r="J138" s="30" t="n"/>
      <c r="K138" s="30" t="n"/>
      <c r="L138" s="30" t="n"/>
      <c r="M138" s="30" t="n"/>
      <c r="N138" s="30" t="n"/>
      <c r="O138" s="30" t="n"/>
      <c r="P138" s="30" t="n"/>
      <c r="Q138" s="30" t="n"/>
      <c r="R138" s="30" t="n"/>
      <c r="S138" s="30" t="n"/>
      <c r="T138" s="30" t="n"/>
      <c r="U138" s="30" t="n"/>
      <c r="V138" s="30" t="n"/>
      <c r="W138" s="30" t="n"/>
      <c r="X138" s="30" t="n"/>
      <c r="Y138" s="30" t="n"/>
      <c r="Z138" s="30" t="n"/>
      <c r="AA138" s="30" t="n"/>
    </row>
    <row r="139">
      <c r="A139" s="30" t="n"/>
      <c r="B139" s="156" t="n"/>
      <c r="C139" s="30" t="n"/>
      <c r="D139" s="30" t="n"/>
      <c r="E139" s="30" t="n"/>
      <c r="F139" s="30" t="n"/>
      <c r="G139" s="30" t="n"/>
      <c r="H139" s="30" t="n"/>
      <c r="I139" s="30" t="n"/>
      <c r="J139" s="30" t="n"/>
      <c r="K139" s="30" t="n"/>
      <c r="L139" s="30" t="n"/>
      <c r="M139" s="30" t="n"/>
      <c r="N139" s="30" t="n"/>
      <c r="O139" s="30" t="n"/>
      <c r="P139" s="30" t="n"/>
      <c r="Q139" s="30" t="n"/>
      <c r="R139" s="30" t="n"/>
      <c r="S139" s="30" t="n"/>
      <c r="T139" s="30" t="n"/>
      <c r="U139" s="30" t="n"/>
      <c r="V139" s="30" t="n"/>
      <c r="W139" s="30" t="n"/>
      <c r="X139" s="30" t="n"/>
      <c r="Y139" s="30" t="n"/>
      <c r="Z139" s="30" t="n"/>
      <c r="AA139" s="30" t="n"/>
    </row>
    <row r="140">
      <c r="A140" s="30" t="n"/>
      <c r="B140" s="156" t="n"/>
      <c r="C140" s="30" t="n"/>
      <c r="D140" s="30" t="n"/>
      <c r="E140" s="30" t="n"/>
      <c r="F140" s="30" t="n"/>
      <c r="G140" s="30" t="n"/>
      <c r="H140" s="30" t="n"/>
      <c r="I140" s="30" t="n"/>
      <c r="J140" s="30" t="n"/>
      <c r="K140" s="30" t="n"/>
      <c r="L140" s="30" t="n"/>
      <c r="M140" s="30" t="n"/>
      <c r="N140" s="30" t="n"/>
      <c r="O140" s="30" t="n"/>
      <c r="P140" s="30" t="n"/>
      <c r="Q140" s="30" t="n"/>
      <c r="R140" s="30" t="n"/>
      <c r="S140" s="30" t="n"/>
      <c r="T140" s="30" t="n"/>
      <c r="U140" s="30" t="n"/>
      <c r="V140" s="30" t="n"/>
      <c r="W140" s="30" t="n"/>
      <c r="X140" s="30" t="n"/>
      <c r="Y140" s="30" t="n"/>
      <c r="Z140" s="30" t="n"/>
      <c r="AA140" s="30" t="n"/>
    </row>
    <row r="141">
      <c r="A141" s="30" t="n"/>
      <c r="B141" s="156" t="n"/>
      <c r="C141" s="30" t="n"/>
      <c r="D141" s="30" t="n"/>
      <c r="E141" s="30" t="n"/>
      <c r="F141" s="30" t="n"/>
      <c r="G141" s="30" t="n"/>
      <c r="H141" s="30" t="n"/>
      <c r="I141" s="30" t="n"/>
      <c r="J141" s="30" t="n"/>
      <c r="K141" s="30" t="n"/>
      <c r="L141" s="30" t="n"/>
      <c r="M141" s="30" t="n"/>
      <c r="N141" s="30" t="n"/>
      <c r="O141" s="30" t="n"/>
      <c r="P141" s="30" t="n"/>
      <c r="Q141" s="30" t="n"/>
      <c r="R141" s="30" t="n"/>
      <c r="S141" s="30" t="n"/>
      <c r="T141" s="30" t="n"/>
      <c r="U141" s="30" t="n"/>
      <c r="V141" s="30" t="n"/>
      <c r="W141" s="30" t="n"/>
      <c r="X141" s="30" t="n"/>
      <c r="Y141" s="30" t="n"/>
      <c r="Z141" s="30" t="n"/>
      <c r="AA141" s="30" t="n"/>
    </row>
    <row r="142">
      <c r="A142" s="30" t="n"/>
      <c r="B142" s="156" t="n"/>
      <c r="C142" s="30" t="n"/>
      <c r="D142" s="30" t="n"/>
      <c r="E142" s="30" t="n"/>
      <c r="F142" s="30" t="n"/>
      <c r="G142" s="30" t="n"/>
      <c r="H142" s="30" t="n"/>
      <c r="I142" s="30" t="n"/>
      <c r="J142" s="30" t="n"/>
      <c r="K142" s="30" t="n"/>
      <c r="L142" s="30" t="n"/>
      <c r="M142" s="30" t="n"/>
      <c r="N142" s="30" t="n"/>
      <c r="O142" s="30" t="n"/>
      <c r="P142" s="30" t="n"/>
      <c r="Q142" s="30" t="n"/>
      <c r="R142" s="30" t="n"/>
      <c r="S142" s="30" t="n"/>
      <c r="T142" s="30" t="n"/>
      <c r="U142" s="30" t="n"/>
      <c r="V142" s="30" t="n"/>
      <c r="W142" s="30" t="n"/>
      <c r="X142" s="30" t="n"/>
      <c r="Y142" s="30" t="n"/>
      <c r="Z142" s="30" t="n"/>
      <c r="AA142" s="30" t="n"/>
    </row>
    <row r="143">
      <c r="A143" s="30" t="n"/>
      <c r="B143" s="156" t="n"/>
      <c r="C143" s="30" t="n"/>
      <c r="D143" s="30" t="n"/>
      <c r="E143" s="30" t="n"/>
      <c r="F143" s="30" t="n"/>
      <c r="G143" s="30" t="n"/>
      <c r="H143" s="30" t="n"/>
      <c r="I143" s="30" t="n"/>
      <c r="J143" s="30" t="n"/>
      <c r="K143" s="30" t="n"/>
      <c r="L143" s="30" t="n"/>
      <c r="M143" s="30" t="n"/>
      <c r="N143" s="30" t="n"/>
      <c r="O143" s="30" t="n"/>
      <c r="P143" s="30" t="n"/>
      <c r="Q143" s="30" t="n"/>
      <c r="R143" s="30" t="n"/>
      <c r="S143" s="30" t="n"/>
      <c r="T143" s="30" t="n"/>
      <c r="U143" s="30" t="n"/>
      <c r="V143" s="30" t="n"/>
      <c r="W143" s="30" t="n"/>
      <c r="X143" s="30" t="n"/>
      <c r="Y143" s="30" t="n"/>
      <c r="Z143" s="30" t="n"/>
      <c r="AA143" s="30" t="n"/>
    </row>
    <row r="144">
      <c r="A144" s="30" t="n"/>
      <c r="B144" s="156" t="n"/>
      <c r="C144" s="30" t="n"/>
      <c r="D144" s="30" t="n"/>
      <c r="E144" s="30" t="n"/>
      <c r="F144" s="30" t="n"/>
      <c r="G144" s="30" t="n"/>
      <c r="H144" s="30" t="n"/>
      <c r="I144" s="30" t="n"/>
      <c r="J144" s="30" t="n"/>
      <c r="K144" s="30" t="n"/>
      <c r="L144" s="30" t="n"/>
      <c r="M144" s="30" t="n"/>
      <c r="N144" s="30" t="n"/>
      <c r="O144" s="30" t="n"/>
      <c r="P144" s="30" t="n"/>
      <c r="Q144" s="30" t="n"/>
      <c r="R144" s="30" t="n"/>
      <c r="S144" s="30" t="n"/>
      <c r="T144" s="30" t="n"/>
      <c r="U144" s="30" t="n"/>
      <c r="V144" s="30" t="n"/>
      <c r="W144" s="30" t="n"/>
      <c r="X144" s="30" t="n"/>
      <c r="Y144" s="30" t="n"/>
      <c r="Z144" s="30" t="n"/>
      <c r="AA144" s="30" t="n"/>
    </row>
    <row r="145">
      <c r="A145" s="30" t="n"/>
      <c r="B145" s="156" t="n"/>
      <c r="C145" s="30" t="n"/>
      <c r="D145" s="30" t="n"/>
      <c r="E145" s="30" t="n"/>
      <c r="F145" s="30" t="n"/>
      <c r="G145" s="30" t="n"/>
      <c r="H145" s="30" t="n"/>
      <c r="I145" s="30" t="n"/>
      <c r="J145" s="30" t="n"/>
      <c r="K145" s="30" t="n"/>
      <c r="L145" s="30" t="n"/>
      <c r="M145" s="30" t="n"/>
      <c r="N145" s="30" t="n"/>
      <c r="O145" s="30" t="n"/>
      <c r="P145" s="30" t="n"/>
      <c r="Q145" s="30" t="n"/>
      <c r="R145" s="30" t="n"/>
      <c r="S145" s="30" t="n"/>
      <c r="T145" s="30" t="n"/>
      <c r="U145" s="30" t="n"/>
      <c r="V145" s="30" t="n"/>
      <c r="W145" s="30" t="n"/>
      <c r="X145" s="30" t="n"/>
      <c r="Y145" s="30" t="n"/>
      <c r="Z145" s="30" t="n"/>
      <c r="AA145" s="30" t="n"/>
    </row>
    <row r="146">
      <c r="A146" s="30" t="n"/>
      <c r="B146" s="156" t="n"/>
      <c r="C146" s="30" t="n"/>
      <c r="D146" s="30" t="n"/>
      <c r="E146" s="30" t="n"/>
      <c r="F146" s="30" t="n"/>
      <c r="G146" s="30" t="n"/>
      <c r="H146" s="30" t="n"/>
      <c r="I146" s="30" t="n"/>
      <c r="J146" s="30" t="n"/>
      <c r="K146" s="30" t="n"/>
      <c r="L146" s="30" t="n"/>
      <c r="M146" s="30" t="n"/>
      <c r="N146" s="30" t="n"/>
      <c r="O146" s="30" t="n"/>
      <c r="P146" s="30" t="n"/>
      <c r="Q146" s="30" t="n"/>
      <c r="R146" s="30" t="n"/>
      <c r="S146" s="30" t="n"/>
      <c r="T146" s="30" t="n"/>
      <c r="U146" s="30" t="n"/>
      <c r="V146" s="30" t="n"/>
      <c r="W146" s="30" t="n"/>
      <c r="X146" s="30" t="n"/>
      <c r="Y146" s="30" t="n"/>
      <c r="Z146" s="30" t="n"/>
      <c r="AA146" s="30" t="n"/>
    </row>
    <row r="147">
      <c r="A147" s="30" t="n"/>
      <c r="B147" s="156" t="n"/>
      <c r="C147" s="30" t="n"/>
      <c r="D147" s="30" t="n"/>
      <c r="E147" s="30" t="n"/>
      <c r="F147" s="30" t="n"/>
      <c r="G147" s="30" t="n"/>
      <c r="H147" s="30" t="n"/>
      <c r="I147" s="30" t="n"/>
      <c r="J147" s="30" t="n"/>
      <c r="K147" s="30" t="n"/>
      <c r="L147" s="30" t="n"/>
      <c r="M147" s="30" t="n"/>
      <c r="N147" s="30" t="n"/>
      <c r="O147" s="30" t="n"/>
      <c r="P147" s="30" t="n"/>
      <c r="Q147" s="30" t="n"/>
      <c r="R147" s="30" t="n"/>
      <c r="S147" s="30" t="n"/>
      <c r="T147" s="30" t="n"/>
      <c r="U147" s="30" t="n"/>
      <c r="V147" s="30" t="n"/>
      <c r="W147" s="30" t="n"/>
      <c r="X147" s="30" t="n"/>
      <c r="Y147" s="30" t="n"/>
      <c r="Z147" s="30" t="n"/>
      <c r="AA147" s="30" t="n"/>
    </row>
    <row r="148">
      <c r="A148" s="30" t="n"/>
      <c r="B148" s="156" t="n"/>
      <c r="C148" s="30" t="n"/>
      <c r="D148" s="30" t="n"/>
      <c r="E148" s="30" t="n"/>
      <c r="F148" s="30" t="n"/>
      <c r="G148" s="30" t="n"/>
      <c r="H148" s="30" t="n"/>
      <c r="I148" s="30" t="n"/>
      <c r="J148" s="30" t="n"/>
      <c r="K148" s="30" t="n"/>
      <c r="L148" s="30" t="n"/>
      <c r="M148" s="30" t="n"/>
      <c r="N148" s="30" t="n"/>
      <c r="O148" s="30" t="n"/>
      <c r="P148" s="30" t="n"/>
      <c r="Q148" s="30" t="n"/>
      <c r="R148" s="30" t="n"/>
      <c r="S148" s="30" t="n"/>
      <c r="T148" s="30" t="n"/>
      <c r="U148" s="30" t="n"/>
      <c r="V148" s="30" t="n"/>
      <c r="W148" s="30" t="n"/>
      <c r="X148" s="30" t="n"/>
      <c r="Y148" s="30" t="n"/>
      <c r="Z148" s="30" t="n"/>
      <c r="AA148" s="30" t="n"/>
    </row>
    <row r="149">
      <c r="A149" s="30" t="n"/>
      <c r="B149" s="156" t="n"/>
      <c r="C149" s="30" t="n"/>
      <c r="D149" s="30" t="n"/>
      <c r="E149" s="30" t="n"/>
      <c r="F149" s="30" t="n"/>
      <c r="G149" s="30" t="n"/>
      <c r="H149" s="30" t="n"/>
      <c r="I149" s="30" t="n"/>
      <c r="J149" s="30" t="n"/>
      <c r="K149" s="30" t="n"/>
      <c r="L149" s="30" t="n"/>
      <c r="M149" s="30" t="n"/>
      <c r="N149" s="30" t="n"/>
      <c r="O149" s="30" t="n"/>
      <c r="P149" s="30" t="n"/>
      <c r="Q149" s="30" t="n"/>
      <c r="R149" s="30" t="n"/>
      <c r="S149" s="30" t="n"/>
      <c r="T149" s="30" t="n"/>
      <c r="U149" s="30" t="n"/>
      <c r="V149" s="30" t="n"/>
      <c r="W149" s="30" t="n"/>
      <c r="X149" s="30" t="n"/>
      <c r="Y149" s="30" t="n"/>
      <c r="Z149" s="30" t="n"/>
      <c r="AA149" s="30" t="n"/>
    </row>
    <row r="150">
      <c r="A150" s="30" t="n"/>
      <c r="B150" s="156" t="n"/>
      <c r="C150" s="30" t="n"/>
      <c r="D150" s="30" t="n"/>
      <c r="E150" s="30" t="n"/>
      <c r="F150" s="30" t="n"/>
      <c r="G150" s="30" t="n"/>
      <c r="H150" s="30" t="n"/>
      <c r="I150" s="30" t="n"/>
      <c r="J150" s="30" t="n"/>
      <c r="K150" s="30" t="n"/>
      <c r="L150" s="30" t="n"/>
      <c r="M150" s="30" t="n"/>
      <c r="N150" s="30" t="n"/>
      <c r="O150" s="30" t="n"/>
      <c r="P150" s="30" t="n"/>
      <c r="Q150" s="30" t="n"/>
      <c r="R150" s="30" t="n"/>
      <c r="S150" s="30" t="n"/>
      <c r="T150" s="30" t="n"/>
      <c r="U150" s="30" t="n"/>
      <c r="V150" s="30" t="n"/>
      <c r="W150" s="30" t="n"/>
      <c r="X150" s="30" t="n"/>
      <c r="Y150" s="30" t="n"/>
      <c r="Z150" s="30" t="n"/>
      <c r="AA150" s="30" t="n"/>
    </row>
    <row r="151">
      <c r="A151" s="30" t="n"/>
      <c r="B151" s="156" t="n"/>
      <c r="C151" s="30" t="n"/>
      <c r="D151" s="30" t="n"/>
      <c r="E151" s="30" t="n"/>
      <c r="F151" s="30" t="n"/>
      <c r="G151" s="30" t="n"/>
      <c r="H151" s="30" t="n"/>
      <c r="I151" s="30" t="n"/>
      <c r="J151" s="30" t="n"/>
      <c r="K151" s="30" t="n"/>
      <c r="L151" s="30" t="n"/>
      <c r="M151" s="30" t="n"/>
      <c r="N151" s="30" t="n"/>
      <c r="O151" s="30" t="n"/>
      <c r="P151" s="30" t="n"/>
      <c r="Q151" s="30" t="n"/>
      <c r="R151" s="30" t="n"/>
      <c r="S151" s="30" t="n"/>
      <c r="T151" s="30" t="n"/>
      <c r="U151" s="30" t="n"/>
      <c r="V151" s="30" t="n"/>
      <c r="W151" s="30" t="n"/>
      <c r="X151" s="30" t="n"/>
      <c r="Y151" s="30" t="n"/>
      <c r="Z151" s="30" t="n"/>
      <c r="AA151" s="30" t="n"/>
    </row>
    <row r="152">
      <c r="A152" s="30" t="n"/>
      <c r="B152" s="156" t="n"/>
      <c r="C152" s="30" t="n"/>
      <c r="D152" s="30" t="n"/>
      <c r="E152" s="30" t="n"/>
      <c r="F152" s="30" t="n"/>
      <c r="G152" s="30" t="n"/>
      <c r="H152" s="30" t="n"/>
      <c r="I152" s="30" t="n"/>
      <c r="J152" s="30" t="n"/>
      <c r="K152" s="30" t="n"/>
      <c r="L152" s="30" t="n"/>
      <c r="M152" s="30" t="n"/>
      <c r="N152" s="30" t="n"/>
      <c r="O152" s="30" t="n"/>
      <c r="P152" s="30" t="n"/>
      <c r="Q152" s="30" t="n"/>
      <c r="R152" s="30" t="n"/>
      <c r="S152" s="30" t="n"/>
      <c r="T152" s="30" t="n"/>
      <c r="U152" s="30" t="n"/>
      <c r="V152" s="30" t="n"/>
      <c r="W152" s="30" t="n"/>
      <c r="X152" s="30" t="n"/>
      <c r="Y152" s="30" t="n"/>
      <c r="Z152" s="30" t="n"/>
      <c r="AA152" s="30" t="n"/>
    </row>
    <row r="153">
      <c r="A153" s="30" t="n"/>
      <c r="B153" s="156" t="n"/>
      <c r="C153" s="30" t="n"/>
      <c r="D153" s="30" t="n"/>
      <c r="E153" s="30" t="n"/>
      <c r="F153" s="30" t="n"/>
      <c r="G153" s="30" t="n"/>
      <c r="H153" s="30" t="n"/>
      <c r="I153" s="30" t="n"/>
      <c r="J153" s="30" t="n"/>
      <c r="K153" s="30" t="n"/>
      <c r="L153" s="30" t="n"/>
      <c r="M153" s="30" t="n"/>
      <c r="N153" s="30" t="n"/>
      <c r="O153" s="30" t="n"/>
      <c r="P153" s="30" t="n"/>
      <c r="Q153" s="30" t="n"/>
      <c r="R153" s="30" t="n"/>
      <c r="S153" s="30" t="n"/>
      <c r="T153" s="30" t="n"/>
      <c r="U153" s="30" t="n"/>
      <c r="V153" s="30" t="n"/>
      <c r="W153" s="30" t="n"/>
      <c r="X153" s="30" t="n"/>
      <c r="Y153" s="30" t="n"/>
      <c r="Z153" s="30" t="n"/>
      <c r="AA153" s="30" t="n"/>
    </row>
    <row r="154">
      <c r="A154" s="30" t="n"/>
      <c r="B154" s="156" t="n"/>
      <c r="C154" s="30" t="n"/>
      <c r="D154" s="30" t="n"/>
      <c r="E154" s="30" t="n"/>
      <c r="F154" s="30" t="n"/>
      <c r="G154" s="30" t="n"/>
      <c r="H154" s="30" t="n"/>
      <c r="I154" s="30" t="n"/>
      <c r="J154" s="30" t="n"/>
      <c r="K154" s="30" t="n"/>
      <c r="L154" s="30" t="n"/>
      <c r="M154" s="30" t="n"/>
      <c r="N154" s="30" t="n"/>
      <c r="O154" s="30" t="n"/>
      <c r="P154" s="30" t="n"/>
      <c r="Q154" s="30" t="n"/>
      <c r="R154" s="30" t="n"/>
      <c r="S154" s="30" t="n"/>
      <c r="T154" s="30" t="n"/>
      <c r="U154" s="30" t="n"/>
      <c r="V154" s="30" t="n"/>
      <c r="W154" s="30" t="n"/>
      <c r="X154" s="30" t="n"/>
      <c r="Y154" s="30" t="n"/>
      <c r="Z154" s="30" t="n"/>
      <c r="AA154" s="30" t="n"/>
    </row>
    <row r="155">
      <c r="A155" s="30" t="n"/>
      <c r="B155" s="156" t="n"/>
      <c r="C155" s="30" t="n"/>
      <c r="D155" s="30" t="n"/>
      <c r="E155" s="30" t="n"/>
      <c r="F155" s="30" t="n"/>
      <c r="G155" s="30" t="n"/>
      <c r="H155" s="30" t="n"/>
      <c r="I155" s="30" t="n"/>
      <c r="J155" s="30" t="n"/>
      <c r="K155" s="30" t="n"/>
      <c r="L155" s="30" t="n"/>
      <c r="M155" s="30" t="n"/>
      <c r="N155" s="30" t="n"/>
      <c r="O155" s="30" t="n"/>
      <c r="P155" s="30" t="n"/>
      <c r="Q155" s="30" t="n"/>
      <c r="R155" s="30" t="n"/>
      <c r="S155" s="30" t="n"/>
      <c r="T155" s="30" t="n"/>
      <c r="U155" s="30" t="n"/>
      <c r="V155" s="30" t="n"/>
      <c r="W155" s="30" t="n"/>
      <c r="X155" s="30" t="n"/>
      <c r="Y155" s="30" t="n"/>
      <c r="Z155" s="30" t="n"/>
      <c r="AA155" s="30" t="n"/>
    </row>
    <row r="156">
      <c r="A156" s="30" t="n"/>
      <c r="B156" s="156" t="n"/>
      <c r="C156" s="30" t="n"/>
      <c r="D156" s="30" t="n"/>
      <c r="E156" s="30" t="n"/>
      <c r="F156" s="30" t="n"/>
      <c r="G156" s="30" t="n"/>
      <c r="H156" s="30" t="n"/>
      <c r="I156" s="30" t="n"/>
      <c r="J156" s="30" t="n"/>
      <c r="K156" s="30" t="n"/>
      <c r="L156" s="30" t="n"/>
      <c r="M156" s="30" t="n"/>
      <c r="N156" s="30" t="n"/>
      <c r="O156" s="30" t="n"/>
      <c r="P156" s="30" t="n"/>
      <c r="Q156" s="30" t="n"/>
      <c r="R156" s="30" t="n"/>
      <c r="S156" s="30" t="n"/>
      <c r="T156" s="30" t="n"/>
      <c r="U156" s="30" t="n"/>
      <c r="V156" s="30" t="n"/>
      <c r="W156" s="30" t="n"/>
      <c r="X156" s="30" t="n"/>
      <c r="Y156" s="30" t="n"/>
      <c r="Z156" s="30" t="n"/>
      <c r="AA156" s="30" t="n"/>
    </row>
    <row r="157">
      <c r="A157" s="30" t="n"/>
      <c r="B157" s="156" t="n"/>
      <c r="C157" s="30" t="n"/>
      <c r="D157" s="30" t="n"/>
      <c r="E157" s="30" t="n"/>
      <c r="F157" s="30" t="n"/>
      <c r="G157" s="30" t="n"/>
      <c r="H157" s="30" t="n"/>
      <c r="I157" s="30" t="n"/>
      <c r="J157" s="30" t="n"/>
      <c r="K157" s="30" t="n"/>
      <c r="L157" s="30" t="n"/>
      <c r="M157" s="30" t="n"/>
      <c r="N157" s="30" t="n"/>
      <c r="O157" s="30" t="n"/>
      <c r="P157" s="30" t="n"/>
      <c r="Q157" s="30" t="n"/>
      <c r="R157" s="30" t="n"/>
      <c r="S157" s="30" t="n"/>
      <c r="T157" s="30" t="n"/>
      <c r="U157" s="30" t="n"/>
      <c r="V157" s="30" t="n"/>
      <c r="W157" s="30" t="n"/>
      <c r="X157" s="30" t="n"/>
      <c r="Y157" s="30" t="n"/>
      <c r="Z157" s="30" t="n"/>
      <c r="AA157" s="30" t="n"/>
    </row>
    <row r="158">
      <c r="A158" s="30" t="n"/>
      <c r="B158" s="156" t="n"/>
      <c r="C158" s="30" t="n"/>
      <c r="D158" s="30" t="n"/>
      <c r="E158" s="30" t="n"/>
      <c r="F158" s="30" t="n"/>
      <c r="G158" s="30" t="n"/>
      <c r="H158" s="30" t="n"/>
      <c r="I158" s="30" t="n"/>
      <c r="J158" s="30" t="n"/>
      <c r="K158" s="30" t="n"/>
      <c r="L158" s="30" t="n"/>
      <c r="M158" s="30" t="n"/>
      <c r="N158" s="30" t="n"/>
      <c r="O158" s="30" t="n"/>
      <c r="P158" s="30" t="n"/>
      <c r="Q158" s="30" t="n"/>
      <c r="R158" s="30" t="n"/>
      <c r="S158" s="30" t="n"/>
      <c r="T158" s="30" t="n"/>
      <c r="U158" s="30" t="n"/>
      <c r="V158" s="30" t="n"/>
      <c r="W158" s="30" t="n"/>
      <c r="X158" s="30" t="n"/>
      <c r="Y158" s="30" t="n"/>
      <c r="Z158" s="30" t="n"/>
      <c r="AA158" s="30" t="n"/>
    </row>
    <row r="159">
      <c r="A159" s="30" t="n"/>
      <c r="B159" s="156" t="n"/>
      <c r="C159" s="30" t="n"/>
      <c r="D159" s="30" t="n"/>
      <c r="E159" s="30" t="n"/>
      <c r="F159" s="30" t="n"/>
      <c r="G159" s="30" t="n"/>
      <c r="H159" s="30" t="n"/>
      <c r="I159" s="30" t="n"/>
      <c r="J159" s="30" t="n"/>
      <c r="K159" s="30" t="n"/>
      <c r="L159" s="30" t="n"/>
      <c r="M159" s="30" t="n"/>
      <c r="N159" s="30" t="n"/>
      <c r="O159" s="30" t="n"/>
      <c r="P159" s="30" t="n"/>
      <c r="Q159" s="30" t="n"/>
      <c r="R159" s="30" t="n"/>
      <c r="S159" s="30" t="n"/>
      <c r="T159" s="30" t="n"/>
      <c r="U159" s="30" t="n"/>
      <c r="V159" s="30" t="n"/>
      <c r="W159" s="30" t="n"/>
      <c r="X159" s="30" t="n"/>
      <c r="Y159" s="30" t="n"/>
      <c r="Z159" s="30" t="n"/>
      <c r="AA159" s="30" t="n"/>
    </row>
    <row r="160">
      <c r="A160" s="30" t="n"/>
      <c r="B160" s="156" t="n"/>
      <c r="C160" s="30" t="n"/>
      <c r="D160" s="30" t="n"/>
      <c r="E160" s="30" t="n"/>
      <c r="F160" s="30" t="n"/>
      <c r="G160" s="30" t="n"/>
      <c r="H160" s="30" t="n"/>
      <c r="I160" s="30" t="n"/>
      <c r="J160" s="30" t="n"/>
      <c r="K160" s="30" t="n"/>
      <c r="L160" s="30" t="n"/>
      <c r="M160" s="30" t="n"/>
      <c r="N160" s="30" t="n"/>
      <c r="O160" s="30" t="n"/>
      <c r="P160" s="30" t="n"/>
      <c r="Q160" s="30" t="n"/>
      <c r="R160" s="30" t="n"/>
      <c r="S160" s="30" t="n"/>
      <c r="T160" s="30" t="n"/>
      <c r="U160" s="30" t="n"/>
      <c r="V160" s="30" t="n"/>
      <c r="W160" s="30" t="n"/>
      <c r="X160" s="30" t="n"/>
      <c r="Y160" s="30" t="n"/>
      <c r="Z160" s="30" t="n"/>
      <c r="AA160" s="30" t="n"/>
    </row>
    <row r="161">
      <c r="A161" s="30" t="n"/>
      <c r="B161" s="156" t="n"/>
      <c r="C161" s="30" t="n"/>
      <c r="D161" s="30" t="n"/>
      <c r="E161" s="30" t="n"/>
      <c r="F161" s="30" t="n"/>
      <c r="G161" s="30" t="n"/>
      <c r="H161" s="30" t="n"/>
      <c r="I161" s="30" t="n"/>
      <c r="J161" s="30" t="n"/>
      <c r="K161" s="30" t="n"/>
      <c r="L161" s="30" t="n"/>
      <c r="M161" s="30" t="n"/>
      <c r="N161" s="30" t="n"/>
      <c r="O161" s="30" t="n"/>
      <c r="P161" s="30" t="n"/>
      <c r="Q161" s="30" t="n"/>
      <c r="R161" s="30" t="n"/>
      <c r="S161" s="30" t="n"/>
      <c r="T161" s="30" t="n"/>
      <c r="U161" s="30" t="n"/>
      <c r="V161" s="30" t="n"/>
      <c r="W161" s="30" t="n"/>
      <c r="X161" s="30" t="n"/>
      <c r="Y161" s="30" t="n"/>
      <c r="Z161" s="30" t="n"/>
      <c r="AA161" s="30" t="n"/>
    </row>
    <row r="162">
      <c r="A162" s="30" t="n"/>
      <c r="B162" s="156" t="n"/>
      <c r="C162" s="30" t="n"/>
      <c r="D162" s="30" t="n"/>
      <c r="E162" s="30" t="n"/>
      <c r="F162" s="30" t="n"/>
      <c r="G162" s="30" t="n"/>
      <c r="H162" s="30" t="n"/>
      <c r="I162" s="30" t="n"/>
      <c r="J162" s="30" t="n"/>
      <c r="K162" s="30" t="n"/>
      <c r="L162" s="30" t="n"/>
      <c r="M162" s="30" t="n"/>
      <c r="N162" s="30" t="n"/>
      <c r="O162" s="30" t="n"/>
      <c r="P162" s="30" t="n"/>
      <c r="Q162" s="30" t="n"/>
      <c r="R162" s="30" t="n"/>
      <c r="S162" s="30" t="n"/>
      <c r="T162" s="30" t="n"/>
      <c r="U162" s="30" t="n"/>
      <c r="V162" s="30" t="n"/>
      <c r="W162" s="30" t="n"/>
      <c r="X162" s="30" t="n"/>
      <c r="Y162" s="30" t="n"/>
      <c r="Z162" s="30" t="n"/>
      <c r="AA162" s="30" t="n"/>
    </row>
    <row r="163">
      <c r="A163" s="30" t="n"/>
      <c r="B163" s="156" t="n"/>
      <c r="C163" s="30" t="n"/>
      <c r="D163" s="30" t="n"/>
      <c r="E163" s="30" t="n"/>
      <c r="F163" s="30" t="n"/>
      <c r="G163" s="30" t="n"/>
      <c r="H163" s="30" t="n"/>
      <c r="I163" s="30" t="n"/>
      <c r="J163" s="30" t="n"/>
      <c r="K163" s="30" t="n"/>
      <c r="L163" s="30" t="n"/>
      <c r="M163" s="30" t="n"/>
      <c r="N163" s="30" t="n"/>
      <c r="O163" s="30" t="n"/>
      <c r="P163" s="30" t="n"/>
      <c r="Q163" s="30" t="n"/>
      <c r="R163" s="30" t="n"/>
      <c r="S163" s="30" t="n"/>
      <c r="T163" s="30" t="n"/>
      <c r="U163" s="30" t="n"/>
      <c r="V163" s="30" t="n"/>
      <c r="W163" s="30" t="n"/>
      <c r="X163" s="30" t="n"/>
      <c r="Y163" s="30" t="n"/>
      <c r="Z163" s="30" t="n"/>
      <c r="AA163" s="30" t="n"/>
    </row>
    <row r="164">
      <c r="A164" s="30" t="n"/>
      <c r="B164" s="156" t="n"/>
      <c r="C164" s="30" t="n"/>
      <c r="D164" s="30" t="n"/>
      <c r="E164" s="30" t="n"/>
      <c r="F164" s="30" t="n"/>
      <c r="G164" s="30" t="n"/>
      <c r="H164" s="30" t="n"/>
      <c r="I164" s="30" t="n"/>
      <c r="J164" s="30" t="n"/>
      <c r="K164" s="30" t="n"/>
      <c r="L164" s="30" t="n"/>
      <c r="M164" s="30" t="n"/>
      <c r="N164" s="30" t="n"/>
      <c r="O164" s="30" t="n"/>
      <c r="P164" s="30" t="n"/>
      <c r="Q164" s="30" t="n"/>
      <c r="R164" s="30" t="n"/>
      <c r="S164" s="30" t="n"/>
      <c r="T164" s="30" t="n"/>
      <c r="U164" s="30" t="n"/>
      <c r="V164" s="30" t="n"/>
      <c r="W164" s="30" t="n"/>
      <c r="X164" s="30" t="n"/>
      <c r="Y164" s="30" t="n"/>
      <c r="Z164" s="30" t="n"/>
      <c r="AA164" s="30" t="n"/>
    </row>
    <row r="165">
      <c r="A165" s="30" t="n"/>
      <c r="B165" s="156" t="n"/>
      <c r="C165" s="30" t="n"/>
      <c r="D165" s="30" t="n"/>
      <c r="E165" s="30" t="n"/>
      <c r="F165" s="30" t="n"/>
      <c r="G165" s="30" t="n"/>
      <c r="H165" s="30" t="n"/>
      <c r="I165" s="30" t="n"/>
      <c r="J165" s="30" t="n"/>
      <c r="K165" s="30" t="n"/>
      <c r="L165" s="30" t="n"/>
      <c r="M165" s="30" t="n"/>
      <c r="N165" s="30" t="n"/>
      <c r="O165" s="30" t="n"/>
      <c r="P165" s="30" t="n"/>
      <c r="Q165" s="30" t="n"/>
      <c r="R165" s="30" t="n"/>
      <c r="S165" s="30" t="n"/>
      <c r="T165" s="30" t="n"/>
      <c r="U165" s="30" t="n"/>
      <c r="V165" s="30" t="n"/>
      <c r="W165" s="30" t="n"/>
      <c r="X165" s="30" t="n"/>
      <c r="Y165" s="30" t="n"/>
      <c r="Z165" s="30" t="n"/>
      <c r="AA165" s="30" t="n"/>
    </row>
    <row r="166">
      <c r="A166" s="30" t="n"/>
      <c r="B166" s="156" t="n"/>
      <c r="C166" s="30" t="n"/>
      <c r="D166" s="30" t="n"/>
      <c r="E166" s="30" t="n"/>
      <c r="F166" s="30" t="n"/>
      <c r="G166" s="30" t="n"/>
      <c r="H166" s="30" t="n"/>
      <c r="I166" s="30" t="n"/>
      <c r="J166" s="30" t="n"/>
      <c r="K166" s="30" t="n"/>
      <c r="L166" s="30" t="n"/>
      <c r="M166" s="30" t="n"/>
      <c r="N166" s="30" t="n"/>
      <c r="O166" s="30" t="n"/>
      <c r="P166" s="30" t="n"/>
      <c r="Q166" s="30" t="n"/>
      <c r="R166" s="30" t="n"/>
      <c r="S166" s="30" t="n"/>
      <c r="T166" s="30" t="n"/>
      <c r="U166" s="30" t="n"/>
      <c r="V166" s="30" t="n"/>
      <c r="W166" s="30" t="n"/>
      <c r="X166" s="30" t="n"/>
      <c r="Y166" s="30" t="n"/>
      <c r="Z166" s="30" t="n"/>
      <c r="AA166" s="30" t="n"/>
    </row>
    <row r="167">
      <c r="A167" s="30" t="n"/>
      <c r="B167" s="156" t="n"/>
      <c r="C167" s="30" t="n"/>
      <c r="D167" s="30" t="n"/>
      <c r="E167" s="30" t="n"/>
      <c r="F167" s="30" t="n"/>
      <c r="G167" s="30" t="n"/>
      <c r="H167" s="30" t="n"/>
      <c r="I167" s="30" t="n"/>
      <c r="J167" s="30" t="n"/>
      <c r="K167" s="30" t="n"/>
      <c r="L167" s="30" t="n"/>
      <c r="M167" s="30" t="n"/>
      <c r="N167" s="30" t="n"/>
      <c r="O167" s="30" t="n"/>
      <c r="P167" s="30" t="n"/>
      <c r="Q167" s="30" t="n"/>
      <c r="R167" s="30" t="n"/>
      <c r="S167" s="30" t="n"/>
      <c r="T167" s="30" t="n"/>
      <c r="U167" s="30" t="n"/>
      <c r="V167" s="30" t="n"/>
      <c r="W167" s="30" t="n"/>
      <c r="X167" s="30" t="n"/>
      <c r="Y167" s="30" t="n"/>
      <c r="Z167" s="30" t="n"/>
      <c r="AA167" s="30" t="n"/>
    </row>
    <row r="168">
      <c r="A168" s="30" t="n"/>
      <c r="B168" s="156" t="n"/>
      <c r="C168" s="30" t="n"/>
      <c r="D168" s="30" t="n"/>
      <c r="E168" s="30" t="n"/>
      <c r="F168" s="30" t="n"/>
      <c r="G168" s="30" t="n"/>
      <c r="H168" s="30" t="n"/>
      <c r="I168" s="30" t="n"/>
      <c r="J168" s="30" t="n"/>
      <c r="K168" s="30" t="n"/>
      <c r="L168" s="30" t="n"/>
      <c r="M168" s="30" t="n"/>
      <c r="N168" s="30" t="n"/>
      <c r="O168" s="30" t="n"/>
      <c r="P168" s="30" t="n"/>
      <c r="Q168" s="30" t="n"/>
      <c r="R168" s="30" t="n"/>
      <c r="S168" s="30" t="n"/>
      <c r="T168" s="30" t="n"/>
      <c r="U168" s="30" t="n"/>
      <c r="V168" s="30" t="n"/>
      <c r="W168" s="30" t="n"/>
      <c r="X168" s="30" t="n"/>
      <c r="Y168" s="30" t="n"/>
      <c r="Z168" s="30" t="n"/>
      <c r="AA168" s="30" t="n"/>
    </row>
    <row r="169">
      <c r="A169" s="30" t="n"/>
      <c r="B169" s="156" t="n"/>
      <c r="C169" s="30" t="n"/>
      <c r="D169" s="30" t="n"/>
      <c r="E169" s="30" t="n"/>
      <c r="F169" s="30" t="n"/>
      <c r="G169" s="30" t="n"/>
      <c r="H169" s="30" t="n"/>
      <c r="I169" s="30" t="n"/>
      <c r="J169" s="30" t="n"/>
      <c r="K169" s="30" t="n"/>
      <c r="L169" s="30" t="n"/>
      <c r="M169" s="30" t="n"/>
      <c r="N169" s="30" t="n"/>
      <c r="O169" s="30" t="n"/>
      <c r="P169" s="30" t="n"/>
      <c r="Q169" s="30" t="n"/>
      <c r="R169" s="30" t="n"/>
      <c r="S169" s="30" t="n"/>
      <c r="T169" s="30" t="n"/>
      <c r="U169" s="30" t="n"/>
      <c r="V169" s="30" t="n"/>
      <c r="W169" s="30" t="n"/>
      <c r="X169" s="30" t="n"/>
      <c r="Y169" s="30" t="n"/>
      <c r="Z169" s="30" t="n"/>
      <c r="AA169" s="30" t="n"/>
    </row>
    <row r="170">
      <c r="A170" s="30" t="n"/>
      <c r="B170" s="156" t="n"/>
      <c r="C170" s="30" t="n"/>
      <c r="D170" s="30" t="n"/>
      <c r="E170" s="30" t="n"/>
      <c r="F170" s="30" t="n"/>
      <c r="G170" s="30" t="n"/>
      <c r="H170" s="30" t="n"/>
      <c r="I170" s="30" t="n"/>
      <c r="J170" s="30" t="n"/>
      <c r="K170" s="30" t="n"/>
      <c r="L170" s="30" t="n"/>
      <c r="M170" s="30" t="n"/>
      <c r="N170" s="30" t="n"/>
      <c r="O170" s="30" t="n"/>
      <c r="P170" s="30" t="n"/>
      <c r="Q170" s="30" t="n"/>
      <c r="R170" s="30" t="n"/>
      <c r="S170" s="30" t="n"/>
      <c r="T170" s="30" t="n"/>
      <c r="U170" s="30" t="n"/>
      <c r="V170" s="30" t="n"/>
      <c r="W170" s="30" t="n"/>
      <c r="X170" s="30" t="n"/>
      <c r="Y170" s="30" t="n"/>
      <c r="Z170" s="30" t="n"/>
      <c r="AA170" s="30" t="n"/>
    </row>
    <row r="171">
      <c r="A171" s="30" t="n"/>
      <c r="B171" s="156" t="n"/>
      <c r="C171" s="30" t="n"/>
      <c r="D171" s="30" t="n"/>
      <c r="E171" s="30" t="n"/>
      <c r="F171" s="30" t="n"/>
      <c r="G171" s="30" t="n"/>
      <c r="H171" s="30" t="n"/>
      <c r="I171" s="30" t="n"/>
      <c r="J171" s="30" t="n"/>
      <c r="K171" s="30" t="n"/>
      <c r="L171" s="30" t="n"/>
      <c r="M171" s="30" t="n"/>
      <c r="N171" s="30" t="n"/>
      <c r="O171" s="30" t="n"/>
      <c r="P171" s="30" t="n"/>
      <c r="Q171" s="30" t="n"/>
      <c r="R171" s="30" t="n"/>
      <c r="S171" s="30" t="n"/>
      <c r="T171" s="30" t="n"/>
      <c r="U171" s="30" t="n"/>
      <c r="V171" s="30" t="n"/>
      <c r="W171" s="30" t="n"/>
      <c r="X171" s="30" t="n"/>
      <c r="Y171" s="30" t="n"/>
      <c r="Z171" s="30" t="n"/>
      <c r="AA171" s="30" t="n"/>
    </row>
    <row r="172">
      <c r="A172" s="30" t="n"/>
      <c r="B172" s="156" t="n"/>
      <c r="C172" s="30" t="n"/>
      <c r="D172" s="30" t="n"/>
      <c r="E172" s="30" t="n"/>
      <c r="F172" s="30" t="n"/>
      <c r="G172" s="30" t="n"/>
      <c r="H172" s="30" t="n"/>
      <c r="I172" s="30" t="n"/>
      <c r="J172" s="30" t="n"/>
      <c r="K172" s="30" t="n"/>
      <c r="L172" s="30" t="n"/>
      <c r="M172" s="30" t="n"/>
      <c r="N172" s="30" t="n"/>
      <c r="O172" s="30" t="n"/>
      <c r="P172" s="30" t="n"/>
      <c r="Q172" s="30" t="n"/>
      <c r="R172" s="30" t="n"/>
      <c r="S172" s="30" t="n"/>
      <c r="T172" s="30" t="n"/>
      <c r="U172" s="30" t="n"/>
      <c r="V172" s="30" t="n"/>
      <c r="W172" s="30" t="n"/>
      <c r="X172" s="30" t="n"/>
      <c r="Y172" s="30" t="n"/>
      <c r="Z172" s="30" t="n"/>
      <c r="AA172" s="30" t="n"/>
    </row>
    <row r="173">
      <c r="A173" s="30" t="n"/>
      <c r="B173" s="156" t="n"/>
      <c r="C173" s="30" t="n"/>
      <c r="D173" s="30" t="n"/>
      <c r="E173" s="30" t="n"/>
      <c r="F173" s="30" t="n"/>
      <c r="G173" s="30" t="n"/>
      <c r="H173" s="30" t="n"/>
      <c r="I173" s="30" t="n"/>
      <c r="J173" s="30" t="n"/>
      <c r="K173" s="30" t="n"/>
      <c r="L173" s="30" t="n"/>
      <c r="M173" s="30" t="n"/>
      <c r="N173" s="30" t="n"/>
      <c r="O173" s="30" t="n"/>
      <c r="P173" s="30" t="n"/>
      <c r="Q173" s="30" t="n"/>
      <c r="R173" s="30" t="n"/>
      <c r="S173" s="30" t="n"/>
      <c r="T173" s="30" t="n"/>
      <c r="U173" s="30" t="n"/>
      <c r="V173" s="30" t="n"/>
      <c r="W173" s="30" t="n"/>
      <c r="X173" s="30" t="n"/>
      <c r="Y173" s="30" t="n"/>
      <c r="Z173" s="30" t="n"/>
      <c r="AA173" s="30" t="n"/>
    </row>
    <row r="174">
      <c r="A174" s="30" t="n"/>
      <c r="B174" s="156" t="n"/>
      <c r="C174" s="30" t="n"/>
      <c r="D174" s="30" t="n"/>
      <c r="E174" s="30" t="n"/>
      <c r="F174" s="30" t="n"/>
      <c r="G174" s="30" t="n"/>
      <c r="H174" s="30" t="n"/>
      <c r="I174" s="30" t="n"/>
      <c r="J174" s="30" t="n"/>
      <c r="K174" s="30" t="n"/>
      <c r="L174" s="30" t="n"/>
      <c r="M174" s="30" t="n"/>
      <c r="N174" s="30" t="n"/>
      <c r="O174" s="30" t="n"/>
      <c r="P174" s="30" t="n"/>
      <c r="Q174" s="30" t="n"/>
      <c r="R174" s="30" t="n"/>
      <c r="S174" s="30" t="n"/>
      <c r="T174" s="30" t="n"/>
      <c r="U174" s="30" t="n"/>
      <c r="V174" s="30" t="n"/>
      <c r="W174" s="30" t="n"/>
      <c r="X174" s="30" t="n"/>
      <c r="Y174" s="30" t="n"/>
      <c r="Z174" s="30" t="n"/>
      <c r="AA174" s="30" t="n"/>
    </row>
    <row r="175">
      <c r="A175" s="30" t="n"/>
      <c r="B175" s="156" t="n"/>
      <c r="C175" s="30" t="n"/>
      <c r="D175" s="30" t="n"/>
      <c r="E175" s="30" t="n"/>
      <c r="F175" s="30" t="n"/>
      <c r="G175" s="30" t="n"/>
      <c r="H175" s="30" t="n"/>
      <c r="I175" s="30" t="n"/>
      <c r="J175" s="30" t="n"/>
      <c r="K175" s="30" t="n"/>
      <c r="L175" s="30" t="n"/>
      <c r="M175" s="30" t="n"/>
      <c r="N175" s="30" t="n"/>
      <c r="O175" s="30" t="n"/>
      <c r="P175" s="30" t="n"/>
      <c r="Q175" s="30" t="n"/>
      <c r="R175" s="30" t="n"/>
      <c r="S175" s="30" t="n"/>
      <c r="T175" s="30" t="n"/>
      <c r="U175" s="30" t="n"/>
      <c r="V175" s="30" t="n"/>
      <c r="W175" s="30" t="n"/>
      <c r="X175" s="30" t="n"/>
      <c r="Y175" s="30" t="n"/>
      <c r="Z175" s="30" t="n"/>
      <c r="AA175" s="30" t="n"/>
    </row>
    <row r="176">
      <c r="A176" s="30" t="n"/>
      <c r="B176" s="156" t="n"/>
      <c r="C176" s="30" t="n"/>
      <c r="D176" s="30" t="n"/>
      <c r="E176" s="30" t="n"/>
      <c r="F176" s="30" t="n"/>
      <c r="G176" s="30" t="n"/>
      <c r="H176" s="30" t="n"/>
      <c r="I176" s="30" t="n"/>
      <c r="J176" s="30" t="n"/>
      <c r="K176" s="30" t="n"/>
      <c r="L176" s="30" t="n"/>
      <c r="M176" s="30" t="n"/>
      <c r="N176" s="30" t="n"/>
      <c r="O176" s="30" t="n"/>
      <c r="P176" s="30" t="n"/>
      <c r="Q176" s="30" t="n"/>
      <c r="R176" s="30" t="n"/>
      <c r="S176" s="30" t="n"/>
      <c r="T176" s="30" t="n"/>
      <c r="U176" s="30" t="n"/>
      <c r="V176" s="30" t="n"/>
      <c r="W176" s="30" t="n"/>
      <c r="X176" s="30" t="n"/>
      <c r="Y176" s="30" t="n"/>
      <c r="Z176" s="30" t="n"/>
      <c r="AA176" s="30" t="n"/>
    </row>
    <row r="177">
      <c r="A177" s="30" t="n"/>
      <c r="B177" s="156" t="n"/>
      <c r="C177" s="30" t="n"/>
      <c r="D177" s="30" t="n"/>
      <c r="E177" s="30" t="n"/>
      <c r="F177" s="30" t="n"/>
      <c r="G177" s="30" t="n"/>
      <c r="H177" s="30" t="n"/>
      <c r="I177" s="30" t="n"/>
      <c r="J177" s="30" t="n"/>
      <c r="K177" s="30" t="n"/>
      <c r="L177" s="30" t="n"/>
      <c r="M177" s="30" t="n"/>
      <c r="N177" s="30" t="n"/>
      <c r="O177" s="30" t="n"/>
      <c r="P177" s="30" t="n"/>
      <c r="Q177" s="30" t="n"/>
      <c r="R177" s="30" t="n"/>
      <c r="S177" s="30" t="n"/>
      <c r="T177" s="30" t="n"/>
      <c r="U177" s="30" t="n"/>
      <c r="V177" s="30" t="n"/>
      <c r="W177" s="30" t="n"/>
      <c r="X177" s="30" t="n"/>
      <c r="Y177" s="30" t="n"/>
      <c r="Z177" s="30" t="n"/>
      <c r="AA177" s="30" t="n"/>
    </row>
    <row r="178">
      <c r="A178" s="30" t="n"/>
      <c r="B178" s="156" t="n"/>
      <c r="C178" s="30" t="n"/>
      <c r="D178" s="30" t="n"/>
      <c r="E178" s="30" t="n"/>
      <c r="F178" s="30" t="n"/>
      <c r="G178" s="30" t="n"/>
      <c r="H178" s="30" t="n"/>
      <c r="I178" s="30" t="n"/>
      <c r="J178" s="30" t="n"/>
      <c r="K178" s="30" t="n"/>
      <c r="L178" s="30" t="n"/>
      <c r="M178" s="30" t="n"/>
      <c r="N178" s="30" t="n"/>
      <c r="O178" s="30" t="n"/>
      <c r="P178" s="30" t="n"/>
      <c r="Q178" s="30" t="n"/>
      <c r="R178" s="30" t="n"/>
      <c r="S178" s="30" t="n"/>
      <c r="T178" s="30" t="n"/>
      <c r="U178" s="30" t="n"/>
      <c r="V178" s="30" t="n"/>
      <c r="W178" s="30" t="n"/>
      <c r="X178" s="30" t="n"/>
      <c r="Y178" s="30" t="n"/>
      <c r="Z178" s="30" t="n"/>
      <c r="AA178" s="30" t="n"/>
    </row>
    <row r="179">
      <c r="A179" s="30" t="n"/>
      <c r="B179" s="156" t="n"/>
      <c r="C179" s="30" t="n"/>
      <c r="D179" s="30" t="n"/>
      <c r="E179" s="30" t="n"/>
      <c r="F179" s="30" t="n"/>
      <c r="G179" s="30" t="n"/>
      <c r="H179" s="30" t="n"/>
      <c r="I179" s="30" t="n"/>
      <c r="J179" s="30" t="n"/>
      <c r="K179" s="30" t="n"/>
      <c r="L179" s="30" t="n"/>
      <c r="M179" s="30" t="n"/>
      <c r="N179" s="30" t="n"/>
      <c r="O179" s="30" t="n"/>
      <c r="P179" s="30" t="n"/>
      <c r="Q179" s="30" t="n"/>
      <c r="R179" s="30" t="n"/>
      <c r="S179" s="30" t="n"/>
      <c r="T179" s="30" t="n"/>
      <c r="U179" s="30" t="n"/>
      <c r="V179" s="30" t="n"/>
      <c r="W179" s="30" t="n"/>
      <c r="X179" s="30" t="n"/>
      <c r="Y179" s="30" t="n"/>
      <c r="Z179" s="30" t="n"/>
      <c r="AA179" s="30" t="n"/>
    </row>
    <row r="180">
      <c r="A180" s="30" t="n"/>
      <c r="B180" s="156" t="n"/>
      <c r="C180" s="30" t="n"/>
      <c r="D180" s="30" t="n"/>
      <c r="E180" s="30" t="n"/>
      <c r="F180" s="30" t="n"/>
      <c r="G180" s="30" t="n"/>
      <c r="H180" s="30" t="n"/>
      <c r="I180" s="30" t="n"/>
      <c r="J180" s="30" t="n"/>
      <c r="K180" s="30" t="n"/>
      <c r="L180" s="30" t="n"/>
      <c r="M180" s="30" t="n"/>
      <c r="N180" s="30" t="n"/>
      <c r="O180" s="30" t="n"/>
      <c r="P180" s="30" t="n"/>
      <c r="Q180" s="30" t="n"/>
      <c r="R180" s="30" t="n"/>
      <c r="S180" s="30" t="n"/>
      <c r="T180" s="30" t="n"/>
      <c r="U180" s="30" t="n"/>
      <c r="V180" s="30" t="n"/>
      <c r="W180" s="30" t="n"/>
      <c r="X180" s="30" t="n"/>
      <c r="Y180" s="30" t="n"/>
      <c r="Z180" s="30" t="n"/>
      <c r="AA180" s="30" t="n"/>
    </row>
    <row r="181">
      <c r="A181" s="30" t="n"/>
      <c r="B181" s="156" t="n"/>
      <c r="C181" s="30" t="n"/>
      <c r="D181" s="30" t="n"/>
      <c r="E181" s="30" t="n"/>
      <c r="F181" s="30" t="n"/>
      <c r="G181" s="30" t="n"/>
      <c r="H181" s="30" t="n"/>
      <c r="I181" s="30" t="n"/>
      <c r="J181" s="30" t="n"/>
      <c r="K181" s="30" t="n"/>
      <c r="L181" s="30" t="n"/>
      <c r="M181" s="30" t="n"/>
      <c r="N181" s="30" t="n"/>
      <c r="O181" s="30" t="n"/>
      <c r="P181" s="30" t="n"/>
      <c r="Q181" s="30" t="n"/>
      <c r="R181" s="30" t="n"/>
      <c r="S181" s="30" t="n"/>
      <c r="T181" s="30" t="n"/>
      <c r="U181" s="30" t="n"/>
      <c r="V181" s="30" t="n"/>
      <c r="W181" s="30" t="n"/>
      <c r="X181" s="30" t="n"/>
      <c r="Y181" s="30" t="n"/>
      <c r="Z181" s="30" t="n"/>
      <c r="AA181" s="30" t="n"/>
    </row>
    <row r="182">
      <c r="A182" s="30" t="n"/>
      <c r="B182" s="156" t="n"/>
      <c r="C182" s="30" t="n"/>
      <c r="D182" s="30" t="n"/>
      <c r="E182" s="30" t="n"/>
      <c r="F182" s="30" t="n"/>
      <c r="G182" s="30" t="n"/>
      <c r="H182" s="30" t="n"/>
      <c r="I182" s="30" t="n"/>
      <c r="J182" s="30" t="n"/>
      <c r="K182" s="30" t="n"/>
      <c r="L182" s="30" t="n"/>
      <c r="M182" s="30" t="n"/>
      <c r="N182" s="30" t="n"/>
      <c r="O182" s="30" t="n"/>
      <c r="P182" s="30" t="n"/>
      <c r="Q182" s="30" t="n"/>
      <c r="R182" s="30" t="n"/>
      <c r="S182" s="30" t="n"/>
      <c r="T182" s="30" t="n"/>
      <c r="U182" s="30" t="n"/>
      <c r="V182" s="30" t="n"/>
      <c r="W182" s="30" t="n"/>
      <c r="X182" s="30" t="n"/>
      <c r="Y182" s="30" t="n"/>
      <c r="Z182" s="30" t="n"/>
      <c r="AA182" s="30" t="n"/>
    </row>
    <row r="183">
      <c r="A183" s="30" t="n"/>
      <c r="B183" s="156" t="n"/>
      <c r="C183" s="30" t="n"/>
      <c r="D183" s="30" t="n"/>
      <c r="E183" s="30" t="n"/>
      <c r="F183" s="30" t="n"/>
      <c r="G183" s="30" t="n"/>
      <c r="H183" s="30" t="n"/>
      <c r="I183" s="30" t="n"/>
      <c r="J183" s="30" t="n"/>
      <c r="K183" s="30" t="n"/>
      <c r="L183" s="30" t="n"/>
      <c r="M183" s="30" t="n"/>
      <c r="N183" s="30" t="n"/>
      <c r="O183" s="30" t="n"/>
      <c r="P183" s="30" t="n"/>
      <c r="Q183" s="30" t="n"/>
      <c r="R183" s="30" t="n"/>
      <c r="S183" s="30" t="n"/>
      <c r="T183" s="30" t="n"/>
      <c r="U183" s="30" t="n"/>
      <c r="V183" s="30" t="n"/>
      <c r="W183" s="30" t="n"/>
      <c r="X183" s="30" t="n"/>
      <c r="Y183" s="30" t="n"/>
      <c r="Z183" s="30" t="n"/>
      <c r="AA183" s="30" t="n"/>
    </row>
    <row r="184">
      <c r="A184" s="30" t="n"/>
      <c r="B184" s="156" t="n"/>
      <c r="C184" s="30" t="n"/>
      <c r="D184" s="30" t="n"/>
      <c r="E184" s="30" t="n"/>
      <c r="F184" s="30" t="n"/>
      <c r="G184" s="30" t="n"/>
      <c r="H184" s="30" t="n"/>
      <c r="I184" s="30" t="n"/>
      <c r="J184" s="30" t="n"/>
      <c r="K184" s="30" t="n"/>
      <c r="L184" s="30" t="n"/>
      <c r="M184" s="30" t="n"/>
      <c r="N184" s="30" t="n"/>
      <c r="O184" s="30" t="n"/>
      <c r="P184" s="30" t="n"/>
      <c r="Q184" s="30" t="n"/>
      <c r="R184" s="30" t="n"/>
      <c r="S184" s="30" t="n"/>
      <c r="T184" s="30" t="n"/>
      <c r="U184" s="30" t="n"/>
      <c r="V184" s="30" t="n"/>
      <c r="W184" s="30" t="n"/>
      <c r="X184" s="30" t="n"/>
      <c r="Y184" s="30" t="n"/>
      <c r="Z184" s="30" t="n"/>
      <c r="AA184" s="30" t="n"/>
    </row>
    <row r="185">
      <c r="A185" s="30" t="n"/>
      <c r="B185" s="156" t="n"/>
      <c r="C185" s="30" t="n"/>
      <c r="D185" s="30" t="n"/>
      <c r="E185" s="30" t="n"/>
      <c r="F185" s="30" t="n"/>
      <c r="G185" s="30" t="n"/>
      <c r="H185" s="30" t="n"/>
      <c r="I185" s="30" t="n"/>
      <c r="J185" s="30" t="n"/>
      <c r="K185" s="30" t="n"/>
      <c r="L185" s="30" t="n"/>
      <c r="M185" s="30" t="n"/>
      <c r="N185" s="30" t="n"/>
      <c r="O185" s="30" t="n"/>
      <c r="P185" s="30" t="n"/>
      <c r="Q185" s="30" t="n"/>
      <c r="R185" s="30" t="n"/>
      <c r="S185" s="30" t="n"/>
      <c r="T185" s="30" t="n"/>
      <c r="U185" s="30" t="n"/>
      <c r="V185" s="30" t="n"/>
      <c r="W185" s="30" t="n"/>
      <c r="X185" s="30" t="n"/>
      <c r="Y185" s="30" t="n"/>
      <c r="Z185" s="30" t="n"/>
      <c r="AA185" s="30" t="n"/>
    </row>
    <row r="186">
      <c r="A186" s="30" t="n"/>
      <c r="B186" s="156" t="n"/>
      <c r="C186" s="30" t="n"/>
      <c r="D186" s="30" t="n"/>
      <c r="E186" s="30" t="n"/>
      <c r="F186" s="30" t="n"/>
      <c r="G186" s="30" t="n"/>
      <c r="H186" s="30" t="n"/>
      <c r="I186" s="30" t="n"/>
      <c r="J186" s="30" t="n"/>
      <c r="K186" s="30" t="n"/>
      <c r="L186" s="30" t="n"/>
      <c r="M186" s="30" t="n"/>
      <c r="N186" s="30" t="n"/>
      <c r="O186" s="30" t="n"/>
      <c r="P186" s="30" t="n"/>
      <c r="Q186" s="30" t="n"/>
      <c r="R186" s="30" t="n"/>
      <c r="S186" s="30" t="n"/>
      <c r="T186" s="30" t="n"/>
      <c r="U186" s="30" t="n"/>
      <c r="V186" s="30" t="n"/>
      <c r="W186" s="30" t="n"/>
      <c r="X186" s="30" t="n"/>
      <c r="Y186" s="30" t="n"/>
      <c r="Z186" s="30" t="n"/>
      <c r="AA186" s="30" t="n"/>
    </row>
    <row r="187">
      <c r="A187" s="30" t="n"/>
      <c r="B187" s="156" t="n"/>
      <c r="C187" s="30" t="n"/>
      <c r="D187" s="30" t="n"/>
      <c r="E187" s="30" t="n"/>
      <c r="F187" s="30" t="n"/>
      <c r="G187" s="30" t="n"/>
      <c r="H187" s="30" t="n"/>
      <c r="I187" s="30" t="n"/>
      <c r="J187" s="30" t="n"/>
      <c r="K187" s="30" t="n"/>
      <c r="L187" s="30" t="n"/>
      <c r="M187" s="30" t="n"/>
      <c r="N187" s="30" t="n"/>
      <c r="O187" s="30" t="n"/>
      <c r="P187" s="30" t="n"/>
      <c r="Q187" s="30" t="n"/>
      <c r="R187" s="30" t="n"/>
      <c r="S187" s="30" t="n"/>
      <c r="T187" s="30" t="n"/>
      <c r="U187" s="30" t="n"/>
      <c r="V187" s="30" t="n"/>
      <c r="W187" s="30" t="n"/>
      <c r="X187" s="30" t="n"/>
      <c r="Y187" s="30" t="n"/>
      <c r="Z187" s="30" t="n"/>
      <c r="AA187" s="30" t="n"/>
    </row>
    <row r="188">
      <c r="A188" s="30" t="n"/>
      <c r="B188" s="156" t="n"/>
      <c r="C188" s="30" t="n"/>
      <c r="D188" s="30" t="n"/>
      <c r="E188" s="30" t="n"/>
      <c r="F188" s="30" t="n"/>
      <c r="G188" s="30" t="n"/>
      <c r="H188" s="30" t="n"/>
      <c r="I188" s="30" t="n"/>
      <c r="J188" s="30" t="n"/>
      <c r="K188" s="30" t="n"/>
      <c r="L188" s="30" t="n"/>
      <c r="M188" s="30" t="n"/>
      <c r="N188" s="30" t="n"/>
      <c r="O188" s="30" t="n"/>
      <c r="P188" s="30" t="n"/>
      <c r="Q188" s="30" t="n"/>
      <c r="R188" s="30" t="n"/>
      <c r="S188" s="30" t="n"/>
      <c r="T188" s="30" t="n"/>
      <c r="U188" s="30" t="n"/>
      <c r="V188" s="30" t="n"/>
      <c r="W188" s="30" t="n"/>
      <c r="X188" s="30" t="n"/>
      <c r="Y188" s="30" t="n"/>
      <c r="Z188" s="30" t="n"/>
      <c r="AA188" s="30" t="n"/>
    </row>
    <row r="189">
      <c r="A189" s="30" t="n"/>
      <c r="B189" s="156" t="n"/>
      <c r="C189" s="30" t="n"/>
      <c r="D189" s="30" t="n"/>
      <c r="E189" s="30" t="n"/>
      <c r="F189" s="30" t="n"/>
      <c r="G189" s="30" t="n"/>
      <c r="H189" s="30" t="n"/>
      <c r="I189" s="30" t="n"/>
      <c r="J189" s="30" t="n"/>
      <c r="K189" s="30" t="n"/>
      <c r="L189" s="30" t="n"/>
      <c r="M189" s="30" t="n"/>
      <c r="N189" s="30" t="n"/>
      <c r="O189" s="30" t="n"/>
      <c r="P189" s="30" t="n"/>
      <c r="Q189" s="30" t="n"/>
      <c r="R189" s="30" t="n"/>
      <c r="S189" s="30" t="n"/>
      <c r="T189" s="30" t="n"/>
      <c r="U189" s="30" t="n"/>
      <c r="V189" s="30" t="n"/>
      <c r="W189" s="30" t="n"/>
      <c r="X189" s="30" t="n"/>
      <c r="Y189" s="30" t="n"/>
      <c r="Z189" s="30" t="n"/>
      <c r="AA189" s="30" t="n"/>
    </row>
    <row r="190">
      <c r="A190" s="30" t="n"/>
      <c r="B190" s="156" t="n"/>
      <c r="C190" s="30" t="n"/>
      <c r="D190" s="30" t="n"/>
      <c r="E190" s="30" t="n"/>
      <c r="F190" s="30" t="n"/>
      <c r="G190" s="30" t="n"/>
      <c r="H190" s="30" t="n"/>
      <c r="I190" s="30" t="n"/>
      <c r="J190" s="30" t="n"/>
      <c r="K190" s="30" t="n"/>
      <c r="L190" s="30" t="n"/>
      <c r="M190" s="30" t="n"/>
      <c r="N190" s="30" t="n"/>
      <c r="O190" s="30" t="n"/>
      <c r="P190" s="30" t="n"/>
      <c r="Q190" s="30" t="n"/>
      <c r="R190" s="30" t="n"/>
      <c r="S190" s="30" t="n"/>
      <c r="T190" s="30" t="n"/>
      <c r="U190" s="30" t="n"/>
      <c r="V190" s="30" t="n"/>
      <c r="W190" s="30" t="n"/>
      <c r="X190" s="30" t="n"/>
      <c r="Y190" s="30" t="n"/>
      <c r="Z190" s="30" t="n"/>
      <c r="AA190" s="30" t="n"/>
    </row>
    <row r="191">
      <c r="A191" s="30" t="n"/>
      <c r="B191" s="156" t="n"/>
      <c r="C191" s="30" t="n"/>
      <c r="D191" s="30" t="n"/>
      <c r="E191" s="30" t="n"/>
      <c r="F191" s="30" t="n"/>
      <c r="G191" s="30" t="n"/>
      <c r="H191" s="30" t="n"/>
      <c r="I191" s="30" t="n"/>
      <c r="J191" s="30" t="n"/>
      <c r="K191" s="30" t="n"/>
      <c r="L191" s="30" t="n"/>
      <c r="M191" s="30" t="n"/>
      <c r="N191" s="30" t="n"/>
      <c r="O191" s="30" t="n"/>
      <c r="P191" s="30" t="n"/>
      <c r="Q191" s="30" t="n"/>
      <c r="R191" s="30" t="n"/>
      <c r="S191" s="30" t="n"/>
      <c r="T191" s="30" t="n"/>
      <c r="U191" s="30" t="n"/>
      <c r="V191" s="30" t="n"/>
      <c r="W191" s="30" t="n"/>
      <c r="X191" s="30" t="n"/>
      <c r="Y191" s="30" t="n"/>
      <c r="Z191" s="30" t="n"/>
      <c r="AA191" s="30" t="n"/>
    </row>
    <row r="192">
      <c r="A192" s="30" t="n"/>
      <c r="B192" s="156" t="n"/>
      <c r="C192" s="30" t="n"/>
      <c r="D192" s="30" t="n"/>
      <c r="E192" s="30" t="n"/>
      <c r="F192" s="30" t="n"/>
      <c r="G192" s="30" t="n"/>
      <c r="H192" s="30" t="n"/>
      <c r="I192" s="30" t="n"/>
      <c r="J192" s="30" t="n"/>
      <c r="K192" s="30" t="n"/>
      <c r="L192" s="30" t="n"/>
      <c r="M192" s="30" t="n"/>
      <c r="N192" s="30" t="n"/>
      <c r="O192" s="30" t="n"/>
      <c r="P192" s="30" t="n"/>
      <c r="Q192" s="30" t="n"/>
      <c r="R192" s="30" t="n"/>
      <c r="S192" s="30" t="n"/>
      <c r="T192" s="30" t="n"/>
      <c r="U192" s="30" t="n"/>
      <c r="V192" s="30" t="n"/>
      <c r="W192" s="30" t="n"/>
      <c r="X192" s="30" t="n"/>
      <c r="Y192" s="30" t="n"/>
      <c r="Z192" s="30" t="n"/>
      <c r="AA192" s="30" t="n"/>
    </row>
    <row r="193">
      <c r="A193" s="30" t="n"/>
      <c r="B193" s="156" t="n"/>
      <c r="C193" s="30" t="n"/>
      <c r="D193" s="30" t="n"/>
      <c r="E193" s="30" t="n"/>
      <c r="F193" s="30" t="n"/>
      <c r="G193" s="30" t="n"/>
      <c r="H193" s="30" t="n"/>
      <c r="I193" s="30" t="n"/>
      <c r="J193" s="30" t="n"/>
      <c r="K193" s="30" t="n"/>
      <c r="L193" s="30" t="n"/>
      <c r="M193" s="30" t="n"/>
      <c r="N193" s="30" t="n"/>
      <c r="O193" s="30" t="n"/>
      <c r="P193" s="30" t="n"/>
      <c r="Q193" s="30" t="n"/>
      <c r="R193" s="30" t="n"/>
      <c r="S193" s="30" t="n"/>
      <c r="T193" s="30" t="n"/>
      <c r="U193" s="30" t="n"/>
      <c r="V193" s="30" t="n"/>
      <c r="W193" s="30" t="n"/>
      <c r="X193" s="30" t="n"/>
      <c r="Y193" s="30" t="n"/>
      <c r="Z193" s="30" t="n"/>
      <c r="AA193" s="30" t="n"/>
    </row>
    <row r="194">
      <c r="A194" s="30" t="n"/>
      <c r="B194" s="156" t="n"/>
      <c r="C194" s="30" t="n"/>
      <c r="D194" s="30" t="n"/>
      <c r="E194" s="30" t="n"/>
      <c r="F194" s="30" t="n"/>
      <c r="G194" s="30" t="n"/>
      <c r="H194" s="30" t="n"/>
      <c r="I194" s="30" t="n"/>
      <c r="J194" s="30" t="n"/>
      <c r="K194" s="30" t="n"/>
      <c r="L194" s="30" t="n"/>
      <c r="M194" s="30" t="n"/>
      <c r="N194" s="30" t="n"/>
      <c r="O194" s="30" t="n"/>
      <c r="P194" s="30" t="n"/>
      <c r="Q194" s="30" t="n"/>
      <c r="R194" s="30" t="n"/>
      <c r="S194" s="30" t="n"/>
      <c r="T194" s="30" t="n"/>
      <c r="U194" s="30" t="n"/>
      <c r="V194" s="30" t="n"/>
      <c r="W194" s="30" t="n"/>
      <c r="X194" s="30" t="n"/>
      <c r="Y194" s="30" t="n"/>
      <c r="Z194" s="30" t="n"/>
      <c r="AA194" s="30" t="n"/>
    </row>
    <row r="195">
      <c r="A195" s="30" t="n"/>
      <c r="B195" s="156" t="n"/>
      <c r="C195" s="30" t="n"/>
      <c r="D195" s="30" t="n"/>
      <c r="E195" s="30" t="n"/>
      <c r="F195" s="30" t="n"/>
      <c r="G195" s="30" t="n"/>
      <c r="H195" s="30" t="n"/>
      <c r="I195" s="30" t="n"/>
      <c r="J195" s="30" t="n"/>
      <c r="K195" s="30" t="n"/>
      <c r="L195" s="30" t="n"/>
      <c r="M195" s="30" t="n"/>
      <c r="N195" s="30" t="n"/>
      <c r="O195" s="30" t="n"/>
      <c r="P195" s="30" t="n"/>
      <c r="Q195" s="30" t="n"/>
      <c r="R195" s="30" t="n"/>
      <c r="S195" s="30" t="n"/>
      <c r="T195" s="30" t="n"/>
      <c r="U195" s="30" t="n"/>
      <c r="V195" s="30" t="n"/>
      <c r="W195" s="30" t="n"/>
      <c r="X195" s="30" t="n"/>
      <c r="Y195" s="30" t="n"/>
      <c r="Z195" s="30" t="n"/>
      <c r="AA195" s="30" t="n"/>
    </row>
    <row r="196">
      <c r="A196" s="30" t="n"/>
      <c r="B196" s="156" t="n"/>
      <c r="C196" s="30" t="n"/>
      <c r="D196" s="30" t="n"/>
      <c r="E196" s="30" t="n"/>
      <c r="F196" s="30" t="n"/>
      <c r="G196" s="30" t="n"/>
      <c r="H196" s="30" t="n"/>
      <c r="I196" s="30" t="n"/>
      <c r="J196" s="30" t="n"/>
      <c r="K196" s="30" t="n"/>
      <c r="L196" s="30" t="n"/>
      <c r="M196" s="30" t="n"/>
      <c r="N196" s="30" t="n"/>
      <c r="O196" s="30" t="n"/>
      <c r="P196" s="30" t="n"/>
      <c r="Q196" s="30" t="n"/>
      <c r="R196" s="30" t="n"/>
      <c r="S196" s="30" t="n"/>
      <c r="T196" s="30" t="n"/>
      <c r="U196" s="30" t="n"/>
      <c r="V196" s="30" t="n"/>
      <c r="W196" s="30" t="n"/>
      <c r="X196" s="30" t="n"/>
      <c r="Y196" s="30" t="n"/>
      <c r="Z196" s="30" t="n"/>
      <c r="AA196" s="30" t="n"/>
    </row>
    <row r="197">
      <c r="A197" s="30" t="n"/>
      <c r="B197" s="156" t="n"/>
      <c r="C197" s="30" t="n"/>
      <c r="D197" s="30" t="n"/>
      <c r="E197" s="30" t="n"/>
      <c r="F197" s="30" t="n"/>
      <c r="G197" s="30" t="n"/>
      <c r="H197" s="30" t="n"/>
      <c r="I197" s="30" t="n"/>
      <c r="J197" s="30" t="n"/>
      <c r="K197" s="30" t="n"/>
      <c r="L197" s="30" t="n"/>
      <c r="M197" s="30" t="n"/>
      <c r="N197" s="30" t="n"/>
      <c r="O197" s="30" t="n"/>
      <c r="P197" s="30" t="n"/>
      <c r="Q197" s="30" t="n"/>
      <c r="R197" s="30" t="n"/>
      <c r="S197" s="30" t="n"/>
      <c r="T197" s="30" t="n"/>
      <c r="U197" s="30" t="n"/>
      <c r="V197" s="30" t="n"/>
      <c r="W197" s="30" t="n"/>
      <c r="X197" s="30" t="n"/>
      <c r="Y197" s="30" t="n"/>
      <c r="Z197" s="30" t="n"/>
      <c r="AA197" s="30" t="n"/>
    </row>
    <row r="198">
      <c r="A198" s="30" t="n"/>
      <c r="B198" s="156" t="n"/>
      <c r="C198" s="30" t="n"/>
      <c r="D198" s="30" t="n"/>
      <c r="E198" s="30" t="n"/>
      <c r="F198" s="30" t="n"/>
      <c r="G198" s="30" t="n"/>
      <c r="H198" s="30" t="n"/>
      <c r="I198" s="30" t="n"/>
      <c r="J198" s="30" t="n"/>
      <c r="K198" s="30" t="n"/>
      <c r="L198" s="30" t="n"/>
      <c r="M198" s="30" t="n"/>
      <c r="N198" s="30" t="n"/>
      <c r="O198" s="30" t="n"/>
      <c r="P198" s="30" t="n"/>
      <c r="Q198" s="30" t="n"/>
      <c r="R198" s="30" t="n"/>
      <c r="S198" s="30" t="n"/>
      <c r="T198" s="30" t="n"/>
      <c r="U198" s="30" t="n"/>
      <c r="V198" s="30" t="n"/>
      <c r="W198" s="30" t="n"/>
      <c r="X198" s="30" t="n"/>
      <c r="Y198" s="30" t="n"/>
      <c r="Z198" s="30" t="n"/>
      <c r="AA198" s="30" t="n"/>
    </row>
    <row r="199">
      <c r="A199" s="30" t="n"/>
      <c r="B199" s="156" t="n"/>
      <c r="C199" s="30" t="n"/>
      <c r="D199" s="30" t="n"/>
      <c r="E199" s="30" t="n"/>
      <c r="F199" s="30" t="n"/>
      <c r="G199" s="30" t="n"/>
      <c r="H199" s="30" t="n"/>
      <c r="I199" s="30" t="n"/>
      <c r="J199" s="30" t="n"/>
      <c r="K199" s="30" t="n"/>
      <c r="L199" s="30" t="n"/>
      <c r="M199" s="30" t="n"/>
      <c r="N199" s="30" t="n"/>
      <c r="O199" s="30" t="n"/>
      <c r="P199" s="30" t="n"/>
      <c r="Q199" s="30" t="n"/>
      <c r="R199" s="30" t="n"/>
      <c r="S199" s="30" t="n"/>
      <c r="T199" s="30" t="n"/>
      <c r="U199" s="30" t="n"/>
      <c r="V199" s="30" t="n"/>
      <c r="W199" s="30" t="n"/>
      <c r="X199" s="30" t="n"/>
      <c r="Y199" s="30" t="n"/>
      <c r="Z199" s="30" t="n"/>
      <c r="AA199" s="30" t="n"/>
    </row>
    <row r="200">
      <c r="A200" s="30" t="n"/>
      <c r="B200" s="156" t="n"/>
      <c r="C200" s="30" t="n"/>
      <c r="D200" s="30" t="n"/>
      <c r="E200" s="30" t="n"/>
      <c r="F200" s="30" t="n"/>
      <c r="G200" s="30" t="n"/>
      <c r="H200" s="30" t="n"/>
      <c r="I200" s="30" t="n"/>
      <c r="J200" s="30" t="n"/>
      <c r="K200" s="30" t="n"/>
      <c r="L200" s="30" t="n"/>
      <c r="M200" s="30" t="n"/>
      <c r="N200" s="30" t="n"/>
      <c r="O200" s="30" t="n"/>
      <c r="P200" s="30" t="n"/>
      <c r="Q200" s="30" t="n"/>
      <c r="R200" s="30" t="n"/>
      <c r="S200" s="30" t="n"/>
      <c r="T200" s="30" t="n"/>
      <c r="U200" s="30" t="n"/>
      <c r="V200" s="30" t="n"/>
      <c r="W200" s="30" t="n"/>
      <c r="X200" s="30" t="n"/>
      <c r="Y200" s="30" t="n"/>
      <c r="Z200" s="30" t="n"/>
      <c r="AA200" s="30" t="n"/>
    </row>
    <row r="201">
      <c r="A201" s="30" t="n"/>
      <c r="B201" s="156" t="n"/>
      <c r="C201" s="30" t="n"/>
      <c r="D201" s="30" t="n"/>
      <c r="E201" s="30" t="n"/>
      <c r="F201" s="30" t="n"/>
      <c r="G201" s="30" t="n"/>
      <c r="H201" s="30" t="n"/>
      <c r="I201" s="30" t="n"/>
      <c r="J201" s="30" t="n"/>
      <c r="K201" s="30" t="n"/>
      <c r="L201" s="30" t="n"/>
      <c r="M201" s="30" t="n"/>
      <c r="N201" s="30" t="n"/>
      <c r="O201" s="30" t="n"/>
      <c r="P201" s="30" t="n"/>
      <c r="Q201" s="30" t="n"/>
      <c r="R201" s="30" t="n"/>
      <c r="S201" s="30" t="n"/>
      <c r="T201" s="30" t="n"/>
      <c r="U201" s="30" t="n"/>
      <c r="V201" s="30" t="n"/>
      <c r="W201" s="30" t="n"/>
      <c r="X201" s="30" t="n"/>
      <c r="Y201" s="30" t="n"/>
      <c r="Z201" s="30" t="n"/>
      <c r="AA201" s="30" t="n"/>
    </row>
    <row r="202">
      <c r="A202" s="30" t="n"/>
      <c r="B202" s="156" t="n"/>
      <c r="C202" s="30" t="n"/>
      <c r="D202" s="30" t="n"/>
      <c r="E202" s="30" t="n"/>
      <c r="F202" s="30" t="n"/>
      <c r="G202" s="30" t="n"/>
      <c r="H202" s="30" t="n"/>
      <c r="I202" s="30" t="n"/>
      <c r="J202" s="30" t="n"/>
      <c r="K202" s="30" t="n"/>
      <c r="L202" s="30" t="n"/>
      <c r="M202" s="30" t="n"/>
      <c r="N202" s="30" t="n"/>
      <c r="O202" s="30" t="n"/>
      <c r="P202" s="30" t="n"/>
      <c r="Q202" s="30" t="n"/>
      <c r="R202" s="30" t="n"/>
      <c r="S202" s="30" t="n"/>
      <c r="T202" s="30" t="n"/>
      <c r="U202" s="30" t="n"/>
      <c r="V202" s="30" t="n"/>
      <c r="W202" s="30" t="n"/>
      <c r="X202" s="30" t="n"/>
      <c r="Y202" s="30" t="n"/>
      <c r="Z202" s="30" t="n"/>
      <c r="AA202" s="30" t="n"/>
    </row>
    <row r="203">
      <c r="A203" s="30" t="n"/>
      <c r="B203" s="156" t="n"/>
      <c r="C203" s="30" t="n"/>
      <c r="D203" s="30" t="n"/>
      <c r="E203" s="30" t="n"/>
      <c r="F203" s="30" t="n"/>
      <c r="G203" s="30" t="n"/>
      <c r="H203" s="30" t="n"/>
      <c r="I203" s="30" t="n"/>
      <c r="J203" s="30" t="n"/>
      <c r="K203" s="30" t="n"/>
      <c r="L203" s="30" t="n"/>
      <c r="M203" s="30" t="n"/>
      <c r="N203" s="30" t="n"/>
      <c r="O203" s="30" t="n"/>
      <c r="P203" s="30" t="n"/>
      <c r="Q203" s="30" t="n"/>
      <c r="R203" s="30" t="n"/>
      <c r="S203" s="30" t="n"/>
      <c r="T203" s="30" t="n"/>
      <c r="U203" s="30" t="n"/>
      <c r="V203" s="30" t="n"/>
      <c r="W203" s="30" t="n"/>
      <c r="X203" s="30" t="n"/>
      <c r="Y203" s="30" t="n"/>
      <c r="Z203" s="30" t="n"/>
      <c r="AA203" s="30" t="n"/>
    </row>
    <row r="204">
      <c r="A204" s="30" t="n"/>
      <c r="B204" s="156" t="n"/>
      <c r="C204" s="30" t="n"/>
      <c r="D204" s="30" t="n"/>
      <c r="E204" s="30" t="n"/>
      <c r="F204" s="30" t="n"/>
      <c r="G204" s="30" t="n"/>
      <c r="H204" s="30" t="n"/>
      <c r="I204" s="30" t="n"/>
      <c r="J204" s="30" t="n"/>
      <c r="K204" s="30" t="n"/>
      <c r="L204" s="30" t="n"/>
      <c r="M204" s="30" t="n"/>
      <c r="N204" s="30" t="n"/>
      <c r="O204" s="30" t="n"/>
      <c r="P204" s="30" t="n"/>
      <c r="Q204" s="30" t="n"/>
      <c r="R204" s="30" t="n"/>
      <c r="S204" s="30" t="n"/>
      <c r="T204" s="30" t="n"/>
      <c r="U204" s="30" t="n"/>
      <c r="V204" s="30" t="n"/>
      <c r="W204" s="30" t="n"/>
      <c r="X204" s="30" t="n"/>
      <c r="Y204" s="30" t="n"/>
      <c r="Z204" s="30" t="n"/>
      <c r="AA204" s="30" t="n"/>
    </row>
    <row r="205">
      <c r="A205" s="30" t="n"/>
      <c r="B205" s="156" t="n"/>
      <c r="C205" s="30" t="n"/>
      <c r="D205" s="30" t="n"/>
      <c r="E205" s="30" t="n"/>
      <c r="F205" s="30" t="n"/>
      <c r="G205" s="30" t="n"/>
      <c r="H205" s="30" t="n"/>
      <c r="I205" s="30" t="n"/>
      <c r="J205" s="30" t="n"/>
      <c r="K205" s="30" t="n"/>
      <c r="L205" s="30" t="n"/>
      <c r="M205" s="30" t="n"/>
      <c r="N205" s="30" t="n"/>
      <c r="O205" s="30" t="n"/>
      <c r="P205" s="30" t="n"/>
      <c r="Q205" s="30" t="n"/>
      <c r="R205" s="30" t="n"/>
      <c r="S205" s="30" t="n"/>
      <c r="T205" s="30" t="n"/>
      <c r="U205" s="30" t="n"/>
      <c r="V205" s="30" t="n"/>
      <c r="W205" s="30" t="n"/>
      <c r="X205" s="30" t="n"/>
      <c r="Y205" s="30" t="n"/>
      <c r="Z205" s="30" t="n"/>
      <c r="AA205" s="30" t="n"/>
    </row>
    <row r="206">
      <c r="A206" s="30" t="n"/>
      <c r="B206" s="156" t="n"/>
      <c r="C206" s="30" t="n"/>
      <c r="D206" s="30" t="n"/>
      <c r="E206" s="30" t="n"/>
      <c r="F206" s="30" t="n"/>
      <c r="G206" s="30" t="n"/>
      <c r="H206" s="30" t="n"/>
      <c r="I206" s="30" t="n"/>
      <c r="J206" s="30" t="n"/>
      <c r="K206" s="30" t="n"/>
      <c r="L206" s="30" t="n"/>
      <c r="M206" s="30" t="n"/>
      <c r="N206" s="30" t="n"/>
      <c r="O206" s="30" t="n"/>
      <c r="P206" s="30" t="n"/>
      <c r="Q206" s="30" t="n"/>
      <c r="R206" s="30" t="n"/>
      <c r="S206" s="30" t="n"/>
      <c r="T206" s="30" t="n"/>
      <c r="U206" s="30" t="n"/>
      <c r="V206" s="30" t="n"/>
      <c r="W206" s="30" t="n"/>
      <c r="X206" s="30" t="n"/>
      <c r="Y206" s="30" t="n"/>
      <c r="Z206" s="30" t="n"/>
      <c r="AA206" s="30" t="n"/>
    </row>
    <row r="207">
      <c r="A207" s="30" t="n"/>
      <c r="B207" s="156" t="n"/>
      <c r="C207" s="30" t="n"/>
      <c r="D207" s="30" t="n"/>
      <c r="E207" s="30" t="n"/>
      <c r="F207" s="30" t="n"/>
      <c r="G207" s="30" t="n"/>
      <c r="H207" s="30" t="n"/>
      <c r="I207" s="30" t="n"/>
      <c r="J207" s="30" t="n"/>
      <c r="K207" s="30" t="n"/>
      <c r="L207" s="30" t="n"/>
      <c r="M207" s="30" t="n"/>
      <c r="N207" s="30" t="n"/>
      <c r="O207" s="30" t="n"/>
      <c r="P207" s="30" t="n"/>
      <c r="Q207" s="30" t="n"/>
      <c r="R207" s="30" t="n"/>
      <c r="S207" s="30" t="n"/>
      <c r="T207" s="30" t="n"/>
      <c r="U207" s="30" t="n"/>
      <c r="V207" s="30" t="n"/>
      <c r="W207" s="30" t="n"/>
      <c r="X207" s="30" t="n"/>
      <c r="Y207" s="30" t="n"/>
      <c r="Z207" s="30" t="n"/>
      <c r="AA207" s="30" t="n"/>
    </row>
    <row r="208">
      <c r="A208" s="30" t="n"/>
      <c r="B208" s="156" t="n"/>
      <c r="C208" s="30" t="n"/>
      <c r="D208" s="30" t="n"/>
      <c r="E208" s="30" t="n"/>
      <c r="F208" s="30" t="n"/>
      <c r="G208" s="30" t="n"/>
      <c r="H208" s="30" t="n"/>
      <c r="I208" s="30" t="n"/>
      <c r="J208" s="30" t="n"/>
      <c r="K208" s="30" t="n"/>
      <c r="L208" s="30" t="n"/>
      <c r="M208" s="30" t="n"/>
      <c r="N208" s="30" t="n"/>
      <c r="O208" s="30" t="n"/>
      <c r="P208" s="30" t="n"/>
      <c r="Q208" s="30" t="n"/>
      <c r="R208" s="30" t="n"/>
      <c r="S208" s="30" t="n"/>
      <c r="T208" s="30" t="n"/>
      <c r="U208" s="30" t="n"/>
      <c r="V208" s="30" t="n"/>
      <c r="W208" s="30" t="n"/>
      <c r="X208" s="30" t="n"/>
      <c r="Y208" s="30" t="n"/>
      <c r="Z208" s="30" t="n"/>
      <c r="AA208" s="30" t="n"/>
    </row>
    <row r="209">
      <c r="A209" s="30" t="n"/>
      <c r="B209" s="156" t="n"/>
      <c r="C209" s="30" t="n"/>
      <c r="D209" s="30" t="n"/>
      <c r="E209" s="30" t="n"/>
      <c r="F209" s="30" t="n"/>
      <c r="G209" s="30" t="n"/>
      <c r="H209" s="30" t="n"/>
      <c r="I209" s="30" t="n"/>
      <c r="J209" s="30" t="n"/>
      <c r="K209" s="30" t="n"/>
      <c r="L209" s="30" t="n"/>
      <c r="M209" s="30" t="n"/>
      <c r="N209" s="30" t="n"/>
      <c r="O209" s="30" t="n"/>
      <c r="P209" s="30" t="n"/>
      <c r="Q209" s="30" t="n"/>
      <c r="R209" s="30" t="n"/>
      <c r="S209" s="30" t="n"/>
      <c r="T209" s="30" t="n"/>
      <c r="U209" s="30" t="n"/>
      <c r="V209" s="30" t="n"/>
      <c r="W209" s="30" t="n"/>
      <c r="X209" s="30" t="n"/>
      <c r="Y209" s="30" t="n"/>
      <c r="Z209" s="30" t="n"/>
      <c r="AA209" s="30" t="n"/>
    </row>
    <row r="210">
      <c r="A210" s="30" t="n"/>
      <c r="B210" s="156" t="n"/>
      <c r="C210" s="30" t="n"/>
      <c r="D210" s="30" t="n"/>
      <c r="E210" s="30" t="n"/>
      <c r="F210" s="30" t="n"/>
      <c r="G210" s="30" t="n"/>
      <c r="H210" s="30" t="n"/>
      <c r="I210" s="30" t="n"/>
      <c r="J210" s="30" t="n"/>
      <c r="K210" s="30" t="n"/>
      <c r="L210" s="30" t="n"/>
      <c r="M210" s="30" t="n"/>
      <c r="N210" s="30" t="n"/>
      <c r="O210" s="30" t="n"/>
      <c r="P210" s="30" t="n"/>
      <c r="Q210" s="30" t="n"/>
      <c r="R210" s="30" t="n"/>
      <c r="S210" s="30" t="n"/>
      <c r="T210" s="30" t="n"/>
      <c r="U210" s="30" t="n"/>
      <c r="V210" s="30" t="n"/>
      <c r="W210" s="30" t="n"/>
      <c r="X210" s="30" t="n"/>
      <c r="Y210" s="30" t="n"/>
      <c r="Z210" s="30" t="n"/>
      <c r="AA210" s="30" t="n"/>
    </row>
    <row r="211">
      <c r="A211" s="30" t="n"/>
      <c r="B211" s="156" t="n"/>
      <c r="C211" s="30" t="n"/>
      <c r="D211" s="30" t="n"/>
      <c r="E211" s="30" t="n"/>
      <c r="F211" s="30" t="n"/>
      <c r="G211" s="30" t="n"/>
      <c r="H211" s="30" t="n"/>
      <c r="I211" s="30" t="n"/>
      <c r="J211" s="30" t="n"/>
      <c r="K211" s="30" t="n"/>
      <c r="L211" s="30" t="n"/>
      <c r="M211" s="30" t="n"/>
      <c r="N211" s="30" t="n"/>
      <c r="O211" s="30" t="n"/>
      <c r="P211" s="30" t="n"/>
      <c r="Q211" s="30" t="n"/>
      <c r="R211" s="30" t="n"/>
      <c r="S211" s="30" t="n"/>
      <c r="T211" s="30" t="n"/>
      <c r="U211" s="30" t="n"/>
      <c r="V211" s="30" t="n"/>
      <c r="W211" s="30" t="n"/>
      <c r="X211" s="30" t="n"/>
      <c r="Y211" s="30" t="n"/>
      <c r="Z211" s="30" t="n"/>
      <c r="AA211" s="30" t="n"/>
    </row>
    <row r="212">
      <c r="A212" s="30" t="n"/>
      <c r="B212" s="156" t="n"/>
      <c r="C212" s="30" t="n"/>
      <c r="D212" s="30" t="n"/>
      <c r="E212" s="30" t="n"/>
      <c r="F212" s="30" t="n"/>
      <c r="G212" s="30" t="n"/>
      <c r="H212" s="30" t="n"/>
      <c r="I212" s="30" t="n"/>
      <c r="J212" s="30" t="n"/>
      <c r="K212" s="30" t="n"/>
      <c r="L212" s="30" t="n"/>
      <c r="M212" s="30" t="n"/>
      <c r="N212" s="30" t="n"/>
      <c r="O212" s="30" t="n"/>
      <c r="P212" s="30" t="n"/>
      <c r="Q212" s="30" t="n"/>
      <c r="R212" s="30" t="n"/>
      <c r="S212" s="30" t="n"/>
      <c r="T212" s="30" t="n"/>
      <c r="U212" s="30" t="n"/>
      <c r="V212" s="30" t="n"/>
      <c r="W212" s="30" t="n"/>
      <c r="X212" s="30" t="n"/>
      <c r="Y212" s="30" t="n"/>
      <c r="Z212" s="30" t="n"/>
      <c r="AA212" s="30" t="n"/>
    </row>
    <row r="213">
      <c r="A213" s="30" t="n"/>
      <c r="B213" s="156" t="n"/>
      <c r="C213" s="30" t="n"/>
      <c r="D213" s="30" t="n"/>
      <c r="E213" s="30" t="n"/>
      <c r="F213" s="30" t="n"/>
      <c r="G213" s="30" t="n"/>
      <c r="H213" s="30" t="n"/>
      <c r="I213" s="30" t="n"/>
      <c r="J213" s="30" t="n"/>
      <c r="K213" s="30" t="n"/>
      <c r="L213" s="30" t="n"/>
      <c r="M213" s="30" t="n"/>
      <c r="N213" s="30" t="n"/>
      <c r="O213" s="30" t="n"/>
      <c r="P213" s="30" t="n"/>
      <c r="Q213" s="30" t="n"/>
      <c r="R213" s="30" t="n"/>
      <c r="S213" s="30" t="n"/>
      <c r="T213" s="30" t="n"/>
      <c r="U213" s="30" t="n"/>
      <c r="V213" s="30" t="n"/>
      <c r="W213" s="30" t="n"/>
      <c r="X213" s="30" t="n"/>
      <c r="Y213" s="30" t="n"/>
      <c r="Z213" s="30" t="n"/>
      <c r="AA213" s="30" t="n"/>
    </row>
    <row r="214">
      <c r="A214" s="30" t="n"/>
      <c r="B214" s="156" t="n"/>
      <c r="C214" s="30" t="n"/>
      <c r="D214" s="30" t="n"/>
      <c r="E214" s="30" t="n"/>
      <c r="F214" s="30" t="n"/>
      <c r="G214" s="30" t="n"/>
      <c r="H214" s="30" t="n"/>
      <c r="I214" s="30" t="n"/>
      <c r="J214" s="30" t="n"/>
      <c r="K214" s="30" t="n"/>
      <c r="L214" s="30" t="n"/>
      <c r="M214" s="30" t="n"/>
      <c r="N214" s="30" t="n"/>
      <c r="O214" s="30" t="n"/>
      <c r="P214" s="30" t="n"/>
      <c r="Q214" s="30" t="n"/>
      <c r="R214" s="30" t="n"/>
      <c r="S214" s="30" t="n"/>
      <c r="T214" s="30" t="n"/>
      <c r="U214" s="30" t="n"/>
      <c r="V214" s="30" t="n"/>
      <c r="W214" s="30" t="n"/>
      <c r="X214" s="30" t="n"/>
      <c r="Y214" s="30" t="n"/>
      <c r="Z214" s="30" t="n"/>
      <c r="AA214" s="30" t="n"/>
    </row>
    <row r="215">
      <c r="A215" s="30" t="n"/>
      <c r="B215" s="156" t="n"/>
      <c r="C215" s="30" t="n"/>
      <c r="D215" s="30" t="n"/>
      <c r="E215" s="30" t="n"/>
      <c r="F215" s="30" t="n"/>
      <c r="G215" s="30" t="n"/>
      <c r="H215" s="30" t="n"/>
      <c r="I215" s="30" t="n"/>
      <c r="J215" s="30" t="n"/>
      <c r="K215" s="30" t="n"/>
      <c r="L215" s="30" t="n"/>
      <c r="M215" s="30" t="n"/>
      <c r="N215" s="30" t="n"/>
      <c r="O215" s="30" t="n"/>
      <c r="P215" s="30" t="n"/>
      <c r="Q215" s="30" t="n"/>
      <c r="R215" s="30" t="n"/>
      <c r="S215" s="30" t="n"/>
      <c r="T215" s="30" t="n"/>
      <c r="U215" s="30" t="n"/>
      <c r="V215" s="30" t="n"/>
      <c r="W215" s="30" t="n"/>
      <c r="X215" s="30" t="n"/>
      <c r="Y215" s="30" t="n"/>
      <c r="Z215" s="30" t="n"/>
      <c r="AA215" s="30" t="n"/>
    </row>
    <row r="216">
      <c r="A216" s="30" t="n"/>
      <c r="B216" s="156" t="n"/>
      <c r="C216" s="30" t="n"/>
      <c r="D216" s="30" t="n"/>
      <c r="E216" s="30" t="n"/>
      <c r="F216" s="30" t="n"/>
      <c r="G216" s="30" t="n"/>
      <c r="H216" s="30" t="n"/>
      <c r="I216" s="30" t="n"/>
      <c r="J216" s="30" t="n"/>
      <c r="K216" s="30" t="n"/>
      <c r="L216" s="30" t="n"/>
      <c r="M216" s="30" t="n"/>
      <c r="N216" s="30" t="n"/>
      <c r="O216" s="30" t="n"/>
      <c r="P216" s="30" t="n"/>
      <c r="Q216" s="30" t="n"/>
      <c r="R216" s="30" t="n"/>
      <c r="S216" s="30" t="n"/>
      <c r="T216" s="30" t="n"/>
      <c r="U216" s="30" t="n"/>
      <c r="V216" s="30" t="n"/>
      <c r="W216" s="30" t="n"/>
      <c r="X216" s="30" t="n"/>
      <c r="Y216" s="30" t="n"/>
      <c r="Z216" s="30" t="n"/>
      <c r="AA216" s="30" t="n"/>
    </row>
    <row r="217">
      <c r="A217" s="30" t="n"/>
      <c r="B217" s="156" t="n"/>
      <c r="C217" s="30" t="n"/>
      <c r="D217" s="30" t="n"/>
      <c r="E217" s="30" t="n"/>
      <c r="F217" s="30" t="n"/>
      <c r="G217" s="30" t="n"/>
      <c r="H217" s="30" t="n"/>
      <c r="I217" s="30" t="n"/>
      <c r="J217" s="30" t="n"/>
      <c r="K217" s="30" t="n"/>
      <c r="L217" s="30" t="n"/>
      <c r="M217" s="30" t="n"/>
      <c r="N217" s="30" t="n"/>
      <c r="O217" s="30" t="n"/>
      <c r="P217" s="30" t="n"/>
      <c r="Q217" s="30" t="n"/>
      <c r="R217" s="30" t="n"/>
      <c r="S217" s="30" t="n"/>
      <c r="T217" s="30" t="n"/>
      <c r="U217" s="30" t="n"/>
      <c r="V217" s="30" t="n"/>
      <c r="W217" s="30" t="n"/>
      <c r="X217" s="30" t="n"/>
      <c r="Y217" s="30" t="n"/>
      <c r="Z217" s="30" t="n"/>
      <c r="AA217" s="30" t="n"/>
    </row>
    <row r="218">
      <c r="A218" s="30" t="n"/>
      <c r="B218" s="156" t="n"/>
      <c r="C218" s="30" t="n"/>
      <c r="D218" s="30" t="n"/>
      <c r="E218" s="30" t="n"/>
      <c r="F218" s="30" t="n"/>
      <c r="G218" s="30" t="n"/>
      <c r="H218" s="30" t="n"/>
      <c r="I218" s="30" t="n"/>
      <c r="J218" s="30" t="n"/>
      <c r="K218" s="30" t="n"/>
      <c r="L218" s="30" t="n"/>
      <c r="M218" s="30" t="n"/>
      <c r="N218" s="30" t="n"/>
      <c r="O218" s="30" t="n"/>
      <c r="P218" s="30" t="n"/>
      <c r="Q218" s="30" t="n"/>
      <c r="R218" s="30" t="n"/>
      <c r="S218" s="30" t="n"/>
      <c r="T218" s="30" t="n"/>
      <c r="U218" s="30" t="n"/>
      <c r="V218" s="30" t="n"/>
      <c r="W218" s="30" t="n"/>
      <c r="X218" s="30" t="n"/>
      <c r="Y218" s="30" t="n"/>
      <c r="Z218" s="30" t="n"/>
      <c r="AA218" s="30" t="n"/>
    </row>
    <row r="219">
      <c r="A219" s="30" t="n"/>
      <c r="B219" s="156" t="n"/>
      <c r="C219" s="30" t="n"/>
      <c r="D219" s="30" t="n"/>
      <c r="E219" s="30" t="n"/>
      <c r="F219" s="30" t="n"/>
      <c r="G219" s="30" t="n"/>
      <c r="H219" s="30" t="n"/>
      <c r="I219" s="30" t="n"/>
      <c r="J219" s="30" t="n"/>
      <c r="K219" s="30" t="n"/>
      <c r="L219" s="30" t="n"/>
      <c r="M219" s="30" t="n"/>
      <c r="N219" s="30" t="n"/>
      <c r="O219" s="30" t="n"/>
      <c r="P219" s="30" t="n"/>
      <c r="Q219" s="30" t="n"/>
      <c r="R219" s="30" t="n"/>
      <c r="S219" s="30" t="n"/>
      <c r="T219" s="30" t="n"/>
      <c r="U219" s="30" t="n"/>
      <c r="V219" s="30" t="n"/>
      <c r="W219" s="30" t="n"/>
      <c r="X219" s="30" t="n"/>
      <c r="Y219" s="30" t="n"/>
      <c r="Z219" s="30" t="n"/>
      <c r="AA219" s="30" t="n"/>
    </row>
    <row r="220">
      <c r="A220" s="30" t="n"/>
      <c r="B220" s="156" t="n"/>
      <c r="C220" s="30" t="n"/>
      <c r="D220" s="30" t="n"/>
      <c r="E220" s="30" t="n"/>
      <c r="F220" s="30" t="n"/>
      <c r="G220" s="30" t="n"/>
      <c r="H220" s="30" t="n"/>
      <c r="I220" s="30" t="n"/>
      <c r="J220" s="30" t="n"/>
      <c r="K220" s="30" t="n"/>
      <c r="L220" s="30" t="n"/>
      <c r="M220" s="30" t="n"/>
      <c r="N220" s="30" t="n"/>
      <c r="O220" s="30" t="n"/>
      <c r="P220" s="30" t="n"/>
      <c r="Q220" s="30" t="n"/>
      <c r="R220" s="30" t="n"/>
      <c r="S220" s="30" t="n"/>
      <c r="T220" s="30" t="n"/>
      <c r="U220" s="30" t="n"/>
      <c r="V220" s="30" t="n"/>
      <c r="W220" s="30" t="n"/>
      <c r="X220" s="30" t="n"/>
      <c r="Y220" s="30" t="n"/>
      <c r="Z220" s="30" t="n"/>
      <c r="AA220" s="30" t="n"/>
    </row>
    <row r="221">
      <c r="A221" s="30" t="n"/>
      <c r="B221" s="156" t="n"/>
      <c r="C221" s="30" t="n"/>
      <c r="D221" s="30" t="n"/>
      <c r="E221" s="30" t="n"/>
      <c r="F221" s="30" t="n"/>
      <c r="G221" s="30" t="n"/>
      <c r="H221" s="30" t="n"/>
      <c r="I221" s="30" t="n"/>
      <c r="J221" s="30" t="n"/>
      <c r="K221" s="30" t="n"/>
      <c r="L221" s="30" t="n"/>
      <c r="M221" s="30" t="n"/>
      <c r="N221" s="30" t="n"/>
      <c r="O221" s="30" t="n"/>
      <c r="P221" s="30" t="n"/>
      <c r="Q221" s="30" t="n"/>
      <c r="R221" s="30" t="n"/>
      <c r="S221" s="30" t="n"/>
      <c r="T221" s="30" t="n"/>
      <c r="U221" s="30" t="n"/>
      <c r="V221" s="30" t="n"/>
      <c r="W221" s="30" t="n"/>
      <c r="X221" s="30" t="n"/>
      <c r="Y221" s="30" t="n"/>
      <c r="Z221" s="30" t="n"/>
      <c r="AA221" s="30" t="n"/>
    </row>
    <row r="222">
      <c r="A222" s="30" t="n"/>
      <c r="B222" s="156" t="n"/>
      <c r="C222" s="30" t="n"/>
      <c r="D222" s="30" t="n"/>
      <c r="E222" s="30" t="n"/>
      <c r="F222" s="30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30" t="n"/>
      <c r="P222" s="30" t="n"/>
      <c r="Q222" s="30" t="n"/>
      <c r="R222" s="30" t="n"/>
      <c r="S222" s="30" t="n"/>
      <c r="T222" s="30" t="n"/>
      <c r="U222" s="30" t="n"/>
      <c r="V222" s="30" t="n"/>
      <c r="W222" s="30" t="n"/>
      <c r="X222" s="30" t="n"/>
      <c r="Y222" s="30" t="n"/>
      <c r="Z222" s="30" t="n"/>
      <c r="AA222" s="30" t="n"/>
    </row>
    <row r="223">
      <c r="A223" s="30" t="n"/>
      <c r="B223" s="156" t="n"/>
      <c r="C223" s="30" t="n"/>
      <c r="D223" s="30" t="n"/>
      <c r="E223" s="30" t="n"/>
      <c r="F223" s="30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30" t="n"/>
      <c r="P223" s="30" t="n"/>
      <c r="Q223" s="30" t="n"/>
      <c r="R223" s="30" t="n"/>
      <c r="S223" s="30" t="n"/>
      <c r="T223" s="30" t="n"/>
      <c r="U223" s="30" t="n"/>
      <c r="V223" s="30" t="n"/>
      <c r="W223" s="30" t="n"/>
      <c r="X223" s="30" t="n"/>
      <c r="Y223" s="30" t="n"/>
      <c r="Z223" s="30" t="n"/>
      <c r="AA223" s="30" t="n"/>
    </row>
    <row r="224">
      <c r="A224" s="30" t="n"/>
      <c r="B224" s="156" t="n"/>
      <c r="C224" s="30" t="n"/>
      <c r="D224" s="30" t="n"/>
      <c r="E224" s="30" t="n"/>
      <c r="F224" s="30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30" t="n"/>
      <c r="P224" s="30" t="n"/>
      <c r="Q224" s="30" t="n"/>
      <c r="R224" s="30" t="n"/>
      <c r="S224" s="30" t="n"/>
      <c r="T224" s="30" t="n"/>
      <c r="U224" s="30" t="n"/>
      <c r="V224" s="30" t="n"/>
      <c r="W224" s="30" t="n"/>
      <c r="X224" s="30" t="n"/>
      <c r="Y224" s="30" t="n"/>
      <c r="Z224" s="30" t="n"/>
      <c r="AA224" s="30" t="n"/>
    </row>
    <row r="225">
      <c r="A225" s="30" t="n"/>
      <c r="B225" s="156" t="n"/>
      <c r="C225" s="30" t="n"/>
      <c r="D225" s="30" t="n"/>
      <c r="E225" s="30" t="n"/>
      <c r="F225" s="30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30" t="n"/>
      <c r="P225" s="30" t="n"/>
      <c r="Q225" s="30" t="n"/>
      <c r="R225" s="30" t="n"/>
      <c r="S225" s="30" t="n"/>
      <c r="T225" s="30" t="n"/>
      <c r="U225" s="30" t="n"/>
      <c r="V225" s="30" t="n"/>
      <c r="W225" s="30" t="n"/>
      <c r="X225" s="30" t="n"/>
      <c r="Y225" s="30" t="n"/>
      <c r="Z225" s="30" t="n"/>
      <c r="AA225" s="30" t="n"/>
    </row>
    <row r="226">
      <c r="A226" s="30" t="n"/>
      <c r="B226" s="156" t="n"/>
      <c r="C226" s="30" t="n"/>
      <c r="D226" s="30" t="n"/>
      <c r="E226" s="30" t="n"/>
      <c r="F226" s="30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30" t="n"/>
      <c r="P226" s="30" t="n"/>
      <c r="Q226" s="30" t="n"/>
      <c r="R226" s="30" t="n"/>
      <c r="S226" s="30" t="n"/>
      <c r="T226" s="30" t="n"/>
      <c r="U226" s="30" t="n"/>
      <c r="V226" s="30" t="n"/>
      <c r="W226" s="30" t="n"/>
      <c r="X226" s="30" t="n"/>
      <c r="Y226" s="30" t="n"/>
      <c r="Z226" s="30" t="n"/>
      <c r="AA226" s="30" t="n"/>
    </row>
    <row r="227">
      <c r="A227" s="30" t="n"/>
      <c r="B227" s="156" t="n"/>
      <c r="C227" s="30" t="n"/>
      <c r="D227" s="30" t="n"/>
      <c r="E227" s="30" t="n"/>
      <c r="F227" s="30" t="n"/>
      <c r="G227" s="30" t="n"/>
      <c r="H227" s="30" t="n"/>
      <c r="I227" s="30" t="n"/>
      <c r="J227" s="30" t="n"/>
      <c r="K227" s="30" t="n"/>
      <c r="L227" s="30" t="n"/>
      <c r="M227" s="30" t="n"/>
      <c r="N227" s="30" t="n"/>
      <c r="O227" s="30" t="n"/>
      <c r="P227" s="30" t="n"/>
      <c r="Q227" s="30" t="n"/>
      <c r="R227" s="30" t="n"/>
      <c r="S227" s="30" t="n"/>
      <c r="T227" s="30" t="n"/>
      <c r="U227" s="30" t="n"/>
      <c r="V227" s="30" t="n"/>
      <c r="W227" s="30" t="n"/>
      <c r="X227" s="30" t="n"/>
      <c r="Y227" s="30" t="n"/>
      <c r="Z227" s="30" t="n"/>
      <c r="AA227" s="30" t="n"/>
    </row>
    <row r="228">
      <c r="A228" s="30" t="n"/>
      <c r="B228" s="156" t="n"/>
      <c r="C228" s="30" t="n"/>
      <c r="D228" s="30" t="n"/>
      <c r="E228" s="30" t="n"/>
      <c r="F228" s="30" t="n"/>
      <c r="G228" s="30" t="n"/>
      <c r="H228" s="30" t="n"/>
      <c r="I228" s="30" t="n"/>
      <c r="J228" s="30" t="n"/>
      <c r="K228" s="30" t="n"/>
      <c r="L228" s="30" t="n"/>
      <c r="M228" s="30" t="n"/>
      <c r="N228" s="30" t="n"/>
      <c r="O228" s="30" t="n"/>
      <c r="P228" s="30" t="n"/>
      <c r="Q228" s="30" t="n"/>
      <c r="R228" s="30" t="n"/>
      <c r="S228" s="30" t="n"/>
      <c r="T228" s="30" t="n"/>
      <c r="U228" s="30" t="n"/>
      <c r="V228" s="30" t="n"/>
      <c r="W228" s="30" t="n"/>
      <c r="X228" s="30" t="n"/>
      <c r="Y228" s="30" t="n"/>
      <c r="Z228" s="30" t="n"/>
      <c r="AA228" s="30" t="n"/>
    </row>
    <row r="229">
      <c r="A229" s="30" t="n"/>
      <c r="B229" s="156" t="n"/>
      <c r="C229" s="30" t="n"/>
      <c r="D229" s="30" t="n"/>
      <c r="E229" s="30" t="n"/>
      <c r="F229" s="30" t="n"/>
      <c r="G229" s="30" t="n"/>
      <c r="H229" s="30" t="n"/>
      <c r="I229" s="30" t="n"/>
      <c r="J229" s="30" t="n"/>
      <c r="K229" s="30" t="n"/>
      <c r="L229" s="30" t="n"/>
      <c r="M229" s="30" t="n"/>
      <c r="N229" s="30" t="n"/>
      <c r="O229" s="30" t="n"/>
      <c r="P229" s="30" t="n"/>
      <c r="Q229" s="30" t="n"/>
      <c r="R229" s="30" t="n"/>
      <c r="S229" s="30" t="n"/>
      <c r="T229" s="30" t="n"/>
      <c r="U229" s="30" t="n"/>
      <c r="V229" s="30" t="n"/>
      <c r="W229" s="30" t="n"/>
      <c r="X229" s="30" t="n"/>
      <c r="Y229" s="30" t="n"/>
      <c r="Z229" s="30" t="n"/>
      <c r="AA229" s="30" t="n"/>
    </row>
    <row r="230">
      <c r="A230" s="30" t="n"/>
      <c r="B230" s="156" t="n"/>
      <c r="C230" s="30" t="n"/>
      <c r="D230" s="30" t="n"/>
      <c r="E230" s="30" t="n"/>
      <c r="F230" s="30" t="n"/>
      <c r="G230" s="30" t="n"/>
      <c r="H230" s="30" t="n"/>
      <c r="I230" s="30" t="n"/>
      <c r="J230" s="30" t="n"/>
      <c r="K230" s="30" t="n"/>
      <c r="L230" s="30" t="n"/>
      <c r="M230" s="30" t="n"/>
      <c r="N230" s="30" t="n"/>
      <c r="O230" s="30" t="n"/>
      <c r="P230" s="30" t="n"/>
      <c r="Q230" s="30" t="n"/>
      <c r="R230" s="30" t="n"/>
      <c r="S230" s="30" t="n"/>
      <c r="T230" s="30" t="n"/>
      <c r="U230" s="30" t="n"/>
      <c r="V230" s="30" t="n"/>
      <c r="W230" s="30" t="n"/>
      <c r="X230" s="30" t="n"/>
      <c r="Y230" s="30" t="n"/>
      <c r="Z230" s="30" t="n"/>
      <c r="AA230" s="30" t="n"/>
    </row>
    <row r="231">
      <c r="A231" s="30" t="n"/>
      <c r="B231" s="156" t="n"/>
      <c r="C231" s="30" t="n"/>
      <c r="D231" s="30" t="n"/>
      <c r="E231" s="30" t="n"/>
      <c r="F231" s="30" t="n"/>
      <c r="G231" s="30" t="n"/>
      <c r="H231" s="30" t="n"/>
      <c r="I231" s="30" t="n"/>
      <c r="J231" s="30" t="n"/>
      <c r="K231" s="30" t="n"/>
      <c r="L231" s="30" t="n"/>
      <c r="M231" s="30" t="n"/>
      <c r="N231" s="30" t="n"/>
      <c r="O231" s="30" t="n"/>
      <c r="P231" s="30" t="n"/>
      <c r="Q231" s="30" t="n"/>
      <c r="R231" s="30" t="n"/>
      <c r="S231" s="30" t="n"/>
      <c r="T231" s="30" t="n"/>
      <c r="U231" s="30" t="n"/>
      <c r="V231" s="30" t="n"/>
      <c r="W231" s="30" t="n"/>
      <c r="X231" s="30" t="n"/>
      <c r="Y231" s="30" t="n"/>
      <c r="Z231" s="30" t="n"/>
      <c r="AA231" s="30" t="n"/>
    </row>
    <row r="232">
      <c r="A232" s="30" t="n"/>
      <c r="B232" s="156" t="n"/>
      <c r="C232" s="30" t="n"/>
      <c r="D232" s="30" t="n"/>
      <c r="E232" s="30" t="n"/>
      <c r="F232" s="30" t="n"/>
      <c r="G232" s="30" t="n"/>
      <c r="H232" s="30" t="n"/>
      <c r="I232" s="30" t="n"/>
      <c r="J232" s="30" t="n"/>
      <c r="K232" s="30" t="n"/>
      <c r="L232" s="30" t="n"/>
      <c r="M232" s="30" t="n"/>
      <c r="N232" s="30" t="n"/>
      <c r="O232" s="30" t="n"/>
      <c r="P232" s="30" t="n"/>
      <c r="Q232" s="30" t="n"/>
      <c r="R232" s="30" t="n"/>
      <c r="S232" s="30" t="n"/>
      <c r="T232" s="30" t="n"/>
      <c r="U232" s="30" t="n"/>
      <c r="V232" s="30" t="n"/>
      <c r="W232" s="30" t="n"/>
      <c r="X232" s="30" t="n"/>
      <c r="Y232" s="30" t="n"/>
      <c r="Z232" s="30" t="n"/>
      <c r="AA232" s="30" t="n"/>
    </row>
    <row r="233">
      <c r="A233" s="30" t="n"/>
      <c r="B233" s="156" t="n"/>
      <c r="C233" s="30" t="n"/>
      <c r="D233" s="30" t="n"/>
      <c r="E233" s="30" t="n"/>
      <c r="F233" s="30" t="n"/>
      <c r="G233" s="30" t="n"/>
      <c r="H233" s="30" t="n"/>
      <c r="I233" s="30" t="n"/>
      <c r="J233" s="30" t="n"/>
      <c r="K233" s="30" t="n"/>
      <c r="L233" s="30" t="n"/>
      <c r="M233" s="30" t="n"/>
      <c r="N233" s="30" t="n"/>
      <c r="O233" s="30" t="n"/>
      <c r="P233" s="30" t="n"/>
      <c r="Q233" s="30" t="n"/>
      <c r="R233" s="30" t="n"/>
      <c r="S233" s="30" t="n"/>
      <c r="T233" s="30" t="n"/>
      <c r="U233" s="30" t="n"/>
      <c r="V233" s="30" t="n"/>
      <c r="W233" s="30" t="n"/>
      <c r="X233" s="30" t="n"/>
      <c r="Y233" s="30" t="n"/>
      <c r="Z233" s="30" t="n"/>
      <c r="AA233" s="30" t="n"/>
    </row>
    <row r="234">
      <c r="A234" s="30" t="n"/>
      <c r="B234" s="156" t="n"/>
      <c r="C234" s="30" t="n"/>
      <c r="D234" s="30" t="n"/>
      <c r="E234" s="30" t="n"/>
      <c r="F234" s="30" t="n"/>
      <c r="G234" s="30" t="n"/>
      <c r="H234" s="30" t="n"/>
      <c r="I234" s="30" t="n"/>
      <c r="J234" s="30" t="n"/>
      <c r="K234" s="30" t="n"/>
      <c r="L234" s="30" t="n"/>
      <c r="M234" s="30" t="n"/>
      <c r="N234" s="30" t="n"/>
      <c r="O234" s="30" t="n"/>
      <c r="P234" s="30" t="n"/>
      <c r="Q234" s="30" t="n"/>
      <c r="R234" s="30" t="n"/>
      <c r="S234" s="30" t="n"/>
      <c r="T234" s="30" t="n"/>
      <c r="U234" s="30" t="n"/>
      <c r="V234" s="30" t="n"/>
      <c r="W234" s="30" t="n"/>
      <c r="X234" s="30" t="n"/>
      <c r="Y234" s="30" t="n"/>
      <c r="Z234" s="30" t="n"/>
      <c r="AA234" s="30" t="n"/>
    </row>
    <row r="235">
      <c r="A235" s="30" t="n"/>
      <c r="B235" s="156" t="n"/>
      <c r="C235" s="30" t="n"/>
      <c r="D235" s="30" t="n"/>
      <c r="E235" s="30" t="n"/>
      <c r="F235" s="30" t="n"/>
      <c r="G235" s="30" t="n"/>
      <c r="H235" s="30" t="n"/>
      <c r="I235" s="30" t="n"/>
      <c r="J235" s="30" t="n"/>
      <c r="K235" s="30" t="n"/>
      <c r="L235" s="30" t="n"/>
      <c r="M235" s="30" t="n"/>
      <c r="N235" s="30" t="n"/>
      <c r="O235" s="30" t="n"/>
      <c r="P235" s="30" t="n"/>
      <c r="Q235" s="30" t="n"/>
      <c r="R235" s="30" t="n"/>
      <c r="S235" s="30" t="n"/>
      <c r="T235" s="30" t="n"/>
      <c r="U235" s="30" t="n"/>
      <c r="V235" s="30" t="n"/>
      <c r="W235" s="30" t="n"/>
      <c r="X235" s="30" t="n"/>
      <c r="Y235" s="30" t="n"/>
      <c r="Z235" s="30" t="n"/>
      <c r="AA235" s="30" t="n"/>
    </row>
    <row r="236">
      <c r="A236" s="30" t="n"/>
      <c r="B236" s="156" t="n"/>
      <c r="C236" s="30" t="n"/>
      <c r="D236" s="30" t="n"/>
      <c r="E236" s="30" t="n"/>
      <c r="F236" s="30" t="n"/>
      <c r="G236" s="30" t="n"/>
      <c r="H236" s="30" t="n"/>
      <c r="I236" s="30" t="n"/>
      <c r="J236" s="30" t="n"/>
      <c r="K236" s="30" t="n"/>
      <c r="L236" s="30" t="n"/>
      <c r="M236" s="30" t="n"/>
      <c r="N236" s="30" t="n"/>
      <c r="O236" s="30" t="n"/>
      <c r="P236" s="30" t="n"/>
      <c r="Q236" s="30" t="n"/>
      <c r="R236" s="30" t="n"/>
      <c r="S236" s="30" t="n"/>
      <c r="T236" s="30" t="n"/>
      <c r="U236" s="30" t="n"/>
      <c r="V236" s="30" t="n"/>
      <c r="W236" s="30" t="n"/>
      <c r="X236" s="30" t="n"/>
      <c r="Y236" s="30" t="n"/>
      <c r="Z236" s="30" t="n"/>
      <c r="AA236" s="30" t="n"/>
    </row>
    <row r="237">
      <c r="A237" s="30" t="n"/>
      <c r="B237" s="156" t="n"/>
      <c r="C237" s="30" t="n"/>
      <c r="D237" s="30" t="n"/>
      <c r="E237" s="30" t="n"/>
      <c r="F237" s="30" t="n"/>
      <c r="G237" s="30" t="n"/>
      <c r="H237" s="30" t="n"/>
      <c r="I237" s="30" t="n"/>
      <c r="J237" s="30" t="n"/>
      <c r="K237" s="30" t="n"/>
      <c r="L237" s="30" t="n"/>
      <c r="M237" s="30" t="n"/>
      <c r="N237" s="30" t="n"/>
      <c r="O237" s="30" t="n"/>
      <c r="P237" s="30" t="n"/>
      <c r="Q237" s="30" t="n"/>
      <c r="R237" s="30" t="n"/>
      <c r="S237" s="30" t="n"/>
      <c r="T237" s="30" t="n"/>
      <c r="U237" s="30" t="n"/>
      <c r="V237" s="30" t="n"/>
      <c r="W237" s="30" t="n"/>
      <c r="X237" s="30" t="n"/>
      <c r="Y237" s="30" t="n"/>
      <c r="Z237" s="30" t="n"/>
      <c r="AA237" s="30" t="n"/>
    </row>
    <row r="238">
      <c r="A238" s="30" t="n"/>
      <c r="B238" s="156" t="n"/>
      <c r="C238" s="30" t="n"/>
      <c r="D238" s="30" t="n"/>
      <c r="E238" s="30" t="n"/>
      <c r="F238" s="30" t="n"/>
      <c r="G238" s="30" t="n"/>
      <c r="H238" s="30" t="n"/>
      <c r="I238" s="30" t="n"/>
      <c r="J238" s="30" t="n"/>
      <c r="K238" s="30" t="n"/>
      <c r="L238" s="30" t="n"/>
      <c r="M238" s="30" t="n"/>
      <c r="N238" s="30" t="n"/>
      <c r="O238" s="30" t="n"/>
      <c r="P238" s="30" t="n"/>
      <c r="Q238" s="30" t="n"/>
      <c r="R238" s="30" t="n"/>
      <c r="S238" s="30" t="n"/>
      <c r="T238" s="30" t="n"/>
      <c r="U238" s="30" t="n"/>
      <c r="V238" s="30" t="n"/>
      <c r="W238" s="30" t="n"/>
      <c r="X238" s="30" t="n"/>
      <c r="Y238" s="30" t="n"/>
      <c r="Z238" s="30" t="n"/>
      <c r="AA238" s="30" t="n"/>
    </row>
    <row r="239">
      <c r="A239" s="30" t="n"/>
      <c r="B239" s="156" t="n"/>
      <c r="C239" s="30" t="n"/>
      <c r="D239" s="30" t="n"/>
      <c r="E239" s="30" t="n"/>
      <c r="F239" s="30" t="n"/>
      <c r="G239" s="30" t="n"/>
      <c r="H239" s="30" t="n"/>
      <c r="I239" s="30" t="n"/>
      <c r="J239" s="30" t="n"/>
      <c r="K239" s="30" t="n"/>
      <c r="L239" s="30" t="n"/>
      <c r="M239" s="30" t="n"/>
      <c r="N239" s="30" t="n"/>
      <c r="O239" s="30" t="n"/>
      <c r="P239" s="30" t="n"/>
      <c r="Q239" s="30" t="n"/>
      <c r="R239" s="30" t="n"/>
      <c r="S239" s="30" t="n"/>
      <c r="T239" s="30" t="n"/>
      <c r="U239" s="30" t="n"/>
      <c r="V239" s="30" t="n"/>
      <c r="W239" s="30" t="n"/>
      <c r="X239" s="30" t="n"/>
      <c r="Y239" s="30" t="n"/>
      <c r="Z239" s="30" t="n"/>
      <c r="AA239" s="30" t="n"/>
    </row>
    <row r="240">
      <c r="A240" s="30" t="n"/>
      <c r="B240" s="156" t="n"/>
      <c r="C240" s="30" t="n"/>
      <c r="D240" s="30" t="n"/>
      <c r="E240" s="30" t="n"/>
      <c r="F240" s="30" t="n"/>
      <c r="G240" s="30" t="n"/>
      <c r="H240" s="30" t="n"/>
      <c r="I240" s="30" t="n"/>
      <c r="J240" s="30" t="n"/>
      <c r="K240" s="30" t="n"/>
      <c r="L240" s="30" t="n"/>
      <c r="M240" s="30" t="n"/>
      <c r="N240" s="30" t="n"/>
      <c r="O240" s="30" t="n"/>
      <c r="P240" s="30" t="n"/>
      <c r="Q240" s="30" t="n"/>
      <c r="R240" s="30" t="n"/>
      <c r="S240" s="30" t="n"/>
      <c r="T240" s="30" t="n"/>
      <c r="U240" s="30" t="n"/>
      <c r="V240" s="30" t="n"/>
      <c r="W240" s="30" t="n"/>
      <c r="X240" s="30" t="n"/>
      <c r="Y240" s="30" t="n"/>
      <c r="Z240" s="30" t="n"/>
      <c r="AA240" s="30" t="n"/>
    </row>
    <row r="241">
      <c r="A241" s="30" t="n"/>
      <c r="B241" s="156" t="n"/>
      <c r="C241" s="30" t="n"/>
      <c r="D241" s="30" t="n"/>
      <c r="E241" s="30" t="n"/>
      <c r="F241" s="30" t="n"/>
      <c r="G241" s="30" t="n"/>
      <c r="H241" s="30" t="n"/>
      <c r="I241" s="30" t="n"/>
      <c r="J241" s="30" t="n"/>
      <c r="K241" s="30" t="n"/>
      <c r="L241" s="30" t="n"/>
      <c r="M241" s="30" t="n"/>
      <c r="N241" s="30" t="n"/>
      <c r="O241" s="30" t="n"/>
      <c r="P241" s="30" t="n"/>
      <c r="Q241" s="30" t="n"/>
      <c r="R241" s="30" t="n"/>
      <c r="S241" s="30" t="n"/>
      <c r="T241" s="30" t="n"/>
      <c r="U241" s="30" t="n"/>
      <c r="V241" s="30" t="n"/>
      <c r="W241" s="30" t="n"/>
      <c r="X241" s="30" t="n"/>
      <c r="Y241" s="30" t="n"/>
      <c r="Z241" s="30" t="n"/>
      <c r="AA241" s="30" t="n"/>
    </row>
    <row r="242">
      <c r="A242" s="30" t="n"/>
      <c r="B242" s="156" t="n"/>
      <c r="C242" s="30" t="n"/>
      <c r="D242" s="30" t="n"/>
      <c r="E242" s="30" t="n"/>
      <c r="F242" s="30" t="n"/>
      <c r="G242" s="30" t="n"/>
      <c r="H242" s="30" t="n"/>
      <c r="I242" s="30" t="n"/>
      <c r="J242" s="30" t="n"/>
      <c r="K242" s="30" t="n"/>
      <c r="L242" s="30" t="n"/>
      <c r="M242" s="30" t="n"/>
      <c r="N242" s="30" t="n"/>
      <c r="O242" s="30" t="n"/>
      <c r="P242" s="30" t="n"/>
      <c r="Q242" s="30" t="n"/>
      <c r="R242" s="30" t="n"/>
      <c r="S242" s="30" t="n"/>
      <c r="T242" s="30" t="n"/>
      <c r="U242" s="30" t="n"/>
      <c r="V242" s="30" t="n"/>
      <c r="W242" s="30" t="n"/>
      <c r="X242" s="30" t="n"/>
      <c r="Y242" s="30" t="n"/>
      <c r="Z242" s="30" t="n"/>
      <c r="AA242" s="30" t="n"/>
    </row>
    <row r="243">
      <c r="A243" s="30" t="n"/>
      <c r="B243" s="156" t="n"/>
      <c r="C243" s="30" t="n"/>
      <c r="D243" s="30" t="n"/>
      <c r="E243" s="30" t="n"/>
      <c r="F243" s="30" t="n"/>
      <c r="G243" s="30" t="n"/>
      <c r="H243" s="30" t="n"/>
      <c r="I243" s="30" t="n"/>
      <c r="J243" s="30" t="n"/>
      <c r="K243" s="30" t="n"/>
      <c r="L243" s="30" t="n"/>
      <c r="M243" s="30" t="n"/>
      <c r="N243" s="30" t="n"/>
      <c r="O243" s="30" t="n"/>
      <c r="P243" s="30" t="n"/>
      <c r="Q243" s="30" t="n"/>
      <c r="R243" s="30" t="n"/>
      <c r="S243" s="30" t="n"/>
      <c r="T243" s="30" t="n"/>
      <c r="U243" s="30" t="n"/>
      <c r="V243" s="30" t="n"/>
      <c r="W243" s="30" t="n"/>
      <c r="X243" s="30" t="n"/>
      <c r="Y243" s="30" t="n"/>
      <c r="Z243" s="30" t="n"/>
      <c r="AA243" s="30" t="n"/>
    </row>
    <row r="244">
      <c r="A244" s="30" t="n"/>
      <c r="B244" s="156" t="n"/>
      <c r="C244" s="30" t="n"/>
      <c r="D244" s="30" t="n"/>
      <c r="E244" s="30" t="n"/>
      <c r="F244" s="30" t="n"/>
      <c r="G244" s="30" t="n"/>
      <c r="H244" s="30" t="n"/>
      <c r="I244" s="30" t="n"/>
      <c r="J244" s="30" t="n"/>
      <c r="K244" s="30" t="n"/>
      <c r="L244" s="30" t="n"/>
      <c r="M244" s="30" t="n"/>
      <c r="N244" s="30" t="n"/>
      <c r="O244" s="30" t="n"/>
      <c r="P244" s="30" t="n"/>
      <c r="Q244" s="30" t="n"/>
      <c r="R244" s="30" t="n"/>
      <c r="S244" s="30" t="n"/>
      <c r="T244" s="30" t="n"/>
      <c r="U244" s="30" t="n"/>
      <c r="V244" s="30" t="n"/>
      <c r="W244" s="30" t="n"/>
      <c r="X244" s="30" t="n"/>
      <c r="Y244" s="30" t="n"/>
      <c r="Z244" s="30" t="n"/>
      <c r="AA244" s="30" t="n"/>
    </row>
    <row r="245">
      <c r="A245" s="30" t="n"/>
      <c r="B245" s="156" t="n"/>
      <c r="C245" s="30" t="n"/>
      <c r="D245" s="30" t="n"/>
      <c r="E245" s="30" t="n"/>
      <c r="F245" s="30" t="n"/>
      <c r="G245" s="30" t="n"/>
      <c r="H245" s="30" t="n"/>
      <c r="I245" s="30" t="n"/>
      <c r="J245" s="30" t="n"/>
      <c r="K245" s="30" t="n"/>
      <c r="L245" s="30" t="n"/>
      <c r="M245" s="30" t="n"/>
      <c r="N245" s="30" t="n"/>
      <c r="O245" s="30" t="n"/>
      <c r="P245" s="30" t="n"/>
      <c r="Q245" s="30" t="n"/>
      <c r="R245" s="30" t="n"/>
      <c r="S245" s="30" t="n"/>
      <c r="T245" s="30" t="n"/>
      <c r="U245" s="30" t="n"/>
      <c r="V245" s="30" t="n"/>
      <c r="W245" s="30" t="n"/>
      <c r="X245" s="30" t="n"/>
      <c r="Y245" s="30" t="n"/>
      <c r="Z245" s="30" t="n"/>
      <c r="AA245" s="30" t="n"/>
    </row>
    <row r="246">
      <c r="A246" s="30" t="n"/>
      <c r="B246" s="156" t="n"/>
      <c r="C246" s="30" t="n"/>
      <c r="D246" s="30" t="n"/>
      <c r="E246" s="30" t="n"/>
      <c r="F246" s="30" t="n"/>
      <c r="G246" s="30" t="n"/>
      <c r="H246" s="30" t="n"/>
      <c r="I246" s="30" t="n"/>
      <c r="J246" s="30" t="n"/>
      <c r="K246" s="30" t="n"/>
      <c r="L246" s="30" t="n"/>
      <c r="M246" s="30" t="n"/>
      <c r="N246" s="30" t="n"/>
      <c r="O246" s="30" t="n"/>
      <c r="P246" s="30" t="n"/>
      <c r="Q246" s="30" t="n"/>
      <c r="R246" s="30" t="n"/>
      <c r="S246" s="30" t="n"/>
      <c r="T246" s="30" t="n"/>
      <c r="U246" s="30" t="n"/>
      <c r="V246" s="30" t="n"/>
      <c r="W246" s="30" t="n"/>
      <c r="X246" s="30" t="n"/>
      <c r="Y246" s="30" t="n"/>
      <c r="Z246" s="30" t="n"/>
      <c r="AA246" s="30" t="n"/>
    </row>
    <row r="247">
      <c r="A247" s="30" t="n"/>
      <c r="B247" s="156" t="n"/>
      <c r="C247" s="30" t="n"/>
      <c r="D247" s="30" t="n"/>
      <c r="E247" s="30" t="n"/>
      <c r="F247" s="30" t="n"/>
      <c r="G247" s="30" t="n"/>
      <c r="H247" s="30" t="n"/>
      <c r="I247" s="30" t="n"/>
      <c r="J247" s="30" t="n"/>
      <c r="K247" s="30" t="n"/>
      <c r="L247" s="30" t="n"/>
      <c r="M247" s="30" t="n"/>
      <c r="N247" s="30" t="n"/>
      <c r="O247" s="30" t="n"/>
      <c r="P247" s="30" t="n"/>
      <c r="Q247" s="30" t="n"/>
      <c r="R247" s="30" t="n"/>
      <c r="S247" s="30" t="n"/>
      <c r="T247" s="30" t="n"/>
      <c r="U247" s="30" t="n"/>
      <c r="V247" s="30" t="n"/>
      <c r="W247" s="30" t="n"/>
      <c r="X247" s="30" t="n"/>
      <c r="Y247" s="30" t="n"/>
      <c r="Z247" s="30" t="n"/>
      <c r="AA247" s="30" t="n"/>
    </row>
    <row r="248">
      <c r="A248" s="30" t="n"/>
      <c r="B248" s="156" t="n"/>
      <c r="C248" s="30" t="n"/>
      <c r="D248" s="30" t="n"/>
      <c r="E248" s="30" t="n"/>
      <c r="F248" s="30" t="n"/>
      <c r="G248" s="30" t="n"/>
      <c r="H248" s="30" t="n"/>
      <c r="I248" s="30" t="n"/>
      <c r="J248" s="30" t="n"/>
      <c r="K248" s="30" t="n"/>
      <c r="L248" s="30" t="n"/>
      <c r="M248" s="30" t="n"/>
      <c r="N248" s="30" t="n"/>
      <c r="O248" s="30" t="n"/>
      <c r="P248" s="30" t="n"/>
      <c r="Q248" s="30" t="n"/>
      <c r="R248" s="30" t="n"/>
      <c r="S248" s="30" t="n"/>
      <c r="T248" s="30" t="n"/>
      <c r="U248" s="30" t="n"/>
      <c r="V248" s="30" t="n"/>
      <c r="W248" s="30" t="n"/>
      <c r="X248" s="30" t="n"/>
      <c r="Y248" s="30" t="n"/>
      <c r="Z248" s="30" t="n"/>
      <c r="AA248" s="30" t="n"/>
    </row>
    <row r="249">
      <c r="A249" s="30" t="n"/>
      <c r="B249" s="156" t="n"/>
      <c r="C249" s="30" t="n"/>
      <c r="D249" s="30" t="n"/>
      <c r="E249" s="30" t="n"/>
      <c r="F249" s="30" t="n"/>
      <c r="G249" s="30" t="n"/>
      <c r="H249" s="30" t="n"/>
      <c r="I249" s="30" t="n"/>
      <c r="J249" s="30" t="n"/>
      <c r="K249" s="30" t="n"/>
      <c r="L249" s="30" t="n"/>
      <c r="M249" s="30" t="n"/>
      <c r="N249" s="30" t="n"/>
      <c r="O249" s="30" t="n"/>
      <c r="P249" s="30" t="n"/>
      <c r="Q249" s="30" t="n"/>
      <c r="R249" s="30" t="n"/>
      <c r="S249" s="30" t="n"/>
      <c r="T249" s="30" t="n"/>
      <c r="U249" s="30" t="n"/>
      <c r="V249" s="30" t="n"/>
      <c r="W249" s="30" t="n"/>
      <c r="X249" s="30" t="n"/>
      <c r="Y249" s="30" t="n"/>
      <c r="Z249" s="30" t="n"/>
      <c r="AA249" s="30" t="n"/>
    </row>
    <row r="250">
      <c r="A250" s="30" t="n"/>
      <c r="B250" s="156" t="n"/>
      <c r="C250" s="30" t="n"/>
      <c r="D250" s="30" t="n"/>
      <c r="E250" s="30" t="n"/>
      <c r="F250" s="30" t="n"/>
      <c r="G250" s="30" t="n"/>
      <c r="H250" s="30" t="n"/>
      <c r="I250" s="30" t="n"/>
      <c r="J250" s="30" t="n"/>
      <c r="K250" s="30" t="n"/>
      <c r="L250" s="30" t="n"/>
      <c r="M250" s="30" t="n"/>
      <c r="N250" s="30" t="n"/>
      <c r="O250" s="30" t="n"/>
      <c r="P250" s="30" t="n"/>
      <c r="Q250" s="30" t="n"/>
      <c r="R250" s="30" t="n"/>
      <c r="S250" s="30" t="n"/>
      <c r="T250" s="30" t="n"/>
      <c r="U250" s="30" t="n"/>
      <c r="V250" s="30" t="n"/>
      <c r="W250" s="30" t="n"/>
      <c r="X250" s="30" t="n"/>
      <c r="Y250" s="30" t="n"/>
      <c r="Z250" s="30" t="n"/>
      <c r="AA250" s="30" t="n"/>
    </row>
    <row r="251">
      <c r="A251" s="30" t="n"/>
      <c r="B251" s="156" t="n"/>
      <c r="C251" s="30" t="n"/>
      <c r="D251" s="30" t="n"/>
      <c r="E251" s="30" t="n"/>
      <c r="F251" s="30" t="n"/>
      <c r="G251" s="30" t="n"/>
      <c r="H251" s="30" t="n"/>
      <c r="I251" s="30" t="n"/>
      <c r="J251" s="30" t="n"/>
      <c r="K251" s="30" t="n"/>
      <c r="L251" s="30" t="n"/>
      <c r="M251" s="30" t="n"/>
      <c r="N251" s="30" t="n"/>
      <c r="O251" s="30" t="n"/>
      <c r="P251" s="30" t="n"/>
      <c r="Q251" s="30" t="n"/>
      <c r="R251" s="30" t="n"/>
      <c r="S251" s="30" t="n"/>
      <c r="T251" s="30" t="n"/>
      <c r="U251" s="30" t="n"/>
      <c r="V251" s="30" t="n"/>
      <c r="W251" s="30" t="n"/>
      <c r="X251" s="30" t="n"/>
      <c r="Y251" s="30" t="n"/>
      <c r="Z251" s="30" t="n"/>
      <c r="AA251" s="30" t="n"/>
    </row>
    <row r="252">
      <c r="A252" s="30" t="n"/>
      <c r="B252" s="156" t="n"/>
      <c r="C252" s="30" t="n"/>
      <c r="D252" s="30" t="n"/>
      <c r="E252" s="30" t="n"/>
      <c r="F252" s="30" t="n"/>
      <c r="G252" s="30" t="n"/>
      <c r="H252" s="30" t="n"/>
      <c r="I252" s="30" t="n"/>
      <c r="J252" s="30" t="n"/>
      <c r="K252" s="30" t="n"/>
      <c r="L252" s="30" t="n"/>
      <c r="M252" s="30" t="n"/>
      <c r="N252" s="30" t="n"/>
      <c r="O252" s="30" t="n"/>
      <c r="P252" s="30" t="n"/>
      <c r="Q252" s="30" t="n"/>
      <c r="R252" s="30" t="n"/>
      <c r="S252" s="30" t="n"/>
      <c r="T252" s="30" t="n"/>
      <c r="U252" s="30" t="n"/>
      <c r="V252" s="30" t="n"/>
      <c r="W252" s="30" t="n"/>
      <c r="X252" s="30" t="n"/>
      <c r="Y252" s="30" t="n"/>
      <c r="Z252" s="30" t="n"/>
      <c r="AA252" s="30" t="n"/>
    </row>
    <row r="253">
      <c r="A253" s="30" t="n"/>
      <c r="B253" s="156" t="n"/>
      <c r="C253" s="30" t="n"/>
      <c r="D253" s="30" t="n"/>
      <c r="E253" s="30" t="n"/>
      <c r="F253" s="30" t="n"/>
      <c r="G253" s="30" t="n"/>
      <c r="H253" s="30" t="n"/>
      <c r="I253" s="30" t="n"/>
      <c r="J253" s="30" t="n"/>
      <c r="K253" s="30" t="n"/>
      <c r="L253" s="30" t="n"/>
      <c r="M253" s="30" t="n"/>
      <c r="N253" s="30" t="n"/>
      <c r="O253" s="30" t="n"/>
      <c r="P253" s="30" t="n"/>
      <c r="Q253" s="30" t="n"/>
      <c r="R253" s="30" t="n"/>
      <c r="S253" s="30" t="n"/>
      <c r="T253" s="30" t="n"/>
      <c r="U253" s="30" t="n"/>
      <c r="V253" s="30" t="n"/>
      <c r="W253" s="30" t="n"/>
      <c r="X253" s="30" t="n"/>
      <c r="Y253" s="30" t="n"/>
      <c r="Z253" s="30" t="n"/>
      <c r="AA253" s="30" t="n"/>
    </row>
    <row r="254">
      <c r="A254" s="30" t="n"/>
      <c r="B254" s="156" t="n"/>
      <c r="C254" s="30" t="n"/>
      <c r="D254" s="30" t="n"/>
      <c r="E254" s="30" t="n"/>
      <c r="F254" s="30" t="n"/>
      <c r="G254" s="30" t="n"/>
      <c r="H254" s="30" t="n"/>
      <c r="I254" s="30" t="n"/>
      <c r="J254" s="30" t="n"/>
      <c r="K254" s="30" t="n"/>
      <c r="L254" s="30" t="n"/>
      <c r="M254" s="30" t="n"/>
      <c r="N254" s="30" t="n"/>
      <c r="O254" s="30" t="n"/>
      <c r="P254" s="30" t="n"/>
      <c r="Q254" s="30" t="n"/>
      <c r="R254" s="30" t="n"/>
      <c r="S254" s="30" t="n"/>
      <c r="T254" s="30" t="n"/>
      <c r="U254" s="30" t="n"/>
      <c r="V254" s="30" t="n"/>
      <c r="W254" s="30" t="n"/>
      <c r="X254" s="30" t="n"/>
      <c r="Y254" s="30" t="n"/>
      <c r="Z254" s="30" t="n"/>
      <c r="AA254" s="30" t="n"/>
    </row>
    <row r="255">
      <c r="A255" s="30" t="n"/>
      <c r="B255" s="156" t="n"/>
      <c r="C255" s="30" t="n"/>
      <c r="D255" s="30" t="n"/>
      <c r="E255" s="30" t="n"/>
      <c r="F255" s="30" t="n"/>
      <c r="G255" s="30" t="n"/>
      <c r="H255" s="30" t="n"/>
      <c r="I255" s="30" t="n"/>
      <c r="J255" s="30" t="n"/>
      <c r="K255" s="30" t="n"/>
      <c r="L255" s="30" t="n"/>
      <c r="M255" s="30" t="n"/>
      <c r="N255" s="30" t="n"/>
      <c r="O255" s="30" t="n"/>
      <c r="P255" s="30" t="n"/>
      <c r="Q255" s="30" t="n"/>
      <c r="R255" s="30" t="n"/>
      <c r="S255" s="30" t="n"/>
      <c r="T255" s="30" t="n"/>
      <c r="U255" s="30" t="n"/>
      <c r="V255" s="30" t="n"/>
      <c r="W255" s="30" t="n"/>
      <c r="X255" s="30" t="n"/>
      <c r="Y255" s="30" t="n"/>
      <c r="Z255" s="30" t="n"/>
      <c r="AA255" s="30" t="n"/>
    </row>
    <row r="256">
      <c r="A256" s="30" t="n"/>
      <c r="B256" s="156" t="n"/>
      <c r="C256" s="30" t="n"/>
      <c r="D256" s="30" t="n"/>
      <c r="E256" s="30" t="n"/>
      <c r="F256" s="30" t="n"/>
      <c r="G256" s="30" t="n"/>
      <c r="H256" s="30" t="n"/>
      <c r="I256" s="30" t="n"/>
      <c r="J256" s="30" t="n"/>
      <c r="K256" s="30" t="n"/>
      <c r="L256" s="30" t="n"/>
      <c r="M256" s="30" t="n"/>
      <c r="N256" s="30" t="n"/>
      <c r="O256" s="30" t="n"/>
      <c r="P256" s="30" t="n"/>
      <c r="Q256" s="30" t="n"/>
      <c r="R256" s="30" t="n"/>
      <c r="S256" s="30" t="n"/>
      <c r="T256" s="30" t="n"/>
      <c r="U256" s="30" t="n"/>
      <c r="V256" s="30" t="n"/>
      <c r="W256" s="30" t="n"/>
      <c r="X256" s="30" t="n"/>
      <c r="Y256" s="30" t="n"/>
      <c r="Z256" s="30" t="n"/>
      <c r="AA256" s="30" t="n"/>
    </row>
    <row r="257">
      <c r="A257" s="30" t="n"/>
      <c r="B257" s="156" t="n"/>
      <c r="C257" s="30" t="n"/>
      <c r="D257" s="30" t="n"/>
      <c r="E257" s="30" t="n"/>
      <c r="F257" s="30" t="n"/>
      <c r="G257" s="30" t="n"/>
      <c r="H257" s="30" t="n"/>
      <c r="I257" s="30" t="n"/>
      <c r="J257" s="30" t="n"/>
      <c r="K257" s="30" t="n"/>
      <c r="L257" s="30" t="n"/>
      <c r="M257" s="30" t="n"/>
      <c r="N257" s="30" t="n"/>
      <c r="O257" s="30" t="n"/>
      <c r="P257" s="30" t="n"/>
      <c r="Q257" s="30" t="n"/>
      <c r="R257" s="30" t="n"/>
      <c r="S257" s="30" t="n"/>
      <c r="T257" s="30" t="n"/>
      <c r="U257" s="30" t="n"/>
      <c r="V257" s="30" t="n"/>
      <c r="W257" s="30" t="n"/>
      <c r="X257" s="30" t="n"/>
      <c r="Y257" s="30" t="n"/>
      <c r="Z257" s="30" t="n"/>
      <c r="AA257" s="30" t="n"/>
    </row>
    <row r="258">
      <c r="A258" s="30" t="n"/>
      <c r="B258" s="156" t="n"/>
      <c r="C258" s="30" t="n"/>
      <c r="D258" s="30" t="n"/>
      <c r="E258" s="30" t="n"/>
      <c r="F258" s="30" t="n"/>
      <c r="G258" s="30" t="n"/>
      <c r="H258" s="30" t="n"/>
      <c r="I258" s="30" t="n"/>
      <c r="J258" s="30" t="n"/>
      <c r="K258" s="30" t="n"/>
      <c r="L258" s="30" t="n"/>
      <c r="M258" s="30" t="n"/>
      <c r="N258" s="30" t="n"/>
      <c r="O258" s="30" t="n"/>
      <c r="P258" s="30" t="n"/>
      <c r="Q258" s="30" t="n"/>
      <c r="R258" s="30" t="n"/>
      <c r="S258" s="30" t="n"/>
      <c r="T258" s="30" t="n"/>
      <c r="U258" s="30" t="n"/>
      <c r="V258" s="30" t="n"/>
      <c r="W258" s="30" t="n"/>
      <c r="X258" s="30" t="n"/>
      <c r="Y258" s="30" t="n"/>
      <c r="Z258" s="30" t="n"/>
      <c r="AA258" s="30" t="n"/>
    </row>
    <row r="259">
      <c r="A259" s="30" t="n"/>
      <c r="B259" s="156" t="n"/>
      <c r="C259" s="30" t="n"/>
      <c r="D259" s="30" t="n"/>
      <c r="E259" s="30" t="n"/>
      <c r="F259" s="30" t="n"/>
      <c r="G259" s="30" t="n"/>
      <c r="H259" s="30" t="n"/>
      <c r="I259" s="30" t="n"/>
      <c r="J259" s="30" t="n"/>
      <c r="K259" s="30" t="n"/>
      <c r="L259" s="30" t="n"/>
      <c r="M259" s="30" t="n"/>
      <c r="N259" s="30" t="n"/>
      <c r="O259" s="30" t="n"/>
      <c r="P259" s="30" t="n"/>
      <c r="Q259" s="30" t="n"/>
      <c r="R259" s="30" t="n"/>
      <c r="S259" s="30" t="n"/>
      <c r="T259" s="30" t="n"/>
      <c r="U259" s="30" t="n"/>
      <c r="V259" s="30" t="n"/>
      <c r="W259" s="30" t="n"/>
      <c r="X259" s="30" t="n"/>
      <c r="Y259" s="30" t="n"/>
      <c r="Z259" s="30" t="n"/>
      <c r="AA259" s="30" t="n"/>
    </row>
    <row r="260">
      <c r="A260" s="30" t="n"/>
      <c r="B260" s="156" t="n"/>
      <c r="C260" s="30" t="n"/>
      <c r="D260" s="30" t="n"/>
      <c r="E260" s="30" t="n"/>
      <c r="F260" s="30" t="n"/>
      <c r="G260" s="30" t="n"/>
      <c r="H260" s="30" t="n"/>
      <c r="I260" s="30" t="n"/>
      <c r="J260" s="30" t="n"/>
      <c r="K260" s="30" t="n"/>
      <c r="L260" s="30" t="n"/>
      <c r="M260" s="30" t="n"/>
      <c r="N260" s="30" t="n"/>
      <c r="O260" s="30" t="n"/>
      <c r="P260" s="30" t="n"/>
      <c r="Q260" s="30" t="n"/>
      <c r="R260" s="30" t="n"/>
      <c r="S260" s="30" t="n"/>
      <c r="T260" s="30" t="n"/>
      <c r="U260" s="30" t="n"/>
      <c r="V260" s="30" t="n"/>
      <c r="W260" s="30" t="n"/>
      <c r="X260" s="30" t="n"/>
      <c r="Y260" s="30" t="n"/>
      <c r="Z260" s="30" t="n"/>
      <c r="AA260" s="30" t="n"/>
    </row>
    <row r="261">
      <c r="A261" s="30" t="n"/>
      <c r="B261" s="156" t="n"/>
      <c r="C261" s="30" t="n"/>
      <c r="D261" s="30" t="n"/>
      <c r="E261" s="30" t="n"/>
      <c r="F261" s="30" t="n"/>
      <c r="G261" s="30" t="n"/>
      <c r="H261" s="30" t="n"/>
      <c r="I261" s="30" t="n"/>
      <c r="J261" s="30" t="n"/>
      <c r="K261" s="30" t="n"/>
      <c r="L261" s="30" t="n"/>
      <c r="M261" s="30" t="n"/>
      <c r="N261" s="30" t="n"/>
      <c r="O261" s="30" t="n"/>
      <c r="P261" s="30" t="n"/>
      <c r="Q261" s="30" t="n"/>
      <c r="R261" s="30" t="n"/>
      <c r="S261" s="30" t="n"/>
      <c r="T261" s="30" t="n"/>
      <c r="U261" s="30" t="n"/>
      <c r="V261" s="30" t="n"/>
      <c r="W261" s="30" t="n"/>
      <c r="X261" s="30" t="n"/>
      <c r="Y261" s="30" t="n"/>
      <c r="Z261" s="30" t="n"/>
      <c r="AA261" s="30" t="n"/>
    </row>
    <row r="262">
      <c r="A262" s="30" t="n"/>
      <c r="B262" s="156" t="n"/>
      <c r="C262" s="30" t="n"/>
      <c r="D262" s="30" t="n"/>
      <c r="E262" s="30" t="n"/>
      <c r="F262" s="30" t="n"/>
      <c r="G262" s="30" t="n"/>
      <c r="H262" s="30" t="n"/>
      <c r="I262" s="30" t="n"/>
      <c r="J262" s="30" t="n"/>
      <c r="K262" s="30" t="n"/>
      <c r="L262" s="30" t="n"/>
      <c r="M262" s="30" t="n"/>
      <c r="N262" s="30" t="n"/>
      <c r="O262" s="30" t="n"/>
      <c r="P262" s="30" t="n"/>
      <c r="Q262" s="30" t="n"/>
      <c r="R262" s="30" t="n"/>
      <c r="S262" s="30" t="n"/>
      <c r="T262" s="30" t="n"/>
      <c r="U262" s="30" t="n"/>
      <c r="V262" s="30" t="n"/>
      <c r="W262" s="30" t="n"/>
      <c r="X262" s="30" t="n"/>
      <c r="Y262" s="30" t="n"/>
      <c r="Z262" s="30" t="n"/>
      <c r="AA262" s="30" t="n"/>
    </row>
    <row r="263">
      <c r="A263" s="30" t="n"/>
      <c r="B263" s="156" t="n"/>
      <c r="C263" s="30" t="n"/>
      <c r="D263" s="30" t="n"/>
      <c r="E263" s="30" t="n"/>
      <c r="F263" s="30" t="n"/>
      <c r="G263" s="30" t="n"/>
      <c r="H263" s="30" t="n"/>
      <c r="I263" s="30" t="n"/>
      <c r="J263" s="30" t="n"/>
      <c r="K263" s="30" t="n"/>
      <c r="L263" s="30" t="n"/>
      <c r="M263" s="30" t="n"/>
      <c r="N263" s="30" t="n"/>
      <c r="O263" s="30" t="n"/>
      <c r="P263" s="30" t="n"/>
      <c r="Q263" s="30" t="n"/>
      <c r="R263" s="30" t="n"/>
      <c r="S263" s="30" t="n"/>
      <c r="T263" s="30" t="n"/>
      <c r="U263" s="30" t="n"/>
      <c r="V263" s="30" t="n"/>
      <c r="W263" s="30" t="n"/>
      <c r="X263" s="30" t="n"/>
      <c r="Y263" s="30" t="n"/>
      <c r="Z263" s="30" t="n"/>
      <c r="AA263" s="30" t="n"/>
    </row>
    <row r="264">
      <c r="A264" s="30" t="n"/>
      <c r="B264" s="156" t="n"/>
      <c r="C264" s="30" t="n"/>
      <c r="D264" s="30" t="n"/>
      <c r="E264" s="30" t="n"/>
      <c r="F264" s="30" t="n"/>
      <c r="G264" s="30" t="n"/>
      <c r="H264" s="30" t="n"/>
      <c r="I264" s="30" t="n"/>
      <c r="J264" s="30" t="n"/>
      <c r="K264" s="30" t="n"/>
      <c r="L264" s="30" t="n"/>
      <c r="M264" s="30" t="n"/>
      <c r="N264" s="30" t="n"/>
      <c r="O264" s="30" t="n"/>
      <c r="P264" s="30" t="n"/>
      <c r="Q264" s="30" t="n"/>
      <c r="R264" s="30" t="n"/>
      <c r="S264" s="30" t="n"/>
      <c r="T264" s="30" t="n"/>
      <c r="U264" s="30" t="n"/>
      <c r="V264" s="30" t="n"/>
      <c r="W264" s="30" t="n"/>
      <c r="X264" s="30" t="n"/>
      <c r="Y264" s="30" t="n"/>
      <c r="Z264" s="30" t="n"/>
      <c r="AA264" s="30" t="n"/>
    </row>
    <row r="265">
      <c r="A265" s="30" t="n"/>
      <c r="B265" s="156" t="n"/>
      <c r="C265" s="30" t="n"/>
      <c r="D265" s="30" t="n"/>
      <c r="E265" s="30" t="n"/>
      <c r="F265" s="30" t="n"/>
      <c r="G265" s="30" t="n"/>
      <c r="H265" s="30" t="n"/>
      <c r="I265" s="30" t="n"/>
      <c r="J265" s="30" t="n"/>
      <c r="K265" s="30" t="n"/>
      <c r="L265" s="30" t="n"/>
      <c r="M265" s="30" t="n"/>
      <c r="N265" s="30" t="n"/>
      <c r="O265" s="30" t="n"/>
      <c r="P265" s="30" t="n"/>
      <c r="Q265" s="30" t="n"/>
      <c r="R265" s="30" t="n"/>
      <c r="S265" s="30" t="n"/>
      <c r="T265" s="30" t="n"/>
      <c r="U265" s="30" t="n"/>
      <c r="V265" s="30" t="n"/>
      <c r="W265" s="30" t="n"/>
      <c r="X265" s="30" t="n"/>
      <c r="Y265" s="30" t="n"/>
      <c r="Z265" s="30" t="n"/>
      <c r="AA265" s="30" t="n"/>
    </row>
    <row r="266">
      <c r="A266" s="30" t="n"/>
      <c r="B266" s="156" t="n"/>
      <c r="C266" s="30" t="n"/>
      <c r="D266" s="30" t="n"/>
      <c r="E266" s="30" t="n"/>
      <c r="F266" s="30" t="n"/>
      <c r="G266" s="30" t="n"/>
      <c r="H266" s="30" t="n"/>
      <c r="I266" s="30" t="n"/>
      <c r="J266" s="30" t="n"/>
      <c r="K266" s="30" t="n"/>
      <c r="L266" s="30" t="n"/>
      <c r="M266" s="30" t="n"/>
      <c r="N266" s="30" t="n"/>
      <c r="O266" s="30" t="n"/>
      <c r="P266" s="30" t="n"/>
      <c r="Q266" s="30" t="n"/>
      <c r="R266" s="30" t="n"/>
      <c r="S266" s="30" t="n"/>
      <c r="T266" s="30" t="n"/>
      <c r="U266" s="30" t="n"/>
      <c r="V266" s="30" t="n"/>
      <c r="W266" s="30" t="n"/>
      <c r="X266" s="30" t="n"/>
      <c r="Y266" s="30" t="n"/>
      <c r="Z266" s="30" t="n"/>
      <c r="AA266" s="30" t="n"/>
    </row>
    <row r="267">
      <c r="A267" s="30" t="n"/>
      <c r="B267" s="156" t="n"/>
      <c r="C267" s="30" t="n"/>
      <c r="D267" s="30" t="n"/>
      <c r="E267" s="30" t="n"/>
      <c r="F267" s="30" t="n"/>
      <c r="G267" s="30" t="n"/>
      <c r="H267" s="30" t="n"/>
      <c r="I267" s="30" t="n"/>
      <c r="J267" s="30" t="n"/>
      <c r="K267" s="30" t="n"/>
      <c r="L267" s="30" t="n"/>
      <c r="M267" s="30" t="n"/>
      <c r="N267" s="30" t="n"/>
      <c r="O267" s="30" t="n"/>
      <c r="P267" s="30" t="n"/>
      <c r="Q267" s="30" t="n"/>
      <c r="R267" s="30" t="n"/>
      <c r="S267" s="30" t="n"/>
      <c r="T267" s="30" t="n"/>
      <c r="U267" s="30" t="n"/>
      <c r="V267" s="30" t="n"/>
      <c r="W267" s="30" t="n"/>
      <c r="X267" s="30" t="n"/>
      <c r="Y267" s="30" t="n"/>
      <c r="Z267" s="30" t="n"/>
      <c r="AA267" s="30" t="n"/>
    </row>
    <row r="268">
      <c r="A268" s="30" t="n"/>
      <c r="B268" s="156" t="n"/>
      <c r="C268" s="30" t="n"/>
      <c r="D268" s="30" t="n"/>
      <c r="E268" s="30" t="n"/>
      <c r="F268" s="30" t="n"/>
      <c r="G268" s="30" t="n"/>
      <c r="H268" s="30" t="n"/>
      <c r="I268" s="30" t="n"/>
      <c r="J268" s="30" t="n"/>
      <c r="K268" s="30" t="n"/>
      <c r="L268" s="30" t="n"/>
      <c r="M268" s="30" t="n"/>
      <c r="N268" s="30" t="n"/>
      <c r="O268" s="30" t="n"/>
      <c r="P268" s="30" t="n"/>
      <c r="Q268" s="30" t="n"/>
      <c r="R268" s="30" t="n"/>
      <c r="S268" s="30" t="n"/>
      <c r="T268" s="30" t="n"/>
      <c r="U268" s="30" t="n"/>
      <c r="V268" s="30" t="n"/>
      <c r="W268" s="30" t="n"/>
      <c r="X268" s="30" t="n"/>
      <c r="Y268" s="30" t="n"/>
      <c r="Z268" s="30" t="n"/>
      <c r="AA268" s="30" t="n"/>
    </row>
    <row r="269">
      <c r="A269" s="30" t="n"/>
      <c r="B269" s="156" t="n"/>
      <c r="C269" s="30" t="n"/>
      <c r="D269" s="30" t="n"/>
      <c r="E269" s="30" t="n"/>
      <c r="F269" s="30" t="n"/>
      <c r="G269" s="30" t="n"/>
      <c r="H269" s="30" t="n"/>
      <c r="I269" s="30" t="n"/>
      <c r="J269" s="30" t="n"/>
      <c r="K269" s="30" t="n"/>
      <c r="L269" s="30" t="n"/>
      <c r="M269" s="30" t="n"/>
      <c r="N269" s="30" t="n"/>
      <c r="O269" s="30" t="n"/>
      <c r="P269" s="30" t="n"/>
      <c r="Q269" s="30" t="n"/>
      <c r="R269" s="30" t="n"/>
      <c r="S269" s="30" t="n"/>
      <c r="T269" s="30" t="n"/>
      <c r="U269" s="30" t="n"/>
      <c r="V269" s="30" t="n"/>
      <c r="W269" s="30" t="n"/>
      <c r="X269" s="30" t="n"/>
      <c r="Y269" s="30" t="n"/>
      <c r="Z269" s="30" t="n"/>
      <c r="AA269" s="30" t="n"/>
    </row>
    <row r="270">
      <c r="A270" s="30" t="n"/>
      <c r="B270" s="156" t="n"/>
      <c r="C270" s="30" t="n"/>
      <c r="D270" s="30" t="n"/>
      <c r="E270" s="30" t="n"/>
      <c r="F270" s="30" t="n"/>
      <c r="G270" s="30" t="n"/>
      <c r="H270" s="30" t="n"/>
      <c r="I270" s="30" t="n"/>
      <c r="J270" s="30" t="n"/>
      <c r="K270" s="30" t="n"/>
      <c r="L270" s="30" t="n"/>
      <c r="M270" s="30" t="n"/>
      <c r="N270" s="30" t="n"/>
      <c r="O270" s="30" t="n"/>
      <c r="P270" s="30" t="n"/>
      <c r="Q270" s="30" t="n"/>
      <c r="R270" s="30" t="n"/>
      <c r="S270" s="30" t="n"/>
      <c r="T270" s="30" t="n"/>
      <c r="U270" s="30" t="n"/>
      <c r="V270" s="30" t="n"/>
      <c r="W270" s="30" t="n"/>
      <c r="X270" s="30" t="n"/>
      <c r="Y270" s="30" t="n"/>
      <c r="Z270" s="30" t="n"/>
      <c r="AA270" s="30" t="n"/>
    </row>
    <row r="271">
      <c r="A271" s="30" t="n"/>
      <c r="B271" s="156" t="n"/>
      <c r="C271" s="30" t="n"/>
      <c r="D271" s="30" t="n"/>
      <c r="E271" s="30" t="n"/>
      <c r="F271" s="30" t="n"/>
      <c r="G271" s="30" t="n"/>
      <c r="H271" s="30" t="n"/>
      <c r="I271" s="30" t="n"/>
      <c r="J271" s="30" t="n"/>
      <c r="K271" s="30" t="n"/>
      <c r="L271" s="30" t="n"/>
      <c r="M271" s="30" t="n"/>
      <c r="N271" s="30" t="n"/>
      <c r="O271" s="30" t="n"/>
      <c r="P271" s="30" t="n"/>
      <c r="Q271" s="30" t="n"/>
      <c r="R271" s="30" t="n"/>
      <c r="S271" s="30" t="n"/>
      <c r="T271" s="30" t="n"/>
      <c r="U271" s="30" t="n"/>
      <c r="V271" s="30" t="n"/>
      <c r="W271" s="30" t="n"/>
      <c r="X271" s="30" t="n"/>
      <c r="Y271" s="30" t="n"/>
      <c r="Z271" s="30" t="n"/>
      <c r="AA271" s="30" t="n"/>
    </row>
    <row r="272">
      <c r="A272" s="30" t="n"/>
      <c r="B272" s="156" t="n"/>
      <c r="C272" s="30" t="n"/>
      <c r="D272" s="30" t="n"/>
      <c r="E272" s="30" t="n"/>
      <c r="F272" s="30" t="n"/>
      <c r="G272" s="30" t="n"/>
      <c r="H272" s="30" t="n"/>
      <c r="I272" s="30" t="n"/>
      <c r="J272" s="30" t="n"/>
      <c r="K272" s="30" t="n"/>
      <c r="L272" s="30" t="n"/>
      <c r="M272" s="30" t="n"/>
      <c r="N272" s="30" t="n"/>
      <c r="O272" s="30" t="n"/>
      <c r="P272" s="30" t="n"/>
      <c r="Q272" s="30" t="n"/>
      <c r="R272" s="30" t="n"/>
      <c r="S272" s="30" t="n"/>
      <c r="T272" s="30" t="n"/>
      <c r="U272" s="30" t="n"/>
      <c r="V272" s="30" t="n"/>
      <c r="W272" s="30" t="n"/>
      <c r="X272" s="30" t="n"/>
      <c r="Y272" s="30" t="n"/>
      <c r="Z272" s="30" t="n"/>
      <c r="AA272" s="30" t="n"/>
    </row>
    <row r="273">
      <c r="A273" s="30" t="n"/>
      <c r="B273" s="156" t="n"/>
      <c r="C273" s="30" t="n"/>
      <c r="D273" s="30" t="n"/>
      <c r="E273" s="30" t="n"/>
      <c r="F273" s="30" t="n"/>
      <c r="G273" s="30" t="n"/>
      <c r="H273" s="30" t="n"/>
      <c r="I273" s="30" t="n"/>
      <c r="J273" s="30" t="n"/>
      <c r="K273" s="30" t="n"/>
      <c r="L273" s="30" t="n"/>
      <c r="M273" s="30" t="n"/>
      <c r="N273" s="30" t="n"/>
      <c r="O273" s="30" t="n"/>
      <c r="P273" s="30" t="n"/>
      <c r="Q273" s="30" t="n"/>
      <c r="R273" s="30" t="n"/>
      <c r="S273" s="30" t="n"/>
      <c r="T273" s="30" t="n"/>
      <c r="U273" s="30" t="n"/>
      <c r="V273" s="30" t="n"/>
      <c r="W273" s="30" t="n"/>
      <c r="X273" s="30" t="n"/>
      <c r="Y273" s="30" t="n"/>
      <c r="Z273" s="30" t="n"/>
      <c r="AA273" s="30" t="n"/>
    </row>
    <row r="274">
      <c r="A274" s="30" t="n"/>
      <c r="B274" s="156" t="n"/>
      <c r="C274" s="30" t="n"/>
      <c r="D274" s="30" t="n"/>
      <c r="E274" s="30" t="n"/>
      <c r="F274" s="30" t="n"/>
      <c r="G274" s="30" t="n"/>
      <c r="H274" s="30" t="n"/>
      <c r="I274" s="30" t="n"/>
      <c r="J274" s="30" t="n"/>
      <c r="K274" s="30" t="n"/>
      <c r="L274" s="30" t="n"/>
      <c r="M274" s="30" t="n"/>
      <c r="N274" s="30" t="n"/>
      <c r="O274" s="30" t="n"/>
      <c r="P274" s="30" t="n"/>
      <c r="Q274" s="30" t="n"/>
      <c r="R274" s="30" t="n"/>
      <c r="S274" s="30" t="n"/>
      <c r="T274" s="30" t="n"/>
      <c r="U274" s="30" t="n"/>
      <c r="V274" s="30" t="n"/>
      <c r="W274" s="30" t="n"/>
      <c r="X274" s="30" t="n"/>
      <c r="Y274" s="30" t="n"/>
      <c r="Z274" s="30" t="n"/>
      <c r="AA274" s="30" t="n"/>
    </row>
    <row r="275">
      <c r="A275" s="30" t="n"/>
      <c r="B275" s="156" t="n"/>
      <c r="C275" s="30" t="n"/>
      <c r="D275" s="30" t="n"/>
      <c r="E275" s="30" t="n"/>
      <c r="F275" s="30" t="n"/>
      <c r="G275" s="30" t="n"/>
      <c r="H275" s="30" t="n"/>
      <c r="I275" s="30" t="n"/>
      <c r="J275" s="30" t="n"/>
      <c r="K275" s="30" t="n"/>
      <c r="L275" s="30" t="n"/>
      <c r="M275" s="30" t="n"/>
      <c r="N275" s="30" t="n"/>
      <c r="O275" s="30" t="n"/>
      <c r="P275" s="30" t="n"/>
      <c r="Q275" s="30" t="n"/>
      <c r="R275" s="30" t="n"/>
      <c r="S275" s="30" t="n"/>
      <c r="T275" s="30" t="n"/>
      <c r="U275" s="30" t="n"/>
      <c r="V275" s="30" t="n"/>
      <c r="W275" s="30" t="n"/>
      <c r="X275" s="30" t="n"/>
      <c r="Y275" s="30" t="n"/>
      <c r="Z275" s="30" t="n"/>
      <c r="AA275" s="30" t="n"/>
    </row>
    <row r="276">
      <c r="A276" s="30" t="n"/>
      <c r="B276" s="156" t="n"/>
      <c r="C276" s="30" t="n"/>
      <c r="D276" s="30" t="n"/>
      <c r="E276" s="30" t="n"/>
      <c r="F276" s="30" t="n"/>
      <c r="G276" s="30" t="n"/>
      <c r="H276" s="30" t="n"/>
      <c r="I276" s="30" t="n"/>
      <c r="J276" s="30" t="n"/>
      <c r="K276" s="30" t="n"/>
      <c r="L276" s="30" t="n"/>
      <c r="M276" s="30" t="n"/>
      <c r="N276" s="30" t="n"/>
      <c r="O276" s="30" t="n"/>
      <c r="P276" s="30" t="n"/>
      <c r="Q276" s="30" t="n"/>
      <c r="R276" s="30" t="n"/>
      <c r="S276" s="30" t="n"/>
      <c r="T276" s="30" t="n"/>
      <c r="U276" s="30" t="n"/>
      <c r="V276" s="30" t="n"/>
      <c r="W276" s="30" t="n"/>
      <c r="X276" s="30" t="n"/>
      <c r="Y276" s="30" t="n"/>
      <c r="Z276" s="30" t="n"/>
      <c r="AA276" s="30" t="n"/>
    </row>
    <row r="277">
      <c r="A277" s="30" t="n"/>
      <c r="B277" s="156" t="n"/>
      <c r="C277" s="30" t="n"/>
      <c r="D277" s="30" t="n"/>
      <c r="E277" s="30" t="n"/>
      <c r="F277" s="30" t="n"/>
      <c r="G277" s="30" t="n"/>
      <c r="H277" s="30" t="n"/>
      <c r="I277" s="30" t="n"/>
      <c r="J277" s="30" t="n"/>
      <c r="K277" s="30" t="n"/>
      <c r="L277" s="30" t="n"/>
      <c r="M277" s="30" t="n"/>
      <c r="N277" s="30" t="n"/>
      <c r="O277" s="30" t="n"/>
      <c r="P277" s="30" t="n"/>
      <c r="Q277" s="30" t="n"/>
      <c r="R277" s="30" t="n"/>
      <c r="S277" s="30" t="n"/>
      <c r="T277" s="30" t="n"/>
      <c r="U277" s="30" t="n"/>
      <c r="V277" s="30" t="n"/>
      <c r="W277" s="30" t="n"/>
      <c r="X277" s="30" t="n"/>
      <c r="Y277" s="30" t="n"/>
      <c r="Z277" s="30" t="n"/>
      <c r="AA277" s="30" t="n"/>
    </row>
    <row r="278">
      <c r="A278" s="30" t="n"/>
      <c r="B278" s="156" t="n"/>
      <c r="C278" s="30" t="n"/>
      <c r="D278" s="30" t="n"/>
      <c r="E278" s="30" t="n"/>
      <c r="F278" s="30" t="n"/>
      <c r="G278" s="30" t="n"/>
      <c r="H278" s="30" t="n"/>
      <c r="I278" s="30" t="n"/>
      <c r="J278" s="30" t="n"/>
      <c r="K278" s="30" t="n"/>
      <c r="L278" s="30" t="n"/>
      <c r="M278" s="30" t="n"/>
      <c r="N278" s="30" t="n"/>
      <c r="O278" s="30" t="n"/>
      <c r="P278" s="30" t="n"/>
      <c r="Q278" s="30" t="n"/>
      <c r="R278" s="30" t="n"/>
      <c r="S278" s="30" t="n"/>
      <c r="T278" s="30" t="n"/>
      <c r="U278" s="30" t="n"/>
      <c r="V278" s="30" t="n"/>
      <c r="W278" s="30" t="n"/>
      <c r="X278" s="30" t="n"/>
      <c r="Y278" s="30" t="n"/>
      <c r="Z278" s="30" t="n"/>
      <c r="AA278" s="30" t="n"/>
    </row>
    <row r="279">
      <c r="A279" s="30" t="n"/>
      <c r="B279" s="156" t="n"/>
      <c r="C279" s="30" t="n"/>
      <c r="D279" s="30" t="n"/>
      <c r="E279" s="30" t="n"/>
      <c r="F279" s="30" t="n"/>
      <c r="G279" s="30" t="n"/>
      <c r="H279" s="30" t="n"/>
      <c r="I279" s="30" t="n"/>
      <c r="J279" s="30" t="n"/>
      <c r="K279" s="30" t="n"/>
      <c r="L279" s="30" t="n"/>
      <c r="M279" s="30" t="n"/>
      <c r="N279" s="30" t="n"/>
      <c r="O279" s="30" t="n"/>
      <c r="P279" s="30" t="n"/>
      <c r="Q279" s="30" t="n"/>
      <c r="R279" s="30" t="n"/>
      <c r="S279" s="30" t="n"/>
      <c r="T279" s="30" t="n"/>
      <c r="U279" s="30" t="n"/>
      <c r="V279" s="30" t="n"/>
      <c r="W279" s="30" t="n"/>
      <c r="X279" s="30" t="n"/>
      <c r="Y279" s="30" t="n"/>
      <c r="Z279" s="30" t="n"/>
      <c r="AA279" s="30" t="n"/>
    </row>
    <row r="280">
      <c r="A280" s="30" t="n"/>
      <c r="B280" s="156" t="n"/>
      <c r="C280" s="30" t="n"/>
      <c r="D280" s="30" t="n"/>
      <c r="E280" s="30" t="n"/>
      <c r="F280" s="30" t="n"/>
      <c r="G280" s="30" t="n"/>
      <c r="H280" s="30" t="n"/>
      <c r="I280" s="30" t="n"/>
      <c r="J280" s="30" t="n"/>
      <c r="K280" s="30" t="n"/>
      <c r="L280" s="30" t="n"/>
      <c r="M280" s="30" t="n"/>
      <c r="N280" s="30" t="n"/>
      <c r="O280" s="30" t="n"/>
      <c r="P280" s="30" t="n"/>
      <c r="Q280" s="30" t="n"/>
      <c r="R280" s="30" t="n"/>
      <c r="S280" s="30" t="n"/>
      <c r="T280" s="30" t="n"/>
      <c r="U280" s="30" t="n"/>
      <c r="V280" s="30" t="n"/>
      <c r="W280" s="30" t="n"/>
      <c r="X280" s="30" t="n"/>
      <c r="Y280" s="30" t="n"/>
      <c r="Z280" s="30" t="n"/>
      <c r="AA280" s="30" t="n"/>
    </row>
    <row r="281">
      <c r="A281" s="30" t="n"/>
      <c r="B281" s="156" t="n"/>
      <c r="C281" s="30" t="n"/>
      <c r="D281" s="30" t="n"/>
      <c r="E281" s="30" t="n"/>
      <c r="F281" s="30" t="n"/>
      <c r="G281" s="30" t="n"/>
      <c r="H281" s="30" t="n"/>
      <c r="I281" s="30" t="n"/>
      <c r="J281" s="30" t="n"/>
      <c r="K281" s="30" t="n"/>
      <c r="L281" s="30" t="n"/>
      <c r="M281" s="30" t="n"/>
      <c r="N281" s="30" t="n"/>
      <c r="O281" s="30" t="n"/>
      <c r="P281" s="30" t="n"/>
      <c r="Q281" s="30" t="n"/>
      <c r="R281" s="30" t="n"/>
      <c r="S281" s="30" t="n"/>
      <c r="T281" s="30" t="n"/>
      <c r="U281" s="30" t="n"/>
      <c r="V281" s="30" t="n"/>
      <c r="W281" s="30" t="n"/>
      <c r="X281" s="30" t="n"/>
      <c r="Y281" s="30" t="n"/>
      <c r="Z281" s="30" t="n"/>
      <c r="AA281" s="30" t="n"/>
    </row>
    <row r="282">
      <c r="A282" s="30" t="n"/>
      <c r="B282" s="156" t="n"/>
      <c r="C282" s="30" t="n"/>
      <c r="D282" s="30" t="n"/>
      <c r="E282" s="30" t="n"/>
      <c r="F282" s="30" t="n"/>
      <c r="G282" s="30" t="n"/>
      <c r="H282" s="30" t="n"/>
      <c r="I282" s="30" t="n"/>
      <c r="J282" s="30" t="n"/>
      <c r="K282" s="30" t="n"/>
      <c r="L282" s="30" t="n"/>
      <c r="M282" s="30" t="n"/>
      <c r="N282" s="30" t="n"/>
      <c r="O282" s="30" t="n"/>
      <c r="P282" s="30" t="n"/>
      <c r="Q282" s="30" t="n"/>
      <c r="R282" s="30" t="n"/>
      <c r="S282" s="30" t="n"/>
      <c r="T282" s="30" t="n"/>
      <c r="U282" s="30" t="n"/>
      <c r="V282" s="30" t="n"/>
      <c r="W282" s="30" t="n"/>
      <c r="X282" s="30" t="n"/>
      <c r="Y282" s="30" t="n"/>
      <c r="Z282" s="30" t="n"/>
      <c r="AA282" s="30" t="n"/>
    </row>
    <row r="283">
      <c r="A283" s="30" t="n"/>
      <c r="B283" s="156" t="n"/>
      <c r="C283" s="30" t="n"/>
      <c r="D283" s="30" t="n"/>
      <c r="E283" s="30" t="n"/>
      <c r="F283" s="30" t="n"/>
      <c r="G283" s="30" t="n"/>
      <c r="H283" s="30" t="n"/>
      <c r="I283" s="30" t="n"/>
      <c r="J283" s="30" t="n"/>
      <c r="K283" s="30" t="n"/>
      <c r="L283" s="30" t="n"/>
      <c r="M283" s="30" t="n"/>
      <c r="N283" s="30" t="n"/>
      <c r="O283" s="30" t="n"/>
      <c r="P283" s="30" t="n"/>
      <c r="Q283" s="30" t="n"/>
      <c r="R283" s="30" t="n"/>
      <c r="S283" s="30" t="n"/>
      <c r="T283" s="30" t="n"/>
      <c r="U283" s="30" t="n"/>
      <c r="V283" s="30" t="n"/>
      <c r="W283" s="30" t="n"/>
      <c r="X283" s="30" t="n"/>
      <c r="Y283" s="30" t="n"/>
      <c r="Z283" s="30" t="n"/>
      <c r="AA283" s="30" t="n"/>
    </row>
    <row r="284">
      <c r="A284" s="30" t="n"/>
      <c r="B284" s="156" t="n"/>
      <c r="C284" s="30" t="n"/>
      <c r="D284" s="30" t="n"/>
      <c r="E284" s="30" t="n"/>
      <c r="F284" s="30" t="n"/>
      <c r="G284" s="30" t="n"/>
      <c r="H284" s="30" t="n"/>
      <c r="I284" s="30" t="n"/>
      <c r="J284" s="30" t="n"/>
      <c r="K284" s="30" t="n"/>
      <c r="L284" s="30" t="n"/>
      <c r="M284" s="30" t="n"/>
      <c r="N284" s="30" t="n"/>
      <c r="O284" s="30" t="n"/>
      <c r="P284" s="30" t="n"/>
      <c r="Q284" s="30" t="n"/>
      <c r="R284" s="30" t="n"/>
      <c r="S284" s="30" t="n"/>
      <c r="T284" s="30" t="n"/>
      <c r="U284" s="30" t="n"/>
      <c r="V284" s="30" t="n"/>
      <c r="W284" s="30" t="n"/>
      <c r="X284" s="30" t="n"/>
      <c r="Y284" s="30" t="n"/>
      <c r="Z284" s="30" t="n"/>
      <c r="AA284" s="30" t="n"/>
    </row>
    <row r="285">
      <c r="A285" s="30" t="n"/>
      <c r="B285" s="156" t="n"/>
      <c r="C285" s="30" t="n"/>
      <c r="D285" s="30" t="n"/>
      <c r="E285" s="30" t="n"/>
      <c r="F285" s="30" t="n"/>
      <c r="G285" s="30" t="n"/>
      <c r="H285" s="30" t="n"/>
      <c r="I285" s="30" t="n"/>
      <c r="J285" s="30" t="n"/>
      <c r="K285" s="30" t="n"/>
      <c r="L285" s="30" t="n"/>
      <c r="M285" s="30" t="n"/>
      <c r="N285" s="30" t="n"/>
      <c r="O285" s="30" t="n"/>
      <c r="P285" s="30" t="n"/>
      <c r="Q285" s="30" t="n"/>
      <c r="R285" s="30" t="n"/>
      <c r="S285" s="30" t="n"/>
      <c r="T285" s="30" t="n"/>
      <c r="U285" s="30" t="n"/>
      <c r="V285" s="30" t="n"/>
      <c r="W285" s="30" t="n"/>
      <c r="X285" s="30" t="n"/>
      <c r="Y285" s="30" t="n"/>
      <c r="Z285" s="30" t="n"/>
      <c r="AA285" s="30" t="n"/>
    </row>
    <row r="286">
      <c r="A286" s="30" t="n"/>
      <c r="B286" s="156" t="n"/>
      <c r="C286" s="30" t="n"/>
      <c r="D286" s="30" t="n"/>
      <c r="E286" s="30" t="n"/>
      <c r="F286" s="30" t="n"/>
      <c r="G286" s="30" t="n"/>
      <c r="H286" s="30" t="n"/>
      <c r="I286" s="30" t="n"/>
      <c r="J286" s="30" t="n"/>
      <c r="K286" s="30" t="n"/>
      <c r="L286" s="30" t="n"/>
      <c r="M286" s="30" t="n"/>
      <c r="N286" s="30" t="n"/>
      <c r="O286" s="30" t="n"/>
      <c r="P286" s="30" t="n"/>
      <c r="Q286" s="30" t="n"/>
      <c r="R286" s="30" t="n"/>
      <c r="S286" s="30" t="n"/>
      <c r="T286" s="30" t="n"/>
      <c r="U286" s="30" t="n"/>
      <c r="V286" s="30" t="n"/>
      <c r="W286" s="30" t="n"/>
      <c r="X286" s="30" t="n"/>
      <c r="Y286" s="30" t="n"/>
      <c r="Z286" s="30" t="n"/>
      <c r="AA286" s="30" t="n"/>
    </row>
    <row r="287">
      <c r="A287" s="30" t="n"/>
      <c r="B287" s="156" t="n"/>
      <c r="C287" s="30" t="n"/>
      <c r="D287" s="30" t="n"/>
      <c r="E287" s="30" t="n"/>
      <c r="F287" s="30" t="n"/>
      <c r="G287" s="30" t="n"/>
      <c r="H287" s="30" t="n"/>
      <c r="I287" s="30" t="n"/>
      <c r="J287" s="30" t="n"/>
      <c r="K287" s="30" t="n"/>
      <c r="L287" s="30" t="n"/>
      <c r="M287" s="30" t="n"/>
      <c r="N287" s="30" t="n"/>
      <c r="O287" s="30" t="n"/>
      <c r="P287" s="30" t="n"/>
      <c r="Q287" s="30" t="n"/>
      <c r="R287" s="30" t="n"/>
      <c r="S287" s="30" t="n"/>
      <c r="T287" s="30" t="n"/>
      <c r="U287" s="30" t="n"/>
      <c r="V287" s="30" t="n"/>
      <c r="W287" s="30" t="n"/>
      <c r="X287" s="30" t="n"/>
      <c r="Y287" s="30" t="n"/>
      <c r="Z287" s="30" t="n"/>
      <c r="AA287" s="30" t="n"/>
    </row>
    <row r="288">
      <c r="A288" s="30" t="n"/>
      <c r="B288" s="156" t="n"/>
      <c r="C288" s="30" t="n"/>
      <c r="D288" s="30" t="n"/>
      <c r="E288" s="30" t="n"/>
      <c r="F288" s="30" t="n"/>
      <c r="G288" s="30" t="n"/>
      <c r="H288" s="30" t="n"/>
      <c r="I288" s="30" t="n"/>
      <c r="J288" s="30" t="n"/>
      <c r="K288" s="30" t="n"/>
      <c r="L288" s="30" t="n"/>
      <c r="M288" s="30" t="n"/>
      <c r="N288" s="30" t="n"/>
      <c r="O288" s="30" t="n"/>
      <c r="P288" s="30" t="n"/>
      <c r="Q288" s="30" t="n"/>
      <c r="R288" s="30" t="n"/>
      <c r="S288" s="30" t="n"/>
      <c r="T288" s="30" t="n"/>
      <c r="U288" s="30" t="n"/>
      <c r="V288" s="30" t="n"/>
      <c r="W288" s="30" t="n"/>
      <c r="X288" s="30" t="n"/>
      <c r="Y288" s="30" t="n"/>
      <c r="Z288" s="30" t="n"/>
      <c r="AA288" s="30" t="n"/>
    </row>
    <row r="289">
      <c r="A289" s="30" t="n"/>
      <c r="B289" s="156" t="n"/>
      <c r="C289" s="30" t="n"/>
      <c r="D289" s="30" t="n"/>
      <c r="E289" s="30" t="n"/>
      <c r="F289" s="30" t="n"/>
      <c r="G289" s="30" t="n"/>
      <c r="H289" s="30" t="n"/>
      <c r="I289" s="30" t="n"/>
      <c r="J289" s="30" t="n"/>
      <c r="K289" s="30" t="n"/>
      <c r="L289" s="30" t="n"/>
      <c r="M289" s="30" t="n"/>
      <c r="N289" s="30" t="n"/>
      <c r="O289" s="30" t="n"/>
      <c r="P289" s="30" t="n"/>
      <c r="Q289" s="30" t="n"/>
      <c r="R289" s="30" t="n"/>
      <c r="S289" s="30" t="n"/>
      <c r="T289" s="30" t="n"/>
      <c r="U289" s="30" t="n"/>
      <c r="V289" s="30" t="n"/>
      <c r="W289" s="30" t="n"/>
      <c r="X289" s="30" t="n"/>
      <c r="Y289" s="30" t="n"/>
      <c r="Z289" s="30" t="n"/>
      <c r="AA289" s="30" t="n"/>
    </row>
    <row r="290">
      <c r="A290" s="30" t="n"/>
      <c r="B290" s="156" t="n"/>
      <c r="C290" s="30" t="n"/>
      <c r="D290" s="30" t="n"/>
      <c r="E290" s="30" t="n"/>
      <c r="F290" s="30" t="n"/>
      <c r="G290" s="30" t="n"/>
      <c r="H290" s="30" t="n"/>
      <c r="I290" s="30" t="n"/>
      <c r="J290" s="30" t="n"/>
      <c r="K290" s="30" t="n"/>
      <c r="L290" s="30" t="n"/>
      <c r="M290" s="30" t="n"/>
      <c r="N290" s="30" t="n"/>
      <c r="O290" s="30" t="n"/>
      <c r="P290" s="30" t="n"/>
      <c r="Q290" s="30" t="n"/>
      <c r="R290" s="30" t="n"/>
      <c r="S290" s="30" t="n"/>
      <c r="T290" s="30" t="n"/>
      <c r="U290" s="30" t="n"/>
      <c r="V290" s="30" t="n"/>
      <c r="W290" s="30" t="n"/>
      <c r="X290" s="30" t="n"/>
      <c r="Y290" s="30" t="n"/>
      <c r="Z290" s="30" t="n"/>
      <c r="AA290" s="30" t="n"/>
    </row>
    <row r="291">
      <c r="A291" s="30" t="n"/>
      <c r="B291" s="156" t="n"/>
      <c r="C291" s="30" t="n"/>
      <c r="D291" s="30" t="n"/>
      <c r="E291" s="30" t="n"/>
      <c r="F291" s="30" t="n"/>
      <c r="G291" s="30" t="n"/>
      <c r="H291" s="30" t="n"/>
      <c r="I291" s="30" t="n"/>
      <c r="J291" s="30" t="n"/>
      <c r="K291" s="30" t="n"/>
      <c r="L291" s="30" t="n"/>
      <c r="M291" s="30" t="n"/>
      <c r="N291" s="30" t="n"/>
      <c r="O291" s="30" t="n"/>
      <c r="P291" s="30" t="n"/>
      <c r="Q291" s="30" t="n"/>
      <c r="R291" s="30" t="n"/>
      <c r="S291" s="30" t="n"/>
      <c r="T291" s="30" t="n"/>
      <c r="U291" s="30" t="n"/>
      <c r="V291" s="30" t="n"/>
      <c r="W291" s="30" t="n"/>
      <c r="X291" s="30" t="n"/>
      <c r="Y291" s="30" t="n"/>
      <c r="Z291" s="30" t="n"/>
      <c r="AA291" s="30" t="n"/>
    </row>
    <row r="292">
      <c r="A292" s="30" t="n"/>
      <c r="B292" s="156" t="n"/>
      <c r="C292" s="30" t="n"/>
      <c r="D292" s="30" t="n"/>
      <c r="E292" s="30" t="n"/>
      <c r="F292" s="30" t="n"/>
      <c r="G292" s="30" t="n"/>
      <c r="H292" s="30" t="n"/>
      <c r="I292" s="30" t="n"/>
      <c r="J292" s="30" t="n"/>
      <c r="K292" s="30" t="n"/>
      <c r="L292" s="30" t="n"/>
      <c r="M292" s="30" t="n"/>
      <c r="N292" s="30" t="n"/>
      <c r="O292" s="30" t="n"/>
      <c r="P292" s="30" t="n"/>
      <c r="Q292" s="30" t="n"/>
      <c r="R292" s="30" t="n"/>
      <c r="S292" s="30" t="n"/>
      <c r="T292" s="30" t="n"/>
      <c r="U292" s="30" t="n"/>
      <c r="V292" s="30" t="n"/>
      <c r="W292" s="30" t="n"/>
      <c r="X292" s="30" t="n"/>
      <c r="Y292" s="30" t="n"/>
      <c r="Z292" s="30" t="n"/>
      <c r="AA292" s="30" t="n"/>
    </row>
    <row r="293">
      <c r="A293" s="30" t="n"/>
      <c r="B293" s="156" t="n"/>
      <c r="C293" s="30" t="n"/>
      <c r="D293" s="30" t="n"/>
      <c r="E293" s="30" t="n"/>
      <c r="F293" s="30" t="n"/>
      <c r="G293" s="30" t="n"/>
      <c r="H293" s="30" t="n"/>
      <c r="I293" s="30" t="n"/>
      <c r="J293" s="30" t="n"/>
      <c r="K293" s="30" t="n"/>
      <c r="L293" s="30" t="n"/>
      <c r="M293" s="30" t="n"/>
      <c r="N293" s="30" t="n"/>
      <c r="O293" s="30" t="n"/>
      <c r="P293" s="30" t="n"/>
      <c r="Q293" s="30" t="n"/>
      <c r="R293" s="30" t="n"/>
      <c r="S293" s="30" t="n"/>
      <c r="T293" s="30" t="n"/>
      <c r="U293" s="30" t="n"/>
      <c r="V293" s="30" t="n"/>
      <c r="W293" s="30" t="n"/>
      <c r="X293" s="30" t="n"/>
      <c r="Y293" s="30" t="n"/>
      <c r="Z293" s="30" t="n"/>
      <c r="AA293" s="30" t="n"/>
    </row>
    <row r="294">
      <c r="A294" s="30" t="n"/>
      <c r="B294" s="156" t="n"/>
      <c r="C294" s="30" t="n"/>
      <c r="D294" s="30" t="n"/>
      <c r="E294" s="30" t="n"/>
      <c r="F294" s="30" t="n"/>
      <c r="G294" s="30" t="n"/>
      <c r="H294" s="30" t="n"/>
      <c r="I294" s="30" t="n"/>
      <c r="J294" s="30" t="n"/>
      <c r="K294" s="30" t="n"/>
      <c r="L294" s="30" t="n"/>
      <c r="M294" s="30" t="n"/>
      <c r="N294" s="30" t="n"/>
      <c r="O294" s="30" t="n"/>
      <c r="P294" s="30" t="n"/>
      <c r="Q294" s="30" t="n"/>
      <c r="R294" s="30" t="n"/>
      <c r="S294" s="30" t="n"/>
      <c r="T294" s="30" t="n"/>
      <c r="U294" s="30" t="n"/>
      <c r="V294" s="30" t="n"/>
      <c r="W294" s="30" t="n"/>
      <c r="X294" s="30" t="n"/>
      <c r="Y294" s="30" t="n"/>
      <c r="Z294" s="30" t="n"/>
      <c r="AA294" s="30" t="n"/>
    </row>
    <row r="295">
      <c r="A295" s="30" t="n"/>
      <c r="B295" s="156" t="n"/>
      <c r="C295" s="30" t="n"/>
      <c r="D295" s="30" t="n"/>
      <c r="E295" s="30" t="n"/>
      <c r="F295" s="30" t="n"/>
      <c r="G295" s="30" t="n"/>
      <c r="H295" s="30" t="n"/>
      <c r="I295" s="30" t="n"/>
      <c r="J295" s="30" t="n"/>
      <c r="K295" s="30" t="n"/>
      <c r="L295" s="30" t="n"/>
      <c r="M295" s="30" t="n"/>
      <c r="N295" s="30" t="n"/>
      <c r="O295" s="30" t="n"/>
      <c r="P295" s="30" t="n"/>
      <c r="Q295" s="30" t="n"/>
      <c r="R295" s="30" t="n"/>
      <c r="S295" s="30" t="n"/>
      <c r="T295" s="30" t="n"/>
      <c r="U295" s="30" t="n"/>
      <c r="V295" s="30" t="n"/>
      <c r="W295" s="30" t="n"/>
      <c r="X295" s="30" t="n"/>
      <c r="Y295" s="30" t="n"/>
      <c r="Z295" s="30" t="n"/>
      <c r="AA295" s="30" t="n"/>
    </row>
    <row r="296">
      <c r="A296" s="30" t="n"/>
      <c r="B296" s="156" t="n"/>
      <c r="C296" s="30" t="n"/>
      <c r="D296" s="30" t="n"/>
      <c r="E296" s="30" t="n"/>
      <c r="F296" s="30" t="n"/>
      <c r="G296" s="30" t="n"/>
      <c r="H296" s="30" t="n"/>
      <c r="I296" s="30" t="n"/>
      <c r="J296" s="30" t="n"/>
      <c r="K296" s="30" t="n"/>
      <c r="L296" s="30" t="n"/>
      <c r="M296" s="30" t="n"/>
      <c r="N296" s="30" t="n"/>
      <c r="O296" s="30" t="n"/>
      <c r="P296" s="30" t="n"/>
      <c r="Q296" s="30" t="n"/>
      <c r="R296" s="30" t="n"/>
      <c r="S296" s="30" t="n"/>
      <c r="T296" s="30" t="n"/>
      <c r="U296" s="30" t="n"/>
      <c r="V296" s="30" t="n"/>
      <c r="W296" s="30" t="n"/>
      <c r="X296" s="30" t="n"/>
      <c r="Y296" s="30" t="n"/>
      <c r="Z296" s="30" t="n"/>
      <c r="AA296" s="30" t="n"/>
    </row>
    <row r="297">
      <c r="A297" s="30" t="n"/>
      <c r="B297" s="156" t="n"/>
      <c r="C297" s="30" t="n"/>
      <c r="D297" s="30" t="n"/>
      <c r="E297" s="30" t="n"/>
      <c r="F297" s="30" t="n"/>
      <c r="G297" s="30" t="n"/>
      <c r="H297" s="30" t="n"/>
      <c r="I297" s="30" t="n"/>
      <c r="J297" s="30" t="n"/>
      <c r="K297" s="30" t="n"/>
      <c r="L297" s="30" t="n"/>
      <c r="M297" s="30" t="n"/>
      <c r="N297" s="30" t="n"/>
      <c r="O297" s="30" t="n"/>
      <c r="P297" s="30" t="n"/>
      <c r="Q297" s="30" t="n"/>
      <c r="R297" s="30" t="n"/>
      <c r="S297" s="30" t="n"/>
      <c r="T297" s="30" t="n"/>
      <c r="U297" s="30" t="n"/>
      <c r="V297" s="30" t="n"/>
      <c r="W297" s="30" t="n"/>
      <c r="X297" s="30" t="n"/>
      <c r="Y297" s="30" t="n"/>
      <c r="Z297" s="30" t="n"/>
      <c r="AA297" s="30" t="n"/>
    </row>
    <row r="298">
      <c r="A298" s="30" t="n"/>
      <c r="B298" s="156" t="n"/>
      <c r="C298" s="30" t="n"/>
      <c r="D298" s="30" t="n"/>
      <c r="E298" s="30" t="n"/>
      <c r="F298" s="30" t="n"/>
      <c r="G298" s="30" t="n"/>
      <c r="H298" s="30" t="n"/>
      <c r="I298" s="30" t="n"/>
      <c r="J298" s="30" t="n"/>
      <c r="K298" s="30" t="n"/>
      <c r="L298" s="30" t="n"/>
      <c r="M298" s="30" t="n"/>
      <c r="N298" s="30" t="n"/>
      <c r="O298" s="30" t="n"/>
      <c r="P298" s="30" t="n"/>
      <c r="Q298" s="30" t="n"/>
      <c r="R298" s="30" t="n"/>
      <c r="S298" s="30" t="n"/>
      <c r="T298" s="30" t="n"/>
      <c r="U298" s="30" t="n"/>
      <c r="V298" s="30" t="n"/>
      <c r="W298" s="30" t="n"/>
      <c r="X298" s="30" t="n"/>
      <c r="Y298" s="30" t="n"/>
      <c r="Z298" s="30" t="n"/>
      <c r="AA298" s="30" t="n"/>
    </row>
    <row r="299">
      <c r="A299" s="30" t="n"/>
      <c r="B299" s="156" t="n"/>
      <c r="C299" s="30" t="n"/>
      <c r="D299" s="30" t="n"/>
      <c r="E299" s="30" t="n"/>
      <c r="F299" s="30" t="n"/>
      <c r="G299" s="30" t="n"/>
      <c r="H299" s="30" t="n"/>
      <c r="I299" s="30" t="n"/>
      <c r="J299" s="30" t="n"/>
      <c r="K299" s="30" t="n"/>
      <c r="L299" s="30" t="n"/>
      <c r="M299" s="30" t="n"/>
      <c r="N299" s="30" t="n"/>
      <c r="O299" s="30" t="n"/>
      <c r="P299" s="30" t="n"/>
      <c r="Q299" s="30" t="n"/>
      <c r="R299" s="30" t="n"/>
      <c r="S299" s="30" t="n"/>
      <c r="T299" s="30" t="n"/>
      <c r="U299" s="30" t="n"/>
      <c r="V299" s="30" t="n"/>
      <c r="W299" s="30" t="n"/>
      <c r="X299" s="30" t="n"/>
      <c r="Y299" s="30" t="n"/>
      <c r="Z299" s="30" t="n"/>
      <c r="AA299" s="30" t="n"/>
    </row>
    <row r="300">
      <c r="A300" s="30" t="n"/>
      <c r="B300" s="156" t="n"/>
      <c r="C300" s="30" t="n"/>
      <c r="D300" s="30" t="n"/>
      <c r="E300" s="30" t="n"/>
      <c r="F300" s="30" t="n"/>
      <c r="G300" s="30" t="n"/>
      <c r="H300" s="30" t="n"/>
      <c r="I300" s="30" t="n"/>
      <c r="J300" s="30" t="n"/>
      <c r="K300" s="30" t="n"/>
      <c r="L300" s="30" t="n"/>
      <c r="M300" s="30" t="n"/>
      <c r="N300" s="30" t="n"/>
      <c r="O300" s="30" t="n"/>
      <c r="P300" s="30" t="n"/>
      <c r="Q300" s="30" t="n"/>
      <c r="R300" s="30" t="n"/>
      <c r="S300" s="30" t="n"/>
      <c r="T300" s="30" t="n"/>
      <c r="U300" s="30" t="n"/>
      <c r="V300" s="30" t="n"/>
      <c r="W300" s="30" t="n"/>
      <c r="X300" s="30" t="n"/>
      <c r="Y300" s="30" t="n"/>
      <c r="Z300" s="30" t="n"/>
      <c r="AA300" s="30" t="n"/>
    </row>
    <row r="301">
      <c r="A301" s="30" t="n"/>
      <c r="B301" s="156" t="n"/>
      <c r="C301" s="30" t="n"/>
      <c r="D301" s="30" t="n"/>
      <c r="E301" s="30" t="n"/>
      <c r="F301" s="30" t="n"/>
      <c r="G301" s="30" t="n"/>
      <c r="H301" s="30" t="n"/>
      <c r="I301" s="30" t="n"/>
      <c r="J301" s="30" t="n"/>
      <c r="K301" s="30" t="n"/>
      <c r="L301" s="30" t="n"/>
      <c r="M301" s="30" t="n"/>
      <c r="N301" s="30" t="n"/>
      <c r="O301" s="30" t="n"/>
      <c r="P301" s="30" t="n"/>
      <c r="Q301" s="30" t="n"/>
      <c r="R301" s="30" t="n"/>
      <c r="S301" s="30" t="n"/>
      <c r="T301" s="30" t="n"/>
      <c r="U301" s="30" t="n"/>
      <c r="V301" s="30" t="n"/>
      <c r="W301" s="30" t="n"/>
      <c r="X301" s="30" t="n"/>
      <c r="Y301" s="30" t="n"/>
      <c r="Z301" s="30" t="n"/>
      <c r="AA301" s="30" t="n"/>
    </row>
    <row r="302">
      <c r="A302" s="30" t="n"/>
      <c r="B302" s="156" t="n"/>
      <c r="C302" s="30" t="n"/>
      <c r="D302" s="30" t="n"/>
      <c r="E302" s="30" t="n"/>
      <c r="F302" s="30" t="n"/>
      <c r="G302" s="30" t="n"/>
      <c r="H302" s="30" t="n"/>
      <c r="I302" s="30" t="n"/>
      <c r="J302" s="30" t="n"/>
      <c r="K302" s="30" t="n"/>
      <c r="L302" s="30" t="n"/>
      <c r="M302" s="30" t="n"/>
      <c r="N302" s="30" t="n"/>
      <c r="O302" s="30" t="n"/>
      <c r="P302" s="30" t="n"/>
      <c r="Q302" s="30" t="n"/>
      <c r="R302" s="30" t="n"/>
      <c r="S302" s="30" t="n"/>
      <c r="T302" s="30" t="n"/>
      <c r="U302" s="30" t="n"/>
      <c r="V302" s="30" t="n"/>
      <c r="W302" s="30" t="n"/>
      <c r="X302" s="30" t="n"/>
      <c r="Y302" s="30" t="n"/>
      <c r="Z302" s="30" t="n"/>
      <c r="AA302" s="30" t="n"/>
    </row>
    <row r="303">
      <c r="A303" s="30" t="n"/>
      <c r="B303" s="156" t="n"/>
      <c r="C303" s="30" t="n"/>
      <c r="D303" s="30" t="n"/>
      <c r="E303" s="30" t="n"/>
      <c r="F303" s="30" t="n"/>
      <c r="G303" s="30" t="n"/>
      <c r="H303" s="30" t="n"/>
      <c r="I303" s="30" t="n"/>
      <c r="J303" s="30" t="n"/>
      <c r="K303" s="30" t="n"/>
      <c r="L303" s="30" t="n"/>
      <c r="M303" s="30" t="n"/>
      <c r="N303" s="30" t="n"/>
      <c r="O303" s="30" t="n"/>
      <c r="P303" s="30" t="n"/>
      <c r="Q303" s="30" t="n"/>
      <c r="R303" s="30" t="n"/>
      <c r="S303" s="30" t="n"/>
      <c r="T303" s="30" t="n"/>
      <c r="U303" s="30" t="n"/>
      <c r="V303" s="30" t="n"/>
      <c r="W303" s="30" t="n"/>
      <c r="X303" s="30" t="n"/>
      <c r="Y303" s="30" t="n"/>
      <c r="Z303" s="30" t="n"/>
      <c r="AA303" s="30" t="n"/>
    </row>
    <row r="304">
      <c r="A304" s="30" t="n"/>
      <c r="B304" s="156" t="n"/>
      <c r="C304" s="30" t="n"/>
      <c r="D304" s="30" t="n"/>
      <c r="E304" s="30" t="n"/>
      <c r="F304" s="30" t="n"/>
      <c r="G304" s="30" t="n"/>
      <c r="H304" s="30" t="n"/>
      <c r="I304" s="30" t="n"/>
      <c r="J304" s="30" t="n"/>
      <c r="K304" s="30" t="n"/>
      <c r="L304" s="30" t="n"/>
      <c r="M304" s="30" t="n"/>
      <c r="N304" s="30" t="n"/>
      <c r="O304" s="30" t="n"/>
      <c r="P304" s="30" t="n"/>
      <c r="Q304" s="30" t="n"/>
      <c r="R304" s="30" t="n"/>
      <c r="S304" s="30" t="n"/>
      <c r="T304" s="30" t="n"/>
      <c r="U304" s="30" t="n"/>
      <c r="V304" s="30" t="n"/>
      <c r="W304" s="30" t="n"/>
      <c r="X304" s="30" t="n"/>
      <c r="Y304" s="30" t="n"/>
      <c r="Z304" s="30" t="n"/>
      <c r="AA304" s="30" t="n"/>
    </row>
    <row r="305">
      <c r="A305" s="30" t="n"/>
      <c r="B305" s="156" t="n"/>
      <c r="C305" s="30" t="n"/>
      <c r="D305" s="30" t="n"/>
      <c r="E305" s="30" t="n"/>
      <c r="F305" s="30" t="n"/>
      <c r="G305" s="30" t="n"/>
      <c r="H305" s="30" t="n"/>
      <c r="I305" s="30" t="n"/>
      <c r="J305" s="30" t="n"/>
      <c r="K305" s="30" t="n"/>
      <c r="L305" s="30" t="n"/>
      <c r="M305" s="30" t="n"/>
      <c r="N305" s="30" t="n"/>
      <c r="O305" s="30" t="n"/>
      <c r="P305" s="30" t="n"/>
      <c r="Q305" s="30" t="n"/>
      <c r="R305" s="30" t="n"/>
      <c r="S305" s="30" t="n"/>
      <c r="T305" s="30" t="n"/>
      <c r="U305" s="30" t="n"/>
      <c r="V305" s="30" t="n"/>
      <c r="W305" s="30" t="n"/>
      <c r="X305" s="30" t="n"/>
      <c r="Y305" s="30" t="n"/>
      <c r="Z305" s="30" t="n"/>
      <c r="AA305" s="30" t="n"/>
    </row>
    <row r="306">
      <c r="A306" s="30" t="n"/>
      <c r="B306" s="156" t="n"/>
      <c r="C306" s="30" t="n"/>
      <c r="D306" s="30" t="n"/>
      <c r="E306" s="30" t="n"/>
      <c r="F306" s="30" t="n"/>
      <c r="G306" s="30" t="n"/>
      <c r="H306" s="30" t="n"/>
      <c r="I306" s="30" t="n"/>
      <c r="J306" s="30" t="n"/>
      <c r="K306" s="30" t="n"/>
      <c r="L306" s="30" t="n"/>
      <c r="M306" s="30" t="n"/>
      <c r="N306" s="30" t="n"/>
      <c r="O306" s="30" t="n"/>
      <c r="P306" s="30" t="n"/>
      <c r="Q306" s="30" t="n"/>
      <c r="R306" s="30" t="n"/>
      <c r="S306" s="30" t="n"/>
      <c r="T306" s="30" t="n"/>
      <c r="U306" s="30" t="n"/>
      <c r="V306" s="30" t="n"/>
      <c r="W306" s="30" t="n"/>
      <c r="X306" s="30" t="n"/>
      <c r="Y306" s="30" t="n"/>
      <c r="Z306" s="30" t="n"/>
      <c r="AA306" s="30" t="n"/>
    </row>
    <row r="307">
      <c r="A307" s="30" t="n"/>
      <c r="B307" s="156" t="n"/>
      <c r="C307" s="30" t="n"/>
      <c r="D307" s="30" t="n"/>
      <c r="E307" s="30" t="n"/>
      <c r="F307" s="30" t="n"/>
      <c r="G307" s="30" t="n"/>
      <c r="H307" s="30" t="n"/>
      <c r="I307" s="30" t="n"/>
      <c r="J307" s="30" t="n"/>
      <c r="K307" s="30" t="n"/>
      <c r="L307" s="30" t="n"/>
      <c r="M307" s="30" t="n"/>
      <c r="N307" s="30" t="n"/>
      <c r="O307" s="30" t="n"/>
      <c r="P307" s="30" t="n"/>
      <c r="Q307" s="30" t="n"/>
      <c r="R307" s="30" t="n"/>
      <c r="S307" s="30" t="n"/>
      <c r="T307" s="30" t="n"/>
      <c r="U307" s="30" t="n"/>
      <c r="V307" s="30" t="n"/>
      <c r="W307" s="30" t="n"/>
      <c r="X307" s="30" t="n"/>
      <c r="Y307" s="30" t="n"/>
      <c r="Z307" s="30" t="n"/>
      <c r="AA307" s="30" t="n"/>
    </row>
    <row r="308">
      <c r="A308" s="30" t="n"/>
      <c r="B308" s="156" t="n"/>
      <c r="C308" s="30" t="n"/>
      <c r="D308" s="30" t="n"/>
      <c r="E308" s="30" t="n"/>
      <c r="F308" s="30" t="n"/>
      <c r="G308" s="30" t="n"/>
      <c r="H308" s="30" t="n"/>
      <c r="I308" s="30" t="n"/>
      <c r="J308" s="30" t="n"/>
      <c r="K308" s="30" t="n"/>
      <c r="L308" s="30" t="n"/>
      <c r="M308" s="30" t="n"/>
      <c r="N308" s="30" t="n"/>
      <c r="O308" s="30" t="n"/>
      <c r="P308" s="30" t="n"/>
      <c r="Q308" s="30" t="n"/>
      <c r="R308" s="30" t="n"/>
      <c r="S308" s="30" t="n"/>
      <c r="T308" s="30" t="n"/>
      <c r="U308" s="30" t="n"/>
      <c r="V308" s="30" t="n"/>
      <c r="W308" s="30" t="n"/>
      <c r="X308" s="30" t="n"/>
      <c r="Y308" s="30" t="n"/>
      <c r="Z308" s="30" t="n"/>
      <c r="AA308" s="30" t="n"/>
    </row>
    <row r="309">
      <c r="A309" s="30" t="n"/>
      <c r="B309" s="156" t="n"/>
      <c r="C309" s="30" t="n"/>
      <c r="D309" s="30" t="n"/>
      <c r="E309" s="30" t="n"/>
      <c r="F309" s="30" t="n"/>
      <c r="G309" s="30" t="n"/>
      <c r="H309" s="30" t="n"/>
      <c r="I309" s="30" t="n"/>
      <c r="J309" s="30" t="n"/>
      <c r="K309" s="30" t="n"/>
      <c r="L309" s="30" t="n"/>
      <c r="M309" s="30" t="n"/>
      <c r="N309" s="30" t="n"/>
      <c r="O309" s="30" t="n"/>
      <c r="P309" s="30" t="n"/>
      <c r="Q309" s="30" t="n"/>
      <c r="R309" s="30" t="n"/>
      <c r="S309" s="30" t="n"/>
      <c r="T309" s="30" t="n"/>
      <c r="U309" s="30" t="n"/>
      <c r="V309" s="30" t="n"/>
      <c r="W309" s="30" t="n"/>
      <c r="X309" s="30" t="n"/>
      <c r="Y309" s="30" t="n"/>
      <c r="Z309" s="30" t="n"/>
      <c r="AA309" s="30" t="n"/>
    </row>
    <row r="310">
      <c r="A310" s="30" t="n"/>
      <c r="B310" s="156" t="n"/>
      <c r="C310" s="30" t="n"/>
      <c r="D310" s="30" t="n"/>
      <c r="E310" s="30" t="n"/>
      <c r="F310" s="30" t="n"/>
      <c r="G310" s="30" t="n"/>
      <c r="H310" s="30" t="n"/>
      <c r="I310" s="30" t="n"/>
      <c r="J310" s="30" t="n"/>
      <c r="K310" s="30" t="n"/>
      <c r="L310" s="30" t="n"/>
      <c r="M310" s="30" t="n"/>
      <c r="N310" s="30" t="n"/>
      <c r="O310" s="30" t="n"/>
      <c r="P310" s="30" t="n"/>
      <c r="Q310" s="30" t="n"/>
      <c r="R310" s="30" t="n"/>
      <c r="S310" s="30" t="n"/>
      <c r="T310" s="30" t="n"/>
      <c r="U310" s="30" t="n"/>
      <c r="V310" s="30" t="n"/>
      <c r="W310" s="30" t="n"/>
      <c r="X310" s="30" t="n"/>
      <c r="Y310" s="30" t="n"/>
      <c r="Z310" s="30" t="n"/>
      <c r="AA310" s="30" t="n"/>
    </row>
    <row r="311">
      <c r="A311" s="30" t="n"/>
      <c r="B311" s="156" t="n"/>
      <c r="C311" s="30" t="n"/>
      <c r="D311" s="30" t="n"/>
      <c r="E311" s="30" t="n"/>
      <c r="F311" s="30" t="n"/>
      <c r="G311" s="30" t="n"/>
      <c r="H311" s="30" t="n"/>
      <c r="I311" s="30" t="n"/>
      <c r="J311" s="30" t="n"/>
      <c r="K311" s="30" t="n"/>
      <c r="L311" s="30" t="n"/>
      <c r="M311" s="30" t="n"/>
      <c r="N311" s="30" t="n"/>
      <c r="O311" s="30" t="n"/>
      <c r="P311" s="30" t="n"/>
      <c r="Q311" s="30" t="n"/>
      <c r="R311" s="30" t="n"/>
      <c r="S311" s="30" t="n"/>
      <c r="T311" s="30" t="n"/>
      <c r="U311" s="30" t="n"/>
      <c r="V311" s="30" t="n"/>
      <c r="W311" s="30" t="n"/>
      <c r="X311" s="30" t="n"/>
      <c r="Y311" s="30" t="n"/>
      <c r="Z311" s="30" t="n"/>
      <c r="AA311" s="30" t="n"/>
    </row>
    <row r="312">
      <c r="A312" s="30" t="n"/>
      <c r="B312" s="156" t="n"/>
      <c r="C312" s="30" t="n"/>
      <c r="D312" s="30" t="n"/>
      <c r="E312" s="30" t="n"/>
      <c r="F312" s="30" t="n"/>
      <c r="G312" s="30" t="n"/>
      <c r="H312" s="30" t="n"/>
      <c r="I312" s="30" t="n"/>
      <c r="J312" s="30" t="n"/>
      <c r="K312" s="30" t="n"/>
      <c r="L312" s="30" t="n"/>
      <c r="M312" s="30" t="n"/>
      <c r="N312" s="30" t="n"/>
      <c r="O312" s="30" t="n"/>
      <c r="P312" s="30" t="n"/>
      <c r="Q312" s="30" t="n"/>
      <c r="R312" s="30" t="n"/>
      <c r="S312" s="30" t="n"/>
      <c r="T312" s="30" t="n"/>
      <c r="U312" s="30" t="n"/>
      <c r="V312" s="30" t="n"/>
      <c r="W312" s="30" t="n"/>
      <c r="X312" s="30" t="n"/>
      <c r="Y312" s="30" t="n"/>
      <c r="Z312" s="30" t="n"/>
      <c r="AA312" s="30" t="n"/>
    </row>
    <row r="313">
      <c r="A313" s="30" t="n"/>
      <c r="B313" s="156" t="n"/>
      <c r="C313" s="30" t="n"/>
      <c r="D313" s="30" t="n"/>
      <c r="E313" s="30" t="n"/>
      <c r="F313" s="30" t="n"/>
      <c r="G313" s="30" t="n"/>
      <c r="H313" s="30" t="n"/>
      <c r="I313" s="30" t="n"/>
      <c r="J313" s="30" t="n"/>
      <c r="K313" s="30" t="n"/>
      <c r="L313" s="30" t="n"/>
      <c r="M313" s="30" t="n"/>
      <c r="N313" s="30" t="n"/>
      <c r="O313" s="30" t="n"/>
      <c r="P313" s="30" t="n"/>
      <c r="Q313" s="30" t="n"/>
      <c r="R313" s="30" t="n"/>
      <c r="S313" s="30" t="n"/>
      <c r="T313" s="30" t="n"/>
      <c r="U313" s="30" t="n"/>
      <c r="V313" s="30" t="n"/>
      <c r="W313" s="30" t="n"/>
      <c r="X313" s="30" t="n"/>
      <c r="Y313" s="30" t="n"/>
      <c r="Z313" s="30" t="n"/>
      <c r="AA313" s="30" t="n"/>
    </row>
    <row r="314">
      <c r="A314" s="30" t="n"/>
      <c r="B314" s="156" t="n"/>
      <c r="C314" s="30" t="n"/>
      <c r="D314" s="30" t="n"/>
      <c r="E314" s="30" t="n"/>
      <c r="F314" s="30" t="n"/>
      <c r="G314" s="30" t="n"/>
      <c r="H314" s="30" t="n"/>
      <c r="I314" s="30" t="n"/>
      <c r="J314" s="30" t="n"/>
      <c r="K314" s="30" t="n"/>
      <c r="L314" s="30" t="n"/>
      <c r="M314" s="30" t="n"/>
      <c r="N314" s="30" t="n"/>
      <c r="O314" s="30" t="n"/>
      <c r="P314" s="30" t="n"/>
      <c r="Q314" s="30" t="n"/>
      <c r="R314" s="30" t="n"/>
      <c r="S314" s="30" t="n"/>
      <c r="T314" s="30" t="n"/>
      <c r="U314" s="30" t="n"/>
      <c r="V314" s="30" t="n"/>
      <c r="W314" s="30" t="n"/>
      <c r="X314" s="30" t="n"/>
      <c r="Y314" s="30" t="n"/>
      <c r="Z314" s="30" t="n"/>
      <c r="AA314" s="30" t="n"/>
    </row>
    <row r="315">
      <c r="A315" s="30" t="n"/>
      <c r="B315" s="156" t="n"/>
      <c r="C315" s="30" t="n"/>
      <c r="D315" s="30" t="n"/>
      <c r="E315" s="30" t="n"/>
      <c r="F315" s="30" t="n"/>
      <c r="G315" s="30" t="n"/>
      <c r="H315" s="30" t="n"/>
      <c r="I315" s="30" t="n"/>
      <c r="J315" s="30" t="n"/>
      <c r="K315" s="30" t="n"/>
      <c r="L315" s="30" t="n"/>
      <c r="M315" s="30" t="n"/>
      <c r="N315" s="30" t="n"/>
      <c r="O315" s="30" t="n"/>
      <c r="P315" s="30" t="n"/>
      <c r="Q315" s="30" t="n"/>
      <c r="R315" s="30" t="n"/>
      <c r="S315" s="30" t="n"/>
      <c r="T315" s="30" t="n"/>
      <c r="U315" s="30" t="n"/>
      <c r="V315" s="30" t="n"/>
      <c r="W315" s="30" t="n"/>
      <c r="X315" s="30" t="n"/>
      <c r="Y315" s="30" t="n"/>
      <c r="Z315" s="30" t="n"/>
      <c r="AA315" s="30" t="n"/>
    </row>
    <row r="316">
      <c r="A316" s="30" t="n"/>
      <c r="B316" s="156" t="n"/>
      <c r="C316" s="30" t="n"/>
      <c r="D316" s="30" t="n"/>
      <c r="E316" s="30" t="n"/>
      <c r="F316" s="30" t="n"/>
      <c r="G316" s="30" t="n"/>
      <c r="H316" s="30" t="n"/>
      <c r="I316" s="30" t="n"/>
      <c r="J316" s="30" t="n"/>
      <c r="K316" s="30" t="n"/>
      <c r="L316" s="30" t="n"/>
      <c r="M316" s="30" t="n"/>
      <c r="N316" s="30" t="n"/>
      <c r="O316" s="30" t="n"/>
      <c r="P316" s="30" t="n"/>
      <c r="Q316" s="30" t="n"/>
      <c r="R316" s="30" t="n"/>
      <c r="S316" s="30" t="n"/>
      <c r="T316" s="30" t="n"/>
      <c r="U316" s="30" t="n"/>
      <c r="V316" s="30" t="n"/>
      <c r="W316" s="30" t="n"/>
      <c r="X316" s="30" t="n"/>
      <c r="Y316" s="30" t="n"/>
      <c r="Z316" s="30" t="n"/>
      <c r="AA316" s="30" t="n"/>
    </row>
    <row r="317">
      <c r="A317" s="30" t="n"/>
      <c r="B317" s="156" t="n"/>
      <c r="C317" s="30" t="n"/>
      <c r="D317" s="30" t="n"/>
      <c r="E317" s="30" t="n"/>
      <c r="F317" s="30" t="n"/>
      <c r="G317" s="30" t="n"/>
      <c r="H317" s="30" t="n"/>
      <c r="I317" s="30" t="n"/>
      <c r="J317" s="30" t="n"/>
      <c r="K317" s="30" t="n"/>
      <c r="L317" s="30" t="n"/>
      <c r="M317" s="30" t="n"/>
      <c r="N317" s="30" t="n"/>
      <c r="O317" s="30" t="n"/>
      <c r="P317" s="30" t="n"/>
      <c r="Q317" s="30" t="n"/>
      <c r="R317" s="30" t="n"/>
      <c r="S317" s="30" t="n"/>
      <c r="T317" s="30" t="n"/>
      <c r="U317" s="30" t="n"/>
      <c r="V317" s="30" t="n"/>
      <c r="W317" s="30" t="n"/>
      <c r="X317" s="30" t="n"/>
      <c r="Y317" s="30" t="n"/>
      <c r="Z317" s="30" t="n"/>
      <c r="AA317" s="30" t="n"/>
    </row>
    <row r="318">
      <c r="A318" s="30" t="n"/>
      <c r="B318" s="156" t="n"/>
      <c r="C318" s="30" t="n"/>
      <c r="D318" s="30" t="n"/>
      <c r="E318" s="30" t="n"/>
      <c r="F318" s="30" t="n"/>
      <c r="G318" s="30" t="n"/>
      <c r="H318" s="30" t="n"/>
      <c r="I318" s="30" t="n"/>
      <c r="J318" s="30" t="n"/>
      <c r="K318" s="30" t="n"/>
      <c r="L318" s="30" t="n"/>
      <c r="M318" s="30" t="n"/>
      <c r="N318" s="30" t="n"/>
      <c r="O318" s="30" t="n"/>
      <c r="P318" s="30" t="n"/>
      <c r="Q318" s="30" t="n"/>
      <c r="R318" s="30" t="n"/>
      <c r="S318" s="30" t="n"/>
      <c r="T318" s="30" t="n"/>
      <c r="U318" s="30" t="n"/>
      <c r="V318" s="30" t="n"/>
      <c r="W318" s="30" t="n"/>
      <c r="X318" s="30" t="n"/>
      <c r="Y318" s="30" t="n"/>
      <c r="Z318" s="30" t="n"/>
      <c r="AA318" s="30" t="n"/>
    </row>
    <row r="319">
      <c r="A319" s="30" t="n"/>
      <c r="B319" s="156" t="n"/>
      <c r="C319" s="30" t="n"/>
      <c r="D319" s="30" t="n"/>
      <c r="E319" s="30" t="n"/>
      <c r="F319" s="30" t="n"/>
      <c r="G319" s="30" t="n"/>
      <c r="H319" s="30" t="n"/>
      <c r="I319" s="30" t="n"/>
      <c r="J319" s="30" t="n"/>
      <c r="K319" s="30" t="n"/>
      <c r="L319" s="30" t="n"/>
      <c r="M319" s="30" t="n"/>
      <c r="N319" s="30" t="n"/>
      <c r="O319" s="30" t="n"/>
      <c r="P319" s="30" t="n"/>
      <c r="Q319" s="30" t="n"/>
      <c r="R319" s="30" t="n"/>
      <c r="S319" s="30" t="n"/>
      <c r="T319" s="30" t="n"/>
      <c r="U319" s="30" t="n"/>
      <c r="V319" s="30" t="n"/>
      <c r="W319" s="30" t="n"/>
      <c r="X319" s="30" t="n"/>
      <c r="Y319" s="30" t="n"/>
      <c r="Z319" s="30" t="n"/>
      <c r="AA319" s="30" t="n"/>
    </row>
    <row r="320">
      <c r="A320" s="30" t="n"/>
      <c r="B320" s="156" t="n"/>
      <c r="C320" s="30" t="n"/>
      <c r="D320" s="30" t="n"/>
      <c r="E320" s="30" t="n"/>
      <c r="F320" s="30" t="n"/>
      <c r="G320" s="30" t="n"/>
      <c r="H320" s="30" t="n"/>
      <c r="I320" s="30" t="n"/>
      <c r="J320" s="30" t="n"/>
      <c r="K320" s="30" t="n"/>
      <c r="L320" s="30" t="n"/>
      <c r="M320" s="30" t="n"/>
      <c r="N320" s="30" t="n"/>
      <c r="O320" s="30" t="n"/>
      <c r="P320" s="30" t="n"/>
      <c r="Q320" s="30" t="n"/>
      <c r="R320" s="30" t="n"/>
      <c r="S320" s="30" t="n"/>
      <c r="T320" s="30" t="n"/>
      <c r="U320" s="30" t="n"/>
      <c r="V320" s="30" t="n"/>
      <c r="W320" s="30" t="n"/>
      <c r="X320" s="30" t="n"/>
      <c r="Y320" s="30" t="n"/>
      <c r="Z320" s="30" t="n"/>
      <c r="AA320" s="30" t="n"/>
    </row>
    <row r="321">
      <c r="A321" s="30" t="n"/>
      <c r="B321" s="156" t="n"/>
      <c r="C321" s="30" t="n"/>
      <c r="D321" s="30" t="n"/>
      <c r="E321" s="30" t="n"/>
      <c r="F321" s="30" t="n"/>
      <c r="G321" s="30" t="n"/>
      <c r="H321" s="30" t="n"/>
      <c r="I321" s="30" t="n"/>
      <c r="J321" s="30" t="n"/>
      <c r="K321" s="30" t="n"/>
      <c r="L321" s="30" t="n"/>
      <c r="M321" s="30" t="n"/>
      <c r="N321" s="30" t="n"/>
      <c r="O321" s="30" t="n"/>
      <c r="P321" s="30" t="n"/>
      <c r="Q321" s="30" t="n"/>
      <c r="R321" s="30" t="n"/>
      <c r="S321" s="30" t="n"/>
      <c r="T321" s="30" t="n"/>
      <c r="U321" s="30" t="n"/>
      <c r="V321" s="30" t="n"/>
      <c r="W321" s="30" t="n"/>
      <c r="X321" s="30" t="n"/>
      <c r="Y321" s="30" t="n"/>
      <c r="Z321" s="30" t="n"/>
      <c r="AA321" s="30" t="n"/>
    </row>
    <row r="322">
      <c r="A322" s="30" t="n"/>
      <c r="B322" s="156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30" t="n"/>
      <c r="L322" s="30" t="n"/>
      <c r="M322" s="30" t="n"/>
      <c r="N322" s="30" t="n"/>
      <c r="O322" s="30" t="n"/>
      <c r="P322" s="30" t="n"/>
      <c r="Q322" s="30" t="n"/>
      <c r="R322" s="30" t="n"/>
      <c r="S322" s="30" t="n"/>
      <c r="T322" s="30" t="n"/>
      <c r="U322" s="30" t="n"/>
      <c r="V322" s="30" t="n"/>
      <c r="W322" s="30" t="n"/>
      <c r="X322" s="30" t="n"/>
      <c r="Y322" s="30" t="n"/>
      <c r="Z322" s="30" t="n"/>
      <c r="AA322" s="30" t="n"/>
    </row>
    <row r="323">
      <c r="A323" s="30" t="n"/>
      <c r="B323" s="156" t="n"/>
      <c r="C323" s="30" t="n"/>
      <c r="D323" s="30" t="n"/>
      <c r="E323" s="30" t="n"/>
      <c r="F323" s="30" t="n"/>
      <c r="G323" s="30" t="n"/>
      <c r="H323" s="30" t="n"/>
      <c r="I323" s="30" t="n"/>
      <c r="J323" s="30" t="n"/>
      <c r="K323" s="30" t="n"/>
      <c r="L323" s="30" t="n"/>
      <c r="M323" s="30" t="n"/>
      <c r="N323" s="30" t="n"/>
      <c r="O323" s="30" t="n"/>
      <c r="P323" s="30" t="n"/>
      <c r="Q323" s="30" t="n"/>
      <c r="R323" s="30" t="n"/>
      <c r="S323" s="30" t="n"/>
      <c r="T323" s="30" t="n"/>
      <c r="U323" s="30" t="n"/>
      <c r="V323" s="30" t="n"/>
      <c r="W323" s="30" t="n"/>
      <c r="X323" s="30" t="n"/>
      <c r="Y323" s="30" t="n"/>
      <c r="Z323" s="30" t="n"/>
      <c r="AA323" s="30" t="n"/>
    </row>
    <row r="324">
      <c r="A324" s="30" t="n"/>
      <c r="B324" s="156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30" t="n"/>
      <c r="L324" s="30" t="n"/>
      <c r="M324" s="30" t="n"/>
      <c r="N324" s="30" t="n"/>
      <c r="O324" s="30" t="n"/>
      <c r="P324" s="30" t="n"/>
      <c r="Q324" s="30" t="n"/>
      <c r="R324" s="30" t="n"/>
      <c r="S324" s="30" t="n"/>
      <c r="T324" s="30" t="n"/>
      <c r="U324" s="30" t="n"/>
      <c r="V324" s="30" t="n"/>
      <c r="W324" s="30" t="n"/>
      <c r="X324" s="30" t="n"/>
      <c r="Y324" s="30" t="n"/>
      <c r="Z324" s="30" t="n"/>
      <c r="AA324" s="30" t="n"/>
    </row>
    <row r="325">
      <c r="A325" s="30" t="n"/>
      <c r="B325" s="156" t="n"/>
      <c r="C325" s="30" t="n"/>
      <c r="D325" s="30" t="n"/>
      <c r="E325" s="30" t="n"/>
      <c r="F325" s="30" t="n"/>
      <c r="G325" s="30" t="n"/>
      <c r="H325" s="30" t="n"/>
      <c r="I325" s="30" t="n"/>
      <c r="J325" s="30" t="n"/>
      <c r="K325" s="30" t="n"/>
      <c r="L325" s="30" t="n"/>
      <c r="M325" s="30" t="n"/>
      <c r="N325" s="30" t="n"/>
      <c r="O325" s="30" t="n"/>
      <c r="P325" s="30" t="n"/>
      <c r="Q325" s="30" t="n"/>
      <c r="R325" s="30" t="n"/>
      <c r="S325" s="30" t="n"/>
      <c r="T325" s="30" t="n"/>
      <c r="U325" s="30" t="n"/>
      <c r="V325" s="30" t="n"/>
      <c r="W325" s="30" t="n"/>
      <c r="X325" s="30" t="n"/>
      <c r="Y325" s="30" t="n"/>
      <c r="Z325" s="30" t="n"/>
      <c r="AA325" s="30" t="n"/>
    </row>
    <row r="326">
      <c r="A326" s="30" t="n"/>
      <c r="B326" s="156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30" t="n"/>
      <c r="L326" s="30" t="n"/>
      <c r="M326" s="30" t="n"/>
      <c r="N326" s="30" t="n"/>
      <c r="O326" s="30" t="n"/>
      <c r="P326" s="30" t="n"/>
      <c r="Q326" s="30" t="n"/>
      <c r="R326" s="30" t="n"/>
      <c r="S326" s="30" t="n"/>
      <c r="T326" s="30" t="n"/>
      <c r="U326" s="30" t="n"/>
      <c r="V326" s="30" t="n"/>
      <c r="W326" s="30" t="n"/>
      <c r="X326" s="30" t="n"/>
      <c r="Y326" s="30" t="n"/>
      <c r="Z326" s="30" t="n"/>
      <c r="AA326" s="30" t="n"/>
    </row>
    <row r="327">
      <c r="A327" s="30" t="n"/>
      <c r="B327" s="156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30" t="n"/>
      <c r="L327" s="30" t="n"/>
      <c r="M327" s="30" t="n"/>
      <c r="N327" s="30" t="n"/>
      <c r="O327" s="30" t="n"/>
      <c r="P327" s="30" t="n"/>
      <c r="Q327" s="30" t="n"/>
      <c r="R327" s="30" t="n"/>
      <c r="S327" s="30" t="n"/>
      <c r="T327" s="30" t="n"/>
      <c r="U327" s="30" t="n"/>
      <c r="V327" s="30" t="n"/>
      <c r="W327" s="30" t="n"/>
      <c r="X327" s="30" t="n"/>
      <c r="Y327" s="30" t="n"/>
      <c r="Z327" s="30" t="n"/>
      <c r="AA327" s="30" t="n"/>
    </row>
    <row r="328">
      <c r="A328" s="30" t="n"/>
      <c r="B328" s="156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30" t="n"/>
      <c r="L328" s="30" t="n"/>
      <c r="M328" s="30" t="n"/>
      <c r="N328" s="30" t="n"/>
      <c r="O328" s="30" t="n"/>
      <c r="P328" s="30" t="n"/>
      <c r="Q328" s="30" t="n"/>
      <c r="R328" s="30" t="n"/>
      <c r="S328" s="30" t="n"/>
      <c r="T328" s="30" t="n"/>
      <c r="U328" s="30" t="n"/>
      <c r="V328" s="30" t="n"/>
      <c r="W328" s="30" t="n"/>
      <c r="X328" s="30" t="n"/>
      <c r="Y328" s="30" t="n"/>
      <c r="Z328" s="30" t="n"/>
      <c r="AA328" s="30" t="n"/>
    </row>
    <row r="329">
      <c r="A329" s="30" t="n"/>
      <c r="B329" s="156" t="n"/>
      <c r="C329" s="30" t="n"/>
      <c r="D329" s="30" t="n"/>
      <c r="E329" s="30" t="n"/>
      <c r="F329" s="30" t="n"/>
      <c r="G329" s="30" t="n"/>
      <c r="H329" s="30" t="n"/>
      <c r="I329" s="30" t="n"/>
      <c r="J329" s="30" t="n"/>
      <c r="K329" s="30" t="n"/>
      <c r="L329" s="30" t="n"/>
      <c r="M329" s="30" t="n"/>
      <c r="N329" s="30" t="n"/>
      <c r="O329" s="30" t="n"/>
      <c r="P329" s="30" t="n"/>
      <c r="Q329" s="30" t="n"/>
      <c r="R329" s="30" t="n"/>
      <c r="S329" s="30" t="n"/>
      <c r="T329" s="30" t="n"/>
      <c r="U329" s="30" t="n"/>
      <c r="V329" s="30" t="n"/>
      <c r="W329" s="30" t="n"/>
      <c r="X329" s="30" t="n"/>
      <c r="Y329" s="30" t="n"/>
      <c r="Z329" s="30" t="n"/>
      <c r="AA329" s="30" t="n"/>
    </row>
    <row r="330">
      <c r="A330" s="30" t="n"/>
      <c r="B330" s="156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30" t="n"/>
      <c r="L330" s="30" t="n"/>
      <c r="M330" s="30" t="n"/>
      <c r="N330" s="30" t="n"/>
      <c r="O330" s="30" t="n"/>
      <c r="P330" s="30" t="n"/>
      <c r="Q330" s="30" t="n"/>
      <c r="R330" s="30" t="n"/>
      <c r="S330" s="30" t="n"/>
      <c r="T330" s="30" t="n"/>
      <c r="U330" s="30" t="n"/>
      <c r="V330" s="30" t="n"/>
      <c r="W330" s="30" t="n"/>
      <c r="X330" s="30" t="n"/>
      <c r="Y330" s="30" t="n"/>
      <c r="Z330" s="30" t="n"/>
      <c r="AA330" s="30" t="n"/>
    </row>
    <row r="331">
      <c r="A331" s="30" t="n"/>
      <c r="B331" s="156" t="n"/>
      <c r="C331" s="30" t="n"/>
      <c r="D331" s="30" t="n"/>
      <c r="E331" s="30" t="n"/>
      <c r="F331" s="30" t="n"/>
      <c r="G331" s="30" t="n"/>
      <c r="H331" s="30" t="n"/>
      <c r="I331" s="30" t="n"/>
      <c r="J331" s="30" t="n"/>
      <c r="K331" s="30" t="n"/>
      <c r="L331" s="30" t="n"/>
      <c r="M331" s="30" t="n"/>
      <c r="N331" s="30" t="n"/>
      <c r="O331" s="30" t="n"/>
      <c r="P331" s="30" t="n"/>
      <c r="Q331" s="30" t="n"/>
      <c r="R331" s="30" t="n"/>
      <c r="S331" s="30" t="n"/>
      <c r="T331" s="30" t="n"/>
      <c r="U331" s="30" t="n"/>
      <c r="V331" s="30" t="n"/>
      <c r="W331" s="30" t="n"/>
      <c r="X331" s="30" t="n"/>
      <c r="Y331" s="30" t="n"/>
      <c r="Z331" s="30" t="n"/>
      <c r="AA331" s="30" t="n"/>
    </row>
    <row r="332">
      <c r="A332" s="30" t="n"/>
      <c r="B332" s="156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30" t="n"/>
      <c r="L332" s="30" t="n"/>
      <c r="M332" s="30" t="n"/>
      <c r="N332" s="30" t="n"/>
      <c r="O332" s="30" t="n"/>
      <c r="P332" s="30" t="n"/>
      <c r="Q332" s="30" t="n"/>
      <c r="R332" s="30" t="n"/>
      <c r="S332" s="30" t="n"/>
      <c r="T332" s="30" t="n"/>
      <c r="U332" s="30" t="n"/>
      <c r="V332" s="30" t="n"/>
      <c r="W332" s="30" t="n"/>
      <c r="X332" s="30" t="n"/>
      <c r="Y332" s="30" t="n"/>
      <c r="Z332" s="30" t="n"/>
      <c r="AA332" s="30" t="n"/>
    </row>
    <row r="333">
      <c r="A333" s="30" t="n"/>
      <c r="B333" s="156" t="n"/>
      <c r="C333" s="30" t="n"/>
      <c r="D333" s="30" t="n"/>
      <c r="E333" s="30" t="n"/>
      <c r="F333" s="30" t="n"/>
      <c r="G333" s="30" t="n"/>
      <c r="H333" s="30" t="n"/>
      <c r="I333" s="30" t="n"/>
      <c r="J333" s="30" t="n"/>
      <c r="K333" s="30" t="n"/>
      <c r="L333" s="30" t="n"/>
      <c r="M333" s="30" t="n"/>
      <c r="N333" s="30" t="n"/>
      <c r="O333" s="30" t="n"/>
      <c r="P333" s="30" t="n"/>
      <c r="Q333" s="30" t="n"/>
      <c r="R333" s="30" t="n"/>
      <c r="S333" s="30" t="n"/>
      <c r="T333" s="30" t="n"/>
      <c r="U333" s="30" t="n"/>
      <c r="V333" s="30" t="n"/>
      <c r="W333" s="30" t="n"/>
      <c r="X333" s="30" t="n"/>
      <c r="Y333" s="30" t="n"/>
      <c r="Z333" s="30" t="n"/>
      <c r="AA333" s="30" t="n"/>
    </row>
    <row r="334">
      <c r="A334" s="30" t="n"/>
      <c r="B334" s="156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30" t="n"/>
      <c r="L334" s="30" t="n"/>
      <c r="M334" s="30" t="n"/>
      <c r="N334" s="30" t="n"/>
      <c r="O334" s="30" t="n"/>
      <c r="P334" s="30" t="n"/>
      <c r="Q334" s="30" t="n"/>
      <c r="R334" s="30" t="n"/>
      <c r="S334" s="30" t="n"/>
      <c r="T334" s="30" t="n"/>
      <c r="U334" s="30" t="n"/>
      <c r="V334" s="30" t="n"/>
      <c r="W334" s="30" t="n"/>
      <c r="X334" s="30" t="n"/>
      <c r="Y334" s="30" t="n"/>
      <c r="Z334" s="30" t="n"/>
      <c r="AA334" s="30" t="n"/>
    </row>
    <row r="335">
      <c r="A335" s="30" t="n"/>
      <c r="B335" s="156" t="n"/>
      <c r="C335" s="30" t="n"/>
      <c r="D335" s="30" t="n"/>
      <c r="E335" s="30" t="n"/>
      <c r="F335" s="30" t="n"/>
      <c r="G335" s="30" t="n"/>
      <c r="H335" s="30" t="n"/>
      <c r="I335" s="30" t="n"/>
      <c r="J335" s="30" t="n"/>
      <c r="K335" s="30" t="n"/>
      <c r="L335" s="30" t="n"/>
      <c r="M335" s="30" t="n"/>
      <c r="N335" s="30" t="n"/>
      <c r="O335" s="30" t="n"/>
      <c r="P335" s="30" t="n"/>
      <c r="Q335" s="30" t="n"/>
      <c r="R335" s="30" t="n"/>
      <c r="S335" s="30" t="n"/>
      <c r="T335" s="30" t="n"/>
      <c r="U335" s="30" t="n"/>
      <c r="V335" s="30" t="n"/>
      <c r="W335" s="30" t="n"/>
      <c r="X335" s="30" t="n"/>
      <c r="Y335" s="30" t="n"/>
      <c r="Z335" s="30" t="n"/>
      <c r="AA335" s="30" t="n"/>
    </row>
    <row r="336">
      <c r="A336" s="30" t="n"/>
      <c r="B336" s="156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30" t="n"/>
      <c r="L336" s="30" t="n"/>
      <c r="M336" s="30" t="n"/>
      <c r="N336" s="30" t="n"/>
      <c r="O336" s="30" t="n"/>
      <c r="P336" s="30" t="n"/>
      <c r="Q336" s="30" t="n"/>
      <c r="R336" s="30" t="n"/>
      <c r="S336" s="30" t="n"/>
      <c r="T336" s="30" t="n"/>
      <c r="U336" s="30" t="n"/>
      <c r="V336" s="30" t="n"/>
      <c r="W336" s="30" t="n"/>
      <c r="X336" s="30" t="n"/>
      <c r="Y336" s="30" t="n"/>
      <c r="Z336" s="30" t="n"/>
      <c r="AA336" s="30" t="n"/>
    </row>
    <row r="337">
      <c r="A337" s="30" t="n"/>
      <c r="B337" s="156" t="n"/>
      <c r="C337" s="30" t="n"/>
      <c r="D337" s="30" t="n"/>
      <c r="E337" s="30" t="n"/>
      <c r="F337" s="30" t="n"/>
      <c r="G337" s="30" t="n"/>
      <c r="H337" s="30" t="n"/>
      <c r="I337" s="30" t="n"/>
      <c r="J337" s="30" t="n"/>
      <c r="K337" s="30" t="n"/>
      <c r="L337" s="30" t="n"/>
      <c r="M337" s="30" t="n"/>
      <c r="N337" s="30" t="n"/>
      <c r="O337" s="30" t="n"/>
      <c r="P337" s="30" t="n"/>
      <c r="Q337" s="30" t="n"/>
      <c r="R337" s="30" t="n"/>
      <c r="S337" s="30" t="n"/>
      <c r="T337" s="30" t="n"/>
      <c r="U337" s="30" t="n"/>
      <c r="V337" s="30" t="n"/>
      <c r="W337" s="30" t="n"/>
      <c r="X337" s="30" t="n"/>
      <c r="Y337" s="30" t="n"/>
      <c r="Z337" s="30" t="n"/>
      <c r="AA337" s="30" t="n"/>
    </row>
    <row r="338">
      <c r="A338" s="30" t="n"/>
      <c r="B338" s="156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30" t="n"/>
      <c r="L338" s="30" t="n"/>
      <c r="M338" s="30" t="n"/>
      <c r="N338" s="30" t="n"/>
      <c r="O338" s="30" t="n"/>
      <c r="P338" s="30" t="n"/>
      <c r="Q338" s="30" t="n"/>
      <c r="R338" s="30" t="n"/>
      <c r="S338" s="30" t="n"/>
      <c r="T338" s="30" t="n"/>
      <c r="U338" s="30" t="n"/>
      <c r="V338" s="30" t="n"/>
      <c r="W338" s="30" t="n"/>
      <c r="X338" s="30" t="n"/>
      <c r="Y338" s="30" t="n"/>
      <c r="Z338" s="30" t="n"/>
      <c r="AA338" s="30" t="n"/>
    </row>
    <row r="339">
      <c r="A339" s="30" t="n"/>
      <c r="B339" s="156" t="n"/>
      <c r="C339" s="30" t="n"/>
      <c r="D339" s="30" t="n"/>
      <c r="E339" s="30" t="n"/>
      <c r="F339" s="30" t="n"/>
      <c r="G339" s="30" t="n"/>
      <c r="H339" s="30" t="n"/>
      <c r="I339" s="30" t="n"/>
      <c r="J339" s="30" t="n"/>
      <c r="K339" s="30" t="n"/>
      <c r="L339" s="30" t="n"/>
      <c r="M339" s="30" t="n"/>
      <c r="N339" s="30" t="n"/>
      <c r="O339" s="30" t="n"/>
      <c r="P339" s="30" t="n"/>
      <c r="Q339" s="30" t="n"/>
      <c r="R339" s="30" t="n"/>
      <c r="S339" s="30" t="n"/>
      <c r="T339" s="30" t="n"/>
      <c r="U339" s="30" t="n"/>
      <c r="V339" s="30" t="n"/>
      <c r="W339" s="30" t="n"/>
      <c r="X339" s="30" t="n"/>
      <c r="Y339" s="30" t="n"/>
      <c r="Z339" s="30" t="n"/>
      <c r="AA339" s="30" t="n"/>
    </row>
    <row r="340">
      <c r="A340" s="30" t="n"/>
      <c r="B340" s="156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30" t="n"/>
      <c r="L340" s="30" t="n"/>
      <c r="M340" s="30" t="n"/>
      <c r="N340" s="30" t="n"/>
      <c r="O340" s="30" t="n"/>
      <c r="P340" s="30" t="n"/>
      <c r="Q340" s="30" t="n"/>
      <c r="R340" s="30" t="n"/>
      <c r="S340" s="30" t="n"/>
      <c r="T340" s="30" t="n"/>
      <c r="U340" s="30" t="n"/>
      <c r="V340" s="30" t="n"/>
      <c r="W340" s="30" t="n"/>
      <c r="X340" s="30" t="n"/>
      <c r="Y340" s="30" t="n"/>
      <c r="Z340" s="30" t="n"/>
      <c r="AA340" s="30" t="n"/>
    </row>
    <row r="341">
      <c r="A341" s="30" t="n"/>
      <c r="B341" s="156" t="n"/>
      <c r="C341" s="30" t="n"/>
      <c r="D341" s="30" t="n"/>
      <c r="E341" s="30" t="n"/>
      <c r="F341" s="30" t="n"/>
      <c r="G341" s="30" t="n"/>
      <c r="H341" s="30" t="n"/>
      <c r="I341" s="30" t="n"/>
      <c r="J341" s="30" t="n"/>
      <c r="K341" s="30" t="n"/>
      <c r="L341" s="30" t="n"/>
      <c r="M341" s="30" t="n"/>
      <c r="N341" s="30" t="n"/>
      <c r="O341" s="30" t="n"/>
      <c r="P341" s="30" t="n"/>
      <c r="Q341" s="30" t="n"/>
      <c r="R341" s="30" t="n"/>
      <c r="S341" s="30" t="n"/>
      <c r="T341" s="30" t="n"/>
      <c r="U341" s="30" t="n"/>
      <c r="V341" s="30" t="n"/>
      <c r="W341" s="30" t="n"/>
      <c r="X341" s="30" t="n"/>
      <c r="Y341" s="30" t="n"/>
      <c r="Z341" s="30" t="n"/>
      <c r="AA341" s="30" t="n"/>
    </row>
    <row r="342">
      <c r="A342" s="30" t="n"/>
      <c r="B342" s="156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30" t="n"/>
      <c r="L342" s="30" t="n"/>
      <c r="M342" s="30" t="n"/>
      <c r="N342" s="30" t="n"/>
      <c r="O342" s="30" t="n"/>
      <c r="P342" s="30" t="n"/>
      <c r="Q342" s="30" t="n"/>
      <c r="R342" s="30" t="n"/>
      <c r="S342" s="30" t="n"/>
      <c r="T342" s="30" t="n"/>
      <c r="U342" s="30" t="n"/>
      <c r="V342" s="30" t="n"/>
      <c r="W342" s="30" t="n"/>
      <c r="X342" s="30" t="n"/>
      <c r="Y342" s="30" t="n"/>
      <c r="Z342" s="30" t="n"/>
      <c r="AA342" s="30" t="n"/>
    </row>
    <row r="343">
      <c r="A343" s="30" t="n"/>
      <c r="B343" s="156" t="n"/>
      <c r="C343" s="30" t="n"/>
      <c r="D343" s="30" t="n"/>
      <c r="E343" s="30" t="n"/>
      <c r="F343" s="30" t="n"/>
      <c r="G343" s="30" t="n"/>
      <c r="H343" s="30" t="n"/>
      <c r="I343" s="30" t="n"/>
      <c r="J343" s="30" t="n"/>
      <c r="K343" s="30" t="n"/>
      <c r="L343" s="30" t="n"/>
      <c r="M343" s="30" t="n"/>
      <c r="N343" s="30" t="n"/>
      <c r="O343" s="30" t="n"/>
      <c r="P343" s="30" t="n"/>
      <c r="Q343" s="30" t="n"/>
      <c r="R343" s="30" t="n"/>
      <c r="S343" s="30" t="n"/>
      <c r="T343" s="30" t="n"/>
      <c r="U343" s="30" t="n"/>
      <c r="V343" s="30" t="n"/>
      <c r="W343" s="30" t="n"/>
      <c r="X343" s="30" t="n"/>
      <c r="Y343" s="30" t="n"/>
      <c r="Z343" s="30" t="n"/>
      <c r="AA343" s="30" t="n"/>
    </row>
    <row r="344">
      <c r="A344" s="30" t="n"/>
      <c r="B344" s="156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30" t="n"/>
      <c r="L344" s="30" t="n"/>
      <c r="M344" s="30" t="n"/>
      <c r="N344" s="30" t="n"/>
      <c r="O344" s="30" t="n"/>
      <c r="P344" s="30" t="n"/>
      <c r="Q344" s="30" t="n"/>
      <c r="R344" s="30" t="n"/>
      <c r="S344" s="30" t="n"/>
      <c r="T344" s="30" t="n"/>
      <c r="U344" s="30" t="n"/>
      <c r="V344" s="30" t="n"/>
      <c r="W344" s="30" t="n"/>
      <c r="X344" s="30" t="n"/>
      <c r="Y344" s="30" t="n"/>
      <c r="Z344" s="30" t="n"/>
      <c r="AA344" s="30" t="n"/>
    </row>
    <row r="345">
      <c r="A345" s="30" t="n"/>
      <c r="B345" s="156" t="n"/>
      <c r="C345" s="30" t="n"/>
      <c r="D345" s="30" t="n"/>
      <c r="E345" s="30" t="n"/>
      <c r="F345" s="30" t="n"/>
      <c r="G345" s="30" t="n"/>
      <c r="H345" s="30" t="n"/>
      <c r="I345" s="30" t="n"/>
      <c r="J345" s="30" t="n"/>
      <c r="K345" s="30" t="n"/>
      <c r="L345" s="30" t="n"/>
      <c r="M345" s="30" t="n"/>
      <c r="N345" s="30" t="n"/>
      <c r="O345" s="30" t="n"/>
      <c r="P345" s="30" t="n"/>
      <c r="Q345" s="30" t="n"/>
      <c r="R345" s="30" t="n"/>
      <c r="S345" s="30" t="n"/>
      <c r="T345" s="30" t="n"/>
      <c r="U345" s="30" t="n"/>
      <c r="V345" s="30" t="n"/>
      <c r="W345" s="30" t="n"/>
      <c r="X345" s="30" t="n"/>
      <c r="Y345" s="30" t="n"/>
      <c r="Z345" s="30" t="n"/>
      <c r="AA345" s="30" t="n"/>
    </row>
    <row r="346">
      <c r="A346" s="30" t="n"/>
      <c r="B346" s="156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30" t="n"/>
      <c r="L346" s="30" t="n"/>
      <c r="M346" s="30" t="n"/>
      <c r="N346" s="30" t="n"/>
      <c r="O346" s="30" t="n"/>
      <c r="P346" s="30" t="n"/>
      <c r="Q346" s="30" t="n"/>
      <c r="R346" s="30" t="n"/>
      <c r="S346" s="30" t="n"/>
      <c r="T346" s="30" t="n"/>
      <c r="U346" s="30" t="n"/>
      <c r="V346" s="30" t="n"/>
      <c r="W346" s="30" t="n"/>
      <c r="X346" s="30" t="n"/>
      <c r="Y346" s="30" t="n"/>
      <c r="Z346" s="30" t="n"/>
      <c r="AA346" s="30" t="n"/>
    </row>
    <row r="347">
      <c r="A347" s="30" t="n"/>
      <c r="B347" s="156" t="n"/>
      <c r="C347" s="30" t="n"/>
      <c r="D347" s="30" t="n"/>
      <c r="E347" s="30" t="n"/>
      <c r="F347" s="30" t="n"/>
      <c r="G347" s="30" t="n"/>
      <c r="H347" s="30" t="n"/>
      <c r="I347" s="30" t="n"/>
      <c r="J347" s="30" t="n"/>
      <c r="K347" s="30" t="n"/>
      <c r="L347" s="30" t="n"/>
      <c r="M347" s="30" t="n"/>
      <c r="N347" s="30" t="n"/>
      <c r="O347" s="30" t="n"/>
      <c r="P347" s="30" t="n"/>
      <c r="Q347" s="30" t="n"/>
      <c r="R347" s="30" t="n"/>
      <c r="S347" s="30" t="n"/>
      <c r="T347" s="30" t="n"/>
      <c r="U347" s="30" t="n"/>
      <c r="V347" s="30" t="n"/>
      <c r="W347" s="30" t="n"/>
      <c r="X347" s="30" t="n"/>
      <c r="Y347" s="30" t="n"/>
      <c r="Z347" s="30" t="n"/>
      <c r="AA347" s="30" t="n"/>
    </row>
    <row r="348">
      <c r="A348" s="30" t="n"/>
      <c r="B348" s="156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30" t="n"/>
      <c r="L348" s="30" t="n"/>
      <c r="M348" s="30" t="n"/>
      <c r="N348" s="30" t="n"/>
      <c r="O348" s="30" t="n"/>
      <c r="P348" s="30" t="n"/>
      <c r="Q348" s="30" t="n"/>
      <c r="R348" s="30" t="n"/>
      <c r="S348" s="30" t="n"/>
      <c r="T348" s="30" t="n"/>
      <c r="U348" s="30" t="n"/>
      <c r="V348" s="30" t="n"/>
      <c r="W348" s="30" t="n"/>
      <c r="X348" s="30" t="n"/>
      <c r="Y348" s="30" t="n"/>
      <c r="Z348" s="30" t="n"/>
      <c r="AA348" s="30" t="n"/>
    </row>
    <row r="349">
      <c r="A349" s="30" t="n"/>
      <c r="B349" s="156" t="n"/>
      <c r="C349" s="30" t="n"/>
      <c r="D349" s="30" t="n"/>
      <c r="E349" s="30" t="n"/>
      <c r="F349" s="30" t="n"/>
      <c r="G349" s="30" t="n"/>
      <c r="H349" s="30" t="n"/>
      <c r="I349" s="30" t="n"/>
      <c r="J349" s="30" t="n"/>
      <c r="K349" s="30" t="n"/>
      <c r="L349" s="30" t="n"/>
      <c r="M349" s="30" t="n"/>
      <c r="N349" s="30" t="n"/>
      <c r="O349" s="30" t="n"/>
      <c r="P349" s="30" t="n"/>
      <c r="Q349" s="30" t="n"/>
      <c r="R349" s="30" t="n"/>
      <c r="S349" s="30" t="n"/>
      <c r="T349" s="30" t="n"/>
      <c r="U349" s="30" t="n"/>
      <c r="V349" s="30" t="n"/>
      <c r="W349" s="30" t="n"/>
      <c r="X349" s="30" t="n"/>
      <c r="Y349" s="30" t="n"/>
      <c r="Z349" s="30" t="n"/>
      <c r="AA349" s="30" t="n"/>
    </row>
    <row r="350">
      <c r="A350" s="30" t="n"/>
      <c r="B350" s="156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30" t="n"/>
      <c r="L350" s="30" t="n"/>
      <c r="M350" s="30" t="n"/>
      <c r="N350" s="30" t="n"/>
      <c r="O350" s="30" t="n"/>
      <c r="P350" s="30" t="n"/>
      <c r="Q350" s="30" t="n"/>
      <c r="R350" s="30" t="n"/>
      <c r="S350" s="30" t="n"/>
      <c r="T350" s="30" t="n"/>
      <c r="U350" s="30" t="n"/>
      <c r="V350" s="30" t="n"/>
      <c r="W350" s="30" t="n"/>
      <c r="X350" s="30" t="n"/>
      <c r="Y350" s="30" t="n"/>
      <c r="Z350" s="30" t="n"/>
      <c r="AA350" s="30" t="n"/>
    </row>
    <row r="351">
      <c r="A351" s="30" t="n"/>
      <c r="B351" s="156" t="n"/>
      <c r="C351" s="30" t="n"/>
      <c r="D351" s="30" t="n"/>
      <c r="E351" s="30" t="n"/>
      <c r="F351" s="30" t="n"/>
      <c r="G351" s="30" t="n"/>
      <c r="H351" s="30" t="n"/>
      <c r="I351" s="30" t="n"/>
      <c r="J351" s="30" t="n"/>
      <c r="K351" s="30" t="n"/>
      <c r="L351" s="30" t="n"/>
      <c r="M351" s="30" t="n"/>
      <c r="N351" s="30" t="n"/>
      <c r="O351" s="30" t="n"/>
      <c r="P351" s="30" t="n"/>
      <c r="Q351" s="30" t="n"/>
      <c r="R351" s="30" t="n"/>
      <c r="S351" s="30" t="n"/>
      <c r="T351" s="30" t="n"/>
      <c r="U351" s="30" t="n"/>
      <c r="V351" s="30" t="n"/>
      <c r="W351" s="30" t="n"/>
      <c r="X351" s="30" t="n"/>
      <c r="Y351" s="30" t="n"/>
      <c r="Z351" s="30" t="n"/>
      <c r="AA351" s="30" t="n"/>
    </row>
    <row r="352">
      <c r="A352" s="30" t="n"/>
      <c r="B352" s="156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30" t="n"/>
      <c r="L352" s="30" t="n"/>
      <c r="M352" s="30" t="n"/>
      <c r="N352" s="30" t="n"/>
      <c r="O352" s="30" t="n"/>
      <c r="P352" s="30" t="n"/>
      <c r="Q352" s="30" t="n"/>
      <c r="R352" s="30" t="n"/>
      <c r="S352" s="30" t="n"/>
      <c r="T352" s="30" t="n"/>
      <c r="U352" s="30" t="n"/>
      <c r="V352" s="30" t="n"/>
      <c r="W352" s="30" t="n"/>
      <c r="X352" s="30" t="n"/>
      <c r="Y352" s="30" t="n"/>
      <c r="Z352" s="30" t="n"/>
      <c r="AA352" s="30" t="n"/>
    </row>
    <row r="353">
      <c r="A353" s="30" t="n"/>
      <c r="B353" s="156" t="n"/>
      <c r="C353" s="30" t="n"/>
      <c r="D353" s="30" t="n"/>
      <c r="E353" s="30" t="n"/>
      <c r="F353" s="30" t="n"/>
      <c r="G353" s="30" t="n"/>
      <c r="H353" s="30" t="n"/>
      <c r="I353" s="30" t="n"/>
      <c r="J353" s="30" t="n"/>
      <c r="K353" s="30" t="n"/>
      <c r="L353" s="30" t="n"/>
      <c r="M353" s="30" t="n"/>
      <c r="N353" s="30" t="n"/>
      <c r="O353" s="30" t="n"/>
      <c r="P353" s="30" t="n"/>
      <c r="Q353" s="30" t="n"/>
      <c r="R353" s="30" t="n"/>
      <c r="S353" s="30" t="n"/>
      <c r="T353" s="30" t="n"/>
      <c r="U353" s="30" t="n"/>
      <c r="V353" s="30" t="n"/>
      <c r="W353" s="30" t="n"/>
      <c r="X353" s="30" t="n"/>
      <c r="Y353" s="30" t="n"/>
      <c r="Z353" s="30" t="n"/>
      <c r="AA353" s="30" t="n"/>
    </row>
    <row r="354">
      <c r="A354" s="30" t="n"/>
      <c r="B354" s="156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30" t="n"/>
      <c r="L354" s="30" t="n"/>
      <c r="M354" s="30" t="n"/>
      <c r="N354" s="30" t="n"/>
      <c r="O354" s="30" t="n"/>
      <c r="P354" s="30" t="n"/>
      <c r="Q354" s="30" t="n"/>
      <c r="R354" s="30" t="n"/>
      <c r="S354" s="30" t="n"/>
      <c r="T354" s="30" t="n"/>
      <c r="U354" s="30" t="n"/>
      <c r="V354" s="30" t="n"/>
      <c r="W354" s="30" t="n"/>
      <c r="X354" s="30" t="n"/>
      <c r="Y354" s="30" t="n"/>
      <c r="Z354" s="30" t="n"/>
      <c r="AA354" s="30" t="n"/>
    </row>
    <row r="355">
      <c r="A355" s="30" t="n"/>
      <c r="B355" s="156" t="n"/>
      <c r="C355" s="30" t="n"/>
      <c r="D355" s="30" t="n"/>
      <c r="E355" s="30" t="n"/>
      <c r="F355" s="30" t="n"/>
      <c r="G355" s="30" t="n"/>
      <c r="H355" s="30" t="n"/>
      <c r="I355" s="30" t="n"/>
      <c r="J355" s="30" t="n"/>
      <c r="K355" s="30" t="n"/>
      <c r="L355" s="30" t="n"/>
      <c r="M355" s="30" t="n"/>
      <c r="N355" s="30" t="n"/>
      <c r="O355" s="30" t="n"/>
      <c r="P355" s="30" t="n"/>
      <c r="Q355" s="30" t="n"/>
      <c r="R355" s="30" t="n"/>
      <c r="S355" s="30" t="n"/>
      <c r="T355" s="30" t="n"/>
      <c r="U355" s="30" t="n"/>
      <c r="V355" s="30" t="n"/>
      <c r="W355" s="30" t="n"/>
      <c r="X355" s="30" t="n"/>
      <c r="Y355" s="30" t="n"/>
      <c r="Z355" s="30" t="n"/>
      <c r="AA355" s="30" t="n"/>
    </row>
    <row r="356">
      <c r="A356" s="30" t="n"/>
      <c r="B356" s="156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30" t="n"/>
      <c r="L356" s="30" t="n"/>
      <c r="M356" s="30" t="n"/>
      <c r="N356" s="30" t="n"/>
      <c r="O356" s="30" t="n"/>
      <c r="P356" s="30" t="n"/>
      <c r="Q356" s="30" t="n"/>
      <c r="R356" s="30" t="n"/>
      <c r="S356" s="30" t="n"/>
      <c r="T356" s="30" t="n"/>
      <c r="U356" s="30" t="n"/>
      <c r="V356" s="30" t="n"/>
      <c r="W356" s="30" t="n"/>
      <c r="X356" s="30" t="n"/>
      <c r="Y356" s="30" t="n"/>
      <c r="Z356" s="30" t="n"/>
      <c r="AA356" s="30" t="n"/>
    </row>
    <row r="357">
      <c r="A357" s="30" t="n"/>
      <c r="B357" s="156" t="n"/>
      <c r="C357" s="30" t="n"/>
      <c r="D357" s="30" t="n"/>
      <c r="E357" s="30" t="n"/>
      <c r="F357" s="30" t="n"/>
      <c r="G357" s="30" t="n"/>
      <c r="H357" s="30" t="n"/>
      <c r="I357" s="30" t="n"/>
      <c r="J357" s="30" t="n"/>
      <c r="K357" s="30" t="n"/>
      <c r="L357" s="30" t="n"/>
      <c r="M357" s="30" t="n"/>
      <c r="N357" s="30" t="n"/>
      <c r="O357" s="30" t="n"/>
      <c r="P357" s="30" t="n"/>
      <c r="Q357" s="30" t="n"/>
      <c r="R357" s="30" t="n"/>
      <c r="S357" s="30" t="n"/>
      <c r="T357" s="30" t="n"/>
      <c r="U357" s="30" t="n"/>
      <c r="V357" s="30" t="n"/>
      <c r="W357" s="30" t="n"/>
      <c r="X357" s="30" t="n"/>
      <c r="Y357" s="30" t="n"/>
      <c r="Z357" s="30" t="n"/>
      <c r="AA357" s="30" t="n"/>
    </row>
    <row r="358">
      <c r="A358" s="30" t="n"/>
      <c r="B358" s="156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30" t="n"/>
      <c r="L358" s="30" t="n"/>
      <c r="M358" s="30" t="n"/>
      <c r="N358" s="30" t="n"/>
      <c r="O358" s="30" t="n"/>
      <c r="P358" s="30" t="n"/>
      <c r="Q358" s="30" t="n"/>
      <c r="R358" s="30" t="n"/>
      <c r="S358" s="30" t="n"/>
      <c r="T358" s="30" t="n"/>
      <c r="U358" s="30" t="n"/>
      <c r="V358" s="30" t="n"/>
      <c r="W358" s="30" t="n"/>
      <c r="X358" s="30" t="n"/>
      <c r="Y358" s="30" t="n"/>
      <c r="Z358" s="30" t="n"/>
      <c r="AA358" s="30" t="n"/>
    </row>
    <row r="359">
      <c r="A359" s="30" t="n"/>
      <c r="B359" s="156" t="n"/>
      <c r="C359" s="30" t="n"/>
      <c r="D359" s="30" t="n"/>
      <c r="E359" s="30" t="n"/>
      <c r="F359" s="30" t="n"/>
      <c r="G359" s="30" t="n"/>
      <c r="H359" s="30" t="n"/>
      <c r="I359" s="30" t="n"/>
      <c r="J359" s="30" t="n"/>
      <c r="K359" s="30" t="n"/>
      <c r="L359" s="30" t="n"/>
      <c r="M359" s="30" t="n"/>
      <c r="N359" s="30" t="n"/>
      <c r="O359" s="30" t="n"/>
      <c r="P359" s="30" t="n"/>
      <c r="Q359" s="30" t="n"/>
      <c r="R359" s="30" t="n"/>
      <c r="S359" s="30" t="n"/>
      <c r="T359" s="30" t="n"/>
      <c r="U359" s="30" t="n"/>
      <c r="V359" s="30" t="n"/>
      <c r="W359" s="30" t="n"/>
      <c r="X359" s="30" t="n"/>
      <c r="Y359" s="30" t="n"/>
      <c r="Z359" s="30" t="n"/>
      <c r="AA359" s="30" t="n"/>
    </row>
    <row r="360">
      <c r="A360" s="30" t="n"/>
      <c r="B360" s="156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30" t="n"/>
      <c r="L360" s="30" t="n"/>
      <c r="M360" s="30" t="n"/>
      <c r="N360" s="30" t="n"/>
      <c r="O360" s="30" t="n"/>
      <c r="P360" s="30" t="n"/>
      <c r="Q360" s="30" t="n"/>
      <c r="R360" s="30" t="n"/>
      <c r="S360" s="30" t="n"/>
      <c r="T360" s="30" t="n"/>
      <c r="U360" s="30" t="n"/>
      <c r="V360" s="30" t="n"/>
      <c r="W360" s="30" t="n"/>
      <c r="X360" s="30" t="n"/>
      <c r="Y360" s="30" t="n"/>
      <c r="Z360" s="30" t="n"/>
      <c r="AA360" s="30" t="n"/>
    </row>
    <row r="361">
      <c r="A361" s="30" t="n"/>
      <c r="B361" s="156" t="n"/>
      <c r="C361" s="30" t="n"/>
      <c r="D361" s="30" t="n"/>
      <c r="E361" s="30" t="n"/>
      <c r="F361" s="30" t="n"/>
      <c r="G361" s="30" t="n"/>
      <c r="H361" s="30" t="n"/>
      <c r="I361" s="30" t="n"/>
      <c r="J361" s="30" t="n"/>
      <c r="K361" s="30" t="n"/>
      <c r="L361" s="30" t="n"/>
      <c r="M361" s="30" t="n"/>
      <c r="N361" s="30" t="n"/>
      <c r="O361" s="30" t="n"/>
      <c r="P361" s="30" t="n"/>
      <c r="Q361" s="30" t="n"/>
      <c r="R361" s="30" t="n"/>
      <c r="S361" s="30" t="n"/>
      <c r="T361" s="30" t="n"/>
      <c r="U361" s="30" t="n"/>
      <c r="V361" s="30" t="n"/>
      <c r="W361" s="30" t="n"/>
      <c r="X361" s="30" t="n"/>
      <c r="Y361" s="30" t="n"/>
      <c r="Z361" s="30" t="n"/>
      <c r="AA361" s="30" t="n"/>
    </row>
    <row r="362">
      <c r="A362" s="30" t="n"/>
      <c r="B362" s="156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30" t="n"/>
      <c r="L362" s="30" t="n"/>
      <c r="M362" s="30" t="n"/>
      <c r="N362" s="30" t="n"/>
      <c r="O362" s="30" t="n"/>
      <c r="P362" s="30" t="n"/>
      <c r="Q362" s="30" t="n"/>
      <c r="R362" s="30" t="n"/>
      <c r="S362" s="30" t="n"/>
      <c r="T362" s="30" t="n"/>
      <c r="U362" s="30" t="n"/>
      <c r="V362" s="30" t="n"/>
      <c r="W362" s="30" t="n"/>
      <c r="X362" s="30" t="n"/>
      <c r="Y362" s="30" t="n"/>
      <c r="Z362" s="30" t="n"/>
      <c r="AA362" s="30" t="n"/>
    </row>
    <row r="363">
      <c r="A363" s="30" t="n"/>
      <c r="B363" s="156" t="n"/>
      <c r="C363" s="30" t="n"/>
      <c r="D363" s="30" t="n"/>
      <c r="E363" s="30" t="n"/>
      <c r="F363" s="30" t="n"/>
      <c r="G363" s="30" t="n"/>
      <c r="H363" s="30" t="n"/>
      <c r="I363" s="30" t="n"/>
      <c r="J363" s="30" t="n"/>
      <c r="K363" s="30" t="n"/>
      <c r="L363" s="30" t="n"/>
      <c r="M363" s="30" t="n"/>
      <c r="N363" s="30" t="n"/>
      <c r="O363" s="30" t="n"/>
      <c r="P363" s="30" t="n"/>
      <c r="Q363" s="30" t="n"/>
      <c r="R363" s="30" t="n"/>
      <c r="S363" s="30" t="n"/>
      <c r="T363" s="30" t="n"/>
      <c r="U363" s="30" t="n"/>
      <c r="V363" s="30" t="n"/>
      <c r="W363" s="30" t="n"/>
      <c r="X363" s="30" t="n"/>
      <c r="Y363" s="30" t="n"/>
      <c r="Z363" s="30" t="n"/>
      <c r="AA363" s="30" t="n"/>
    </row>
    <row r="364">
      <c r="A364" s="30" t="n"/>
      <c r="B364" s="156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30" t="n"/>
      <c r="L364" s="30" t="n"/>
      <c r="M364" s="30" t="n"/>
      <c r="N364" s="30" t="n"/>
      <c r="O364" s="30" t="n"/>
      <c r="P364" s="30" t="n"/>
      <c r="Q364" s="30" t="n"/>
      <c r="R364" s="30" t="n"/>
      <c r="S364" s="30" t="n"/>
      <c r="T364" s="30" t="n"/>
      <c r="U364" s="30" t="n"/>
      <c r="V364" s="30" t="n"/>
      <c r="W364" s="30" t="n"/>
      <c r="X364" s="30" t="n"/>
      <c r="Y364" s="30" t="n"/>
      <c r="Z364" s="30" t="n"/>
      <c r="AA364" s="30" t="n"/>
    </row>
    <row r="365">
      <c r="A365" s="30" t="n"/>
      <c r="B365" s="156" t="n"/>
      <c r="C365" s="30" t="n"/>
      <c r="D365" s="30" t="n"/>
      <c r="E365" s="30" t="n"/>
      <c r="F365" s="30" t="n"/>
      <c r="G365" s="30" t="n"/>
      <c r="H365" s="30" t="n"/>
      <c r="I365" s="30" t="n"/>
      <c r="J365" s="30" t="n"/>
      <c r="K365" s="30" t="n"/>
      <c r="L365" s="30" t="n"/>
      <c r="M365" s="30" t="n"/>
      <c r="N365" s="30" t="n"/>
      <c r="O365" s="30" t="n"/>
      <c r="P365" s="30" t="n"/>
      <c r="Q365" s="30" t="n"/>
      <c r="R365" s="30" t="n"/>
      <c r="S365" s="30" t="n"/>
      <c r="T365" s="30" t="n"/>
      <c r="U365" s="30" t="n"/>
      <c r="V365" s="30" t="n"/>
      <c r="W365" s="30" t="n"/>
      <c r="X365" s="30" t="n"/>
      <c r="Y365" s="30" t="n"/>
      <c r="Z365" s="30" t="n"/>
      <c r="AA365" s="30" t="n"/>
    </row>
    <row r="366">
      <c r="A366" s="30" t="n"/>
      <c r="B366" s="156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30" t="n"/>
      <c r="L366" s="30" t="n"/>
      <c r="M366" s="30" t="n"/>
      <c r="N366" s="30" t="n"/>
      <c r="O366" s="30" t="n"/>
      <c r="P366" s="30" t="n"/>
      <c r="Q366" s="30" t="n"/>
      <c r="R366" s="30" t="n"/>
      <c r="S366" s="30" t="n"/>
      <c r="T366" s="30" t="n"/>
      <c r="U366" s="30" t="n"/>
      <c r="V366" s="30" t="n"/>
      <c r="W366" s="30" t="n"/>
      <c r="X366" s="30" t="n"/>
      <c r="Y366" s="30" t="n"/>
      <c r="Z366" s="30" t="n"/>
      <c r="AA366" s="30" t="n"/>
    </row>
    <row r="367">
      <c r="A367" s="30" t="n"/>
      <c r="B367" s="156" t="n"/>
      <c r="C367" s="30" t="n"/>
      <c r="D367" s="30" t="n"/>
      <c r="E367" s="30" t="n"/>
      <c r="F367" s="30" t="n"/>
      <c r="G367" s="30" t="n"/>
      <c r="H367" s="30" t="n"/>
      <c r="I367" s="30" t="n"/>
      <c r="J367" s="30" t="n"/>
      <c r="K367" s="30" t="n"/>
      <c r="L367" s="30" t="n"/>
      <c r="M367" s="30" t="n"/>
      <c r="N367" s="30" t="n"/>
      <c r="O367" s="30" t="n"/>
      <c r="P367" s="30" t="n"/>
      <c r="Q367" s="30" t="n"/>
      <c r="R367" s="30" t="n"/>
      <c r="S367" s="30" t="n"/>
      <c r="T367" s="30" t="n"/>
      <c r="U367" s="30" t="n"/>
      <c r="V367" s="30" t="n"/>
      <c r="W367" s="30" t="n"/>
      <c r="X367" s="30" t="n"/>
      <c r="Y367" s="30" t="n"/>
      <c r="Z367" s="30" t="n"/>
      <c r="AA367" s="30" t="n"/>
    </row>
    <row r="368">
      <c r="A368" s="30" t="n"/>
      <c r="B368" s="156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30" t="n"/>
      <c r="L368" s="30" t="n"/>
      <c r="M368" s="30" t="n"/>
      <c r="N368" s="30" t="n"/>
      <c r="O368" s="30" t="n"/>
      <c r="P368" s="30" t="n"/>
      <c r="Q368" s="30" t="n"/>
      <c r="R368" s="30" t="n"/>
      <c r="S368" s="30" t="n"/>
      <c r="T368" s="30" t="n"/>
      <c r="U368" s="30" t="n"/>
      <c r="V368" s="30" t="n"/>
      <c r="W368" s="30" t="n"/>
      <c r="X368" s="30" t="n"/>
      <c r="Y368" s="30" t="n"/>
      <c r="Z368" s="30" t="n"/>
      <c r="AA368" s="30" t="n"/>
    </row>
    <row r="369">
      <c r="A369" s="30" t="n"/>
      <c r="B369" s="156" t="n"/>
      <c r="C369" s="30" t="n"/>
      <c r="D369" s="30" t="n"/>
      <c r="E369" s="30" t="n"/>
      <c r="F369" s="30" t="n"/>
      <c r="G369" s="30" t="n"/>
      <c r="H369" s="30" t="n"/>
      <c r="I369" s="30" t="n"/>
      <c r="J369" s="30" t="n"/>
      <c r="K369" s="30" t="n"/>
      <c r="L369" s="30" t="n"/>
      <c r="M369" s="30" t="n"/>
      <c r="N369" s="30" t="n"/>
      <c r="O369" s="30" t="n"/>
      <c r="P369" s="30" t="n"/>
      <c r="Q369" s="30" t="n"/>
      <c r="R369" s="30" t="n"/>
      <c r="S369" s="30" t="n"/>
      <c r="T369" s="30" t="n"/>
      <c r="U369" s="30" t="n"/>
      <c r="V369" s="30" t="n"/>
      <c r="W369" s="30" t="n"/>
      <c r="X369" s="30" t="n"/>
      <c r="Y369" s="30" t="n"/>
      <c r="Z369" s="30" t="n"/>
      <c r="AA369" s="30" t="n"/>
    </row>
    <row r="370">
      <c r="A370" s="30" t="n"/>
      <c r="B370" s="156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30" t="n"/>
      <c r="L370" s="30" t="n"/>
      <c r="M370" s="30" t="n"/>
      <c r="N370" s="30" t="n"/>
      <c r="O370" s="30" t="n"/>
      <c r="P370" s="30" t="n"/>
      <c r="Q370" s="30" t="n"/>
      <c r="R370" s="30" t="n"/>
      <c r="S370" s="30" t="n"/>
      <c r="T370" s="30" t="n"/>
      <c r="U370" s="30" t="n"/>
      <c r="V370" s="30" t="n"/>
      <c r="W370" s="30" t="n"/>
      <c r="X370" s="30" t="n"/>
      <c r="Y370" s="30" t="n"/>
      <c r="Z370" s="30" t="n"/>
      <c r="AA370" s="30" t="n"/>
    </row>
    <row r="371">
      <c r="A371" s="30" t="n"/>
      <c r="B371" s="156" t="n"/>
      <c r="C371" s="30" t="n"/>
      <c r="D371" s="30" t="n"/>
      <c r="E371" s="30" t="n"/>
      <c r="F371" s="30" t="n"/>
      <c r="G371" s="30" t="n"/>
      <c r="H371" s="30" t="n"/>
      <c r="I371" s="30" t="n"/>
      <c r="J371" s="30" t="n"/>
      <c r="K371" s="30" t="n"/>
      <c r="L371" s="30" t="n"/>
      <c r="M371" s="30" t="n"/>
      <c r="N371" s="30" t="n"/>
      <c r="O371" s="30" t="n"/>
      <c r="P371" s="30" t="n"/>
      <c r="Q371" s="30" t="n"/>
      <c r="R371" s="30" t="n"/>
      <c r="S371" s="30" t="n"/>
      <c r="T371" s="30" t="n"/>
      <c r="U371" s="30" t="n"/>
      <c r="V371" s="30" t="n"/>
      <c r="W371" s="30" t="n"/>
      <c r="X371" s="30" t="n"/>
      <c r="Y371" s="30" t="n"/>
      <c r="Z371" s="30" t="n"/>
      <c r="AA371" s="30" t="n"/>
    </row>
    <row r="372">
      <c r="A372" s="30" t="n"/>
      <c r="B372" s="156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30" t="n"/>
      <c r="L372" s="30" t="n"/>
      <c r="M372" s="30" t="n"/>
      <c r="N372" s="30" t="n"/>
      <c r="O372" s="30" t="n"/>
      <c r="P372" s="30" t="n"/>
      <c r="Q372" s="30" t="n"/>
      <c r="R372" s="30" t="n"/>
      <c r="S372" s="30" t="n"/>
      <c r="T372" s="30" t="n"/>
      <c r="U372" s="30" t="n"/>
      <c r="V372" s="30" t="n"/>
      <c r="W372" s="30" t="n"/>
      <c r="X372" s="30" t="n"/>
      <c r="Y372" s="30" t="n"/>
      <c r="Z372" s="30" t="n"/>
      <c r="AA372" s="30" t="n"/>
    </row>
    <row r="373">
      <c r="A373" s="30" t="n"/>
      <c r="B373" s="156" t="n"/>
      <c r="C373" s="30" t="n"/>
      <c r="D373" s="30" t="n"/>
      <c r="E373" s="30" t="n"/>
      <c r="F373" s="30" t="n"/>
      <c r="G373" s="30" t="n"/>
      <c r="H373" s="30" t="n"/>
      <c r="I373" s="30" t="n"/>
      <c r="J373" s="30" t="n"/>
      <c r="K373" s="30" t="n"/>
      <c r="L373" s="30" t="n"/>
      <c r="M373" s="30" t="n"/>
      <c r="N373" s="30" t="n"/>
      <c r="O373" s="30" t="n"/>
      <c r="P373" s="30" t="n"/>
      <c r="Q373" s="30" t="n"/>
      <c r="R373" s="30" t="n"/>
      <c r="S373" s="30" t="n"/>
      <c r="T373" s="30" t="n"/>
      <c r="U373" s="30" t="n"/>
      <c r="V373" s="30" t="n"/>
      <c r="W373" s="30" t="n"/>
      <c r="X373" s="30" t="n"/>
      <c r="Y373" s="30" t="n"/>
      <c r="Z373" s="30" t="n"/>
      <c r="AA373" s="30" t="n"/>
    </row>
    <row r="374">
      <c r="A374" s="30" t="n"/>
      <c r="B374" s="156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30" t="n"/>
      <c r="L374" s="30" t="n"/>
      <c r="M374" s="30" t="n"/>
      <c r="N374" s="30" t="n"/>
      <c r="O374" s="30" t="n"/>
      <c r="P374" s="30" t="n"/>
      <c r="Q374" s="30" t="n"/>
      <c r="R374" s="30" t="n"/>
      <c r="S374" s="30" t="n"/>
      <c r="T374" s="30" t="n"/>
      <c r="U374" s="30" t="n"/>
      <c r="V374" s="30" t="n"/>
      <c r="W374" s="30" t="n"/>
      <c r="X374" s="30" t="n"/>
      <c r="Y374" s="30" t="n"/>
      <c r="Z374" s="30" t="n"/>
      <c r="AA374" s="30" t="n"/>
    </row>
    <row r="375">
      <c r="A375" s="30" t="n"/>
      <c r="B375" s="156" t="n"/>
      <c r="C375" s="30" t="n"/>
      <c r="D375" s="30" t="n"/>
      <c r="E375" s="30" t="n"/>
      <c r="F375" s="30" t="n"/>
      <c r="G375" s="30" t="n"/>
      <c r="H375" s="30" t="n"/>
      <c r="I375" s="30" t="n"/>
      <c r="J375" s="30" t="n"/>
      <c r="K375" s="30" t="n"/>
      <c r="L375" s="30" t="n"/>
      <c r="M375" s="30" t="n"/>
      <c r="N375" s="30" t="n"/>
      <c r="O375" s="30" t="n"/>
      <c r="P375" s="30" t="n"/>
      <c r="Q375" s="30" t="n"/>
      <c r="R375" s="30" t="n"/>
      <c r="S375" s="30" t="n"/>
      <c r="T375" s="30" t="n"/>
      <c r="U375" s="30" t="n"/>
      <c r="V375" s="30" t="n"/>
      <c r="W375" s="30" t="n"/>
      <c r="X375" s="30" t="n"/>
      <c r="Y375" s="30" t="n"/>
      <c r="Z375" s="30" t="n"/>
      <c r="AA375" s="30" t="n"/>
    </row>
    <row r="376">
      <c r="A376" s="30" t="n"/>
      <c r="B376" s="156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30" t="n"/>
      <c r="L376" s="30" t="n"/>
      <c r="M376" s="30" t="n"/>
      <c r="N376" s="30" t="n"/>
      <c r="O376" s="30" t="n"/>
      <c r="P376" s="30" t="n"/>
      <c r="Q376" s="30" t="n"/>
      <c r="R376" s="30" t="n"/>
      <c r="S376" s="30" t="n"/>
      <c r="T376" s="30" t="n"/>
      <c r="U376" s="30" t="n"/>
      <c r="V376" s="30" t="n"/>
      <c r="W376" s="30" t="n"/>
      <c r="X376" s="30" t="n"/>
      <c r="Y376" s="30" t="n"/>
      <c r="Z376" s="30" t="n"/>
      <c r="AA376" s="30" t="n"/>
    </row>
    <row r="377">
      <c r="A377" s="30" t="n"/>
      <c r="B377" s="156" t="n"/>
      <c r="C377" s="30" t="n"/>
      <c r="D377" s="30" t="n"/>
      <c r="E377" s="30" t="n"/>
      <c r="F377" s="30" t="n"/>
      <c r="G377" s="30" t="n"/>
      <c r="H377" s="30" t="n"/>
      <c r="I377" s="30" t="n"/>
      <c r="J377" s="30" t="n"/>
      <c r="K377" s="30" t="n"/>
      <c r="L377" s="30" t="n"/>
      <c r="M377" s="30" t="n"/>
      <c r="N377" s="30" t="n"/>
      <c r="O377" s="30" t="n"/>
      <c r="P377" s="30" t="n"/>
      <c r="Q377" s="30" t="n"/>
      <c r="R377" s="30" t="n"/>
      <c r="S377" s="30" t="n"/>
      <c r="T377" s="30" t="n"/>
      <c r="U377" s="30" t="n"/>
      <c r="V377" s="30" t="n"/>
      <c r="W377" s="30" t="n"/>
      <c r="X377" s="30" t="n"/>
      <c r="Y377" s="30" t="n"/>
      <c r="Z377" s="30" t="n"/>
      <c r="AA377" s="30" t="n"/>
    </row>
    <row r="378">
      <c r="A378" s="30" t="n"/>
      <c r="B378" s="156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30" t="n"/>
      <c r="L378" s="30" t="n"/>
      <c r="M378" s="30" t="n"/>
      <c r="N378" s="30" t="n"/>
      <c r="O378" s="30" t="n"/>
      <c r="P378" s="30" t="n"/>
      <c r="Q378" s="30" t="n"/>
      <c r="R378" s="30" t="n"/>
      <c r="S378" s="30" t="n"/>
      <c r="T378" s="30" t="n"/>
      <c r="U378" s="30" t="n"/>
      <c r="V378" s="30" t="n"/>
      <c r="W378" s="30" t="n"/>
      <c r="X378" s="30" t="n"/>
      <c r="Y378" s="30" t="n"/>
      <c r="Z378" s="30" t="n"/>
      <c r="AA378" s="30" t="n"/>
    </row>
    <row r="379">
      <c r="A379" s="30" t="n"/>
      <c r="B379" s="156" t="n"/>
      <c r="C379" s="30" t="n"/>
      <c r="D379" s="30" t="n"/>
      <c r="E379" s="30" t="n"/>
      <c r="F379" s="30" t="n"/>
      <c r="G379" s="30" t="n"/>
      <c r="H379" s="30" t="n"/>
      <c r="I379" s="30" t="n"/>
      <c r="J379" s="30" t="n"/>
      <c r="K379" s="30" t="n"/>
      <c r="L379" s="30" t="n"/>
      <c r="M379" s="30" t="n"/>
      <c r="N379" s="30" t="n"/>
      <c r="O379" s="30" t="n"/>
      <c r="P379" s="30" t="n"/>
      <c r="Q379" s="30" t="n"/>
      <c r="R379" s="30" t="n"/>
      <c r="S379" s="30" t="n"/>
      <c r="T379" s="30" t="n"/>
      <c r="U379" s="30" t="n"/>
      <c r="V379" s="30" t="n"/>
      <c r="W379" s="30" t="n"/>
      <c r="X379" s="30" t="n"/>
      <c r="Y379" s="30" t="n"/>
      <c r="Z379" s="30" t="n"/>
      <c r="AA379" s="30" t="n"/>
    </row>
    <row r="380">
      <c r="A380" s="30" t="n"/>
      <c r="B380" s="156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30" t="n"/>
      <c r="L380" s="30" t="n"/>
      <c r="M380" s="30" t="n"/>
      <c r="N380" s="30" t="n"/>
      <c r="O380" s="30" t="n"/>
      <c r="P380" s="30" t="n"/>
      <c r="Q380" s="30" t="n"/>
      <c r="R380" s="30" t="n"/>
      <c r="S380" s="30" t="n"/>
      <c r="T380" s="30" t="n"/>
      <c r="U380" s="30" t="n"/>
      <c r="V380" s="30" t="n"/>
      <c r="W380" s="30" t="n"/>
      <c r="X380" s="30" t="n"/>
      <c r="Y380" s="30" t="n"/>
      <c r="Z380" s="30" t="n"/>
      <c r="AA380" s="30" t="n"/>
    </row>
    <row r="381">
      <c r="A381" s="30" t="n"/>
      <c r="B381" s="156" t="n"/>
      <c r="C381" s="30" t="n"/>
      <c r="D381" s="30" t="n"/>
      <c r="E381" s="30" t="n"/>
      <c r="F381" s="30" t="n"/>
      <c r="G381" s="30" t="n"/>
      <c r="H381" s="30" t="n"/>
      <c r="I381" s="30" t="n"/>
      <c r="J381" s="30" t="n"/>
      <c r="K381" s="30" t="n"/>
      <c r="L381" s="30" t="n"/>
      <c r="M381" s="30" t="n"/>
      <c r="N381" s="30" t="n"/>
      <c r="O381" s="30" t="n"/>
      <c r="P381" s="30" t="n"/>
      <c r="Q381" s="30" t="n"/>
      <c r="R381" s="30" t="n"/>
      <c r="S381" s="30" t="n"/>
      <c r="T381" s="30" t="n"/>
      <c r="U381" s="30" t="n"/>
      <c r="V381" s="30" t="n"/>
      <c r="W381" s="30" t="n"/>
      <c r="X381" s="30" t="n"/>
      <c r="Y381" s="30" t="n"/>
      <c r="Z381" s="30" t="n"/>
      <c r="AA381" s="30" t="n"/>
    </row>
    <row r="382">
      <c r="A382" s="30" t="n"/>
      <c r="B382" s="156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30" t="n"/>
      <c r="L382" s="30" t="n"/>
      <c r="M382" s="30" t="n"/>
      <c r="N382" s="30" t="n"/>
      <c r="O382" s="30" t="n"/>
      <c r="P382" s="30" t="n"/>
      <c r="Q382" s="30" t="n"/>
      <c r="R382" s="30" t="n"/>
      <c r="S382" s="30" t="n"/>
      <c r="T382" s="30" t="n"/>
      <c r="U382" s="30" t="n"/>
      <c r="V382" s="30" t="n"/>
      <c r="W382" s="30" t="n"/>
      <c r="X382" s="30" t="n"/>
      <c r="Y382" s="30" t="n"/>
      <c r="Z382" s="30" t="n"/>
      <c r="AA382" s="30" t="n"/>
    </row>
    <row r="383">
      <c r="A383" s="30" t="n"/>
      <c r="B383" s="156" t="n"/>
      <c r="C383" s="30" t="n"/>
      <c r="D383" s="30" t="n"/>
      <c r="E383" s="30" t="n"/>
      <c r="F383" s="30" t="n"/>
      <c r="G383" s="30" t="n"/>
      <c r="H383" s="30" t="n"/>
      <c r="I383" s="30" t="n"/>
      <c r="J383" s="30" t="n"/>
      <c r="K383" s="30" t="n"/>
      <c r="L383" s="30" t="n"/>
      <c r="M383" s="30" t="n"/>
      <c r="N383" s="30" t="n"/>
      <c r="O383" s="30" t="n"/>
      <c r="P383" s="30" t="n"/>
      <c r="Q383" s="30" t="n"/>
      <c r="R383" s="30" t="n"/>
      <c r="S383" s="30" t="n"/>
      <c r="T383" s="30" t="n"/>
      <c r="U383" s="30" t="n"/>
      <c r="V383" s="30" t="n"/>
      <c r="W383" s="30" t="n"/>
      <c r="X383" s="30" t="n"/>
      <c r="Y383" s="30" t="n"/>
      <c r="Z383" s="30" t="n"/>
      <c r="AA383" s="30" t="n"/>
    </row>
    <row r="384">
      <c r="A384" s="30" t="n"/>
      <c r="B384" s="156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30" t="n"/>
      <c r="L384" s="30" t="n"/>
      <c r="M384" s="30" t="n"/>
      <c r="N384" s="30" t="n"/>
      <c r="O384" s="30" t="n"/>
      <c r="P384" s="30" t="n"/>
      <c r="Q384" s="30" t="n"/>
      <c r="R384" s="30" t="n"/>
      <c r="S384" s="30" t="n"/>
      <c r="T384" s="30" t="n"/>
      <c r="U384" s="30" t="n"/>
      <c r="V384" s="30" t="n"/>
      <c r="W384" s="30" t="n"/>
      <c r="X384" s="30" t="n"/>
      <c r="Y384" s="30" t="n"/>
      <c r="Z384" s="30" t="n"/>
      <c r="AA384" s="30" t="n"/>
    </row>
    <row r="385">
      <c r="A385" s="30" t="n"/>
      <c r="B385" s="156" t="n"/>
      <c r="C385" s="30" t="n"/>
      <c r="D385" s="30" t="n"/>
      <c r="E385" s="30" t="n"/>
      <c r="F385" s="30" t="n"/>
      <c r="G385" s="30" t="n"/>
      <c r="H385" s="30" t="n"/>
      <c r="I385" s="30" t="n"/>
      <c r="J385" s="30" t="n"/>
      <c r="K385" s="30" t="n"/>
      <c r="L385" s="30" t="n"/>
      <c r="M385" s="30" t="n"/>
      <c r="N385" s="30" t="n"/>
      <c r="O385" s="30" t="n"/>
      <c r="P385" s="30" t="n"/>
      <c r="Q385" s="30" t="n"/>
      <c r="R385" s="30" t="n"/>
      <c r="S385" s="30" t="n"/>
      <c r="T385" s="30" t="n"/>
      <c r="U385" s="30" t="n"/>
      <c r="V385" s="30" t="n"/>
      <c r="W385" s="30" t="n"/>
      <c r="X385" s="30" t="n"/>
      <c r="Y385" s="30" t="n"/>
      <c r="Z385" s="30" t="n"/>
      <c r="AA385" s="30" t="n"/>
    </row>
    <row r="386">
      <c r="A386" s="30" t="n"/>
      <c r="B386" s="156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30" t="n"/>
      <c r="L386" s="30" t="n"/>
      <c r="M386" s="30" t="n"/>
      <c r="N386" s="30" t="n"/>
      <c r="O386" s="30" t="n"/>
      <c r="P386" s="30" t="n"/>
      <c r="Q386" s="30" t="n"/>
      <c r="R386" s="30" t="n"/>
      <c r="S386" s="30" t="n"/>
      <c r="T386" s="30" t="n"/>
      <c r="U386" s="30" t="n"/>
      <c r="V386" s="30" t="n"/>
      <c r="W386" s="30" t="n"/>
      <c r="X386" s="30" t="n"/>
      <c r="Y386" s="30" t="n"/>
      <c r="Z386" s="30" t="n"/>
      <c r="AA386" s="30" t="n"/>
    </row>
    <row r="387">
      <c r="A387" s="30" t="n"/>
      <c r="B387" s="156" t="n"/>
      <c r="C387" s="30" t="n"/>
      <c r="D387" s="30" t="n"/>
      <c r="E387" s="30" t="n"/>
      <c r="F387" s="30" t="n"/>
      <c r="G387" s="30" t="n"/>
      <c r="H387" s="30" t="n"/>
      <c r="I387" s="30" t="n"/>
      <c r="J387" s="30" t="n"/>
      <c r="K387" s="30" t="n"/>
      <c r="L387" s="30" t="n"/>
      <c r="M387" s="30" t="n"/>
      <c r="N387" s="30" t="n"/>
      <c r="O387" s="30" t="n"/>
      <c r="P387" s="30" t="n"/>
      <c r="Q387" s="30" t="n"/>
      <c r="R387" s="30" t="n"/>
      <c r="S387" s="30" t="n"/>
      <c r="T387" s="30" t="n"/>
      <c r="U387" s="30" t="n"/>
      <c r="V387" s="30" t="n"/>
      <c r="W387" s="30" t="n"/>
      <c r="X387" s="30" t="n"/>
      <c r="Y387" s="30" t="n"/>
      <c r="Z387" s="30" t="n"/>
      <c r="AA387" s="30" t="n"/>
    </row>
    <row r="388">
      <c r="A388" s="30" t="n"/>
      <c r="B388" s="156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30" t="n"/>
      <c r="L388" s="30" t="n"/>
      <c r="M388" s="30" t="n"/>
      <c r="N388" s="30" t="n"/>
      <c r="O388" s="30" t="n"/>
      <c r="P388" s="30" t="n"/>
      <c r="Q388" s="30" t="n"/>
      <c r="R388" s="30" t="n"/>
      <c r="S388" s="30" t="n"/>
      <c r="T388" s="30" t="n"/>
      <c r="U388" s="30" t="n"/>
      <c r="V388" s="30" t="n"/>
      <c r="W388" s="30" t="n"/>
      <c r="X388" s="30" t="n"/>
      <c r="Y388" s="30" t="n"/>
      <c r="Z388" s="30" t="n"/>
      <c r="AA388" s="30" t="n"/>
    </row>
    <row r="389">
      <c r="A389" s="30" t="n"/>
      <c r="B389" s="156" t="n"/>
      <c r="C389" s="30" t="n"/>
      <c r="D389" s="30" t="n"/>
      <c r="E389" s="30" t="n"/>
      <c r="F389" s="30" t="n"/>
      <c r="G389" s="30" t="n"/>
      <c r="H389" s="30" t="n"/>
      <c r="I389" s="30" t="n"/>
      <c r="J389" s="30" t="n"/>
      <c r="K389" s="30" t="n"/>
      <c r="L389" s="30" t="n"/>
      <c r="M389" s="30" t="n"/>
      <c r="N389" s="30" t="n"/>
      <c r="O389" s="30" t="n"/>
      <c r="P389" s="30" t="n"/>
      <c r="Q389" s="30" t="n"/>
      <c r="R389" s="30" t="n"/>
      <c r="S389" s="30" t="n"/>
      <c r="T389" s="30" t="n"/>
      <c r="U389" s="30" t="n"/>
      <c r="V389" s="30" t="n"/>
      <c r="W389" s="30" t="n"/>
      <c r="X389" s="30" t="n"/>
      <c r="Y389" s="30" t="n"/>
      <c r="Z389" s="30" t="n"/>
      <c r="AA389" s="30" t="n"/>
    </row>
    <row r="390">
      <c r="A390" s="30" t="n"/>
      <c r="B390" s="156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30" t="n"/>
      <c r="L390" s="30" t="n"/>
      <c r="M390" s="30" t="n"/>
      <c r="N390" s="30" t="n"/>
      <c r="O390" s="30" t="n"/>
      <c r="P390" s="30" t="n"/>
      <c r="Q390" s="30" t="n"/>
      <c r="R390" s="30" t="n"/>
      <c r="S390" s="30" t="n"/>
      <c r="T390" s="30" t="n"/>
      <c r="U390" s="30" t="n"/>
      <c r="V390" s="30" t="n"/>
      <c r="W390" s="30" t="n"/>
      <c r="X390" s="30" t="n"/>
      <c r="Y390" s="30" t="n"/>
      <c r="Z390" s="30" t="n"/>
      <c r="AA390" s="30" t="n"/>
    </row>
    <row r="391">
      <c r="A391" s="30" t="n"/>
      <c r="B391" s="156" t="n"/>
      <c r="C391" s="30" t="n"/>
      <c r="D391" s="30" t="n"/>
      <c r="E391" s="30" t="n"/>
      <c r="F391" s="30" t="n"/>
      <c r="G391" s="30" t="n"/>
      <c r="H391" s="30" t="n"/>
      <c r="I391" s="30" t="n"/>
      <c r="J391" s="30" t="n"/>
      <c r="K391" s="30" t="n"/>
      <c r="L391" s="30" t="n"/>
      <c r="M391" s="30" t="n"/>
      <c r="N391" s="30" t="n"/>
      <c r="O391" s="30" t="n"/>
      <c r="P391" s="30" t="n"/>
      <c r="Q391" s="30" t="n"/>
      <c r="R391" s="30" t="n"/>
      <c r="S391" s="30" t="n"/>
      <c r="T391" s="30" t="n"/>
      <c r="U391" s="30" t="n"/>
      <c r="V391" s="30" t="n"/>
      <c r="W391" s="30" t="n"/>
      <c r="X391" s="30" t="n"/>
      <c r="Y391" s="30" t="n"/>
      <c r="Z391" s="30" t="n"/>
      <c r="AA391" s="30" t="n"/>
    </row>
    <row r="392">
      <c r="A392" s="30" t="n"/>
      <c r="B392" s="156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30" t="n"/>
      <c r="L392" s="30" t="n"/>
      <c r="M392" s="30" t="n"/>
      <c r="N392" s="30" t="n"/>
      <c r="O392" s="30" t="n"/>
      <c r="P392" s="30" t="n"/>
      <c r="Q392" s="30" t="n"/>
      <c r="R392" s="30" t="n"/>
      <c r="S392" s="30" t="n"/>
      <c r="T392" s="30" t="n"/>
      <c r="U392" s="30" t="n"/>
      <c r="V392" s="30" t="n"/>
      <c r="W392" s="30" t="n"/>
      <c r="X392" s="30" t="n"/>
      <c r="Y392" s="30" t="n"/>
      <c r="Z392" s="30" t="n"/>
      <c r="AA392" s="30" t="n"/>
    </row>
    <row r="393">
      <c r="A393" s="30" t="n"/>
      <c r="B393" s="156" t="n"/>
      <c r="C393" s="30" t="n"/>
      <c r="D393" s="30" t="n"/>
      <c r="E393" s="30" t="n"/>
      <c r="F393" s="30" t="n"/>
      <c r="G393" s="30" t="n"/>
      <c r="H393" s="30" t="n"/>
      <c r="I393" s="30" t="n"/>
      <c r="J393" s="30" t="n"/>
      <c r="K393" s="30" t="n"/>
      <c r="L393" s="30" t="n"/>
      <c r="M393" s="30" t="n"/>
      <c r="N393" s="30" t="n"/>
      <c r="O393" s="30" t="n"/>
      <c r="P393" s="30" t="n"/>
      <c r="Q393" s="30" t="n"/>
      <c r="R393" s="30" t="n"/>
      <c r="S393" s="30" t="n"/>
      <c r="T393" s="30" t="n"/>
      <c r="U393" s="30" t="n"/>
      <c r="V393" s="30" t="n"/>
      <c r="W393" s="30" t="n"/>
      <c r="X393" s="30" t="n"/>
      <c r="Y393" s="30" t="n"/>
      <c r="Z393" s="30" t="n"/>
      <c r="AA393" s="30" t="n"/>
    </row>
    <row r="394">
      <c r="A394" s="30" t="n"/>
      <c r="B394" s="156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30" t="n"/>
      <c r="L394" s="30" t="n"/>
      <c r="M394" s="30" t="n"/>
      <c r="N394" s="30" t="n"/>
      <c r="O394" s="30" t="n"/>
      <c r="P394" s="30" t="n"/>
      <c r="Q394" s="30" t="n"/>
      <c r="R394" s="30" t="n"/>
      <c r="S394" s="30" t="n"/>
      <c r="T394" s="30" t="n"/>
      <c r="U394" s="30" t="n"/>
      <c r="V394" s="30" t="n"/>
      <c r="W394" s="30" t="n"/>
      <c r="X394" s="30" t="n"/>
      <c r="Y394" s="30" t="n"/>
      <c r="Z394" s="30" t="n"/>
      <c r="AA394" s="30" t="n"/>
    </row>
    <row r="395">
      <c r="A395" s="30" t="n"/>
      <c r="B395" s="156" t="n"/>
      <c r="C395" s="30" t="n"/>
      <c r="D395" s="30" t="n"/>
      <c r="E395" s="30" t="n"/>
      <c r="F395" s="30" t="n"/>
      <c r="G395" s="30" t="n"/>
      <c r="H395" s="30" t="n"/>
      <c r="I395" s="30" t="n"/>
      <c r="J395" s="30" t="n"/>
      <c r="K395" s="30" t="n"/>
      <c r="L395" s="30" t="n"/>
      <c r="M395" s="30" t="n"/>
      <c r="N395" s="30" t="n"/>
      <c r="O395" s="30" t="n"/>
      <c r="P395" s="30" t="n"/>
      <c r="Q395" s="30" t="n"/>
      <c r="R395" s="30" t="n"/>
      <c r="S395" s="30" t="n"/>
      <c r="T395" s="30" t="n"/>
      <c r="U395" s="30" t="n"/>
      <c r="V395" s="30" t="n"/>
      <c r="W395" s="30" t="n"/>
      <c r="X395" s="30" t="n"/>
      <c r="Y395" s="30" t="n"/>
      <c r="Z395" s="30" t="n"/>
      <c r="AA395" s="30" t="n"/>
    </row>
    <row r="396">
      <c r="A396" s="30" t="n"/>
      <c r="B396" s="156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30" t="n"/>
      <c r="L396" s="30" t="n"/>
      <c r="M396" s="30" t="n"/>
      <c r="N396" s="30" t="n"/>
      <c r="O396" s="30" t="n"/>
      <c r="P396" s="30" t="n"/>
      <c r="Q396" s="30" t="n"/>
      <c r="R396" s="30" t="n"/>
      <c r="S396" s="30" t="n"/>
      <c r="T396" s="30" t="n"/>
      <c r="U396" s="30" t="n"/>
      <c r="V396" s="30" t="n"/>
      <c r="W396" s="30" t="n"/>
      <c r="X396" s="30" t="n"/>
      <c r="Y396" s="30" t="n"/>
      <c r="Z396" s="30" t="n"/>
      <c r="AA396" s="30" t="n"/>
    </row>
    <row r="397">
      <c r="A397" s="30" t="n"/>
      <c r="B397" s="156" t="n"/>
      <c r="C397" s="30" t="n"/>
      <c r="D397" s="30" t="n"/>
      <c r="E397" s="30" t="n"/>
      <c r="F397" s="30" t="n"/>
      <c r="G397" s="30" t="n"/>
      <c r="H397" s="30" t="n"/>
      <c r="I397" s="30" t="n"/>
      <c r="J397" s="30" t="n"/>
      <c r="K397" s="30" t="n"/>
      <c r="L397" s="30" t="n"/>
      <c r="M397" s="30" t="n"/>
      <c r="N397" s="30" t="n"/>
      <c r="O397" s="30" t="n"/>
      <c r="P397" s="30" t="n"/>
      <c r="Q397" s="30" t="n"/>
      <c r="R397" s="30" t="n"/>
      <c r="S397" s="30" t="n"/>
      <c r="T397" s="30" t="n"/>
      <c r="U397" s="30" t="n"/>
      <c r="V397" s="30" t="n"/>
      <c r="W397" s="30" t="n"/>
      <c r="X397" s="30" t="n"/>
      <c r="Y397" s="30" t="n"/>
      <c r="Z397" s="30" t="n"/>
      <c r="AA397" s="30" t="n"/>
    </row>
    <row r="398">
      <c r="A398" s="30" t="n"/>
      <c r="B398" s="156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30" t="n"/>
      <c r="L398" s="30" t="n"/>
      <c r="M398" s="30" t="n"/>
      <c r="N398" s="30" t="n"/>
      <c r="O398" s="30" t="n"/>
      <c r="P398" s="30" t="n"/>
      <c r="Q398" s="30" t="n"/>
      <c r="R398" s="30" t="n"/>
      <c r="S398" s="30" t="n"/>
      <c r="T398" s="30" t="n"/>
      <c r="U398" s="30" t="n"/>
      <c r="V398" s="30" t="n"/>
      <c r="W398" s="30" t="n"/>
      <c r="X398" s="30" t="n"/>
      <c r="Y398" s="30" t="n"/>
      <c r="Z398" s="30" t="n"/>
      <c r="AA398" s="30" t="n"/>
    </row>
    <row r="399">
      <c r="A399" s="30" t="n"/>
      <c r="B399" s="156" t="n"/>
      <c r="C399" s="30" t="n"/>
      <c r="D399" s="30" t="n"/>
      <c r="E399" s="30" t="n"/>
      <c r="F399" s="30" t="n"/>
      <c r="G399" s="30" t="n"/>
      <c r="H399" s="30" t="n"/>
      <c r="I399" s="30" t="n"/>
      <c r="J399" s="30" t="n"/>
      <c r="K399" s="30" t="n"/>
      <c r="L399" s="30" t="n"/>
      <c r="M399" s="30" t="n"/>
      <c r="N399" s="30" t="n"/>
      <c r="O399" s="30" t="n"/>
      <c r="P399" s="30" t="n"/>
      <c r="Q399" s="30" t="n"/>
      <c r="R399" s="30" t="n"/>
      <c r="S399" s="30" t="n"/>
      <c r="T399" s="30" t="n"/>
      <c r="U399" s="30" t="n"/>
      <c r="V399" s="30" t="n"/>
      <c r="W399" s="30" t="n"/>
      <c r="X399" s="30" t="n"/>
      <c r="Y399" s="30" t="n"/>
      <c r="Z399" s="30" t="n"/>
      <c r="AA399" s="30" t="n"/>
    </row>
    <row r="400">
      <c r="A400" s="30" t="n"/>
      <c r="B400" s="156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30" t="n"/>
      <c r="L400" s="30" t="n"/>
      <c r="M400" s="30" t="n"/>
      <c r="N400" s="30" t="n"/>
      <c r="O400" s="30" t="n"/>
      <c r="P400" s="30" t="n"/>
      <c r="Q400" s="30" t="n"/>
      <c r="R400" s="30" t="n"/>
      <c r="S400" s="30" t="n"/>
      <c r="T400" s="30" t="n"/>
      <c r="U400" s="30" t="n"/>
      <c r="V400" s="30" t="n"/>
      <c r="W400" s="30" t="n"/>
      <c r="X400" s="30" t="n"/>
      <c r="Y400" s="30" t="n"/>
      <c r="Z400" s="30" t="n"/>
      <c r="AA400" s="30" t="n"/>
    </row>
    <row r="401">
      <c r="A401" s="30" t="n"/>
      <c r="B401" s="156" t="n"/>
      <c r="C401" s="30" t="n"/>
      <c r="D401" s="30" t="n"/>
      <c r="E401" s="30" t="n"/>
      <c r="F401" s="30" t="n"/>
      <c r="G401" s="30" t="n"/>
      <c r="H401" s="30" t="n"/>
      <c r="I401" s="30" t="n"/>
      <c r="J401" s="30" t="n"/>
      <c r="K401" s="30" t="n"/>
      <c r="L401" s="30" t="n"/>
      <c r="M401" s="30" t="n"/>
      <c r="N401" s="30" t="n"/>
      <c r="O401" s="30" t="n"/>
      <c r="P401" s="30" t="n"/>
      <c r="Q401" s="30" t="n"/>
      <c r="R401" s="30" t="n"/>
      <c r="S401" s="30" t="n"/>
      <c r="T401" s="30" t="n"/>
      <c r="U401" s="30" t="n"/>
      <c r="V401" s="30" t="n"/>
      <c r="W401" s="30" t="n"/>
      <c r="X401" s="30" t="n"/>
      <c r="Y401" s="30" t="n"/>
      <c r="Z401" s="30" t="n"/>
      <c r="AA401" s="30" t="n"/>
    </row>
    <row r="402">
      <c r="A402" s="30" t="n"/>
      <c r="B402" s="156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30" t="n"/>
      <c r="L402" s="30" t="n"/>
      <c r="M402" s="30" t="n"/>
      <c r="N402" s="30" t="n"/>
      <c r="O402" s="30" t="n"/>
      <c r="P402" s="30" t="n"/>
      <c r="Q402" s="30" t="n"/>
      <c r="R402" s="30" t="n"/>
      <c r="S402" s="30" t="n"/>
      <c r="T402" s="30" t="n"/>
      <c r="U402" s="30" t="n"/>
      <c r="V402" s="30" t="n"/>
      <c r="W402" s="30" t="n"/>
      <c r="X402" s="30" t="n"/>
      <c r="Y402" s="30" t="n"/>
      <c r="Z402" s="30" t="n"/>
      <c r="AA402" s="30" t="n"/>
    </row>
    <row r="403">
      <c r="A403" s="30" t="n"/>
      <c r="B403" s="156" t="n"/>
      <c r="C403" s="30" t="n"/>
      <c r="D403" s="30" t="n"/>
      <c r="E403" s="30" t="n"/>
      <c r="F403" s="30" t="n"/>
      <c r="G403" s="30" t="n"/>
      <c r="H403" s="30" t="n"/>
      <c r="I403" s="30" t="n"/>
      <c r="J403" s="30" t="n"/>
      <c r="K403" s="30" t="n"/>
      <c r="L403" s="30" t="n"/>
      <c r="M403" s="30" t="n"/>
      <c r="N403" s="30" t="n"/>
      <c r="O403" s="30" t="n"/>
      <c r="P403" s="30" t="n"/>
      <c r="Q403" s="30" t="n"/>
      <c r="R403" s="30" t="n"/>
      <c r="S403" s="30" t="n"/>
      <c r="T403" s="30" t="n"/>
      <c r="U403" s="30" t="n"/>
      <c r="V403" s="30" t="n"/>
      <c r="W403" s="30" t="n"/>
      <c r="X403" s="30" t="n"/>
      <c r="Y403" s="30" t="n"/>
      <c r="Z403" s="30" t="n"/>
      <c r="AA403" s="30" t="n"/>
    </row>
    <row r="404">
      <c r="A404" s="30" t="n"/>
      <c r="B404" s="156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30" t="n"/>
      <c r="L404" s="30" t="n"/>
      <c r="M404" s="30" t="n"/>
      <c r="N404" s="30" t="n"/>
      <c r="O404" s="30" t="n"/>
      <c r="P404" s="30" t="n"/>
      <c r="Q404" s="30" t="n"/>
      <c r="R404" s="30" t="n"/>
      <c r="S404" s="30" t="n"/>
      <c r="T404" s="30" t="n"/>
      <c r="U404" s="30" t="n"/>
      <c r="V404" s="30" t="n"/>
      <c r="W404" s="30" t="n"/>
      <c r="X404" s="30" t="n"/>
      <c r="Y404" s="30" t="n"/>
      <c r="Z404" s="30" t="n"/>
      <c r="AA404" s="30" t="n"/>
    </row>
    <row r="405">
      <c r="A405" s="30" t="n"/>
      <c r="B405" s="156" t="n"/>
      <c r="C405" s="30" t="n"/>
      <c r="D405" s="30" t="n"/>
      <c r="E405" s="30" t="n"/>
      <c r="F405" s="30" t="n"/>
      <c r="G405" s="30" t="n"/>
      <c r="H405" s="30" t="n"/>
      <c r="I405" s="30" t="n"/>
      <c r="J405" s="30" t="n"/>
      <c r="K405" s="30" t="n"/>
      <c r="L405" s="30" t="n"/>
      <c r="M405" s="30" t="n"/>
      <c r="N405" s="30" t="n"/>
      <c r="O405" s="30" t="n"/>
      <c r="P405" s="30" t="n"/>
      <c r="Q405" s="30" t="n"/>
      <c r="R405" s="30" t="n"/>
      <c r="S405" s="30" t="n"/>
      <c r="T405" s="30" t="n"/>
      <c r="U405" s="30" t="n"/>
      <c r="V405" s="30" t="n"/>
      <c r="W405" s="30" t="n"/>
      <c r="X405" s="30" t="n"/>
      <c r="Y405" s="30" t="n"/>
      <c r="Z405" s="30" t="n"/>
      <c r="AA405" s="30" t="n"/>
    </row>
    <row r="406">
      <c r="A406" s="30" t="n"/>
      <c r="B406" s="156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30" t="n"/>
      <c r="L406" s="30" t="n"/>
      <c r="M406" s="30" t="n"/>
      <c r="N406" s="30" t="n"/>
      <c r="O406" s="30" t="n"/>
      <c r="P406" s="30" t="n"/>
      <c r="Q406" s="30" t="n"/>
      <c r="R406" s="30" t="n"/>
      <c r="S406" s="30" t="n"/>
      <c r="T406" s="30" t="n"/>
      <c r="U406" s="30" t="n"/>
      <c r="V406" s="30" t="n"/>
      <c r="W406" s="30" t="n"/>
      <c r="X406" s="30" t="n"/>
      <c r="Y406" s="30" t="n"/>
      <c r="Z406" s="30" t="n"/>
      <c r="AA406" s="30" t="n"/>
    </row>
    <row r="407">
      <c r="A407" s="30" t="n"/>
      <c r="B407" s="156" t="n"/>
      <c r="C407" s="30" t="n"/>
      <c r="D407" s="30" t="n"/>
      <c r="E407" s="30" t="n"/>
      <c r="F407" s="30" t="n"/>
      <c r="G407" s="30" t="n"/>
      <c r="H407" s="30" t="n"/>
      <c r="I407" s="30" t="n"/>
      <c r="J407" s="30" t="n"/>
      <c r="K407" s="30" t="n"/>
      <c r="L407" s="30" t="n"/>
      <c r="M407" s="30" t="n"/>
      <c r="N407" s="30" t="n"/>
      <c r="O407" s="30" t="n"/>
      <c r="P407" s="30" t="n"/>
      <c r="Q407" s="30" t="n"/>
      <c r="R407" s="30" t="n"/>
      <c r="S407" s="30" t="n"/>
      <c r="T407" s="30" t="n"/>
      <c r="U407" s="30" t="n"/>
      <c r="V407" s="30" t="n"/>
      <c r="W407" s="30" t="n"/>
      <c r="X407" s="30" t="n"/>
      <c r="Y407" s="30" t="n"/>
      <c r="Z407" s="30" t="n"/>
      <c r="AA407" s="30" t="n"/>
    </row>
    <row r="408">
      <c r="A408" s="30" t="n"/>
      <c r="B408" s="156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30" t="n"/>
      <c r="L408" s="30" t="n"/>
      <c r="M408" s="30" t="n"/>
      <c r="N408" s="30" t="n"/>
      <c r="O408" s="30" t="n"/>
      <c r="P408" s="30" t="n"/>
      <c r="Q408" s="30" t="n"/>
      <c r="R408" s="30" t="n"/>
      <c r="S408" s="30" t="n"/>
      <c r="T408" s="30" t="n"/>
      <c r="U408" s="30" t="n"/>
      <c r="V408" s="30" t="n"/>
      <c r="W408" s="30" t="n"/>
      <c r="X408" s="30" t="n"/>
      <c r="Y408" s="30" t="n"/>
      <c r="Z408" s="30" t="n"/>
      <c r="AA408" s="30" t="n"/>
    </row>
    <row r="409">
      <c r="A409" s="30" t="n"/>
      <c r="B409" s="156" t="n"/>
      <c r="C409" s="30" t="n"/>
      <c r="D409" s="30" t="n"/>
      <c r="E409" s="30" t="n"/>
      <c r="F409" s="30" t="n"/>
      <c r="G409" s="30" t="n"/>
      <c r="H409" s="30" t="n"/>
      <c r="I409" s="30" t="n"/>
      <c r="J409" s="30" t="n"/>
      <c r="K409" s="30" t="n"/>
      <c r="L409" s="30" t="n"/>
      <c r="M409" s="30" t="n"/>
      <c r="N409" s="30" t="n"/>
      <c r="O409" s="30" t="n"/>
      <c r="P409" s="30" t="n"/>
      <c r="Q409" s="30" t="n"/>
      <c r="R409" s="30" t="n"/>
      <c r="S409" s="30" t="n"/>
      <c r="T409" s="30" t="n"/>
      <c r="U409" s="30" t="n"/>
      <c r="V409" s="30" t="n"/>
      <c r="W409" s="30" t="n"/>
      <c r="X409" s="30" t="n"/>
      <c r="Y409" s="30" t="n"/>
      <c r="Z409" s="30" t="n"/>
      <c r="AA409" s="30" t="n"/>
    </row>
    <row r="410">
      <c r="A410" s="30" t="n"/>
      <c r="B410" s="156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30" t="n"/>
      <c r="L410" s="30" t="n"/>
      <c r="M410" s="30" t="n"/>
      <c r="N410" s="30" t="n"/>
      <c r="O410" s="30" t="n"/>
      <c r="P410" s="30" t="n"/>
      <c r="Q410" s="30" t="n"/>
      <c r="R410" s="30" t="n"/>
      <c r="S410" s="30" t="n"/>
      <c r="T410" s="30" t="n"/>
      <c r="U410" s="30" t="n"/>
      <c r="V410" s="30" t="n"/>
      <c r="W410" s="30" t="n"/>
      <c r="X410" s="30" t="n"/>
      <c r="Y410" s="30" t="n"/>
      <c r="Z410" s="30" t="n"/>
      <c r="AA410" s="30" t="n"/>
    </row>
    <row r="411">
      <c r="A411" s="30" t="n"/>
      <c r="B411" s="156" t="n"/>
      <c r="C411" s="30" t="n"/>
      <c r="D411" s="30" t="n"/>
      <c r="E411" s="30" t="n"/>
      <c r="F411" s="30" t="n"/>
      <c r="G411" s="30" t="n"/>
      <c r="H411" s="30" t="n"/>
      <c r="I411" s="30" t="n"/>
      <c r="J411" s="30" t="n"/>
      <c r="K411" s="30" t="n"/>
      <c r="L411" s="30" t="n"/>
      <c r="M411" s="30" t="n"/>
      <c r="N411" s="30" t="n"/>
      <c r="O411" s="30" t="n"/>
      <c r="P411" s="30" t="n"/>
      <c r="Q411" s="30" t="n"/>
      <c r="R411" s="30" t="n"/>
      <c r="S411" s="30" t="n"/>
      <c r="T411" s="30" t="n"/>
      <c r="U411" s="30" t="n"/>
      <c r="V411" s="30" t="n"/>
      <c r="W411" s="30" t="n"/>
      <c r="X411" s="30" t="n"/>
      <c r="Y411" s="30" t="n"/>
      <c r="Z411" s="30" t="n"/>
      <c r="AA411" s="30" t="n"/>
    </row>
    <row r="412">
      <c r="A412" s="30" t="n"/>
      <c r="B412" s="156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30" t="n"/>
      <c r="L412" s="30" t="n"/>
      <c r="M412" s="30" t="n"/>
      <c r="N412" s="30" t="n"/>
      <c r="O412" s="30" t="n"/>
      <c r="P412" s="30" t="n"/>
      <c r="Q412" s="30" t="n"/>
      <c r="R412" s="30" t="n"/>
      <c r="S412" s="30" t="n"/>
      <c r="T412" s="30" t="n"/>
      <c r="U412" s="30" t="n"/>
      <c r="V412" s="30" t="n"/>
      <c r="W412" s="30" t="n"/>
      <c r="X412" s="30" t="n"/>
      <c r="Y412" s="30" t="n"/>
      <c r="Z412" s="30" t="n"/>
      <c r="AA412" s="30" t="n"/>
    </row>
    <row r="413">
      <c r="A413" s="30" t="n"/>
      <c r="B413" s="156" t="n"/>
      <c r="C413" s="30" t="n"/>
      <c r="D413" s="30" t="n"/>
      <c r="E413" s="30" t="n"/>
      <c r="F413" s="30" t="n"/>
      <c r="G413" s="30" t="n"/>
      <c r="H413" s="30" t="n"/>
      <c r="I413" s="30" t="n"/>
      <c r="J413" s="30" t="n"/>
      <c r="K413" s="30" t="n"/>
      <c r="L413" s="30" t="n"/>
      <c r="M413" s="30" t="n"/>
      <c r="N413" s="30" t="n"/>
      <c r="O413" s="30" t="n"/>
      <c r="P413" s="30" t="n"/>
      <c r="Q413" s="30" t="n"/>
      <c r="R413" s="30" t="n"/>
      <c r="S413" s="30" t="n"/>
      <c r="T413" s="30" t="n"/>
      <c r="U413" s="30" t="n"/>
      <c r="V413" s="30" t="n"/>
      <c r="W413" s="30" t="n"/>
      <c r="X413" s="30" t="n"/>
      <c r="Y413" s="30" t="n"/>
      <c r="Z413" s="30" t="n"/>
      <c r="AA413" s="30" t="n"/>
    </row>
    <row r="414">
      <c r="A414" s="30" t="n"/>
      <c r="B414" s="156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30" t="n"/>
      <c r="L414" s="30" t="n"/>
      <c r="M414" s="30" t="n"/>
      <c r="N414" s="30" t="n"/>
      <c r="O414" s="30" t="n"/>
      <c r="P414" s="30" t="n"/>
      <c r="Q414" s="30" t="n"/>
      <c r="R414" s="30" t="n"/>
      <c r="S414" s="30" t="n"/>
      <c r="T414" s="30" t="n"/>
      <c r="U414" s="30" t="n"/>
      <c r="V414" s="30" t="n"/>
      <c r="W414" s="30" t="n"/>
      <c r="X414" s="30" t="n"/>
      <c r="Y414" s="30" t="n"/>
      <c r="Z414" s="30" t="n"/>
      <c r="AA414" s="30" t="n"/>
    </row>
    <row r="415">
      <c r="A415" s="30" t="n"/>
      <c r="B415" s="156" t="n"/>
      <c r="C415" s="30" t="n"/>
      <c r="D415" s="30" t="n"/>
      <c r="E415" s="30" t="n"/>
      <c r="F415" s="30" t="n"/>
      <c r="G415" s="30" t="n"/>
      <c r="H415" s="30" t="n"/>
      <c r="I415" s="30" t="n"/>
      <c r="J415" s="30" t="n"/>
      <c r="K415" s="30" t="n"/>
      <c r="L415" s="30" t="n"/>
      <c r="M415" s="30" t="n"/>
      <c r="N415" s="30" t="n"/>
      <c r="O415" s="30" t="n"/>
      <c r="P415" s="30" t="n"/>
      <c r="Q415" s="30" t="n"/>
      <c r="R415" s="30" t="n"/>
      <c r="S415" s="30" t="n"/>
      <c r="T415" s="30" t="n"/>
      <c r="U415" s="30" t="n"/>
      <c r="V415" s="30" t="n"/>
      <c r="W415" s="30" t="n"/>
      <c r="X415" s="30" t="n"/>
      <c r="Y415" s="30" t="n"/>
      <c r="Z415" s="30" t="n"/>
      <c r="AA415" s="30" t="n"/>
    </row>
    <row r="416">
      <c r="A416" s="30" t="n"/>
      <c r="B416" s="156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30" t="n"/>
      <c r="L416" s="30" t="n"/>
      <c r="M416" s="30" t="n"/>
      <c r="N416" s="30" t="n"/>
      <c r="O416" s="30" t="n"/>
      <c r="P416" s="30" t="n"/>
      <c r="Q416" s="30" t="n"/>
      <c r="R416" s="30" t="n"/>
      <c r="S416" s="30" t="n"/>
      <c r="T416" s="30" t="n"/>
      <c r="U416" s="30" t="n"/>
      <c r="V416" s="30" t="n"/>
      <c r="W416" s="30" t="n"/>
      <c r="X416" s="30" t="n"/>
      <c r="Y416" s="30" t="n"/>
      <c r="Z416" s="30" t="n"/>
      <c r="AA416" s="30" t="n"/>
    </row>
    <row r="417">
      <c r="A417" s="30" t="n"/>
      <c r="B417" s="156" t="n"/>
      <c r="C417" s="30" t="n"/>
      <c r="D417" s="30" t="n"/>
      <c r="E417" s="30" t="n"/>
      <c r="F417" s="30" t="n"/>
      <c r="G417" s="30" t="n"/>
      <c r="H417" s="30" t="n"/>
      <c r="I417" s="30" t="n"/>
      <c r="J417" s="30" t="n"/>
      <c r="K417" s="30" t="n"/>
      <c r="L417" s="30" t="n"/>
      <c r="M417" s="30" t="n"/>
      <c r="N417" s="30" t="n"/>
      <c r="O417" s="30" t="n"/>
      <c r="P417" s="30" t="n"/>
      <c r="Q417" s="30" t="n"/>
      <c r="R417" s="30" t="n"/>
      <c r="S417" s="30" t="n"/>
      <c r="T417" s="30" t="n"/>
      <c r="U417" s="30" t="n"/>
      <c r="V417" s="30" t="n"/>
      <c r="W417" s="30" t="n"/>
      <c r="X417" s="30" t="n"/>
      <c r="Y417" s="30" t="n"/>
      <c r="Z417" s="30" t="n"/>
      <c r="AA417" s="30" t="n"/>
    </row>
    <row r="418">
      <c r="A418" s="30" t="n"/>
      <c r="B418" s="156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30" t="n"/>
      <c r="L418" s="30" t="n"/>
      <c r="M418" s="30" t="n"/>
      <c r="N418" s="30" t="n"/>
      <c r="O418" s="30" t="n"/>
      <c r="P418" s="30" t="n"/>
      <c r="Q418" s="30" t="n"/>
      <c r="R418" s="30" t="n"/>
      <c r="S418" s="30" t="n"/>
      <c r="T418" s="30" t="n"/>
      <c r="U418" s="30" t="n"/>
      <c r="V418" s="30" t="n"/>
      <c r="W418" s="30" t="n"/>
      <c r="X418" s="30" t="n"/>
      <c r="Y418" s="30" t="n"/>
      <c r="Z418" s="30" t="n"/>
      <c r="AA418" s="30" t="n"/>
    </row>
    <row r="419">
      <c r="A419" s="30" t="n"/>
      <c r="B419" s="156" t="n"/>
      <c r="C419" s="30" t="n"/>
      <c r="D419" s="30" t="n"/>
      <c r="E419" s="30" t="n"/>
      <c r="F419" s="30" t="n"/>
      <c r="G419" s="30" t="n"/>
      <c r="H419" s="30" t="n"/>
      <c r="I419" s="30" t="n"/>
      <c r="J419" s="30" t="n"/>
      <c r="K419" s="30" t="n"/>
      <c r="L419" s="30" t="n"/>
      <c r="M419" s="30" t="n"/>
      <c r="N419" s="30" t="n"/>
      <c r="O419" s="30" t="n"/>
      <c r="P419" s="30" t="n"/>
      <c r="Q419" s="30" t="n"/>
      <c r="R419" s="30" t="n"/>
      <c r="S419" s="30" t="n"/>
      <c r="T419" s="30" t="n"/>
      <c r="U419" s="30" t="n"/>
      <c r="V419" s="30" t="n"/>
      <c r="W419" s="30" t="n"/>
      <c r="X419" s="30" t="n"/>
      <c r="Y419" s="30" t="n"/>
      <c r="Z419" s="30" t="n"/>
      <c r="AA419" s="30" t="n"/>
    </row>
    <row r="420">
      <c r="A420" s="30" t="n"/>
      <c r="B420" s="156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30" t="n"/>
      <c r="L420" s="30" t="n"/>
      <c r="M420" s="30" t="n"/>
      <c r="N420" s="30" t="n"/>
      <c r="O420" s="30" t="n"/>
      <c r="P420" s="30" t="n"/>
      <c r="Q420" s="30" t="n"/>
      <c r="R420" s="30" t="n"/>
      <c r="S420" s="30" t="n"/>
      <c r="T420" s="30" t="n"/>
      <c r="U420" s="30" t="n"/>
      <c r="V420" s="30" t="n"/>
      <c r="W420" s="30" t="n"/>
      <c r="X420" s="30" t="n"/>
      <c r="Y420" s="30" t="n"/>
      <c r="Z420" s="30" t="n"/>
      <c r="AA420" s="30" t="n"/>
    </row>
    <row r="421">
      <c r="A421" s="30" t="n"/>
      <c r="B421" s="156" t="n"/>
      <c r="C421" s="30" t="n"/>
      <c r="D421" s="30" t="n"/>
      <c r="E421" s="30" t="n"/>
      <c r="F421" s="30" t="n"/>
      <c r="G421" s="30" t="n"/>
      <c r="H421" s="30" t="n"/>
      <c r="I421" s="30" t="n"/>
      <c r="J421" s="30" t="n"/>
      <c r="K421" s="30" t="n"/>
      <c r="L421" s="30" t="n"/>
      <c r="M421" s="30" t="n"/>
      <c r="N421" s="30" t="n"/>
      <c r="O421" s="30" t="n"/>
      <c r="P421" s="30" t="n"/>
      <c r="Q421" s="30" t="n"/>
      <c r="R421" s="30" t="n"/>
      <c r="S421" s="30" t="n"/>
      <c r="T421" s="30" t="n"/>
      <c r="U421" s="30" t="n"/>
      <c r="V421" s="30" t="n"/>
      <c r="W421" s="30" t="n"/>
      <c r="X421" s="30" t="n"/>
      <c r="Y421" s="30" t="n"/>
      <c r="Z421" s="30" t="n"/>
      <c r="AA421" s="30" t="n"/>
    </row>
    <row r="422">
      <c r="A422" s="30" t="n"/>
      <c r="B422" s="156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30" t="n"/>
      <c r="L422" s="30" t="n"/>
      <c r="M422" s="30" t="n"/>
      <c r="N422" s="30" t="n"/>
      <c r="O422" s="30" t="n"/>
      <c r="P422" s="30" t="n"/>
      <c r="Q422" s="30" t="n"/>
      <c r="R422" s="30" t="n"/>
      <c r="S422" s="30" t="n"/>
      <c r="T422" s="30" t="n"/>
      <c r="U422" s="30" t="n"/>
      <c r="V422" s="30" t="n"/>
      <c r="W422" s="30" t="n"/>
      <c r="X422" s="30" t="n"/>
      <c r="Y422" s="30" t="n"/>
      <c r="Z422" s="30" t="n"/>
      <c r="AA422" s="30" t="n"/>
    </row>
    <row r="423">
      <c r="A423" s="30" t="n"/>
      <c r="B423" s="156" t="n"/>
      <c r="C423" s="30" t="n"/>
      <c r="D423" s="30" t="n"/>
      <c r="E423" s="30" t="n"/>
      <c r="F423" s="30" t="n"/>
      <c r="G423" s="30" t="n"/>
      <c r="H423" s="30" t="n"/>
      <c r="I423" s="30" t="n"/>
      <c r="J423" s="30" t="n"/>
      <c r="K423" s="30" t="n"/>
      <c r="L423" s="30" t="n"/>
      <c r="M423" s="30" t="n"/>
      <c r="N423" s="30" t="n"/>
      <c r="O423" s="30" t="n"/>
      <c r="P423" s="30" t="n"/>
      <c r="Q423" s="30" t="n"/>
      <c r="R423" s="30" t="n"/>
      <c r="S423" s="30" t="n"/>
      <c r="T423" s="30" t="n"/>
      <c r="U423" s="30" t="n"/>
      <c r="V423" s="30" t="n"/>
      <c r="W423" s="30" t="n"/>
      <c r="X423" s="30" t="n"/>
      <c r="Y423" s="30" t="n"/>
      <c r="Z423" s="30" t="n"/>
      <c r="AA423" s="30" t="n"/>
    </row>
    <row r="424">
      <c r="A424" s="30" t="n"/>
      <c r="B424" s="156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30" t="n"/>
      <c r="L424" s="30" t="n"/>
      <c r="M424" s="30" t="n"/>
      <c r="N424" s="30" t="n"/>
      <c r="O424" s="30" t="n"/>
      <c r="P424" s="30" t="n"/>
      <c r="Q424" s="30" t="n"/>
      <c r="R424" s="30" t="n"/>
      <c r="S424" s="30" t="n"/>
      <c r="T424" s="30" t="n"/>
      <c r="U424" s="30" t="n"/>
      <c r="V424" s="30" t="n"/>
      <c r="W424" s="30" t="n"/>
      <c r="X424" s="30" t="n"/>
      <c r="Y424" s="30" t="n"/>
      <c r="Z424" s="30" t="n"/>
      <c r="AA424" s="30" t="n"/>
    </row>
    <row r="425">
      <c r="A425" s="30" t="n"/>
      <c r="B425" s="156" t="n"/>
      <c r="C425" s="30" t="n"/>
      <c r="D425" s="30" t="n"/>
      <c r="E425" s="30" t="n"/>
      <c r="F425" s="30" t="n"/>
      <c r="G425" s="30" t="n"/>
      <c r="H425" s="30" t="n"/>
      <c r="I425" s="30" t="n"/>
      <c r="J425" s="30" t="n"/>
      <c r="K425" s="30" t="n"/>
      <c r="L425" s="30" t="n"/>
      <c r="M425" s="30" t="n"/>
      <c r="N425" s="30" t="n"/>
      <c r="O425" s="30" t="n"/>
      <c r="P425" s="30" t="n"/>
      <c r="Q425" s="30" t="n"/>
      <c r="R425" s="30" t="n"/>
      <c r="S425" s="30" t="n"/>
      <c r="T425" s="30" t="n"/>
      <c r="U425" s="30" t="n"/>
      <c r="V425" s="30" t="n"/>
      <c r="W425" s="30" t="n"/>
      <c r="X425" s="30" t="n"/>
      <c r="Y425" s="30" t="n"/>
      <c r="Z425" s="30" t="n"/>
      <c r="AA425" s="30" t="n"/>
    </row>
    <row r="426">
      <c r="A426" s="30" t="n"/>
      <c r="B426" s="156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30" t="n"/>
      <c r="L426" s="30" t="n"/>
      <c r="M426" s="30" t="n"/>
      <c r="N426" s="30" t="n"/>
      <c r="O426" s="30" t="n"/>
      <c r="P426" s="30" t="n"/>
      <c r="Q426" s="30" t="n"/>
      <c r="R426" s="30" t="n"/>
      <c r="S426" s="30" t="n"/>
      <c r="T426" s="30" t="n"/>
      <c r="U426" s="30" t="n"/>
      <c r="V426" s="30" t="n"/>
      <c r="W426" s="30" t="n"/>
      <c r="X426" s="30" t="n"/>
      <c r="Y426" s="30" t="n"/>
      <c r="Z426" s="30" t="n"/>
      <c r="AA426" s="30" t="n"/>
    </row>
    <row r="427">
      <c r="A427" s="30" t="n"/>
      <c r="B427" s="156" t="n"/>
      <c r="C427" s="30" t="n"/>
      <c r="D427" s="30" t="n"/>
      <c r="E427" s="30" t="n"/>
      <c r="F427" s="30" t="n"/>
      <c r="G427" s="30" t="n"/>
      <c r="H427" s="30" t="n"/>
      <c r="I427" s="30" t="n"/>
      <c r="J427" s="30" t="n"/>
      <c r="K427" s="30" t="n"/>
      <c r="L427" s="30" t="n"/>
      <c r="M427" s="30" t="n"/>
      <c r="N427" s="30" t="n"/>
      <c r="O427" s="30" t="n"/>
      <c r="P427" s="30" t="n"/>
      <c r="Q427" s="30" t="n"/>
      <c r="R427" s="30" t="n"/>
      <c r="S427" s="30" t="n"/>
      <c r="T427" s="30" t="n"/>
      <c r="U427" s="30" t="n"/>
      <c r="V427" s="30" t="n"/>
      <c r="W427" s="30" t="n"/>
      <c r="X427" s="30" t="n"/>
      <c r="Y427" s="30" t="n"/>
      <c r="Z427" s="30" t="n"/>
      <c r="AA427" s="30" t="n"/>
    </row>
    <row r="428">
      <c r="A428" s="30" t="n"/>
      <c r="B428" s="156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30" t="n"/>
      <c r="L428" s="30" t="n"/>
      <c r="M428" s="30" t="n"/>
      <c r="N428" s="30" t="n"/>
      <c r="O428" s="30" t="n"/>
      <c r="P428" s="30" t="n"/>
      <c r="Q428" s="30" t="n"/>
      <c r="R428" s="30" t="n"/>
      <c r="S428" s="30" t="n"/>
      <c r="T428" s="30" t="n"/>
      <c r="U428" s="30" t="n"/>
      <c r="V428" s="30" t="n"/>
      <c r="W428" s="30" t="n"/>
      <c r="X428" s="30" t="n"/>
      <c r="Y428" s="30" t="n"/>
      <c r="Z428" s="30" t="n"/>
      <c r="AA428" s="30" t="n"/>
    </row>
    <row r="429">
      <c r="A429" s="30" t="n"/>
      <c r="B429" s="156" t="n"/>
      <c r="C429" s="30" t="n"/>
      <c r="D429" s="30" t="n"/>
      <c r="E429" s="30" t="n"/>
      <c r="F429" s="30" t="n"/>
      <c r="G429" s="30" t="n"/>
      <c r="H429" s="30" t="n"/>
      <c r="I429" s="30" t="n"/>
      <c r="J429" s="30" t="n"/>
      <c r="K429" s="30" t="n"/>
      <c r="L429" s="30" t="n"/>
      <c r="M429" s="30" t="n"/>
      <c r="N429" s="30" t="n"/>
      <c r="O429" s="30" t="n"/>
      <c r="P429" s="30" t="n"/>
      <c r="Q429" s="30" t="n"/>
      <c r="R429" s="30" t="n"/>
      <c r="S429" s="30" t="n"/>
      <c r="T429" s="30" t="n"/>
      <c r="U429" s="30" t="n"/>
      <c r="V429" s="30" t="n"/>
      <c r="W429" s="30" t="n"/>
      <c r="X429" s="30" t="n"/>
      <c r="Y429" s="30" t="n"/>
      <c r="Z429" s="30" t="n"/>
      <c r="AA429" s="30" t="n"/>
    </row>
    <row r="430">
      <c r="A430" s="30" t="n"/>
      <c r="B430" s="156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30" t="n"/>
      <c r="L430" s="30" t="n"/>
      <c r="M430" s="30" t="n"/>
      <c r="N430" s="30" t="n"/>
      <c r="O430" s="30" t="n"/>
      <c r="P430" s="30" t="n"/>
      <c r="Q430" s="30" t="n"/>
      <c r="R430" s="30" t="n"/>
      <c r="S430" s="30" t="n"/>
      <c r="T430" s="30" t="n"/>
      <c r="U430" s="30" t="n"/>
      <c r="V430" s="30" t="n"/>
      <c r="W430" s="30" t="n"/>
      <c r="X430" s="30" t="n"/>
      <c r="Y430" s="30" t="n"/>
      <c r="Z430" s="30" t="n"/>
      <c r="AA430" s="30" t="n"/>
    </row>
    <row r="431">
      <c r="A431" s="30" t="n"/>
      <c r="B431" s="156" t="n"/>
      <c r="C431" s="30" t="n"/>
      <c r="D431" s="30" t="n"/>
      <c r="E431" s="30" t="n"/>
      <c r="F431" s="30" t="n"/>
      <c r="G431" s="30" t="n"/>
      <c r="H431" s="30" t="n"/>
      <c r="I431" s="30" t="n"/>
      <c r="J431" s="30" t="n"/>
      <c r="K431" s="30" t="n"/>
      <c r="L431" s="30" t="n"/>
      <c r="M431" s="30" t="n"/>
      <c r="N431" s="30" t="n"/>
      <c r="O431" s="30" t="n"/>
      <c r="P431" s="30" t="n"/>
      <c r="Q431" s="30" t="n"/>
      <c r="R431" s="30" t="n"/>
      <c r="S431" s="30" t="n"/>
      <c r="T431" s="30" t="n"/>
      <c r="U431" s="30" t="n"/>
      <c r="V431" s="30" t="n"/>
      <c r="W431" s="30" t="n"/>
      <c r="X431" s="30" t="n"/>
      <c r="Y431" s="30" t="n"/>
      <c r="Z431" s="30" t="n"/>
      <c r="AA431" s="30" t="n"/>
    </row>
    <row r="432">
      <c r="A432" s="30" t="n"/>
      <c r="B432" s="156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30" t="n"/>
      <c r="L432" s="30" t="n"/>
      <c r="M432" s="30" t="n"/>
      <c r="N432" s="30" t="n"/>
      <c r="O432" s="30" t="n"/>
      <c r="P432" s="30" t="n"/>
      <c r="Q432" s="30" t="n"/>
      <c r="R432" s="30" t="n"/>
      <c r="S432" s="30" t="n"/>
      <c r="T432" s="30" t="n"/>
      <c r="U432" s="30" t="n"/>
      <c r="V432" s="30" t="n"/>
      <c r="W432" s="30" t="n"/>
      <c r="X432" s="30" t="n"/>
      <c r="Y432" s="30" t="n"/>
      <c r="Z432" s="30" t="n"/>
      <c r="AA432" s="30" t="n"/>
    </row>
    <row r="433">
      <c r="A433" s="30" t="n"/>
      <c r="B433" s="156" t="n"/>
      <c r="C433" s="30" t="n"/>
      <c r="D433" s="30" t="n"/>
      <c r="E433" s="30" t="n"/>
      <c r="F433" s="30" t="n"/>
      <c r="G433" s="30" t="n"/>
      <c r="H433" s="30" t="n"/>
      <c r="I433" s="30" t="n"/>
      <c r="J433" s="30" t="n"/>
      <c r="K433" s="30" t="n"/>
      <c r="L433" s="30" t="n"/>
      <c r="M433" s="30" t="n"/>
      <c r="N433" s="30" t="n"/>
      <c r="O433" s="30" t="n"/>
      <c r="P433" s="30" t="n"/>
      <c r="Q433" s="30" t="n"/>
      <c r="R433" s="30" t="n"/>
      <c r="S433" s="30" t="n"/>
      <c r="T433" s="30" t="n"/>
      <c r="U433" s="30" t="n"/>
      <c r="V433" s="30" t="n"/>
      <c r="W433" s="30" t="n"/>
      <c r="X433" s="30" t="n"/>
      <c r="Y433" s="30" t="n"/>
      <c r="Z433" s="30" t="n"/>
      <c r="AA433" s="30" t="n"/>
    </row>
    <row r="434">
      <c r="A434" s="30" t="n"/>
      <c r="B434" s="156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30" t="n"/>
      <c r="L434" s="30" t="n"/>
      <c r="M434" s="30" t="n"/>
      <c r="N434" s="30" t="n"/>
      <c r="O434" s="30" t="n"/>
      <c r="P434" s="30" t="n"/>
      <c r="Q434" s="30" t="n"/>
      <c r="R434" s="30" t="n"/>
      <c r="S434" s="30" t="n"/>
      <c r="T434" s="30" t="n"/>
      <c r="U434" s="30" t="n"/>
      <c r="V434" s="30" t="n"/>
      <c r="W434" s="30" t="n"/>
      <c r="X434" s="30" t="n"/>
      <c r="Y434" s="30" t="n"/>
      <c r="Z434" s="30" t="n"/>
      <c r="AA434" s="30" t="n"/>
    </row>
    <row r="435">
      <c r="A435" s="30" t="n"/>
      <c r="B435" s="156" t="n"/>
      <c r="C435" s="30" t="n"/>
      <c r="D435" s="30" t="n"/>
      <c r="E435" s="30" t="n"/>
      <c r="F435" s="30" t="n"/>
      <c r="G435" s="30" t="n"/>
      <c r="H435" s="30" t="n"/>
      <c r="I435" s="30" t="n"/>
      <c r="J435" s="30" t="n"/>
      <c r="K435" s="30" t="n"/>
      <c r="L435" s="30" t="n"/>
      <c r="M435" s="30" t="n"/>
      <c r="N435" s="30" t="n"/>
      <c r="O435" s="30" t="n"/>
      <c r="P435" s="30" t="n"/>
      <c r="Q435" s="30" t="n"/>
      <c r="R435" s="30" t="n"/>
      <c r="S435" s="30" t="n"/>
      <c r="T435" s="30" t="n"/>
      <c r="U435" s="30" t="n"/>
      <c r="V435" s="30" t="n"/>
      <c r="W435" s="30" t="n"/>
      <c r="X435" s="30" t="n"/>
      <c r="Y435" s="30" t="n"/>
      <c r="Z435" s="30" t="n"/>
      <c r="AA435" s="30" t="n"/>
    </row>
    <row r="436">
      <c r="A436" s="30" t="n"/>
      <c r="B436" s="156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30" t="n"/>
      <c r="L436" s="30" t="n"/>
      <c r="M436" s="30" t="n"/>
      <c r="N436" s="30" t="n"/>
      <c r="O436" s="30" t="n"/>
      <c r="P436" s="30" t="n"/>
      <c r="Q436" s="30" t="n"/>
      <c r="R436" s="30" t="n"/>
      <c r="S436" s="30" t="n"/>
      <c r="T436" s="30" t="n"/>
      <c r="U436" s="30" t="n"/>
      <c r="V436" s="30" t="n"/>
      <c r="W436" s="30" t="n"/>
      <c r="X436" s="30" t="n"/>
      <c r="Y436" s="30" t="n"/>
      <c r="Z436" s="30" t="n"/>
      <c r="AA436" s="30" t="n"/>
    </row>
    <row r="437">
      <c r="A437" s="30" t="n"/>
      <c r="B437" s="156" t="n"/>
      <c r="C437" s="30" t="n"/>
      <c r="D437" s="30" t="n"/>
      <c r="E437" s="30" t="n"/>
      <c r="F437" s="30" t="n"/>
      <c r="G437" s="30" t="n"/>
      <c r="H437" s="30" t="n"/>
      <c r="I437" s="30" t="n"/>
      <c r="J437" s="30" t="n"/>
      <c r="K437" s="30" t="n"/>
      <c r="L437" s="30" t="n"/>
      <c r="M437" s="30" t="n"/>
      <c r="N437" s="30" t="n"/>
      <c r="O437" s="30" t="n"/>
      <c r="P437" s="30" t="n"/>
      <c r="Q437" s="30" t="n"/>
      <c r="R437" s="30" t="n"/>
      <c r="S437" s="30" t="n"/>
      <c r="T437" s="30" t="n"/>
      <c r="U437" s="30" t="n"/>
      <c r="V437" s="30" t="n"/>
      <c r="W437" s="30" t="n"/>
      <c r="X437" s="30" t="n"/>
      <c r="Y437" s="30" t="n"/>
      <c r="Z437" s="30" t="n"/>
      <c r="AA437" s="30" t="n"/>
    </row>
    <row r="438">
      <c r="A438" s="30" t="n"/>
      <c r="B438" s="156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30" t="n"/>
      <c r="L438" s="30" t="n"/>
      <c r="M438" s="30" t="n"/>
      <c r="N438" s="30" t="n"/>
      <c r="O438" s="30" t="n"/>
      <c r="P438" s="30" t="n"/>
      <c r="Q438" s="30" t="n"/>
      <c r="R438" s="30" t="n"/>
      <c r="S438" s="30" t="n"/>
      <c r="T438" s="30" t="n"/>
      <c r="U438" s="30" t="n"/>
      <c r="V438" s="30" t="n"/>
      <c r="W438" s="30" t="n"/>
      <c r="X438" s="30" t="n"/>
      <c r="Y438" s="30" t="n"/>
      <c r="Z438" s="30" t="n"/>
      <c r="AA438" s="30" t="n"/>
    </row>
    <row r="439">
      <c r="A439" s="30" t="n"/>
      <c r="B439" s="156" t="n"/>
      <c r="C439" s="30" t="n"/>
      <c r="D439" s="30" t="n"/>
      <c r="E439" s="30" t="n"/>
      <c r="F439" s="30" t="n"/>
      <c r="G439" s="30" t="n"/>
      <c r="H439" s="30" t="n"/>
      <c r="I439" s="30" t="n"/>
      <c r="J439" s="30" t="n"/>
      <c r="K439" s="30" t="n"/>
      <c r="L439" s="30" t="n"/>
      <c r="M439" s="30" t="n"/>
      <c r="N439" s="30" t="n"/>
      <c r="O439" s="30" t="n"/>
      <c r="P439" s="30" t="n"/>
      <c r="Q439" s="30" t="n"/>
      <c r="R439" s="30" t="n"/>
      <c r="S439" s="30" t="n"/>
      <c r="T439" s="30" t="n"/>
      <c r="U439" s="30" t="n"/>
      <c r="V439" s="30" t="n"/>
      <c r="W439" s="30" t="n"/>
      <c r="X439" s="30" t="n"/>
      <c r="Y439" s="30" t="n"/>
      <c r="Z439" s="30" t="n"/>
      <c r="AA439" s="30" t="n"/>
    </row>
    <row r="440">
      <c r="A440" s="30" t="n"/>
      <c r="B440" s="156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30" t="n"/>
      <c r="L440" s="30" t="n"/>
      <c r="M440" s="30" t="n"/>
      <c r="N440" s="30" t="n"/>
      <c r="O440" s="30" t="n"/>
      <c r="P440" s="30" t="n"/>
      <c r="Q440" s="30" t="n"/>
      <c r="R440" s="30" t="n"/>
      <c r="S440" s="30" t="n"/>
      <c r="T440" s="30" t="n"/>
      <c r="U440" s="30" t="n"/>
      <c r="V440" s="30" t="n"/>
      <c r="W440" s="30" t="n"/>
      <c r="X440" s="30" t="n"/>
      <c r="Y440" s="30" t="n"/>
      <c r="Z440" s="30" t="n"/>
      <c r="AA440" s="30" t="n"/>
    </row>
    <row r="441">
      <c r="A441" s="30" t="n"/>
      <c r="B441" s="156" t="n"/>
      <c r="C441" s="30" t="n"/>
      <c r="D441" s="30" t="n"/>
      <c r="E441" s="30" t="n"/>
      <c r="F441" s="30" t="n"/>
      <c r="G441" s="30" t="n"/>
      <c r="H441" s="30" t="n"/>
      <c r="I441" s="30" t="n"/>
      <c r="J441" s="30" t="n"/>
      <c r="K441" s="30" t="n"/>
      <c r="L441" s="30" t="n"/>
      <c r="M441" s="30" t="n"/>
      <c r="N441" s="30" t="n"/>
      <c r="O441" s="30" t="n"/>
      <c r="P441" s="30" t="n"/>
      <c r="Q441" s="30" t="n"/>
      <c r="R441" s="30" t="n"/>
      <c r="S441" s="30" t="n"/>
      <c r="T441" s="30" t="n"/>
      <c r="U441" s="30" t="n"/>
      <c r="V441" s="30" t="n"/>
      <c r="W441" s="30" t="n"/>
      <c r="X441" s="30" t="n"/>
      <c r="Y441" s="30" t="n"/>
      <c r="Z441" s="30" t="n"/>
      <c r="AA441" s="30" t="n"/>
    </row>
    <row r="442">
      <c r="A442" s="30" t="n"/>
      <c r="B442" s="156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30" t="n"/>
      <c r="L442" s="30" t="n"/>
      <c r="M442" s="30" t="n"/>
      <c r="N442" s="30" t="n"/>
      <c r="O442" s="30" t="n"/>
      <c r="P442" s="30" t="n"/>
      <c r="Q442" s="30" t="n"/>
      <c r="R442" s="30" t="n"/>
      <c r="S442" s="30" t="n"/>
      <c r="T442" s="30" t="n"/>
      <c r="U442" s="30" t="n"/>
      <c r="V442" s="30" t="n"/>
      <c r="W442" s="30" t="n"/>
      <c r="X442" s="30" t="n"/>
      <c r="Y442" s="30" t="n"/>
      <c r="Z442" s="30" t="n"/>
      <c r="AA442" s="30" t="n"/>
    </row>
    <row r="443">
      <c r="A443" s="30" t="n"/>
      <c r="B443" s="156" t="n"/>
      <c r="C443" s="30" t="n"/>
      <c r="D443" s="30" t="n"/>
      <c r="E443" s="30" t="n"/>
      <c r="F443" s="30" t="n"/>
      <c r="G443" s="30" t="n"/>
      <c r="H443" s="30" t="n"/>
      <c r="I443" s="30" t="n"/>
      <c r="J443" s="30" t="n"/>
      <c r="K443" s="30" t="n"/>
      <c r="L443" s="30" t="n"/>
      <c r="M443" s="30" t="n"/>
      <c r="N443" s="30" t="n"/>
      <c r="O443" s="30" t="n"/>
      <c r="P443" s="30" t="n"/>
      <c r="Q443" s="30" t="n"/>
      <c r="R443" s="30" t="n"/>
      <c r="S443" s="30" t="n"/>
      <c r="T443" s="30" t="n"/>
      <c r="U443" s="30" t="n"/>
      <c r="V443" s="30" t="n"/>
      <c r="W443" s="30" t="n"/>
      <c r="X443" s="30" t="n"/>
      <c r="Y443" s="30" t="n"/>
      <c r="Z443" s="30" t="n"/>
      <c r="AA443" s="30" t="n"/>
    </row>
    <row r="444">
      <c r="A444" s="30" t="n"/>
      <c r="B444" s="156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30" t="n"/>
      <c r="L444" s="30" t="n"/>
      <c r="M444" s="30" t="n"/>
      <c r="N444" s="30" t="n"/>
      <c r="O444" s="30" t="n"/>
      <c r="P444" s="30" t="n"/>
      <c r="Q444" s="30" t="n"/>
      <c r="R444" s="30" t="n"/>
      <c r="S444" s="30" t="n"/>
      <c r="T444" s="30" t="n"/>
      <c r="U444" s="30" t="n"/>
      <c r="V444" s="30" t="n"/>
      <c r="W444" s="30" t="n"/>
      <c r="X444" s="30" t="n"/>
      <c r="Y444" s="30" t="n"/>
      <c r="Z444" s="30" t="n"/>
      <c r="AA444" s="30" t="n"/>
    </row>
    <row r="445">
      <c r="A445" s="30" t="n"/>
      <c r="B445" s="156" t="n"/>
      <c r="C445" s="30" t="n"/>
      <c r="D445" s="30" t="n"/>
      <c r="E445" s="30" t="n"/>
      <c r="F445" s="30" t="n"/>
      <c r="G445" s="30" t="n"/>
      <c r="H445" s="30" t="n"/>
      <c r="I445" s="30" t="n"/>
      <c r="J445" s="30" t="n"/>
      <c r="K445" s="30" t="n"/>
      <c r="L445" s="30" t="n"/>
      <c r="M445" s="30" t="n"/>
      <c r="N445" s="30" t="n"/>
      <c r="O445" s="30" t="n"/>
      <c r="P445" s="30" t="n"/>
      <c r="Q445" s="30" t="n"/>
      <c r="R445" s="30" t="n"/>
      <c r="S445" s="30" t="n"/>
      <c r="T445" s="30" t="n"/>
      <c r="U445" s="30" t="n"/>
      <c r="V445" s="30" t="n"/>
      <c r="W445" s="30" t="n"/>
      <c r="X445" s="30" t="n"/>
      <c r="Y445" s="30" t="n"/>
      <c r="Z445" s="30" t="n"/>
      <c r="AA445" s="30" t="n"/>
    </row>
    <row r="446">
      <c r="A446" s="30" t="n"/>
      <c r="B446" s="156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30" t="n"/>
      <c r="L446" s="30" t="n"/>
      <c r="M446" s="30" t="n"/>
      <c r="N446" s="30" t="n"/>
      <c r="O446" s="30" t="n"/>
      <c r="P446" s="30" t="n"/>
      <c r="Q446" s="30" t="n"/>
      <c r="R446" s="30" t="n"/>
      <c r="S446" s="30" t="n"/>
      <c r="T446" s="30" t="n"/>
      <c r="U446" s="30" t="n"/>
      <c r="V446" s="30" t="n"/>
      <c r="W446" s="30" t="n"/>
      <c r="X446" s="30" t="n"/>
      <c r="Y446" s="30" t="n"/>
      <c r="Z446" s="30" t="n"/>
      <c r="AA446" s="30" t="n"/>
    </row>
    <row r="447">
      <c r="A447" s="30" t="n"/>
      <c r="B447" s="156" t="n"/>
      <c r="C447" s="30" t="n"/>
      <c r="D447" s="30" t="n"/>
      <c r="E447" s="30" t="n"/>
      <c r="F447" s="30" t="n"/>
      <c r="G447" s="30" t="n"/>
      <c r="H447" s="30" t="n"/>
      <c r="I447" s="30" t="n"/>
      <c r="J447" s="30" t="n"/>
      <c r="K447" s="30" t="n"/>
      <c r="L447" s="30" t="n"/>
      <c r="M447" s="30" t="n"/>
      <c r="N447" s="30" t="n"/>
      <c r="O447" s="30" t="n"/>
      <c r="P447" s="30" t="n"/>
      <c r="Q447" s="30" t="n"/>
      <c r="R447" s="30" t="n"/>
      <c r="S447" s="30" t="n"/>
      <c r="T447" s="30" t="n"/>
      <c r="U447" s="30" t="n"/>
      <c r="V447" s="30" t="n"/>
      <c r="W447" s="30" t="n"/>
      <c r="X447" s="30" t="n"/>
      <c r="Y447" s="30" t="n"/>
      <c r="Z447" s="30" t="n"/>
      <c r="AA447" s="30" t="n"/>
    </row>
    <row r="448">
      <c r="A448" s="30" t="n"/>
      <c r="B448" s="156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30" t="n"/>
      <c r="L448" s="30" t="n"/>
      <c r="M448" s="30" t="n"/>
      <c r="N448" s="30" t="n"/>
      <c r="O448" s="30" t="n"/>
      <c r="P448" s="30" t="n"/>
      <c r="Q448" s="30" t="n"/>
      <c r="R448" s="30" t="n"/>
      <c r="S448" s="30" t="n"/>
      <c r="T448" s="30" t="n"/>
      <c r="U448" s="30" t="n"/>
      <c r="V448" s="30" t="n"/>
      <c r="W448" s="30" t="n"/>
      <c r="X448" s="30" t="n"/>
      <c r="Y448" s="30" t="n"/>
      <c r="Z448" s="30" t="n"/>
      <c r="AA448" s="30" t="n"/>
    </row>
    <row r="449">
      <c r="A449" s="30" t="n"/>
      <c r="B449" s="156" t="n"/>
      <c r="C449" s="30" t="n"/>
      <c r="D449" s="30" t="n"/>
      <c r="E449" s="30" t="n"/>
      <c r="F449" s="30" t="n"/>
      <c r="G449" s="30" t="n"/>
      <c r="H449" s="30" t="n"/>
      <c r="I449" s="30" t="n"/>
      <c r="J449" s="30" t="n"/>
      <c r="K449" s="30" t="n"/>
      <c r="L449" s="30" t="n"/>
      <c r="M449" s="30" t="n"/>
      <c r="N449" s="30" t="n"/>
      <c r="O449" s="30" t="n"/>
      <c r="P449" s="30" t="n"/>
      <c r="Q449" s="30" t="n"/>
      <c r="R449" s="30" t="n"/>
      <c r="S449" s="30" t="n"/>
      <c r="T449" s="30" t="n"/>
      <c r="U449" s="30" t="n"/>
      <c r="V449" s="30" t="n"/>
      <c r="W449" s="30" t="n"/>
      <c r="X449" s="30" t="n"/>
      <c r="Y449" s="30" t="n"/>
      <c r="Z449" s="30" t="n"/>
      <c r="AA449" s="30" t="n"/>
    </row>
    <row r="450">
      <c r="A450" s="30" t="n"/>
      <c r="B450" s="156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30" t="n"/>
      <c r="L450" s="30" t="n"/>
      <c r="M450" s="30" t="n"/>
      <c r="N450" s="30" t="n"/>
      <c r="O450" s="30" t="n"/>
      <c r="P450" s="30" t="n"/>
      <c r="Q450" s="30" t="n"/>
      <c r="R450" s="30" t="n"/>
      <c r="S450" s="30" t="n"/>
      <c r="T450" s="30" t="n"/>
      <c r="U450" s="30" t="n"/>
      <c r="V450" s="30" t="n"/>
      <c r="W450" s="30" t="n"/>
      <c r="X450" s="30" t="n"/>
      <c r="Y450" s="30" t="n"/>
      <c r="Z450" s="30" t="n"/>
      <c r="AA450" s="30" t="n"/>
    </row>
    <row r="451">
      <c r="A451" s="30" t="n"/>
      <c r="B451" s="156" t="n"/>
      <c r="C451" s="30" t="n"/>
      <c r="D451" s="30" t="n"/>
      <c r="E451" s="30" t="n"/>
      <c r="F451" s="30" t="n"/>
      <c r="G451" s="30" t="n"/>
      <c r="H451" s="30" t="n"/>
      <c r="I451" s="30" t="n"/>
      <c r="J451" s="30" t="n"/>
      <c r="K451" s="30" t="n"/>
      <c r="L451" s="30" t="n"/>
      <c r="M451" s="30" t="n"/>
      <c r="N451" s="30" t="n"/>
      <c r="O451" s="30" t="n"/>
      <c r="P451" s="30" t="n"/>
      <c r="Q451" s="30" t="n"/>
      <c r="R451" s="30" t="n"/>
      <c r="S451" s="30" t="n"/>
      <c r="T451" s="30" t="n"/>
      <c r="U451" s="30" t="n"/>
      <c r="V451" s="30" t="n"/>
      <c r="W451" s="30" t="n"/>
      <c r="X451" s="30" t="n"/>
      <c r="Y451" s="30" t="n"/>
      <c r="Z451" s="30" t="n"/>
      <c r="AA451" s="30" t="n"/>
    </row>
    <row r="452">
      <c r="A452" s="30" t="n"/>
      <c r="B452" s="156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30" t="n"/>
      <c r="L452" s="30" t="n"/>
      <c r="M452" s="30" t="n"/>
      <c r="N452" s="30" t="n"/>
      <c r="O452" s="30" t="n"/>
      <c r="P452" s="30" t="n"/>
      <c r="Q452" s="30" t="n"/>
      <c r="R452" s="30" t="n"/>
      <c r="S452" s="30" t="n"/>
      <c r="T452" s="30" t="n"/>
      <c r="U452" s="30" t="n"/>
      <c r="V452" s="30" t="n"/>
      <c r="W452" s="30" t="n"/>
      <c r="X452" s="30" t="n"/>
      <c r="Y452" s="30" t="n"/>
      <c r="Z452" s="30" t="n"/>
      <c r="AA452" s="30" t="n"/>
    </row>
    <row r="453">
      <c r="A453" s="30" t="n"/>
      <c r="B453" s="156" t="n"/>
      <c r="C453" s="30" t="n"/>
      <c r="D453" s="30" t="n"/>
      <c r="E453" s="30" t="n"/>
      <c r="F453" s="30" t="n"/>
      <c r="G453" s="30" t="n"/>
      <c r="H453" s="30" t="n"/>
      <c r="I453" s="30" t="n"/>
      <c r="J453" s="30" t="n"/>
      <c r="K453" s="30" t="n"/>
      <c r="L453" s="30" t="n"/>
      <c r="M453" s="30" t="n"/>
      <c r="N453" s="30" t="n"/>
      <c r="O453" s="30" t="n"/>
      <c r="P453" s="30" t="n"/>
      <c r="Q453" s="30" t="n"/>
      <c r="R453" s="30" t="n"/>
      <c r="S453" s="30" t="n"/>
      <c r="T453" s="30" t="n"/>
      <c r="U453" s="30" t="n"/>
      <c r="V453" s="30" t="n"/>
      <c r="W453" s="30" t="n"/>
      <c r="X453" s="30" t="n"/>
      <c r="Y453" s="30" t="n"/>
      <c r="Z453" s="30" t="n"/>
      <c r="AA453" s="30" t="n"/>
    </row>
    <row r="454">
      <c r="A454" s="30" t="n"/>
      <c r="B454" s="156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30" t="n"/>
      <c r="L454" s="30" t="n"/>
      <c r="M454" s="30" t="n"/>
      <c r="N454" s="30" t="n"/>
      <c r="O454" s="30" t="n"/>
      <c r="P454" s="30" t="n"/>
      <c r="Q454" s="30" t="n"/>
      <c r="R454" s="30" t="n"/>
      <c r="S454" s="30" t="n"/>
      <c r="T454" s="30" t="n"/>
      <c r="U454" s="30" t="n"/>
      <c r="V454" s="30" t="n"/>
      <c r="W454" s="30" t="n"/>
      <c r="X454" s="30" t="n"/>
      <c r="Y454" s="30" t="n"/>
      <c r="Z454" s="30" t="n"/>
      <c r="AA454" s="30" t="n"/>
    </row>
    <row r="455">
      <c r="A455" s="30" t="n"/>
      <c r="B455" s="156" t="n"/>
      <c r="C455" s="30" t="n"/>
      <c r="D455" s="30" t="n"/>
      <c r="E455" s="30" t="n"/>
      <c r="F455" s="30" t="n"/>
      <c r="G455" s="30" t="n"/>
      <c r="H455" s="30" t="n"/>
      <c r="I455" s="30" t="n"/>
      <c r="J455" s="30" t="n"/>
      <c r="K455" s="30" t="n"/>
      <c r="L455" s="30" t="n"/>
      <c r="M455" s="30" t="n"/>
      <c r="N455" s="30" t="n"/>
      <c r="O455" s="30" t="n"/>
      <c r="P455" s="30" t="n"/>
      <c r="Q455" s="30" t="n"/>
      <c r="R455" s="30" t="n"/>
      <c r="S455" s="30" t="n"/>
      <c r="T455" s="30" t="n"/>
      <c r="U455" s="30" t="n"/>
      <c r="V455" s="30" t="n"/>
      <c r="W455" s="30" t="n"/>
      <c r="X455" s="30" t="n"/>
      <c r="Y455" s="30" t="n"/>
      <c r="Z455" s="30" t="n"/>
      <c r="AA455" s="30" t="n"/>
    </row>
    <row r="456">
      <c r="A456" s="30" t="n"/>
      <c r="B456" s="156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30" t="n"/>
      <c r="L456" s="30" t="n"/>
      <c r="M456" s="30" t="n"/>
      <c r="N456" s="30" t="n"/>
      <c r="O456" s="30" t="n"/>
      <c r="P456" s="30" t="n"/>
      <c r="Q456" s="30" t="n"/>
      <c r="R456" s="30" t="n"/>
      <c r="S456" s="30" t="n"/>
      <c r="T456" s="30" t="n"/>
      <c r="U456" s="30" t="n"/>
      <c r="V456" s="30" t="n"/>
      <c r="W456" s="30" t="n"/>
      <c r="X456" s="30" t="n"/>
      <c r="Y456" s="30" t="n"/>
      <c r="Z456" s="30" t="n"/>
      <c r="AA456" s="30" t="n"/>
    </row>
    <row r="457">
      <c r="A457" s="30" t="n"/>
      <c r="B457" s="156" t="n"/>
      <c r="C457" s="30" t="n"/>
      <c r="D457" s="30" t="n"/>
      <c r="E457" s="30" t="n"/>
      <c r="F457" s="30" t="n"/>
      <c r="G457" s="30" t="n"/>
      <c r="H457" s="30" t="n"/>
      <c r="I457" s="30" t="n"/>
      <c r="J457" s="30" t="n"/>
      <c r="K457" s="30" t="n"/>
      <c r="L457" s="30" t="n"/>
      <c r="M457" s="30" t="n"/>
      <c r="N457" s="30" t="n"/>
      <c r="O457" s="30" t="n"/>
      <c r="P457" s="30" t="n"/>
      <c r="Q457" s="30" t="n"/>
      <c r="R457" s="30" t="n"/>
      <c r="S457" s="30" t="n"/>
      <c r="T457" s="30" t="n"/>
      <c r="U457" s="30" t="n"/>
      <c r="V457" s="30" t="n"/>
      <c r="W457" s="30" t="n"/>
      <c r="X457" s="30" t="n"/>
      <c r="Y457" s="30" t="n"/>
      <c r="Z457" s="30" t="n"/>
      <c r="AA457" s="30" t="n"/>
    </row>
    <row r="458">
      <c r="A458" s="30" t="n"/>
      <c r="B458" s="156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30" t="n"/>
      <c r="L458" s="30" t="n"/>
      <c r="M458" s="30" t="n"/>
      <c r="N458" s="30" t="n"/>
      <c r="O458" s="30" t="n"/>
      <c r="P458" s="30" t="n"/>
      <c r="Q458" s="30" t="n"/>
      <c r="R458" s="30" t="n"/>
      <c r="S458" s="30" t="n"/>
      <c r="T458" s="30" t="n"/>
      <c r="U458" s="30" t="n"/>
      <c r="V458" s="30" t="n"/>
      <c r="W458" s="30" t="n"/>
      <c r="X458" s="30" t="n"/>
      <c r="Y458" s="30" t="n"/>
      <c r="Z458" s="30" t="n"/>
      <c r="AA458" s="30" t="n"/>
    </row>
    <row r="459">
      <c r="A459" s="30" t="n"/>
      <c r="B459" s="156" t="n"/>
      <c r="C459" s="30" t="n"/>
      <c r="D459" s="30" t="n"/>
      <c r="E459" s="30" t="n"/>
      <c r="F459" s="30" t="n"/>
      <c r="G459" s="30" t="n"/>
      <c r="H459" s="30" t="n"/>
      <c r="I459" s="30" t="n"/>
      <c r="J459" s="30" t="n"/>
      <c r="K459" s="30" t="n"/>
      <c r="L459" s="30" t="n"/>
      <c r="M459" s="30" t="n"/>
      <c r="N459" s="30" t="n"/>
      <c r="O459" s="30" t="n"/>
      <c r="P459" s="30" t="n"/>
      <c r="Q459" s="30" t="n"/>
      <c r="R459" s="30" t="n"/>
      <c r="S459" s="30" t="n"/>
      <c r="T459" s="30" t="n"/>
      <c r="U459" s="30" t="n"/>
      <c r="V459" s="30" t="n"/>
      <c r="W459" s="30" t="n"/>
      <c r="X459" s="30" t="n"/>
      <c r="Y459" s="30" t="n"/>
      <c r="Z459" s="30" t="n"/>
      <c r="AA459" s="30" t="n"/>
    </row>
    <row r="460">
      <c r="A460" s="30" t="n"/>
      <c r="B460" s="156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30" t="n"/>
      <c r="L460" s="30" t="n"/>
      <c r="M460" s="30" t="n"/>
      <c r="N460" s="30" t="n"/>
      <c r="O460" s="30" t="n"/>
      <c r="P460" s="30" t="n"/>
      <c r="Q460" s="30" t="n"/>
      <c r="R460" s="30" t="n"/>
      <c r="S460" s="30" t="n"/>
      <c r="T460" s="30" t="n"/>
      <c r="U460" s="30" t="n"/>
      <c r="V460" s="30" t="n"/>
      <c r="W460" s="30" t="n"/>
      <c r="X460" s="30" t="n"/>
      <c r="Y460" s="30" t="n"/>
      <c r="Z460" s="30" t="n"/>
      <c r="AA460" s="30" t="n"/>
    </row>
    <row r="461">
      <c r="A461" s="30" t="n"/>
      <c r="B461" s="156" t="n"/>
      <c r="C461" s="30" t="n"/>
      <c r="D461" s="30" t="n"/>
      <c r="E461" s="30" t="n"/>
      <c r="F461" s="30" t="n"/>
      <c r="G461" s="30" t="n"/>
      <c r="H461" s="30" t="n"/>
      <c r="I461" s="30" t="n"/>
      <c r="J461" s="30" t="n"/>
      <c r="K461" s="30" t="n"/>
      <c r="L461" s="30" t="n"/>
      <c r="M461" s="30" t="n"/>
      <c r="N461" s="30" t="n"/>
      <c r="O461" s="30" t="n"/>
      <c r="P461" s="30" t="n"/>
      <c r="Q461" s="30" t="n"/>
      <c r="R461" s="30" t="n"/>
      <c r="S461" s="30" t="n"/>
      <c r="T461" s="30" t="n"/>
      <c r="U461" s="30" t="n"/>
      <c r="V461" s="30" t="n"/>
      <c r="W461" s="30" t="n"/>
      <c r="X461" s="30" t="n"/>
      <c r="Y461" s="30" t="n"/>
      <c r="Z461" s="30" t="n"/>
      <c r="AA461" s="30" t="n"/>
    </row>
    <row r="462">
      <c r="A462" s="30" t="n"/>
      <c r="B462" s="156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30" t="n"/>
      <c r="L462" s="30" t="n"/>
      <c r="M462" s="30" t="n"/>
      <c r="N462" s="30" t="n"/>
      <c r="O462" s="30" t="n"/>
      <c r="P462" s="30" t="n"/>
      <c r="Q462" s="30" t="n"/>
      <c r="R462" s="30" t="n"/>
      <c r="S462" s="30" t="n"/>
      <c r="T462" s="30" t="n"/>
      <c r="U462" s="30" t="n"/>
      <c r="V462" s="30" t="n"/>
      <c r="W462" s="30" t="n"/>
      <c r="X462" s="30" t="n"/>
      <c r="Y462" s="30" t="n"/>
      <c r="Z462" s="30" t="n"/>
      <c r="AA462" s="30" t="n"/>
    </row>
    <row r="463">
      <c r="A463" s="30" t="n"/>
      <c r="B463" s="156" t="n"/>
      <c r="C463" s="30" t="n"/>
      <c r="D463" s="30" t="n"/>
      <c r="E463" s="30" t="n"/>
      <c r="F463" s="30" t="n"/>
      <c r="G463" s="30" t="n"/>
      <c r="H463" s="30" t="n"/>
      <c r="I463" s="30" t="n"/>
      <c r="J463" s="30" t="n"/>
      <c r="K463" s="30" t="n"/>
      <c r="L463" s="30" t="n"/>
      <c r="M463" s="30" t="n"/>
      <c r="N463" s="30" t="n"/>
      <c r="O463" s="30" t="n"/>
      <c r="P463" s="30" t="n"/>
      <c r="Q463" s="30" t="n"/>
      <c r="R463" s="30" t="n"/>
      <c r="S463" s="30" t="n"/>
      <c r="T463" s="30" t="n"/>
      <c r="U463" s="30" t="n"/>
      <c r="V463" s="30" t="n"/>
      <c r="W463" s="30" t="n"/>
      <c r="X463" s="30" t="n"/>
      <c r="Y463" s="30" t="n"/>
      <c r="Z463" s="30" t="n"/>
      <c r="AA463" s="30" t="n"/>
    </row>
    <row r="464">
      <c r="A464" s="30" t="n"/>
      <c r="B464" s="156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  <c r="N464" s="30" t="n"/>
      <c r="O464" s="30" t="n"/>
      <c r="P464" s="30" t="n"/>
      <c r="Q464" s="30" t="n"/>
      <c r="R464" s="30" t="n"/>
      <c r="S464" s="30" t="n"/>
      <c r="T464" s="30" t="n"/>
      <c r="U464" s="30" t="n"/>
      <c r="V464" s="30" t="n"/>
      <c r="W464" s="30" t="n"/>
      <c r="X464" s="30" t="n"/>
      <c r="Y464" s="30" t="n"/>
      <c r="Z464" s="30" t="n"/>
      <c r="AA464" s="30" t="n"/>
    </row>
    <row r="465">
      <c r="A465" s="30" t="n"/>
      <c r="B465" s="156" t="n"/>
      <c r="C465" s="30" t="n"/>
      <c r="D465" s="30" t="n"/>
      <c r="E465" s="30" t="n"/>
      <c r="F465" s="30" t="n"/>
      <c r="G465" s="30" t="n"/>
      <c r="H465" s="30" t="n"/>
      <c r="I465" s="30" t="n"/>
      <c r="J465" s="30" t="n"/>
      <c r="K465" s="30" t="n"/>
      <c r="L465" s="30" t="n"/>
      <c r="M465" s="30" t="n"/>
      <c r="N465" s="30" t="n"/>
      <c r="O465" s="30" t="n"/>
      <c r="P465" s="30" t="n"/>
      <c r="Q465" s="30" t="n"/>
      <c r="R465" s="30" t="n"/>
      <c r="S465" s="30" t="n"/>
      <c r="T465" s="30" t="n"/>
      <c r="U465" s="30" t="n"/>
      <c r="V465" s="30" t="n"/>
      <c r="W465" s="30" t="n"/>
      <c r="X465" s="30" t="n"/>
      <c r="Y465" s="30" t="n"/>
      <c r="Z465" s="30" t="n"/>
      <c r="AA465" s="30" t="n"/>
    </row>
    <row r="466">
      <c r="A466" s="30" t="n"/>
      <c r="B466" s="156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30" t="n"/>
      <c r="L466" s="30" t="n"/>
      <c r="M466" s="30" t="n"/>
      <c r="N466" s="30" t="n"/>
      <c r="O466" s="30" t="n"/>
      <c r="P466" s="30" t="n"/>
      <c r="Q466" s="30" t="n"/>
      <c r="R466" s="30" t="n"/>
      <c r="S466" s="30" t="n"/>
      <c r="T466" s="30" t="n"/>
      <c r="U466" s="30" t="n"/>
      <c r="V466" s="30" t="n"/>
      <c r="W466" s="30" t="n"/>
      <c r="X466" s="30" t="n"/>
      <c r="Y466" s="30" t="n"/>
      <c r="Z466" s="30" t="n"/>
      <c r="AA466" s="30" t="n"/>
    </row>
    <row r="467">
      <c r="A467" s="30" t="n"/>
      <c r="B467" s="156" t="n"/>
      <c r="C467" s="30" t="n"/>
      <c r="D467" s="30" t="n"/>
      <c r="E467" s="30" t="n"/>
      <c r="F467" s="30" t="n"/>
      <c r="G467" s="30" t="n"/>
      <c r="H467" s="30" t="n"/>
      <c r="I467" s="30" t="n"/>
      <c r="J467" s="30" t="n"/>
      <c r="K467" s="30" t="n"/>
      <c r="L467" s="30" t="n"/>
      <c r="M467" s="30" t="n"/>
      <c r="N467" s="30" t="n"/>
      <c r="O467" s="30" t="n"/>
      <c r="P467" s="30" t="n"/>
      <c r="Q467" s="30" t="n"/>
      <c r="R467" s="30" t="n"/>
      <c r="S467" s="30" t="n"/>
      <c r="T467" s="30" t="n"/>
      <c r="U467" s="30" t="n"/>
      <c r="V467" s="30" t="n"/>
      <c r="W467" s="30" t="n"/>
      <c r="X467" s="30" t="n"/>
      <c r="Y467" s="30" t="n"/>
      <c r="Z467" s="30" t="n"/>
      <c r="AA467" s="30" t="n"/>
    </row>
    <row r="468">
      <c r="A468" s="30" t="n"/>
      <c r="B468" s="156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30" t="n"/>
      <c r="L468" s="30" t="n"/>
      <c r="M468" s="30" t="n"/>
      <c r="N468" s="30" t="n"/>
      <c r="O468" s="30" t="n"/>
      <c r="P468" s="30" t="n"/>
      <c r="Q468" s="30" t="n"/>
      <c r="R468" s="30" t="n"/>
      <c r="S468" s="30" t="n"/>
      <c r="T468" s="30" t="n"/>
      <c r="U468" s="30" t="n"/>
      <c r="V468" s="30" t="n"/>
      <c r="W468" s="30" t="n"/>
      <c r="X468" s="30" t="n"/>
      <c r="Y468" s="30" t="n"/>
      <c r="Z468" s="30" t="n"/>
      <c r="AA468" s="30" t="n"/>
    </row>
    <row r="469">
      <c r="A469" s="30" t="n"/>
      <c r="B469" s="156" t="n"/>
      <c r="C469" s="30" t="n"/>
      <c r="D469" s="30" t="n"/>
      <c r="E469" s="30" t="n"/>
      <c r="F469" s="30" t="n"/>
      <c r="G469" s="30" t="n"/>
      <c r="H469" s="30" t="n"/>
      <c r="I469" s="30" t="n"/>
      <c r="J469" s="30" t="n"/>
      <c r="K469" s="30" t="n"/>
      <c r="L469" s="30" t="n"/>
      <c r="M469" s="30" t="n"/>
      <c r="N469" s="30" t="n"/>
      <c r="O469" s="30" t="n"/>
      <c r="P469" s="30" t="n"/>
      <c r="Q469" s="30" t="n"/>
      <c r="R469" s="30" t="n"/>
      <c r="S469" s="30" t="n"/>
      <c r="T469" s="30" t="n"/>
      <c r="U469" s="30" t="n"/>
      <c r="V469" s="30" t="n"/>
      <c r="W469" s="30" t="n"/>
      <c r="X469" s="30" t="n"/>
      <c r="Y469" s="30" t="n"/>
      <c r="Z469" s="30" t="n"/>
      <c r="AA469" s="30" t="n"/>
    </row>
    <row r="470">
      <c r="A470" s="30" t="n"/>
      <c r="B470" s="156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30" t="n"/>
      <c r="L470" s="30" t="n"/>
      <c r="M470" s="30" t="n"/>
      <c r="N470" s="30" t="n"/>
      <c r="O470" s="30" t="n"/>
      <c r="P470" s="30" t="n"/>
      <c r="Q470" s="30" t="n"/>
      <c r="R470" s="30" t="n"/>
      <c r="S470" s="30" t="n"/>
      <c r="T470" s="30" t="n"/>
      <c r="U470" s="30" t="n"/>
      <c r="V470" s="30" t="n"/>
      <c r="W470" s="30" t="n"/>
      <c r="X470" s="30" t="n"/>
      <c r="Y470" s="30" t="n"/>
      <c r="Z470" s="30" t="n"/>
      <c r="AA470" s="30" t="n"/>
    </row>
    <row r="471">
      <c r="A471" s="30" t="n"/>
      <c r="B471" s="156" t="n"/>
      <c r="C471" s="30" t="n"/>
      <c r="D471" s="30" t="n"/>
      <c r="E471" s="30" t="n"/>
      <c r="F471" s="30" t="n"/>
      <c r="G471" s="30" t="n"/>
      <c r="H471" s="30" t="n"/>
      <c r="I471" s="30" t="n"/>
      <c r="J471" s="30" t="n"/>
      <c r="K471" s="30" t="n"/>
      <c r="L471" s="30" t="n"/>
      <c r="M471" s="30" t="n"/>
      <c r="N471" s="30" t="n"/>
      <c r="O471" s="30" t="n"/>
      <c r="P471" s="30" t="n"/>
      <c r="Q471" s="30" t="n"/>
      <c r="R471" s="30" t="n"/>
      <c r="S471" s="30" t="n"/>
      <c r="T471" s="30" t="n"/>
      <c r="U471" s="30" t="n"/>
      <c r="V471" s="30" t="n"/>
      <c r="W471" s="30" t="n"/>
      <c r="X471" s="30" t="n"/>
      <c r="Y471" s="30" t="n"/>
      <c r="Z471" s="30" t="n"/>
      <c r="AA471" s="30" t="n"/>
    </row>
    <row r="472">
      <c r="A472" s="30" t="n"/>
      <c r="B472" s="156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30" t="n"/>
      <c r="L472" s="30" t="n"/>
      <c r="M472" s="30" t="n"/>
      <c r="N472" s="30" t="n"/>
      <c r="O472" s="30" t="n"/>
      <c r="P472" s="30" t="n"/>
      <c r="Q472" s="30" t="n"/>
      <c r="R472" s="30" t="n"/>
      <c r="S472" s="30" t="n"/>
      <c r="T472" s="30" t="n"/>
      <c r="U472" s="30" t="n"/>
      <c r="V472" s="30" t="n"/>
      <c r="W472" s="30" t="n"/>
      <c r="X472" s="30" t="n"/>
      <c r="Y472" s="30" t="n"/>
      <c r="Z472" s="30" t="n"/>
      <c r="AA472" s="30" t="n"/>
    </row>
    <row r="473">
      <c r="A473" s="30" t="n"/>
      <c r="B473" s="156" t="n"/>
      <c r="C473" s="30" t="n"/>
      <c r="D473" s="30" t="n"/>
      <c r="E473" s="30" t="n"/>
      <c r="F473" s="30" t="n"/>
      <c r="G473" s="30" t="n"/>
      <c r="H473" s="30" t="n"/>
      <c r="I473" s="30" t="n"/>
      <c r="J473" s="30" t="n"/>
      <c r="K473" s="30" t="n"/>
      <c r="L473" s="30" t="n"/>
      <c r="M473" s="30" t="n"/>
      <c r="N473" s="30" t="n"/>
      <c r="O473" s="30" t="n"/>
      <c r="P473" s="30" t="n"/>
      <c r="Q473" s="30" t="n"/>
      <c r="R473" s="30" t="n"/>
      <c r="S473" s="30" t="n"/>
      <c r="T473" s="30" t="n"/>
      <c r="U473" s="30" t="n"/>
      <c r="V473" s="30" t="n"/>
      <c r="W473" s="30" t="n"/>
      <c r="X473" s="30" t="n"/>
      <c r="Y473" s="30" t="n"/>
      <c r="Z473" s="30" t="n"/>
      <c r="AA473" s="30" t="n"/>
    </row>
    <row r="474">
      <c r="A474" s="30" t="n"/>
      <c r="B474" s="156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30" t="n"/>
      <c r="L474" s="30" t="n"/>
      <c r="M474" s="30" t="n"/>
      <c r="N474" s="30" t="n"/>
      <c r="O474" s="30" t="n"/>
      <c r="P474" s="30" t="n"/>
      <c r="Q474" s="30" t="n"/>
      <c r="R474" s="30" t="n"/>
      <c r="S474" s="30" t="n"/>
      <c r="T474" s="30" t="n"/>
      <c r="U474" s="30" t="n"/>
      <c r="V474" s="30" t="n"/>
      <c r="W474" s="30" t="n"/>
      <c r="X474" s="30" t="n"/>
      <c r="Y474" s="30" t="n"/>
      <c r="Z474" s="30" t="n"/>
      <c r="AA474" s="30" t="n"/>
    </row>
    <row r="475">
      <c r="A475" s="30" t="n"/>
      <c r="B475" s="156" t="n"/>
      <c r="C475" s="30" t="n"/>
      <c r="D475" s="30" t="n"/>
      <c r="E475" s="30" t="n"/>
      <c r="F475" s="30" t="n"/>
      <c r="G475" s="30" t="n"/>
      <c r="H475" s="30" t="n"/>
      <c r="I475" s="30" t="n"/>
      <c r="J475" s="30" t="n"/>
      <c r="K475" s="30" t="n"/>
      <c r="L475" s="30" t="n"/>
      <c r="M475" s="30" t="n"/>
      <c r="N475" s="30" t="n"/>
      <c r="O475" s="30" t="n"/>
      <c r="P475" s="30" t="n"/>
      <c r="Q475" s="30" t="n"/>
      <c r="R475" s="30" t="n"/>
      <c r="S475" s="30" t="n"/>
      <c r="T475" s="30" t="n"/>
      <c r="U475" s="30" t="n"/>
      <c r="V475" s="30" t="n"/>
      <c r="W475" s="30" t="n"/>
      <c r="X475" s="30" t="n"/>
      <c r="Y475" s="30" t="n"/>
      <c r="Z475" s="30" t="n"/>
      <c r="AA475" s="30" t="n"/>
    </row>
    <row r="476">
      <c r="A476" s="30" t="n"/>
      <c r="B476" s="156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30" t="n"/>
      <c r="L476" s="30" t="n"/>
      <c r="M476" s="30" t="n"/>
      <c r="N476" s="30" t="n"/>
      <c r="O476" s="30" t="n"/>
      <c r="P476" s="30" t="n"/>
      <c r="Q476" s="30" t="n"/>
      <c r="R476" s="30" t="n"/>
      <c r="S476" s="30" t="n"/>
      <c r="T476" s="30" t="n"/>
      <c r="U476" s="30" t="n"/>
      <c r="V476" s="30" t="n"/>
      <c r="W476" s="30" t="n"/>
      <c r="X476" s="30" t="n"/>
      <c r="Y476" s="30" t="n"/>
      <c r="Z476" s="30" t="n"/>
      <c r="AA476" s="30" t="n"/>
    </row>
    <row r="477">
      <c r="A477" s="30" t="n"/>
      <c r="B477" s="156" t="n"/>
      <c r="C477" s="30" t="n"/>
      <c r="D477" s="30" t="n"/>
      <c r="E477" s="30" t="n"/>
      <c r="F477" s="30" t="n"/>
      <c r="G477" s="30" t="n"/>
      <c r="H477" s="30" t="n"/>
      <c r="I477" s="30" t="n"/>
      <c r="J477" s="30" t="n"/>
      <c r="K477" s="30" t="n"/>
      <c r="L477" s="30" t="n"/>
      <c r="M477" s="30" t="n"/>
      <c r="N477" s="30" t="n"/>
      <c r="O477" s="30" t="n"/>
      <c r="P477" s="30" t="n"/>
      <c r="Q477" s="30" t="n"/>
      <c r="R477" s="30" t="n"/>
      <c r="S477" s="30" t="n"/>
      <c r="T477" s="30" t="n"/>
      <c r="U477" s="30" t="n"/>
      <c r="V477" s="30" t="n"/>
      <c r="W477" s="30" t="n"/>
      <c r="X477" s="30" t="n"/>
      <c r="Y477" s="30" t="n"/>
      <c r="Z477" s="30" t="n"/>
      <c r="AA477" s="30" t="n"/>
    </row>
    <row r="478">
      <c r="A478" s="30" t="n"/>
      <c r="B478" s="156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30" t="n"/>
      <c r="L478" s="30" t="n"/>
      <c r="M478" s="30" t="n"/>
      <c r="N478" s="30" t="n"/>
      <c r="O478" s="30" t="n"/>
      <c r="P478" s="30" t="n"/>
      <c r="Q478" s="30" t="n"/>
      <c r="R478" s="30" t="n"/>
      <c r="S478" s="30" t="n"/>
      <c r="T478" s="30" t="n"/>
      <c r="U478" s="30" t="n"/>
      <c r="V478" s="30" t="n"/>
      <c r="W478" s="30" t="n"/>
      <c r="X478" s="30" t="n"/>
      <c r="Y478" s="30" t="n"/>
      <c r="Z478" s="30" t="n"/>
      <c r="AA478" s="30" t="n"/>
    </row>
    <row r="479">
      <c r="A479" s="30" t="n"/>
      <c r="B479" s="156" t="n"/>
      <c r="C479" s="30" t="n"/>
      <c r="D479" s="30" t="n"/>
      <c r="E479" s="30" t="n"/>
      <c r="F479" s="30" t="n"/>
      <c r="G479" s="30" t="n"/>
      <c r="H479" s="30" t="n"/>
      <c r="I479" s="30" t="n"/>
      <c r="J479" s="30" t="n"/>
      <c r="K479" s="30" t="n"/>
      <c r="L479" s="30" t="n"/>
      <c r="M479" s="30" t="n"/>
      <c r="N479" s="30" t="n"/>
      <c r="O479" s="30" t="n"/>
      <c r="P479" s="30" t="n"/>
      <c r="Q479" s="30" t="n"/>
      <c r="R479" s="30" t="n"/>
      <c r="S479" s="30" t="n"/>
      <c r="T479" s="30" t="n"/>
      <c r="U479" s="30" t="n"/>
      <c r="V479" s="30" t="n"/>
      <c r="W479" s="30" t="n"/>
      <c r="X479" s="30" t="n"/>
      <c r="Y479" s="30" t="n"/>
      <c r="Z479" s="30" t="n"/>
      <c r="AA479" s="30" t="n"/>
    </row>
    <row r="480">
      <c r="A480" s="30" t="n"/>
      <c r="B480" s="156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30" t="n"/>
      <c r="L480" s="30" t="n"/>
      <c r="M480" s="30" t="n"/>
      <c r="N480" s="30" t="n"/>
      <c r="O480" s="30" t="n"/>
      <c r="P480" s="30" t="n"/>
      <c r="Q480" s="30" t="n"/>
      <c r="R480" s="30" t="n"/>
      <c r="S480" s="30" t="n"/>
      <c r="T480" s="30" t="n"/>
      <c r="U480" s="30" t="n"/>
      <c r="V480" s="30" t="n"/>
      <c r="W480" s="30" t="n"/>
      <c r="X480" s="30" t="n"/>
      <c r="Y480" s="30" t="n"/>
      <c r="Z480" s="30" t="n"/>
      <c r="AA480" s="30" t="n"/>
    </row>
    <row r="481">
      <c r="A481" s="30" t="n"/>
      <c r="B481" s="156" t="n"/>
      <c r="C481" s="30" t="n"/>
      <c r="D481" s="30" t="n"/>
      <c r="E481" s="30" t="n"/>
      <c r="F481" s="30" t="n"/>
      <c r="G481" s="30" t="n"/>
      <c r="H481" s="30" t="n"/>
      <c r="I481" s="30" t="n"/>
      <c r="J481" s="30" t="n"/>
      <c r="K481" s="30" t="n"/>
      <c r="L481" s="30" t="n"/>
      <c r="M481" s="30" t="n"/>
      <c r="N481" s="30" t="n"/>
      <c r="O481" s="30" t="n"/>
      <c r="P481" s="30" t="n"/>
      <c r="Q481" s="30" t="n"/>
      <c r="R481" s="30" t="n"/>
      <c r="S481" s="30" t="n"/>
      <c r="T481" s="30" t="n"/>
      <c r="U481" s="30" t="n"/>
      <c r="V481" s="30" t="n"/>
      <c r="W481" s="30" t="n"/>
      <c r="X481" s="30" t="n"/>
      <c r="Y481" s="30" t="n"/>
      <c r="Z481" s="30" t="n"/>
      <c r="AA481" s="30" t="n"/>
    </row>
    <row r="482">
      <c r="A482" s="30" t="n"/>
      <c r="B482" s="156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30" t="n"/>
      <c r="L482" s="30" t="n"/>
      <c r="M482" s="30" t="n"/>
      <c r="N482" s="30" t="n"/>
      <c r="O482" s="30" t="n"/>
      <c r="P482" s="30" t="n"/>
      <c r="Q482" s="30" t="n"/>
      <c r="R482" s="30" t="n"/>
      <c r="S482" s="30" t="n"/>
      <c r="T482" s="30" t="n"/>
      <c r="U482" s="30" t="n"/>
      <c r="V482" s="30" t="n"/>
      <c r="W482" s="30" t="n"/>
      <c r="X482" s="30" t="n"/>
      <c r="Y482" s="30" t="n"/>
      <c r="Z482" s="30" t="n"/>
      <c r="AA482" s="30" t="n"/>
    </row>
    <row r="483">
      <c r="A483" s="30" t="n"/>
      <c r="B483" s="156" t="n"/>
      <c r="C483" s="30" t="n"/>
      <c r="D483" s="30" t="n"/>
      <c r="E483" s="30" t="n"/>
      <c r="F483" s="30" t="n"/>
      <c r="G483" s="30" t="n"/>
      <c r="H483" s="30" t="n"/>
      <c r="I483" s="30" t="n"/>
      <c r="J483" s="30" t="n"/>
      <c r="K483" s="30" t="n"/>
      <c r="L483" s="30" t="n"/>
      <c r="M483" s="30" t="n"/>
      <c r="N483" s="30" t="n"/>
      <c r="O483" s="30" t="n"/>
      <c r="P483" s="30" t="n"/>
      <c r="Q483" s="30" t="n"/>
      <c r="R483" s="30" t="n"/>
      <c r="S483" s="30" t="n"/>
      <c r="T483" s="30" t="n"/>
      <c r="U483" s="30" t="n"/>
      <c r="V483" s="30" t="n"/>
      <c r="W483" s="30" t="n"/>
      <c r="X483" s="30" t="n"/>
      <c r="Y483" s="30" t="n"/>
      <c r="Z483" s="30" t="n"/>
      <c r="AA483" s="30" t="n"/>
    </row>
    <row r="484">
      <c r="A484" s="30" t="n"/>
      <c r="B484" s="156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30" t="n"/>
      <c r="L484" s="30" t="n"/>
      <c r="M484" s="30" t="n"/>
      <c r="N484" s="30" t="n"/>
      <c r="O484" s="30" t="n"/>
      <c r="P484" s="30" t="n"/>
      <c r="Q484" s="30" t="n"/>
      <c r="R484" s="30" t="n"/>
      <c r="S484" s="30" t="n"/>
      <c r="T484" s="30" t="n"/>
      <c r="U484" s="30" t="n"/>
      <c r="V484" s="30" t="n"/>
      <c r="W484" s="30" t="n"/>
      <c r="X484" s="30" t="n"/>
      <c r="Y484" s="30" t="n"/>
      <c r="Z484" s="30" t="n"/>
      <c r="AA484" s="30" t="n"/>
    </row>
    <row r="485">
      <c r="A485" s="30" t="n"/>
      <c r="B485" s="156" t="n"/>
      <c r="C485" s="30" t="n"/>
      <c r="D485" s="30" t="n"/>
      <c r="E485" s="30" t="n"/>
      <c r="F485" s="30" t="n"/>
      <c r="G485" s="30" t="n"/>
      <c r="H485" s="30" t="n"/>
      <c r="I485" s="30" t="n"/>
      <c r="J485" s="30" t="n"/>
      <c r="K485" s="30" t="n"/>
      <c r="L485" s="30" t="n"/>
      <c r="M485" s="30" t="n"/>
      <c r="N485" s="30" t="n"/>
      <c r="O485" s="30" t="n"/>
      <c r="P485" s="30" t="n"/>
      <c r="Q485" s="30" t="n"/>
      <c r="R485" s="30" t="n"/>
      <c r="S485" s="30" t="n"/>
      <c r="T485" s="30" t="n"/>
      <c r="U485" s="30" t="n"/>
      <c r="V485" s="30" t="n"/>
      <c r="W485" s="30" t="n"/>
      <c r="X485" s="30" t="n"/>
      <c r="Y485" s="30" t="n"/>
      <c r="Z485" s="30" t="n"/>
      <c r="AA485" s="30" t="n"/>
    </row>
    <row r="486">
      <c r="A486" s="30" t="n"/>
      <c r="B486" s="156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30" t="n"/>
      <c r="L486" s="30" t="n"/>
      <c r="M486" s="30" t="n"/>
      <c r="N486" s="30" t="n"/>
      <c r="O486" s="30" t="n"/>
      <c r="P486" s="30" t="n"/>
      <c r="Q486" s="30" t="n"/>
      <c r="R486" s="30" t="n"/>
      <c r="S486" s="30" t="n"/>
      <c r="T486" s="30" t="n"/>
      <c r="U486" s="30" t="n"/>
      <c r="V486" s="30" t="n"/>
      <c r="W486" s="30" t="n"/>
      <c r="X486" s="30" t="n"/>
      <c r="Y486" s="30" t="n"/>
      <c r="Z486" s="30" t="n"/>
      <c r="AA486" s="30" t="n"/>
    </row>
    <row r="487">
      <c r="A487" s="30" t="n"/>
      <c r="B487" s="156" t="n"/>
      <c r="C487" s="30" t="n"/>
      <c r="D487" s="30" t="n"/>
      <c r="E487" s="30" t="n"/>
      <c r="F487" s="30" t="n"/>
      <c r="G487" s="30" t="n"/>
      <c r="H487" s="30" t="n"/>
      <c r="I487" s="30" t="n"/>
      <c r="J487" s="30" t="n"/>
      <c r="K487" s="30" t="n"/>
      <c r="L487" s="30" t="n"/>
      <c r="M487" s="30" t="n"/>
      <c r="N487" s="30" t="n"/>
      <c r="O487" s="30" t="n"/>
      <c r="P487" s="30" t="n"/>
      <c r="Q487" s="30" t="n"/>
      <c r="R487" s="30" t="n"/>
      <c r="S487" s="30" t="n"/>
      <c r="T487" s="30" t="n"/>
      <c r="U487" s="30" t="n"/>
      <c r="V487" s="30" t="n"/>
      <c r="W487" s="30" t="n"/>
      <c r="X487" s="30" t="n"/>
      <c r="Y487" s="30" t="n"/>
      <c r="Z487" s="30" t="n"/>
      <c r="AA487" s="30" t="n"/>
    </row>
    <row r="488">
      <c r="A488" s="30" t="n"/>
      <c r="B488" s="156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30" t="n"/>
      <c r="L488" s="30" t="n"/>
      <c r="M488" s="30" t="n"/>
      <c r="N488" s="30" t="n"/>
      <c r="O488" s="30" t="n"/>
      <c r="P488" s="30" t="n"/>
      <c r="Q488" s="30" t="n"/>
      <c r="R488" s="30" t="n"/>
      <c r="S488" s="30" t="n"/>
      <c r="T488" s="30" t="n"/>
      <c r="U488" s="30" t="n"/>
      <c r="V488" s="30" t="n"/>
      <c r="W488" s="30" t="n"/>
      <c r="X488" s="30" t="n"/>
      <c r="Y488" s="30" t="n"/>
      <c r="Z488" s="30" t="n"/>
      <c r="AA488" s="30" t="n"/>
    </row>
    <row r="489">
      <c r="A489" s="30" t="n"/>
      <c r="B489" s="156" t="n"/>
      <c r="C489" s="30" t="n"/>
      <c r="D489" s="30" t="n"/>
      <c r="E489" s="30" t="n"/>
      <c r="F489" s="30" t="n"/>
      <c r="G489" s="30" t="n"/>
      <c r="H489" s="30" t="n"/>
      <c r="I489" s="30" t="n"/>
      <c r="J489" s="30" t="n"/>
      <c r="K489" s="30" t="n"/>
      <c r="L489" s="30" t="n"/>
      <c r="M489" s="30" t="n"/>
      <c r="N489" s="30" t="n"/>
      <c r="O489" s="30" t="n"/>
      <c r="P489" s="30" t="n"/>
      <c r="Q489" s="30" t="n"/>
      <c r="R489" s="30" t="n"/>
      <c r="S489" s="30" t="n"/>
      <c r="T489" s="30" t="n"/>
      <c r="U489" s="30" t="n"/>
      <c r="V489" s="30" t="n"/>
      <c r="W489" s="30" t="n"/>
      <c r="X489" s="30" t="n"/>
      <c r="Y489" s="30" t="n"/>
      <c r="Z489" s="30" t="n"/>
      <c r="AA489" s="30" t="n"/>
    </row>
    <row r="490">
      <c r="A490" s="30" t="n"/>
      <c r="B490" s="156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30" t="n"/>
      <c r="L490" s="30" t="n"/>
      <c r="M490" s="30" t="n"/>
      <c r="N490" s="30" t="n"/>
      <c r="O490" s="30" t="n"/>
      <c r="P490" s="30" t="n"/>
      <c r="Q490" s="30" t="n"/>
      <c r="R490" s="30" t="n"/>
      <c r="S490" s="30" t="n"/>
      <c r="T490" s="30" t="n"/>
      <c r="U490" s="30" t="n"/>
      <c r="V490" s="30" t="n"/>
      <c r="W490" s="30" t="n"/>
      <c r="X490" s="30" t="n"/>
      <c r="Y490" s="30" t="n"/>
      <c r="Z490" s="30" t="n"/>
      <c r="AA490" s="30" t="n"/>
    </row>
    <row r="491">
      <c r="A491" s="30" t="n"/>
      <c r="B491" s="156" t="n"/>
      <c r="C491" s="30" t="n"/>
      <c r="D491" s="30" t="n"/>
      <c r="E491" s="30" t="n"/>
      <c r="F491" s="30" t="n"/>
      <c r="G491" s="30" t="n"/>
      <c r="H491" s="30" t="n"/>
      <c r="I491" s="30" t="n"/>
      <c r="J491" s="30" t="n"/>
      <c r="K491" s="30" t="n"/>
      <c r="L491" s="30" t="n"/>
      <c r="M491" s="30" t="n"/>
      <c r="N491" s="30" t="n"/>
      <c r="O491" s="30" t="n"/>
      <c r="P491" s="30" t="n"/>
      <c r="Q491" s="30" t="n"/>
      <c r="R491" s="30" t="n"/>
      <c r="S491" s="30" t="n"/>
      <c r="T491" s="30" t="n"/>
      <c r="U491" s="30" t="n"/>
      <c r="V491" s="30" t="n"/>
      <c r="W491" s="30" t="n"/>
      <c r="X491" s="30" t="n"/>
      <c r="Y491" s="30" t="n"/>
      <c r="Z491" s="30" t="n"/>
      <c r="AA491" s="30" t="n"/>
    </row>
    <row r="492">
      <c r="A492" s="30" t="n"/>
      <c r="B492" s="156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30" t="n"/>
      <c r="L492" s="30" t="n"/>
      <c r="M492" s="30" t="n"/>
      <c r="N492" s="30" t="n"/>
      <c r="O492" s="30" t="n"/>
      <c r="P492" s="30" t="n"/>
      <c r="Q492" s="30" t="n"/>
      <c r="R492" s="30" t="n"/>
      <c r="S492" s="30" t="n"/>
      <c r="T492" s="30" t="n"/>
      <c r="U492" s="30" t="n"/>
      <c r="V492" s="30" t="n"/>
      <c r="W492" s="30" t="n"/>
      <c r="X492" s="30" t="n"/>
      <c r="Y492" s="30" t="n"/>
      <c r="Z492" s="30" t="n"/>
      <c r="AA492" s="30" t="n"/>
    </row>
    <row r="493">
      <c r="A493" s="30" t="n"/>
      <c r="B493" s="156" t="n"/>
      <c r="C493" s="30" t="n"/>
      <c r="D493" s="30" t="n"/>
      <c r="E493" s="30" t="n"/>
      <c r="F493" s="30" t="n"/>
      <c r="G493" s="30" t="n"/>
      <c r="H493" s="30" t="n"/>
      <c r="I493" s="30" t="n"/>
      <c r="J493" s="30" t="n"/>
      <c r="K493" s="30" t="n"/>
      <c r="L493" s="30" t="n"/>
      <c r="M493" s="30" t="n"/>
      <c r="N493" s="30" t="n"/>
      <c r="O493" s="30" t="n"/>
      <c r="P493" s="30" t="n"/>
      <c r="Q493" s="30" t="n"/>
      <c r="R493" s="30" t="n"/>
      <c r="S493" s="30" t="n"/>
      <c r="T493" s="30" t="n"/>
      <c r="U493" s="30" t="n"/>
      <c r="V493" s="30" t="n"/>
      <c r="W493" s="30" t="n"/>
      <c r="X493" s="30" t="n"/>
      <c r="Y493" s="30" t="n"/>
      <c r="Z493" s="30" t="n"/>
      <c r="AA493" s="30" t="n"/>
    </row>
    <row r="494">
      <c r="A494" s="30" t="n"/>
      <c r="B494" s="156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30" t="n"/>
      <c r="L494" s="30" t="n"/>
      <c r="M494" s="30" t="n"/>
      <c r="N494" s="30" t="n"/>
      <c r="O494" s="30" t="n"/>
      <c r="P494" s="30" t="n"/>
      <c r="Q494" s="30" t="n"/>
      <c r="R494" s="30" t="n"/>
      <c r="S494" s="30" t="n"/>
      <c r="T494" s="30" t="n"/>
      <c r="U494" s="30" t="n"/>
      <c r="V494" s="30" t="n"/>
      <c r="W494" s="30" t="n"/>
      <c r="X494" s="30" t="n"/>
      <c r="Y494" s="30" t="n"/>
      <c r="Z494" s="30" t="n"/>
      <c r="AA494" s="30" t="n"/>
    </row>
    <row r="495">
      <c r="A495" s="30" t="n"/>
      <c r="B495" s="156" t="n"/>
      <c r="C495" s="30" t="n"/>
      <c r="D495" s="30" t="n"/>
      <c r="E495" s="30" t="n"/>
      <c r="F495" s="30" t="n"/>
      <c r="G495" s="30" t="n"/>
      <c r="H495" s="30" t="n"/>
      <c r="I495" s="30" t="n"/>
      <c r="J495" s="30" t="n"/>
      <c r="K495" s="30" t="n"/>
      <c r="L495" s="30" t="n"/>
      <c r="M495" s="30" t="n"/>
      <c r="N495" s="30" t="n"/>
      <c r="O495" s="30" t="n"/>
      <c r="P495" s="30" t="n"/>
      <c r="Q495" s="30" t="n"/>
      <c r="R495" s="30" t="n"/>
      <c r="S495" s="30" t="n"/>
      <c r="T495" s="30" t="n"/>
      <c r="U495" s="30" t="n"/>
      <c r="V495" s="30" t="n"/>
      <c r="W495" s="30" t="n"/>
      <c r="X495" s="30" t="n"/>
      <c r="Y495" s="30" t="n"/>
      <c r="Z495" s="30" t="n"/>
      <c r="AA495" s="30" t="n"/>
    </row>
    <row r="496">
      <c r="A496" s="30" t="n"/>
      <c r="B496" s="156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30" t="n"/>
      <c r="L496" s="30" t="n"/>
      <c r="M496" s="30" t="n"/>
      <c r="N496" s="30" t="n"/>
      <c r="O496" s="30" t="n"/>
      <c r="P496" s="30" t="n"/>
      <c r="Q496" s="30" t="n"/>
      <c r="R496" s="30" t="n"/>
      <c r="S496" s="30" t="n"/>
      <c r="T496" s="30" t="n"/>
      <c r="U496" s="30" t="n"/>
      <c r="V496" s="30" t="n"/>
      <c r="W496" s="30" t="n"/>
      <c r="X496" s="30" t="n"/>
      <c r="Y496" s="30" t="n"/>
      <c r="Z496" s="30" t="n"/>
      <c r="AA496" s="30" t="n"/>
    </row>
    <row r="497">
      <c r="A497" s="30" t="n"/>
      <c r="B497" s="156" t="n"/>
      <c r="C497" s="30" t="n"/>
      <c r="D497" s="30" t="n"/>
      <c r="E497" s="30" t="n"/>
      <c r="F497" s="30" t="n"/>
      <c r="G497" s="30" t="n"/>
      <c r="H497" s="30" t="n"/>
      <c r="I497" s="30" t="n"/>
      <c r="J497" s="30" t="n"/>
      <c r="K497" s="30" t="n"/>
      <c r="L497" s="30" t="n"/>
      <c r="M497" s="30" t="n"/>
      <c r="N497" s="30" t="n"/>
      <c r="O497" s="30" t="n"/>
      <c r="P497" s="30" t="n"/>
      <c r="Q497" s="30" t="n"/>
      <c r="R497" s="30" t="n"/>
      <c r="S497" s="30" t="n"/>
      <c r="T497" s="30" t="n"/>
      <c r="U497" s="30" t="n"/>
      <c r="V497" s="30" t="n"/>
      <c r="W497" s="30" t="n"/>
      <c r="X497" s="30" t="n"/>
      <c r="Y497" s="30" t="n"/>
      <c r="Z497" s="30" t="n"/>
      <c r="AA497" s="30" t="n"/>
    </row>
    <row r="498">
      <c r="A498" s="30" t="n"/>
      <c r="B498" s="156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30" t="n"/>
      <c r="L498" s="30" t="n"/>
      <c r="M498" s="30" t="n"/>
      <c r="N498" s="30" t="n"/>
      <c r="O498" s="30" t="n"/>
      <c r="P498" s="30" t="n"/>
      <c r="Q498" s="30" t="n"/>
      <c r="R498" s="30" t="n"/>
      <c r="S498" s="30" t="n"/>
      <c r="T498" s="30" t="n"/>
      <c r="U498" s="30" t="n"/>
      <c r="V498" s="30" t="n"/>
      <c r="W498" s="30" t="n"/>
      <c r="X498" s="30" t="n"/>
      <c r="Y498" s="30" t="n"/>
      <c r="Z498" s="30" t="n"/>
      <c r="AA498" s="30" t="n"/>
    </row>
    <row r="499">
      <c r="A499" s="30" t="n"/>
      <c r="B499" s="156" t="n"/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  <c r="N499" s="30" t="n"/>
      <c r="O499" s="30" t="n"/>
      <c r="P499" s="30" t="n"/>
      <c r="Q499" s="30" t="n"/>
      <c r="R499" s="30" t="n"/>
      <c r="S499" s="30" t="n"/>
      <c r="T499" s="30" t="n"/>
      <c r="U499" s="30" t="n"/>
      <c r="V499" s="30" t="n"/>
      <c r="W499" s="30" t="n"/>
      <c r="X499" s="30" t="n"/>
      <c r="Y499" s="30" t="n"/>
      <c r="Z499" s="30" t="n"/>
      <c r="AA499" s="30" t="n"/>
    </row>
    <row r="500">
      <c r="A500" s="30" t="n"/>
      <c r="B500" s="156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  <c r="N500" s="30" t="n"/>
      <c r="O500" s="30" t="n"/>
      <c r="P500" s="30" t="n"/>
      <c r="Q500" s="30" t="n"/>
      <c r="R500" s="30" t="n"/>
      <c r="S500" s="30" t="n"/>
      <c r="T500" s="30" t="n"/>
      <c r="U500" s="30" t="n"/>
      <c r="V500" s="30" t="n"/>
      <c r="W500" s="30" t="n"/>
      <c r="X500" s="30" t="n"/>
      <c r="Y500" s="30" t="n"/>
      <c r="Z500" s="30" t="n"/>
      <c r="AA500" s="30" t="n"/>
    </row>
    <row r="501">
      <c r="A501" s="30" t="n"/>
      <c r="B501" s="156" t="n"/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L501" s="30" t="n"/>
      <c r="M501" s="30" t="n"/>
      <c r="N501" s="30" t="n"/>
      <c r="O501" s="30" t="n"/>
      <c r="P501" s="30" t="n"/>
      <c r="Q501" s="30" t="n"/>
      <c r="R501" s="30" t="n"/>
      <c r="S501" s="30" t="n"/>
      <c r="T501" s="30" t="n"/>
      <c r="U501" s="30" t="n"/>
      <c r="V501" s="30" t="n"/>
      <c r="W501" s="30" t="n"/>
      <c r="X501" s="30" t="n"/>
      <c r="Y501" s="30" t="n"/>
      <c r="Z501" s="30" t="n"/>
      <c r="AA501" s="30" t="n"/>
    </row>
    <row r="502">
      <c r="A502" s="30" t="n"/>
      <c r="B502" s="156" t="n"/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L502" s="30" t="n"/>
      <c r="M502" s="30" t="n"/>
      <c r="N502" s="30" t="n"/>
      <c r="O502" s="30" t="n"/>
      <c r="P502" s="30" t="n"/>
      <c r="Q502" s="30" t="n"/>
      <c r="R502" s="30" t="n"/>
      <c r="S502" s="30" t="n"/>
      <c r="T502" s="30" t="n"/>
      <c r="U502" s="30" t="n"/>
      <c r="V502" s="30" t="n"/>
      <c r="W502" s="30" t="n"/>
      <c r="X502" s="30" t="n"/>
      <c r="Y502" s="30" t="n"/>
      <c r="Z502" s="30" t="n"/>
      <c r="AA502" s="30" t="n"/>
    </row>
    <row r="503">
      <c r="A503" s="30" t="n"/>
      <c r="B503" s="156" t="n"/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L503" s="30" t="n"/>
      <c r="M503" s="30" t="n"/>
      <c r="N503" s="30" t="n"/>
      <c r="O503" s="30" t="n"/>
      <c r="P503" s="30" t="n"/>
      <c r="Q503" s="30" t="n"/>
      <c r="R503" s="30" t="n"/>
      <c r="S503" s="30" t="n"/>
      <c r="T503" s="30" t="n"/>
      <c r="U503" s="30" t="n"/>
      <c r="V503" s="30" t="n"/>
      <c r="W503" s="30" t="n"/>
      <c r="X503" s="30" t="n"/>
      <c r="Y503" s="30" t="n"/>
      <c r="Z503" s="30" t="n"/>
      <c r="AA503" s="30" t="n"/>
    </row>
    <row r="504">
      <c r="A504" s="30" t="n"/>
      <c r="B504" s="156" t="n"/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L504" s="30" t="n"/>
      <c r="M504" s="30" t="n"/>
      <c r="N504" s="30" t="n"/>
      <c r="O504" s="30" t="n"/>
      <c r="P504" s="30" t="n"/>
      <c r="Q504" s="30" t="n"/>
      <c r="R504" s="30" t="n"/>
      <c r="S504" s="30" t="n"/>
      <c r="T504" s="30" t="n"/>
      <c r="U504" s="30" t="n"/>
      <c r="V504" s="30" t="n"/>
      <c r="W504" s="30" t="n"/>
      <c r="X504" s="30" t="n"/>
      <c r="Y504" s="30" t="n"/>
      <c r="Z504" s="30" t="n"/>
      <c r="AA504" s="30" t="n"/>
    </row>
    <row r="505">
      <c r="A505" s="30" t="n"/>
      <c r="B505" s="156" t="n"/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L505" s="30" t="n"/>
      <c r="M505" s="30" t="n"/>
      <c r="N505" s="30" t="n"/>
      <c r="O505" s="30" t="n"/>
      <c r="P505" s="30" t="n"/>
      <c r="Q505" s="30" t="n"/>
      <c r="R505" s="30" t="n"/>
      <c r="S505" s="30" t="n"/>
      <c r="T505" s="30" t="n"/>
      <c r="U505" s="30" t="n"/>
      <c r="V505" s="30" t="n"/>
      <c r="W505" s="30" t="n"/>
      <c r="X505" s="30" t="n"/>
      <c r="Y505" s="30" t="n"/>
      <c r="Z505" s="30" t="n"/>
      <c r="AA505" s="30" t="n"/>
    </row>
    <row r="506">
      <c r="A506" s="30" t="n"/>
      <c r="B506" s="156" t="n"/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L506" s="30" t="n"/>
      <c r="M506" s="30" t="n"/>
      <c r="N506" s="30" t="n"/>
      <c r="O506" s="30" t="n"/>
      <c r="P506" s="30" t="n"/>
      <c r="Q506" s="30" t="n"/>
      <c r="R506" s="30" t="n"/>
      <c r="S506" s="30" t="n"/>
      <c r="T506" s="30" t="n"/>
      <c r="U506" s="30" t="n"/>
      <c r="V506" s="30" t="n"/>
      <c r="W506" s="30" t="n"/>
      <c r="X506" s="30" t="n"/>
      <c r="Y506" s="30" t="n"/>
      <c r="Z506" s="30" t="n"/>
      <c r="AA506" s="30" t="n"/>
    </row>
    <row r="507">
      <c r="A507" s="30" t="n"/>
      <c r="B507" s="156" t="n"/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L507" s="30" t="n"/>
      <c r="M507" s="30" t="n"/>
      <c r="N507" s="30" t="n"/>
      <c r="O507" s="30" t="n"/>
      <c r="P507" s="30" t="n"/>
      <c r="Q507" s="30" t="n"/>
      <c r="R507" s="30" t="n"/>
      <c r="S507" s="30" t="n"/>
      <c r="T507" s="30" t="n"/>
      <c r="U507" s="30" t="n"/>
      <c r="V507" s="30" t="n"/>
      <c r="W507" s="30" t="n"/>
      <c r="X507" s="30" t="n"/>
      <c r="Y507" s="30" t="n"/>
      <c r="Z507" s="30" t="n"/>
      <c r="AA507" s="30" t="n"/>
    </row>
    <row r="508">
      <c r="A508" s="30" t="n"/>
      <c r="B508" s="156" t="n"/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L508" s="30" t="n"/>
      <c r="M508" s="30" t="n"/>
      <c r="N508" s="30" t="n"/>
      <c r="O508" s="30" t="n"/>
      <c r="P508" s="30" t="n"/>
      <c r="Q508" s="30" t="n"/>
      <c r="R508" s="30" t="n"/>
      <c r="S508" s="30" t="n"/>
      <c r="T508" s="30" t="n"/>
      <c r="U508" s="30" t="n"/>
      <c r="V508" s="30" t="n"/>
      <c r="W508" s="30" t="n"/>
      <c r="X508" s="30" t="n"/>
      <c r="Y508" s="30" t="n"/>
      <c r="Z508" s="30" t="n"/>
      <c r="AA508" s="30" t="n"/>
    </row>
    <row r="509">
      <c r="A509" s="30" t="n"/>
      <c r="B509" s="156" t="n"/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L509" s="30" t="n"/>
      <c r="M509" s="30" t="n"/>
      <c r="N509" s="30" t="n"/>
      <c r="O509" s="30" t="n"/>
      <c r="P509" s="30" t="n"/>
      <c r="Q509" s="30" t="n"/>
      <c r="R509" s="30" t="n"/>
      <c r="S509" s="30" t="n"/>
      <c r="T509" s="30" t="n"/>
      <c r="U509" s="30" t="n"/>
      <c r="V509" s="30" t="n"/>
      <c r="W509" s="30" t="n"/>
      <c r="X509" s="30" t="n"/>
      <c r="Y509" s="30" t="n"/>
      <c r="Z509" s="30" t="n"/>
      <c r="AA509" s="30" t="n"/>
    </row>
    <row r="510">
      <c r="A510" s="30" t="n"/>
      <c r="B510" s="156" t="n"/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L510" s="30" t="n"/>
      <c r="M510" s="30" t="n"/>
      <c r="N510" s="30" t="n"/>
      <c r="O510" s="30" t="n"/>
      <c r="P510" s="30" t="n"/>
      <c r="Q510" s="30" t="n"/>
      <c r="R510" s="30" t="n"/>
      <c r="S510" s="30" t="n"/>
      <c r="T510" s="30" t="n"/>
      <c r="U510" s="30" t="n"/>
      <c r="V510" s="30" t="n"/>
      <c r="W510" s="30" t="n"/>
      <c r="X510" s="30" t="n"/>
      <c r="Y510" s="30" t="n"/>
      <c r="Z510" s="30" t="n"/>
      <c r="AA510" s="30" t="n"/>
    </row>
    <row r="511">
      <c r="A511" s="30" t="n"/>
      <c r="B511" s="156" t="n"/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L511" s="30" t="n"/>
      <c r="M511" s="30" t="n"/>
      <c r="N511" s="30" t="n"/>
      <c r="O511" s="30" t="n"/>
      <c r="P511" s="30" t="n"/>
      <c r="Q511" s="30" t="n"/>
      <c r="R511" s="30" t="n"/>
      <c r="S511" s="30" t="n"/>
      <c r="T511" s="30" t="n"/>
      <c r="U511" s="30" t="n"/>
      <c r="V511" s="30" t="n"/>
      <c r="W511" s="30" t="n"/>
      <c r="X511" s="30" t="n"/>
      <c r="Y511" s="30" t="n"/>
      <c r="Z511" s="30" t="n"/>
      <c r="AA511" s="30" t="n"/>
    </row>
    <row r="512">
      <c r="A512" s="30" t="n"/>
      <c r="B512" s="156" t="n"/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L512" s="30" t="n"/>
      <c r="M512" s="30" t="n"/>
      <c r="N512" s="30" t="n"/>
      <c r="O512" s="30" t="n"/>
      <c r="P512" s="30" t="n"/>
      <c r="Q512" s="30" t="n"/>
      <c r="R512" s="30" t="n"/>
      <c r="S512" s="30" t="n"/>
      <c r="T512" s="30" t="n"/>
      <c r="U512" s="30" t="n"/>
      <c r="V512" s="30" t="n"/>
      <c r="W512" s="30" t="n"/>
      <c r="X512" s="30" t="n"/>
      <c r="Y512" s="30" t="n"/>
      <c r="Z512" s="30" t="n"/>
      <c r="AA512" s="30" t="n"/>
    </row>
    <row r="513">
      <c r="A513" s="30" t="n"/>
      <c r="B513" s="156" t="n"/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L513" s="30" t="n"/>
      <c r="M513" s="30" t="n"/>
      <c r="N513" s="30" t="n"/>
      <c r="O513" s="30" t="n"/>
      <c r="P513" s="30" t="n"/>
      <c r="Q513" s="30" t="n"/>
      <c r="R513" s="30" t="n"/>
      <c r="S513" s="30" t="n"/>
      <c r="T513" s="30" t="n"/>
      <c r="U513" s="30" t="n"/>
      <c r="V513" s="30" t="n"/>
      <c r="W513" s="30" t="n"/>
      <c r="X513" s="30" t="n"/>
      <c r="Y513" s="30" t="n"/>
      <c r="Z513" s="30" t="n"/>
      <c r="AA513" s="30" t="n"/>
    </row>
    <row r="514">
      <c r="A514" s="30" t="n"/>
      <c r="B514" s="156" t="n"/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L514" s="30" t="n"/>
      <c r="M514" s="30" t="n"/>
      <c r="N514" s="30" t="n"/>
      <c r="O514" s="30" t="n"/>
      <c r="P514" s="30" t="n"/>
      <c r="Q514" s="30" t="n"/>
      <c r="R514" s="30" t="n"/>
      <c r="S514" s="30" t="n"/>
      <c r="T514" s="30" t="n"/>
      <c r="U514" s="30" t="n"/>
      <c r="V514" s="30" t="n"/>
      <c r="W514" s="30" t="n"/>
      <c r="X514" s="30" t="n"/>
      <c r="Y514" s="30" t="n"/>
      <c r="Z514" s="30" t="n"/>
      <c r="AA514" s="30" t="n"/>
    </row>
    <row r="515">
      <c r="A515" s="30" t="n"/>
      <c r="B515" s="156" t="n"/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L515" s="30" t="n"/>
      <c r="M515" s="30" t="n"/>
      <c r="N515" s="30" t="n"/>
      <c r="O515" s="30" t="n"/>
      <c r="P515" s="30" t="n"/>
      <c r="Q515" s="30" t="n"/>
      <c r="R515" s="30" t="n"/>
      <c r="S515" s="30" t="n"/>
      <c r="T515" s="30" t="n"/>
      <c r="U515" s="30" t="n"/>
      <c r="V515" s="30" t="n"/>
      <c r="W515" s="30" t="n"/>
      <c r="X515" s="30" t="n"/>
      <c r="Y515" s="30" t="n"/>
      <c r="Z515" s="30" t="n"/>
      <c r="AA515" s="30" t="n"/>
    </row>
    <row r="516">
      <c r="A516" s="30" t="n"/>
      <c r="B516" s="156" t="n"/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L516" s="30" t="n"/>
      <c r="M516" s="30" t="n"/>
      <c r="N516" s="30" t="n"/>
      <c r="O516" s="30" t="n"/>
      <c r="P516" s="30" t="n"/>
      <c r="Q516" s="30" t="n"/>
      <c r="R516" s="30" t="n"/>
      <c r="S516" s="30" t="n"/>
      <c r="T516" s="30" t="n"/>
      <c r="U516" s="30" t="n"/>
      <c r="V516" s="30" t="n"/>
      <c r="W516" s="30" t="n"/>
      <c r="X516" s="30" t="n"/>
      <c r="Y516" s="30" t="n"/>
      <c r="Z516" s="30" t="n"/>
      <c r="AA516" s="30" t="n"/>
    </row>
    <row r="517">
      <c r="A517" s="30" t="n"/>
      <c r="B517" s="156" t="n"/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L517" s="30" t="n"/>
      <c r="M517" s="30" t="n"/>
      <c r="N517" s="30" t="n"/>
      <c r="O517" s="30" t="n"/>
      <c r="P517" s="30" t="n"/>
      <c r="Q517" s="30" t="n"/>
      <c r="R517" s="30" t="n"/>
      <c r="S517" s="30" t="n"/>
      <c r="T517" s="30" t="n"/>
      <c r="U517" s="30" t="n"/>
      <c r="V517" s="30" t="n"/>
      <c r="W517" s="30" t="n"/>
      <c r="X517" s="30" t="n"/>
      <c r="Y517" s="30" t="n"/>
      <c r="Z517" s="30" t="n"/>
      <c r="AA517" s="30" t="n"/>
    </row>
    <row r="518">
      <c r="A518" s="30" t="n"/>
      <c r="B518" s="156" t="n"/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L518" s="30" t="n"/>
      <c r="M518" s="30" t="n"/>
      <c r="N518" s="30" t="n"/>
      <c r="O518" s="30" t="n"/>
      <c r="P518" s="30" t="n"/>
      <c r="Q518" s="30" t="n"/>
      <c r="R518" s="30" t="n"/>
      <c r="S518" s="30" t="n"/>
      <c r="T518" s="30" t="n"/>
      <c r="U518" s="30" t="n"/>
      <c r="V518" s="30" t="n"/>
      <c r="W518" s="30" t="n"/>
      <c r="X518" s="30" t="n"/>
      <c r="Y518" s="30" t="n"/>
      <c r="Z518" s="30" t="n"/>
      <c r="AA518" s="30" t="n"/>
    </row>
    <row r="519">
      <c r="A519" s="30" t="n"/>
      <c r="B519" s="156" t="n"/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L519" s="30" t="n"/>
      <c r="M519" s="30" t="n"/>
      <c r="N519" s="30" t="n"/>
      <c r="O519" s="30" t="n"/>
      <c r="P519" s="30" t="n"/>
      <c r="Q519" s="30" t="n"/>
      <c r="R519" s="30" t="n"/>
      <c r="S519" s="30" t="n"/>
      <c r="T519" s="30" t="n"/>
      <c r="U519" s="30" t="n"/>
      <c r="V519" s="30" t="n"/>
      <c r="W519" s="30" t="n"/>
      <c r="X519" s="30" t="n"/>
      <c r="Y519" s="30" t="n"/>
      <c r="Z519" s="30" t="n"/>
      <c r="AA519" s="30" t="n"/>
    </row>
    <row r="520">
      <c r="A520" s="30" t="n"/>
      <c r="B520" s="156" t="n"/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L520" s="30" t="n"/>
      <c r="M520" s="30" t="n"/>
      <c r="N520" s="30" t="n"/>
      <c r="O520" s="30" t="n"/>
      <c r="P520" s="30" t="n"/>
      <c r="Q520" s="30" t="n"/>
      <c r="R520" s="30" t="n"/>
      <c r="S520" s="30" t="n"/>
      <c r="T520" s="30" t="n"/>
      <c r="U520" s="30" t="n"/>
      <c r="V520" s="30" t="n"/>
      <c r="W520" s="30" t="n"/>
      <c r="X520" s="30" t="n"/>
      <c r="Y520" s="30" t="n"/>
      <c r="Z520" s="30" t="n"/>
      <c r="AA520" s="30" t="n"/>
    </row>
    <row r="521">
      <c r="A521" s="30" t="n"/>
      <c r="B521" s="156" t="n"/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L521" s="30" t="n"/>
      <c r="M521" s="30" t="n"/>
      <c r="N521" s="30" t="n"/>
      <c r="O521" s="30" t="n"/>
      <c r="P521" s="30" t="n"/>
      <c r="Q521" s="30" t="n"/>
      <c r="R521" s="30" t="n"/>
      <c r="S521" s="30" t="n"/>
      <c r="T521" s="30" t="n"/>
      <c r="U521" s="30" t="n"/>
      <c r="V521" s="30" t="n"/>
      <c r="W521" s="30" t="n"/>
      <c r="X521" s="30" t="n"/>
      <c r="Y521" s="30" t="n"/>
      <c r="Z521" s="30" t="n"/>
      <c r="AA521" s="30" t="n"/>
    </row>
    <row r="522">
      <c r="A522" s="30" t="n"/>
      <c r="B522" s="156" t="n"/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L522" s="30" t="n"/>
      <c r="M522" s="30" t="n"/>
      <c r="N522" s="30" t="n"/>
      <c r="O522" s="30" t="n"/>
      <c r="P522" s="30" t="n"/>
      <c r="Q522" s="30" t="n"/>
      <c r="R522" s="30" t="n"/>
      <c r="S522" s="30" t="n"/>
      <c r="T522" s="30" t="n"/>
      <c r="U522" s="30" t="n"/>
      <c r="V522" s="30" t="n"/>
      <c r="W522" s="30" t="n"/>
      <c r="X522" s="30" t="n"/>
      <c r="Y522" s="30" t="n"/>
      <c r="Z522" s="30" t="n"/>
      <c r="AA522" s="30" t="n"/>
    </row>
    <row r="523">
      <c r="A523" s="30" t="n"/>
      <c r="B523" s="156" t="n"/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L523" s="30" t="n"/>
      <c r="M523" s="30" t="n"/>
      <c r="N523" s="30" t="n"/>
      <c r="O523" s="30" t="n"/>
      <c r="P523" s="30" t="n"/>
      <c r="Q523" s="30" t="n"/>
      <c r="R523" s="30" t="n"/>
      <c r="S523" s="30" t="n"/>
      <c r="T523" s="30" t="n"/>
      <c r="U523" s="30" t="n"/>
      <c r="V523" s="30" t="n"/>
      <c r="W523" s="30" t="n"/>
      <c r="X523" s="30" t="n"/>
      <c r="Y523" s="30" t="n"/>
      <c r="Z523" s="30" t="n"/>
      <c r="AA523" s="30" t="n"/>
    </row>
    <row r="524">
      <c r="A524" s="30" t="n"/>
      <c r="B524" s="156" t="n"/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L524" s="30" t="n"/>
      <c r="M524" s="30" t="n"/>
      <c r="N524" s="30" t="n"/>
      <c r="O524" s="30" t="n"/>
      <c r="P524" s="30" t="n"/>
      <c r="Q524" s="30" t="n"/>
      <c r="R524" s="30" t="n"/>
      <c r="S524" s="30" t="n"/>
      <c r="T524" s="30" t="n"/>
      <c r="U524" s="30" t="n"/>
      <c r="V524" s="30" t="n"/>
      <c r="W524" s="30" t="n"/>
      <c r="X524" s="30" t="n"/>
      <c r="Y524" s="30" t="n"/>
      <c r="Z524" s="30" t="n"/>
      <c r="AA524" s="30" t="n"/>
    </row>
    <row r="525">
      <c r="A525" s="30" t="n"/>
      <c r="B525" s="156" t="n"/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L525" s="30" t="n"/>
      <c r="M525" s="30" t="n"/>
      <c r="N525" s="30" t="n"/>
      <c r="O525" s="30" t="n"/>
      <c r="P525" s="30" t="n"/>
      <c r="Q525" s="30" t="n"/>
      <c r="R525" s="30" t="n"/>
      <c r="S525" s="30" t="n"/>
      <c r="T525" s="30" t="n"/>
      <c r="U525" s="30" t="n"/>
      <c r="V525" s="30" t="n"/>
      <c r="W525" s="30" t="n"/>
      <c r="X525" s="30" t="n"/>
      <c r="Y525" s="30" t="n"/>
      <c r="Z525" s="30" t="n"/>
      <c r="AA525" s="30" t="n"/>
    </row>
    <row r="526">
      <c r="A526" s="30" t="n"/>
      <c r="B526" s="156" t="n"/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L526" s="30" t="n"/>
      <c r="M526" s="30" t="n"/>
      <c r="N526" s="30" t="n"/>
      <c r="O526" s="30" t="n"/>
      <c r="P526" s="30" t="n"/>
      <c r="Q526" s="30" t="n"/>
      <c r="R526" s="30" t="n"/>
      <c r="S526" s="30" t="n"/>
      <c r="T526" s="30" t="n"/>
      <c r="U526" s="30" t="n"/>
      <c r="V526" s="30" t="n"/>
      <c r="W526" s="30" t="n"/>
      <c r="X526" s="30" t="n"/>
      <c r="Y526" s="30" t="n"/>
      <c r="Z526" s="30" t="n"/>
      <c r="AA526" s="30" t="n"/>
    </row>
    <row r="527">
      <c r="A527" s="30" t="n"/>
      <c r="B527" s="156" t="n"/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L527" s="30" t="n"/>
      <c r="M527" s="30" t="n"/>
      <c r="N527" s="30" t="n"/>
      <c r="O527" s="30" t="n"/>
      <c r="P527" s="30" t="n"/>
      <c r="Q527" s="30" t="n"/>
      <c r="R527" s="30" t="n"/>
      <c r="S527" s="30" t="n"/>
      <c r="T527" s="30" t="n"/>
      <c r="U527" s="30" t="n"/>
      <c r="V527" s="30" t="n"/>
      <c r="W527" s="30" t="n"/>
      <c r="X527" s="30" t="n"/>
      <c r="Y527" s="30" t="n"/>
      <c r="Z527" s="30" t="n"/>
      <c r="AA527" s="30" t="n"/>
    </row>
    <row r="528">
      <c r="A528" s="30" t="n"/>
      <c r="B528" s="156" t="n"/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L528" s="30" t="n"/>
      <c r="M528" s="30" t="n"/>
      <c r="N528" s="30" t="n"/>
      <c r="O528" s="30" t="n"/>
      <c r="P528" s="30" t="n"/>
      <c r="Q528" s="30" t="n"/>
      <c r="R528" s="30" t="n"/>
      <c r="S528" s="30" t="n"/>
      <c r="T528" s="30" t="n"/>
      <c r="U528" s="30" t="n"/>
      <c r="V528" s="30" t="n"/>
      <c r="W528" s="30" t="n"/>
      <c r="X528" s="30" t="n"/>
      <c r="Y528" s="30" t="n"/>
      <c r="Z528" s="30" t="n"/>
      <c r="AA528" s="30" t="n"/>
    </row>
    <row r="529">
      <c r="A529" s="30" t="n"/>
      <c r="B529" s="156" t="n"/>
      <c r="C529" s="30" t="n"/>
      <c r="D529" s="30" t="n"/>
      <c r="E529" s="30" t="n"/>
      <c r="F529" s="30" t="n"/>
      <c r="G529" s="30" t="n"/>
      <c r="H529" s="30" t="n"/>
      <c r="I529" s="30" t="n"/>
      <c r="J529" s="30" t="n"/>
      <c r="K529" s="30" t="n"/>
      <c r="L529" s="30" t="n"/>
      <c r="M529" s="30" t="n"/>
      <c r="N529" s="30" t="n"/>
      <c r="O529" s="30" t="n"/>
      <c r="P529" s="30" t="n"/>
      <c r="Q529" s="30" t="n"/>
      <c r="R529" s="30" t="n"/>
      <c r="S529" s="30" t="n"/>
      <c r="T529" s="30" t="n"/>
      <c r="U529" s="30" t="n"/>
      <c r="V529" s="30" t="n"/>
      <c r="W529" s="30" t="n"/>
      <c r="X529" s="30" t="n"/>
      <c r="Y529" s="30" t="n"/>
      <c r="Z529" s="30" t="n"/>
      <c r="AA529" s="30" t="n"/>
    </row>
    <row r="530">
      <c r="A530" s="30" t="n"/>
      <c r="B530" s="156" t="n"/>
      <c r="C530" s="30" t="n"/>
      <c r="D530" s="30" t="n"/>
      <c r="E530" s="30" t="n"/>
      <c r="F530" s="30" t="n"/>
      <c r="G530" s="30" t="n"/>
      <c r="H530" s="30" t="n"/>
      <c r="I530" s="30" t="n"/>
      <c r="J530" s="30" t="n"/>
      <c r="K530" s="30" t="n"/>
      <c r="L530" s="30" t="n"/>
      <c r="M530" s="30" t="n"/>
      <c r="N530" s="30" t="n"/>
      <c r="O530" s="30" t="n"/>
      <c r="P530" s="30" t="n"/>
      <c r="Q530" s="30" t="n"/>
      <c r="R530" s="30" t="n"/>
      <c r="S530" s="30" t="n"/>
      <c r="T530" s="30" t="n"/>
      <c r="U530" s="30" t="n"/>
      <c r="V530" s="30" t="n"/>
      <c r="W530" s="30" t="n"/>
      <c r="X530" s="30" t="n"/>
      <c r="Y530" s="30" t="n"/>
      <c r="Z530" s="30" t="n"/>
      <c r="AA530" s="30" t="n"/>
    </row>
    <row r="531">
      <c r="A531" s="30" t="n"/>
      <c r="B531" s="156" t="n"/>
      <c r="C531" s="30" t="n"/>
      <c r="D531" s="30" t="n"/>
      <c r="E531" s="30" t="n"/>
      <c r="F531" s="30" t="n"/>
      <c r="G531" s="30" t="n"/>
      <c r="H531" s="30" t="n"/>
      <c r="I531" s="30" t="n"/>
      <c r="J531" s="30" t="n"/>
      <c r="K531" s="30" t="n"/>
      <c r="L531" s="30" t="n"/>
      <c r="M531" s="30" t="n"/>
      <c r="N531" s="30" t="n"/>
      <c r="O531" s="30" t="n"/>
      <c r="P531" s="30" t="n"/>
      <c r="Q531" s="30" t="n"/>
      <c r="R531" s="30" t="n"/>
      <c r="S531" s="30" t="n"/>
      <c r="T531" s="30" t="n"/>
      <c r="U531" s="30" t="n"/>
      <c r="V531" s="30" t="n"/>
      <c r="W531" s="30" t="n"/>
      <c r="X531" s="30" t="n"/>
      <c r="Y531" s="30" t="n"/>
      <c r="Z531" s="30" t="n"/>
      <c r="AA531" s="30" t="n"/>
    </row>
    <row r="532">
      <c r="A532" s="30" t="n"/>
      <c r="B532" s="156" t="n"/>
      <c r="C532" s="30" t="n"/>
      <c r="D532" s="30" t="n"/>
      <c r="E532" s="30" t="n"/>
      <c r="F532" s="30" t="n"/>
      <c r="G532" s="30" t="n"/>
      <c r="H532" s="30" t="n"/>
      <c r="I532" s="30" t="n"/>
      <c r="J532" s="30" t="n"/>
      <c r="K532" s="30" t="n"/>
      <c r="L532" s="30" t="n"/>
      <c r="M532" s="30" t="n"/>
      <c r="N532" s="30" t="n"/>
      <c r="O532" s="30" t="n"/>
      <c r="P532" s="30" t="n"/>
      <c r="Q532" s="30" t="n"/>
      <c r="R532" s="30" t="n"/>
      <c r="S532" s="30" t="n"/>
      <c r="T532" s="30" t="n"/>
      <c r="U532" s="30" t="n"/>
      <c r="V532" s="30" t="n"/>
      <c r="W532" s="30" t="n"/>
      <c r="X532" s="30" t="n"/>
      <c r="Y532" s="30" t="n"/>
      <c r="Z532" s="30" t="n"/>
      <c r="AA532" s="30" t="n"/>
    </row>
    <row r="533">
      <c r="A533" s="30" t="n"/>
      <c r="B533" s="156" t="n"/>
      <c r="C533" s="30" t="n"/>
      <c r="D533" s="30" t="n"/>
      <c r="E533" s="30" t="n"/>
      <c r="F533" s="30" t="n"/>
      <c r="G533" s="30" t="n"/>
      <c r="H533" s="30" t="n"/>
      <c r="I533" s="30" t="n"/>
      <c r="J533" s="30" t="n"/>
      <c r="K533" s="30" t="n"/>
      <c r="L533" s="30" t="n"/>
      <c r="M533" s="30" t="n"/>
      <c r="N533" s="30" t="n"/>
      <c r="O533" s="30" t="n"/>
      <c r="P533" s="30" t="n"/>
      <c r="Q533" s="30" t="n"/>
      <c r="R533" s="30" t="n"/>
      <c r="S533" s="30" t="n"/>
      <c r="T533" s="30" t="n"/>
      <c r="U533" s="30" t="n"/>
      <c r="V533" s="30" t="n"/>
      <c r="W533" s="30" t="n"/>
      <c r="X533" s="30" t="n"/>
      <c r="Y533" s="30" t="n"/>
      <c r="Z533" s="30" t="n"/>
      <c r="AA533" s="30" t="n"/>
    </row>
    <row r="534">
      <c r="A534" s="30" t="n"/>
      <c r="B534" s="156" t="n"/>
      <c r="C534" s="30" t="n"/>
      <c r="D534" s="30" t="n"/>
      <c r="E534" s="30" t="n"/>
      <c r="F534" s="30" t="n"/>
      <c r="G534" s="30" t="n"/>
      <c r="H534" s="30" t="n"/>
      <c r="I534" s="30" t="n"/>
      <c r="J534" s="30" t="n"/>
      <c r="K534" s="30" t="n"/>
      <c r="L534" s="30" t="n"/>
      <c r="M534" s="30" t="n"/>
      <c r="N534" s="30" t="n"/>
      <c r="O534" s="30" t="n"/>
      <c r="P534" s="30" t="n"/>
      <c r="Q534" s="30" t="n"/>
      <c r="R534" s="30" t="n"/>
      <c r="S534" s="30" t="n"/>
      <c r="T534" s="30" t="n"/>
      <c r="U534" s="30" t="n"/>
      <c r="V534" s="30" t="n"/>
      <c r="W534" s="30" t="n"/>
      <c r="X534" s="30" t="n"/>
      <c r="Y534" s="30" t="n"/>
      <c r="Z534" s="30" t="n"/>
      <c r="AA534" s="30" t="n"/>
    </row>
    <row r="535">
      <c r="A535" s="30" t="n"/>
      <c r="B535" s="156" t="n"/>
      <c r="C535" s="30" t="n"/>
      <c r="D535" s="30" t="n"/>
      <c r="E535" s="30" t="n"/>
      <c r="F535" s="30" t="n"/>
      <c r="G535" s="30" t="n"/>
      <c r="H535" s="30" t="n"/>
      <c r="I535" s="30" t="n"/>
      <c r="J535" s="30" t="n"/>
      <c r="K535" s="30" t="n"/>
      <c r="L535" s="30" t="n"/>
      <c r="M535" s="30" t="n"/>
      <c r="N535" s="30" t="n"/>
      <c r="O535" s="30" t="n"/>
      <c r="P535" s="30" t="n"/>
      <c r="Q535" s="30" t="n"/>
      <c r="R535" s="30" t="n"/>
      <c r="S535" s="30" t="n"/>
      <c r="T535" s="30" t="n"/>
      <c r="U535" s="30" t="n"/>
      <c r="V535" s="30" t="n"/>
      <c r="W535" s="30" t="n"/>
      <c r="X535" s="30" t="n"/>
      <c r="Y535" s="30" t="n"/>
      <c r="Z535" s="30" t="n"/>
      <c r="AA535" s="30" t="n"/>
    </row>
    <row r="536">
      <c r="A536" s="30" t="n"/>
      <c r="B536" s="156" t="n"/>
      <c r="C536" s="30" t="n"/>
      <c r="D536" s="30" t="n"/>
      <c r="E536" s="30" t="n"/>
      <c r="F536" s="30" t="n"/>
      <c r="G536" s="30" t="n"/>
      <c r="H536" s="30" t="n"/>
      <c r="I536" s="30" t="n"/>
      <c r="J536" s="30" t="n"/>
      <c r="K536" s="30" t="n"/>
      <c r="L536" s="30" t="n"/>
      <c r="M536" s="30" t="n"/>
      <c r="N536" s="30" t="n"/>
      <c r="O536" s="30" t="n"/>
      <c r="P536" s="30" t="n"/>
      <c r="Q536" s="30" t="n"/>
      <c r="R536" s="30" t="n"/>
      <c r="S536" s="30" t="n"/>
      <c r="T536" s="30" t="n"/>
      <c r="U536" s="30" t="n"/>
      <c r="V536" s="30" t="n"/>
      <c r="W536" s="30" t="n"/>
      <c r="X536" s="30" t="n"/>
      <c r="Y536" s="30" t="n"/>
      <c r="Z536" s="30" t="n"/>
      <c r="AA536" s="30" t="n"/>
    </row>
    <row r="537">
      <c r="A537" s="30" t="n"/>
      <c r="B537" s="156" t="n"/>
      <c r="C537" s="30" t="n"/>
      <c r="D537" s="30" t="n"/>
      <c r="E537" s="30" t="n"/>
      <c r="F537" s="30" t="n"/>
      <c r="G537" s="30" t="n"/>
      <c r="H537" s="30" t="n"/>
      <c r="I537" s="30" t="n"/>
      <c r="J537" s="30" t="n"/>
      <c r="K537" s="30" t="n"/>
      <c r="L537" s="30" t="n"/>
      <c r="M537" s="30" t="n"/>
      <c r="N537" s="30" t="n"/>
      <c r="O537" s="30" t="n"/>
      <c r="P537" s="30" t="n"/>
      <c r="Q537" s="30" t="n"/>
      <c r="R537" s="30" t="n"/>
      <c r="S537" s="30" t="n"/>
      <c r="T537" s="30" t="n"/>
      <c r="U537" s="30" t="n"/>
      <c r="V537" s="30" t="n"/>
      <c r="W537" s="30" t="n"/>
      <c r="X537" s="30" t="n"/>
      <c r="Y537" s="30" t="n"/>
      <c r="Z537" s="30" t="n"/>
      <c r="AA537" s="30" t="n"/>
    </row>
    <row r="538">
      <c r="A538" s="30" t="n"/>
      <c r="B538" s="156" t="n"/>
      <c r="C538" s="30" t="n"/>
      <c r="D538" s="30" t="n"/>
      <c r="E538" s="30" t="n"/>
      <c r="F538" s="30" t="n"/>
      <c r="G538" s="30" t="n"/>
      <c r="H538" s="30" t="n"/>
      <c r="I538" s="30" t="n"/>
      <c r="J538" s="30" t="n"/>
      <c r="K538" s="30" t="n"/>
      <c r="L538" s="30" t="n"/>
      <c r="M538" s="30" t="n"/>
      <c r="N538" s="30" t="n"/>
      <c r="O538" s="30" t="n"/>
      <c r="P538" s="30" t="n"/>
      <c r="Q538" s="30" t="n"/>
      <c r="R538" s="30" t="n"/>
      <c r="S538" s="30" t="n"/>
      <c r="T538" s="30" t="n"/>
      <c r="U538" s="30" t="n"/>
      <c r="V538" s="30" t="n"/>
      <c r="W538" s="30" t="n"/>
      <c r="X538" s="30" t="n"/>
      <c r="Y538" s="30" t="n"/>
      <c r="Z538" s="30" t="n"/>
      <c r="AA538" s="30" t="n"/>
    </row>
    <row r="539">
      <c r="A539" s="30" t="n"/>
      <c r="B539" s="156" t="n"/>
      <c r="C539" s="30" t="n"/>
      <c r="D539" s="30" t="n"/>
      <c r="E539" s="30" t="n"/>
      <c r="F539" s="30" t="n"/>
      <c r="G539" s="30" t="n"/>
      <c r="H539" s="30" t="n"/>
      <c r="I539" s="30" t="n"/>
      <c r="J539" s="30" t="n"/>
      <c r="K539" s="30" t="n"/>
      <c r="L539" s="30" t="n"/>
      <c r="M539" s="30" t="n"/>
      <c r="N539" s="30" t="n"/>
      <c r="O539" s="30" t="n"/>
      <c r="P539" s="30" t="n"/>
      <c r="Q539" s="30" t="n"/>
      <c r="R539" s="30" t="n"/>
      <c r="S539" s="30" t="n"/>
      <c r="T539" s="30" t="n"/>
      <c r="U539" s="30" t="n"/>
      <c r="V539" s="30" t="n"/>
      <c r="W539" s="30" t="n"/>
      <c r="X539" s="30" t="n"/>
      <c r="Y539" s="30" t="n"/>
      <c r="Z539" s="30" t="n"/>
      <c r="AA539" s="30" t="n"/>
    </row>
    <row r="540">
      <c r="A540" s="30" t="n"/>
      <c r="B540" s="156" t="n"/>
      <c r="C540" s="30" t="n"/>
      <c r="D540" s="30" t="n"/>
      <c r="E540" s="30" t="n"/>
      <c r="F540" s="30" t="n"/>
      <c r="G540" s="30" t="n"/>
      <c r="H540" s="30" t="n"/>
      <c r="I540" s="30" t="n"/>
      <c r="J540" s="30" t="n"/>
      <c r="K540" s="30" t="n"/>
      <c r="L540" s="30" t="n"/>
      <c r="M540" s="30" t="n"/>
      <c r="N540" s="30" t="n"/>
      <c r="O540" s="30" t="n"/>
      <c r="P540" s="30" t="n"/>
      <c r="Q540" s="30" t="n"/>
      <c r="R540" s="30" t="n"/>
      <c r="S540" s="30" t="n"/>
      <c r="T540" s="30" t="n"/>
      <c r="U540" s="30" t="n"/>
      <c r="V540" s="30" t="n"/>
      <c r="W540" s="30" t="n"/>
      <c r="X540" s="30" t="n"/>
      <c r="Y540" s="30" t="n"/>
      <c r="Z540" s="30" t="n"/>
      <c r="AA540" s="30" t="n"/>
    </row>
    <row r="541">
      <c r="A541" s="30" t="n"/>
      <c r="B541" s="156" t="n"/>
      <c r="C541" s="30" t="n"/>
      <c r="D541" s="30" t="n"/>
      <c r="E541" s="30" t="n"/>
      <c r="F541" s="30" t="n"/>
      <c r="G541" s="30" t="n"/>
      <c r="H541" s="30" t="n"/>
      <c r="I541" s="30" t="n"/>
      <c r="J541" s="30" t="n"/>
      <c r="K541" s="30" t="n"/>
      <c r="L541" s="30" t="n"/>
      <c r="M541" s="30" t="n"/>
      <c r="N541" s="30" t="n"/>
      <c r="O541" s="30" t="n"/>
      <c r="P541" s="30" t="n"/>
      <c r="Q541" s="30" t="n"/>
      <c r="R541" s="30" t="n"/>
      <c r="S541" s="30" t="n"/>
      <c r="T541" s="30" t="n"/>
      <c r="U541" s="30" t="n"/>
      <c r="V541" s="30" t="n"/>
      <c r="W541" s="30" t="n"/>
      <c r="X541" s="30" t="n"/>
      <c r="Y541" s="30" t="n"/>
      <c r="Z541" s="30" t="n"/>
      <c r="AA541" s="30" t="n"/>
    </row>
    <row r="542">
      <c r="A542" s="30" t="n"/>
      <c r="B542" s="156" t="n"/>
      <c r="C542" s="30" t="n"/>
      <c r="D542" s="30" t="n"/>
      <c r="E542" s="30" t="n"/>
      <c r="F542" s="30" t="n"/>
      <c r="G542" s="30" t="n"/>
      <c r="H542" s="30" t="n"/>
      <c r="I542" s="30" t="n"/>
      <c r="J542" s="30" t="n"/>
      <c r="K542" s="30" t="n"/>
      <c r="L542" s="30" t="n"/>
      <c r="M542" s="30" t="n"/>
      <c r="N542" s="30" t="n"/>
      <c r="O542" s="30" t="n"/>
      <c r="P542" s="30" t="n"/>
      <c r="Q542" s="30" t="n"/>
      <c r="R542" s="30" t="n"/>
      <c r="S542" s="30" t="n"/>
      <c r="T542" s="30" t="n"/>
      <c r="U542" s="30" t="n"/>
      <c r="V542" s="30" t="n"/>
      <c r="W542" s="30" t="n"/>
      <c r="X542" s="30" t="n"/>
      <c r="Y542" s="30" t="n"/>
      <c r="Z542" s="30" t="n"/>
      <c r="AA542" s="30" t="n"/>
    </row>
    <row r="543">
      <c r="A543" s="30" t="n"/>
      <c r="B543" s="156" t="n"/>
      <c r="C543" s="30" t="n"/>
      <c r="D543" s="30" t="n"/>
      <c r="E543" s="30" t="n"/>
      <c r="F543" s="30" t="n"/>
      <c r="G543" s="30" t="n"/>
      <c r="H543" s="30" t="n"/>
      <c r="I543" s="30" t="n"/>
      <c r="J543" s="30" t="n"/>
      <c r="K543" s="30" t="n"/>
      <c r="L543" s="30" t="n"/>
      <c r="M543" s="30" t="n"/>
      <c r="N543" s="30" t="n"/>
      <c r="O543" s="30" t="n"/>
      <c r="P543" s="30" t="n"/>
      <c r="Q543" s="30" t="n"/>
      <c r="R543" s="30" t="n"/>
      <c r="S543" s="30" t="n"/>
      <c r="T543" s="30" t="n"/>
      <c r="U543" s="30" t="n"/>
      <c r="V543" s="30" t="n"/>
      <c r="W543" s="30" t="n"/>
      <c r="X543" s="30" t="n"/>
      <c r="Y543" s="30" t="n"/>
      <c r="Z543" s="30" t="n"/>
      <c r="AA543" s="30" t="n"/>
    </row>
    <row r="544">
      <c r="A544" s="30" t="n"/>
      <c r="B544" s="156" t="n"/>
      <c r="C544" s="30" t="n"/>
      <c r="D544" s="30" t="n"/>
      <c r="E544" s="30" t="n"/>
      <c r="F544" s="30" t="n"/>
      <c r="G544" s="30" t="n"/>
      <c r="H544" s="30" t="n"/>
      <c r="I544" s="30" t="n"/>
      <c r="J544" s="30" t="n"/>
      <c r="K544" s="30" t="n"/>
      <c r="L544" s="30" t="n"/>
      <c r="M544" s="30" t="n"/>
      <c r="N544" s="30" t="n"/>
      <c r="O544" s="30" t="n"/>
      <c r="P544" s="30" t="n"/>
      <c r="Q544" s="30" t="n"/>
      <c r="R544" s="30" t="n"/>
      <c r="S544" s="30" t="n"/>
      <c r="T544" s="30" t="n"/>
      <c r="U544" s="30" t="n"/>
      <c r="V544" s="30" t="n"/>
      <c r="W544" s="30" t="n"/>
      <c r="X544" s="30" t="n"/>
      <c r="Y544" s="30" t="n"/>
      <c r="Z544" s="30" t="n"/>
      <c r="AA544" s="30" t="n"/>
    </row>
    <row r="545">
      <c r="A545" s="30" t="n"/>
      <c r="B545" s="156" t="n"/>
      <c r="C545" s="30" t="n"/>
      <c r="D545" s="30" t="n"/>
      <c r="E545" s="30" t="n"/>
      <c r="F545" s="30" t="n"/>
      <c r="G545" s="30" t="n"/>
      <c r="H545" s="30" t="n"/>
      <c r="I545" s="30" t="n"/>
      <c r="J545" s="30" t="n"/>
      <c r="K545" s="30" t="n"/>
      <c r="L545" s="30" t="n"/>
      <c r="M545" s="30" t="n"/>
      <c r="N545" s="30" t="n"/>
      <c r="O545" s="30" t="n"/>
      <c r="P545" s="30" t="n"/>
      <c r="Q545" s="30" t="n"/>
      <c r="R545" s="30" t="n"/>
      <c r="S545" s="30" t="n"/>
      <c r="T545" s="30" t="n"/>
      <c r="U545" s="30" t="n"/>
      <c r="V545" s="30" t="n"/>
      <c r="W545" s="30" t="n"/>
      <c r="X545" s="30" t="n"/>
      <c r="Y545" s="30" t="n"/>
      <c r="Z545" s="30" t="n"/>
      <c r="AA545" s="30" t="n"/>
    </row>
    <row r="546">
      <c r="A546" s="30" t="n"/>
      <c r="B546" s="156" t="n"/>
      <c r="C546" s="30" t="n"/>
      <c r="D546" s="30" t="n"/>
      <c r="E546" s="30" t="n"/>
      <c r="F546" s="30" t="n"/>
      <c r="G546" s="30" t="n"/>
      <c r="H546" s="30" t="n"/>
      <c r="I546" s="30" t="n"/>
      <c r="J546" s="30" t="n"/>
      <c r="K546" s="30" t="n"/>
      <c r="L546" s="30" t="n"/>
      <c r="M546" s="30" t="n"/>
      <c r="N546" s="30" t="n"/>
      <c r="O546" s="30" t="n"/>
      <c r="P546" s="30" t="n"/>
      <c r="Q546" s="30" t="n"/>
      <c r="R546" s="30" t="n"/>
      <c r="S546" s="30" t="n"/>
      <c r="T546" s="30" t="n"/>
      <c r="U546" s="30" t="n"/>
      <c r="V546" s="30" t="n"/>
      <c r="W546" s="30" t="n"/>
      <c r="X546" s="30" t="n"/>
      <c r="Y546" s="30" t="n"/>
      <c r="Z546" s="30" t="n"/>
      <c r="AA546" s="30" t="n"/>
    </row>
    <row r="547">
      <c r="A547" s="30" t="n"/>
      <c r="B547" s="156" t="n"/>
      <c r="C547" s="30" t="n"/>
      <c r="D547" s="30" t="n"/>
      <c r="E547" s="30" t="n"/>
      <c r="F547" s="30" t="n"/>
      <c r="G547" s="30" t="n"/>
      <c r="H547" s="30" t="n"/>
      <c r="I547" s="30" t="n"/>
      <c r="J547" s="30" t="n"/>
      <c r="K547" s="30" t="n"/>
      <c r="L547" s="30" t="n"/>
      <c r="M547" s="30" t="n"/>
      <c r="N547" s="30" t="n"/>
      <c r="O547" s="30" t="n"/>
      <c r="P547" s="30" t="n"/>
      <c r="Q547" s="30" t="n"/>
      <c r="R547" s="30" t="n"/>
      <c r="S547" s="30" t="n"/>
      <c r="T547" s="30" t="n"/>
      <c r="U547" s="30" t="n"/>
      <c r="V547" s="30" t="n"/>
      <c r="W547" s="30" t="n"/>
      <c r="X547" s="30" t="n"/>
      <c r="Y547" s="30" t="n"/>
      <c r="Z547" s="30" t="n"/>
      <c r="AA547" s="30" t="n"/>
    </row>
    <row r="548">
      <c r="A548" s="30" t="n"/>
      <c r="B548" s="156" t="n"/>
      <c r="C548" s="30" t="n"/>
      <c r="D548" s="30" t="n"/>
      <c r="E548" s="30" t="n"/>
      <c r="F548" s="30" t="n"/>
      <c r="G548" s="30" t="n"/>
      <c r="H548" s="30" t="n"/>
      <c r="I548" s="30" t="n"/>
      <c r="J548" s="30" t="n"/>
      <c r="K548" s="30" t="n"/>
      <c r="L548" s="30" t="n"/>
      <c r="M548" s="30" t="n"/>
      <c r="N548" s="30" t="n"/>
      <c r="O548" s="30" t="n"/>
      <c r="P548" s="30" t="n"/>
      <c r="Q548" s="30" t="n"/>
      <c r="R548" s="30" t="n"/>
      <c r="S548" s="30" t="n"/>
      <c r="T548" s="30" t="n"/>
      <c r="U548" s="30" t="n"/>
      <c r="V548" s="30" t="n"/>
      <c r="W548" s="30" t="n"/>
      <c r="X548" s="30" t="n"/>
      <c r="Y548" s="30" t="n"/>
      <c r="Z548" s="30" t="n"/>
      <c r="AA548" s="30" t="n"/>
    </row>
    <row r="549">
      <c r="A549" s="30" t="n"/>
      <c r="B549" s="156" t="n"/>
      <c r="C549" s="30" t="n"/>
      <c r="D549" s="30" t="n"/>
      <c r="E549" s="30" t="n"/>
      <c r="F549" s="30" t="n"/>
      <c r="G549" s="30" t="n"/>
      <c r="H549" s="30" t="n"/>
      <c r="I549" s="30" t="n"/>
      <c r="J549" s="30" t="n"/>
      <c r="K549" s="30" t="n"/>
      <c r="L549" s="30" t="n"/>
      <c r="M549" s="30" t="n"/>
      <c r="N549" s="30" t="n"/>
      <c r="O549" s="30" t="n"/>
      <c r="P549" s="30" t="n"/>
      <c r="Q549" s="30" t="n"/>
      <c r="R549" s="30" t="n"/>
      <c r="S549" s="30" t="n"/>
      <c r="T549" s="30" t="n"/>
      <c r="U549" s="30" t="n"/>
      <c r="V549" s="30" t="n"/>
      <c r="W549" s="30" t="n"/>
      <c r="X549" s="30" t="n"/>
      <c r="Y549" s="30" t="n"/>
      <c r="Z549" s="30" t="n"/>
      <c r="AA549" s="30" t="n"/>
    </row>
    <row r="550">
      <c r="A550" s="30" t="n"/>
      <c r="B550" s="156" t="n"/>
      <c r="C550" s="30" t="n"/>
      <c r="D550" s="30" t="n"/>
      <c r="E550" s="30" t="n"/>
      <c r="F550" s="30" t="n"/>
      <c r="G550" s="30" t="n"/>
      <c r="H550" s="30" t="n"/>
      <c r="I550" s="30" t="n"/>
      <c r="J550" s="30" t="n"/>
      <c r="K550" s="30" t="n"/>
      <c r="L550" s="30" t="n"/>
      <c r="M550" s="30" t="n"/>
      <c r="N550" s="30" t="n"/>
      <c r="O550" s="30" t="n"/>
      <c r="P550" s="30" t="n"/>
      <c r="Q550" s="30" t="n"/>
      <c r="R550" s="30" t="n"/>
      <c r="S550" s="30" t="n"/>
      <c r="T550" s="30" t="n"/>
      <c r="U550" s="30" t="n"/>
      <c r="V550" s="30" t="n"/>
      <c r="W550" s="30" t="n"/>
      <c r="X550" s="30" t="n"/>
      <c r="Y550" s="30" t="n"/>
      <c r="Z550" s="30" t="n"/>
      <c r="AA550" s="30" t="n"/>
    </row>
    <row r="551">
      <c r="A551" s="30" t="n"/>
      <c r="B551" s="156" t="n"/>
      <c r="C551" s="30" t="n"/>
      <c r="D551" s="30" t="n"/>
      <c r="E551" s="30" t="n"/>
      <c r="F551" s="30" t="n"/>
      <c r="G551" s="30" t="n"/>
      <c r="H551" s="30" t="n"/>
      <c r="I551" s="30" t="n"/>
      <c r="J551" s="30" t="n"/>
      <c r="K551" s="30" t="n"/>
      <c r="L551" s="30" t="n"/>
      <c r="M551" s="30" t="n"/>
      <c r="N551" s="30" t="n"/>
      <c r="O551" s="30" t="n"/>
      <c r="P551" s="30" t="n"/>
      <c r="Q551" s="30" t="n"/>
      <c r="R551" s="30" t="n"/>
      <c r="S551" s="30" t="n"/>
      <c r="T551" s="30" t="n"/>
      <c r="U551" s="30" t="n"/>
      <c r="V551" s="30" t="n"/>
      <c r="W551" s="30" t="n"/>
      <c r="X551" s="30" t="n"/>
      <c r="Y551" s="30" t="n"/>
      <c r="Z551" s="30" t="n"/>
      <c r="AA551" s="30" t="n"/>
    </row>
    <row r="552">
      <c r="A552" s="30" t="n"/>
      <c r="B552" s="156" t="n"/>
      <c r="C552" s="30" t="n"/>
      <c r="D552" s="30" t="n"/>
      <c r="E552" s="30" t="n"/>
      <c r="F552" s="30" t="n"/>
      <c r="G552" s="30" t="n"/>
      <c r="H552" s="30" t="n"/>
      <c r="I552" s="30" t="n"/>
      <c r="J552" s="30" t="n"/>
      <c r="K552" s="30" t="n"/>
      <c r="L552" s="30" t="n"/>
      <c r="M552" s="30" t="n"/>
      <c r="N552" s="30" t="n"/>
      <c r="O552" s="30" t="n"/>
      <c r="P552" s="30" t="n"/>
      <c r="Q552" s="30" t="n"/>
      <c r="R552" s="30" t="n"/>
      <c r="S552" s="30" t="n"/>
      <c r="T552" s="30" t="n"/>
      <c r="U552" s="30" t="n"/>
      <c r="V552" s="30" t="n"/>
      <c r="W552" s="30" t="n"/>
      <c r="X552" s="30" t="n"/>
      <c r="Y552" s="30" t="n"/>
      <c r="Z552" s="30" t="n"/>
      <c r="AA552" s="30" t="n"/>
    </row>
    <row r="553">
      <c r="A553" s="30" t="n"/>
      <c r="B553" s="156" t="n"/>
      <c r="C553" s="30" t="n"/>
      <c r="D553" s="30" t="n"/>
      <c r="E553" s="30" t="n"/>
      <c r="F553" s="30" t="n"/>
      <c r="G553" s="30" t="n"/>
      <c r="H553" s="30" t="n"/>
      <c r="I553" s="30" t="n"/>
      <c r="J553" s="30" t="n"/>
      <c r="K553" s="30" t="n"/>
      <c r="L553" s="30" t="n"/>
      <c r="M553" s="30" t="n"/>
      <c r="N553" s="30" t="n"/>
      <c r="O553" s="30" t="n"/>
      <c r="P553" s="30" t="n"/>
      <c r="Q553" s="30" t="n"/>
      <c r="R553" s="30" t="n"/>
      <c r="S553" s="30" t="n"/>
      <c r="T553" s="30" t="n"/>
      <c r="U553" s="30" t="n"/>
      <c r="V553" s="30" t="n"/>
      <c r="W553" s="30" t="n"/>
      <c r="X553" s="30" t="n"/>
      <c r="Y553" s="30" t="n"/>
      <c r="Z553" s="30" t="n"/>
      <c r="AA553" s="30" t="n"/>
    </row>
    <row r="554">
      <c r="A554" s="30" t="n"/>
      <c r="B554" s="156" t="n"/>
      <c r="C554" s="30" t="n"/>
      <c r="D554" s="30" t="n"/>
      <c r="E554" s="30" t="n"/>
      <c r="F554" s="30" t="n"/>
      <c r="G554" s="30" t="n"/>
      <c r="H554" s="30" t="n"/>
      <c r="I554" s="30" t="n"/>
      <c r="J554" s="30" t="n"/>
      <c r="K554" s="30" t="n"/>
      <c r="L554" s="30" t="n"/>
      <c r="M554" s="30" t="n"/>
      <c r="N554" s="30" t="n"/>
      <c r="O554" s="30" t="n"/>
      <c r="P554" s="30" t="n"/>
      <c r="Q554" s="30" t="n"/>
      <c r="R554" s="30" t="n"/>
      <c r="S554" s="30" t="n"/>
      <c r="T554" s="30" t="n"/>
      <c r="U554" s="30" t="n"/>
      <c r="V554" s="30" t="n"/>
      <c r="W554" s="30" t="n"/>
      <c r="X554" s="30" t="n"/>
      <c r="Y554" s="30" t="n"/>
      <c r="Z554" s="30" t="n"/>
      <c r="AA554" s="30" t="n"/>
    </row>
    <row r="555">
      <c r="A555" s="30" t="n"/>
      <c r="B555" s="156" t="n"/>
      <c r="C555" s="30" t="n"/>
      <c r="D555" s="30" t="n"/>
      <c r="E555" s="30" t="n"/>
      <c r="F555" s="30" t="n"/>
      <c r="G555" s="30" t="n"/>
      <c r="H555" s="30" t="n"/>
      <c r="I555" s="30" t="n"/>
      <c r="J555" s="30" t="n"/>
      <c r="K555" s="30" t="n"/>
      <c r="L555" s="30" t="n"/>
      <c r="M555" s="30" t="n"/>
      <c r="N555" s="30" t="n"/>
      <c r="O555" s="30" t="n"/>
      <c r="P555" s="30" t="n"/>
      <c r="Q555" s="30" t="n"/>
      <c r="R555" s="30" t="n"/>
      <c r="S555" s="30" t="n"/>
      <c r="T555" s="30" t="n"/>
      <c r="U555" s="30" t="n"/>
      <c r="V555" s="30" t="n"/>
      <c r="W555" s="30" t="n"/>
      <c r="X555" s="30" t="n"/>
      <c r="Y555" s="30" t="n"/>
      <c r="Z555" s="30" t="n"/>
      <c r="AA555" s="30" t="n"/>
    </row>
    <row r="556">
      <c r="A556" s="30" t="n"/>
      <c r="B556" s="156" t="n"/>
      <c r="C556" s="30" t="n"/>
      <c r="D556" s="30" t="n"/>
      <c r="E556" s="30" t="n"/>
      <c r="F556" s="30" t="n"/>
      <c r="G556" s="30" t="n"/>
      <c r="H556" s="30" t="n"/>
      <c r="I556" s="30" t="n"/>
      <c r="J556" s="30" t="n"/>
      <c r="K556" s="30" t="n"/>
      <c r="L556" s="30" t="n"/>
      <c r="M556" s="30" t="n"/>
      <c r="N556" s="30" t="n"/>
      <c r="O556" s="30" t="n"/>
      <c r="P556" s="30" t="n"/>
      <c r="Q556" s="30" t="n"/>
      <c r="R556" s="30" t="n"/>
      <c r="S556" s="30" t="n"/>
      <c r="T556" s="30" t="n"/>
      <c r="U556" s="30" t="n"/>
      <c r="V556" s="30" t="n"/>
      <c r="W556" s="30" t="n"/>
      <c r="X556" s="30" t="n"/>
      <c r="Y556" s="30" t="n"/>
      <c r="Z556" s="30" t="n"/>
      <c r="AA556" s="30" t="n"/>
    </row>
    <row r="557">
      <c r="A557" s="30" t="n"/>
      <c r="B557" s="156" t="n"/>
      <c r="C557" s="30" t="n"/>
      <c r="D557" s="30" t="n"/>
      <c r="E557" s="30" t="n"/>
      <c r="F557" s="30" t="n"/>
      <c r="G557" s="30" t="n"/>
      <c r="H557" s="30" t="n"/>
      <c r="I557" s="30" t="n"/>
      <c r="J557" s="30" t="n"/>
      <c r="K557" s="30" t="n"/>
      <c r="L557" s="30" t="n"/>
      <c r="M557" s="30" t="n"/>
      <c r="N557" s="30" t="n"/>
      <c r="O557" s="30" t="n"/>
      <c r="P557" s="30" t="n"/>
      <c r="Q557" s="30" t="n"/>
      <c r="R557" s="30" t="n"/>
      <c r="S557" s="30" t="n"/>
      <c r="T557" s="30" t="n"/>
      <c r="U557" s="30" t="n"/>
      <c r="V557" s="30" t="n"/>
      <c r="W557" s="30" t="n"/>
      <c r="X557" s="30" t="n"/>
      <c r="Y557" s="30" t="n"/>
      <c r="Z557" s="30" t="n"/>
      <c r="AA557" s="30" t="n"/>
    </row>
    <row r="558">
      <c r="A558" s="30" t="n"/>
      <c r="B558" s="156" t="n"/>
      <c r="C558" s="30" t="n"/>
      <c r="D558" s="30" t="n"/>
      <c r="E558" s="30" t="n"/>
      <c r="F558" s="30" t="n"/>
      <c r="G558" s="30" t="n"/>
      <c r="H558" s="30" t="n"/>
      <c r="I558" s="30" t="n"/>
      <c r="J558" s="30" t="n"/>
      <c r="K558" s="30" t="n"/>
      <c r="L558" s="30" t="n"/>
      <c r="M558" s="30" t="n"/>
      <c r="N558" s="30" t="n"/>
      <c r="O558" s="30" t="n"/>
      <c r="P558" s="30" t="n"/>
      <c r="Q558" s="30" t="n"/>
      <c r="R558" s="30" t="n"/>
      <c r="S558" s="30" t="n"/>
      <c r="T558" s="30" t="n"/>
      <c r="U558" s="30" t="n"/>
      <c r="V558" s="30" t="n"/>
      <c r="W558" s="30" t="n"/>
      <c r="X558" s="30" t="n"/>
      <c r="Y558" s="30" t="n"/>
      <c r="Z558" s="30" t="n"/>
      <c r="AA558" s="30" t="n"/>
    </row>
    <row r="559">
      <c r="A559" s="30" t="n"/>
      <c r="B559" s="156" t="n"/>
      <c r="C559" s="30" t="n"/>
      <c r="D559" s="30" t="n"/>
      <c r="E559" s="30" t="n"/>
      <c r="F559" s="30" t="n"/>
      <c r="G559" s="30" t="n"/>
      <c r="H559" s="30" t="n"/>
      <c r="I559" s="30" t="n"/>
      <c r="J559" s="30" t="n"/>
      <c r="K559" s="30" t="n"/>
      <c r="L559" s="30" t="n"/>
      <c r="M559" s="30" t="n"/>
      <c r="N559" s="30" t="n"/>
      <c r="O559" s="30" t="n"/>
      <c r="P559" s="30" t="n"/>
      <c r="Q559" s="30" t="n"/>
      <c r="R559" s="30" t="n"/>
      <c r="S559" s="30" t="n"/>
      <c r="T559" s="30" t="n"/>
      <c r="U559" s="30" t="n"/>
      <c r="V559" s="30" t="n"/>
      <c r="W559" s="30" t="n"/>
      <c r="X559" s="30" t="n"/>
      <c r="Y559" s="30" t="n"/>
      <c r="Z559" s="30" t="n"/>
      <c r="AA559" s="30" t="n"/>
    </row>
    <row r="560">
      <c r="A560" s="30" t="n"/>
      <c r="B560" s="156" t="n"/>
      <c r="C560" s="30" t="n"/>
      <c r="D560" s="30" t="n"/>
      <c r="E560" s="30" t="n"/>
      <c r="F560" s="30" t="n"/>
      <c r="G560" s="30" t="n"/>
      <c r="H560" s="30" t="n"/>
      <c r="I560" s="30" t="n"/>
      <c r="J560" s="30" t="n"/>
      <c r="K560" s="30" t="n"/>
      <c r="L560" s="30" t="n"/>
      <c r="M560" s="30" t="n"/>
      <c r="N560" s="30" t="n"/>
      <c r="O560" s="30" t="n"/>
      <c r="P560" s="30" t="n"/>
      <c r="Q560" s="30" t="n"/>
      <c r="R560" s="30" t="n"/>
      <c r="S560" s="30" t="n"/>
      <c r="T560" s="30" t="n"/>
      <c r="U560" s="30" t="n"/>
      <c r="V560" s="30" t="n"/>
      <c r="W560" s="30" t="n"/>
      <c r="X560" s="30" t="n"/>
      <c r="Y560" s="30" t="n"/>
      <c r="Z560" s="30" t="n"/>
      <c r="AA560" s="30" t="n"/>
    </row>
    <row r="561">
      <c r="A561" s="30" t="n"/>
      <c r="B561" s="156" t="n"/>
      <c r="C561" s="30" t="n"/>
      <c r="D561" s="30" t="n"/>
      <c r="E561" s="30" t="n"/>
      <c r="F561" s="30" t="n"/>
      <c r="G561" s="30" t="n"/>
      <c r="H561" s="30" t="n"/>
      <c r="I561" s="30" t="n"/>
      <c r="J561" s="30" t="n"/>
      <c r="K561" s="30" t="n"/>
      <c r="L561" s="30" t="n"/>
      <c r="M561" s="30" t="n"/>
      <c r="N561" s="30" t="n"/>
      <c r="O561" s="30" t="n"/>
      <c r="P561" s="30" t="n"/>
      <c r="Q561" s="30" t="n"/>
      <c r="R561" s="30" t="n"/>
      <c r="S561" s="30" t="n"/>
      <c r="T561" s="30" t="n"/>
      <c r="U561" s="30" t="n"/>
      <c r="V561" s="30" t="n"/>
      <c r="W561" s="30" t="n"/>
      <c r="X561" s="30" t="n"/>
      <c r="Y561" s="30" t="n"/>
      <c r="Z561" s="30" t="n"/>
      <c r="AA561" s="30" t="n"/>
    </row>
    <row r="562">
      <c r="A562" s="30" t="n"/>
      <c r="B562" s="156" t="n"/>
      <c r="C562" s="30" t="n"/>
      <c r="D562" s="30" t="n"/>
      <c r="E562" s="30" t="n"/>
      <c r="F562" s="30" t="n"/>
      <c r="G562" s="30" t="n"/>
      <c r="H562" s="30" t="n"/>
      <c r="I562" s="30" t="n"/>
      <c r="J562" s="30" t="n"/>
      <c r="K562" s="30" t="n"/>
      <c r="L562" s="30" t="n"/>
      <c r="M562" s="30" t="n"/>
      <c r="N562" s="30" t="n"/>
      <c r="O562" s="30" t="n"/>
      <c r="P562" s="30" t="n"/>
      <c r="Q562" s="30" t="n"/>
      <c r="R562" s="30" t="n"/>
      <c r="S562" s="30" t="n"/>
      <c r="T562" s="30" t="n"/>
      <c r="U562" s="30" t="n"/>
      <c r="V562" s="30" t="n"/>
      <c r="W562" s="30" t="n"/>
      <c r="X562" s="30" t="n"/>
      <c r="Y562" s="30" t="n"/>
      <c r="Z562" s="30" t="n"/>
      <c r="AA562" s="30" t="n"/>
    </row>
    <row r="563">
      <c r="A563" s="30" t="n"/>
      <c r="B563" s="156" t="n"/>
      <c r="C563" s="30" t="n"/>
      <c r="D563" s="30" t="n"/>
      <c r="E563" s="30" t="n"/>
      <c r="F563" s="30" t="n"/>
      <c r="G563" s="30" t="n"/>
      <c r="H563" s="30" t="n"/>
      <c r="I563" s="30" t="n"/>
      <c r="J563" s="30" t="n"/>
      <c r="K563" s="30" t="n"/>
      <c r="L563" s="30" t="n"/>
      <c r="M563" s="30" t="n"/>
      <c r="N563" s="30" t="n"/>
      <c r="O563" s="30" t="n"/>
      <c r="P563" s="30" t="n"/>
      <c r="Q563" s="30" t="n"/>
      <c r="R563" s="30" t="n"/>
      <c r="S563" s="30" t="n"/>
      <c r="T563" s="30" t="n"/>
      <c r="U563" s="30" t="n"/>
      <c r="V563" s="30" t="n"/>
      <c r="W563" s="30" t="n"/>
      <c r="X563" s="30" t="n"/>
      <c r="Y563" s="30" t="n"/>
      <c r="Z563" s="30" t="n"/>
      <c r="AA563" s="30" t="n"/>
    </row>
    <row r="564">
      <c r="A564" s="30" t="n"/>
      <c r="B564" s="156" t="n"/>
      <c r="C564" s="30" t="n"/>
      <c r="D564" s="30" t="n"/>
      <c r="E564" s="30" t="n"/>
      <c r="F564" s="30" t="n"/>
      <c r="G564" s="30" t="n"/>
      <c r="H564" s="30" t="n"/>
      <c r="I564" s="30" t="n"/>
      <c r="J564" s="30" t="n"/>
      <c r="K564" s="30" t="n"/>
      <c r="L564" s="30" t="n"/>
      <c r="M564" s="30" t="n"/>
      <c r="N564" s="30" t="n"/>
      <c r="O564" s="30" t="n"/>
      <c r="P564" s="30" t="n"/>
      <c r="Q564" s="30" t="n"/>
      <c r="R564" s="30" t="n"/>
      <c r="S564" s="30" t="n"/>
      <c r="T564" s="30" t="n"/>
      <c r="U564" s="30" t="n"/>
      <c r="V564" s="30" t="n"/>
      <c r="W564" s="30" t="n"/>
      <c r="X564" s="30" t="n"/>
      <c r="Y564" s="30" t="n"/>
      <c r="Z564" s="30" t="n"/>
      <c r="AA564" s="30" t="n"/>
    </row>
    <row r="565">
      <c r="A565" s="30" t="n"/>
      <c r="B565" s="156" t="n"/>
      <c r="C565" s="30" t="n"/>
      <c r="D565" s="30" t="n"/>
      <c r="E565" s="30" t="n"/>
      <c r="F565" s="30" t="n"/>
      <c r="G565" s="30" t="n"/>
      <c r="H565" s="30" t="n"/>
      <c r="I565" s="30" t="n"/>
      <c r="J565" s="30" t="n"/>
      <c r="K565" s="30" t="n"/>
      <c r="L565" s="30" t="n"/>
      <c r="M565" s="30" t="n"/>
      <c r="N565" s="30" t="n"/>
      <c r="O565" s="30" t="n"/>
      <c r="P565" s="30" t="n"/>
      <c r="Q565" s="30" t="n"/>
      <c r="R565" s="30" t="n"/>
      <c r="S565" s="30" t="n"/>
      <c r="T565" s="30" t="n"/>
      <c r="U565" s="30" t="n"/>
      <c r="V565" s="30" t="n"/>
      <c r="W565" s="30" t="n"/>
      <c r="X565" s="30" t="n"/>
      <c r="Y565" s="30" t="n"/>
      <c r="Z565" s="30" t="n"/>
      <c r="AA565" s="30" t="n"/>
    </row>
    <row r="566">
      <c r="A566" s="30" t="n"/>
      <c r="B566" s="156" t="n"/>
      <c r="C566" s="30" t="n"/>
      <c r="D566" s="30" t="n"/>
      <c r="E566" s="30" t="n"/>
      <c r="F566" s="30" t="n"/>
      <c r="G566" s="30" t="n"/>
      <c r="H566" s="30" t="n"/>
      <c r="I566" s="30" t="n"/>
      <c r="J566" s="30" t="n"/>
      <c r="K566" s="30" t="n"/>
      <c r="L566" s="30" t="n"/>
      <c r="M566" s="30" t="n"/>
      <c r="N566" s="30" t="n"/>
      <c r="O566" s="30" t="n"/>
      <c r="P566" s="30" t="n"/>
      <c r="Q566" s="30" t="n"/>
      <c r="R566" s="30" t="n"/>
      <c r="S566" s="30" t="n"/>
      <c r="T566" s="30" t="n"/>
      <c r="U566" s="30" t="n"/>
      <c r="V566" s="30" t="n"/>
      <c r="W566" s="30" t="n"/>
      <c r="X566" s="30" t="n"/>
      <c r="Y566" s="30" t="n"/>
      <c r="Z566" s="30" t="n"/>
      <c r="AA566" s="30" t="n"/>
    </row>
    <row r="567">
      <c r="A567" s="30" t="n"/>
      <c r="B567" s="156" t="n"/>
      <c r="C567" s="30" t="n"/>
      <c r="D567" s="30" t="n"/>
      <c r="E567" s="30" t="n"/>
      <c r="F567" s="30" t="n"/>
      <c r="G567" s="30" t="n"/>
      <c r="H567" s="30" t="n"/>
      <c r="I567" s="30" t="n"/>
      <c r="J567" s="30" t="n"/>
      <c r="K567" s="30" t="n"/>
      <c r="L567" s="30" t="n"/>
      <c r="M567" s="30" t="n"/>
      <c r="N567" s="30" t="n"/>
      <c r="O567" s="30" t="n"/>
      <c r="P567" s="30" t="n"/>
      <c r="Q567" s="30" t="n"/>
      <c r="R567" s="30" t="n"/>
      <c r="S567" s="30" t="n"/>
      <c r="T567" s="30" t="n"/>
      <c r="U567" s="30" t="n"/>
      <c r="V567" s="30" t="n"/>
      <c r="W567" s="30" t="n"/>
      <c r="X567" s="30" t="n"/>
      <c r="Y567" s="30" t="n"/>
      <c r="Z567" s="30" t="n"/>
      <c r="AA567" s="30" t="n"/>
    </row>
    <row r="568">
      <c r="A568" s="30" t="n"/>
      <c r="B568" s="156" t="n"/>
      <c r="C568" s="30" t="n"/>
      <c r="D568" s="30" t="n"/>
      <c r="E568" s="30" t="n"/>
      <c r="F568" s="30" t="n"/>
      <c r="G568" s="30" t="n"/>
      <c r="H568" s="30" t="n"/>
      <c r="I568" s="30" t="n"/>
      <c r="J568" s="30" t="n"/>
      <c r="K568" s="30" t="n"/>
      <c r="L568" s="30" t="n"/>
      <c r="M568" s="30" t="n"/>
      <c r="N568" s="30" t="n"/>
      <c r="O568" s="30" t="n"/>
      <c r="P568" s="30" t="n"/>
      <c r="Q568" s="30" t="n"/>
      <c r="R568" s="30" t="n"/>
      <c r="S568" s="30" t="n"/>
      <c r="T568" s="30" t="n"/>
      <c r="U568" s="30" t="n"/>
      <c r="V568" s="30" t="n"/>
      <c r="W568" s="30" t="n"/>
      <c r="X568" s="30" t="n"/>
      <c r="Y568" s="30" t="n"/>
      <c r="Z568" s="30" t="n"/>
      <c r="AA568" s="30" t="n"/>
    </row>
    <row r="569">
      <c r="A569" s="30" t="n"/>
      <c r="B569" s="156" t="n"/>
      <c r="C569" s="30" t="n"/>
      <c r="D569" s="30" t="n"/>
      <c r="E569" s="30" t="n"/>
      <c r="F569" s="30" t="n"/>
      <c r="G569" s="30" t="n"/>
      <c r="H569" s="30" t="n"/>
      <c r="I569" s="30" t="n"/>
      <c r="J569" s="30" t="n"/>
      <c r="K569" s="30" t="n"/>
      <c r="L569" s="30" t="n"/>
      <c r="M569" s="30" t="n"/>
      <c r="N569" s="30" t="n"/>
      <c r="O569" s="30" t="n"/>
      <c r="P569" s="30" t="n"/>
      <c r="Q569" s="30" t="n"/>
      <c r="R569" s="30" t="n"/>
      <c r="S569" s="30" t="n"/>
      <c r="T569" s="30" t="n"/>
      <c r="U569" s="30" t="n"/>
      <c r="V569" s="30" t="n"/>
      <c r="W569" s="30" t="n"/>
      <c r="X569" s="30" t="n"/>
      <c r="Y569" s="30" t="n"/>
      <c r="Z569" s="30" t="n"/>
      <c r="AA569" s="30" t="n"/>
    </row>
    <row r="570">
      <c r="A570" s="30" t="n"/>
      <c r="B570" s="156" t="n"/>
      <c r="C570" s="30" t="n"/>
      <c r="D570" s="30" t="n"/>
      <c r="E570" s="30" t="n"/>
      <c r="F570" s="30" t="n"/>
      <c r="G570" s="30" t="n"/>
      <c r="H570" s="30" t="n"/>
      <c r="I570" s="30" t="n"/>
      <c r="J570" s="30" t="n"/>
      <c r="K570" s="30" t="n"/>
      <c r="L570" s="30" t="n"/>
      <c r="M570" s="30" t="n"/>
      <c r="N570" s="30" t="n"/>
      <c r="O570" s="30" t="n"/>
      <c r="P570" s="30" t="n"/>
      <c r="Q570" s="30" t="n"/>
      <c r="R570" s="30" t="n"/>
      <c r="S570" s="30" t="n"/>
      <c r="T570" s="30" t="n"/>
      <c r="U570" s="30" t="n"/>
      <c r="V570" s="30" t="n"/>
      <c r="W570" s="30" t="n"/>
      <c r="X570" s="30" t="n"/>
      <c r="Y570" s="30" t="n"/>
      <c r="Z570" s="30" t="n"/>
      <c r="AA570" s="30" t="n"/>
    </row>
    <row r="571">
      <c r="A571" s="30" t="n"/>
      <c r="B571" s="156" t="n"/>
      <c r="C571" s="30" t="n"/>
      <c r="D571" s="30" t="n"/>
      <c r="E571" s="30" t="n"/>
      <c r="F571" s="30" t="n"/>
      <c r="G571" s="30" t="n"/>
      <c r="H571" s="30" t="n"/>
      <c r="I571" s="30" t="n"/>
      <c r="J571" s="30" t="n"/>
      <c r="K571" s="30" t="n"/>
      <c r="L571" s="30" t="n"/>
      <c r="M571" s="30" t="n"/>
      <c r="N571" s="30" t="n"/>
      <c r="O571" s="30" t="n"/>
      <c r="P571" s="30" t="n"/>
      <c r="Q571" s="30" t="n"/>
      <c r="R571" s="30" t="n"/>
      <c r="S571" s="30" t="n"/>
      <c r="T571" s="30" t="n"/>
      <c r="U571" s="30" t="n"/>
      <c r="V571" s="30" t="n"/>
      <c r="W571" s="30" t="n"/>
      <c r="X571" s="30" t="n"/>
      <c r="Y571" s="30" t="n"/>
      <c r="Z571" s="30" t="n"/>
      <c r="AA571" s="30" t="n"/>
    </row>
    <row r="572">
      <c r="A572" s="30" t="n"/>
      <c r="B572" s="156" t="n"/>
      <c r="C572" s="30" t="n"/>
      <c r="D572" s="30" t="n"/>
      <c r="E572" s="30" t="n"/>
      <c r="F572" s="30" t="n"/>
      <c r="G572" s="30" t="n"/>
      <c r="H572" s="30" t="n"/>
      <c r="I572" s="30" t="n"/>
      <c r="J572" s="30" t="n"/>
      <c r="K572" s="30" t="n"/>
      <c r="L572" s="30" t="n"/>
      <c r="M572" s="30" t="n"/>
      <c r="N572" s="30" t="n"/>
      <c r="O572" s="30" t="n"/>
      <c r="P572" s="30" t="n"/>
      <c r="Q572" s="30" t="n"/>
      <c r="R572" s="30" t="n"/>
      <c r="S572" s="30" t="n"/>
      <c r="T572" s="30" t="n"/>
      <c r="U572" s="30" t="n"/>
      <c r="V572" s="30" t="n"/>
      <c r="W572" s="30" t="n"/>
      <c r="X572" s="30" t="n"/>
      <c r="Y572" s="30" t="n"/>
      <c r="Z572" s="30" t="n"/>
      <c r="AA572" s="30" t="n"/>
    </row>
    <row r="573">
      <c r="A573" s="30" t="n"/>
      <c r="B573" s="156" t="n"/>
      <c r="C573" s="30" t="n"/>
      <c r="D573" s="30" t="n"/>
      <c r="E573" s="30" t="n"/>
      <c r="F573" s="30" t="n"/>
      <c r="G573" s="30" t="n"/>
      <c r="H573" s="30" t="n"/>
      <c r="I573" s="30" t="n"/>
      <c r="J573" s="30" t="n"/>
      <c r="K573" s="30" t="n"/>
      <c r="L573" s="30" t="n"/>
      <c r="M573" s="30" t="n"/>
      <c r="N573" s="30" t="n"/>
      <c r="O573" s="30" t="n"/>
      <c r="P573" s="30" t="n"/>
      <c r="Q573" s="30" t="n"/>
      <c r="R573" s="30" t="n"/>
      <c r="S573" s="30" t="n"/>
      <c r="T573" s="30" t="n"/>
      <c r="U573" s="30" t="n"/>
      <c r="V573" s="30" t="n"/>
      <c r="W573" s="30" t="n"/>
      <c r="X573" s="30" t="n"/>
      <c r="Y573" s="30" t="n"/>
      <c r="Z573" s="30" t="n"/>
      <c r="AA573" s="30" t="n"/>
    </row>
    <row r="574">
      <c r="A574" s="30" t="n"/>
      <c r="B574" s="156" t="n"/>
      <c r="C574" s="30" t="n"/>
      <c r="D574" s="30" t="n"/>
      <c r="E574" s="30" t="n"/>
      <c r="F574" s="30" t="n"/>
      <c r="G574" s="30" t="n"/>
      <c r="H574" s="30" t="n"/>
      <c r="I574" s="30" t="n"/>
      <c r="J574" s="30" t="n"/>
      <c r="K574" s="30" t="n"/>
      <c r="L574" s="30" t="n"/>
      <c r="M574" s="30" t="n"/>
      <c r="N574" s="30" t="n"/>
      <c r="O574" s="30" t="n"/>
      <c r="P574" s="30" t="n"/>
      <c r="Q574" s="30" t="n"/>
      <c r="R574" s="30" t="n"/>
      <c r="S574" s="30" t="n"/>
      <c r="T574" s="30" t="n"/>
      <c r="U574" s="30" t="n"/>
      <c r="V574" s="30" t="n"/>
      <c r="W574" s="30" t="n"/>
      <c r="X574" s="30" t="n"/>
      <c r="Y574" s="30" t="n"/>
      <c r="Z574" s="30" t="n"/>
      <c r="AA574" s="30" t="n"/>
    </row>
    <row r="575">
      <c r="A575" s="30" t="n"/>
      <c r="B575" s="156" t="n"/>
      <c r="C575" s="30" t="n"/>
      <c r="D575" s="30" t="n"/>
      <c r="E575" s="30" t="n"/>
      <c r="F575" s="30" t="n"/>
      <c r="G575" s="30" t="n"/>
      <c r="H575" s="30" t="n"/>
      <c r="I575" s="30" t="n"/>
      <c r="J575" s="30" t="n"/>
      <c r="K575" s="30" t="n"/>
      <c r="L575" s="30" t="n"/>
      <c r="M575" s="30" t="n"/>
      <c r="N575" s="30" t="n"/>
      <c r="O575" s="30" t="n"/>
      <c r="P575" s="30" t="n"/>
      <c r="Q575" s="30" t="n"/>
      <c r="R575" s="30" t="n"/>
      <c r="S575" s="30" t="n"/>
      <c r="T575" s="30" t="n"/>
      <c r="U575" s="30" t="n"/>
      <c r="V575" s="30" t="n"/>
      <c r="W575" s="30" t="n"/>
      <c r="X575" s="30" t="n"/>
      <c r="Y575" s="30" t="n"/>
      <c r="Z575" s="30" t="n"/>
      <c r="AA575" s="30" t="n"/>
    </row>
    <row r="576">
      <c r="A576" s="30" t="n"/>
      <c r="B576" s="156" t="n"/>
      <c r="C576" s="30" t="n"/>
      <c r="D576" s="30" t="n"/>
      <c r="E576" s="30" t="n"/>
      <c r="F576" s="30" t="n"/>
      <c r="G576" s="30" t="n"/>
      <c r="H576" s="30" t="n"/>
      <c r="I576" s="30" t="n"/>
      <c r="J576" s="30" t="n"/>
      <c r="K576" s="30" t="n"/>
      <c r="L576" s="30" t="n"/>
      <c r="M576" s="30" t="n"/>
      <c r="N576" s="30" t="n"/>
      <c r="O576" s="30" t="n"/>
      <c r="P576" s="30" t="n"/>
      <c r="Q576" s="30" t="n"/>
      <c r="R576" s="30" t="n"/>
      <c r="S576" s="30" t="n"/>
      <c r="T576" s="30" t="n"/>
      <c r="U576" s="30" t="n"/>
      <c r="V576" s="30" t="n"/>
      <c r="W576" s="30" t="n"/>
      <c r="X576" s="30" t="n"/>
      <c r="Y576" s="30" t="n"/>
      <c r="Z576" s="30" t="n"/>
      <c r="AA576" s="30" t="n"/>
    </row>
    <row r="577">
      <c r="A577" s="30" t="n"/>
      <c r="B577" s="156" t="n"/>
      <c r="C577" s="30" t="n"/>
      <c r="D577" s="30" t="n"/>
      <c r="E577" s="30" t="n"/>
      <c r="F577" s="30" t="n"/>
      <c r="G577" s="30" t="n"/>
      <c r="H577" s="30" t="n"/>
      <c r="I577" s="30" t="n"/>
      <c r="J577" s="30" t="n"/>
      <c r="K577" s="30" t="n"/>
      <c r="L577" s="30" t="n"/>
      <c r="M577" s="30" t="n"/>
      <c r="N577" s="30" t="n"/>
      <c r="O577" s="30" t="n"/>
      <c r="P577" s="30" t="n"/>
      <c r="Q577" s="30" t="n"/>
      <c r="R577" s="30" t="n"/>
      <c r="S577" s="30" t="n"/>
      <c r="T577" s="30" t="n"/>
      <c r="U577" s="30" t="n"/>
      <c r="V577" s="30" t="n"/>
      <c r="W577" s="30" t="n"/>
      <c r="X577" s="30" t="n"/>
      <c r="Y577" s="30" t="n"/>
      <c r="Z577" s="30" t="n"/>
      <c r="AA577" s="30" t="n"/>
    </row>
    <row r="578">
      <c r="A578" s="30" t="n"/>
      <c r="B578" s="156" t="n"/>
      <c r="C578" s="30" t="n"/>
      <c r="D578" s="30" t="n"/>
      <c r="E578" s="30" t="n"/>
      <c r="F578" s="30" t="n"/>
      <c r="G578" s="30" t="n"/>
      <c r="H578" s="30" t="n"/>
      <c r="I578" s="30" t="n"/>
      <c r="J578" s="30" t="n"/>
      <c r="K578" s="30" t="n"/>
      <c r="L578" s="30" t="n"/>
      <c r="M578" s="30" t="n"/>
      <c r="N578" s="30" t="n"/>
      <c r="O578" s="30" t="n"/>
      <c r="P578" s="30" t="n"/>
      <c r="Q578" s="30" t="n"/>
      <c r="R578" s="30" t="n"/>
      <c r="S578" s="30" t="n"/>
      <c r="T578" s="30" t="n"/>
      <c r="U578" s="30" t="n"/>
      <c r="V578" s="30" t="n"/>
      <c r="W578" s="30" t="n"/>
      <c r="X578" s="30" t="n"/>
      <c r="Y578" s="30" t="n"/>
      <c r="Z578" s="30" t="n"/>
      <c r="AA578" s="30" t="n"/>
    </row>
    <row r="579">
      <c r="A579" s="30" t="n"/>
      <c r="B579" s="156" t="n"/>
      <c r="C579" s="30" t="n"/>
      <c r="D579" s="30" t="n"/>
      <c r="E579" s="30" t="n"/>
      <c r="F579" s="30" t="n"/>
      <c r="G579" s="30" t="n"/>
      <c r="H579" s="30" t="n"/>
      <c r="I579" s="30" t="n"/>
      <c r="J579" s="30" t="n"/>
      <c r="K579" s="30" t="n"/>
      <c r="L579" s="30" t="n"/>
      <c r="M579" s="30" t="n"/>
      <c r="N579" s="30" t="n"/>
      <c r="O579" s="30" t="n"/>
      <c r="P579" s="30" t="n"/>
      <c r="Q579" s="30" t="n"/>
      <c r="R579" s="30" t="n"/>
      <c r="S579" s="30" t="n"/>
      <c r="T579" s="30" t="n"/>
      <c r="U579" s="30" t="n"/>
      <c r="V579" s="30" t="n"/>
      <c r="W579" s="30" t="n"/>
      <c r="X579" s="30" t="n"/>
      <c r="Y579" s="30" t="n"/>
      <c r="Z579" s="30" t="n"/>
      <c r="AA579" s="30" t="n"/>
    </row>
    <row r="580">
      <c r="A580" s="30" t="n"/>
      <c r="B580" s="156" t="n"/>
      <c r="C580" s="30" t="n"/>
      <c r="D580" s="30" t="n"/>
      <c r="E580" s="30" t="n"/>
      <c r="F580" s="30" t="n"/>
      <c r="G580" s="30" t="n"/>
      <c r="H580" s="30" t="n"/>
      <c r="I580" s="30" t="n"/>
      <c r="J580" s="30" t="n"/>
      <c r="K580" s="30" t="n"/>
      <c r="L580" s="30" t="n"/>
      <c r="M580" s="30" t="n"/>
      <c r="N580" s="30" t="n"/>
      <c r="O580" s="30" t="n"/>
      <c r="P580" s="30" t="n"/>
      <c r="Q580" s="30" t="n"/>
      <c r="R580" s="30" t="n"/>
      <c r="S580" s="30" t="n"/>
      <c r="T580" s="30" t="n"/>
      <c r="U580" s="30" t="n"/>
      <c r="V580" s="30" t="n"/>
      <c r="W580" s="30" t="n"/>
      <c r="X580" s="30" t="n"/>
      <c r="Y580" s="30" t="n"/>
      <c r="Z580" s="30" t="n"/>
      <c r="AA580" s="30" t="n"/>
    </row>
    <row r="581">
      <c r="A581" s="30" t="n"/>
      <c r="B581" s="156" t="n"/>
      <c r="C581" s="30" t="n"/>
      <c r="D581" s="30" t="n"/>
      <c r="E581" s="30" t="n"/>
      <c r="F581" s="30" t="n"/>
      <c r="G581" s="30" t="n"/>
      <c r="H581" s="30" t="n"/>
      <c r="I581" s="30" t="n"/>
      <c r="J581" s="30" t="n"/>
      <c r="K581" s="30" t="n"/>
      <c r="L581" s="30" t="n"/>
      <c r="M581" s="30" t="n"/>
      <c r="N581" s="30" t="n"/>
      <c r="O581" s="30" t="n"/>
      <c r="P581" s="30" t="n"/>
      <c r="Q581" s="30" t="n"/>
      <c r="R581" s="30" t="n"/>
      <c r="S581" s="30" t="n"/>
      <c r="T581" s="30" t="n"/>
      <c r="U581" s="30" t="n"/>
      <c r="V581" s="30" t="n"/>
      <c r="W581" s="30" t="n"/>
      <c r="X581" s="30" t="n"/>
      <c r="Y581" s="30" t="n"/>
      <c r="Z581" s="30" t="n"/>
      <c r="AA581" s="30" t="n"/>
    </row>
    <row r="582">
      <c r="A582" s="30" t="n"/>
      <c r="B582" s="156" t="n"/>
      <c r="C582" s="30" t="n"/>
      <c r="D582" s="30" t="n"/>
      <c r="E582" s="30" t="n"/>
      <c r="F582" s="30" t="n"/>
      <c r="G582" s="30" t="n"/>
      <c r="H582" s="30" t="n"/>
      <c r="I582" s="30" t="n"/>
      <c r="J582" s="30" t="n"/>
      <c r="K582" s="30" t="n"/>
      <c r="L582" s="30" t="n"/>
      <c r="M582" s="30" t="n"/>
      <c r="N582" s="30" t="n"/>
      <c r="O582" s="30" t="n"/>
      <c r="P582" s="30" t="n"/>
      <c r="Q582" s="30" t="n"/>
      <c r="R582" s="30" t="n"/>
      <c r="S582" s="30" t="n"/>
      <c r="T582" s="30" t="n"/>
      <c r="U582" s="30" t="n"/>
      <c r="V582" s="30" t="n"/>
      <c r="W582" s="30" t="n"/>
      <c r="X582" s="30" t="n"/>
      <c r="Y582" s="30" t="n"/>
      <c r="Z582" s="30" t="n"/>
      <c r="AA582" s="30" t="n"/>
    </row>
    <row r="583">
      <c r="A583" s="30" t="n"/>
      <c r="B583" s="156" t="n"/>
      <c r="C583" s="30" t="n"/>
      <c r="D583" s="30" t="n"/>
      <c r="E583" s="30" t="n"/>
      <c r="F583" s="30" t="n"/>
      <c r="G583" s="30" t="n"/>
      <c r="H583" s="30" t="n"/>
      <c r="I583" s="30" t="n"/>
      <c r="J583" s="30" t="n"/>
      <c r="K583" s="30" t="n"/>
      <c r="L583" s="30" t="n"/>
      <c r="M583" s="30" t="n"/>
      <c r="N583" s="30" t="n"/>
      <c r="O583" s="30" t="n"/>
      <c r="P583" s="30" t="n"/>
      <c r="Q583" s="30" t="n"/>
      <c r="R583" s="30" t="n"/>
      <c r="S583" s="30" t="n"/>
      <c r="T583" s="30" t="n"/>
      <c r="U583" s="30" t="n"/>
      <c r="V583" s="30" t="n"/>
      <c r="W583" s="30" t="n"/>
      <c r="X583" s="30" t="n"/>
      <c r="Y583" s="30" t="n"/>
      <c r="Z583" s="30" t="n"/>
      <c r="AA583" s="30" t="n"/>
    </row>
    <row r="584">
      <c r="A584" s="30" t="n"/>
      <c r="B584" s="156" t="n"/>
      <c r="C584" s="30" t="n"/>
      <c r="D584" s="30" t="n"/>
      <c r="E584" s="30" t="n"/>
      <c r="F584" s="30" t="n"/>
      <c r="G584" s="30" t="n"/>
      <c r="H584" s="30" t="n"/>
      <c r="I584" s="30" t="n"/>
      <c r="J584" s="30" t="n"/>
      <c r="K584" s="30" t="n"/>
      <c r="L584" s="30" t="n"/>
      <c r="M584" s="30" t="n"/>
      <c r="N584" s="30" t="n"/>
      <c r="O584" s="30" t="n"/>
      <c r="P584" s="30" t="n"/>
      <c r="Q584" s="30" t="n"/>
      <c r="R584" s="30" t="n"/>
      <c r="S584" s="30" t="n"/>
      <c r="T584" s="30" t="n"/>
      <c r="U584" s="30" t="n"/>
      <c r="V584" s="30" t="n"/>
      <c r="W584" s="30" t="n"/>
      <c r="X584" s="30" t="n"/>
      <c r="Y584" s="30" t="n"/>
      <c r="Z584" s="30" t="n"/>
      <c r="AA584" s="30" t="n"/>
    </row>
    <row r="585">
      <c r="A585" s="30" t="n"/>
      <c r="B585" s="156" t="n"/>
      <c r="C585" s="30" t="n"/>
      <c r="D585" s="30" t="n"/>
      <c r="E585" s="30" t="n"/>
      <c r="F585" s="30" t="n"/>
      <c r="G585" s="30" t="n"/>
      <c r="H585" s="30" t="n"/>
      <c r="I585" s="30" t="n"/>
      <c r="J585" s="30" t="n"/>
      <c r="K585" s="30" t="n"/>
      <c r="L585" s="30" t="n"/>
      <c r="M585" s="30" t="n"/>
      <c r="N585" s="30" t="n"/>
      <c r="O585" s="30" t="n"/>
      <c r="P585" s="30" t="n"/>
      <c r="Q585" s="30" t="n"/>
      <c r="R585" s="30" t="n"/>
      <c r="S585" s="30" t="n"/>
      <c r="T585" s="30" t="n"/>
      <c r="U585" s="30" t="n"/>
      <c r="V585" s="30" t="n"/>
      <c r="W585" s="30" t="n"/>
      <c r="X585" s="30" t="n"/>
      <c r="Y585" s="30" t="n"/>
      <c r="Z585" s="30" t="n"/>
      <c r="AA585" s="30" t="n"/>
    </row>
    <row r="586">
      <c r="A586" s="30" t="n"/>
      <c r="B586" s="156" t="n"/>
      <c r="C586" s="30" t="n"/>
      <c r="D586" s="30" t="n"/>
      <c r="E586" s="30" t="n"/>
      <c r="F586" s="30" t="n"/>
      <c r="G586" s="30" t="n"/>
      <c r="H586" s="30" t="n"/>
      <c r="I586" s="30" t="n"/>
      <c r="J586" s="30" t="n"/>
      <c r="K586" s="30" t="n"/>
      <c r="L586" s="30" t="n"/>
      <c r="M586" s="30" t="n"/>
      <c r="N586" s="30" t="n"/>
      <c r="O586" s="30" t="n"/>
      <c r="P586" s="30" t="n"/>
      <c r="Q586" s="30" t="n"/>
      <c r="R586" s="30" t="n"/>
      <c r="S586" s="30" t="n"/>
      <c r="T586" s="30" t="n"/>
      <c r="U586" s="30" t="n"/>
      <c r="V586" s="30" t="n"/>
      <c r="W586" s="30" t="n"/>
      <c r="X586" s="30" t="n"/>
      <c r="Y586" s="30" t="n"/>
      <c r="Z586" s="30" t="n"/>
      <c r="AA586" s="30" t="n"/>
    </row>
    <row r="587">
      <c r="A587" s="30" t="n"/>
      <c r="B587" s="156" t="n"/>
      <c r="C587" s="30" t="n"/>
      <c r="D587" s="30" t="n"/>
      <c r="E587" s="30" t="n"/>
      <c r="F587" s="30" t="n"/>
      <c r="G587" s="30" t="n"/>
      <c r="H587" s="30" t="n"/>
      <c r="I587" s="30" t="n"/>
      <c r="J587" s="30" t="n"/>
      <c r="K587" s="30" t="n"/>
      <c r="L587" s="30" t="n"/>
      <c r="M587" s="30" t="n"/>
      <c r="N587" s="30" t="n"/>
      <c r="O587" s="30" t="n"/>
      <c r="P587" s="30" t="n"/>
      <c r="Q587" s="30" t="n"/>
      <c r="R587" s="30" t="n"/>
      <c r="S587" s="30" t="n"/>
      <c r="T587" s="30" t="n"/>
      <c r="U587" s="30" t="n"/>
      <c r="V587" s="30" t="n"/>
      <c r="W587" s="30" t="n"/>
      <c r="X587" s="30" t="n"/>
      <c r="Y587" s="30" t="n"/>
      <c r="Z587" s="30" t="n"/>
      <c r="AA587" s="30" t="n"/>
    </row>
    <row r="588">
      <c r="A588" s="30" t="n"/>
      <c r="B588" s="156" t="n"/>
      <c r="C588" s="30" t="n"/>
      <c r="D588" s="30" t="n"/>
      <c r="E588" s="30" t="n"/>
      <c r="F588" s="30" t="n"/>
      <c r="G588" s="30" t="n"/>
      <c r="H588" s="30" t="n"/>
      <c r="I588" s="30" t="n"/>
      <c r="J588" s="30" t="n"/>
      <c r="K588" s="30" t="n"/>
      <c r="L588" s="30" t="n"/>
      <c r="M588" s="30" t="n"/>
      <c r="N588" s="30" t="n"/>
      <c r="O588" s="30" t="n"/>
      <c r="P588" s="30" t="n"/>
      <c r="Q588" s="30" t="n"/>
      <c r="R588" s="30" t="n"/>
      <c r="S588" s="30" t="n"/>
      <c r="T588" s="30" t="n"/>
      <c r="U588" s="30" t="n"/>
      <c r="V588" s="30" t="n"/>
      <c r="W588" s="30" t="n"/>
      <c r="X588" s="30" t="n"/>
      <c r="Y588" s="30" t="n"/>
      <c r="Z588" s="30" t="n"/>
      <c r="AA588" s="30" t="n"/>
    </row>
    <row r="589">
      <c r="A589" s="30" t="n"/>
      <c r="B589" s="156" t="n"/>
      <c r="C589" s="30" t="n"/>
      <c r="D589" s="30" t="n"/>
      <c r="E589" s="30" t="n"/>
      <c r="F589" s="30" t="n"/>
      <c r="G589" s="30" t="n"/>
      <c r="H589" s="30" t="n"/>
      <c r="I589" s="30" t="n"/>
      <c r="J589" s="30" t="n"/>
      <c r="K589" s="30" t="n"/>
      <c r="L589" s="30" t="n"/>
      <c r="M589" s="30" t="n"/>
      <c r="N589" s="30" t="n"/>
      <c r="O589" s="30" t="n"/>
      <c r="P589" s="30" t="n"/>
      <c r="Q589" s="30" t="n"/>
      <c r="R589" s="30" t="n"/>
      <c r="S589" s="30" t="n"/>
      <c r="T589" s="30" t="n"/>
      <c r="U589" s="30" t="n"/>
      <c r="V589" s="30" t="n"/>
      <c r="W589" s="30" t="n"/>
      <c r="X589" s="30" t="n"/>
      <c r="Y589" s="30" t="n"/>
      <c r="Z589" s="30" t="n"/>
      <c r="AA589" s="30" t="n"/>
    </row>
    <row r="590">
      <c r="A590" s="30" t="n"/>
      <c r="B590" s="156" t="n"/>
      <c r="C590" s="30" t="n"/>
      <c r="D590" s="30" t="n"/>
      <c r="E590" s="30" t="n"/>
      <c r="F590" s="30" t="n"/>
      <c r="G590" s="30" t="n"/>
      <c r="H590" s="30" t="n"/>
      <c r="I590" s="30" t="n"/>
      <c r="J590" s="30" t="n"/>
      <c r="K590" s="30" t="n"/>
      <c r="L590" s="30" t="n"/>
      <c r="M590" s="30" t="n"/>
      <c r="N590" s="30" t="n"/>
      <c r="O590" s="30" t="n"/>
      <c r="P590" s="30" t="n"/>
      <c r="Q590" s="30" t="n"/>
      <c r="R590" s="30" t="n"/>
      <c r="S590" s="30" t="n"/>
      <c r="T590" s="30" t="n"/>
      <c r="U590" s="30" t="n"/>
      <c r="V590" s="30" t="n"/>
      <c r="W590" s="30" t="n"/>
      <c r="X590" s="30" t="n"/>
      <c r="Y590" s="30" t="n"/>
      <c r="Z590" s="30" t="n"/>
      <c r="AA590" s="30" t="n"/>
    </row>
    <row r="591">
      <c r="A591" s="30" t="n"/>
      <c r="B591" s="156" t="n"/>
      <c r="C591" s="30" t="n"/>
      <c r="D591" s="30" t="n"/>
      <c r="E591" s="30" t="n"/>
      <c r="F591" s="30" t="n"/>
      <c r="G591" s="30" t="n"/>
      <c r="H591" s="30" t="n"/>
      <c r="I591" s="30" t="n"/>
      <c r="J591" s="30" t="n"/>
      <c r="K591" s="30" t="n"/>
      <c r="L591" s="30" t="n"/>
      <c r="M591" s="30" t="n"/>
      <c r="N591" s="30" t="n"/>
      <c r="O591" s="30" t="n"/>
      <c r="P591" s="30" t="n"/>
      <c r="Q591" s="30" t="n"/>
      <c r="R591" s="30" t="n"/>
      <c r="S591" s="30" t="n"/>
      <c r="T591" s="30" t="n"/>
      <c r="U591" s="30" t="n"/>
      <c r="V591" s="30" t="n"/>
      <c r="W591" s="30" t="n"/>
      <c r="X591" s="30" t="n"/>
      <c r="Y591" s="30" t="n"/>
      <c r="Z591" s="30" t="n"/>
      <c r="AA591" s="30" t="n"/>
    </row>
    <row r="592">
      <c r="A592" s="30" t="n"/>
      <c r="B592" s="156" t="n"/>
      <c r="C592" s="30" t="n"/>
      <c r="D592" s="30" t="n"/>
      <c r="E592" s="30" t="n"/>
      <c r="F592" s="30" t="n"/>
      <c r="G592" s="30" t="n"/>
      <c r="H592" s="30" t="n"/>
      <c r="I592" s="30" t="n"/>
      <c r="J592" s="30" t="n"/>
      <c r="K592" s="30" t="n"/>
      <c r="L592" s="30" t="n"/>
      <c r="M592" s="30" t="n"/>
      <c r="N592" s="30" t="n"/>
      <c r="O592" s="30" t="n"/>
      <c r="P592" s="30" t="n"/>
      <c r="Q592" s="30" t="n"/>
      <c r="R592" s="30" t="n"/>
      <c r="S592" s="30" t="n"/>
      <c r="T592" s="30" t="n"/>
      <c r="U592" s="30" t="n"/>
      <c r="V592" s="30" t="n"/>
      <c r="W592" s="30" t="n"/>
      <c r="X592" s="30" t="n"/>
      <c r="Y592" s="30" t="n"/>
      <c r="Z592" s="30" t="n"/>
      <c r="AA592" s="30" t="n"/>
    </row>
    <row r="593">
      <c r="A593" s="30" t="n"/>
      <c r="B593" s="156" t="n"/>
      <c r="C593" s="30" t="n"/>
      <c r="D593" s="30" t="n"/>
      <c r="E593" s="30" t="n"/>
      <c r="F593" s="30" t="n"/>
      <c r="G593" s="30" t="n"/>
      <c r="H593" s="30" t="n"/>
      <c r="I593" s="30" t="n"/>
      <c r="J593" s="30" t="n"/>
      <c r="K593" s="30" t="n"/>
      <c r="L593" s="30" t="n"/>
      <c r="M593" s="30" t="n"/>
      <c r="N593" s="30" t="n"/>
      <c r="O593" s="30" t="n"/>
      <c r="P593" s="30" t="n"/>
      <c r="Q593" s="30" t="n"/>
      <c r="R593" s="30" t="n"/>
      <c r="S593" s="30" t="n"/>
      <c r="T593" s="30" t="n"/>
      <c r="U593" s="30" t="n"/>
      <c r="V593" s="30" t="n"/>
      <c r="W593" s="30" t="n"/>
      <c r="X593" s="30" t="n"/>
      <c r="Y593" s="30" t="n"/>
      <c r="Z593" s="30" t="n"/>
      <c r="AA593" s="30" t="n"/>
    </row>
    <row r="594">
      <c r="A594" s="30" t="n"/>
      <c r="B594" s="156" t="n"/>
      <c r="C594" s="30" t="n"/>
      <c r="D594" s="30" t="n"/>
      <c r="E594" s="30" t="n"/>
      <c r="F594" s="30" t="n"/>
      <c r="G594" s="30" t="n"/>
      <c r="H594" s="30" t="n"/>
      <c r="I594" s="30" t="n"/>
      <c r="J594" s="30" t="n"/>
      <c r="K594" s="30" t="n"/>
      <c r="L594" s="30" t="n"/>
      <c r="M594" s="30" t="n"/>
      <c r="N594" s="30" t="n"/>
      <c r="O594" s="30" t="n"/>
      <c r="P594" s="30" t="n"/>
      <c r="Q594" s="30" t="n"/>
      <c r="R594" s="30" t="n"/>
      <c r="S594" s="30" t="n"/>
      <c r="T594" s="30" t="n"/>
      <c r="U594" s="30" t="n"/>
      <c r="V594" s="30" t="n"/>
      <c r="W594" s="30" t="n"/>
      <c r="X594" s="30" t="n"/>
      <c r="Y594" s="30" t="n"/>
      <c r="Z594" s="30" t="n"/>
      <c r="AA594" s="30" t="n"/>
    </row>
    <row r="595">
      <c r="A595" s="30" t="n"/>
      <c r="B595" s="156" t="n"/>
      <c r="C595" s="30" t="n"/>
      <c r="D595" s="30" t="n"/>
      <c r="E595" s="30" t="n"/>
      <c r="F595" s="30" t="n"/>
      <c r="G595" s="30" t="n"/>
      <c r="H595" s="30" t="n"/>
      <c r="I595" s="30" t="n"/>
      <c r="J595" s="30" t="n"/>
      <c r="K595" s="30" t="n"/>
      <c r="L595" s="30" t="n"/>
      <c r="M595" s="30" t="n"/>
      <c r="N595" s="30" t="n"/>
      <c r="O595" s="30" t="n"/>
      <c r="P595" s="30" t="n"/>
      <c r="Q595" s="30" t="n"/>
      <c r="R595" s="30" t="n"/>
      <c r="S595" s="30" t="n"/>
      <c r="T595" s="30" t="n"/>
      <c r="U595" s="30" t="n"/>
      <c r="V595" s="30" t="n"/>
      <c r="W595" s="30" t="n"/>
      <c r="X595" s="30" t="n"/>
      <c r="Y595" s="30" t="n"/>
      <c r="Z595" s="30" t="n"/>
      <c r="AA595" s="30" t="n"/>
    </row>
    <row r="596">
      <c r="A596" s="30" t="n"/>
      <c r="B596" s="156" t="n"/>
      <c r="C596" s="30" t="n"/>
      <c r="D596" s="30" t="n"/>
      <c r="E596" s="30" t="n"/>
      <c r="F596" s="30" t="n"/>
      <c r="G596" s="30" t="n"/>
      <c r="H596" s="30" t="n"/>
      <c r="I596" s="30" t="n"/>
      <c r="J596" s="30" t="n"/>
      <c r="K596" s="30" t="n"/>
      <c r="L596" s="30" t="n"/>
      <c r="M596" s="30" t="n"/>
      <c r="N596" s="30" t="n"/>
      <c r="O596" s="30" t="n"/>
      <c r="P596" s="30" t="n"/>
      <c r="Q596" s="30" t="n"/>
      <c r="R596" s="30" t="n"/>
      <c r="S596" s="30" t="n"/>
      <c r="T596" s="30" t="n"/>
      <c r="U596" s="30" t="n"/>
      <c r="V596" s="30" t="n"/>
      <c r="W596" s="30" t="n"/>
      <c r="X596" s="30" t="n"/>
      <c r="Y596" s="30" t="n"/>
      <c r="Z596" s="30" t="n"/>
      <c r="AA596" s="30" t="n"/>
    </row>
    <row r="597">
      <c r="A597" s="30" t="n"/>
      <c r="B597" s="156" t="n"/>
      <c r="C597" s="30" t="n"/>
      <c r="D597" s="30" t="n"/>
      <c r="E597" s="30" t="n"/>
      <c r="F597" s="30" t="n"/>
      <c r="G597" s="30" t="n"/>
      <c r="H597" s="30" t="n"/>
      <c r="I597" s="30" t="n"/>
      <c r="J597" s="30" t="n"/>
      <c r="K597" s="30" t="n"/>
      <c r="L597" s="30" t="n"/>
      <c r="M597" s="30" t="n"/>
      <c r="N597" s="30" t="n"/>
      <c r="O597" s="30" t="n"/>
      <c r="P597" s="30" t="n"/>
      <c r="Q597" s="30" t="n"/>
      <c r="R597" s="30" t="n"/>
      <c r="S597" s="30" t="n"/>
      <c r="T597" s="30" t="n"/>
      <c r="U597" s="30" t="n"/>
      <c r="V597" s="30" t="n"/>
      <c r="W597" s="30" t="n"/>
      <c r="X597" s="30" t="n"/>
      <c r="Y597" s="30" t="n"/>
      <c r="Z597" s="30" t="n"/>
      <c r="AA597" s="30" t="n"/>
    </row>
    <row r="598">
      <c r="A598" s="30" t="n"/>
      <c r="B598" s="156" t="n"/>
      <c r="C598" s="30" t="n"/>
      <c r="D598" s="30" t="n"/>
      <c r="E598" s="30" t="n"/>
      <c r="F598" s="30" t="n"/>
      <c r="G598" s="30" t="n"/>
      <c r="H598" s="30" t="n"/>
      <c r="I598" s="30" t="n"/>
      <c r="J598" s="30" t="n"/>
      <c r="K598" s="30" t="n"/>
      <c r="L598" s="30" t="n"/>
      <c r="M598" s="30" t="n"/>
      <c r="N598" s="30" t="n"/>
      <c r="O598" s="30" t="n"/>
      <c r="P598" s="30" t="n"/>
      <c r="Q598" s="30" t="n"/>
      <c r="R598" s="30" t="n"/>
      <c r="S598" s="30" t="n"/>
      <c r="T598" s="30" t="n"/>
      <c r="U598" s="30" t="n"/>
      <c r="V598" s="30" t="n"/>
      <c r="W598" s="30" t="n"/>
      <c r="X598" s="30" t="n"/>
      <c r="Y598" s="30" t="n"/>
      <c r="Z598" s="30" t="n"/>
      <c r="AA598" s="30" t="n"/>
    </row>
    <row r="599">
      <c r="A599" s="30" t="n"/>
      <c r="B599" s="156" t="n"/>
      <c r="C599" s="30" t="n"/>
      <c r="D599" s="30" t="n"/>
      <c r="E599" s="30" t="n"/>
      <c r="F599" s="30" t="n"/>
      <c r="G599" s="30" t="n"/>
      <c r="H599" s="30" t="n"/>
      <c r="I599" s="30" t="n"/>
      <c r="J599" s="30" t="n"/>
      <c r="K599" s="30" t="n"/>
      <c r="L599" s="30" t="n"/>
      <c r="M599" s="30" t="n"/>
      <c r="N599" s="30" t="n"/>
      <c r="O599" s="30" t="n"/>
      <c r="P599" s="30" t="n"/>
      <c r="Q599" s="30" t="n"/>
      <c r="R599" s="30" t="n"/>
      <c r="S599" s="30" t="n"/>
      <c r="T599" s="30" t="n"/>
      <c r="U599" s="30" t="n"/>
      <c r="V599" s="30" t="n"/>
      <c r="W599" s="30" t="n"/>
      <c r="X599" s="30" t="n"/>
      <c r="Y599" s="30" t="n"/>
      <c r="Z599" s="30" t="n"/>
      <c r="AA599" s="30" t="n"/>
    </row>
    <row r="600">
      <c r="A600" s="30" t="n"/>
      <c r="B600" s="156" t="n"/>
      <c r="C600" s="30" t="n"/>
      <c r="D600" s="30" t="n"/>
      <c r="E600" s="30" t="n"/>
      <c r="F600" s="30" t="n"/>
      <c r="G600" s="30" t="n"/>
      <c r="H600" s="30" t="n"/>
      <c r="I600" s="30" t="n"/>
      <c r="J600" s="30" t="n"/>
      <c r="K600" s="30" t="n"/>
      <c r="L600" s="30" t="n"/>
      <c r="M600" s="30" t="n"/>
      <c r="N600" s="30" t="n"/>
      <c r="O600" s="30" t="n"/>
      <c r="P600" s="30" t="n"/>
      <c r="Q600" s="30" t="n"/>
      <c r="R600" s="30" t="n"/>
      <c r="S600" s="30" t="n"/>
      <c r="T600" s="30" t="n"/>
      <c r="U600" s="30" t="n"/>
      <c r="V600" s="30" t="n"/>
      <c r="W600" s="30" t="n"/>
      <c r="X600" s="30" t="n"/>
      <c r="Y600" s="30" t="n"/>
      <c r="Z600" s="30" t="n"/>
      <c r="AA600" s="30" t="n"/>
    </row>
    <row r="601">
      <c r="A601" s="30" t="n"/>
      <c r="B601" s="156" t="n"/>
      <c r="C601" s="30" t="n"/>
      <c r="D601" s="30" t="n"/>
      <c r="E601" s="30" t="n"/>
      <c r="F601" s="30" t="n"/>
      <c r="G601" s="30" t="n"/>
      <c r="H601" s="30" t="n"/>
      <c r="I601" s="30" t="n"/>
      <c r="J601" s="30" t="n"/>
      <c r="K601" s="30" t="n"/>
      <c r="L601" s="30" t="n"/>
      <c r="M601" s="30" t="n"/>
      <c r="N601" s="30" t="n"/>
      <c r="O601" s="30" t="n"/>
      <c r="P601" s="30" t="n"/>
      <c r="Q601" s="30" t="n"/>
      <c r="R601" s="30" t="n"/>
      <c r="S601" s="30" t="n"/>
      <c r="T601" s="30" t="n"/>
      <c r="U601" s="30" t="n"/>
      <c r="V601" s="30" t="n"/>
      <c r="W601" s="30" t="n"/>
      <c r="X601" s="30" t="n"/>
      <c r="Y601" s="30" t="n"/>
      <c r="Z601" s="30" t="n"/>
      <c r="AA601" s="30" t="n"/>
    </row>
    <row r="602">
      <c r="A602" s="30" t="n"/>
      <c r="B602" s="156" t="n"/>
      <c r="C602" s="30" t="n"/>
      <c r="D602" s="30" t="n"/>
      <c r="E602" s="30" t="n"/>
      <c r="F602" s="30" t="n"/>
      <c r="G602" s="30" t="n"/>
      <c r="H602" s="30" t="n"/>
      <c r="I602" s="30" t="n"/>
      <c r="J602" s="30" t="n"/>
      <c r="K602" s="30" t="n"/>
      <c r="L602" s="30" t="n"/>
      <c r="M602" s="30" t="n"/>
      <c r="N602" s="30" t="n"/>
      <c r="O602" s="30" t="n"/>
      <c r="P602" s="30" t="n"/>
      <c r="Q602" s="30" t="n"/>
      <c r="R602" s="30" t="n"/>
      <c r="S602" s="30" t="n"/>
      <c r="T602" s="30" t="n"/>
      <c r="U602" s="30" t="n"/>
      <c r="V602" s="30" t="n"/>
      <c r="W602" s="30" t="n"/>
      <c r="X602" s="30" t="n"/>
      <c r="Y602" s="30" t="n"/>
      <c r="Z602" s="30" t="n"/>
      <c r="AA602" s="30" t="n"/>
    </row>
    <row r="603">
      <c r="A603" s="30" t="n"/>
      <c r="B603" s="156" t="n"/>
      <c r="C603" s="30" t="n"/>
      <c r="D603" s="30" t="n"/>
      <c r="E603" s="30" t="n"/>
      <c r="F603" s="30" t="n"/>
      <c r="G603" s="30" t="n"/>
      <c r="H603" s="30" t="n"/>
      <c r="I603" s="30" t="n"/>
      <c r="J603" s="30" t="n"/>
      <c r="K603" s="30" t="n"/>
      <c r="L603" s="30" t="n"/>
      <c r="M603" s="30" t="n"/>
      <c r="N603" s="30" t="n"/>
      <c r="O603" s="30" t="n"/>
      <c r="P603" s="30" t="n"/>
      <c r="Q603" s="30" t="n"/>
      <c r="R603" s="30" t="n"/>
      <c r="S603" s="30" t="n"/>
      <c r="T603" s="30" t="n"/>
      <c r="U603" s="30" t="n"/>
      <c r="V603" s="30" t="n"/>
      <c r="W603" s="30" t="n"/>
      <c r="X603" s="30" t="n"/>
      <c r="Y603" s="30" t="n"/>
      <c r="Z603" s="30" t="n"/>
      <c r="AA603" s="30" t="n"/>
    </row>
    <row r="604">
      <c r="A604" s="30" t="n"/>
      <c r="B604" s="156" t="n"/>
      <c r="C604" s="30" t="n"/>
      <c r="D604" s="30" t="n"/>
      <c r="E604" s="30" t="n"/>
      <c r="F604" s="30" t="n"/>
      <c r="G604" s="30" t="n"/>
      <c r="H604" s="30" t="n"/>
      <c r="I604" s="30" t="n"/>
      <c r="J604" s="30" t="n"/>
      <c r="K604" s="30" t="n"/>
      <c r="L604" s="30" t="n"/>
      <c r="M604" s="30" t="n"/>
      <c r="N604" s="30" t="n"/>
      <c r="O604" s="30" t="n"/>
      <c r="P604" s="30" t="n"/>
      <c r="Q604" s="30" t="n"/>
      <c r="R604" s="30" t="n"/>
      <c r="S604" s="30" t="n"/>
      <c r="T604" s="30" t="n"/>
      <c r="U604" s="30" t="n"/>
      <c r="V604" s="30" t="n"/>
      <c r="W604" s="30" t="n"/>
      <c r="X604" s="30" t="n"/>
      <c r="Y604" s="30" t="n"/>
      <c r="Z604" s="30" t="n"/>
      <c r="AA604" s="30" t="n"/>
    </row>
    <row r="605">
      <c r="A605" s="30" t="n"/>
      <c r="B605" s="156" t="n"/>
      <c r="C605" s="30" t="n"/>
      <c r="D605" s="30" t="n"/>
      <c r="E605" s="30" t="n"/>
      <c r="F605" s="30" t="n"/>
      <c r="G605" s="30" t="n"/>
      <c r="H605" s="30" t="n"/>
      <c r="I605" s="30" t="n"/>
      <c r="J605" s="30" t="n"/>
      <c r="K605" s="30" t="n"/>
      <c r="L605" s="30" t="n"/>
      <c r="M605" s="30" t="n"/>
      <c r="N605" s="30" t="n"/>
      <c r="O605" s="30" t="n"/>
      <c r="P605" s="30" t="n"/>
      <c r="Q605" s="30" t="n"/>
      <c r="R605" s="30" t="n"/>
      <c r="S605" s="30" t="n"/>
      <c r="T605" s="30" t="n"/>
      <c r="U605" s="30" t="n"/>
      <c r="V605" s="30" t="n"/>
      <c r="W605" s="30" t="n"/>
      <c r="X605" s="30" t="n"/>
      <c r="Y605" s="30" t="n"/>
      <c r="Z605" s="30" t="n"/>
      <c r="AA605" s="30" t="n"/>
    </row>
    <row r="606">
      <c r="A606" s="30" t="n"/>
      <c r="B606" s="156" t="n"/>
      <c r="C606" s="30" t="n"/>
      <c r="D606" s="30" t="n"/>
      <c r="E606" s="30" t="n"/>
      <c r="F606" s="30" t="n"/>
      <c r="G606" s="30" t="n"/>
      <c r="H606" s="30" t="n"/>
      <c r="I606" s="30" t="n"/>
      <c r="J606" s="30" t="n"/>
      <c r="K606" s="30" t="n"/>
      <c r="L606" s="30" t="n"/>
      <c r="M606" s="30" t="n"/>
      <c r="N606" s="30" t="n"/>
      <c r="O606" s="30" t="n"/>
      <c r="P606" s="30" t="n"/>
      <c r="Q606" s="30" t="n"/>
      <c r="R606" s="30" t="n"/>
      <c r="S606" s="30" t="n"/>
      <c r="T606" s="30" t="n"/>
      <c r="U606" s="30" t="n"/>
      <c r="V606" s="30" t="n"/>
      <c r="W606" s="30" t="n"/>
      <c r="X606" s="30" t="n"/>
      <c r="Y606" s="30" t="n"/>
      <c r="Z606" s="30" t="n"/>
      <c r="AA606" s="30" t="n"/>
    </row>
    <row r="607">
      <c r="A607" s="30" t="n"/>
      <c r="B607" s="156" t="n"/>
      <c r="C607" s="30" t="n"/>
      <c r="D607" s="30" t="n"/>
      <c r="E607" s="30" t="n"/>
      <c r="F607" s="30" t="n"/>
      <c r="G607" s="30" t="n"/>
      <c r="H607" s="30" t="n"/>
      <c r="I607" s="30" t="n"/>
      <c r="J607" s="30" t="n"/>
      <c r="K607" s="30" t="n"/>
      <c r="L607" s="30" t="n"/>
      <c r="M607" s="30" t="n"/>
      <c r="N607" s="30" t="n"/>
      <c r="O607" s="30" t="n"/>
      <c r="P607" s="30" t="n"/>
      <c r="Q607" s="30" t="n"/>
      <c r="R607" s="30" t="n"/>
      <c r="S607" s="30" t="n"/>
      <c r="T607" s="30" t="n"/>
      <c r="U607" s="30" t="n"/>
      <c r="V607" s="30" t="n"/>
      <c r="W607" s="30" t="n"/>
      <c r="X607" s="30" t="n"/>
      <c r="Y607" s="30" t="n"/>
      <c r="Z607" s="30" t="n"/>
      <c r="AA607" s="30" t="n"/>
    </row>
    <row r="608">
      <c r="A608" s="30" t="n"/>
      <c r="B608" s="156" t="n"/>
      <c r="C608" s="30" t="n"/>
      <c r="D608" s="30" t="n"/>
      <c r="E608" s="30" t="n"/>
      <c r="F608" s="30" t="n"/>
      <c r="G608" s="30" t="n"/>
      <c r="H608" s="30" t="n"/>
      <c r="I608" s="30" t="n"/>
      <c r="J608" s="30" t="n"/>
      <c r="K608" s="30" t="n"/>
      <c r="L608" s="30" t="n"/>
      <c r="M608" s="30" t="n"/>
      <c r="N608" s="30" t="n"/>
      <c r="O608" s="30" t="n"/>
      <c r="P608" s="30" t="n"/>
      <c r="Q608" s="30" t="n"/>
      <c r="R608" s="30" t="n"/>
      <c r="S608" s="30" t="n"/>
      <c r="T608" s="30" t="n"/>
      <c r="U608" s="30" t="n"/>
      <c r="V608" s="30" t="n"/>
      <c r="W608" s="30" t="n"/>
      <c r="X608" s="30" t="n"/>
      <c r="Y608" s="30" t="n"/>
      <c r="Z608" s="30" t="n"/>
      <c r="AA608" s="30" t="n"/>
    </row>
    <row r="609">
      <c r="A609" s="30" t="n"/>
      <c r="B609" s="156" t="n"/>
      <c r="C609" s="30" t="n"/>
      <c r="D609" s="30" t="n"/>
      <c r="E609" s="30" t="n"/>
      <c r="F609" s="30" t="n"/>
      <c r="G609" s="30" t="n"/>
      <c r="H609" s="30" t="n"/>
      <c r="I609" s="30" t="n"/>
      <c r="J609" s="30" t="n"/>
      <c r="K609" s="30" t="n"/>
      <c r="L609" s="30" t="n"/>
      <c r="M609" s="30" t="n"/>
      <c r="N609" s="30" t="n"/>
      <c r="O609" s="30" t="n"/>
      <c r="P609" s="30" t="n"/>
      <c r="Q609" s="30" t="n"/>
      <c r="R609" s="30" t="n"/>
      <c r="S609" s="30" t="n"/>
      <c r="T609" s="30" t="n"/>
      <c r="U609" s="30" t="n"/>
      <c r="V609" s="30" t="n"/>
      <c r="W609" s="30" t="n"/>
      <c r="X609" s="30" t="n"/>
      <c r="Y609" s="30" t="n"/>
      <c r="Z609" s="30" t="n"/>
      <c r="AA609" s="30" t="n"/>
    </row>
    <row r="610">
      <c r="A610" s="30" t="n"/>
      <c r="B610" s="156" t="n"/>
      <c r="C610" s="30" t="n"/>
      <c r="D610" s="30" t="n"/>
      <c r="E610" s="30" t="n"/>
      <c r="F610" s="30" t="n"/>
      <c r="G610" s="30" t="n"/>
      <c r="H610" s="30" t="n"/>
      <c r="I610" s="30" t="n"/>
      <c r="J610" s="30" t="n"/>
      <c r="K610" s="30" t="n"/>
      <c r="L610" s="30" t="n"/>
      <c r="M610" s="30" t="n"/>
      <c r="N610" s="30" t="n"/>
      <c r="O610" s="30" t="n"/>
      <c r="P610" s="30" t="n"/>
      <c r="Q610" s="30" t="n"/>
      <c r="R610" s="30" t="n"/>
      <c r="S610" s="30" t="n"/>
      <c r="T610" s="30" t="n"/>
      <c r="U610" s="30" t="n"/>
      <c r="V610" s="30" t="n"/>
      <c r="W610" s="30" t="n"/>
      <c r="X610" s="30" t="n"/>
      <c r="Y610" s="30" t="n"/>
      <c r="Z610" s="30" t="n"/>
      <c r="AA610" s="30" t="n"/>
    </row>
    <row r="611">
      <c r="A611" s="30" t="n"/>
      <c r="B611" s="156" t="n"/>
      <c r="C611" s="30" t="n"/>
      <c r="D611" s="30" t="n"/>
      <c r="E611" s="30" t="n"/>
      <c r="F611" s="30" t="n"/>
      <c r="G611" s="30" t="n"/>
      <c r="H611" s="30" t="n"/>
      <c r="I611" s="30" t="n"/>
      <c r="J611" s="30" t="n"/>
      <c r="K611" s="30" t="n"/>
      <c r="L611" s="30" t="n"/>
      <c r="M611" s="30" t="n"/>
      <c r="N611" s="30" t="n"/>
      <c r="O611" s="30" t="n"/>
      <c r="P611" s="30" t="n"/>
      <c r="Q611" s="30" t="n"/>
      <c r="R611" s="30" t="n"/>
      <c r="S611" s="30" t="n"/>
      <c r="T611" s="30" t="n"/>
      <c r="U611" s="30" t="n"/>
      <c r="V611" s="30" t="n"/>
      <c r="W611" s="30" t="n"/>
      <c r="X611" s="30" t="n"/>
      <c r="Y611" s="30" t="n"/>
      <c r="Z611" s="30" t="n"/>
      <c r="AA611" s="30" t="n"/>
    </row>
    <row r="612">
      <c r="A612" s="30" t="n"/>
      <c r="B612" s="156" t="n"/>
      <c r="C612" s="30" t="n"/>
      <c r="D612" s="30" t="n"/>
      <c r="E612" s="30" t="n"/>
      <c r="F612" s="30" t="n"/>
      <c r="G612" s="30" t="n"/>
      <c r="H612" s="30" t="n"/>
      <c r="I612" s="30" t="n"/>
      <c r="J612" s="30" t="n"/>
      <c r="K612" s="30" t="n"/>
      <c r="L612" s="30" t="n"/>
      <c r="M612" s="30" t="n"/>
      <c r="N612" s="30" t="n"/>
      <c r="O612" s="30" t="n"/>
      <c r="P612" s="30" t="n"/>
      <c r="Q612" s="30" t="n"/>
      <c r="R612" s="30" t="n"/>
      <c r="S612" s="30" t="n"/>
      <c r="T612" s="30" t="n"/>
      <c r="U612" s="30" t="n"/>
      <c r="V612" s="30" t="n"/>
      <c r="W612" s="30" t="n"/>
      <c r="X612" s="30" t="n"/>
      <c r="Y612" s="30" t="n"/>
      <c r="Z612" s="30" t="n"/>
      <c r="AA612" s="30" t="n"/>
    </row>
    <row r="613">
      <c r="A613" s="30" t="n"/>
      <c r="B613" s="156" t="n"/>
      <c r="C613" s="30" t="n"/>
      <c r="D613" s="30" t="n"/>
      <c r="E613" s="30" t="n"/>
      <c r="F613" s="30" t="n"/>
      <c r="G613" s="30" t="n"/>
      <c r="H613" s="30" t="n"/>
      <c r="I613" s="30" t="n"/>
      <c r="J613" s="30" t="n"/>
      <c r="K613" s="30" t="n"/>
      <c r="L613" s="30" t="n"/>
      <c r="M613" s="30" t="n"/>
      <c r="N613" s="30" t="n"/>
      <c r="O613" s="30" t="n"/>
      <c r="P613" s="30" t="n"/>
      <c r="Q613" s="30" t="n"/>
      <c r="R613" s="30" t="n"/>
      <c r="S613" s="30" t="n"/>
      <c r="T613" s="30" t="n"/>
      <c r="U613" s="30" t="n"/>
      <c r="V613" s="30" t="n"/>
      <c r="W613" s="30" t="n"/>
      <c r="X613" s="30" t="n"/>
      <c r="Y613" s="30" t="n"/>
      <c r="Z613" s="30" t="n"/>
      <c r="AA613" s="30" t="n"/>
    </row>
    <row r="614">
      <c r="A614" s="30" t="n"/>
      <c r="B614" s="156" t="n"/>
      <c r="C614" s="30" t="n"/>
      <c r="D614" s="30" t="n"/>
      <c r="E614" s="30" t="n"/>
      <c r="F614" s="30" t="n"/>
      <c r="G614" s="30" t="n"/>
      <c r="H614" s="30" t="n"/>
      <c r="I614" s="30" t="n"/>
      <c r="J614" s="30" t="n"/>
      <c r="K614" s="30" t="n"/>
      <c r="L614" s="30" t="n"/>
      <c r="M614" s="30" t="n"/>
      <c r="N614" s="30" t="n"/>
      <c r="O614" s="30" t="n"/>
      <c r="P614" s="30" t="n"/>
      <c r="Q614" s="30" t="n"/>
      <c r="R614" s="30" t="n"/>
      <c r="S614" s="30" t="n"/>
      <c r="T614" s="30" t="n"/>
      <c r="U614" s="30" t="n"/>
      <c r="V614" s="30" t="n"/>
      <c r="W614" s="30" t="n"/>
      <c r="X614" s="30" t="n"/>
      <c r="Y614" s="30" t="n"/>
      <c r="Z614" s="30" t="n"/>
      <c r="AA614" s="30" t="n"/>
    </row>
    <row r="615">
      <c r="A615" s="30" t="n"/>
      <c r="B615" s="156" t="n"/>
      <c r="C615" s="30" t="n"/>
      <c r="D615" s="30" t="n"/>
      <c r="E615" s="30" t="n"/>
      <c r="F615" s="30" t="n"/>
      <c r="G615" s="30" t="n"/>
      <c r="H615" s="30" t="n"/>
      <c r="I615" s="30" t="n"/>
      <c r="J615" s="30" t="n"/>
      <c r="K615" s="30" t="n"/>
      <c r="L615" s="30" t="n"/>
      <c r="M615" s="30" t="n"/>
      <c r="N615" s="30" t="n"/>
      <c r="O615" s="30" t="n"/>
      <c r="P615" s="30" t="n"/>
      <c r="Q615" s="30" t="n"/>
      <c r="R615" s="30" t="n"/>
      <c r="S615" s="30" t="n"/>
      <c r="T615" s="30" t="n"/>
      <c r="U615" s="30" t="n"/>
      <c r="V615" s="30" t="n"/>
      <c r="W615" s="30" t="n"/>
      <c r="X615" s="30" t="n"/>
      <c r="Y615" s="30" t="n"/>
      <c r="Z615" s="30" t="n"/>
      <c r="AA615" s="30" t="n"/>
    </row>
    <row r="616">
      <c r="A616" s="30" t="n"/>
      <c r="B616" s="156" t="n"/>
      <c r="C616" s="30" t="n"/>
      <c r="D616" s="30" t="n"/>
      <c r="E616" s="30" t="n"/>
      <c r="F616" s="30" t="n"/>
      <c r="G616" s="30" t="n"/>
      <c r="H616" s="30" t="n"/>
      <c r="I616" s="30" t="n"/>
      <c r="J616" s="30" t="n"/>
      <c r="K616" s="30" t="n"/>
      <c r="L616" s="30" t="n"/>
      <c r="M616" s="30" t="n"/>
      <c r="N616" s="30" t="n"/>
      <c r="O616" s="30" t="n"/>
      <c r="P616" s="30" t="n"/>
      <c r="Q616" s="30" t="n"/>
      <c r="R616" s="30" t="n"/>
      <c r="S616" s="30" t="n"/>
      <c r="T616" s="30" t="n"/>
      <c r="U616" s="30" t="n"/>
      <c r="V616" s="30" t="n"/>
      <c r="W616" s="30" t="n"/>
      <c r="X616" s="30" t="n"/>
      <c r="Y616" s="30" t="n"/>
      <c r="Z616" s="30" t="n"/>
      <c r="AA616" s="30" t="n"/>
    </row>
    <row r="617">
      <c r="A617" s="30" t="n"/>
      <c r="B617" s="156" t="n"/>
      <c r="C617" s="30" t="n"/>
      <c r="D617" s="30" t="n"/>
      <c r="E617" s="30" t="n"/>
      <c r="F617" s="30" t="n"/>
      <c r="G617" s="30" t="n"/>
      <c r="H617" s="30" t="n"/>
      <c r="I617" s="30" t="n"/>
      <c r="J617" s="30" t="n"/>
      <c r="K617" s="30" t="n"/>
      <c r="L617" s="30" t="n"/>
      <c r="M617" s="30" t="n"/>
      <c r="N617" s="30" t="n"/>
      <c r="O617" s="30" t="n"/>
      <c r="P617" s="30" t="n"/>
      <c r="Q617" s="30" t="n"/>
      <c r="R617" s="30" t="n"/>
      <c r="S617" s="30" t="n"/>
      <c r="T617" s="30" t="n"/>
      <c r="U617" s="30" t="n"/>
      <c r="V617" s="30" t="n"/>
      <c r="W617" s="30" t="n"/>
      <c r="X617" s="30" t="n"/>
      <c r="Y617" s="30" t="n"/>
      <c r="Z617" s="30" t="n"/>
      <c r="AA617" s="30" t="n"/>
    </row>
    <row r="618">
      <c r="A618" s="30" t="n"/>
      <c r="B618" s="156" t="n"/>
      <c r="C618" s="30" t="n"/>
      <c r="D618" s="30" t="n"/>
      <c r="E618" s="30" t="n"/>
      <c r="F618" s="30" t="n"/>
      <c r="G618" s="30" t="n"/>
      <c r="H618" s="30" t="n"/>
      <c r="I618" s="30" t="n"/>
      <c r="J618" s="30" t="n"/>
      <c r="K618" s="30" t="n"/>
      <c r="L618" s="30" t="n"/>
      <c r="M618" s="30" t="n"/>
      <c r="N618" s="30" t="n"/>
      <c r="O618" s="30" t="n"/>
      <c r="P618" s="30" t="n"/>
      <c r="Q618" s="30" t="n"/>
      <c r="R618" s="30" t="n"/>
      <c r="S618" s="30" t="n"/>
      <c r="T618" s="30" t="n"/>
      <c r="U618" s="30" t="n"/>
      <c r="V618" s="30" t="n"/>
      <c r="W618" s="30" t="n"/>
      <c r="X618" s="30" t="n"/>
      <c r="Y618" s="30" t="n"/>
      <c r="Z618" s="30" t="n"/>
      <c r="AA618" s="30" t="n"/>
    </row>
    <row r="619">
      <c r="A619" s="30" t="n"/>
      <c r="B619" s="156" t="n"/>
      <c r="C619" s="30" t="n"/>
      <c r="D619" s="30" t="n"/>
      <c r="E619" s="30" t="n"/>
      <c r="F619" s="30" t="n"/>
      <c r="G619" s="30" t="n"/>
      <c r="H619" s="30" t="n"/>
      <c r="I619" s="30" t="n"/>
      <c r="J619" s="30" t="n"/>
      <c r="K619" s="30" t="n"/>
      <c r="L619" s="30" t="n"/>
      <c r="M619" s="30" t="n"/>
      <c r="N619" s="30" t="n"/>
      <c r="O619" s="30" t="n"/>
      <c r="P619" s="30" t="n"/>
      <c r="Q619" s="30" t="n"/>
      <c r="R619" s="30" t="n"/>
      <c r="S619" s="30" t="n"/>
      <c r="T619" s="30" t="n"/>
      <c r="U619" s="30" t="n"/>
      <c r="V619" s="30" t="n"/>
      <c r="W619" s="30" t="n"/>
      <c r="X619" s="30" t="n"/>
      <c r="Y619" s="30" t="n"/>
      <c r="Z619" s="30" t="n"/>
      <c r="AA619" s="30" t="n"/>
    </row>
    <row r="620">
      <c r="A620" s="30" t="n"/>
      <c r="B620" s="156" t="n"/>
      <c r="C620" s="30" t="n"/>
      <c r="D620" s="30" t="n"/>
      <c r="E620" s="30" t="n"/>
      <c r="F620" s="30" t="n"/>
      <c r="G620" s="30" t="n"/>
      <c r="H620" s="30" t="n"/>
      <c r="I620" s="30" t="n"/>
      <c r="J620" s="30" t="n"/>
      <c r="K620" s="30" t="n"/>
      <c r="L620" s="30" t="n"/>
      <c r="M620" s="30" t="n"/>
      <c r="N620" s="30" t="n"/>
      <c r="O620" s="30" t="n"/>
      <c r="P620" s="30" t="n"/>
      <c r="Q620" s="30" t="n"/>
      <c r="R620" s="30" t="n"/>
      <c r="S620" s="30" t="n"/>
      <c r="T620" s="30" t="n"/>
      <c r="U620" s="30" t="n"/>
      <c r="V620" s="30" t="n"/>
      <c r="W620" s="30" t="n"/>
      <c r="X620" s="30" t="n"/>
      <c r="Y620" s="30" t="n"/>
      <c r="Z620" s="30" t="n"/>
      <c r="AA620" s="30" t="n"/>
    </row>
    <row r="621">
      <c r="A621" s="30" t="n"/>
      <c r="B621" s="156" t="n"/>
      <c r="C621" s="30" t="n"/>
      <c r="D621" s="30" t="n"/>
      <c r="E621" s="30" t="n"/>
      <c r="F621" s="30" t="n"/>
      <c r="G621" s="30" t="n"/>
      <c r="H621" s="30" t="n"/>
      <c r="I621" s="30" t="n"/>
      <c r="J621" s="30" t="n"/>
      <c r="K621" s="30" t="n"/>
      <c r="L621" s="30" t="n"/>
      <c r="M621" s="30" t="n"/>
      <c r="N621" s="30" t="n"/>
      <c r="O621" s="30" t="n"/>
      <c r="P621" s="30" t="n"/>
      <c r="Q621" s="30" t="n"/>
      <c r="R621" s="30" t="n"/>
      <c r="S621" s="30" t="n"/>
      <c r="T621" s="30" t="n"/>
      <c r="U621" s="30" t="n"/>
      <c r="V621" s="30" t="n"/>
      <c r="W621" s="30" t="n"/>
      <c r="X621" s="30" t="n"/>
      <c r="Y621" s="30" t="n"/>
      <c r="Z621" s="30" t="n"/>
      <c r="AA621" s="30" t="n"/>
    </row>
    <row r="622">
      <c r="A622" s="30" t="n"/>
      <c r="B622" s="156" t="n"/>
      <c r="C622" s="30" t="n"/>
      <c r="D622" s="30" t="n"/>
      <c r="E622" s="30" t="n"/>
      <c r="F622" s="30" t="n"/>
      <c r="G622" s="30" t="n"/>
      <c r="H622" s="30" t="n"/>
      <c r="I622" s="30" t="n"/>
      <c r="J622" s="30" t="n"/>
      <c r="K622" s="30" t="n"/>
      <c r="L622" s="30" t="n"/>
      <c r="M622" s="30" t="n"/>
      <c r="N622" s="30" t="n"/>
      <c r="O622" s="30" t="n"/>
      <c r="P622" s="30" t="n"/>
      <c r="Q622" s="30" t="n"/>
      <c r="R622" s="30" t="n"/>
      <c r="S622" s="30" t="n"/>
      <c r="T622" s="30" t="n"/>
      <c r="U622" s="30" t="n"/>
      <c r="V622" s="30" t="n"/>
      <c r="W622" s="30" t="n"/>
      <c r="X622" s="30" t="n"/>
      <c r="Y622" s="30" t="n"/>
      <c r="Z622" s="30" t="n"/>
      <c r="AA622" s="30" t="n"/>
    </row>
    <row r="623">
      <c r="A623" s="30" t="n"/>
      <c r="B623" s="156" t="n"/>
      <c r="C623" s="30" t="n"/>
      <c r="D623" s="30" t="n"/>
      <c r="E623" s="30" t="n"/>
      <c r="F623" s="30" t="n"/>
      <c r="G623" s="30" t="n"/>
      <c r="H623" s="30" t="n"/>
      <c r="I623" s="30" t="n"/>
      <c r="J623" s="30" t="n"/>
      <c r="K623" s="30" t="n"/>
      <c r="L623" s="30" t="n"/>
      <c r="M623" s="30" t="n"/>
      <c r="N623" s="30" t="n"/>
      <c r="O623" s="30" t="n"/>
      <c r="P623" s="30" t="n"/>
      <c r="Q623" s="30" t="n"/>
      <c r="R623" s="30" t="n"/>
      <c r="S623" s="30" t="n"/>
      <c r="T623" s="30" t="n"/>
      <c r="U623" s="30" t="n"/>
      <c r="V623" s="30" t="n"/>
      <c r="W623" s="30" t="n"/>
      <c r="X623" s="30" t="n"/>
      <c r="Y623" s="30" t="n"/>
      <c r="Z623" s="30" t="n"/>
      <c r="AA623" s="30" t="n"/>
    </row>
    <row r="624">
      <c r="A624" s="30" t="n"/>
      <c r="B624" s="156" t="n"/>
      <c r="C624" s="30" t="n"/>
      <c r="D624" s="30" t="n"/>
      <c r="E624" s="30" t="n"/>
      <c r="F624" s="30" t="n"/>
      <c r="G624" s="30" t="n"/>
      <c r="H624" s="30" t="n"/>
      <c r="I624" s="30" t="n"/>
      <c r="J624" s="30" t="n"/>
      <c r="K624" s="30" t="n"/>
      <c r="L624" s="30" t="n"/>
      <c r="M624" s="30" t="n"/>
      <c r="N624" s="30" t="n"/>
      <c r="O624" s="30" t="n"/>
      <c r="P624" s="30" t="n"/>
      <c r="Q624" s="30" t="n"/>
      <c r="R624" s="30" t="n"/>
      <c r="S624" s="30" t="n"/>
      <c r="T624" s="30" t="n"/>
      <c r="U624" s="30" t="n"/>
      <c r="V624" s="30" t="n"/>
      <c r="W624" s="30" t="n"/>
      <c r="X624" s="30" t="n"/>
      <c r="Y624" s="30" t="n"/>
      <c r="Z624" s="30" t="n"/>
      <c r="AA624" s="30" t="n"/>
    </row>
    <row r="625">
      <c r="A625" s="30" t="n"/>
      <c r="B625" s="156" t="n"/>
      <c r="C625" s="30" t="n"/>
      <c r="D625" s="30" t="n"/>
      <c r="E625" s="30" t="n"/>
      <c r="F625" s="30" t="n"/>
      <c r="G625" s="30" t="n"/>
      <c r="H625" s="30" t="n"/>
      <c r="I625" s="30" t="n"/>
      <c r="J625" s="30" t="n"/>
      <c r="K625" s="30" t="n"/>
      <c r="L625" s="30" t="n"/>
      <c r="M625" s="30" t="n"/>
      <c r="N625" s="30" t="n"/>
      <c r="O625" s="30" t="n"/>
      <c r="P625" s="30" t="n"/>
      <c r="Q625" s="30" t="n"/>
      <c r="R625" s="30" t="n"/>
      <c r="S625" s="30" t="n"/>
      <c r="T625" s="30" t="n"/>
      <c r="U625" s="30" t="n"/>
      <c r="V625" s="30" t="n"/>
      <c r="W625" s="30" t="n"/>
      <c r="X625" s="30" t="n"/>
      <c r="Y625" s="30" t="n"/>
      <c r="Z625" s="30" t="n"/>
      <c r="AA625" s="30" t="n"/>
    </row>
    <row r="626">
      <c r="A626" s="30" t="n"/>
      <c r="B626" s="156" t="n"/>
      <c r="C626" s="30" t="n"/>
      <c r="D626" s="30" t="n"/>
      <c r="E626" s="30" t="n"/>
      <c r="F626" s="30" t="n"/>
      <c r="G626" s="30" t="n"/>
      <c r="H626" s="30" t="n"/>
      <c r="I626" s="30" t="n"/>
      <c r="J626" s="30" t="n"/>
      <c r="K626" s="30" t="n"/>
      <c r="L626" s="30" t="n"/>
      <c r="M626" s="30" t="n"/>
      <c r="N626" s="30" t="n"/>
      <c r="O626" s="30" t="n"/>
      <c r="P626" s="30" t="n"/>
      <c r="Q626" s="30" t="n"/>
      <c r="R626" s="30" t="n"/>
      <c r="S626" s="30" t="n"/>
      <c r="T626" s="30" t="n"/>
      <c r="U626" s="30" t="n"/>
      <c r="V626" s="30" t="n"/>
      <c r="W626" s="30" t="n"/>
      <c r="X626" s="30" t="n"/>
      <c r="Y626" s="30" t="n"/>
      <c r="Z626" s="30" t="n"/>
      <c r="AA626" s="30" t="n"/>
    </row>
    <row r="627">
      <c r="A627" s="30" t="n"/>
      <c r="B627" s="156" t="n"/>
      <c r="C627" s="30" t="n"/>
      <c r="D627" s="30" t="n"/>
      <c r="E627" s="30" t="n"/>
      <c r="F627" s="30" t="n"/>
      <c r="G627" s="30" t="n"/>
      <c r="H627" s="30" t="n"/>
      <c r="I627" s="30" t="n"/>
      <c r="J627" s="30" t="n"/>
      <c r="K627" s="30" t="n"/>
      <c r="L627" s="30" t="n"/>
      <c r="M627" s="30" t="n"/>
      <c r="N627" s="30" t="n"/>
      <c r="O627" s="30" t="n"/>
      <c r="P627" s="30" t="n"/>
      <c r="Q627" s="30" t="n"/>
      <c r="R627" s="30" t="n"/>
      <c r="S627" s="30" t="n"/>
      <c r="T627" s="30" t="n"/>
      <c r="U627" s="30" t="n"/>
      <c r="V627" s="30" t="n"/>
      <c r="W627" s="30" t="n"/>
      <c r="X627" s="30" t="n"/>
      <c r="Y627" s="30" t="n"/>
      <c r="Z627" s="30" t="n"/>
      <c r="AA627" s="30" t="n"/>
    </row>
    <row r="628">
      <c r="A628" s="30" t="n"/>
      <c r="B628" s="156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30" t="n"/>
      <c r="L628" s="30" t="n"/>
      <c r="M628" s="30" t="n"/>
      <c r="N628" s="30" t="n"/>
      <c r="O628" s="30" t="n"/>
      <c r="P628" s="30" t="n"/>
      <c r="Q628" s="30" t="n"/>
      <c r="R628" s="30" t="n"/>
      <c r="S628" s="30" t="n"/>
      <c r="T628" s="30" t="n"/>
      <c r="U628" s="30" t="n"/>
      <c r="V628" s="30" t="n"/>
      <c r="W628" s="30" t="n"/>
      <c r="X628" s="30" t="n"/>
      <c r="Y628" s="30" t="n"/>
      <c r="Z628" s="30" t="n"/>
      <c r="AA628" s="30" t="n"/>
    </row>
    <row r="629">
      <c r="A629" s="30" t="n"/>
      <c r="B629" s="156" t="n"/>
      <c r="C629" s="30" t="n"/>
      <c r="D629" s="30" t="n"/>
      <c r="E629" s="30" t="n"/>
      <c r="F629" s="30" t="n"/>
      <c r="G629" s="30" t="n"/>
      <c r="H629" s="30" t="n"/>
      <c r="I629" s="30" t="n"/>
      <c r="J629" s="30" t="n"/>
      <c r="K629" s="30" t="n"/>
      <c r="L629" s="30" t="n"/>
      <c r="M629" s="30" t="n"/>
      <c r="N629" s="30" t="n"/>
      <c r="O629" s="30" t="n"/>
      <c r="P629" s="30" t="n"/>
      <c r="Q629" s="30" t="n"/>
      <c r="R629" s="30" t="n"/>
      <c r="S629" s="30" t="n"/>
      <c r="T629" s="30" t="n"/>
      <c r="U629" s="30" t="n"/>
      <c r="V629" s="30" t="n"/>
      <c r="W629" s="30" t="n"/>
      <c r="X629" s="30" t="n"/>
      <c r="Y629" s="30" t="n"/>
      <c r="Z629" s="30" t="n"/>
      <c r="AA629" s="30" t="n"/>
    </row>
    <row r="630">
      <c r="A630" s="30" t="n"/>
      <c r="B630" s="156" t="n"/>
      <c r="C630" s="30" t="n"/>
      <c r="D630" s="30" t="n"/>
      <c r="E630" s="30" t="n"/>
      <c r="F630" s="30" t="n"/>
      <c r="G630" s="30" t="n"/>
      <c r="H630" s="30" t="n"/>
      <c r="I630" s="30" t="n"/>
      <c r="J630" s="30" t="n"/>
      <c r="K630" s="30" t="n"/>
      <c r="L630" s="30" t="n"/>
      <c r="M630" s="30" t="n"/>
      <c r="N630" s="30" t="n"/>
      <c r="O630" s="30" t="n"/>
      <c r="P630" s="30" t="n"/>
      <c r="Q630" s="30" t="n"/>
      <c r="R630" s="30" t="n"/>
      <c r="S630" s="30" t="n"/>
      <c r="T630" s="30" t="n"/>
      <c r="U630" s="30" t="n"/>
      <c r="V630" s="30" t="n"/>
      <c r="W630" s="30" t="n"/>
      <c r="X630" s="30" t="n"/>
      <c r="Y630" s="30" t="n"/>
      <c r="Z630" s="30" t="n"/>
      <c r="AA630" s="30" t="n"/>
    </row>
    <row r="631">
      <c r="A631" s="30" t="n"/>
      <c r="B631" s="156" t="n"/>
      <c r="C631" s="30" t="n"/>
      <c r="D631" s="30" t="n"/>
      <c r="E631" s="30" t="n"/>
      <c r="F631" s="30" t="n"/>
      <c r="G631" s="30" t="n"/>
      <c r="H631" s="30" t="n"/>
      <c r="I631" s="30" t="n"/>
      <c r="J631" s="30" t="n"/>
      <c r="K631" s="30" t="n"/>
      <c r="L631" s="30" t="n"/>
      <c r="M631" s="30" t="n"/>
      <c r="N631" s="30" t="n"/>
      <c r="O631" s="30" t="n"/>
      <c r="P631" s="30" t="n"/>
      <c r="Q631" s="30" t="n"/>
      <c r="R631" s="30" t="n"/>
      <c r="S631" s="30" t="n"/>
      <c r="T631" s="30" t="n"/>
      <c r="U631" s="30" t="n"/>
      <c r="V631" s="30" t="n"/>
      <c r="W631" s="30" t="n"/>
      <c r="X631" s="30" t="n"/>
      <c r="Y631" s="30" t="n"/>
      <c r="Z631" s="30" t="n"/>
      <c r="AA631" s="30" t="n"/>
    </row>
    <row r="632">
      <c r="A632" s="30" t="n"/>
      <c r="B632" s="156" t="n"/>
      <c r="C632" s="30" t="n"/>
      <c r="D632" s="30" t="n"/>
      <c r="E632" s="30" t="n"/>
      <c r="F632" s="30" t="n"/>
      <c r="G632" s="30" t="n"/>
      <c r="H632" s="30" t="n"/>
      <c r="I632" s="30" t="n"/>
      <c r="J632" s="30" t="n"/>
      <c r="K632" s="30" t="n"/>
      <c r="L632" s="30" t="n"/>
      <c r="M632" s="30" t="n"/>
      <c r="N632" s="30" t="n"/>
      <c r="O632" s="30" t="n"/>
      <c r="P632" s="30" t="n"/>
      <c r="Q632" s="30" t="n"/>
      <c r="R632" s="30" t="n"/>
      <c r="S632" s="30" t="n"/>
      <c r="T632" s="30" t="n"/>
      <c r="U632" s="30" t="n"/>
      <c r="V632" s="30" t="n"/>
      <c r="W632" s="30" t="n"/>
      <c r="X632" s="30" t="n"/>
      <c r="Y632" s="30" t="n"/>
      <c r="Z632" s="30" t="n"/>
      <c r="AA632" s="30" t="n"/>
    </row>
    <row r="633">
      <c r="A633" s="30" t="n"/>
      <c r="B633" s="156" t="n"/>
      <c r="C633" s="30" t="n"/>
      <c r="D633" s="30" t="n"/>
      <c r="E633" s="30" t="n"/>
      <c r="F633" s="30" t="n"/>
      <c r="G633" s="30" t="n"/>
      <c r="H633" s="30" t="n"/>
      <c r="I633" s="30" t="n"/>
      <c r="J633" s="30" t="n"/>
      <c r="K633" s="30" t="n"/>
      <c r="L633" s="30" t="n"/>
      <c r="M633" s="30" t="n"/>
      <c r="N633" s="30" t="n"/>
      <c r="O633" s="30" t="n"/>
      <c r="P633" s="30" t="n"/>
      <c r="Q633" s="30" t="n"/>
      <c r="R633" s="30" t="n"/>
      <c r="S633" s="30" t="n"/>
      <c r="T633" s="30" t="n"/>
      <c r="U633" s="30" t="n"/>
      <c r="V633" s="30" t="n"/>
      <c r="W633" s="30" t="n"/>
      <c r="X633" s="30" t="n"/>
      <c r="Y633" s="30" t="n"/>
      <c r="Z633" s="30" t="n"/>
      <c r="AA633" s="30" t="n"/>
    </row>
    <row r="634">
      <c r="A634" s="30" t="n"/>
      <c r="B634" s="156" t="n"/>
      <c r="C634" s="30" t="n"/>
      <c r="D634" s="30" t="n"/>
      <c r="E634" s="30" t="n"/>
      <c r="F634" s="30" t="n"/>
      <c r="G634" s="30" t="n"/>
      <c r="H634" s="30" t="n"/>
      <c r="I634" s="30" t="n"/>
      <c r="J634" s="30" t="n"/>
      <c r="K634" s="30" t="n"/>
      <c r="L634" s="30" t="n"/>
      <c r="M634" s="30" t="n"/>
      <c r="N634" s="30" t="n"/>
      <c r="O634" s="30" t="n"/>
      <c r="P634" s="30" t="n"/>
      <c r="Q634" s="30" t="n"/>
      <c r="R634" s="30" t="n"/>
      <c r="S634" s="30" t="n"/>
      <c r="T634" s="30" t="n"/>
      <c r="U634" s="30" t="n"/>
      <c r="V634" s="30" t="n"/>
      <c r="W634" s="30" t="n"/>
      <c r="X634" s="30" t="n"/>
      <c r="Y634" s="30" t="n"/>
      <c r="Z634" s="30" t="n"/>
      <c r="AA634" s="30" t="n"/>
    </row>
    <row r="635">
      <c r="A635" s="30" t="n"/>
      <c r="B635" s="156" t="n"/>
      <c r="C635" s="30" t="n"/>
      <c r="D635" s="30" t="n"/>
      <c r="E635" s="30" t="n"/>
      <c r="F635" s="30" t="n"/>
      <c r="G635" s="30" t="n"/>
      <c r="H635" s="30" t="n"/>
      <c r="I635" s="30" t="n"/>
      <c r="J635" s="30" t="n"/>
      <c r="K635" s="30" t="n"/>
      <c r="L635" s="30" t="n"/>
      <c r="M635" s="30" t="n"/>
      <c r="N635" s="30" t="n"/>
      <c r="O635" s="30" t="n"/>
      <c r="P635" s="30" t="n"/>
      <c r="Q635" s="30" t="n"/>
      <c r="R635" s="30" t="n"/>
      <c r="S635" s="30" t="n"/>
      <c r="T635" s="30" t="n"/>
      <c r="U635" s="30" t="n"/>
      <c r="V635" s="30" t="n"/>
      <c r="W635" s="30" t="n"/>
      <c r="X635" s="30" t="n"/>
      <c r="Y635" s="30" t="n"/>
      <c r="Z635" s="30" t="n"/>
      <c r="AA635" s="30" t="n"/>
    </row>
    <row r="636">
      <c r="A636" s="30" t="n"/>
      <c r="B636" s="156" t="n"/>
      <c r="C636" s="30" t="n"/>
      <c r="D636" s="30" t="n"/>
      <c r="E636" s="30" t="n"/>
      <c r="F636" s="30" t="n"/>
      <c r="G636" s="30" t="n"/>
      <c r="H636" s="30" t="n"/>
      <c r="I636" s="30" t="n"/>
      <c r="J636" s="30" t="n"/>
      <c r="K636" s="30" t="n"/>
      <c r="L636" s="30" t="n"/>
      <c r="M636" s="30" t="n"/>
      <c r="N636" s="30" t="n"/>
      <c r="O636" s="30" t="n"/>
      <c r="P636" s="30" t="n"/>
      <c r="Q636" s="30" t="n"/>
      <c r="R636" s="30" t="n"/>
      <c r="S636" s="30" t="n"/>
      <c r="T636" s="30" t="n"/>
      <c r="U636" s="30" t="n"/>
      <c r="V636" s="30" t="n"/>
      <c r="W636" s="30" t="n"/>
      <c r="X636" s="30" t="n"/>
      <c r="Y636" s="30" t="n"/>
      <c r="Z636" s="30" t="n"/>
      <c r="AA636" s="30" t="n"/>
    </row>
    <row r="637">
      <c r="A637" s="30" t="n"/>
      <c r="B637" s="156" t="n"/>
      <c r="C637" s="30" t="n"/>
      <c r="D637" s="30" t="n"/>
      <c r="E637" s="30" t="n"/>
      <c r="F637" s="30" t="n"/>
      <c r="G637" s="30" t="n"/>
      <c r="H637" s="30" t="n"/>
      <c r="I637" s="30" t="n"/>
      <c r="J637" s="30" t="n"/>
      <c r="K637" s="30" t="n"/>
      <c r="L637" s="30" t="n"/>
      <c r="M637" s="30" t="n"/>
      <c r="N637" s="30" t="n"/>
      <c r="O637" s="30" t="n"/>
      <c r="P637" s="30" t="n"/>
      <c r="Q637" s="30" t="n"/>
      <c r="R637" s="30" t="n"/>
      <c r="S637" s="30" t="n"/>
      <c r="T637" s="30" t="n"/>
      <c r="U637" s="30" t="n"/>
      <c r="V637" s="30" t="n"/>
      <c r="W637" s="30" t="n"/>
      <c r="X637" s="30" t="n"/>
      <c r="Y637" s="30" t="n"/>
      <c r="Z637" s="30" t="n"/>
      <c r="AA637" s="30" t="n"/>
    </row>
    <row r="638">
      <c r="A638" s="30" t="n"/>
      <c r="B638" s="156" t="n"/>
      <c r="C638" s="30" t="n"/>
      <c r="D638" s="30" t="n"/>
      <c r="E638" s="30" t="n"/>
      <c r="F638" s="30" t="n"/>
      <c r="G638" s="30" t="n"/>
      <c r="H638" s="30" t="n"/>
      <c r="I638" s="30" t="n"/>
      <c r="J638" s="30" t="n"/>
      <c r="K638" s="30" t="n"/>
      <c r="L638" s="30" t="n"/>
      <c r="M638" s="30" t="n"/>
      <c r="N638" s="30" t="n"/>
      <c r="O638" s="30" t="n"/>
      <c r="P638" s="30" t="n"/>
      <c r="Q638" s="30" t="n"/>
      <c r="R638" s="30" t="n"/>
      <c r="S638" s="30" t="n"/>
      <c r="T638" s="30" t="n"/>
      <c r="U638" s="30" t="n"/>
      <c r="V638" s="30" t="n"/>
      <c r="W638" s="30" t="n"/>
      <c r="X638" s="30" t="n"/>
      <c r="Y638" s="30" t="n"/>
      <c r="Z638" s="30" t="n"/>
      <c r="AA638" s="30" t="n"/>
    </row>
    <row r="639">
      <c r="A639" s="30" t="n"/>
      <c r="B639" s="156" t="n"/>
      <c r="C639" s="30" t="n"/>
      <c r="D639" s="30" t="n"/>
      <c r="E639" s="30" t="n"/>
      <c r="F639" s="30" t="n"/>
      <c r="G639" s="30" t="n"/>
      <c r="H639" s="30" t="n"/>
      <c r="I639" s="30" t="n"/>
      <c r="J639" s="30" t="n"/>
      <c r="K639" s="30" t="n"/>
      <c r="L639" s="30" t="n"/>
      <c r="M639" s="30" t="n"/>
      <c r="N639" s="30" t="n"/>
      <c r="O639" s="30" t="n"/>
      <c r="P639" s="30" t="n"/>
      <c r="Q639" s="30" t="n"/>
      <c r="R639" s="30" t="n"/>
      <c r="S639" s="30" t="n"/>
      <c r="T639" s="30" t="n"/>
      <c r="U639" s="30" t="n"/>
      <c r="V639" s="30" t="n"/>
      <c r="W639" s="30" t="n"/>
      <c r="X639" s="30" t="n"/>
      <c r="Y639" s="30" t="n"/>
      <c r="Z639" s="30" t="n"/>
      <c r="AA639" s="30" t="n"/>
    </row>
    <row r="640">
      <c r="A640" s="30" t="n"/>
      <c r="B640" s="156" t="n"/>
      <c r="C640" s="30" t="n"/>
      <c r="D640" s="30" t="n"/>
      <c r="E640" s="30" t="n"/>
      <c r="F640" s="30" t="n"/>
      <c r="G640" s="30" t="n"/>
      <c r="H640" s="30" t="n"/>
      <c r="I640" s="30" t="n"/>
      <c r="J640" s="30" t="n"/>
      <c r="K640" s="30" t="n"/>
      <c r="L640" s="30" t="n"/>
      <c r="M640" s="30" t="n"/>
      <c r="N640" s="30" t="n"/>
      <c r="O640" s="30" t="n"/>
      <c r="P640" s="30" t="n"/>
      <c r="Q640" s="30" t="n"/>
      <c r="R640" s="30" t="n"/>
      <c r="S640" s="30" t="n"/>
      <c r="T640" s="30" t="n"/>
      <c r="U640" s="30" t="n"/>
      <c r="V640" s="30" t="n"/>
      <c r="W640" s="30" t="n"/>
      <c r="X640" s="30" t="n"/>
      <c r="Y640" s="30" t="n"/>
      <c r="Z640" s="30" t="n"/>
      <c r="AA640" s="30" t="n"/>
    </row>
    <row r="641">
      <c r="A641" s="30" t="n"/>
      <c r="B641" s="156" t="n"/>
      <c r="C641" s="30" t="n"/>
      <c r="D641" s="30" t="n"/>
      <c r="E641" s="30" t="n"/>
      <c r="F641" s="30" t="n"/>
      <c r="G641" s="30" t="n"/>
      <c r="H641" s="30" t="n"/>
      <c r="I641" s="30" t="n"/>
      <c r="J641" s="30" t="n"/>
      <c r="K641" s="30" t="n"/>
      <c r="L641" s="30" t="n"/>
      <c r="M641" s="30" t="n"/>
      <c r="N641" s="30" t="n"/>
      <c r="O641" s="30" t="n"/>
      <c r="P641" s="30" t="n"/>
      <c r="Q641" s="30" t="n"/>
      <c r="R641" s="30" t="n"/>
      <c r="S641" s="30" t="n"/>
      <c r="T641" s="30" t="n"/>
      <c r="U641" s="30" t="n"/>
      <c r="V641" s="30" t="n"/>
      <c r="W641" s="30" t="n"/>
      <c r="X641" s="30" t="n"/>
      <c r="Y641" s="30" t="n"/>
      <c r="Z641" s="30" t="n"/>
      <c r="AA641" s="30" t="n"/>
    </row>
    <row r="642">
      <c r="A642" s="30" t="n"/>
      <c r="B642" s="156" t="n"/>
      <c r="C642" s="30" t="n"/>
      <c r="D642" s="30" t="n"/>
      <c r="E642" s="30" t="n"/>
      <c r="F642" s="30" t="n"/>
      <c r="G642" s="30" t="n"/>
      <c r="H642" s="30" t="n"/>
      <c r="I642" s="30" t="n"/>
      <c r="J642" s="30" t="n"/>
      <c r="K642" s="30" t="n"/>
      <c r="L642" s="30" t="n"/>
      <c r="M642" s="30" t="n"/>
      <c r="N642" s="30" t="n"/>
      <c r="O642" s="30" t="n"/>
      <c r="P642" s="30" t="n"/>
      <c r="Q642" s="30" t="n"/>
      <c r="R642" s="30" t="n"/>
      <c r="S642" s="30" t="n"/>
      <c r="T642" s="30" t="n"/>
      <c r="U642" s="30" t="n"/>
      <c r="V642" s="30" t="n"/>
      <c r="W642" s="30" t="n"/>
      <c r="X642" s="30" t="n"/>
      <c r="Y642" s="30" t="n"/>
      <c r="Z642" s="30" t="n"/>
      <c r="AA642" s="30" t="n"/>
    </row>
    <row r="643">
      <c r="A643" s="30" t="n"/>
      <c r="B643" s="156" t="n"/>
      <c r="C643" s="30" t="n"/>
      <c r="D643" s="30" t="n"/>
      <c r="E643" s="30" t="n"/>
      <c r="F643" s="30" t="n"/>
      <c r="G643" s="30" t="n"/>
      <c r="H643" s="30" t="n"/>
      <c r="I643" s="30" t="n"/>
      <c r="J643" s="30" t="n"/>
      <c r="K643" s="30" t="n"/>
      <c r="L643" s="30" t="n"/>
      <c r="M643" s="30" t="n"/>
      <c r="N643" s="30" t="n"/>
      <c r="O643" s="30" t="n"/>
      <c r="P643" s="30" t="n"/>
      <c r="Q643" s="30" t="n"/>
      <c r="R643" s="30" t="n"/>
      <c r="S643" s="30" t="n"/>
      <c r="T643" s="30" t="n"/>
      <c r="U643" s="30" t="n"/>
      <c r="V643" s="30" t="n"/>
      <c r="W643" s="30" t="n"/>
      <c r="X643" s="30" t="n"/>
      <c r="Y643" s="30" t="n"/>
      <c r="Z643" s="30" t="n"/>
      <c r="AA643" s="30" t="n"/>
    </row>
    <row r="644">
      <c r="A644" s="30" t="n"/>
      <c r="B644" s="156" t="n"/>
      <c r="C644" s="30" t="n"/>
      <c r="D644" s="30" t="n"/>
      <c r="E644" s="30" t="n"/>
      <c r="F644" s="30" t="n"/>
      <c r="G644" s="30" t="n"/>
      <c r="H644" s="30" t="n"/>
      <c r="I644" s="30" t="n"/>
      <c r="J644" s="30" t="n"/>
      <c r="K644" s="30" t="n"/>
      <c r="L644" s="30" t="n"/>
      <c r="M644" s="30" t="n"/>
      <c r="N644" s="30" t="n"/>
      <c r="O644" s="30" t="n"/>
      <c r="P644" s="30" t="n"/>
      <c r="Q644" s="30" t="n"/>
      <c r="R644" s="30" t="n"/>
      <c r="S644" s="30" t="n"/>
      <c r="T644" s="30" t="n"/>
      <c r="U644" s="30" t="n"/>
      <c r="V644" s="30" t="n"/>
      <c r="W644" s="30" t="n"/>
      <c r="X644" s="30" t="n"/>
      <c r="Y644" s="30" t="n"/>
      <c r="Z644" s="30" t="n"/>
      <c r="AA644" s="30" t="n"/>
    </row>
    <row r="645">
      <c r="A645" s="30" t="n"/>
      <c r="B645" s="156" t="n"/>
      <c r="C645" s="30" t="n"/>
      <c r="D645" s="30" t="n"/>
      <c r="E645" s="30" t="n"/>
      <c r="F645" s="30" t="n"/>
      <c r="G645" s="30" t="n"/>
      <c r="H645" s="30" t="n"/>
      <c r="I645" s="30" t="n"/>
      <c r="J645" s="30" t="n"/>
      <c r="K645" s="30" t="n"/>
      <c r="L645" s="30" t="n"/>
      <c r="M645" s="30" t="n"/>
      <c r="N645" s="30" t="n"/>
      <c r="O645" s="30" t="n"/>
      <c r="P645" s="30" t="n"/>
      <c r="Q645" s="30" t="n"/>
      <c r="R645" s="30" t="n"/>
      <c r="S645" s="30" t="n"/>
      <c r="T645" s="30" t="n"/>
      <c r="U645" s="30" t="n"/>
      <c r="V645" s="30" t="n"/>
      <c r="W645" s="30" t="n"/>
      <c r="X645" s="30" t="n"/>
      <c r="Y645" s="30" t="n"/>
      <c r="Z645" s="30" t="n"/>
      <c r="AA645" s="30" t="n"/>
    </row>
    <row r="646">
      <c r="A646" s="30" t="n"/>
      <c r="B646" s="156" t="n"/>
      <c r="C646" s="30" t="n"/>
      <c r="D646" s="30" t="n"/>
      <c r="E646" s="30" t="n"/>
      <c r="F646" s="30" t="n"/>
      <c r="G646" s="30" t="n"/>
      <c r="H646" s="30" t="n"/>
      <c r="I646" s="30" t="n"/>
      <c r="J646" s="30" t="n"/>
      <c r="K646" s="30" t="n"/>
      <c r="L646" s="30" t="n"/>
      <c r="M646" s="30" t="n"/>
      <c r="N646" s="30" t="n"/>
      <c r="O646" s="30" t="n"/>
      <c r="P646" s="30" t="n"/>
      <c r="Q646" s="30" t="n"/>
      <c r="R646" s="30" t="n"/>
      <c r="S646" s="30" t="n"/>
      <c r="T646" s="30" t="n"/>
      <c r="U646" s="30" t="n"/>
      <c r="V646" s="30" t="n"/>
      <c r="W646" s="30" t="n"/>
      <c r="X646" s="30" t="n"/>
      <c r="Y646" s="30" t="n"/>
      <c r="Z646" s="30" t="n"/>
      <c r="AA646" s="30" t="n"/>
    </row>
    <row r="647">
      <c r="A647" s="30" t="n"/>
      <c r="B647" s="156" t="n"/>
      <c r="C647" s="30" t="n"/>
      <c r="D647" s="30" t="n"/>
      <c r="E647" s="30" t="n"/>
      <c r="F647" s="30" t="n"/>
      <c r="G647" s="30" t="n"/>
      <c r="H647" s="30" t="n"/>
      <c r="I647" s="30" t="n"/>
      <c r="J647" s="30" t="n"/>
      <c r="K647" s="30" t="n"/>
      <c r="L647" s="30" t="n"/>
      <c r="M647" s="30" t="n"/>
      <c r="N647" s="30" t="n"/>
      <c r="O647" s="30" t="n"/>
      <c r="P647" s="30" t="n"/>
      <c r="Q647" s="30" t="n"/>
      <c r="R647" s="30" t="n"/>
      <c r="S647" s="30" t="n"/>
      <c r="T647" s="30" t="n"/>
      <c r="U647" s="30" t="n"/>
      <c r="V647" s="30" t="n"/>
      <c r="W647" s="30" t="n"/>
      <c r="X647" s="30" t="n"/>
      <c r="Y647" s="30" t="n"/>
      <c r="Z647" s="30" t="n"/>
      <c r="AA647" s="30" t="n"/>
    </row>
    <row r="648">
      <c r="A648" s="30" t="n"/>
      <c r="B648" s="156" t="n"/>
      <c r="C648" s="30" t="n"/>
      <c r="D648" s="30" t="n"/>
      <c r="E648" s="30" t="n"/>
      <c r="F648" s="30" t="n"/>
      <c r="G648" s="30" t="n"/>
      <c r="H648" s="30" t="n"/>
      <c r="I648" s="30" t="n"/>
      <c r="J648" s="30" t="n"/>
      <c r="K648" s="30" t="n"/>
      <c r="L648" s="30" t="n"/>
      <c r="M648" s="30" t="n"/>
      <c r="N648" s="30" t="n"/>
      <c r="O648" s="30" t="n"/>
      <c r="P648" s="30" t="n"/>
      <c r="Q648" s="30" t="n"/>
      <c r="R648" s="30" t="n"/>
      <c r="S648" s="30" t="n"/>
      <c r="T648" s="30" t="n"/>
      <c r="U648" s="30" t="n"/>
      <c r="V648" s="30" t="n"/>
      <c r="W648" s="30" t="n"/>
      <c r="X648" s="30" t="n"/>
      <c r="Y648" s="30" t="n"/>
      <c r="Z648" s="30" t="n"/>
      <c r="AA648" s="30" t="n"/>
    </row>
    <row r="649">
      <c r="A649" s="30" t="n"/>
      <c r="B649" s="156" t="n"/>
      <c r="C649" s="30" t="n"/>
      <c r="D649" s="30" t="n"/>
      <c r="E649" s="30" t="n"/>
      <c r="F649" s="30" t="n"/>
      <c r="G649" s="30" t="n"/>
      <c r="H649" s="30" t="n"/>
      <c r="I649" s="30" t="n"/>
      <c r="J649" s="30" t="n"/>
      <c r="K649" s="30" t="n"/>
      <c r="L649" s="30" t="n"/>
      <c r="M649" s="30" t="n"/>
      <c r="N649" s="30" t="n"/>
      <c r="O649" s="30" t="n"/>
      <c r="P649" s="30" t="n"/>
      <c r="Q649" s="30" t="n"/>
      <c r="R649" s="30" t="n"/>
      <c r="S649" s="30" t="n"/>
      <c r="T649" s="30" t="n"/>
      <c r="U649" s="30" t="n"/>
      <c r="V649" s="30" t="n"/>
      <c r="W649" s="30" t="n"/>
      <c r="X649" s="30" t="n"/>
      <c r="Y649" s="30" t="n"/>
      <c r="Z649" s="30" t="n"/>
      <c r="AA649" s="30" t="n"/>
    </row>
    <row r="650">
      <c r="A650" s="30" t="n"/>
      <c r="B650" s="156" t="n"/>
      <c r="C650" s="30" t="n"/>
      <c r="D650" s="30" t="n"/>
      <c r="E650" s="30" t="n"/>
      <c r="F650" s="30" t="n"/>
      <c r="G650" s="30" t="n"/>
      <c r="H650" s="30" t="n"/>
      <c r="I650" s="30" t="n"/>
      <c r="J650" s="30" t="n"/>
      <c r="K650" s="30" t="n"/>
      <c r="L650" s="30" t="n"/>
      <c r="M650" s="30" t="n"/>
      <c r="N650" s="30" t="n"/>
      <c r="O650" s="30" t="n"/>
      <c r="P650" s="30" t="n"/>
      <c r="Q650" s="30" t="n"/>
      <c r="R650" s="30" t="n"/>
      <c r="S650" s="30" t="n"/>
      <c r="T650" s="30" t="n"/>
      <c r="U650" s="30" t="n"/>
      <c r="V650" s="30" t="n"/>
      <c r="W650" s="30" t="n"/>
      <c r="X650" s="30" t="n"/>
      <c r="Y650" s="30" t="n"/>
      <c r="Z650" s="30" t="n"/>
      <c r="AA650" s="30" t="n"/>
    </row>
    <row r="651">
      <c r="A651" s="30" t="n"/>
      <c r="B651" s="156" t="n"/>
      <c r="C651" s="30" t="n"/>
      <c r="D651" s="30" t="n"/>
      <c r="E651" s="30" t="n"/>
      <c r="F651" s="30" t="n"/>
      <c r="G651" s="30" t="n"/>
      <c r="H651" s="30" t="n"/>
      <c r="I651" s="30" t="n"/>
      <c r="J651" s="30" t="n"/>
      <c r="K651" s="30" t="n"/>
      <c r="L651" s="30" t="n"/>
      <c r="M651" s="30" t="n"/>
      <c r="N651" s="30" t="n"/>
      <c r="O651" s="30" t="n"/>
      <c r="P651" s="30" t="n"/>
      <c r="Q651" s="30" t="n"/>
      <c r="R651" s="30" t="n"/>
      <c r="S651" s="30" t="n"/>
      <c r="T651" s="30" t="n"/>
      <c r="U651" s="30" t="n"/>
      <c r="V651" s="30" t="n"/>
      <c r="W651" s="30" t="n"/>
      <c r="X651" s="30" t="n"/>
      <c r="Y651" s="30" t="n"/>
      <c r="Z651" s="30" t="n"/>
      <c r="AA651" s="30" t="n"/>
    </row>
    <row r="652">
      <c r="A652" s="30" t="n"/>
      <c r="B652" s="156" t="n"/>
      <c r="C652" s="30" t="n"/>
      <c r="D652" s="30" t="n"/>
      <c r="E652" s="30" t="n"/>
      <c r="F652" s="30" t="n"/>
      <c r="G652" s="30" t="n"/>
      <c r="H652" s="30" t="n"/>
      <c r="I652" s="30" t="n"/>
      <c r="J652" s="30" t="n"/>
      <c r="K652" s="30" t="n"/>
      <c r="L652" s="30" t="n"/>
      <c r="M652" s="30" t="n"/>
      <c r="N652" s="30" t="n"/>
      <c r="O652" s="30" t="n"/>
      <c r="P652" s="30" t="n"/>
      <c r="Q652" s="30" t="n"/>
      <c r="R652" s="30" t="n"/>
      <c r="S652" s="30" t="n"/>
      <c r="T652" s="30" t="n"/>
      <c r="U652" s="30" t="n"/>
      <c r="V652" s="30" t="n"/>
      <c r="W652" s="30" t="n"/>
      <c r="X652" s="30" t="n"/>
      <c r="Y652" s="30" t="n"/>
      <c r="Z652" s="30" t="n"/>
      <c r="AA652" s="30" t="n"/>
    </row>
    <row r="653">
      <c r="A653" s="30" t="n"/>
      <c r="B653" s="156" t="n"/>
      <c r="C653" s="30" t="n"/>
      <c r="D653" s="30" t="n"/>
      <c r="E653" s="30" t="n"/>
      <c r="F653" s="30" t="n"/>
      <c r="G653" s="30" t="n"/>
      <c r="H653" s="30" t="n"/>
      <c r="I653" s="30" t="n"/>
      <c r="J653" s="30" t="n"/>
      <c r="K653" s="30" t="n"/>
      <c r="L653" s="30" t="n"/>
      <c r="M653" s="30" t="n"/>
      <c r="N653" s="30" t="n"/>
      <c r="O653" s="30" t="n"/>
      <c r="P653" s="30" t="n"/>
      <c r="Q653" s="30" t="n"/>
      <c r="R653" s="30" t="n"/>
      <c r="S653" s="30" t="n"/>
      <c r="T653" s="30" t="n"/>
      <c r="U653" s="30" t="n"/>
      <c r="V653" s="30" t="n"/>
      <c r="W653" s="30" t="n"/>
      <c r="X653" s="30" t="n"/>
      <c r="Y653" s="30" t="n"/>
      <c r="Z653" s="30" t="n"/>
      <c r="AA653" s="30" t="n"/>
    </row>
    <row r="654">
      <c r="A654" s="30" t="n"/>
      <c r="B654" s="156" t="n"/>
      <c r="C654" s="30" t="n"/>
      <c r="D654" s="30" t="n"/>
      <c r="E654" s="30" t="n"/>
      <c r="F654" s="30" t="n"/>
      <c r="G654" s="30" t="n"/>
      <c r="H654" s="30" t="n"/>
      <c r="I654" s="30" t="n"/>
      <c r="J654" s="30" t="n"/>
      <c r="K654" s="30" t="n"/>
      <c r="L654" s="30" t="n"/>
      <c r="M654" s="30" t="n"/>
      <c r="N654" s="30" t="n"/>
      <c r="O654" s="30" t="n"/>
      <c r="P654" s="30" t="n"/>
      <c r="Q654" s="30" t="n"/>
      <c r="R654" s="30" t="n"/>
      <c r="S654" s="30" t="n"/>
      <c r="T654" s="30" t="n"/>
      <c r="U654" s="30" t="n"/>
      <c r="V654" s="30" t="n"/>
      <c r="W654" s="30" t="n"/>
      <c r="X654" s="30" t="n"/>
      <c r="Y654" s="30" t="n"/>
      <c r="Z654" s="30" t="n"/>
      <c r="AA654" s="30" t="n"/>
    </row>
    <row r="655">
      <c r="A655" s="30" t="n"/>
      <c r="B655" s="156" t="n"/>
      <c r="C655" s="30" t="n"/>
      <c r="D655" s="30" t="n"/>
      <c r="E655" s="30" t="n"/>
      <c r="F655" s="30" t="n"/>
      <c r="G655" s="30" t="n"/>
      <c r="H655" s="30" t="n"/>
      <c r="I655" s="30" t="n"/>
      <c r="J655" s="30" t="n"/>
      <c r="K655" s="30" t="n"/>
      <c r="L655" s="30" t="n"/>
      <c r="M655" s="30" t="n"/>
      <c r="N655" s="30" t="n"/>
      <c r="O655" s="30" t="n"/>
      <c r="P655" s="30" t="n"/>
      <c r="Q655" s="30" t="n"/>
      <c r="R655" s="30" t="n"/>
      <c r="S655" s="30" t="n"/>
      <c r="T655" s="30" t="n"/>
      <c r="U655" s="30" t="n"/>
      <c r="V655" s="30" t="n"/>
      <c r="W655" s="30" t="n"/>
      <c r="X655" s="30" t="n"/>
      <c r="Y655" s="30" t="n"/>
      <c r="Z655" s="30" t="n"/>
      <c r="AA655" s="30" t="n"/>
    </row>
    <row r="656">
      <c r="A656" s="30" t="n"/>
      <c r="B656" s="156" t="n"/>
      <c r="C656" s="30" t="n"/>
      <c r="D656" s="30" t="n"/>
      <c r="E656" s="30" t="n"/>
      <c r="F656" s="30" t="n"/>
      <c r="G656" s="30" t="n"/>
      <c r="H656" s="30" t="n"/>
      <c r="I656" s="30" t="n"/>
      <c r="J656" s="30" t="n"/>
      <c r="K656" s="30" t="n"/>
      <c r="L656" s="30" t="n"/>
      <c r="M656" s="30" t="n"/>
      <c r="N656" s="30" t="n"/>
      <c r="O656" s="30" t="n"/>
      <c r="P656" s="30" t="n"/>
      <c r="Q656" s="30" t="n"/>
      <c r="R656" s="30" t="n"/>
      <c r="S656" s="30" t="n"/>
      <c r="T656" s="30" t="n"/>
      <c r="U656" s="30" t="n"/>
      <c r="V656" s="30" t="n"/>
      <c r="W656" s="30" t="n"/>
      <c r="X656" s="30" t="n"/>
      <c r="Y656" s="30" t="n"/>
      <c r="Z656" s="30" t="n"/>
      <c r="AA656" s="30" t="n"/>
    </row>
    <row r="657">
      <c r="A657" s="30" t="n"/>
      <c r="B657" s="156" t="n"/>
      <c r="C657" s="30" t="n"/>
      <c r="D657" s="30" t="n"/>
      <c r="E657" s="30" t="n"/>
      <c r="F657" s="30" t="n"/>
      <c r="G657" s="30" t="n"/>
      <c r="H657" s="30" t="n"/>
      <c r="I657" s="30" t="n"/>
      <c r="J657" s="30" t="n"/>
      <c r="K657" s="30" t="n"/>
      <c r="L657" s="30" t="n"/>
      <c r="M657" s="30" t="n"/>
      <c r="N657" s="30" t="n"/>
      <c r="O657" s="30" t="n"/>
      <c r="P657" s="30" t="n"/>
      <c r="Q657" s="30" t="n"/>
      <c r="R657" s="30" t="n"/>
      <c r="S657" s="30" t="n"/>
      <c r="T657" s="30" t="n"/>
      <c r="U657" s="30" t="n"/>
      <c r="V657" s="30" t="n"/>
      <c r="W657" s="30" t="n"/>
      <c r="X657" s="30" t="n"/>
      <c r="Y657" s="30" t="n"/>
      <c r="Z657" s="30" t="n"/>
      <c r="AA657" s="30" t="n"/>
    </row>
    <row r="658">
      <c r="A658" s="30" t="n"/>
      <c r="B658" s="156" t="n"/>
      <c r="C658" s="30" t="n"/>
      <c r="D658" s="30" t="n"/>
      <c r="E658" s="30" t="n"/>
      <c r="F658" s="30" t="n"/>
      <c r="G658" s="30" t="n"/>
      <c r="H658" s="30" t="n"/>
      <c r="I658" s="30" t="n"/>
      <c r="J658" s="30" t="n"/>
      <c r="K658" s="30" t="n"/>
      <c r="L658" s="30" t="n"/>
      <c r="M658" s="30" t="n"/>
      <c r="N658" s="30" t="n"/>
      <c r="O658" s="30" t="n"/>
      <c r="P658" s="30" t="n"/>
      <c r="Q658" s="30" t="n"/>
      <c r="R658" s="30" t="n"/>
      <c r="S658" s="30" t="n"/>
      <c r="T658" s="30" t="n"/>
      <c r="U658" s="30" t="n"/>
      <c r="V658" s="30" t="n"/>
      <c r="W658" s="30" t="n"/>
      <c r="X658" s="30" t="n"/>
      <c r="Y658" s="30" t="n"/>
      <c r="Z658" s="30" t="n"/>
      <c r="AA658" s="30" t="n"/>
    </row>
    <row r="659">
      <c r="A659" s="30" t="n"/>
      <c r="B659" s="156" t="n"/>
      <c r="C659" s="30" t="n"/>
      <c r="D659" s="30" t="n"/>
      <c r="E659" s="30" t="n"/>
      <c r="F659" s="30" t="n"/>
      <c r="G659" s="30" t="n"/>
      <c r="H659" s="30" t="n"/>
      <c r="I659" s="30" t="n"/>
      <c r="J659" s="30" t="n"/>
      <c r="K659" s="30" t="n"/>
      <c r="L659" s="30" t="n"/>
      <c r="M659" s="30" t="n"/>
      <c r="N659" s="30" t="n"/>
      <c r="O659" s="30" t="n"/>
      <c r="P659" s="30" t="n"/>
      <c r="Q659" s="30" t="n"/>
      <c r="R659" s="30" t="n"/>
      <c r="S659" s="30" t="n"/>
      <c r="T659" s="30" t="n"/>
      <c r="U659" s="30" t="n"/>
      <c r="V659" s="30" t="n"/>
      <c r="W659" s="30" t="n"/>
      <c r="X659" s="30" t="n"/>
      <c r="Y659" s="30" t="n"/>
      <c r="Z659" s="30" t="n"/>
      <c r="AA659" s="30" t="n"/>
    </row>
    <row r="660">
      <c r="A660" s="30" t="n"/>
      <c r="B660" s="156" t="n"/>
      <c r="C660" s="30" t="n"/>
      <c r="D660" s="30" t="n"/>
      <c r="E660" s="30" t="n"/>
      <c r="F660" s="30" t="n"/>
      <c r="G660" s="30" t="n"/>
      <c r="H660" s="30" t="n"/>
      <c r="I660" s="30" t="n"/>
      <c r="J660" s="30" t="n"/>
      <c r="K660" s="30" t="n"/>
      <c r="L660" s="30" t="n"/>
      <c r="M660" s="30" t="n"/>
      <c r="N660" s="30" t="n"/>
      <c r="O660" s="30" t="n"/>
      <c r="P660" s="30" t="n"/>
      <c r="Q660" s="30" t="n"/>
      <c r="R660" s="30" t="n"/>
      <c r="S660" s="30" t="n"/>
      <c r="T660" s="30" t="n"/>
      <c r="U660" s="30" t="n"/>
      <c r="V660" s="30" t="n"/>
      <c r="W660" s="30" t="n"/>
      <c r="X660" s="30" t="n"/>
      <c r="Y660" s="30" t="n"/>
      <c r="Z660" s="30" t="n"/>
      <c r="AA660" s="30" t="n"/>
    </row>
    <row r="661">
      <c r="A661" s="30" t="n"/>
      <c r="B661" s="156" t="n"/>
      <c r="C661" s="30" t="n"/>
      <c r="D661" s="30" t="n"/>
      <c r="E661" s="30" t="n"/>
      <c r="F661" s="30" t="n"/>
      <c r="G661" s="30" t="n"/>
      <c r="H661" s="30" t="n"/>
      <c r="I661" s="30" t="n"/>
      <c r="J661" s="30" t="n"/>
      <c r="K661" s="30" t="n"/>
      <c r="L661" s="30" t="n"/>
      <c r="M661" s="30" t="n"/>
      <c r="N661" s="30" t="n"/>
      <c r="O661" s="30" t="n"/>
      <c r="P661" s="30" t="n"/>
      <c r="Q661" s="30" t="n"/>
      <c r="R661" s="30" t="n"/>
      <c r="S661" s="30" t="n"/>
      <c r="T661" s="30" t="n"/>
      <c r="U661" s="30" t="n"/>
      <c r="V661" s="30" t="n"/>
      <c r="W661" s="30" t="n"/>
      <c r="X661" s="30" t="n"/>
      <c r="Y661" s="30" t="n"/>
      <c r="Z661" s="30" t="n"/>
      <c r="AA661" s="30" t="n"/>
    </row>
    <row r="662">
      <c r="A662" s="30" t="n"/>
      <c r="B662" s="156" t="n"/>
      <c r="C662" s="30" t="n"/>
      <c r="D662" s="30" t="n"/>
      <c r="E662" s="30" t="n"/>
      <c r="F662" s="30" t="n"/>
      <c r="G662" s="30" t="n"/>
      <c r="H662" s="30" t="n"/>
      <c r="I662" s="30" t="n"/>
      <c r="J662" s="30" t="n"/>
      <c r="K662" s="30" t="n"/>
      <c r="L662" s="30" t="n"/>
      <c r="M662" s="30" t="n"/>
      <c r="N662" s="30" t="n"/>
      <c r="O662" s="30" t="n"/>
      <c r="P662" s="30" t="n"/>
      <c r="Q662" s="30" t="n"/>
      <c r="R662" s="30" t="n"/>
      <c r="S662" s="30" t="n"/>
      <c r="T662" s="30" t="n"/>
      <c r="U662" s="30" t="n"/>
      <c r="V662" s="30" t="n"/>
      <c r="W662" s="30" t="n"/>
      <c r="X662" s="30" t="n"/>
      <c r="Y662" s="30" t="n"/>
      <c r="Z662" s="30" t="n"/>
      <c r="AA662" s="30" t="n"/>
    </row>
    <row r="663">
      <c r="A663" s="30" t="n"/>
      <c r="B663" s="156" t="n"/>
      <c r="C663" s="30" t="n"/>
      <c r="D663" s="30" t="n"/>
      <c r="E663" s="30" t="n"/>
      <c r="F663" s="30" t="n"/>
      <c r="G663" s="30" t="n"/>
      <c r="H663" s="30" t="n"/>
      <c r="I663" s="30" t="n"/>
      <c r="J663" s="30" t="n"/>
      <c r="K663" s="30" t="n"/>
      <c r="L663" s="30" t="n"/>
      <c r="M663" s="30" t="n"/>
      <c r="N663" s="30" t="n"/>
      <c r="O663" s="30" t="n"/>
      <c r="P663" s="30" t="n"/>
      <c r="Q663" s="30" t="n"/>
      <c r="R663" s="30" t="n"/>
      <c r="S663" s="30" t="n"/>
      <c r="T663" s="30" t="n"/>
      <c r="U663" s="30" t="n"/>
      <c r="V663" s="30" t="n"/>
      <c r="W663" s="30" t="n"/>
      <c r="X663" s="30" t="n"/>
      <c r="Y663" s="30" t="n"/>
      <c r="Z663" s="30" t="n"/>
      <c r="AA663" s="30" t="n"/>
    </row>
    <row r="664">
      <c r="A664" s="30" t="n"/>
      <c r="B664" s="156" t="n"/>
      <c r="C664" s="30" t="n"/>
      <c r="D664" s="30" t="n"/>
      <c r="E664" s="30" t="n"/>
      <c r="F664" s="30" t="n"/>
      <c r="G664" s="30" t="n"/>
      <c r="H664" s="30" t="n"/>
      <c r="I664" s="30" t="n"/>
      <c r="J664" s="30" t="n"/>
      <c r="K664" s="30" t="n"/>
      <c r="L664" s="30" t="n"/>
      <c r="M664" s="30" t="n"/>
      <c r="N664" s="30" t="n"/>
      <c r="O664" s="30" t="n"/>
      <c r="P664" s="30" t="n"/>
      <c r="Q664" s="30" t="n"/>
      <c r="R664" s="30" t="n"/>
      <c r="S664" s="30" t="n"/>
      <c r="T664" s="30" t="n"/>
      <c r="U664" s="30" t="n"/>
      <c r="V664" s="30" t="n"/>
      <c r="W664" s="30" t="n"/>
      <c r="X664" s="30" t="n"/>
      <c r="Y664" s="30" t="n"/>
      <c r="Z664" s="30" t="n"/>
      <c r="AA664" s="30" t="n"/>
    </row>
    <row r="665">
      <c r="A665" s="30" t="n"/>
      <c r="B665" s="156" t="n"/>
      <c r="C665" s="30" t="n"/>
      <c r="D665" s="30" t="n"/>
      <c r="E665" s="30" t="n"/>
      <c r="F665" s="30" t="n"/>
      <c r="G665" s="30" t="n"/>
      <c r="H665" s="30" t="n"/>
      <c r="I665" s="30" t="n"/>
      <c r="J665" s="30" t="n"/>
      <c r="K665" s="30" t="n"/>
      <c r="L665" s="30" t="n"/>
      <c r="M665" s="30" t="n"/>
      <c r="N665" s="30" t="n"/>
      <c r="O665" s="30" t="n"/>
      <c r="P665" s="30" t="n"/>
      <c r="Q665" s="30" t="n"/>
      <c r="R665" s="30" t="n"/>
      <c r="S665" s="30" t="n"/>
      <c r="T665" s="30" t="n"/>
      <c r="U665" s="30" t="n"/>
      <c r="V665" s="30" t="n"/>
      <c r="W665" s="30" t="n"/>
      <c r="X665" s="30" t="n"/>
      <c r="Y665" s="30" t="n"/>
      <c r="Z665" s="30" t="n"/>
      <c r="AA665" s="30" t="n"/>
    </row>
    <row r="666">
      <c r="A666" s="30" t="n"/>
      <c r="B666" s="156" t="n"/>
      <c r="C666" s="30" t="n"/>
      <c r="D666" s="30" t="n"/>
      <c r="E666" s="30" t="n"/>
      <c r="F666" s="30" t="n"/>
      <c r="G666" s="30" t="n"/>
      <c r="H666" s="30" t="n"/>
      <c r="I666" s="30" t="n"/>
      <c r="J666" s="30" t="n"/>
      <c r="K666" s="30" t="n"/>
      <c r="L666" s="30" t="n"/>
      <c r="M666" s="30" t="n"/>
      <c r="N666" s="30" t="n"/>
      <c r="O666" s="30" t="n"/>
      <c r="P666" s="30" t="n"/>
      <c r="Q666" s="30" t="n"/>
      <c r="R666" s="30" t="n"/>
      <c r="S666" s="30" t="n"/>
      <c r="T666" s="30" t="n"/>
      <c r="U666" s="30" t="n"/>
      <c r="V666" s="30" t="n"/>
      <c r="W666" s="30" t="n"/>
      <c r="X666" s="30" t="n"/>
      <c r="Y666" s="30" t="n"/>
      <c r="Z666" s="30" t="n"/>
      <c r="AA666" s="30" t="n"/>
    </row>
    <row r="667">
      <c r="A667" s="30" t="n"/>
      <c r="B667" s="156" t="n"/>
      <c r="C667" s="30" t="n"/>
      <c r="D667" s="30" t="n"/>
      <c r="E667" s="30" t="n"/>
      <c r="F667" s="30" t="n"/>
      <c r="G667" s="30" t="n"/>
      <c r="H667" s="30" t="n"/>
      <c r="I667" s="30" t="n"/>
      <c r="J667" s="30" t="n"/>
      <c r="K667" s="30" t="n"/>
      <c r="L667" s="30" t="n"/>
      <c r="M667" s="30" t="n"/>
      <c r="N667" s="30" t="n"/>
      <c r="O667" s="30" t="n"/>
      <c r="P667" s="30" t="n"/>
      <c r="Q667" s="30" t="n"/>
      <c r="R667" s="30" t="n"/>
      <c r="S667" s="30" t="n"/>
      <c r="T667" s="30" t="n"/>
      <c r="U667" s="30" t="n"/>
      <c r="V667" s="30" t="n"/>
      <c r="W667" s="30" t="n"/>
      <c r="X667" s="30" t="n"/>
      <c r="Y667" s="30" t="n"/>
      <c r="Z667" s="30" t="n"/>
      <c r="AA667" s="30" t="n"/>
    </row>
    <row r="668">
      <c r="A668" s="30" t="n"/>
      <c r="B668" s="156" t="n"/>
      <c r="C668" s="30" t="n"/>
      <c r="D668" s="30" t="n"/>
      <c r="E668" s="30" t="n"/>
      <c r="F668" s="30" t="n"/>
      <c r="G668" s="30" t="n"/>
      <c r="H668" s="30" t="n"/>
      <c r="I668" s="30" t="n"/>
      <c r="J668" s="30" t="n"/>
      <c r="K668" s="30" t="n"/>
      <c r="L668" s="30" t="n"/>
      <c r="M668" s="30" t="n"/>
      <c r="N668" s="30" t="n"/>
      <c r="O668" s="30" t="n"/>
      <c r="P668" s="30" t="n"/>
      <c r="Q668" s="30" t="n"/>
      <c r="R668" s="30" t="n"/>
      <c r="S668" s="30" t="n"/>
      <c r="T668" s="30" t="n"/>
      <c r="U668" s="30" t="n"/>
      <c r="V668" s="30" t="n"/>
      <c r="W668" s="30" t="n"/>
      <c r="X668" s="30" t="n"/>
      <c r="Y668" s="30" t="n"/>
      <c r="Z668" s="30" t="n"/>
      <c r="AA668" s="30" t="n"/>
    </row>
    <row r="669">
      <c r="A669" s="30" t="n"/>
      <c r="B669" s="156" t="n"/>
      <c r="C669" s="30" t="n"/>
      <c r="D669" s="30" t="n"/>
      <c r="E669" s="30" t="n"/>
      <c r="F669" s="30" t="n"/>
      <c r="G669" s="30" t="n"/>
      <c r="H669" s="30" t="n"/>
      <c r="I669" s="30" t="n"/>
      <c r="J669" s="30" t="n"/>
      <c r="K669" s="30" t="n"/>
      <c r="L669" s="30" t="n"/>
      <c r="M669" s="30" t="n"/>
      <c r="N669" s="30" t="n"/>
      <c r="O669" s="30" t="n"/>
      <c r="P669" s="30" t="n"/>
      <c r="Q669" s="30" t="n"/>
      <c r="R669" s="30" t="n"/>
      <c r="S669" s="30" t="n"/>
      <c r="T669" s="30" t="n"/>
      <c r="U669" s="30" t="n"/>
      <c r="V669" s="30" t="n"/>
      <c r="W669" s="30" t="n"/>
      <c r="X669" s="30" t="n"/>
      <c r="Y669" s="30" t="n"/>
      <c r="Z669" s="30" t="n"/>
      <c r="AA669" s="30" t="n"/>
    </row>
    <row r="670">
      <c r="A670" s="30" t="n"/>
      <c r="B670" s="156" t="n"/>
      <c r="C670" s="30" t="n"/>
      <c r="D670" s="30" t="n"/>
      <c r="E670" s="30" t="n"/>
      <c r="F670" s="30" t="n"/>
      <c r="G670" s="30" t="n"/>
      <c r="H670" s="30" t="n"/>
      <c r="I670" s="30" t="n"/>
      <c r="J670" s="30" t="n"/>
      <c r="K670" s="30" t="n"/>
      <c r="L670" s="30" t="n"/>
      <c r="M670" s="30" t="n"/>
      <c r="N670" s="30" t="n"/>
      <c r="O670" s="30" t="n"/>
      <c r="P670" s="30" t="n"/>
      <c r="Q670" s="30" t="n"/>
      <c r="R670" s="30" t="n"/>
      <c r="S670" s="30" t="n"/>
      <c r="T670" s="30" t="n"/>
      <c r="U670" s="30" t="n"/>
      <c r="V670" s="30" t="n"/>
      <c r="W670" s="30" t="n"/>
      <c r="X670" s="30" t="n"/>
      <c r="Y670" s="30" t="n"/>
      <c r="Z670" s="30" t="n"/>
      <c r="AA670" s="30" t="n"/>
    </row>
    <row r="671">
      <c r="A671" s="30" t="n"/>
      <c r="B671" s="156" t="n"/>
      <c r="C671" s="30" t="n"/>
      <c r="D671" s="30" t="n"/>
      <c r="E671" s="30" t="n"/>
      <c r="F671" s="30" t="n"/>
      <c r="G671" s="30" t="n"/>
      <c r="H671" s="30" t="n"/>
      <c r="I671" s="30" t="n"/>
      <c r="J671" s="30" t="n"/>
      <c r="K671" s="30" t="n"/>
      <c r="L671" s="30" t="n"/>
      <c r="M671" s="30" t="n"/>
      <c r="N671" s="30" t="n"/>
      <c r="O671" s="30" t="n"/>
      <c r="P671" s="30" t="n"/>
      <c r="Q671" s="30" t="n"/>
      <c r="R671" s="30" t="n"/>
      <c r="S671" s="30" t="n"/>
      <c r="T671" s="30" t="n"/>
      <c r="U671" s="30" t="n"/>
      <c r="V671" s="30" t="n"/>
      <c r="W671" s="30" t="n"/>
      <c r="X671" s="30" t="n"/>
      <c r="Y671" s="30" t="n"/>
      <c r="Z671" s="30" t="n"/>
      <c r="AA671" s="30" t="n"/>
    </row>
    <row r="672">
      <c r="A672" s="30" t="n"/>
      <c r="B672" s="156" t="n"/>
      <c r="C672" s="30" t="n"/>
      <c r="D672" s="30" t="n"/>
      <c r="E672" s="30" t="n"/>
      <c r="F672" s="30" t="n"/>
      <c r="G672" s="30" t="n"/>
      <c r="H672" s="30" t="n"/>
      <c r="I672" s="30" t="n"/>
      <c r="J672" s="30" t="n"/>
      <c r="K672" s="30" t="n"/>
      <c r="L672" s="30" t="n"/>
      <c r="M672" s="30" t="n"/>
      <c r="N672" s="30" t="n"/>
      <c r="O672" s="30" t="n"/>
      <c r="P672" s="30" t="n"/>
      <c r="Q672" s="30" t="n"/>
      <c r="R672" s="30" t="n"/>
      <c r="S672" s="30" t="n"/>
      <c r="T672" s="30" t="n"/>
      <c r="U672" s="30" t="n"/>
      <c r="V672" s="30" t="n"/>
      <c r="W672" s="30" t="n"/>
      <c r="X672" s="30" t="n"/>
      <c r="Y672" s="30" t="n"/>
      <c r="Z672" s="30" t="n"/>
      <c r="AA672" s="30" t="n"/>
    </row>
    <row r="673">
      <c r="A673" s="30" t="n"/>
      <c r="B673" s="156" t="n"/>
      <c r="C673" s="30" t="n"/>
      <c r="D673" s="30" t="n"/>
      <c r="E673" s="30" t="n"/>
      <c r="F673" s="30" t="n"/>
      <c r="G673" s="30" t="n"/>
      <c r="H673" s="30" t="n"/>
      <c r="I673" s="30" t="n"/>
      <c r="J673" s="30" t="n"/>
      <c r="K673" s="30" t="n"/>
      <c r="L673" s="30" t="n"/>
      <c r="M673" s="30" t="n"/>
      <c r="N673" s="30" t="n"/>
      <c r="O673" s="30" t="n"/>
      <c r="P673" s="30" t="n"/>
      <c r="Q673" s="30" t="n"/>
      <c r="R673" s="30" t="n"/>
      <c r="S673" s="30" t="n"/>
      <c r="T673" s="30" t="n"/>
      <c r="U673" s="30" t="n"/>
      <c r="V673" s="30" t="n"/>
      <c r="W673" s="30" t="n"/>
      <c r="X673" s="30" t="n"/>
      <c r="Y673" s="30" t="n"/>
      <c r="Z673" s="30" t="n"/>
      <c r="AA673" s="30" t="n"/>
    </row>
    <row r="674">
      <c r="A674" s="30" t="n"/>
      <c r="B674" s="156" t="n"/>
      <c r="C674" s="30" t="n"/>
      <c r="D674" s="30" t="n"/>
      <c r="E674" s="30" t="n"/>
      <c r="F674" s="30" t="n"/>
      <c r="G674" s="30" t="n"/>
      <c r="H674" s="30" t="n"/>
      <c r="I674" s="30" t="n"/>
      <c r="J674" s="30" t="n"/>
      <c r="K674" s="30" t="n"/>
      <c r="L674" s="30" t="n"/>
      <c r="M674" s="30" t="n"/>
      <c r="N674" s="30" t="n"/>
      <c r="O674" s="30" t="n"/>
      <c r="P674" s="30" t="n"/>
      <c r="Q674" s="30" t="n"/>
      <c r="R674" s="30" t="n"/>
      <c r="S674" s="30" t="n"/>
      <c r="T674" s="30" t="n"/>
      <c r="U674" s="30" t="n"/>
      <c r="V674" s="30" t="n"/>
      <c r="W674" s="30" t="n"/>
      <c r="X674" s="30" t="n"/>
      <c r="Y674" s="30" t="n"/>
      <c r="Z674" s="30" t="n"/>
      <c r="AA674" s="30" t="n"/>
    </row>
    <row r="675">
      <c r="A675" s="30" t="n"/>
      <c r="B675" s="156" t="n"/>
      <c r="C675" s="30" t="n"/>
      <c r="D675" s="30" t="n"/>
      <c r="E675" s="30" t="n"/>
      <c r="F675" s="30" t="n"/>
      <c r="G675" s="30" t="n"/>
      <c r="H675" s="30" t="n"/>
      <c r="I675" s="30" t="n"/>
      <c r="J675" s="30" t="n"/>
      <c r="K675" s="30" t="n"/>
      <c r="L675" s="30" t="n"/>
      <c r="M675" s="30" t="n"/>
      <c r="N675" s="30" t="n"/>
      <c r="O675" s="30" t="n"/>
      <c r="P675" s="30" t="n"/>
      <c r="Q675" s="30" t="n"/>
      <c r="R675" s="30" t="n"/>
      <c r="S675" s="30" t="n"/>
      <c r="T675" s="30" t="n"/>
      <c r="U675" s="30" t="n"/>
      <c r="V675" s="30" t="n"/>
      <c r="W675" s="30" t="n"/>
      <c r="X675" s="30" t="n"/>
      <c r="Y675" s="30" t="n"/>
      <c r="Z675" s="30" t="n"/>
      <c r="AA675" s="30" t="n"/>
    </row>
    <row r="676">
      <c r="A676" s="30" t="n"/>
      <c r="B676" s="156" t="n"/>
      <c r="C676" s="30" t="n"/>
      <c r="D676" s="30" t="n"/>
      <c r="E676" s="30" t="n"/>
      <c r="F676" s="30" t="n"/>
      <c r="G676" s="30" t="n"/>
      <c r="H676" s="30" t="n"/>
      <c r="I676" s="30" t="n"/>
      <c r="J676" s="30" t="n"/>
      <c r="K676" s="30" t="n"/>
      <c r="L676" s="30" t="n"/>
      <c r="M676" s="30" t="n"/>
      <c r="N676" s="30" t="n"/>
      <c r="O676" s="30" t="n"/>
      <c r="P676" s="30" t="n"/>
      <c r="Q676" s="30" t="n"/>
      <c r="R676" s="30" t="n"/>
      <c r="S676" s="30" t="n"/>
      <c r="T676" s="30" t="n"/>
      <c r="U676" s="30" t="n"/>
      <c r="V676" s="30" t="n"/>
      <c r="W676" s="30" t="n"/>
      <c r="X676" s="30" t="n"/>
      <c r="Y676" s="30" t="n"/>
      <c r="Z676" s="30" t="n"/>
      <c r="AA676" s="30" t="n"/>
    </row>
    <row r="677">
      <c r="A677" s="30" t="n"/>
      <c r="B677" s="156" t="n"/>
      <c r="C677" s="30" t="n"/>
      <c r="D677" s="30" t="n"/>
      <c r="E677" s="30" t="n"/>
      <c r="F677" s="30" t="n"/>
      <c r="G677" s="30" t="n"/>
      <c r="H677" s="30" t="n"/>
      <c r="I677" s="30" t="n"/>
      <c r="J677" s="30" t="n"/>
      <c r="K677" s="30" t="n"/>
      <c r="L677" s="30" t="n"/>
      <c r="M677" s="30" t="n"/>
      <c r="N677" s="30" t="n"/>
      <c r="O677" s="30" t="n"/>
      <c r="P677" s="30" t="n"/>
      <c r="Q677" s="30" t="n"/>
      <c r="R677" s="30" t="n"/>
      <c r="S677" s="30" t="n"/>
      <c r="T677" s="30" t="n"/>
      <c r="U677" s="30" t="n"/>
      <c r="V677" s="30" t="n"/>
      <c r="W677" s="30" t="n"/>
      <c r="X677" s="30" t="n"/>
      <c r="Y677" s="30" t="n"/>
      <c r="Z677" s="30" t="n"/>
      <c r="AA677" s="30" t="n"/>
    </row>
    <row r="678">
      <c r="A678" s="30" t="n"/>
      <c r="B678" s="156" t="n"/>
      <c r="C678" s="30" t="n"/>
      <c r="D678" s="30" t="n"/>
      <c r="E678" s="30" t="n"/>
      <c r="F678" s="30" t="n"/>
      <c r="G678" s="30" t="n"/>
      <c r="H678" s="30" t="n"/>
      <c r="I678" s="30" t="n"/>
      <c r="J678" s="30" t="n"/>
      <c r="K678" s="30" t="n"/>
      <c r="L678" s="30" t="n"/>
      <c r="M678" s="30" t="n"/>
      <c r="N678" s="30" t="n"/>
      <c r="O678" s="30" t="n"/>
      <c r="P678" s="30" t="n"/>
      <c r="Q678" s="30" t="n"/>
      <c r="R678" s="30" t="n"/>
      <c r="S678" s="30" t="n"/>
      <c r="T678" s="30" t="n"/>
      <c r="U678" s="30" t="n"/>
      <c r="V678" s="30" t="n"/>
      <c r="W678" s="30" t="n"/>
      <c r="X678" s="30" t="n"/>
      <c r="Y678" s="30" t="n"/>
      <c r="Z678" s="30" t="n"/>
      <c r="AA678" s="30" t="n"/>
    </row>
    <row r="679">
      <c r="A679" s="30" t="n"/>
      <c r="B679" s="156" t="n"/>
      <c r="C679" s="30" t="n"/>
      <c r="D679" s="30" t="n"/>
      <c r="E679" s="30" t="n"/>
      <c r="F679" s="30" t="n"/>
      <c r="G679" s="30" t="n"/>
      <c r="H679" s="30" t="n"/>
      <c r="I679" s="30" t="n"/>
      <c r="J679" s="30" t="n"/>
      <c r="K679" s="30" t="n"/>
      <c r="L679" s="30" t="n"/>
      <c r="M679" s="30" t="n"/>
      <c r="N679" s="30" t="n"/>
      <c r="O679" s="30" t="n"/>
      <c r="P679" s="30" t="n"/>
      <c r="Q679" s="30" t="n"/>
      <c r="R679" s="30" t="n"/>
      <c r="S679" s="30" t="n"/>
      <c r="T679" s="30" t="n"/>
      <c r="U679" s="30" t="n"/>
      <c r="V679" s="30" t="n"/>
      <c r="W679" s="30" t="n"/>
      <c r="X679" s="30" t="n"/>
      <c r="Y679" s="30" t="n"/>
      <c r="Z679" s="30" t="n"/>
      <c r="AA679" s="30" t="n"/>
    </row>
    <row r="680">
      <c r="A680" s="30" t="n"/>
      <c r="B680" s="156" t="n"/>
      <c r="C680" s="30" t="n"/>
      <c r="D680" s="30" t="n"/>
      <c r="E680" s="30" t="n"/>
      <c r="F680" s="30" t="n"/>
      <c r="G680" s="30" t="n"/>
      <c r="H680" s="30" t="n"/>
      <c r="I680" s="30" t="n"/>
      <c r="J680" s="30" t="n"/>
      <c r="K680" s="30" t="n"/>
      <c r="L680" s="30" t="n"/>
      <c r="M680" s="30" t="n"/>
      <c r="N680" s="30" t="n"/>
      <c r="O680" s="30" t="n"/>
      <c r="P680" s="30" t="n"/>
      <c r="Q680" s="30" t="n"/>
      <c r="R680" s="30" t="n"/>
      <c r="S680" s="30" t="n"/>
      <c r="T680" s="30" t="n"/>
      <c r="U680" s="30" t="n"/>
      <c r="V680" s="30" t="n"/>
      <c r="W680" s="30" t="n"/>
      <c r="X680" s="30" t="n"/>
      <c r="Y680" s="30" t="n"/>
      <c r="Z680" s="30" t="n"/>
      <c r="AA680" s="30" t="n"/>
    </row>
    <row r="681">
      <c r="A681" s="30" t="n"/>
      <c r="B681" s="156" t="n"/>
      <c r="C681" s="30" t="n"/>
      <c r="D681" s="30" t="n"/>
      <c r="E681" s="30" t="n"/>
      <c r="F681" s="30" t="n"/>
      <c r="G681" s="30" t="n"/>
      <c r="H681" s="30" t="n"/>
      <c r="I681" s="30" t="n"/>
      <c r="J681" s="30" t="n"/>
      <c r="K681" s="30" t="n"/>
      <c r="L681" s="30" t="n"/>
      <c r="M681" s="30" t="n"/>
      <c r="N681" s="30" t="n"/>
      <c r="O681" s="30" t="n"/>
      <c r="P681" s="30" t="n"/>
      <c r="Q681" s="30" t="n"/>
      <c r="R681" s="30" t="n"/>
      <c r="S681" s="30" t="n"/>
      <c r="T681" s="30" t="n"/>
      <c r="U681" s="30" t="n"/>
      <c r="V681" s="30" t="n"/>
      <c r="W681" s="30" t="n"/>
      <c r="X681" s="30" t="n"/>
      <c r="Y681" s="30" t="n"/>
      <c r="Z681" s="30" t="n"/>
      <c r="AA681" s="30" t="n"/>
    </row>
    <row r="682">
      <c r="A682" s="30" t="n"/>
      <c r="B682" s="156" t="n"/>
      <c r="C682" s="30" t="n"/>
      <c r="D682" s="30" t="n"/>
      <c r="E682" s="30" t="n"/>
      <c r="F682" s="30" t="n"/>
      <c r="G682" s="30" t="n"/>
      <c r="H682" s="30" t="n"/>
      <c r="I682" s="30" t="n"/>
      <c r="J682" s="30" t="n"/>
      <c r="K682" s="30" t="n"/>
      <c r="L682" s="30" t="n"/>
      <c r="M682" s="30" t="n"/>
      <c r="N682" s="30" t="n"/>
      <c r="O682" s="30" t="n"/>
      <c r="P682" s="30" t="n"/>
      <c r="Q682" s="30" t="n"/>
      <c r="R682" s="30" t="n"/>
      <c r="S682" s="30" t="n"/>
      <c r="T682" s="30" t="n"/>
      <c r="U682" s="30" t="n"/>
      <c r="V682" s="30" t="n"/>
      <c r="W682" s="30" t="n"/>
      <c r="X682" s="30" t="n"/>
      <c r="Y682" s="30" t="n"/>
      <c r="Z682" s="30" t="n"/>
      <c r="AA682" s="30" t="n"/>
    </row>
    <row r="683">
      <c r="A683" s="30" t="n"/>
      <c r="B683" s="156" t="n"/>
      <c r="C683" s="30" t="n"/>
      <c r="D683" s="30" t="n"/>
      <c r="E683" s="30" t="n"/>
      <c r="F683" s="30" t="n"/>
      <c r="G683" s="30" t="n"/>
      <c r="H683" s="30" t="n"/>
      <c r="I683" s="30" t="n"/>
      <c r="J683" s="30" t="n"/>
      <c r="K683" s="30" t="n"/>
      <c r="L683" s="30" t="n"/>
      <c r="M683" s="30" t="n"/>
      <c r="N683" s="30" t="n"/>
      <c r="O683" s="30" t="n"/>
      <c r="P683" s="30" t="n"/>
      <c r="Q683" s="30" t="n"/>
      <c r="R683" s="30" t="n"/>
      <c r="S683" s="30" t="n"/>
      <c r="T683" s="30" t="n"/>
      <c r="U683" s="30" t="n"/>
      <c r="V683" s="30" t="n"/>
      <c r="W683" s="30" t="n"/>
      <c r="X683" s="30" t="n"/>
      <c r="Y683" s="30" t="n"/>
      <c r="Z683" s="30" t="n"/>
      <c r="AA683" s="30" t="n"/>
    </row>
    <row r="684">
      <c r="A684" s="30" t="n"/>
      <c r="B684" s="156" t="n"/>
      <c r="C684" s="30" t="n"/>
      <c r="D684" s="30" t="n"/>
      <c r="E684" s="30" t="n"/>
      <c r="F684" s="30" t="n"/>
      <c r="G684" s="30" t="n"/>
      <c r="H684" s="30" t="n"/>
      <c r="I684" s="30" t="n"/>
      <c r="J684" s="30" t="n"/>
      <c r="K684" s="30" t="n"/>
      <c r="L684" s="30" t="n"/>
      <c r="M684" s="30" t="n"/>
      <c r="N684" s="30" t="n"/>
      <c r="O684" s="30" t="n"/>
      <c r="P684" s="30" t="n"/>
      <c r="Q684" s="30" t="n"/>
      <c r="R684" s="30" t="n"/>
      <c r="S684" s="30" t="n"/>
      <c r="T684" s="30" t="n"/>
      <c r="U684" s="30" t="n"/>
      <c r="V684" s="30" t="n"/>
      <c r="W684" s="30" t="n"/>
      <c r="X684" s="30" t="n"/>
      <c r="Y684" s="30" t="n"/>
      <c r="Z684" s="30" t="n"/>
      <c r="AA684" s="30" t="n"/>
    </row>
    <row r="685">
      <c r="A685" s="30" t="n"/>
      <c r="B685" s="156" t="n"/>
      <c r="C685" s="30" t="n"/>
      <c r="D685" s="30" t="n"/>
      <c r="E685" s="30" t="n"/>
      <c r="F685" s="30" t="n"/>
      <c r="G685" s="30" t="n"/>
      <c r="H685" s="30" t="n"/>
      <c r="I685" s="30" t="n"/>
      <c r="J685" s="30" t="n"/>
      <c r="K685" s="30" t="n"/>
      <c r="L685" s="30" t="n"/>
      <c r="M685" s="30" t="n"/>
      <c r="N685" s="30" t="n"/>
      <c r="O685" s="30" t="n"/>
      <c r="P685" s="30" t="n"/>
      <c r="Q685" s="30" t="n"/>
      <c r="R685" s="30" t="n"/>
      <c r="S685" s="30" t="n"/>
      <c r="T685" s="30" t="n"/>
      <c r="U685" s="30" t="n"/>
      <c r="V685" s="30" t="n"/>
      <c r="W685" s="30" t="n"/>
      <c r="X685" s="30" t="n"/>
      <c r="Y685" s="30" t="n"/>
      <c r="Z685" s="30" t="n"/>
      <c r="AA685" s="30" t="n"/>
    </row>
    <row r="686">
      <c r="A686" s="30" t="n"/>
      <c r="B686" s="156" t="n"/>
      <c r="C686" s="30" t="n"/>
      <c r="D686" s="30" t="n"/>
      <c r="E686" s="30" t="n"/>
      <c r="F686" s="30" t="n"/>
      <c r="G686" s="30" t="n"/>
      <c r="H686" s="30" t="n"/>
      <c r="I686" s="30" t="n"/>
      <c r="J686" s="30" t="n"/>
      <c r="K686" s="30" t="n"/>
      <c r="L686" s="30" t="n"/>
      <c r="M686" s="30" t="n"/>
      <c r="N686" s="30" t="n"/>
      <c r="O686" s="30" t="n"/>
      <c r="P686" s="30" t="n"/>
      <c r="Q686" s="30" t="n"/>
      <c r="R686" s="30" t="n"/>
      <c r="S686" s="30" t="n"/>
      <c r="T686" s="30" t="n"/>
      <c r="U686" s="30" t="n"/>
      <c r="V686" s="30" t="n"/>
      <c r="W686" s="30" t="n"/>
      <c r="X686" s="30" t="n"/>
      <c r="Y686" s="30" t="n"/>
      <c r="Z686" s="30" t="n"/>
      <c r="AA686" s="30" t="n"/>
    </row>
    <row r="687">
      <c r="A687" s="30" t="n"/>
      <c r="B687" s="156" t="n"/>
      <c r="C687" s="30" t="n"/>
      <c r="D687" s="30" t="n"/>
      <c r="E687" s="30" t="n"/>
      <c r="F687" s="30" t="n"/>
      <c r="G687" s="30" t="n"/>
      <c r="H687" s="30" t="n"/>
      <c r="I687" s="30" t="n"/>
      <c r="J687" s="30" t="n"/>
      <c r="K687" s="30" t="n"/>
      <c r="L687" s="30" t="n"/>
      <c r="M687" s="30" t="n"/>
      <c r="N687" s="30" t="n"/>
      <c r="O687" s="30" t="n"/>
      <c r="P687" s="30" t="n"/>
      <c r="Q687" s="30" t="n"/>
      <c r="R687" s="30" t="n"/>
      <c r="S687" s="30" t="n"/>
      <c r="T687" s="30" t="n"/>
      <c r="U687" s="30" t="n"/>
      <c r="V687" s="30" t="n"/>
      <c r="W687" s="30" t="n"/>
      <c r="X687" s="30" t="n"/>
      <c r="Y687" s="30" t="n"/>
      <c r="Z687" s="30" t="n"/>
      <c r="AA687" s="30" t="n"/>
    </row>
    <row r="688">
      <c r="A688" s="30" t="n"/>
      <c r="B688" s="156" t="n"/>
      <c r="C688" s="30" t="n"/>
      <c r="D688" s="30" t="n"/>
      <c r="E688" s="30" t="n"/>
      <c r="F688" s="30" t="n"/>
      <c r="G688" s="30" t="n"/>
      <c r="H688" s="30" t="n"/>
      <c r="I688" s="30" t="n"/>
      <c r="J688" s="30" t="n"/>
      <c r="K688" s="30" t="n"/>
      <c r="L688" s="30" t="n"/>
      <c r="M688" s="30" t="n"/>
      <c r="N688" s="30" t="n"/>
      <c r="O688" s="30" t="n"/>
      <c r="P688" s="30" t="n"/>
      <c r="Q688" s="30" t="n"/>
      <c r="R688" s="30" t="n"/>
      <c r="S688" s="30" t="n"/>
      <c r="T688" s="30" t="n"/>
      <c r="U688" s="30" t="n"/>
      <c r="V688" s="30" t="n"/>
      <c r="W688" s="30" t="n"/>
      <c r="X688" s="30" t="n"/>
      <c r="Y688" s="30" t="n"/>
      <c r="Z688" s="30" t="n"/>
      <c r="AA688" s="30" t="n"/>
    </row>
    <row r="689">
      <c r="A689" s="30" t="n"/>
      <c r="B689" s="156" t="n"/>
      <c r="C689" s="30" t="n"/>
      <c r="D689" s="30" t="n"/>
      <c r="E689" s="30" t="n"/>
      <c r="F689" s="30" t="n"/>
      <c r="G689" s="30" t="n"/>
      <c r="H689" s="30" t="n"/>
      <c r="I689" s="30" t="n"/>
      <c r="J689" s="30" t="n"/>
      <c r="K689" s="30" t="n"/>
      <c r="L689" s="30" t="n"/>
      <c r="M689" s="30" t="n"/>
      <c r="N689" s="30" t="n"/>
      <c r="O689" s="30" t="n"/>
      <c r="P689" s="30" t="n"/>
      <c r="Q689" s="30" t="n"/>
      <c r="R689" s="30" t="n"/>
      <c r="S689" s="30" t="n"/>
      <c r="T689" s="30" t="n"/>
      <c r="U689" s="30" t="n"/>
      <c r="V689" s="30" t="n"/>
      <c r="W689" s="30" t="n"/>
      <c r="X689" s="30" t="n"/>
      <c r="Y689" s="30" t="n"/>
      <c r="Z689" s="30" t="n"/>
      <c r="AA689" s="30" t="n"/>
    </row>
    <row r="690">
      <c r="A690" s="30" t="n"/>
      <c r="B690" s="156" t="n"/>
      <c r="C690" s="30" t="n"/>
      <c r="D690" s="30" t="n"/>
      <c r="E690" s="30" t="n"/>
      <c r="F690" s="30" t="n"/>
      <c r="G690" s="30" t="n"/>
      <c r="H690" s="30" t="n"/>
      <c r="I690" s="30" t="n"/>
      <c r="J690" s="30" t="n"/>
      <c r="K690" s="30" t="n"/>
      <c r="L690" s="30" t="n"/>
      <c r="M690" s="30" t="n"/>
      <c r="N690" s="30" t="n"/>
      <c r="O690" s="30" t="n"/>
      <c r="P690" s="30" t="n"/>
      <c r="Q690" s="30" t="n"/>
      <c r="R690" s="30" t="n"/>
      <c r="S690" s="30" t="n"/>
      <c r="T690" s="30" t="n"/>
      <c r="U690" s="30" t="n"/>
      <c r="V690" s="30" t="n"/>
      <c r="W690" s="30" t="n"/>
      <c r="X690" s="30" t="n"/>
      <c r="Y690" s="30" t="n"/>
      <c r="Z690" s="30" t="n"/>
      <c r="AA690" s="30" t="n"/>
    </row>
    <row r="691">
      <c r="A691" s="30" t="n"/>
      <c r="B691" s="156" t="n"/>
      <c r="C691" s="30" t="n"/>
      <c r="D691" s="30" t="n"/>
      <c r="E691" s="30" t="n"/>
      <c r="F691" s="30" t="n"/>
      <c r="G691" s="30" t="n"/>
      <c r="H691" s="30" t="n"/>
      <c r="I691" s="30" t="n"/>
      <c r="J691" s="30" t="n"/>
      <c r="K691" s="30" t="n"/>
      <c r="L691" s="30" t="n"/>
      <c r="M691" s="30" t="n"/>
      <c r="N691" s="30" t="n"/>
      <c r="O691" s="30" t="n"/>
      <c r="P691" s="30" t="n"/>
      <c r="Q691" s="30" t="n"/>
      <c r="R691" s="30" t="n"/>
      <c r="S691" s="30" t="n"/>
      <c r="T691" s="30" t="n"/>
      <c r="U691" s="30" t="n"/>
      <c r="V691" s="30" t="n"/>
      <c r="W691" s="30" t="n"/>
      <c r="X691" s="30" t="n"/>
      <c r="Y691" s="30" t="n"/>
      <c r="Z691" s="30" t="n"/>
      <c r="AA691" s="30" t="n"/>
    </row>
    <row r="692">
      <c r="A692" s="30" t="n"/>
      <c r="B692" s="156" t="n"/>
      <c r="C692" s="30" t="n"/>
      <c r="D692" s="30" t="n"/>
      <c r="E692" s="30" t="n"/>
      <c r="F692" s="30" t="n"/>
      <c r="G692" s="30" t="n"/>
      <c r="H692" s="30" t="n"/>
      <c r="I692" s="30" t="n"/>
      <c r="J692" s="30" t="n"/>
      <c r="K692" s="30" t="n"/>
      <c r="L692" s="30" t="n"/>
      <c r="M692" s="30" t="n"/>
      <c r="N692" s="30" t="n"/>
      <c r="O692" s="30" t="n"/>
      <c r="P692" s="30" t="n"/>
      <c r="Q692" s="30" t="n"/>
      <c r="R692" s="30" t="n"/>
      <c r="S692" s="30" t="n"/>
      <c r="T692" s="30" t="n"/>
      <c r="U692" s="30" t="n"/>
      <c r="V692" s="30" t="n"/>
      <c r="W692" s="30" t="n"/>
      <c r="X692" s="30" t="n"/>
      <c r="Y692" s="30" t="n"/>
      <c r="Z692" s="30" t="n"/>
      <c r="AA692" s="30" t="n"/>
    </row>
    <row r="693">
      <c r="A693" s="30" t="n"/>
      <c r="B693" s="156" t="n"/>
      <c r="C693" s="30" t="n"/>
      <c r="D693" s="30" t="n"/>
      <c r="E693" s="30" t="n"/>
      <c r="F693" s="30" t="n"/>
      <c r="G693" s="30" t="n"/>
      <c r="H693" s="30" t="n"/>
      <c r="I693" s="30" t="n"/>
      <c r="J693" s="30" t="n"/>
      <c r="K693" s="30" t="n"/>
      <c r="L693" s="30" t="n"/>
      <c r="M693" s="30" t="n"/>
      <c r="N693" s="30" t="n"/>
      <c r="O693" s="30" t="n"/>
      <c r="P693" s="30" t="n"/>
      <c r="Q693" s="30" t="n"/>
      <c r="R693" s="30" t="n"/>
      <c r="S693" s="30" t="n"/>
      <c r="T693" s="30" t="n"/>
      <c r="U693" s="30" t="n"/>
      <c r="V693" s="30" t="n"/>
      <c r="W693" s="30" t="n"/>
      <c r="X693" s="30" t="n"/>
      <c r="Y693" s="30" t="n"/>
      <c r="Z693" s="30" t="n"/>
      <c r="AA693" s="30" t="n"/>
    </row>
    <row r="694">
      <c r="A694" s="30" t="n"/>
      <c r="B694" s="156" t="n"/>
      <c r="C694" s="30" t="n"/>
      <c r="D694" s="30" t="n"/>
      <c r="E694" s="30" t="n"/>
      <c r="F694" s="30" t="n"/>
      <c r="G694" s="30" t="n"/>
      <c r="H694" s="30" t="n"/>
      <c r="I694" s="30" t="n"/>
      <c r="J694" s="30" t="n"/>
      <c r="K694" s="30" t="n"/>
      <c r="L694" s="30" t="n"/>
      <c r="M694" s="30" t="n"/>
      <c r="N694" s="30" t="n"/>
      <c r="O694" s="30" t="n"/>
      <c r="P694" s="30" t="n"/>
      <c r="Q694" s="30" t="n"/>
      <c r="R694" s="30" t="n"/>
      <c r="S694" s="30" t="n"/>
      <c r="T694" s="30" t="n"/>
      <c r="U694" s="30" t="n"/>
      <c r="V694" s="30" t="n"/>
      <c r="W694" s="30" t="n"/>
      <c r="X694" s="30" t="n"/>
      <c r="Y694" s="30" t="n"/>
      <c r="Z694" s="30" t="n"/>
      <c r="AA694" s="30" t="n"/>
    </row>
    <row r="695">
      <c r="A695" s="30" t="n"/>
      <c r="B695" s="156" t="n"/>
      <c r="C695" s="30" t="n"/>
      <c r="D695" s="30" t="n"/>
      <c r="E695" s="30" t="n"/>
      <c r="F695" s="30" t="n"/>
      <c r="G695" s="30" t="n"/>
      <c r="H695" s="30" t="n"/>
      <c r="I695" s="30" t="n"/>
      <c r="J695" s="30" t="n"/>
      <c r="K695" s="30" t="n"/>
      <c r="L695" s="30" t="n"/>
      <c r="M695" s="30" t="n"/>
      <c r="N695" s="30" t="n"/>
      <c r="O695" s="30" t="n"/>
      <c r="P695" s="30" t="n"/>
      <c r="Q695" s="30" t="n"/>
      <c r="R695" s="30" t="n"/>
      <c r="S695" s="30" t="n"/>
      <c r="T695" s="30" t="n"/>
      <c r="U695" s="30" t="n"/>
      <c r="V695" s="30" t="n"/>
      <c r="W695" s="30" t="n"/>
      <c r="X695" s="30" t="n"/>
      <c r="Y695" s="30" t="n"/>
      <c r="Z695" s="30" t="n"/>
      <c r="AA695" s="30" t="n"/>
    </row>
    <row r="696">
      <c r="A696" s="30" t="n"/>
      <c r="B696" s="156" t="n"/>
      <c r="C696" s="30" t="n"/>
      <c r="D696" s="30" t="n"/>
      <c r="E696" s="30" t="n"/>
      <c r="F696" s="30" t="n"/>
      <c r="G696" s="30" t="n"/>
      <c r="H696" s="30" t="n"/>
      <c r="I696" s="30" t="n"/>
      <c r="J696" s="30" t="n"/>
      <c r="K696" s="30" t="n"/>
      <c r="L696" s="30" t="n"/>
      <c r="M696" s="30" t="n"/>
      <c r="N696" s="30" t="n"/>
      <c r="O696" s="30" t="n"/>
      <c r="P696" s="30" t="n"/>
      <c r="Q696" s="30" t="n"/>
      <c r="R696" s="30" t="n"/>
      <c r="S696" s="30" t="n"/>
      <c r="T696" s="30" t="n"/>
      <c r="U696" s="30" t="n"/>
      <c r="V696" s="30" t="n"/>
      <c r="W696" s="30" t="n"/>
      <c r="X696" s="30" t="n"/>
      <c r="Y696" s="30" t="n"/>
      <c r="Z696" s="30" t="n"/>
      <c r="AA696" s="30" t="n"/>
    </row>
    <row r="697">
      <c r="A697" s="30" t="n"/>
      <c r="B697" s="156" t="n"/>
      <c r="C697" s="30" t="n"/>
      <c r="D697" s="30" t="n"/>
      <c r="E697" s="30" t="n"/>
      <c r="F697" s="30" t="n"/>
      <c r="G697" s="30" t="n"/>
      <c r="H697" s="30" t="n"/>
      <c r="I697" s="30" t="n"/>
      <c r="J697" s="30" t="n"/>
      <c r="K697" s="30" t="n"/>
      <c r="L697" s="30" t="n"/>
      <c r="M697" s="30" t="n"/>
      <c r="N697" s="30" t="n"/>
      <c r="O697" s="30" t="n"/>
      <c r="P697" s="30" t="n"/>
      <c r="Q697" s="30" t="n"/>
      <c r="R697" s="30" t="n"/>
      <c r="S697" s="30" t="n"/>
      <c r="T697" s="30" t="n"/>
      <c r="U697" s="30" t="n"/>
      <c r="V697" s="30" t="n"/>
      <c r="W697" s="30" t="n"/>
      <c r="X697" s="30" t="n"/>
      <c r="Y697" s="30" t="n"/>
      <c r="Z697" s="30" t="n"/>
      <c r="AA697" s="30" t="n"/>
    </row>
    <row r="698">
      <c r="A698" s="30" t="n"/>
      <c r="B698" s="156" t="n"/>
      <c r="C698" s="30" t="n"/>
      <c r="D698" s="30" t="n"/>
      <c r="E698" s="30" t="n"/>
      <c r="F698" s="30" t="n"/>
      <c r="G698" s="30" t="n"/>
      <c r="H698" s="30" t="n"/>
      <c r="I698" s="30" t="n"/>
      <c r="J698" s="30" t="n"/>
      <c r="K698" s="30" t="n"/>
      <c r="L698" s="30" t="n"/>
      <c r="M698" s="30" t="n"/>
      <c r="N698" s="30" t="n"/>
      <c r="O698" s="30" t="n"/>
      <c r="P698" s="30" t="n"/>
      <c r="Q698" s="30" t="n"/>
      <c r="R698" s="30" t="n"/>
      <c r="S698" s="30" t="n"/>
      <c r="T698" s="30" t="n"/>
      <c r="U698" s="30" t="n"/>
      <c r="V698" s="30" t="n"/>
      <c r="W698" s="30" t="n"/>
      <c r="X698" s="30" t="n"/>
      <c r="Y698" s="30" t="n"/>
      <c r="Z698" s="30" t="n"/>
      <c r="AA698" s="30" t="n"/>
    </row>
    <row r="699">
      <c r="A699" s="30" t="n"/>
      <c r="B699" s="156" t="n"/>
      <c r="C699" s="30" t="n"/>
      <c r="D699" s="30" t="n"/>
      <c r="E699" s="30" t="n"/>
      <c r="F699" s="30" t="n"/>
      <c r="G699" s="30" t="n"/>
      <c r="H699" s="30" t="n"/>
      <c r="I699" s="30" t="n"/>
      <c r="J699" s="30" t="n"/>
      <c r="K699" s="30" t="n"/>
      <c r="L699" s="30" t="n"/>
      <c r="M699" s="30" t="n"/>
      <c r="N699" s="30" t="n"/>
      <c r="O699" s="30" t="n"/>
      <c r="P699" s="30" t="n"/>
      <c r="Q699" s="30" t="n"/>
      <c r="R699" s="30" t="n"/>
      <c r="S699" s="30" t="n"/>
      <c r="T699" s="30" t="n"/>
      <c r="U699" s="30" t="n"/>
      <c r="V699" s="30" t="n"/>
      <c r="W699" s="30" t="n"/>
      <c r="X699" s="30" t="n"/>
      <c r="Y699" s="30" t="n"/>
      <c r="Z699" s="30" t="n"/>
      <c r="AA699" s="30" t="n"/>
    </row>
    <row r="700">
      <c r="A700" s="30" t="n"/>
      <c r="B700" s="156" t="n"/>
      <c r="C700" s="30" t="n"/>
      <c r="D700" s="30" t="n"/>
      <c r="E700" s="30" t="n"/>
      <c r="F700" s="30" t="n"/>
      <c r="G700" s="30" t="n"/>
      <c r="H700" s="30" t="n"/>
      <c r="I700" s="30" t="n"/>
      <c r="J700" s="30" t="n"/>
      <c r="K700" s="30" t="n"/>
      <c r="L700" s="30" t="n"/>
      <c r="M700" s="30" t="n"/>
      <c r="N700" s="30" t="n"/>
      <c r="O700" s="30" t="n"/>
      <c r="P700" s="30" t="n"/>
      <c r="Q700" s="30" t="n"/>
      <c r="R700" s="30" t="n"/>
      <c r="S700" s="30" t="n"/>
      <c r="T700" s="30" t="n"/>
      <c r="U700" s="30" t="n"/>
      <c r="V700" s="30" t="n"/>
      <c r="W700" s="30" t="n"/>
      <c r="X700" s="30" t="n"/>
      <c r="Y700" s="30" t="n"/>
      <c r="Z700" s="30" t="n"/>
      <c r="AA700" s="30" t="n"/>
    </row>
    <row r="701">
      <c r="A701" s="30" t="n"/>
      <c r="B701" s="156" t="n"/>
      <c r="C701" s="30" t="n"/>
      <c r="D701" s="30" t="n"/>
      <c r="E701" s="30" t="n"/>
      <c r="F701" s="30" t="n"/>
      <c r="G701" s="30" t="n"/>
      <c r="H701" s="30" t="n"/>
      <c r="I701" s="30" t="n"/>
      <c r="J701" s="30" t="n"/>
      <c r="K701" s="30" t="n"/>
      <c r="L701" s="30" t="n"/>
      <c r="M701" s="30" t="n"/>
      <c r="N701" s="30" t="n"/>
      <c r="O701" s="30" t="n"/>
      <c r="P701" s="30" t="n"/>
      <c r="Q701" s="30" t="n"/>
      <c r="R701" s="30" t="n"/>
      <c r="S701" s="30" t="n"/>
      <c r="T701" s="30" t="n"/>
      <c r="U701" s="30" t="n"/>
      <c r="V701" s="30" t="n"/>
      <c r="W701" s="30" t="n"/>
      <c r="X701" s="30" t="n"/>
      <c r="Y701" s="30" t="n"/>
      <c r="Z701" s="30" t="n"/>
      <c r="AA701" s="30" t="n"/>
    </row>
    <row r="702">
      <c r="A702" s="30" t="n"/>
      <c r="B702" s="156" t="n"/>
      <c r="C702" s="30" t="n"/>
      <c r="D702" s="30" t="n"/>
      <c r="E702" s="30" t="n"/>
      <c r="F702" s="30" t="n"/>
      <c r="G702" s="30" t="n"/>
      <c r="H702" s="30" t="n"/>
      <c r="I702" s="30" t="n"/>
      <c r="J702" s="30" t="n"/>
      <c r="K702" s="30" t="n"/>
      <c r="L702" s="30" t="n"/>
      <c r="M702" s="30" t="n"/>
      <c r="N702" s="30" t="n"/>
      <c r="O702" s="30" t="n"/>
      <c r="P702" s="30" t="n"/>
      <c r="Q702" s="30" t="n"/>
      <c r="R702" s="30" t="n"/>
      <c r="S702" s="30" t="n"/>
      <c r="T702" s="30" t="n"/>
      <c r="U702" s="30" t="n"/>
      <c r="V702" s="30" t="n"/>
      <c r="W702" s="30" t="n"/>
      <c r="X702" s="30" t="n"/>
      <c r="Y702" s="30" t="n"/>
      <c r="Z702" s="30" t="n"/>
      <c r="AA702" s="30" t="n"/>
    </row>
    <row r="703">
      <c r="A703" s="30" t="n"/>
      <c r="B703" s="156" t="n"/>
      <c r="C703" s="30" t="n"/>
      <c r="D703" s="30" t="n"/>
      <c r="E703" s="30" t="n"/>
      <c r="F703" s="30" t="n"/>
      <c r="G703" s="30" t="n"/>
      <c r="H703" s="30" t="n"/>
      <c r="I703" s="30" t="n"/>
      <c r="J703" s="30" t="n"/>
      <c r="K703" s="30" t="n"/>
      <c r="L703" s="30" t="n"/>
      <c r="M703" s="30" t="n"/>
      <c r="N703" s="30" t="n"/>
      <c r="O703" s="30" t="n"/>
      <c r="P703" s="30" t="n"/>
      <c r="Q703" s="30" t="n"/>
      <c r="R703" s="30" t="n"/>
      <c r="S703" s="30" t="n"/>
      <c r="T703" s="30" t="n"/>
      <c r="U703" s="30" t="n"/>
      <c r="V703" s="30" t="n"/>
      <c r="W703" s="30" t="n"/>
      <c r="X703" s="30" t="n"/>
      <c r="Y703" s="30" t="n"/>
      <c r="Z703" s="30" t="n"/>
      <c r="AA703" s="30" t="n"/>
    </row>
    <row r="704">
      <c r="A704" s="30" t="n"/>
      <c r="B704" s="156" t="n"/>
      <c r="C704" s="30" t="n"/>
      <c r="D704" s="30" t="n"/>
      <c r="E704" s="30" t="n"/>
      <c r="F704" s="30" t="n"/>
      <c r="G704" s="30" t="n"/>
      <c r="H704" s="30" t="n"/>
      <c r="I704" s="30" t="n"/>
      <c r="J704" s="30" t="n"/>
      <c r="K704" s="30" t="n"/>
      <c r="L704" s="30" t="n"/>
      <c r="M704" s="30" t="n"/>
      <c r="N704" s="30" t="n"/>
      <c r="O704" s="30" t="n"/>
      <c r="P704" s="30" t="n"/>
      <c r="Q704" s="30" t="n"/>
      <c r="R704" s="30" t="n"/>
      <c r="S704" s="30" t="n"/>
      <c r="T704" s="30" t="n"/>
      <c r="U704" s="30" t="n"/>
      <c r="V704" s="30" t="n"/>
      <c r="W704" s="30" t="n"/>
      <c r="X704" s="30" t="n"/>
      <c r="Y704" s="30" t="n"/>
      <c r="Z704" s="30" t="n"/>
      <c r="AA704" s="30" t="n"/>
    </row>
    <row r="705">
      <c r="A705" s="30" t="n"/>
      <c r="B705" s="156" t="n"/>
      <c r="C705" s="30" t="n"/>
      <c r="D705" s="30" t="n"/>
      <c r="E705" s="30" t="n"/>
      <c r="F705" s="30" t="n"/>
      <c r="G705" s="30" t="n"/>
      <c r="H705" s="30" t="n"/>
      <c r="I705" s="30" t="n"/>
      <c r="J705" s="30" t="n"/>
      <c r="K705" s="30" t="n"/>
      <c r="L705" s="30" t="n"/>
      <c r="M705" s="30" t="n"/>
      <c r="N705" s="30" t="n"/>
      <c r="O705" s="30" t="n"/>
      <c r="P705" s="30" t="n"/>
      <c r="Q705" s="30" t="n"/>
      <c r="R705" s="30" t="n"/>
      <c r="S705" s="30" t="n"/>
      <c r="T705" s="30" t="n"/>
      <c r="U705" s="30" t="n"/>
      <c r="V705" s="30" t="n"/>
      <c r="W705" s="30" t="n"/>
      <c r="X705" s="30" t="n"/>
      <c r="Y705" s="30" t="n"/>
      <c r="Z705" s="30" t="n"/>
      <c r="AA705" s="30" t="n"/>
    </row>
    <row r="706">
      <c r="A706" s="30" t="n"/>
      <c r="B706" s="156" t="n"/>
      <c r="C706" s="30" t="n"/>
      <c r="D706" s="30" t="n"/>
      <c r="E706" s="30" t="n"/>
      <c r="F706" s="30" t="n"/>
      <c r="G706" s="30" t="n"/>
      <c r="H706" s="30" t="n"/>
      <c r="I706" s="30" t="n"/>
      <c r="J706" s="30" t="n"/>
      <c r="K706" s="30" t="n"/>
      <c r="L706" s="30" t="n"/>
      <c r="M706" s="30" t="n"/>
      <c r="N706" s="30" t="n"/>
      <c r="O706" s="30" t="n"/>
      <c r="P706" s="30" t="n"/>
      <c r="Q706" s="30" t="n"/>
      <c r="R706" s="30" t="n"/>
      <c r="S706" s="30" t="n"/>
      <c r="T706" s="30" t="n"/>
      <c r="U706" s="30" t="n"/>
      <c r="V706" s="30" t="n"/>
      <c r="W706" s="30" t="n"/>
      <c r="X706" s="30" t="n"/>
      <c r="Y706" s="30" t="n"/>
      <c r="Z706" s="30" t="n"/>
      <c r="AA706" s="30" t="n"/>
    </row>
    <row r="707">
      <c r="A707" s="30" t="n"/>
      <c r="B707" s="156" t="n"/>
      <c r="C707" s="30" t="n"/>
      <c r="D707" s="30" t="n"/>
      <c r="E707" s="30" t="n"/>
      <c r="F707" s="30" t="n"/>
      <c r="G707" s="30" t="n"/>
      <c r="H707" s="30" t="n"/>
      <c r="I707" s="30" t="n"/>
      <c r="J707" s="30" t="n"/>
      <c r="K707" s="30" t="n"/>
      <c r="L707" s="30" t="n"/>
      <c r="M707" s="30" t="n"/>
      <c r="N707" s="30" t="n"/>
      <c r="O707" s="30" t="n"/>
      <c r="P707" s="30" t="n"/>
      <c r="Q707" s="30" t="n"/>
      <c r="R707" s="30" t="n"/>
      <c r="S707" s="30" t="n"/>
      <c r="T707" s="30" t="n"/>
      <c r="U707" s="30" t="n"/>
      <c r="V707" s="30" t="n"/>
      <c r="W707" s="30" t="n"/>
      <c r="X707" s="30" t="n"/>
      <c r="Y707" s="30" t="n"/>
      <c r="Z707" s="30" t="n"/>
      <c r="AA707" s="30" t="n"/>
    </row>
    <row r="708">
      <c r="A708" s="30" t="n"/>
      <c r="B708" s="156" t="n"/>
      <c r="C708" s="30" t="n"/>
      <c r="D708" s="30" t="n"/>
      <c r="E708" s="30" t="n"/>
      <c r="F708" s="30" t="n"/>
      <c r="G708" s="30" t="n"/>
      <c r="H708" s="30" t="n"/>
      <c r="I708" s="30" t="n"/>
      <c r="J708" s="30" t="n"/>
      <c r="K708" s="30" t="n"/>
      <c r="L708" s="30" t="n"/>
      <c r="M708" s="30" t="n"/>
      <c r="N708" s="30" t="n"/>
      <c r="O708" s="30" t="n"/>
      <c r="P708" s="30" t="n"/>
      <c r="Q708" s="30" t="n"/>
      <c r="R708" s="30" t="n"/>
      <c r="S708" s="30" t="n"/>
      <c r="T708" s="30" t="n"/>
      <c r="U708" s="30" t="n"/>
      <c r="V708" s="30" t="n"/>
      <c r="W708" s="30" t="n"/>
      <c r="X708" s="30" t="n"/>
      <c r="Y708" s="30" t="n"/>
      <c r="Z708" s="30" t="n"/>
      <c r="AA708" s="30" t="n"/>
    </row>
    <row r="709">
      <c r="A709" s="30" t="n"/>
      <c r="B709" s="156" t="n"/>
      <c r="C709" s="30" t="n"/>
      <c r="D709" s="30" t="n"/>
      <c r="E709" s="30" t="n"/>
      <c r="F709" s="30" t="n"/>
      <c r="G709" s="30" t="n"/>
      <c r="H709" s="30" t="n"/>
      <c r="I709" s="30" t="n"/>
      <c r="J709" s="30" t="n"/>
      <c r="K709" s="30" t="n"/>
      <c r="L709" s="30" t="n"/>
      <c r="M709" s="30" t="n"/>
      <c r="N709" s="30" t="n"/>
      <c r="O709" s="30" t="n"/>
      <c r="P709" s="30" t="n"/>
      <c r="Q709" s="30" t="n"/>
      <c r="R709" s="30" t="n"/>
      <c r="S709" s="30" t="n"/>
      <c r="T709" s="30" t="n"/>
      <c r="U709" s="30" t="n"/>
      <c r="V709" s="30" t="n"/>
      <c r="W709" s="30" t="n"/>
      <c r="X709" s="30" t="n"/>
      <c r="Y709" s="30" t="n"/>
      <c r="Z709" s="30" t="n"/>
      <c r="AA709" s="30" t="n"/>
    </row>
    <row r="710">
      <c r="A710" s="30" t="n"/>
      <c r="B710" s="156" t="n"/>
      <c r="C710" s="30" t="n"/>
      <c r="D710" s="30" t="n"/>
      <c r="E710" s="30" t="n"/>
      <c r="F710" s="30" t="n"/>
      <c r="G710" s="30" t="n"/>
      <c r="H710" s="30" t="n"/>
      <c r="I710" s="30" t="n"/>
      <c r="J710" s="30" t="n"/>
      <c r="K710" s="30" t="n"/>
      <c r="L710" s="30" t="n"/>
      <c r="M710" s="30" t="n"/>
      <c r="N710" s="30" t="n"/>
      <c r="O710" s="30" t="n"/>
      <c r="P710" s="30" t="n"/>
      <c r="Q710" s="30" t="n"/>
      <c r="R710" s="30" t="n"/>
      <c r="S710" s="30" t="n"/>
      <c r="T710" s="30" t="n"/>
      <c r="U710" s="30" t="n"/>
      <c r="V710" s="30" t="n"/>
      <c r="W710" s="30" t="n"/>
      <c r="X710" s="30" t="n"/>
      <c r="Y710" s="30" t="n"/>
      <c r="Z710" s="30" t="n"/>
      <c r="AA710" s="30" t="n"/>
    </row>
    <row r="711">
      <c r="A711" s="30" t="n"/>
      <c r="B711" s="156" t="n"/>
      <c r="C711" s="30" t="n"/>
      <c r="D711" s="30" t="n"/>
      <c r="E711" s="30" t="n"/>
      <c r="F711" s="30" t="n"/>
      <c r="G711" s="30" t="n"/>
      <c r="H711" s="30" t="n"/>
      <c r="I711" s="30" t="n"/>
      <c r="J711" s="30" t="n"/>
      <c r="K711" s="30" t="n"/>
      <c r="L711" s="30" t="n"/>
      <c r="M711" s="30" t="n"/>
      <c r="N711" s="30" t="n"/>
      <c r="O711" s="30" t="n"/>
      <c r="P711" s="30" t="n"/>
      <c r="Q711" s="30" t="n"/>
      <c r="R711" s="30" t="n"/>
      <c r="S711" s="30" t="n"/>
      <c r="T711" s="30" t="n"/>
      <c r="U711" s="30" t="n"/>
      <c r="V711" s="30" t="n"/>
      <c r="W711" s="30" t="n"/>
      <c r="X711" s="30" t="n"/>
      <c r="Y711" s="30" t="n"/>
      <c r="Z711" s="30" t="n"/>
      <c r="AA711" s="30" t="n"/>
    </row>
    <row r="712">
      <c r="A712" s="30" t="n"/>
      <c r="B712" s="156" t="n"/>
      <c r="C712" s="30" t="n"/>
      <c r="D712" s="30" t="n"/>
      <c r="E712" s="30" t="n"/>
      <c r="F712" s="30" t="n"/>
      <c r="G712" s="30" t="n"/>
      <c r="H712" s="30" t="n"/>
      <c r="I712" s="30" t="n"/>
      <c r="J712" s="30" t="n"/>
      <c r="K712" s="30" t="n"/>
      <c r="L712" s="30" t="n"/>
      <c r="M712" s="30" t="n"/>
      <c r="N712" s="30" t="n"/>
      <c r="O712" s="30" t="n"/>
      <c r="P712" s="30" t="n"/>
      <c r="Q712" s="30" t="n"/>
      <c r="R712" s="30" t="n"/>
      <c r="S712" s="30" t="n"/>
      <c r="T712" s="30" t="n"/>
      <c r="U712" s="30" t="n"/>
      <c r="V712" s="30" t="n"/>
      <c r="W712" s="30" t="n"/>
      <c r="X712" s="30" t="n"/>
      <c r="Y712" s="30" t="n"/>
      <c r="Z712" s="30" t="n"/>
      <c r="AA712" s="30" t="n"/>
    </row>
    <row r="713">
      <c r="A713" s="30" t="n"/>
      <c r="B713" s="156" t="n"/>
      <c r="C713" s="30" t="n"/>
      <c r="D713" s="30" t="n"/>
      <c r="E713" s="30" t="n"/>
      <c r="F713" s="30" t="n"/>
      <c r="G713" s="30" t="n"/>
      <c r="H713" s="30" t="n"/>
      <c r="I713" s="30" t="n"/>
      <c r="J713" s="30" t="n"/>
      <c r="K713" s="30" t="n"/>
      <c r="L713" s="30" t="n"/>
      <c r="M713" s="30" t="n"/>
      <c r="N713" s="30" t="n"/>
      <c r="O713" s="30" t="n"/>
      <c r="P713" s="30" t="n"/>
      <c r="Q713" s="30" t="n"/>
      <c r="R713" s="30" t="n"/>
      <c r="S713" s="30" t="n"/>
      <c r="T713" s="30" t="n"/>
      <c r="U713" s="30" t="n"/>
      <c r="V713" s="30" t="n"/>
      <c r="W713" s="30" t="n"/>
      <c r="X713" s="30" t="n"/>
      <c r="Y713" s="30" t="n"/>
      <c r="Z713" s="30" t="n"/>
      <c r="AA713" s="30" t="n"/>
    </row>
    <row r="714">
      <c r="A714" s="30" t="n"/>
      <c r="B714" s="156" t="n"/>
      <c r="C714" s="30" t="n"/>
      <c r="D714" s="30" t="n"/>
      <c r="E714" s="30" t="n"/>
      <c r="F714" s="30" t="n"/>
      <c r="G714" s="30" t="n"/>
      <c r="H714" s="30" t="n"/>
      <c r="I714" s="30" t="n"/>
      <c r="J714" s="30" t="n"/>
      <c r="K714" s="30" t="n"/>
      <c r="L714" s="30" t="n"/>
      <c r="M714" s="30" t="n"/>
      <c r="N714" s="30" t="n"/>
      <c r="O714" s="30" t="n"/>
      <c r="P714" s="30" t="n"/>
      <c r="Q714" s="30" t="n"/>
      <c r="R714" s="30" t="n"/>
      <c r="S714" s="30" t="n"/>
      <c r="T714" s="30" t="n"/>
      <c r="U714" s="30" t="n"/>
      <c r="V714" s="30" t="n"/>
      <c r="W714" s="30" t="n"/>
      <c r="X714" s="30" t="n"/>
      <c r="Y714" s="30" t="n"/>
      <c r="Z714" s="30" t="n"/>
      <c r="AA714" s="30" t="n"/>
    </row>
    <row r="715">
      <c r="A715" s="30" t="n"/>
      <c r="B715" s="156" t="n"/>
      <c r="C715" s="30" t="n"/>
      <c r="D715" s="30" t="n"/>
      <c r="E715" s="30" t="n"/>
      <c r="F715" s="30" t="n"/>
      <c r="G715" s="30" t="n"/>
      <c r="H715" s="30" t="n"/>
      <c r="I715" s="30" t="n"/>
      <c r="J715" s="30" t="n"/>
      <c r="K715" s="30" t="n"/>
      <c r="L715" s="30" t="n"/>
      <c r="M715" s="30" t="n"/>
      <c r="N715" s="30" t="n"/>
      <c r="O715" s="30" t="n"/>
      <c r="P715" s="30" t="n"/>
      <c r="Q715" s="30" t="n"/>
      <c r="R715" s="30" t="n"/>
      <c r="S715" s="30" t="n"/>
      <c r="T715" s="30" t="n"/>
      <c r="U715" s="30" t="n"/>
      <c r="V715" s="30" t="n"/>
      <c r="W715" s="30" t="n"/>
      <c r="X715" s="30" t="n"/>
      <c r="Y715" s="30" t="n"/>
      <c r="Z715" s="30" t="n"/>
      <c r="AA715" s="30" t="n"/>
    </row>
    <row r="716">
      <c r="A716" s="30" t="n"/>
      <c r="B716" s="156" t="n"/>
      <c r="C716" s="30" t="n"/>
      <c r="D716" s="30" t="n"/>
      <c r="E716" s="30" t="n"/>
      <c r="F716" s="30" t="n"/>
      <c r="G716" s="30" t="n"/>
      <c r="H716" s="30" t="n"/>
      <c r="I716" s="30" t="n"/>
      <c r="J716" s="30" t="n"/>
      <c r="K716" s="30" t="n"/>
      <c r="L716" s="30" t="n"/>
      <c r="M716" s="30" t="n"/>
      <c r="N716" s="30" t="n"/>
      <c r="O716" s="30" t="n"/>
      <c r="P716" s="30" t="n"/>
      <c r="Q716" s="30" t="n"/>
      <c r="R716" s="30" t="n"/>
      <c r="S716" s="30" t="n"/>
      <c r="T716" s="30" t="n"/>
      <c r="U716" s="30" t="n"/>
      <c r="V716" s="30" t="n"/>
      <c r="W716" s="30" t="n"/>
      <c r="X716" s="30" t="n"/>
      <c r="Y716" s="30" t="n"/>
      <c r="Z716" s="30" t="n"/>
      <c r="AA716" s="30" t="n"/>
    </row>
    <row r="717">
      <c r="A717" s="30" t="n"/>
      <c r="B717" s="156" t="n"/>
      <c r="C717" s="30" t="n"/>
      <c r="D717" s="30" t="n"/>
      <c r="E717" s="30" t="n"/>
      <c r="F717" s="30" t="n"/>
      <c r="G717" s="30" t="n"/>
      <c r="H717" s="30" t="n"/>
      <c r="I717" s="30" t="n"/>
      <c r="J717" s="30" t="n"/>
      <c r="K717" s="30" t="n"/>
      <c r="L717" s="30" t="n"/>
      <c r="M717" s="30" t="n"/>
      <c r="N717" s="30" t="n"/>
      <c r="O717" s="30" t="n"/>
      <c r="P717" s="30" t="n"/>
      <c r="Q717" s="30" t="n"/>
      <c r="R717" s="30" t="n"/>
      <c r="S717" s="30" t="n"/>
      <c r="T717" s="30" t="n"/>
      <c r="U717" s="30" t="n"/>
      <c r="V717" s="30" t="n"/>
      <c r="W717" s="30" t="n"/>
      <c r="X717" s="30" t="n"/>
      <c r="Y717" s="30" t="n"/>
      <c r="Z717" s="30" t="n"/>
      <c r="AA717" s="30" t="n"/>
    </row>
    <row r="718">
      <c r="A718" s="30" t="n"/>
      <c r="B718" s="156" t="n"/>
      <c r="C718" s="30" t="n"/>
      <c r="D718" s="30" t="n"/>
      <c r="E718" s="30" t="n"/>
      <c r="F718" s="30" t="n"/>
      <c r="G718" s="30" t="n"/>
      <c r="H718" s="30" t="n"/>
      <c r="I718" s="30" t="n"/>
      <c r="J718" s="30" t="n"/>
      <c r="K718" s="30" t="n"/>
      <c r="L718" s="30" t="n"/>
      <c r="M718" s="30" t="n"/>
      <c r="N718" s="30" t="n"/>
      <c r="O718" s="30" t="n"/>
      <c r="P718" s="30" t="n"/>
      <c r="Q718" s="30" t="n"/>
      <c r="R718" s="30" t="n"/>
      <c r="S718" s="30" t="n"/>
      <c r="T718" s="30" t="n"/>
      <c r="U718" s="30" t="n"/>
      <c r="V718" s="30" t="n"/>
      <c r="W718" s="30" t="n"/>
      <c r="X718" s="30" t="n"/>
      <c r="Y718" s="30" t="n"/>
      <c r="Z718" s="30" t="n"/>
      <c r="AA718" s="30" t="n"/>
    </row>
    <row r="719">
      <c r="A719" s="30" t="n"/>
      <c r="B719" s="156" t="n"/>
      <c r="C719" s="30" t="n"/>
      <c r="D719" s="30" t="n"/>
      <c r="E719" s="30" t="n"/>
      <c r="F719" s="30" t="n"/>
      <c r="G719" s="30" t="n"/>
      <c r="H719" s="30" t="n"/>
      <c r="I719" s="30" t="n"/>
      <c r="J719" s="30" t="n"/>
      <c r="K719" s="30" t="n"/>
      <c r="L719" s="30" t="n"/>
      <c r="M719" s="30" t="n"/>
      <c r="N719" s="30" t="n"/>
      <c r="O719" s="30" t="n"/>
      <c r="P719" s="30" t="n"/>
      <c r="Q719" s="30" t="n"/>
      <c r="R719" s="30" t="n"/>
      <c r="S719" s="30" t="n"/>
      <c r="T719" s="30" t="n"/>
      <c r="U719" s="30" t="n"/>
      <c r="V719" s="30" t="n"/>
      <c r="W719" s="30" t="n"/>
      <c r="X719" s="30" t="n"/>
      <c r="Y719" s="30" t="n"/>
      <c r="Z719" s="30" t="n"/>
      <c r="AA719" s="30" t="n"/>
    </row>
    <row r="720">
      <c r="A720" s="30" t="n"/>
      <c r="B720" s="156" t="n"/>
      <c r="C720" s="30" t="n"/>
      <c r="D720" s="30" t="n"/>
      <c r="E720" s="30" t="n"/>
      <c r="F720" s="30" t="n"/>
      <c r="G720" s="30" t="n"/>
      <c r="H720" s="30" t="n"/>
      <c r="I720" s="30" t="n"/>
      <c r="J720" s="30" t="n"/>
      <c r="K720" s="30" t="n"/>
      <c r="L720" s="30" t="n"/>
      <c r="M720" s="30" t="n"/>
      <c r="N720" s="30" t="n"/>
      <c r="O720" s="30" t="n"/>
      <c r="P720" s="30" t="n"/>
      <c r="Q720" s="30" t="n"/>
      <c r="R720" s="30" t="n"/>
      <c r="S720" s="30" t="n"/>
      <c r="T720" s="30" t="n"/>
      <c r="U720" s="30" t="n"/>
      <c r="V720" s="30" t="n"/>
      <c r="W720" s="30" t="n"/>
      <c r="X720" s="30" t="n"/>
      <c r="Y720" s="30" t="n"/>
      <c r="Z720" s="30" t="n"/>
      <c r="AA720" s="30" t="n"/>
    </row>
    <row r="721">
      <c r="A721" s="30" t="n"/>
      <c r="B721" s="156" t="n"/>
      <c r="C721" s="30" t="n"/>
      <c r="D721" s="30" t="n"/>
      <c r="E721" s="30" t="n"/>
      <c r="F721" s="30" t="n"/>
      <c r="G721" s="30" t="n"/>
      <c r="H721" s="30" t="n"/>
      <c r="I721" s="30" t="n"/>
      <c r="J721" s="30" t="n"/>
      <c r="K721" s="30" t="n"/>
      <c r="L721" s="30" t="n"/>
      <c r="M721" s="30" t="n"/>
      <c r="N721" s="30" t="n"/>
      <c r="O721" s="30" t="n"/>
      <c r="P721" s="30" t="n"/>
      <c r="Q721" s="30" t="n"/>
      <c r="R721" s="30" t="n"/>
      <c r="S721" s="30" t="n"/>
      <c r="T721" s="30" t="n"/>
      <c r="U721" s="30" t="n"/>
      <c r="V721" s="30" t="n"/>
      <c r="W721" s="30" t="n"/>
      <c r="X721" s="30" t="n"/>
      <c r="Y721" s="30" t="n"/>
      <c r="Z721" s="30" t="n"/>
      <c r="AA721" s="30" t="n"/>
    </row>
    <row r="722">
      <c r="A722" s="30" t="n"/>
      <c r="B722" s="156" t="n"/>
      <c r="C722" s="30" t="n"/>
      <c r="D722" s="30" t="n"/>
      <c r="E722" s="30" t="n"/>
      <c r="F722" s="30" t="n"/>
      <c r="G722" s="30" t="n"/>
      <c r="H722" s="30" t="n"/>
      <c r="I722" s="30" t="n"/>
      <c r="J722" s="30" t="n"/>
      <c r="K722" s="30" t="n"/>
      <c r="L722" s="30" t="n"/>
      <c r="M722" s="30" t="n"/>
      <c r="N722" s="30" t="n"/>
      <c r="O722" s="30" t="n"/>
      <c r="P722" s="30" t="n"/>
      <c r="Q722" s="30" t="n"/>
      <c r="R722" s="30" t="n"/>
      <c r="S722" s="30" t="n"/>
      <c r="T722" s="30" t="n"/>
      <c r="U722" s="30" t="n"/>
      <c r="V722" s="30" t="n"/>
      <c r="W722" s="30" t="n"/>
      <c r="X722" s="30" t="n"/>
      <c r="Y722" s="30" t="n"/>
      <c r="Z722" s="30" t="n"/>
      <c r="AA722" s="30" t="n"/>
    </row>
    <row r="723">
      <c r="A723" s="30" t="n"/>
      <c r="B723" s="156" t="n"/>
      <c r="C723" s="30" t="n"/>
      <c r="D723" s="30" t="n"/>
      <c r="E723" s="30" t="n"/>
      <c r="F723" s="30" t="n"/>
      <c r="G723" s="30" t="n"/>
      <c r="H723" s="30" t="n"/>
      <c r="I723" s="30" t="n"/>
      <c r="J723" s="30" t="n"/>
      <c r="K723" s="30" t="n"/>
      <c r="L723" s="30" t="n"/>
      <c r="M723" s="30" t="n"/>
      <c r="N723" s="30" t="n"/>
      <c r="O723" s="30" t="n"/>
      <c r="P723" s="30" t="n"/>
      <c r="Q723" s="30" t="n"/>
      <c r="R723" s="30" t="n"/>
      <c r="S723" s="30" t="n"/>
      <c r="T723" s="30" t="n"/>
      <c r="U723" s="30" t="n"/>
      <c r="V723" s="30" t="n"/>
      <c r="W723" s="30" t="n"/>
      <c r="X723" s="30" t="n"/>
      <c r="Y723" s="30" t="n"/>
      <c r="Z723" s="30" t="n"/>
      <c r="AA723" s="30" t="n"/>
    </row>
    <row r="724">
      <c r="A724" s="30" t="n"/>
      <c r="B724" s="156" t="n"/>
      <c r="C724" s="30" t="n"/>
      <c r="D724" s="30" t="n"/>
      <c r="E724" s="30" t="n"/>
      <c r="F724" s="30" t="n"/>
      <c r="G724" s="30" t="n"/>
      <c r="H724" s="30" t="n"/>
      <c r="I724" s="30" t="n"/>
      <c r="J724" s="30" t="n"/>
      <c r="K724" s="30" t="n"/>
      <c r="L724" s="30" t="n"/>
      <c r="M724" s="30" t="n"/>
      <c r="N724" s="30" t="n"/>
      <c r="O724" s="30" t="n"/>
      <c r="P724" s="30" t="n"/>
      <c r="Q724" s="30" t="n"/>
      <c r="R724" s="30" t="n"/>
      <c r="S724" s="30" t="n"/>
      <c r="T724" s="30" t="n"/>
      <c r="U724" s="30" t="n"/>
      <c r="V724" s="30" t="n"/>
      <c r="W724" s="30" t="n"/>
      <c r="X724" s="30" t="n"/>
      <c r="Y724" s="30" t="n"/>
      <c r="Z724" s="30" t="n"/>
      <c r="AA724" s="30" t="n"/>
    </row>
    <row r="725">
      <c r="A725" s="30" t="n"/>
      <c r="B725" s="156" t="n"/>
      <c r="C725" s="30" t="n"/>
      <c r="D725" s="30" t="n"/>
      <c r="E725" s="30" t="n"/>
      <c r="F725" s="30" t="n"/>
      <c r="G725" s="30" t="n"/>
      <c r="H725" s="30" t="n"/>
      <c r="I725" s="30" t="n"/>
      <c r="J725" s="30" t="n"/>
      <c r="K725" s="30" t="n"/>
      <c r="L725" s="30" t="n"/>
      <c r="M725" s="30" t="n"/>
      <c r="N725" s="30" t="n"/>
      <c r="O725" s="30" t="n"/>
      <c r="P725" s="30" t="n"/>
      <c r="Q725" s="30" t="n"/>
      <c r="R725" s="30" t="n"/>
      <c r="S725" s="30" t="n"/>
      <c r="T725" s="30" t="n"/>
      <c r="U725" s="30" t="n"/>
      <c r="V725" s="30" t="n"/>
      <c r="W725" s="30" t="n"/>
      <c r="X725" s="30" t="n"/>
      <c r="Y725" s="30" t="n"/>
      <c r="Z725" s="30" t="n"/>
      <c r="AA725" s="30" t="n"/>
    </row>
    <row r="726">
      <c r="A726" s="30" t="n"/>
      <c r="B726" s="156" t="n"/>
      <c r="C726" s="30" t="n"/>
      <c r="D726" s="30" t="n"/>
      <c r="E726" s="30" t="n"/>
      <c r="F726" s="30" t="n"/>
      <c r="G726" s="30" t="n"/>
      <c r="H726" s="30" t="n"/>
      <c r="I726" s="30" t="n"/>
      <c r="J726" s="30" t="n"/>
      <c r="K726" s="30" t="n"/>
      <c r="L726" s="30" t="n"/>
      <c r="M726" s="30" t="n"/>
      <c r="N726" s="30" t="n"/>
      <c r="O726" s="30" t="n"/>
      <c r="P726" s="30" t="n"/>
      <c r="Q726" s="30" t="n"/>
      <c r="R726" s="30" t="n"/>
      <c r="S726" s="30" t="n"/>
      <c r="T726" s="30" t="n"/>
      <c r="U726" s="30" t="n"/>
      <c r="V726" s="30" t="n"/>
      <c r="W726" s="30" t="n"/>
      <c r="X726" s="30" t="n"/>
      <c r="Y726" s="30" t="n"/>
      <c r="Z726" s="30" t="n"/>
      <c r="AA726" s="30" t="n"/>
    </row>
    <row r="727">
      <c r="A727" s="30" t="n"/>
      <c r="B727" s="156" t="n"/>
      <c r="C727" s="30" t="n"/>
      <c r="D727" s="30" t="n"/>
      <c r="E727" s="30" t="n"/>
      <c r="F727" s="30" t="n"/>
      <c r="G727" s="30" t="n"/>
      <c r="H727" s="30" t="n"/>
      <c r="I727" s="30" t="n"/>
      <c r="J727" s="30" t="n"/>
      <c r="K727" s="30" t="n"/>
      <c r="L727" s="30" t="n"/>
      <c r="M727" s="30" t="n"/>
      <c r="N727" s="30" t="n"/>
      <c r="O727" s="30" t="n"/>
      <c r="P727" s="30" t="n"/>
      <c r="Q727" s="30" t="n"/>
      <c r="R727" s="30" t="n"/>
      <c r="S727" s="30" t="n"/>
      <c r="T727" s="30" t="n"/>
      <c r="U727" s="30" t="n"/>
      <c r="V727" s="30" t="n"/>
      <c r="W727" s="30" t="n"/>
      <c r="X727" s="30" t="n"/>
      <c r="Y727" s="30" t="n"/>
      <c r="Z727" s="30" t="n"/>
      <c r="AA727" s="30" t="n"/>
    </row>
    <row r="728">
      <c r="A728" s="30" t="n"/>
      <c r="B728" s="156" t="n"/>
      <c r="C728" s="30" t="n"/>
      <c r="D728" s="30" t="n"/>
      <c r="E728" s="30" t="n"/>
      <c r="F728" s="30" t="n"/>
      <c r="G728" s="30" t="n"/>
      <c r="H728" s="30" t="n"/>
      <c r="I728" s="30" t="n"/>
      <c r="J728" s="30" t="n"/>
      <c r="K728" s="30" t="n"/>
      <c r="L728" s="30" t="n"/>
      <c r="M728" s="30" t="n"/>
      <c r="N728" s="30" t="n"/>
      <c r="O728" s="30" t="n"/>
      <c r="P728" s="30" t="n"/>
      <c r="Q728" s="30" t="n"/>
      <c r="R728" s="30" t="n"/>
      <c r="S728" s="30" t="n"/>
      <c r="T728" s="30" t="n"/>
      <c r="U728" s="30" t="n"/>
      <c r="V728" s="30" t="n"/>
      <c r="W728" s="30" t="n"/>
      <c r="X728" s="30" t="n"/>
      <c r="Y728" s="30" t="n"/>
      <c r="Z728" s="30" t="n"/>
      <c r="AA728" s="30" t="n"/>
    </row>
    <row r="729">
      <c r="A729" s="30" t="n"/>
      <c r="B729" s="156" t="n"/>
      <c r="C729" s="30" t="n"/>
      <c r="D729" s="30" t="n"/>
      <c r="E729" s="30" t="n"/>
      <c r="F729" s="30" t="n"/>
      <c r="G729" s="30" t="n"/>
      <c r="H729" s="30" t="n"/>
      <c r="I729" s="30" t="n"/>
      <c r="J729" s="30" t="n"/>
      <c r="K729" s="30" t="n"/>
      <c r="L729" s="30" t="n"/>
      <c r="M729" s="30" t="n"/>
      <c r="N729" s="30" t="n"/>
      <c r="O729" s="30" t="n"/>
      <c r="P729" s="30" t="n"/>
      <c r="Q729" s="30" t="n"/>
      <c r="R729" s="30" t="n"/>
      <c r="S729" s="30" t="n"/>
      <c r="T729" s="30" t="n"/>
      <c r="U729" s="30" t="n"/>
      <c r="V729" s="30" t="n"/>
      <c r="W729" s="30" t="n"/>
      <c r="X729" s="30" t="n"/>
      <c r="Y729" s="30" t="n"/>
      <c r="Z729" s="30" t="n"/>
      <c r="AA729" s="30" t="n"/>
    </row>
    <row r="730">
      <c r="A730" s="30" t="n"/>
      <c r="B730" s="156" t="n"/>
      <c r="C730" s="30" t="n"/>
      <c r="D730" s="30" t="n"/>
      <c r="E730" s="30" t="n"/>
      <c r="F730" s="30" t="n"/>
      <c r="G730" s="30" t="n"/>
      <c r="H730" s="30" t="n"/>
      <c r="I730" s="30" t="n"/>
      <c r="J730" s="30" t="n"/>
      <c r="K730" s="30" t="n"/>
      <c r="L730" s="30" t="n"/>
      <c r="M730" s="30" t="n"/>
      <c r="N730" s="30" t="n"/>
      <c r="O730" s="30" t="n"/>
      <c r="P730" s="30" t="n"/>
      <c r="Q730" s="30" t="n"/>
      <c r="R730" s="30" t="n"/>
      <c r="S730" s="30" t="n"/>
      <c r="T730" s="30" t="n"/>
      <c r="U730" s="30" t="n"/>
      <c r="V730" s="30" t="n"/>
      <c r="W730" s="30" t="n"/>
      <c r="X730" s="30" t="n"/>
      <c r="Y730" s="30" t="n"/>
      <c r="Z730" s="30" t="n"/>
      <c r="AA730" s="30" t="n"/>
    </row>
    <row r="731">
      <c r="A731" s="30" t="n"/>
      <c r="B731" s="156" t="n"/>
      <c r="C731" s="30" t="n"/>
      <c r="D731" s="30" t="n"/>
      <c r="E731" s="30" t="n"/>
      <c r="F731" s="30" t="n"/>
      <c r="G731" s="30" t="n"/>
      <c r="H731" s="30" t="n"/>
      <c r="I731" s="30" t="n"/>
      <c r="J731" s="30" t="n"/>
      <c r="K731" s="30" t="n"/>
      <c r="L731" s="30" t="n"/>
      <c r="M731" s="30" t="n"/>
      <c r="N731" s="30" t="n"/>
      <c r="O731" s="30" t="n"/>
      <c r="P731" s="30" t="n"/>
      <c r="Q731" s="30" t="n"/>
      <c r="R731" s="30" t="n"/>
      <c r="S731" s="30" t="n"/>
      <c r="T731" s="30" t="n"/>
      <c r="U731" s="30" t="n"/>
      <c r="V731" s="30" t="n"/>
      <c r="W731" s="30" t="n"/>
      <c r="X731" s="30" t="n"/>
      <c r="Y731" s="30" t="n"/>
      <c r="Z731" s="30" t="n"/>
      <c r="AA731" s="30" t="n"/>
    </row>
    <row r="732">
      <c r="A732" s="30" t="n"/>
      <c r="B732" s="156" t="n"/>
      <c r="C732" s="30" t="n"/>
      <c r="D732" s="30" t="n"/>
      <c r="E732" s="30" t="n"/>
      <c r="F732" s="30" t="n"/>
      <c r="G732" s="30" t="n"/>
      <c r="H732" s="30" t="n"/>
      <c r="I732" s="30" t="n"/>
      <c r="J732" s="30" t="n"/>
      <c r="K732" s="30" t="n"/>
      <c r="L732" s="30" t="n"/>
      <c r="M732" s="30" t="n"/>
      <c r="N732" s="30" t="n"/>
      <c r="O732" s="30" t="n"/>
      <c r="P732" s="30" t="n"/>
      <c r="Q732" s="30" t="n"/>
      <c r="R732" s="30" t="n"/>
      <c r="S732" s="30" t="n"/>
      <c r="T732" s="30" t="n"/>
      <c r="U732" s="30" t="n"/>
      <c r="V732" s="30" t="n"/>
      <c r="W732" s="30" t="n"/>
      <c r="X732" s="30" t="n"/>
      <c r="Y732" s="30" t="n"/>
      <c r="Z732" s="30" t="n"/>
      <c r="AA732" s="30" t="n"/>
    </row>
    <row r="733">
      <c r="A733" s="30" t="n"/>
      <c r="B733" s="156" t="n"/>
      <c r="C733" s="30" t="n"/>
      <c r="D733" s="30" t="n"/>
      <c r="E733" s="30" t="n"/>
      <c r="F733" s="30" t="n"/>
      <c r="G733" s="30" t="n"/>
      <c r="H733" s="30" t="n"/>
      <c r="I733" s="30" t="n"/>
      <c r="J733" s="30" t="n"/>
      <c r="K733" s="30" t="n"/>
      <c r="L733" s="30" t="n"/>
      <c r="M733" s="30" t="n"/>
      <c r="N733" s="30" t="n"/>
      <c r="O733" s="30" t="n"/>
      <c r="P733" s="30" t="n"/>
      <c r="Q733" s="30" t="n"/>
      <c r="R733" s="30" t="n"/>
      <c r="S733" s="30" t="n"/>
      <c r="T733" s="30" t="n"/>
      <c r="U733" s="30" t="n"/>
      <c r="V733" s="30" t="n"/>
      <c r="W733" s="30" t="n"/>
      <c r="X733" s="30" t="n"/>
      <c r="Y733" s="30" t="n"/>
      <c r="Z733" s="30" t="n"/>
      <c r="AA733" s="30" t="n"/>
    </row>
    <row r="734">
      <c r="A734" s="30" t="n"/>
      <c r="B734" s="156" t="n"/>
      <c r="C734" s="30" t="n"/>
      <c r="D734" s="30" t="n"/>
      <c r="E734" s="30" t="n"/>
      <c r="F734" s="30" t="n"/>
      <c r="G734" s="30" t="n"/>
      <c r="H734" s="30" t="n"/>
      <c r="I734" s="30" t="n"/>
      <c r="J734" s="30" t="n"/>
      <c r="K734" s="30" t="n"/>
      <c r="L734" s="30" t="n"/>
      <c r="M734" s="30" t="n"/>
      <c r="N734" s="30" t="n"/>
      <c r="O734" s="30" t="n"/>
      <c r="P734" s="30" t="n"/>
      <c r="Q734" s="30" t="n"/>
      <c r="R734" s="30" t="n"/>
      <c r="S734" s="30" t="n"/>
      <c r="T734" s="30" t="n"/>
      <c r="U734" s="30" t="n"/>
      <c r="V734" s="30" t="n"/>
      <c r="W734" s="30" t="n"/>
      <c r="X734" s="30" t="n"/>
      <c r="Y734" s="30" t="n"/>
      <c r="Z734" s="30" t="n"/>
      <c r="AA734" s="30" t="n"/>
    </row>
    <row r="735">
      <c r="A735" s="30" t="n"/>
      <c r="B735" s="156" t="n"/>
      <c r="C735" s="30" t="n"/>
      <c r="D735" s="30" t="n"/>
      <c r="E735" s="30" t="n"/>
      <c r="F735" s="30" t="n"/>
      <c r="G735" s="30" t="n"/>
      <c r="H735" s="30" t="n"/>
      <c r="I735" s="30" t="n"/>
      <c r="J735" s="30" t="n"/>
      <c r="K735" s="30" t="n"/>
      <c r="L735" s="30" t="n"/>
      <c r="M735" s="30" t="n"/>
      <c r="N735" s="30" t="n"/>
      <c r="O735" s="30" t="n"/>
      <c r="P735" s="30" t="n"/>
      <c r="Q735" s="30" t="n"/>
      <c r="R735" s="30" t="n"/>
      <c r="S735" s="30" t="n"/>
      <c r="T735" s="30" t="n"/>
      <c r="U735" s="30" t="n"/>
      <c r="V735" s="30" t="n"/>
      <c r="W735" s="30" t="n"/>
      <c r="X735" s="30" t="n"/>
      <c r="Y735" s="30" t="n"/>
      <c r="Z735" s="30" t="n"/>
      <c r="AA735" s="30" t="n"/>
    </row>
    <row r="736">
      <c r="A736" s="30" t="n"/>
      <c r="B736" s="156" t="n"/>
      <c r="C736" s="30" t="n"/>
      <c r="D736" s="30" t="n"/>
      <c r="E736" s="30" t="n"/>
      <c r="F736" s="30" t="n"/>
      <c r="G736" s="30" t="n"/>
      <c r="H736" s="30" t="n"/>
      <c r="I736" s="30" t="n"/>
      <c r="J736" s="30" t="n"/>
      <c r="K736" s="30" t="n"/>
      <c r="L736" s="30" t="n"/>
      <c r="M736" s="30" t="n"/>
      <c r="N736" s="30" t="n"/>
      <c r="O736" s="30" t="n"/>
      <c r="P736" s="30" t="n"/>
      <c r="Q736" s="30" t="n"/>
      <c r="R736" s="30" t="n"/>
      <c r="S736" s="30" t="n"/>
      <c r="T736" s="30" t="n"/>
      <c r="U736" s="30" t="n"/>
      <c r="V736" s="30" t="n"/>
      <c r="W736" s="30" t="n"/>
      <c r="X736" s="30" t="n"/>
      <c r="Y736" s="30" t="n"/>
      <c r="Z736" s="30" t="n"/>
      <c r="AA736" s="30" t="n"/>
    </row>
    <row r="737">
      <c r="A737" s="30" t="n"/>
      <c r="B737" s="156" t="n"/>
      <c r="C737" s="30" t="n"/>
      <c r="D737" s="30" t="n"/>
      <c r="E737" s="30" t="n"/>
      <c r="F737" s="30" t="n"/>
      <c r="G737" s="30" t="n"/>
      <c r="H737" s="30" t="n"/>
      <c r="I737" s="30" t="n"/>
      <c r="J737" s="30" t="n"/>
      <c r="K737" s="30" t="n"/>
      <c r="L737" s="30" t="n"/>
      <c r="M737" s="30" t="n"/>
      <c r="N737" s="30" t="n"/>
      <c r="O737" s="30" t="n"/>
      <c r="P737" s="30" t="n"/>
      <c r="Q737" s="30" t="n"/>
      <c r="R737" s="30" t="n"/>
      <c r="S737" s="30" t="n"/>
      <c r="T737" s="30" t="n"/>
      <c r="U737" s="30" t="n"/>
      <c r="V737" s="30" t="n"/>
      <c r="W737" s="30" t="n"/>
      <c r="X737" s="30" t="n"/>
      <c r="Y737" s="30" t="n"/>
      <c r="Z737" s="30" t="n"/>
      <c r="AA737" s="30" t="n"/>
    </row>
    <row r="738">
      <c r="A738" s="30" t="n"/>
      <c r="B738" s="156" t="n"/>
      <c r="C738" s="30" t="n"/>
      <c r="D738" s="30" t="n"/>
      <c r="E738" s="30" t="n"/>
      <c r="F738" s="30" t="n"/>
      <c r="G738" s="30" t="n"/>
      <c r="H738" s="30" t="n"/>
      <c r="I738" s="30" t="n"/>
      <c r="J738" s="30" t="n"/>
      <c r="K738" s="30" t="n"/>
      <c r="L738" s="30" t="n"/>
      <c r="M738" s="30" t="n"/>
      <c r="N738" s="30" t="n"/>
      <c r="O738" s="30" t="n"/>
      <c r="P738" s="30" t="n"/>
      <c r="Q738" s="30" t="n"/>
      <c r="R738" s="30" t="n"/>
      <c r="S738" s="30" t="n"/>
      <c r="T738" s="30" t="n"/>
      <c r="U738" s="30" t="n"/>
      <c r="V738" s="30" t="n"/>
      <c r="W738" s="30" t="n"/>
      <c r="X738" s="30" t="n"/>
      <c r="Y738" s="30" t="n"/>
      <c r="Z738" s="30" t="n"/>
      <c r="AA738" s="30" t="n"/>
    </row>
    <row r="739">
      <c r="A739" s="30" t="n"/>
      <c r="B739" s="156" t="n"/>
      <c r="C739" s="30" t="n"/>
      <c r="D739" s="30" t="n"/>
      <c r="E739" s="30" t="n"/>
      <c r="F739" s="30" t="n"/>
      <c r="G739" s="30" t="n"/>
      <c r="H739" s="30" t="n"/>
      <c r="I739" s="30" t="n"/>
      <c r="J739" s="30" t="n"/>
      <c r="K739" s="30" t="n"/>
      <c r="L739" s="30" t="n"/>
      <c r="M739" s="30" t="n"/>
      <c r="N739" s="30" t="n"/>
      <c r="O739" s="30" t="n"/>
      <c r="P739" s="30" t="n"/>
      <c r="Q739" s="30" t="n"/>
      <c r="R739" s="30" t="n"/>
      <c r="S739" s="30" t="n"/>
      <c r="T739" s="30" t="n"/>
      <c r="U739" s="30" t="n"/>
      <c r="V739" s="30" t="n"/>
      <c r="W739" s="30" t="n"/>
      <c r="X739" s="30" t="n"/>
      <c r="Y739" s="30" t="n"/>
      <c r="Z739" s="30" t="n"/>
      <c r="AA739" s="30" t="n"/>
    </row>
    <row r="740">
      <c r="A740" s="30" t="n"/>
      <c r="B740" s="156" t="n"/>
      <c r="C740" s="30" t="n"/>
      <c r="D740" s="30" t="n"/>
      <c r="E740" s="30" t="n"/>
      <c r="F740" s="30" t="n"/>
      <c r="G740" s="30" t="n"/>
      <c r="H740" s="30" t="n"/>
      <c r="I740" s="30" t="n"/>
      <c r="J740" s="30" t="n"/>
      <c r="K740" s="30" t="n"/>
      <c r="L740" s="30" t="n"/>
      <c r="M740" s="30" t="n"/>
      <c r="N740" s="30" t="n"/>
      <c r="O740" s="30" t="n"/>
      <c r="P740" s="30" t="n"/>
      <c r="Q740" s="30" t="n"/>
      <c r="R740" s="30" t="n"/>
      <c r="S740" s="30" t="n"/>
      <c r="T740" s="30" t="n"/>
      <c r="U740" s="30" t="n"/>
      <c r="V740" s="30" t="n"/>
      <c r="W740" s="30" t="n"/>
      <c r="X740" s="30" t="n"/>
      <c r="Y740" s="30" t="n"/>
      <c r="Z740" s="30" t="n"/>
      <c r="AA740" s="30" t="n"/>
    </row>
    <row r="741">
      <c r="A741" s="30" t="n"/>
      <c r="B741" s="156" t="n"/>
      <c r="C741" s="30" t="n"/>
      <c r="D741" s="30" t="n"/>
      <c r="E741" s="30" t="n"/>
      <c r="F741" s="30" t="n"/>
      <c r="G741" s="30" t="n"/>
      <c r="H741" s="30" t="n"/>
      <c r="I741" s="30" t="n"/>
      <c r="J741" s="30" t="n"/>
      <c r="K741" s="30" t="n"/>
      <c r="L741" s="30" t="n"/>
      <c r="M741" s="30" t="n"/>
      <c r="N741" s="30" t="n"/>
      <c r="O741" s="30" t="n"/>
      <c r="P741" s="30" t="n"/>
      <c r="Q741" s="30" t="n"/>
      <c r="R741" s="30" t="n"/>
      <c r="S741" s="30" t="n"/>
      <c r="T741" s="30" t="n"/>
      <c r="U741" s="30" t="n"/>
      <c r="V741" s="30" t="n"/>
      <c r="W741" s="30" t="n"/>
      <c r="X741" s="30" t="n"/>
      <c r="Y741" s="30" t="n"/>
      <c r="Z741" s="30" t="n"/>
      <c r="AA741" s="30" t="n"/>
    </row>
    <row r="742">
      <c r="A742" s="30" t="n"/>
      <c r="B742" s="156" t="n"/>
      <c r="C742" s="30" t="n"/>
      <c r="D742" s="30" t="n"/>
      <c r="E742" s="30" t="n"/>
      <c r="F742" s="30" t="n"/>
      <c r="G742" s="30" t="n"/>
      <c r="H742" s="30" t="n"/>
      <c r="I742" s="30" t="n"/>
      <c r="J742" s="30" t="n"/>
      <c r="K742" s="30" t="n"/>
      <c r="L742" s="30" t="n"/>
      <c r="M742" s="30" t="n"/>
      <c r="N742" s="30" t="n"/>
      <c r="O742" s="30" t="n"/>
      <c r="P742" s="30" t="n"/>
      <c r="Q742" s="30" t="n"/>
      <c r="R742" s="30" t="n"/>
      <c r="S742" s="30" t="n"/>
      <c r="T742" s="30" t="n"/>
      <c r="U742" s="30" t="n"/>
      <c r="V742" s="30" t="n"/>
      <c r="W742" s="30" t="n"/>
      <c r="X742" s="30" t="n"/>
      <c r="Y742" s="30" t="n"/>
      <c r="Z742" s="30" t="n"/>
      <c r="AA742" s="30" t="n"/>
    </row>
    <row r="743">
      <c r="A743" s="30" t="n"/>
      <c r="B743" s="156" t="n"/>
      <c r="C743" s="30" t="n"/>
      <c r="D743" s="30" t="n"/>
      <c r="E743" s="30" t="n"/>
      <c r="F743" s="30" t="n"/>
      <c r="G743" s="30" t="n"/>
      <c r="H743" s="30" t="n"/>
      <c r="I743" s="30" t="n"/>
      <c r="J743" s="30" t="n"/>
      <c r="K743" s="30" t="n"/>
      <c r="L743" s="30" t="n"/>
      <c r="M743" s="30" t="n"/>
      <c r="N743" s="30" t="n"/>
      <c r="O743" s="30" t="n"/>
      <c r="P743" s="30" t="n"/>
      <c r="Q743" s="30" t="n"/>
      <c r="R743" s="30" t="n"/>
      <c r="S743" s="30" t="n"/>
      <c r="T743" s="30" t="n"/>
      <c r="U743" s="30" t="n"/>
      <c r="V743" s="30" t="n"/>
      <c r="W743" s="30" t="n"/>
      <c r="X743" s="30" t="n"/>
      <c r="Y743" s="30" t="n"/>
      <c r="Z743" s="30" t="n"/>
      <c r="AA743" s="30" t="n"/>
    </row>
    <row r="744">
      <c r="A744" s="30" t="n"/>
      <c r="B744" s="156" t="n"/>
      <c r="C744" s="30" t="n"/>
      <c r="D744" s="30" t="n"/>
      <c r="E744" s="30" t="n"/>
      <c r="F744" s="30" t="n"/>
      <c r="G744" s="30" t="n"/>
      <c r="H744" s="30" t="n"/>
      <c r="I744" s="30" t="n"/>
      <c r="J744" s="30" t="n"/>
      <c r="K744" s="30" t="n"/>
      <c r="L744" s="30" t="n"/>
      <c r="M744" s="30" t="n"/>
      <c r="N744" s="30" t="n"/>
      <c r="O744" s="30" t="n"/>
      <c r="P744" s="30" t="n"/>
      <c r="Q744" s="30" t="n"/>
      <c r="R744" s="30" t="n"/>
      <c r="S744" s="30" t="n"/>
      <c r="T744" s="30" t="n"/>
      <c r="U744" s="30" t="n"/>
      <c r="V744" s="30" t="n"/>
      <c r="W744" s="30" t="n"/>
      <c r="X744" s="30" t="n"/>
      <c r="Y744" s="30" t="n"/>
      <c r="Z744" s="30" t="n"/>
      <c r="AA744" s="30" t="n"/>
    </row>
    <row r="745">
      <c r="A745" s="30" t="n"/>
      <c r="B745" s="156" t="n"/>
      <c r="C745" s="30" t="n"/>
      <c r="D745" s="30" t="n"/>
      <c r="E745" s="30" t="n"/>
      <c r="F745" s="30" t="n"/>
      <c r="G745" s="30" t="n"/>
      <c r="H745" s="30" t="n"/>
      <c r="I745" s="30" t="n"/>
      <c r="J745" s="30" t="n"/>
      <c r="K745" s="30" t="n"/>
      <c r="L745" s="30" t="n"/>
      <c r="M745" s="30" t="n"/>
      <c r="N745" s="30" t="n"/>
      <c r="O745" s="30" t="n"/>
      <c r="P745" s="30" t="n"/>
      <c r="Q745" s="30" t="n"/>
      <c r="R745" s="30" t="n"/>
      <c r="S745" s="30" t="n"/>
      <c r="T745" s="30" t="n"/>
      <c r="U745" s="30" t="n"/>
      <c r="V745" s="30" t="n"/>
      <c r="W745" s="30" t="n"/>
      <c r="X745" s="30" t="n"/>
      <c r="Y745" s="30" t="n"/>
      <c r="Z745" s="30" t="n"/>
      <c r="AA745" s="30" t="n"/>
    </row>
    <row r="746">
      <c r="A746" s="30" t="n"/>
      <c r="B746" s="156" t="n"/>
      <c r="C746" s="30" t="n"/>
      <c r="D746" s="30" t="n"/>
      <c r="E746" s="30" t="n"/>
      <c r="F746" s="30" t="n"/>
      <c r="G746" s="30" t="n"/>
      <c r="H746" s="30" t="n"/>
      <c r="I746" s="30" t="n"/>
      <c r="J746" s="30" t="n"/>
      <c r="K746" s="30" t="n"/>
      <c r="L746" s="30" t="n"/>
      <c r="M746" s="30" t="n"/>
      <c r="N746" s="30" t="n"/>
      <c r="O746" s="30" t="n"/>
      <c r="P746" s="30" t="n"/>
      <c r="Q746" s="30" t="n"/>
      <c r="R746" s="30" t="n"/>
      <c r="S746" s="30" t="n"/>
      <c r="T746" s="30" t="n"/>
      <c r="U746" s="30" t="n"/>
      <c r="V746" s="30" t="n"/>
      <c r="W746" s="30" t="n"/>
      <c r="X746" s="30" t="n"/>
      <c r="Y746" s="30" t="n"/>
      <c r="Z746" s="30" t="n"/>
      <c r="AA746" s="30" t="n"/>
    </row>
    <row r="747">
      <c r="A747" s="30" t="n"/>
      <c r="B747" s="156" t="n"/>
      <c r="C747" s="30" t="n"/>
      <c r="D747" s="30" t="n"/>
      <c r="E747" s="30" t="n"/>
      <c r="F747" s="30" t="n"/>
      <c r="G747" s="30" t="n"/>
      <c r="H747" s="30" t="n"/>
      <c r="I747" s="30" t="n"/>
      <c r="J747" s="30" t="n"/>
      <c r="K747" s="30" t="n"/>
      <c r="L747" s="30" t="n"/>
      <c r="M747" s="30" t="n"/>
      <c r="N747" s="30" t="n"/>
      <c r="O747" s="30" t="n"/>
      <c r="P747" s="30" t="n"/>
      <c r="Q747" s="30" t="n"/>
      <c r="R747" s="30" t="n"/>
      <c r="S747" s="30" t="n"/>
      <c r="T747" s="30" t="n"/>
      <c r="U747" s="30" t="n"/>
      <c r="V747" s="30" t="n"/>
      <c r="W747" s="30" t="n"/>
      <c r="X747" s="30" t="n"/>
      <c r="Y747" s="30" t="n"/>
      <c r="Z747" s="30" t="n"/>
      <c r="AA747" s="30" t="n"/>
    </row>
    <row r="748">
      <c r="A748" s="30" t="n"/>
      <c r="B748" s="156" t="n"/>
      <c r="C748" s="30" t="n"/>
      <c r="D748" s="30" t="n"/>
      <c r="E748" s="30" t="n"/>
      <c r="F748" s="30" t="n"/>
      <c r="G748" s="30" t="n"/>
      <c r="H748" s="30" t="n"/>
      <c r="I748" s="30" t="n"/>
      <c r="J748" s="30" t="n"/>
      <c r="K748" s="30" t="n"/>
      <c r="L748" s="30" t="n"/>
      <c r="M748" s="30" t="n"/>
      <c r="N748" s="30" t="n"/>
      <c r="O748" s="30" t="n"/>
      <c r="P748" s="30" t="n"/>
      <c r="Q748" s="30" t="n"/>
      <c r="R748" s="30" t="n"/>
      <c r="S748" s="30" t="n"/>
      <c r="T748" s="30" t="n"/>
      <c r="U748" s="30" t="n"/>
      <c r="V748" s="30" t="n"/>
      <c r="W748" s="30" t="n"/>
      <c r="X748" s="30" t="n"/>
      <c r="Y748" s="30" t="n"/>
      <c r="Z748" s="30" t="n"/>
      <c r="AA748" s="30" t="n"/>
    </row>
    <row r="749">
      <c r="A749" s="30" t="n"/>
      <c r="B749" s="156" t="n"/>
      <c r="C749" s="30" t="n"/>
      <c r="D749" s="30" t="n"/>
      <c r="E749" s="30" t="n"/>
      <c r="F749" s="30" t="n"/>
      <c r="G749" s="30" t="n"/>
      <c r="H749" s="30" t="n"/>
      <c r="I749" s="30" t="n"/>
      <c r="J749" s="30" t="n"/>
      <c r="K749" s="30" t="n"/>
      <c r="L749" s="30" t="n"/>
      <c r="M749" s="30" t="n"/>
      <c r="N749" s="30" t="n"/>
      <c r="O749" s="30" t="n"/>
      <c r="P749" s="30" t="n"/>
      <c r="Q749" s="30" t="n"/>
      <c r="R749" s="30" t="n"/>
      <c r="S749" s="30" t="n"/>
      <c r="T749" s="30" t="n"/>
      <c r="U749" s="30" t="n"/>
      <c r="V749" s="30" t="n"/>
      <c r="W749" s="30" t="n"/>
      <c r="X749" s="30" t="n"/>
      <c r="Y749" s="30" t="n"/>
      <c r="Z749" s="30" t="n"/>
      <c r="AA749" s="30" t="n"/>
    </row>
    <row r="750">
      <c r="A750" s="30" t="n"/>
      <c r="B750" s="156" t="n"/>
      <c r="C750" s="30" t="n"/>
      <c r="D750" s="30" t="n"/>
      <c r="E750" s="30" t="n"/>
      <c r="F750" s="30" t="n"/>
      <c r="G750" s="30" t="n"/>
      <c r="H750" s="30" t="n"/>
      <c r="I750" s="30" t="n"/>
      <c r="J750" s="30" t="n"/>
      <c r="K750" s="30" t="n"/>
      <c r="L750" s="30" t="n"/>
      <c r="M750" s="30" t="n"/>
      <c r="N750" s="30" t="n"/>
      <c r="O750" s="30" t="n"/>
      <c r="P750" s="30" t="n"/>
      <c r="Q750" s="30" t="n"/>
      <c r="R750" s="30" t="n"/>
      <c r="S750" s="30" t="n"/>
      <c r="T750" s="30" t="n"/>
      <c r="U750" s="30" t="n"/>
      <c r="V750" s="30" t="n"/>
      <c r="W750" s="30" t="n"/>
      <c r="X750" s="30" t="n"/>
      <c r="Y750" s="30" t="n"/>
      <c r="Z750" s="30" t="n"/>
      <c r="AA750" s="30" t="n"/>
    </row>
    <row r="751">
      <c r="A751" s="30" t="n"/>
      <c r="B751" s="156" t="n"/>
      <c r="C751" s="30" t="n"/>
      <c r="D751" s="30" t="n"/>
      <c r="E751" s="30" t="n"/>
      <c r="F751" s="30" t="n"/>
      <c r="G751" s="30" t="n"/>
      <c r="H751" s="30" t="n"/>
      <c r="I751" s="30" t="n"/>
      <c r="J751" s="30" t="n"/>
      <c r="K751" s="30" t="n"/>
      <c r="L751" s="30" t="n"/>
      <c r="M751" s="30" t="n"/>
      <c r="N751" s="30" t="n"/>
      <c r="O751" s="30" t="n"/>
      <c r="P751" s="30" t="n"/>
      <c r="Q751" s="30" t="n"/>
      <c r="R751" s="30" t="n"/>
      <c r="S751" s="30" t="n"/>
      <c r="T751" s="30" t="n"/>
      <c r="U751" s="30" t="n"/>
      <c r="V751" s="30" t="n"/>
      <c r="W751" s="30" t="n"/>
      <c r="X751" s="30" t="n"/>
      <c r="Y751" s="30" t="n"/>
      <c r="Z751" s="30" t="n"/>
      <c r="AA751" s="30" t="n"/>
    </row>
    <row r="752">
      <c r="A752" s="30" t="n"/>
      <c r="B752" s="156" t="n"/>
      <c r="C752" s="30" t="n"/>
      <c r="D752" s="30" t="n"/>
      <c r="E752" s="30" t="n"/>
      <c r="F752" s="30" t="n"/>
      <c r="G752" s="30" t="n"/>
      <c r="H752" s="30" t="n"/>
      <c r="I752" s="30" t="n"/>
      <c r="J752" s="30" t="n"/>
      <c r="K752" s="30" t="n"/>
      <c r="L752" s="30" t="n"/>
      <c r="M752" s="30" t="n"/>
      <c r="N752" s="30" t="n"/>
      <c r="O752" s="30" t="n"/>
      <c r="P752" s="30" t="n"/>
      <c r="Q752" s="30" t="n"/>
      <c r="R752" s="30" t="n"/>
      <c r="S752" s="30" t="n"/>
      <c r="T752" s="30" t="n"/>
      <c r="U752" s="30" t="n"/>
      <c r="V752" s="30" t="n"/>
      <c r="W752" s="30" t="n"/>
      <c r="X752" s="30" t="n"/>
      <c r="Y752" s="30" t="n"/>
      <c r="Z752" s="30" t="n"/>
      <c r="AA752" s="30" t="n"/>
    </row>
    <row r="753">
      <c r="A753" s="30" t="n"/>
      <c r="B753" s="156" t="n"/>
      <c r="C753" s="30" t="n"/>
      <c r="D753" s="30" t="n"/>
      <c r="E753" s="30" t="n"/>
      <c r="F753" s="30" t="n"/>
      <c r="G753" s="30" t="n"/>
      <c r="H753" s="30" t="n"/>
      <c r="I753" s="30" t="n"/>
      <c r="J753" s="30" t="n"/>
      <c r="K753" s="30" t="n"/>
      <c r="L753" s="30" t="n"/>
      <c r="M753" s="30" t="n"/>
      <c r="N753" s="30" t="n"/>
      <c r="O753" s="30" t="n"/>
      <c r="P753" s="30" t="n"/>
      <c r="Q753" s="30" t="n"/>
      <c r="R753" s="30" t="n"/>
      <c r="S753" s="30" t="n"/>
      <c r="T753" s="30" t="n"/>
      <c r="U753" s="30" t="n"/>
      <c r="V753" s="30" t="n"/>
      <c r="W753" s="30" t="n"/>
      <c r="X753" s="30" t="n"/>
      <c r="Y753" s="30" t="n"/>
      <c r="Z753" s="30" t="n"/>
      <c r="AA753" s="30" t="n"/>
    </row>
    <row r="754">
      <c r="A754" s="30" t="n"/>
      <c r="B754" s="156" t="n"/>
      <c r="C754" s="30" t="n"/>
      <c r="D754" s="30" t="n"/>
      <c r="E754" s="30" t="n"/>
      <c r="F754" s="30" t="n"/>
      <c r="G754" s="30" t="n"/>
      <c r="H754" s="30" t="n"/>
      <c r="I754" s="30" t="n"/>
      <c r="J754" s="30" t="n"/>
      <c r="K754" s="30" t="n"/>
      <c r="L754" s="30" t="n"/>
      <c r="M754" s="30" t="n"/>
      <c r="N754" s="30" t="n"/>
      <c r="O754" s="30" t="n"/>
      <c r="P754" s="30" t="n"/>
      <c r="Q754" s="30" t="n"/>
      <c r="R754" s="30" t="n"/>
      <c r="S754" s="30" t="n"/>
      <c r="T754" s="30" t="n"/>
      <c r="U754" s="30" t="n"/>
      <c r="V754" s="30" t="n"/>
      <c r="W754" s="30" t="n"/>
      <c r="X754" s="30" t="n"/>
      <c r="Y754" s="30" t="n"/>
      <c r="Z754" s="30" t="n"/>
      <c r="AA754" s="30" t="n"/>
    </row>
    <row r="755">
      <c r="A755" s="30" t="n"/>
      <c r="B755" s="156" t="n"/>
      <c r="C755" s="30" t="n"/>
      <c r="D755" s="30" t="n"/>
      <c r="E755" s="30" t="n"/>
      <c r="F755" s="30" t="n"/>
      <c r="G755" s="30" t="n"/>
      <c r="H755" s="30" t="n"/>
      <c r="I755" s="30" t="n"/>
      <c r="J755" s="30" t="n"/>
      <c r="K755" s="30" t="n"/>
      <c r="L755" s="30" t="n"/>
      <c r="M755" s="30" t="n"/>
      <c r="N755" s="30" t="n"/>
      <c r="O755" s="30" t="n"/>
      <c r="P755" s="30" t="n"/>
      <c r="Q755" s="30" t="n"/>
      <c r="R755" s="30" t="n"/>
      <c r="S755" s="30" t="n"/>
      <c r="T755" s="30" t="n"/>
      <c r="U755" s="30" t="n"/>
      <c r="V755" s="30" t="n"/>
      <c r="W755" s="30" t="n"/>
      <c r="X755" s="30" t="n"/>
      <c r="Y755" s="30" t="n"/>
      <c r="Z755" s="30" t="n"/>
      <c r="AA755" s="30" t="n"/>
    </row>
    <row r="756">
      <c r="A756" s="30" t="n"/>
      <c r="B756" s="156" t="n"/>
      <c r="C756" s="30" t="n"/>
      <c r="D756" s="30" t="n"/>
      <c r="E756" s="30" t="n"/>
      <c r="F756" s="30" t="n"/>
      <c r="G756" s="30" t="n"/>
      <c r="H756" s="30" t="n"/>
      <c r="I756" s="30" t="n"/>
      <c r="J756" s="30" t="n"/>
      <c r="K756" s="30" t="n"/>
      <c r="L756" s="30" t="n"/>
      <c r="M756" s="30" t="n"/>
      <c r="N756" s="30" t="n"/>
      <c r="O756" s="30" t="n"/>
      <c r="P756" s="30" t="n"/>
      <c r="Q756" s="30" t="n"/>
      <c r="R756" s="30" t="n"/>
      <c r="S756" s="30" t="n"/>
      <c r="T756" s="30" t="n"/>
      <c r="U756" s="30" t="n"/>
      <c r="V756" s="30" t="n"/>
      <c r="W756" s="30" t="n"/>
      <c r="X756" s="30" t="n"/>
      <c r="Y756" s="30" t="n"/>
      <c r="Z756" s="30" t="n"/>
      <c r="AA756" s="30" t="n"/>
    </row>
    <row r="757">
      <c r="A757" s="30" t="n"/>
      <c r="B757" s="156" t="n"/>
      <c r="C757" s="30" t="n"/>
      <c r="D757" s="30" t="n"/>
      <c r="E757" s="30" t="n"/>
      <c r="F757" s="30" t="n"/>
      <c r="G757" s="30" t="n"/>
      <c r="H757" s="30" t="n"/>
      <c r="I757" s="30" t="n"/>
      <c r="J757" s="30" t="n"/>
      <c r="K757" s="30" t="n"/>
      <c r="L757" s="30" t="n"/>
      <c r="M757" s="30" t="n"/>
      <c r="N757" s="30" t="n"/>
      <c r="O757" s="30" t="n"/>
      <c r="P757" s="30" t="n"/>
      <c r="Q757" s="30" t="n"/>
      <c r="R757" s="30" t="n"/>
      <c r="S757" s="30" t="n"/>
      <c r="T757" s="30" t="n"/>
      <c r="U757" s="30" t="n"/>
      <c r="V757" s="30" t="n"/>
      <c r="W757" s="30" t="n"/>
      <c r="X757" s="30" t="n"/>
      <c r="Y757" s="30" t="n"/>
      <c r="Z757" s="30" t="n"/>
      <c r="AA757" s="30" t="n"/>
    </row>
    <row r="758">
      <c r="A758" s="30" t="n"/>
      <c r="B758" s="156" t="n"/>
      <c r="C758" s="30" t="n"/>
      <c r="D758" s="30" t="n"/>
      <c r="E758" s="30" t="n"/>
      <c r="F758" s="30" t="n"/>
      <c r="G758" s="30" t="n"/>
      <c r="H758" s="30" t="n"/>
      <c r="I758" s="30" t="n"/>
      <c r="J758" s="30" t="n"/>
      <c r="K758" s="30" t="n"/>
      <c r="L758" s="30" t="n"/>
      <c r="M758" s="30" t="n"/>
      <c r="N758" s="30" t="n"/>
      <c r="O758" s="30" t="n"/>
      <c r="P758" s="30" t="n"/>
      <c r="Q758" s="30" t="n"/>
      <c r="R758" s="30" t="n"/>
      <c r="S758" s="30" t="n"/>
      <c r="T758" s="30" t="n"/>
      <c r="U758" s="30" t="n"/>
      <c r="V758" s="30" t="n"/>
      <c r="W758" s="30" t="n"/>
      <c r="X758" s="30" t="n"/>
      <c r="Y758" s="30" t="n"/>
      <c r="Z758" s="30" t="n"/>
      <c r="AA758" s="30" t="n"/>
    </row>
    <row r="759">
      <c r="A759" s="30" t="n"/>
      <c r="B759" s="156" t="n"/>
      <c r="C759" s="30" t="n"/>
      <c r="D759" s="30" t="n"/>
      <c r="E759" s="30" t="n"/>
      <c r="F759" s="30" t="n"/>
      <c r="G759" s="30" t="n"/>
      <c r="H759" s="30" t="n"/>
      <c r="I759" s="30" t="n"/>
      <c r="J759" s="30" t="n"/>
      <c r="K759" s="30" t="n"/>
      <c r="L759" s="30" t="n"/>
      <c r="M759" s="30" t="n"/>
      <c r="N759" s="30" t="n"/>
      <c r="O759" s="30" t="n"/>
      <c r="P759" s="30" t="n"/>
      <c r="Q759" s="30" t="n"/>
      <c r="R759" s="30" t="n"/>
      <c r="S759" s="30" t="n"/>
      <c r="T759" s="30" t="n"/>
      <c r="U759" s="30" t="n"/>
      <c r="V759" s="30" t="n"/>
      <c r="W759" s="30" t="n"/>
      <c r="X759" s="30" t="n"/>
      <c r="Y759" s="30" t="n"/>
      <c r="Z759" s="30" t="n"/>
      <c r="AA759" s="30" t="n"/>
    </row>
    <row r="760">
      <c r="A760" s="30" t="n"/>
      <c r="B760" s="156" t="n"/>
      <c r="C760" s="30" t="n"/>
      <c r="D760" s="30" t="n"/>
      <c r="E760" s="30" t="n"/>
      <c r="F760" s="30" t="n"/>
      <c r="G760" s="30" t="n"/>
      <c r="H760" s="30" t="n"/>
      <c r="I760" s="30" t="n"/>
      <c r="J760" s="30" t="n"/>
      <c r="K760" s="30" t="n"/>
      <c r="L760" s="30" t="n"/>
      <c r="M760" s="30" t="n"/>
      <c r="N760" s="30" t="n"/>
      <c r="O760" s="30" t="n"/>
      <c r="P760" s="30" t="n"/>
      <c r="Q760" s="30" t="n"/>
      <c r="R760" s="30" t="n"/>
      <c r="S760" s="30" t="n"/>
      <c r="T760" s="30" t="n"/>
      <c r="U760" s="30" t="n"/>
      <c r="V760" s="30" t="n"/>
      <c r="W760" s="30" t="n"/>
      <c r="X760" s="30" t="n"/>
      <c r="Y760" s="30" t="n"/>
      <c r="Z760" s="30" t="n"/>
      <c r="AA760" s="30" t="n"/>
    </row>
    <row r="761">
      <c r="A761" s="30" t="n"/>
      <c r="B761" s="156" t="n"/>
      <c r="C761" s="30" t="n"/>
      <c r="D761" s="30" t="n"/>
      <c r="E761" s="30" t="n"/>
      <c r="F761" s="30" t="n"/>
      <c r="G761" s="30" t="n"/>
      <c r="H761" s="30" t="n"/>
      <c r="I761" s="30" t="n"/>
      <c r="J761" s="30" t="n"/>
      <c r="K761" s="30" t="n"/>
      <c r="L761" s="30" t="n"/>
      <c r="M761" s="30" t="n"/>
      <c r="N761" s="30" t="n"/>
      <c r="O761" s="30" t="n"/>
      <c r="P761" s="30" t="n"/>
      <c r="Q761" s="30" t="n"/>
      <c r="R761" s="30" t="n"/>
      <c r="S761" s="30" t="n"/>
      <c r="T761" s="30" t="n"/>
      <c r="U761" s="30" t="n"/>
      <c r="V761" s="30" t="n"/>
      <c r="W761" s="30" t="n"/>
      <c r="X761" s="30" t="n"/>
      <c r="Y761" s="30" t="n"/>
      <c r="Z761" s="30" t="n"/>
      <c r="AA761" s="30" t="n"/>
    </row>
    <row r="762">
      <c r="A762" s="30" t="n"/>
      <c r="B762" s="156" t="n"/>
      <c r="C762" s="30" t="n"/>
      <c r="D762" s="30" t="n"/>
      <c r="E762" s="30" t="n"/>
      <c r="F762" s="30" t="n"/>
      <c r="G762" s="30" t="n"/>
      <c r="H762" s="30" t="n"/>
      <c r="I762" s="30" t="n"/>
      <c r="J762" s="30" t="n"/>
      <c r="K762" s="30" t="n"/>
      <c r="L762" s="30" t="n"/>
      <c r="M762" s="30" t="n"/>
      <c r="N762" s="30" t="n"/>
      <c r="O762" s="30" t="n"/>
      <c r="P762" s="30" t="n"/>
      <c r="Q762" s="30" t="n"/>
      <c r="R762" s="30" t="n"/>
      <c r="S762" s="30" t="n"/>
      <c r="T762" s="30" t="n"/>
      <c r="U762" s="30" t="n"/>
      <c r="V762" s="30" t="n"/>
      <c r="W762" s="30" t="n"/>
      <c r="X762" s="30" t="n"/>
      <c r="Y762" s="30" t="n"/>
      <c r="Z762" s="30" t="n"/>
      <c r="AA762" s="30" t="n"/>
    </row>
    <row r="763">
      <c r="A763" s="30" t="n"/>
      <c r="B763" s="156" t="n"/>
      <c r="C763" s="30" t="n"/>
      <c r="D763" s="30" t="n"/>
      <c r="E763" s="30" t="n"/>
      <c r="F763" s="30" t="n"/>
      <c r="G763" s="30" t="n"/>
      <c r="H763" s="30" t="n"/>
      <c r="I763" s="30" t="n"/>
      <c r="J763" s="30" t="n"/>
      <c r="K763" s="30" t="n"/>
      <c r="L763" s="30" t="n"/>
      <c r="M763" s="30" t="n"/>
      <c r="N763" s="30" t="n"/>
      <c r="O763" s="30" t="n"/>
      <c r="P763" s="30" t="n"/>
      <c r="Q763" s="30" t="n"/>
      <c r="R763" s="30" t="n"/>
      <c r="S763" s="30" t="n"/>
      <c r="T763" s="30" t="n"/>
      <c r="U763" s="30" t="n"/>
      <c r="V763" s="30" t="n"/>
      <c r="W763" s="30" t="n"/>
      <c r="X763" s="30" t="n"/>
      <c r="Y763" s="30" t="n"/>
      <c r="Z763" s="30" t="n"/>
      <c r="AA763" s="30" t="n"/>
    </row>
    <row r="764">
      <c r="A764" s="30" t="n"/>
      <c r="B764" s="156" t="n"/>
      <c r="C764" s="30" t="n"/>
      <c r="D764" s="30" t="n"/>
      <c r="E764" s="30" t="n"/>
      <c r="F764" s="30" t="n"/>
      <c r="G764" s="30" t="n"/>
      <c r="H764" s="30" t="n"/>
      <c r="I764" s="30" t="n"/>
      <c r="J764" s="30" t="n"/>
      <c r="K764" s="30" t="n"/>
      <c r="L764" s="30" t="n"/>
      <c r="M764" s="30" t="n"/>
      <c r="N764" s="30" t="n"/>
      <c r="O764" s="30" t="n"/>
      <c r="P764" s="30" t="n"/>
      <c r="Q764" s="30" t="n"/>
      <c r="R764" s="30" t="n"/>
      <c r="S764" s="30" t="n"/>
      <c r="T764" s="30" t="n"/>
      <c r="U764" s="30" t="n"/>
      <c r="V764" s="30" t="n"/>
      <c r="W764" s="30" t="n"/>
      <c r="X764" s="30" t="n"/>
      <c r="Y764" s="30" t="n"/>
      <c r="Z764" s="30" t="n"/>
      <c r="AA764" s="30" t="n"/>
    </row>
    <row r="765">
      <c r="A765" s="30" t="n"/>
      <c r="B765" s="156" t="n"/>
      <c r="C765" s="30" t="n"/>
      <c r="D765" s="30" t="n"/>
      <c r="E765" s="30" t="n"/>
      <c r="F765" s="30" t="n"/>
      <c r="G765" s="30" t="n"/>
      <c r="H765" s="30" t="n"/>
      <c r="I765" s="30" t="n"/>
      <c r="J765" s="30" t="n"/>
      <c r="K765" s="30" t="n"/>
      <c r="L765" s="30" t="n"/>
      <c r="M765" s="30" t="n"/>
      <c r="N765" s="30" t="n"/>
      <c r="O765" s="30" t="n"/>
      <c r="P765" s="30" t="n"/>
      <c r="Q765" s="30" t="n"/>
      <c r="R765" s="30" t="n"/>
      <c r="S765" s="30" t="n"/>
      <c r="T765" s="30" t="n"/>
      <c r="U765" s="30" t="n"/>
      <c r="V765" s="30" t="n"/>
      <c r="W765" s="30" t="n"/>
      <c r="X765" s="30" t="n"/>
      <c r="Y765" s="30" t="n"/>
      <c r="Z765" s="30" t="n"/>
      <c r="AA765" s="30" t="n"/>
    </row>
    <row r="766">
      <c r="A766" s="30" t="n"/>
      <c r="B766" s="156" t="n"/>
      <c r="C766" s="30" t="n"/>
      <c r="D766" s="30" t="n"/>
      <c r="E766" s="30" t="n"/>
      <c r="F766" s="30" t="n"/>
      <c r="G766" s="30" t="n"/>
      <c r="H766" s="30" t="n"/>
      <c r="I766" s="30" t="n"/>
      <c r="J766" s="30" t="n"/>
      <c r="K766" s="30" t="n"/>
      <c r="L766" s="30" t="n"/>
      <c r="M766" s="30" t="n"/>
      <c r="N766" s="30" t="n"/>
      <c r="O766" s="30" t="n"/>
      <c r="P766" s="30" t="n"/>
      <c r="Q766" s="30" t="n"/>
      <c r="R766" s="30" t="n"/>
      <c r="S766" s="30" t="n"/>
      <c r="T766" s="30" t="n"/>
      <c r="U766" s="30" t="n"/>
      <c r="V766" s="30" t="n"/>
      <c r="W766" s="30" t="n"/>
      <c r="X766" s="30" t="n"/>
      <c r="Y766" s="30" t="n"/>
      <c r="Z766" s="30" t="n"/>
      <c r="AA766" s="30" t="n"/>
    </row>
    <row r="767">
      <c r="A767" s="30" t="n"/>
      <c r="B767" s="156" t="n"/>
      <c r="C767" s="30" t="n"/>
      <c r="D767" s="30" t="n"/>
      <c r="E767" s="30" t="n"/>
      <c r="F767" s="30" t="n"/>
      <c r="G767" s="30" t="n"/>
      <c r="H767" s="30" t="n"/>
      <c r="I767" s="30" t="n"/>
      <c r="J767" s="30" t="n"/>
      <c r="K767" s="30" t="n"/>
      <c r="L767" s="30" t="n"/>
      <c r="M767" s="30" t="n"/>
      <c r="N767" s="30" t="n"/>
      <c r="O767" s="30" t="n"/>
      <c r="P767" s="30" t="n"/>
      <c r="Q767" s="30" t="n"/>
      <c r="R767" s="30" t="n"/>
      <c r="S767" s="30" t="n"/>
      <c r="T767" s="30" t="n"/>
      <c r="U767" s="30" t="n"/>
      <c r="V767" s="30" t="n"/>
      <c r="W767" s="30" t="n"/>
      <c r="X767" s="30" t="n"/>
      <c r="Y767" s="30" t="n"/>
      <c r="Z767" s="30" t="n"/>
      <c r="AA767" s="30" t="n"/>
    </row>
    <row r="768">
      <c r="A768" s="30" t="n"/>
      <c r="B768" s="156" t="n"/>
      <c r="C768" s="30" t="n"/>
      <c r="D768" s="30" t="n"/>
      <c r="E768" s="30" t="n"/>
      <c r="F768" s="30" t="n"/>
      <c r="G768" s="30" t="n"/>
      <c r="H768" s="30" t="n"/>
      <c r="I768" s="30" t="n"/>
      <c r="J768" s="30" t="n"/>
      <c r="K768" s="30" t="n"/>
      <c r="L768" s="30" t="n"/>
      <c r="M768" s="30" t="n"/>
      <c r="N768" s="30" t="n"/>
      <c r="O768" s="30" t="n"/>
      <c r="P768" s="30" t="n"/>
      <c r="Q768" s="30" t="n"/>
      <c r="R768" s="30" t="n"/>
      <c r="S768" s="30" t="n"/>
      <c r="T768" s="30" t="n"/>
      <c r="U768" s="30" t="n"/>
      <c r="V768" s="30" t="n"/>
      <c r="W768" s="30" t="n"/>
      <c r="X768" s="30" t="n"/>
      <c r="Y768" s="30" t="n"/>
      <c r="Z768" s="30" t="n"/>
      <c r="AA768" s="30" t="n"/>
    </row>
    <row r="769">
      <c r="A769" s="30" t="n"/>
      <c r="B769" s="156" t="n"/>
      <c r="C769" s="30" t="n"/>
      <c r="D769" s="30" t="n"/>
      <c r="E769" s="30" t="n"/>
      <c r="F769" s="30" t="n"/>
      <c r="G769" s="30" t="n"/>
      <c r="H769" s="30" t="n"/>
      <c r="I769" s="30" t="n"/>
      <c r="J769" s="30" t="n"/>
      <c r="K769" s="30" t="n"/>
      <c r="L769" s="30" t="n"/>
      <c r="M769" s="30" t="n"/>
      <c r="N769" s="30" t="n"/>
      <c r="O769" s="30" t="n"/>
      <c r="P769" s="30" t="n"/>
      <c r="Q769" s="30" t="n"/>
      <c r="R769" s="30" t="n"/>
      <c r="S769" s="30" t="n"/>
      <c r="T769" s="30" t="n"/>
      <c r="U769" s="30" t="n"/>
      <c r="V769" s="30" t="n"/>
      <c r="W769" s="30" t="n"/>
      <c r="X769" s="30" t="n"/>
      <c r="Y769" s="30" t="n"/>
      <c r="Z769" s="30" t="n"/>
      <c r="AA769" s="30" t="n"/>
    </row>
    <row r="770">
      <c r="A770" s="30" t="n"/>
      <c r="B770" s="156" t="n"/>
      <c r="C770" s="30" t="n"/>
      <c r="D770" s="30" t="n"/>
      <c r="E770" s="30" t="n"/>
      <c r="F770" s="30" t="n"/>
      <c r="G770" s="30" t="n"/>
      <c r="H770" s="30" t="n"/>
      <c r="I770" s="30" t="n"/>
      <c r="J770" s="30" t="n"/>
      <c r="K770" s="30" t="n"/>
      <c r="L770" s="30" t="n"/>
      <c r="M770" s="30" t="n"/>
      <c r="N770" s="30" t="n"/>
      <c r="O770" s="30" t="n"/>
      <c r="P770" s="30" t="n"/>
      <c r="Q770" s="30" t="n"/>
      <c r="R770" s="30" t="n"/>
      <c r="S770" s="30" t="n"/>
      <c r="T770" s="30" t="n"/>
      <c r="U770" s="30" t="n"/>
      <c r="V770" s="30" t="n"/>
      <c r="W770" s="30" t="n"/>
      <c r="X770" s="30" t="n"/>
      <c r="Y770" s="30" t="n"/>
      <c r="Z770" s="30" t="n"/>
      <c r="AA770" s="30" t="n"/>
    </row>
    <row r="771">
      <c r="A771" s="30" t="n"/>
      <c r="B771" s="156" t="n"/>
      <c r="C771" s="30" t="n"/>
      <c r="D771" s="30" t="n"/>
      <c r="E771" s="30" t="n"/>
      <c r="F771" s="30" t="n"/>
      <c r="G771" s="30" t="n"/>
      <c r="H771" s="30" t="n"/>
      <c r="I771" s="30" t="n"/>
      <c r="J771" s="30" t="n"/>
      <c r="K771" s="30" t="n"/>
      <c r="L771" s="30" t="n"/>
      <c r="M771" s="30" t="n"/>
      <c r="N771" s="30" t="n"/>
      <c r="O771" s="30" t="n"/>
      <c r="P771" s="30" t="n"/>
      <c r="Q771" s="30" t="n"/>
      <c r="R771" s="30" t="n"/>
      <c r="S771" s="30" t="n"/>
      <c r="T771" s="30" t="n"/>
      <c r="U771" s="30" t="n"/>
      <c r="V771" s="30" t="n"/>
      <c r="W771" s="30" t="n"/>
      <c r="X771" s="30" t="n"/>
      <c r="Y771" s="30" t="n"/>
      <c r="Z771" s="30" t="n"/>
      <c r="AA771" s="30" t="n"/>
    </row>
    <row r="772">
      <c r="A772" s="30" t="n"/>
      <c r="B772" s="156" t="n"/>
      <c r="C772" s="30" t="n"/>
      <c r="D772" s="30" t="n"/>
      <c r="E772" s="30" t="n"/>
      <c r="F772" s="30" t="n"/>
      <c r="G772" s="30" t="n"/>
      <c r="H772" s="30" t="n"/>
      <c r="I772" s="30" t="n"/>
      <c r="J772" s="30" t="n"/>
      <c r="K772" s="30" t="n"/>
      <c r="L772" s="30" t="n"/>
      <c r="M772" s="30" t="n"/>
      <c r="N772" s="30" t="n"/>
      <c r="O772" s="30" t="n"/>
      <c r="P772" s="30" t="n"/>
      <c r="Q772" s="30" t="n"/>
      <c r="R772" s="30" t="n"/>
      <c r="S772" s="30" t="n"/>
      <c r="T772" s="30" t="n"/>
      <c r="U772" s="30" t="n"/>
      <c r="V772" s="30" t="n"/>
      <c r="W772" s="30" t="n"/>
      <c r="X772" s="30" t="n"/>
      <c r="Y772" s="30" t="n"/>
      <c r="Z772" s="30" t="n"/>
      <c r="AA772" s="30" t="n"/>
    </row>
    <row r="773">
      <c r="A773" s="30" t="n"/>
      <c r="B773" s="156" t="n"/>
      <c r="C773" s="30" t="n"/>
      <c r="D773" s="30" t="n"/>
      <c r="E773" s="30" t="n"/>
      <c r="F773" s="30" t="n"/>
      <c r="G773" s="30" t="n"/>
      <c r="H773" s="30" t="n"/>
      <c r="I773" s="30" t="n"/>
      <c r="J773" s="30" t="n"/>
      <c r="K773" s="30" t="n"/>
      <c r="L773" s="30" t="n"/>
      <c r="M773" s="30" t="n"/>
      <c r="N773" s="30" t="n"/>
      <c r="O773" s="30" t="n"/>
      <c r="P773" s="30" t="n"/>
      <c r="Q773" s="30" t="n"/>
      <c r="R773" s="30" t="n"/>
      <c r="S773" s="30" t="n"/>
      <c r="T773" s="30" t="n"/>
      <c r="U773" s="30" t="n"/>
      <c r="V773" s="30" t="n"/>
      <c r="W773" s="30" t="n"/>
      <c r="X773" s="30" t="n"/>
      <c r="Y773" s="30" t="n"/>
      <c r="Z773" s="30" t="n"/>
      <c r="AA773" s="30" t="n"/>
    </row>
    <row r="774">
      <c r="A774" s="30" t="n"/>
      <c r="B774" s="156" t="n"/>
      <c r="C774" s="30" t="n"/>
      <c r="D774" s="30" t="n"/>
      <c r="E774" s="30" t="n"/>
      <c r="F774" s="30" t="n"/>
      <c r="G774" s="30" t="n"/>
      <c r="H774" s="30" t="n"/>
      <c r="I774" s="30" t="n"/>
      <c r="J774" s="30" t="n"/>
      <c r="K774" s="30" t="n"/>
      <c r="L774" s="30" t="n"/>
      <c r="M774" s="30" t="n"/>
      <c r="N774" s="30" t="n"/>
      <c r="O774" s="30" t="n"/>
      <c r="P774" s="30" t="n"/>
      <c r="Q774" s="30" t="n"/>
      <c r="R774" s="30" t="n"/>
      <c r="S774" s="30" t="n"/>
      <c r="T774" s="30" t="n"/>
      <c r="U774" s="30" t="n"/>
      <c r="V774" s="30" t="n"/>
      <c r="W774" s="30" t="n"/>
      <c r="X774" s="30" t="n"/>
      <c r="Y774" s="30" t="n"/>
      <c r="Z774" s="30" t="n"/>
      <c r="AA774" s="30" t="n"/>
    </row>
    <row r="775">
      <c r="A775" s="30" t="n"/>
      <c r="B775" s="156" t="n"/>
      <c r="C775" s="30" t="n"/>
      <c r="D775" s="30" t="n"/>
      <c r="E775" s="30" t="n"/>
      <c r="F775" s="30" t="n"/>
      <c r="G775" s="30" t="n"/>
      <c r="H775" s="30" t="n"/>
      <c r="I775" s="30" t="n"/>
      <c r="J775" s="30" t="n"/>
      <c r="K775" s="30" t="n"/>
      <c r="L775" s="30" t="n"/>
      <c r="M775" s="30" t="n"/>
      <c r="N775" s="30" t="n"/>
      <c r="O775" s="30" t="n"/>
      <c r="P775" s="30" t="n"/>
      <c r="Q775" s="30" t="n"/>
      <c r="R775" s="30" t="n"/>
      <c r="S775" s="30" t="n"/>
      <c r="T775" s="30" t="n"/>
      <c r="U775" s="30" t="n"/>
      <c r="V775" s="30" t="n"/>
      <c r="W775" s="30" t="n"/>
      <c r="X775" s="30" t="n"/>
      <c r="Y775" s="30" t="n"/>
      <c r="Z775" s="30" t="n"/>
      <c r="AA775" s="30" t="n"/>
    </row>
    <row r="776">
      <c r="A776" s="30" t="n"/>
      <c r="B776" s="156" t="n"/>
      <c r="C776" s="30" t="n"/>
      <c r="D776" s="30" t="n"/>
      <c r="E776" s="30" t="n"/>
      <c r="F776" s="30" t="n"/>
      <c r="G776" s="30" t="n"/>
      <c r="H776" s="30" t="n"/>
      <c r="I776" s="30" t="n"/>
      <c r="J776" s="30" t="n"/>
      <c r="K776" s="30" t="n"/>
      <c r="L776" s="30" t="n"/>
      <c r="M776" s="30" t="n"/>
      <c r="N776" s="30" t="n"/>
      <c r="O776" s="30" t="n"/>
      <c r="P776" s="30" t="n"/>
      <c r="Q776" s="30" t="n"/>
      <c r="R776" s="30" t="n"/>
      <c r="S776" s="30" t="n"/>
      <c r="T776" s="30" t="n"/>
      <c r="U776" s="30" t="n"/>
      <c r="V776" s="30" t="n"/>
      <c r="W776" s="30" t="n"/>
      <c r="X776" s="30" t="n"/>
      <c r="Y776" s="30" t="n"/>
      <c r="Z776" s="30" t="n"/>
      <c r="AA776" s="30" t="n"/>
    </row>
    <row r="777">
      <c r="A777" s="30" t="n"/>
      <c r="B777" s="156" t="n"/>
      <c r="C777" s="30" t="n"/>
      <c r="D777" s="30" t="n"/>
      <c r="E777" s="30" t="n"/>
      <c r="F777" s="30" t="n"/>
      <c r="G777" s="30" t="n"/>
      <c r="H777" s="30" t="n"/>
      <c r="I777" s="30" t="n"/>
      <c r="J777" s="30" t="n"/>
      <c r="K777" s="30" t="n"/>
      <c r="L777" s="30" t="n"/>
      <c r="M777" s="30" t="n"/>
      <c r="N777" s="30" t="n"/>
      <c r="O777" s="30" t="n"/>
      <c r="P777" s="30" t="n"/>
      <c r="Q777" s="30" t="n"/>
      <c r="R777" s="30" t="n"/>
      <c r="S777" s="30" t="n"/>
      <c r="T777" s="30" t="n"/>
      <c r="U777" s="30" t="n"/>
      <c r="V777" s="30" t="n"/>
      <c r="W777" s="30" t="n"/>
      <c r="X777" s="30" t="n"/>
      <c r="Y777" s="30" t="n"/>
      <c r="Z777" s="30" t="n"/>
      <c r="AA777" s="30" t="n"/>
    </row>
    <row r="778">
      <c r="A778" s="30" t="n"/>
      <c r="B778" s="156" t="n"/>
      <c r="C778" s="30" t="n"/>
      <c r="D778" s="30" t="n"/>
      <c r="E778" s="30" t="n"/>
      <c r="F778" s="30" t="n"/>
      <c r="G778" s="30" t="n"/>
      <c r="H778" s="30" t="n"/>
      <c r="I778" s="30" t="n"/>
      <c r="J778" s="30" t="n"/>
      <c r="K778" s="30" t="n"/>
      <c r="L778" s="30" t="n"/>
      <c r="M778" s="30" t="n"/>
      <c r="N778" s="30" t="n"/>
      <c r="O778" s="30" t="n"/>
      <c r="P778" s="30" t="n"/>
      <c r="Q778" s="30" t="n"/>
      <c r="R778" s="30" t="n"/>
      <c r="S778" s="30" t="n"/>
      <c r="T778" s="30" t="n"/>
      <c r="U778" s="30" t="n"/>
      <c r="V778" s="30" t="n"/>
      <c r="W778" s="30" t="n"/>
      <c r="X778" s="30" t="n"/>
      <c r="Y778" s="30" t="n"/>
      <c r="Z778" s="30" t="n"/>
      <c r="AA778" s="30" t="n"/>
    </row>
    <row r="779">
      <c r="A779" s="30" t="n"/>
      <c r="B779" s="156" t="n"/>
      <c r="C779" s="30" t="n"/>
      <c r="D779" s="30" t="n"/>
      <c r="E779" s="30" t="n"/>
      <c r="F779" s="30" t="n"/>
      <c r="G779" s="30" t="n"/>
      <c r="H779" s="30" t="n"/>
      <c r="I779" s="30" t="n"/>
      <c r="J779" s="30" t="n"/>
      <c r="K779" s="30" t="n"/>
      <c r="L779" s="30" t="n"/>
      <c r="M779" s="30" t="n"/>
      <c r="N779" s="30" t="n"/>
      <c r="O779" s="30" t="n"/>
      <c r="P779" s="30" t="n"/>
      <c r="Q779" s="30" t="n"/>
      <c r="R779" s="30" t="n"/>
      <c r="S779" s="30" t="n"/>
      <c r="T779" s="30" t="n"/>
      <c r="U779" s="30" t="n"/>
      <c r="V779" s="30" t="n"/>
      <c r="W779" s="30" t="n"/>
      <c r="X779" s="30" t="n"/>
      <c r="Y779" s="30" t="n"/>
      <c r="Z779" s="30" t="n"/>
      <c r="AA779" s="30" t="n"/>
    </row>
    <row r="780">
      <c r="A780" s="30" t="n"/>
      <c r="B780" s="156" t="n"/>
      <c r="C780" s="30" t="n"/>
      <c r="D780" s="30" t="n"/>
      <c r="E780" s="30" t="n"/>
      <c r="F780" s="30" t="n"/>
      <c r="G780" s="30" t="n"/>
      <c r="H780" s="30" t="n"/>
      <c r="I780" s="30" t="n"/>
      <c r="J780" s="30" t="n"/>
      <c r="K780" s="30" t="n"/>
      <c r="L780" s="30" t="n"/>
      <c r="M780" s="30" t="n"/>
      <c r="N780" s="30" t="n"/>
      <c r="O780" s="30" t="n"/>
      <c r="P780" s="30" t="n"/>
      <c r="Q780" s="30" t="n"/>
      <c r="R780" s="30" t="n"/>
      <c r="S780" s="30" t="n"/>
      <c r="T780" s="30" t="n"/>
      <c r="U780" s="30" t="n"/>
      <c r="V780" s="30" t="n"/>
      <c r="W780" s="30" t="n"/>
      <c r="X780" s="30" t="n"/>
      <c r="Y780" s="30" t="n"/>
      <c r="Z780" s="30" t="n"/>
      <c r="AA780" s="30" t="n"/>
    </row>
    <row r="781">
      <c r="A781" s="30" t="n"/>
      <c r="B781" s="156" t="n"/>
      <c r="C781" s="30" t="n"/>
      <c r="D781" s="30" t="n"/>
      <c r="E781" s="30" t="n"/>
      <c r="F781" s="30" t="n"/>
      <c r="G781" s="30" t="n"/>
      <c r="H781" s="30" t="n"/>
      <c r="I781" s="30" t="n"/>
      <c r="J781" s="30" t="n"/>
      <c r="K781" s="30" t="n"/>
      <c r="L781" s="30" t="n"/>
      <c r="M781" s="30" t="n"/>
      <c r="N781" s="30" t="n"/>
      <c r="O781" s="30" t="n"/>
      <c r="P781" s="30" t="n"/>
      <c r="Q781" s="30" t="n"/>
      <c r="R781" s="30" t="n"/>
      <c r="S781" s="30" t="n"/>
      <c r="T781" s="30" t="n"/>
      <c r="U781" s="30" t="n"/>
      <c r="V781" s="30" t="n"/>
      <c r="W781" s="30" t="n"/>
      <c r="X781" s="30" t="n"/>
      <c r="Y781" s="30" t="n"/>
      <c r="Z781" s="30" t="n"/>
      <c r="AA781" s="30" t="n"/>
    </row>
    <row r="782">
      <c r="A782" s="30" t="n"/>
      <c r="B782" s="156" t="n"/>
      <c r="C782" s="30" t="n"/>
      <c r="D782" s="30" t="n"/>
      <c r="E782" s="30" t="n"/>
      <c r="F782" s="30" t="n"/>
      <c r="G782" s="30" t="n"/>
      <c r="H782" s="30" t="n"/>
      <c r="I782" s="30" t="n"/>
      <c r="J782" s="30" t="n"/>
      <c r="K782" s="30" t="n"/>
      <c r="L782" s="30" t="n"/>
      <c r="M782" s="30" t="n"/>
      <c r="N782" s="30" t="n"/>
      <c r="O782" s="30" t="n"/>
      <c r="P782" s="30" t="n"/>
      <c r="Q782" s="30" t="n"/>
      <c r="R782" s="30" t="n"/>
      <c r="S782" s="30" t="n"/>
      <c r="T782" s="30" t="n"/>
      <c r="U782" s="30" t="n"/>
      <c r="V782" s="30" t="n"/>
      <c r="W782" s="30" t="n"/>
      <c r="X782" s="30" t="n"/>
      <c r="Y782" s="30" t="n"/>
      <c r="Z782" s="30" t="n"/>
      <c r="AA782" s="30" t="n"/>
    </row>
    <row r="783">
      <c r="A783" s="30" t="n"/>
      <c r="B783" s="156" t="n"/>
      <c r="C783" s="30" t="n"/>
      <c r="D783" s="30" t="n"/>
      <c r="E783" s="30" t="n"/>
      <c r="F783" s="30" t="n"/>
      <c r="G783" s="30" t="n"/>
      <c r="H783" s="30" t="n"/>
      <c r="I783" s="30" t="n"/>
      <c r="J783" s="30" t="n"/>
      <c r="K783" s="30" t="n"/>
      <c r="L783" s="30" t="n"/>
      <c r="M783" s="30" t="n"/>
      <c r="N783" s="30" t="n"/>
      <c r="O783" s="30" t="n"/>
      <c r="P783" s="30" t="n"/>
      <c r="Q783" s="30" t="n"/>
      <c r="R783" s="30" t="n"/>
      <c r="S783" s="30" t="n"/>
      <c r="T783" s="30" t="n"/>
      <c r="U783" s="30" t="n"/>
      <c r="V783" s="30" t="n"/>
      <c r="W783" s="30" t="n"/>
      <c r="X783" s="30" t="n"/>
      <c r="Y783" s="30" t="n"/>
      <c r="Z783" s="30" t="n"/>
      <c r="AA783" s="30" t="n"/>
    </row>
    <row r="784">
      <c r="A784" s="30" t="n"/>
      <c r="B784" s="156" t="n"/>
      <c r="C784" s="30" t="n"/>
      <c r="D784" s="30" t="n"/>
      <c r="E784" s="30" t="n"/>
      <c r="F784" s="30" t="n"/>
      <c r="G784" s="30" t="n"/>
      <c r="H784" s="30" t="n"/>
      <c r="I784" s="30" t="n"/>
      <c r="J784" s="30" t="n"/>
      <c r="K784" s="30" t="n"/>
      <c r="L784" s="30" t="n"/>
      <c r="M784" s="30" t="n"/>
      <c r="N784" s="30" t="n"/>
      <c r="O784" s="30" t="n"/>
      <c r="P784" s="30" t="n"/>
      <c r="Q784" s="30" t="n"/>
      <c r="R784" s="30" t="n"/>
      <c r="S784" s="30" t="n"/>
      <c r="T784" s="30" t="n"/>
      <c r="U784" s="30" t="n"/>
      <c r="V784" s="30" t="n"/>
      <c r="W784" s="30" t="n"/>
      <c r="X784" s="30" t="n"/>
      <c r="Y784" s="30" t="n"/>
      <c r="Z784" s="30" t="n"/>
      <c r="AA784" s="30" t="n"/>
    </row>
    <row r="785">
      <c r="A785" s="30" t="n"/>
      <c r="B785" s="156" t="n"/>
      <c r="C785" s="30" t="n"/>
      <c r="D785" s="30" t="n"/>
      <c r="E785" s="30" t="n"/>
      <c r="F785" s="30" t="n"/>
      <c r="G785" s="30" t="n"/>
      <c r="H785" s="30" t="n"/>
      <c r="I785" s="30" t="n"/>
      <c r="J785" s="30" t="n"/>
      <c r="K785" s="30" t="n"/>
      <c r="L785" s="30" t="n"/>
      <c r="M785" s="30" t="n"/>
      <c r="N785" s="30" t="n"/>
      <c r="O785" s="30" t="n"/>
      <c r="P785" s="30" t="n"/>
      <c r="Q785" s="30" t="n"/>
      <c r="R785" s="30" t="n"/>
      <c r="S785" s="30" t="n"/>
      <c r="T785" s="30" t="n"/>
      <c r="U785" s="30" t="n"/>
      <c r="V785" s="30" t="n"/>
      <c r="W785" s="30" t="n"/>
      <c r="X785" s="30" t="n"/>
      <c r="Y785" s="30" t="n"/>
      <c r="Z785" s="30" t="n"/>
      <c r="AA785" s="30" t="n"/>
    </row>
    <row r="786">
      <c r="A786" s="30" t="n"/>
      <c r="B786" s="156" t="n"/>
      <c r="C786" s="30" t="n"/>
      <c r="D786" s="30" t="n"/>
      <c r="E786" s="30" t="n"/>
      <c r="F786" s="30" t="n"/>
      <c r="G786" s="30" t="n"/>
      <c r="H786" s="30" t="n"/>
      <c r="I786" s="30" t="n"/>
      <c r="J786" s="30" t="n"/>
      <c r="K786" s="30" t="n"/>
      <c r="L786" s="30" t="n"/>
      <c r="M786" s="30" t="n"/>
      <c r="N786" s="30" t="n"/>
      <c r="O786" s="30" t="n"/>
      <c r="P786" s="30" t="n"/>
      <c r="Q786" s="30" t="n"/>
      <c r="R786" s="30" t="n"/>
      <c r="S786" s="30" t="n"/>
      <c r="T786" s="30" t="n"/>
      <c r="U786" s="30" t="n"/>
      <c r="V786" s="30" t="n"/>
      <c r="W786" s="30" t="n"/>
      <c r="X786" s="30" t="n"/>
      <c r="Y786" s="30" t="n"/>
      <c r="Z786" s="30" t="n"/>
      <c r="AA786" s="30" t="n"/>
    </row>
    <row r="787">
      <c r="A787" s="30" t="n"/>
      <c r="B787" s="156" t="n"/>
      <c r="C787" s="30" t="n"/>
      <c r="D787" s="30" t="n"/>
      <c r="E787" s="30" t="n"/>
      <c r="F787" s="30" t="n"/>
      <c r="G787" s="30" t="n"/>
      <c r="H787" s="30" t="n"/>
      <c r="I787" s="30" t="n"/>
      <c r="J787" s="30" t="n"/>
      <c r="K787" s="30" t="n"/>
      <c r="L787" s="30" t="n"/>
      <c r="M787" s="30" t="n"/>
      <c r="N787" s="30" t="n"/>
      <c r="O787" s="30" t="n"/>
      <c r="P787" s="30" t="n"/>
      <c r="Q787" s="30" t="n"/>
      <c r="R787" s="30" t="n"/>
      <c r="S787" s="30" t="n"/>
      <c r="T787" s="30" t="n"/>
      <c r="U787" s="30" t="n"/>
      <c r="V787" s="30" t="n"/>
      <c r="W787" s="30" t="n"/>
      <c r="X787" s="30" t="n"/>
      <c r="Y787" s="30" t="n"/>
      <c r="Z787" s="30" t="n"/>
      <c r="AA787" s="30" t="n"/>
    </row>
    <row r="788">
      <c r="A788" s="30" t="n"/>
      <c r="B788" s="156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30" t="n"/>
      <c r="L788" s="30" t="n"/>
      <c r="M788" s="30" t="n"/>
      <c r="N788" s="30" t="n"/>
      <c r="O788" s="30" t="n"/>
      <c r="P788" s="30" t="n"/>
      <c r="Q788" s="30" t="n"/>
      <c r="R788" s="30" t="n"/>
      <c r="S788" s="30" t="n"/>
      <c r="T788" s="30" t="n"/>
      <c r="U788" s="30" t="n"/>
      <c r="V788" s="30" t="n"/>
      <c r="W788" s="30" t="n"/>
      <c r="X788" s="30" t="n"/>
      <c r="Y788" s="30" t="n"/>
      <c r="Z788" s="30" t="n"/>
      <c r="AA788" s="30" t="n"/>
    </row>
    <row r="789">
      <c r="A789" s="30" t="n"/>
      <c r="B789" s="156" t="n"/>
      <c r="C789" s="30" t="n"/>
      <c r="D789" s="30" t="n"/>
      <c r="E789" s="30" t="n"/>
      <c r="F789" s="30" t="n"/>
      <c r="G789" s="30" t="n"/>
      <c r="H789" s="30" t="n"/>
      <c r="I789" s="30" t="n"/>
      <c r="J789" s="30" t="n"/>
      <c r="K789" s="30" t="n"/>
      <c r="L789" s="30" t="n"/>
      <c r="M789" s="30" t="n"/>
      <c r="N789" s="30" t="n"/>
      <c r="O789" s="30" t="n"/>
      <c r="P789" s="30" t="n"/>
      <c r="Q789" s="30" t="n"/>
      <c r="R789" s="30" t="n"/>
      <c r="S789" s="30" t="n"/>
      <c r="T789" s="30" t="n"/>
      <c r="U789" s="30" t="n"/>
      <c r="V789" s="30" t="n"/>
      <c r="W789" s="30" t="n"/>
      <c r="X789" s="30" t="n"/>
      <c r="Y789" s="30" t="n"/>
      <c r="Z789" s="30" t="n"/>
      <c r="AA789" s="30" t="n"/>
    </row>
    <row r="790">
      <c r="A790" s="30" t="n"/>
      <c r="B790" s="156" t="n"/>
      <c r="C790" s="30" t="n"/>
      <c r="D790" s="30" t="n"/>
      <c r="E790" s="30" t="n"/>
      <c r="F790" s="30" t="n"/>
      <c r="G790" s="30" t="n"/>
      <c r="H790" s="30" t="n"/>
      <c r="I790" s="30" t="n"/>
      <c r="J790" s="30" t="n"/>
      <c r="K790" s="30" t="n"/>
      <c r="L790" s="30" t="n"/>
      <c r="M790" s="30" t="n"/>
      <c r="N790" s="30" t="n"/>
      <c r="O790" s="30" t="n"/>
      <c r="P790" s="30" t="n"/>
      <c r="Q790" s="30" t="n"/>
      <c r="R790" s="30" t="n"/>
      <c r="S790" s="30" t="n"/>
      <c r="T790" s="30" t="n"/>
      <c r="U790" s="30" t="n"/>
      <c r="V790" s="30" t="n"/>
      <c r="W790" s="30" t="n"/>
      <c r="X790" s="30" t="n"/>
      <c r="Y790" s="30" t="n"/>
      <c r="Z790" s="30" t="n"/>
      <c r="AA790" s="30" t="n"/>
    </row>
    <row r="791">
      <c r="A791" s="30" t="n"/>
      <c r="B791" s="156" t="n"/>
      <c r="C791" s="30" t="n"/>
      <c r="D791" s="30" t="n"/>
      <c r="E791" s="30" t="n"/>
      <c r="F791" s="30" t="n"/>
      <c r="G791" s="30" t="n"/>
      <c r="H791" s="30" t="n"/>
      <c r="I791" s="30" t="n"/>
      <c r="J791" s="30" t="n"/>
      <c r="K791" s="30" t="n"/>
      <c r="L791" s="30" t="n"/>
      <c r="M791" s="30" t="n"/>
      <c r="N791" s="30" t="n"/>
      <c r="O791" s="30" t="n"/>
      <c r="P791" s="30" t="n"/>
      <c r="Q791" s="30" t="n"/>
      <c r="R791" s="30" t="n"/>
      <c r="S791" s="30" t="n"/>
      <c r="T791" s="30" t="n"/>
      <c r="U791" s="30" t="n"/>
      <c r="V791" s="30" t="n"/>
      <c r="W791" s="30" t="n"/>
      <c r="X791" s="30" t="n"/>
      <c r="Y791" s="30" t="n"/>
      <c r="Z791" s="30" t="n"/>
      <c r="AA791" s="30" t="n"/>
    </row>
    <row r="792">
      <c r="A792" s="30" t="n"/>
      <c r="B792" s="156" t="n"/>
      <c r="C792" s="30" t="n"/>
      <c r="D792" s="30" t="n"/>
      <c r="E792" s="30" t="n"/>
      <c r="F792" s="30" t="n"/>
      <c r="G792" s="30" t="n"/>
      <c r="H792" s="30" t="n"/>
      <c r="I792" s="30" t="n"/>
      <c r="J792" s="30" t="n"/>
      <c r="K792" s="30" t="n"/>
      <c r="L792" s="30" t="n"/>
      <c r="M792" s="30" t="n"/>
      <c r="N792" s="30" t="n"/>
      <c r="O792" s="30" t="n"/>
      <c r="P792" s="30" t="n"/>
      <c r="Q792" s="30" t="n"/>
      <c r="R792" s="30" t="n"/>
      <c r="S792" s="30" t="n"/>
      <c r="T792" s="30" t="n"/>
      <c r="U792" s="30" t="n"/>
      <c r="V792" s="30" t="n"/>
      <c r="W792" s="30" t="n"/>
      <c r="X792" s="30" t="n"/>
      <c r="Y792" s="30" t="n"/>
      <c r="Z792" s="30" t="n"/>
      <c r="AA792" s="30" t="n"/>
    </row>
    <row r="793">
      <c r="A793" s="30" t="n"/>
      <c r="B793" s="156" t="n"/>
      <c r="C793" s="30" t="n"/>
      <c r="D793" s="30" t="n"/>
      <c r="E793" s="30" t="n"/>
      <c r="F793" s="30" t="n"/>
      <c r="G793" s="30" t="n"/>
      <c r="H793" s="30" t="n"/>
      <c r="I793" s="30" t="n"/>
      <c r="J793" s="30" t="n"/>
      <c r="K793" s="30" t="n"/>
      <c r="L793" s="30" t="n"/>
      <c r="M793" s="30" t="n"/>
      <c r="N793" s="30" t="n"/>
      <c r="O793" s="30" t="n"/>
      <c r="P793" s="30" t="n"/>
      <c r="Q793" s="30" t="n"/>
      <c r="R793" s="30" t="n"/>
      <c r="S793" s="30" t="n"/>
      <c r="T793" s="30" t="n"/>
      <c r="U793" s="30" t="n"/>
      <c r="V793" s="30" t="n"/>
      <c r="W793" s="30" t="n"/>
      <c r="X793" s="30" t="n"/>
      <c r="Y793" s="30" t="n"/>
      <c r="Z793" s="30" t="n"/>
      <c r="AA793" s="30" t="n"/>
    </row>
    <row r="794">
      <c r="A794" s="30" t="n"/>
      <c r="B794" s="156" t="n"/>
      <c r="C794" s="30" t="n"/>
      <c r="D794" s="30" t="n"/>
      <c r="E794" s="30" t="n"/>
      <c r="F794" s="30" t="n"/>
      <c r="G794" s="30" t="n"/>
      <c r="H794" s="30" t="n"/>
      <c r="I794" s="30" t="n"/>
      <c r="J794" s="30" t="n"/>
      <c r="K794" s="30" t="n"/>
      <c r="L794" s="30" t="n"/>
      <c r="M794" s="30" t="n"/>
      <c r="N794" s="30" t="n"/>
      <c r="O794" s="30" t="n"/>
      <c r="P794" s="30" t="n"/>
      <c r="Q794" s="30" t="n"/>
      <c r="R794" s="30" t="n"/>
      <c r="S794" s="30" t="n"/>
      <c r="T794" s="30" t="n"/>
      <c r="U794" s="30" t="n"/>
      <c r="V794" s="30" t="n"/>
      <c r="W794" s="30" t="n"/>
      <c r="X794" s="30" t="n"/>
      <c r="Y794" s="30" t="n"/>
      <c r="Z794" s="30" t="n"/>
      <c r="AA794" s="30" t="n"/>
    </row>
    <row r="795">
      <c r="A795" s="30" t="n"/>
      <c r="B795" s="156" t="n"/>
      <c r="C795" s="30" t="n"/>
      <c r="D795" s="30" t="n"/>
      <c r="E795" s="30" t="n"/>
      <c r="F795" s="30" t="n"/>
      <c r="G795" s="30" t="n"/>
      <c r="H795" s="30" t="n"/>
      <c r="I795" s="30" t="n"/>
      <c r="J795" s="30" t="n"/>
      <c r="K795" s="30" t="n"/>
      <c r="L795" s="30" t="n"/>
      <c r="M795" s="30" t="n"/>
      <c r="N795" s="30" t="n"/>
      <c r="O795" s="30" t="n"/>
      <c r="P795" s="30" t="n"/>
      <c r="Q795" s="30" t="n"/>
      <c r="R795" s="30" t="n"/>
      <c r="S795" s="30" t="n"/>
      <c r="T795" s="30" t="n"/>
      <c r="U795" s="30" t="n"/>
      <c r="V795" s="30" t="n"/>
      <c r="W795" s="30" t="n"/>
      <c r="X795" s="30" t="n"/>
      <c r="Y795" s="30" t="n"/>
      <c r="Z795" s="30" t="n"/>
      <c r="AA795" s="30" t="n"/>
    </row>
    <row r="796">
      <c r="A796" s="30" t="n"/>
      <c r="B796" s="156" t="n"/>
      <c r="C796" s="30" t="n"/>
      <c r="D796" s="30" t="n"/>
      <c r="E796" s="30" t="n"/>
      <c r="F796" s="30" t="n"/>
      <c r="G796" s="30" t="n"/>
      <c r="H796" s="30" t="n"/>
      <c r="I796" s="30" t="n"/>
      <c r="J796" s="30" t="n"/>
      <c r="K796" s="30" t="n"/>
      <c r="L796" s="30" t="n"/>
      <c r="M796" s="30" t="n"/>
      <c r="N796" s="30" t="n"/>
      <c r="O796" s="30" t="n"/>
      <c r="P796" s="30" t="n"/>
      <c r="Q796" s="30" t="n"/>
      <c r="R796" s="30" t="n"/>
      <c r="S796" s="30" t="n"/>
      <c r="T796" s="30" t="n"/>
      <c r="U796" s="30" t="n"/>
      <c r="V796" s="30" t="n"/>
      <c r="W796" s="30" t="n"/>
      <c r="X796" s="30" t="n"/>
      <c r="Y796" s="30" t="n"/>
      <c r="Z796" s="30" t="n"/>
      <c r="AA796" s="30" t="n"/>
    </row>
    <row r="797">
      <c r="A797" s="30" t="n"/>
      <c r="B797" s="156" t="n"/>
      <c r="C797" s="30" t="n"/>
      <c r="D797" s="30" t="n"/>
      <c r="E797" s="30" t="n"/>
      <c r="F797" s="30" t="n"/>
      <c r="G797" s="30" t="n"/>
      <c r="H797" s="30" t="n"/>
      <c r="I797" s="30" t="n"/>
      <c r="J797" s="30" t="n"/>
      <c r="K797" s="30" t="n"/>
      <c r="L797" s="30" t="n"/>
      <c r="M797" s="30" t="n"/>
      <c r="N797" s="30" t="n"/>
      <c r="O797" s="30" t="n"/>
      <c r="P797" s="30" t="n"/>
      <c r="Q797" s="30" t="n"/>
      <c r="R797" s="30" t="n"/>
      <c r="S797" s="30" t="n"/>
      <c r="T797" s="30" t="n"/>
      <c r="U797" s="30" t="n"/>
      <c r="V797" s="30" t="n"/>
      <c r="W797" s="30" t="n"/>
      <c r="X797" s="30" t="n"/>
      <c r="Y797" s="30" t="n"/>
      <c r="Z797" s="30" t="n"/>
      <c r="AA797" s="30" t="n"/>
    </row>
    <row r="798">
      <c r="A798" s="30" t="n"/>
      <c r="B798" s="156" t="n"/>
      <c r="C798" s="30" t="n"/>
      <c r="D798" s="30" t="n"/>
      <c r="E798" s="30" t="n"/>
      <c r="F798" s="30" t="n"/>
      <c r="G798" s="30" t="n"/>
      <c r="H798" s="30" t="n"/>
      <c r="I798" s="30" t="n"/>
      <c r="J798" s="30" t="n"/>
      <c r="K798" s="30" t="n"/>
      <c r="L798" s="30" t="n"/>
      <c r="M798" s="30" t="n"/>
      <c r="N798" s="30" t="n"/>
      <c r="O798" s="30" t="n"/>
      <c r="P798" s="30" t="n"/>
      <c r="Q798" s="30" t="n"/>
      <c r="R798" s="30" t="n"/>
      <c r="S798" s="30" t="n"/>
      <c r="T798" s="30" t="n"/>
      <c r="U798" s="30" t="n"/>
      <c r="V798" s="30" t="n"/>
      <c r="W798" s="30" t="n"/>
      <c r="X798" s="30" t="n"/>
      <c r="Y798" s="30" t="n"/>
      <c r="Z798" s="30" t="n"/>
      <c r="AA798" s="30" t="n"/>
    </row>
    <row r="799">
      <c r="A799" s="30" t="n"/>
      <c r="B799" s="156" t="n"/>
      <c r="C799" s="30" t="n"/>
      <c r="D799" s="30" t="n"/>
      <c r="E799" s="30" t="n"/>
      <c r="F799" s="30" t="n"/>
      <c r="G799" s="30" t="n"/>
      <c r="H799" s="30" t="n"/>
      <c r="I799" s="30" t="n"/>
      <c r="J799" s="30" t="n"/>
      <c r="K799" s="30" t="n"/>
      <c r="L799" s="30" t="n"/>
      <c r="M799" s="30" t="n"/>
      <c r="N799" s="30" t="n"/>
      <c r="O799" s="30" t="n"/>
      <c r="P799" s="30" t="n"/>
      <c r="Q799" s="30" t="n"/>
      <c r="R799" s="30" t="n"/>
      <c r="S799" s="30" t="n"/>
      <c r="T799" s="30" t="n"/>
      <c r="U799" s="30" t="n"/>
      <c r="V799" s="30" t="n"/>
      <c r="W799" s="30" t="n"/>
      <c r="X799" s="30" t="n"/>
      <c r="Y799" s="30" t="n"/>
      <c r="Z799" s="30" t="n"/>
      <c r="AA799" s="30" t="n"/>
    </row>
    <row r="800">
      <c r="A800" s="30" t="n"/>
      <c r="B800" s="156" t="n"/>
      <c r="C800" s="30" t="n"/>
      <c r="D800" s="30" t="n"/>
      <c r="E800" s="30" t="n"/>
      <c r="F800" s="30" t="n"/>
      <c r="G800" s="30" t="n"/>
      <c r="H800" s="30" t="n"/>
      <c r="I800" s="30" t="n"/>
      <c r="J800" s="30" t="n"/>
      <c r="K800" s="30" t="n"/>
      <c r="L800" s="30" t="n"/>
      <c r="M800" s="30" t="n"/>
      <c r="N800" s="30" t="n"/>
      <c r="O800" s="30" t="n"/>
      <c r="P800" s="30" t="n"/>
      <c r="Q800" s="30" t="n"/>
      <c r="R800" s="30" t="n"/>
      <c r="S800" s="30" t="n"/>
      <c r="T800" s="30" t="n"/>
      <c r="U800" s="30" t="n"/>
      <c r="V800" s="30" t="n"/>
      <c r="W800" s="30" t="n"/>
      <c r="X800" s="30" t="n"/>
      <c r="Y800" s="30" t="n"/>
      <c r="Z800" s="30" t="n"/>
      <c r="AA800" s="30" t="n"/>
    </row>
    <row r="801">
      <c r="A801" s="30" t="n"/>
      <c r="B801" s="156" t="n"/>
      <c r="C801" s="30" t="n"/>
      <c r="D801" s="30" t="n"/>
      <c r="E801" s="30" t="n"/>
      <c r="F801" s="30" t="n"/>
      <c r="G801" s="30" t="n"/>
      <c r="H801" s="30" t="n"/>
      <c r="I801" s="30" t="n"/>
      <c r="J801" s="30" t="n"/>
      <c r="K801" s="30" t="n"/>
      <c r="L801" s="30" t="n"/>
      <c r="M801" s="30" t="n"/>
      <c r="N801" s="30" t="n"/>
      <c r="O801" s="30" t="n"/>
      <c r="P801" s="30" t="n"/>
      <c r="Q801" s="30" t="n"/>
      <c r="R801" s="30" t="n"/>
      <c r="S801" s="30" t="n"/>
      <c r="T801" s="30" t="n"/>
      <c r="U801" s="30" t="n"/>
      <c r="V801" s="30" t="n"/>
      <c r="W801" s="30" t="n"/>
      <c r="X801" s="30" t="n"/>
      <c r="Y801" s="30" t="n"/>
      <c r="Z801" s="30" t="n"/>
      <c r="AA801" s="30" t="n"/>
    </row>
    <row r="802">
      <c r="A802" s="30" t="n"/>
      <c r="B802" s="156" t="n"/>
      <c r="C802" s="30" t="n"/>
      <c r="D802" s="30" t="n"/>
      <c r="E802" s="30" t="n"/>
      <c r="F802" s="30" t="n"/>
      <c r="G802" s="30" t="n"/>
      <c r="H802" s="30" t="n"/>
      <c r="I802" s="30" t="n"/>
      <c r="J802" s="30" t="n"/>
      <c r="K802" s="30" t="n"/>
      <c r="L802" s="30" t="n"/>
      <c r="M802" s="30" t="n"/>
      <c r="N802" s="30" t="n"/>
      <c r="O802" s="30" t="n"/>
      <c r="P802" s="30" t="n"/>
      <c r="Q802" s="30" t="n"/>
      <c r="R802" s="30" t="n"/>
      <c r="S802" s="30" t="n"/>
      <c r="T802" s="30" t="n"/>
      <c r="U802" s="30" t="n"/>
      <c r="V802" s="30" t="n"/>
      <c r="W802" s="30" t="n"/>
      <c r="X802" s="30" t="n"/>
      <c r="Y802" s="30" t="n"/>
      <c r="Z802" s="30" t="n"/>
      <c r="AA802" s="30" t="n"/>
    </row>
    <row r="803">
      <c r="A803" s="30" t="n"/>
      <c r="B803" s="156" t="n"/>
      <c r="C803" s="30" t="n"/>
      <c r="D803" s="30" t="n"/>
      <c r="E803" s="30" t="n"/>
      <c r="F803" s="30" t="n"/>
      <c r="G803" s="30" t="n"/>
      <c r="H803" s="30" t="n"/>
      <c r="I803" s="30" t="n"/>
      <c r="J803" s="30" t="n"/>
      <c r="K803" s="30" t="n"/>
      <c r="L803" s="30" t="n"/>
      <c r="M803" s="30" t="n"/>
      <c r="N803" s="30" t="n"/>
      <c r="O803" s="30" t="n"/>
      <c r="P803" s="30" t="n"/>
      <c r="Q803" s="30" t="n"/>
      <c r="R803" s="30" t="n"/>
      <c r="S803" s="30" t="n"/>
      <c r="T803" s="30" t="n"/>
      <c r="U803" s="30" t="n"/>
      <c r="V803" s="30" t="n"/>
      <c r="W803" s="30" t="n"/>
      <c r="X803" s="30" t="n"/>
      <c r="Y803" s="30" t="n"/>
      <c r="Z803" s="30" t="n"/>
      <c r="AA803" s="30" t="n"/>
    </row>
    <row r="804">
      <c r="A804" s="30" t="n"/>
      <c r="B804" s="156" t="n"/>
      <c r="C804" s="30" t="n"/>
      <c r="D804" s="30" t="n"/>
      <c r="E804" s="30" t="n"/>
      <c r="F804" s="30" t="n"/>
      <c r="G804" s="30" t="n"/>
      <c r="H804" s="30" t="n"/>
      <c r="I804" s="30" t="n"/>
      <c r="J804" s="30" t="n"/>
      <c r="K804" s="30" t="n"/>
      <c r="L804" s="30" t="n"/>
      <c r="M804" s="30" t="n"/>
      <c r="N804" s="30" t="n"/>
      <c r="O804" s="30" t="n"/>
      <c r="P804" s="30" t="n"/>
      <c r="Q804" s="30" t="n"/>
      <c r="R804" s="30" t="n"/>
      <c r="S804" s="30" t="n"/>
      <c r="T804" s="30" t="n"/>
      <c r="U804" s="30" t="n"/>
      <c r="V804" s="30" t="n"/>
      <c r="W804" s="30" t="n"/>
      <c r="X804" s="30" t="n"/>
      <c r="Y804" s="30" t="n"/>
      <c r="Z804" s="30" t="n"/>
      <c r="AA804" s="30" t="n"/>
    </row>
    <row r="805">
      <c r="A805" s="30" t="n"/>
      <c r="B805" s="156" t="n"/>
      <c r="C805" s="30" t="n"/>
      <c r="D805" s="30" t="n"/>
      <c r="E805" s="30" t="n"/>
      <c r="F805" s="30" t="n"/>
      <c r="G805" s="30" t="n"/>
      <c r="H805" s="30" t="n"/>
      <c r="I805" s="30" t="n"/>
      <c r="J805" s="30" t="n"/>
      <c r="K805" s="30" t="n"/>
      <c r="L805" s="30" t="n"/>
      <c r="M805" s="30" t="n"/>
      <c r="N805" s="30" t="n"/>
      <c r="O805" s="30" t="n"/>
      <c r="P805" s="30" t="n"/>
      <c r="Q805" s="30" t="n"/>
      <c r="R805" s="30" t="n"/>
      <c r="S805" s="30" t="n"/>
      <c r="T805" s="30" t="n"/>
      <c r="U805" s="30" t="n"/>
      <c r="V805" s="30" t="n"/>
      <c r="W805" s="30" t="n"/>
      <c r="X805" s="30" t="n"/>
      <c r="Y805" s="30" t="n"/>
      <c r="Z805" s="30" t="n"/>
      <c r="AA805" s="30" t="n"/>
    </row>
    <row r="806">
      <c r="A806" s="30" t="n"/>
      <c r="B806" s="156" t="n"/>
      <c r="C806" s="30" t="n"/>
      <c r="D806" s="30" t="n"/>
      <c r="E806" s="30" t="n"/>
      <c r="F806" s="30" t="n"/>
      <c r="G806" s="30" t="n"/>
      <c r="H806" s="30" t="n"/>
      <c r="I806" s="30" t="n"/>
      <c r="J806" s="30" t="n"/>
      <c r="K806" s="30" t="n"/>
      <c r="L806" s="30" t="n"/>
      <c r="M806" s="30" t="n"/>
      <c r="N806" s="30" t="n"/>
      <c r="O806" s="30" t="n"/>
      <c r="P806" s="30" t="n"/>
      <c r="Q806" s="30" t="n"/>
      <c r="R806" s="30" t="n"/>
      <c r="S806" s="30" t="n"/>
      <c r="T806" s="30" t="n"/>
      <c r="U806" s="30" t="n"/>
      <c r="V806" s="30" t="n"/>
      <c r="W806" s="30" t="n"/>
      <c r="X806" s="30" t="n"/>
      <c r="Y806" s="30" t="n"/>
      <c r="Z806" s="30" t="n"/>
      <c r="AA806" s="30" t="n"/>
    </row>
    <row r="807">
      <c r="A807" s="30" t="n"/>
      <c r="B807" s="156" t="n"/>
      <c r="C807" s="30" t="n"/>
      <c r="D807" s="30" t="n"/>
      <c r="E807" s="30" t="n"/>
      <c r="F807" s="30" t="n"/>
      <c r="G807" s="30" t="n"/>
      <c r="H807" s="30" t="n"/>
      <c r="I807" s="30" t="n"/>
      <c r="J807" s="30" t="n"/>
      <c r="K807" s="30" t="n"/>
      <c r="L807" s="30" t="n"/>
      <c r="M807" s="30" t="n"/>
      <c r="N807" s="30" t="n"/>
      <c r="O807" s="30" t="n"/>
      <c r="P807" s="30" t="n"/>
      <c r="Q807" s="30" t="n"/>
      <c r="R807" s="30" t="n"/>
      <c r="S807" s="30" t="n"/>
      <c r="T807" s="30" t="n"/>
      <c r="U807" s="30" t="n"/>
      <c r="V807" s="30" t="n"/>
      <c r="W807" s="30" t="n"/>
      <c r="X807" s="30" t="n"/>
      <c r="Y807" s="30" t="n"/>
      <c r="Z807" s="30" t="n"/>
      <c r="AA807" s="30" t="n"/>
    </row>
    <row r="808">
      <c r="A808" s="30" t="n"/>
      <c r="B808" s="156" t="n"/>
      <c r="C808" s="30" t="n"/>
      <c r="D808" s="30" t="n"/>
      <c r="E808" s="30" t="n"/>
      <c r="F808" s="30" t="n"/>
      <c r="G808" s="30" t="n"/>
      <c r="H808" s="30" t="n"/>
      <c r="I808" s="30" t="n"/>
      <c r="J808" s="30" t="n"/>
      <c r="K808" s="30" t="n"/>
      <c r="L808" s="30" t="n"/>
      <c r="M808" s="30" t="n"/>
      <c r="N808" s="30" t="n"/>
      <c r="O808" s="30" t="n"/>
      <c r="P808" s="30" t="n"/>
      <c r="Q808" s="30" t="n"/>
      <c r="R808" s="30" t="n"/>
      <c r="S808" s="30" t="n"/>
      <c r="T808" s="30" t="n"/>
      <c r="U808" s="30" t="n"/>
      <c r="V808" s="30" t="n"/>
      <c r="W808" s="30" t="n"/>
      <c r="X808" s="30" t="n"/>
      <c r="Y808" s="30" t="n"/>
      <c r="Z808" s="30" t="n"/>
      <c r="AA808" s="30" t="n"/>
    </row>
    <row r="809">
      <c r="A809" s="30" t="n"/>
      <c r="B809" s="156" t="n"/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  <c r="N809" s="30" t="n"/>
      <c r="O809" s="30" t="n"/>
      <c r="P809" s="30" t="n"/>
      <c r="Q809" s="30" t="n"/>
      <c r="R809" s="30" t="n"/>
      <c r="S809" s="30" t="n"/>
      <c r="T809" s="30" t="n"/>
      <c r="U809" s="30" t="n"/>
      <c r="V809" s="30" t="n"/>
      <c r="W809" s="30" t="n"/>
      <c r="X809" s="30" t="n"/>
      <c r="Y809" s="30" t="n"/>
      <c r="Z809" s="30" t="n"/>
      <c r="AA809" s="30" t="n"/>
    </row>
    <row r="810">
      <c r="A810" s="30" t="n"/>
      <c r="B810" s="156" t="n"/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  <c r="N810" s="30" t="n"/>
      <c r="O810" s="30" t="n"/>
      <c r="P810" s="30" t="n"/>
      <c r="Q810" s="30" t="n"/>
      <c r="R810" s="30" t="n"/>
      <c r="S810" s="30" t="n"/>
      <c r="T810" s="30" t="n"/>
      <c r="U810" s="30" t="n"/>
      <c r="V810" s="30" t="n"/>
      <c r="W810" s="30" t="n"/>
      <c r="X810" s="30" t="n"/>
      <c r="Y810" s="30" t="n"/>
      <c r="Z810" s="30" t="n"/>
      <c r="AA810" s="30" t="n"/>
    </row>
    <row r="811">
      <c r="A811" s="30" t="n"/>
      <c r="B811" s="156" t="n"/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  <c r="N811" s="30" t="n"/>
      <c r="O811" s="30" t="n"/>
      <c r="P811" s="30" t="n"/>
      <c r="Q811" s="30" t="n"/>
      <c r="R811" s="30" t="n"/>
      <c r="S811" s="30" t="n"/>
      <c r="T811" s="30" t="n"/>
      <c r="U811" s="30" t="n"/>
      <c r="V811" s="30" t="n"/>
      <c r="W811" s="30" t="n"/>
      <c r="X811" s="30" t="n"/>
      <c r="Y811" s="30" t="n"/>
      <c r="Z811" s="30" t="n"/>
      <c r="AA811" s="30" t="n"/>
    </row>
    <row r="812">
      <c r="A812" s="30" t="n"/>
      <c r="B812" s="156" t="n"/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  <c r="N812" s="30" t="n"/>
      <c r="O812" s="30" t="n"/>
      <c r="P812" s="30" t="n"/>
      <c r="Q812" s="30" t="n"/>
      <c r="R812" s="30" t="n"/>
      <c r="S812" s="30" t="n"/>
      <c r="T812" s="30" t="n"/>
      <c r="U812" s="30" t="n"/>
      <c r="V812" s="30" t="n"/>
      <c r="W812" s="30" t="n"/>
      <c r="X812" s="30" t="n"/>
      <c r="Y812" s="30" t="n"/>
      <c r="Z812" s="30" t="n"/>
      <c r="AA812" s="30" t="n"/>
    </row>
    <row r="813">
      <c r="A813" s="30" t="n"/>
      <c r="B813" s="156" t="n"/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  <c r="N813" s="30" t="n"/>
      <c r="O813" s="30" t="n"/>
      <c r="P813" s="30" t="n"/>
      <c r="Q813" s="30" t="n"/>
      <c r="R813" s="30" t="n"/>
      <c r="S813" s="30" t="n"/>
      <c r="T813" s="30" t="n"/>
      <c r="U813" s="30" t="n"/>
      <c r="V813" s="30" t="n"/>
      <c r="W813" s="30" t="n"/>
      <c r="X813" s="30" t="n"/>
      <c r="Y813" s="30" t="n"/>
      <c r="Z813" s="30" t="n"/>
      <c r="AA813" s="30" t="n"/>
    </row>
    <row r="814">
      <c r="A814" s="30" t="n"/>
      <c r="B814" s="156" t="n"/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  <c r="N814" s="30" t="n"/>
      <c r="O814" s="30" t="n"/>
      <c r="P814" s="30" t="n"/>
      <c r="Q814" s="30" t="n"/>
      <c r="R814" s="30" t="n"/>
      <c r="S814" s="30" t="n"/>
      <c r="T814" s="30" t="n"/>
      <c r="U814" s="30" t="n"/>
      <c r="V814" s="30" t="n"/>
      <c r="W814" s="30" t="n"/>
      <c r="X814" s="30" t="n"/>
      <c r="Y814" s="30" t="n"/>
      <c r="Z814" s="30" t="n"/>
      <c r="AA814" s="30" t="n"/>
    </row>
    <row r="815">
      <c r="A815" s="30" t="n"/>
      <c r="B815" s="156" t="n"/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  <c r="N815" s="30" t="n"/>
      <c r="O815" s="30" t="n"/>
      <c r="P815" s="30" t="n"/>
      <c r="Q815" s="30" t="n"/>
      <c r="R815" s="30" t="n"/>
      <c r="S815" s="30" t="n"/>
      <c r="T815" s="30" t="n"/>
      <c r="U815" s="30" t="n"/>
      <c r="V815" s="30" t="n"/>
      <c r="W815" s="30" t="n"/>
      <c r="X815" s="30" t="n"/>
      <c r="Y815" s="30" t="n"/>
      <c r="Z815" s="30" t="n"/>
      <c r="AA815" s="30" t="n"/>
    </row>
    <row r="816">
      <c r="A816" s="30" t="n"/>
      <c r="B816" s="156" t="n"/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  <c r="N816" s="30" t="n"/>
      <c r="O816" s="30" t="n"/>
      <c r="P816" s="30" t="n"/>
      <c r="Q816" s="30" t="n"/>
      <c r="R816" s="30" t="n"/>
      <c r="S816" s="30" t="n"/>
      <c r="T816" s="30" t="n"/>
      <c r="U816" s="30" t="n"/>
      <c r="V816" s="30" t="n"/>
      <c r="W816" s="30" t="n"/>
      <c r="X816" s="30" t="n"/>
      <c r="Y816" s="30" t="n"/>
      <c r="Z816" s="30" t="n"/>
      <c r="AA816" s="30" t="n"/>
    </row>
    <row r="817">
      <c r="A817" s="30" t="n"/>
      <c r="B817" s="156" t="n"/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  <c r="N817" s="30" t="n"/>
      <c r="O817" s="30" t="n"/>
      <c r="P817" s="30" t="n"/>
      <c r="Q817" s="30" t="n"/>
      <c r="R817" s="30" t="n"/>
      <c r="S817" s="30" t="n"/>
      <c r="T817" s="30" t="n"/>
      <c r="U817" s="30" t="n"/>
      <c r="V817" s="30" t="n"/>
      <c r="W817" s="30" t="n"/>
      <c r="X817" s="30" t="n"/>
      <c r="Y817" s="30" t="n"/>
      <c r="Z817" s="30" t="n"/>
      <c r="AA817" s="30" t="n"/>
    </row>
    <row r="818">
      <c r="A818" s="30" t="n"/>
      <c r="B818" s="156" t="n"/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  <c r="N818" s="30" t="n"/>
      <c r="O818" s="30" t="n"/>
      <c r="P818" s="30" t="n"/>
      <c r="Q818" s="30" t="n"/>
      <c r="R818" s="30" t="n"/>
      <c r="S818" s="30" t="n"/>
      <c r="T818" s="30" t="n"/>
      <c r="U818" s="30" t="n"/>
      <c r="V818" s="30" t="n"/>
      <c r="W818" s="30" t="n"/>
      <c r="X818" s="30" t="n"/>
      <c r="Y818" s="30" t="n"/>
      <c r="Z818" s="30" t="n"/>
      <c r="AA818" s="30" t="n"/>
    </row>
    <row r="819">
      <c r="A819" s="30" t="n"/>
      <c r="B819" s="156" t="n"/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  <c r="N819" s="30" t="n"/>
      <c r="O819" s="30" t="n"/>
      <c r="P819" s="30" t="n"/>
      <c r="Q819" s="30" t="n"/>
      <c r="R819" s="30" t="n"/>
      <c r="S819" s="30" t="n"/>
      <c r="T819" s="30" t="n"/>
      <c r="U819" s="30" t="n"/>
      <c r="V819" s="30" t="n"/>
      <c r="W819" s="30" t="n"/>
      <c r="X819" s="30" t="n"/>
      <c r="Y819" s="30" t="n"/>
      <c r="Z819" s="30" t="n"/>
      <c r="AA819" s="30" t="n"/>
    </row>
    <row r="820">
      <c r="A820" s="30" t="n"/>
      <c r="B820" s="156" t="n"/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  <c r="N820" s="30" t="n"/>
      <c r="O820" s="30" t="n"/>
      <c r="P820" s="30" t="n"/>
      <c r="Q820" s="30" t="n"/>
      <c r="R820" s="30" t="n"/>
      <c r="S820" s="30" t="n"/>
      <c r="T820" s="30" t="n"/>
      <c r="U820" s="30" t="n"/>
      <c r="V820" s="30" t="n"/>
      <c r="W820" s="30" t="n"/>
      <c r="X820" s="30" t="n"/>
      <c r="Y820" s="30" t="n"/>
      <c r="Z820" s="30" t="n"/>
      <c r="AA820" s="30" t="n"/>
    </row>
    <row r="821">
      <c r="A821" s="30" t="n"/>
      <c r="B821" s="156" t="n"/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  <c r="N821" s="30" t="n"/>
      <c r="O821" s="30" t="n"/>
      <c r="P821" s="30" t="n"/>
      <c r="Q821" s="30" t="n"/>
      <c r="R821" s="30" t="n"/>
      <c r="S821" s="30" t="n"/>
      <c r="T821" s="30" t="n"/>
      <c r="U821" s="30" t="n"/>
      <c r="V821" s="30" t="n"/>
      <c r="W821" s="30" t="n"/>
      <c r="X821" s="30" t="n"/>
      <c r="Y821" s="30" t="n"/>
      <c r="Z821" s="30" t="n"/>
      <c r="AA821" s="30" t="n"/>
    </row>
    <row r="822">
      <c r="A822" s="30" t="n"/>
      <c r="B822" s="156" t="n"/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  <c r="N822" s="30" t="n"/>
      <c r="O822" s="30" t="n"/>
      <c r="P822" s="30" t="n"/>
      <c r="Q822" s="30" t="n"/>
      <c r="R822" s="30" t="n"/>
      <c r="S822" s="30" t="n"/>
      <c r="T822" s="30" t="n"/>
      <c r="U822" s="30" t="n"/>
      <c r="V822" s="30" t="n"/>
      <c r="W822" s="30" t="n"/>
      <c r="X822" s="30" t="n"/>
      <c r="Y822" s="30" t="n"/>
      <c r="Z822" s="30" t="n"/>
      <c r="AA822" s="30" t="n"/>
    </row>
    <row r="823">
      <c r="A823" s="30" t="n"/>
      <c r="B823" s="156" t="n"/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  <c r="N823" s="30" t="n"/>
      <c r="O823" s="30" t="n"/>
      <c r="P823" s="30" t="n"/>
      <c r="Q823" s="30" t="n"/>
      <c r="R823" s="30" t="n"/>
      <c r="S823" s="30" t="n"/>
      <c r="T823" s="30" t="n"/>
      <c r="U823" s="30" t="n"/>
      <c r="V823" s="30" t="n"/>
      <c r="W823" s="30" t="n"/>
      <c r="X823" s="30" t="n"/>
      <c r="Y823" s="30" t="n"/>
      <c r="Z823" s="30" t="n"/>
      <c r="AA823" s="30" t="n"/>
    </row>
    <row r="824">
      <c r="A824" s="30" t="n"/>
      <c r="B824" s="156" t="n"/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  <c r="N824" s="30" t="n"/>
      <c r="O824" s="30" t="n"/>
      <c r="P824" s="30" t="n"/>
      <c r="Q824" s="30" t="n"/>
      <c r="R824" s="30" t="n"/>
      <c r="S824" s="30" t="n"/>
      <c r="T824" s="30" t="n"/>
      <c r="U824" s="30" t="n"/>
      <c r="V824" s="30" t="n"/>
      <c r="W824" s="30" t="n"/>
      <c r="X824" s="30" t="n"/>
      <c r="Y824" s="30" t="n"/>
      <c r="Z824" s="30" t="n"/>
      <c r="AA824" s="30" t="n"/>
    </row>
    <row r="825">
      <c r="A825" s="30" t="n"/>
      <c r="B825" s="156" t="n"/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  <c r="N825" s="30" t="n"/>
      <c r="O825" s="30" t="n"/>
      <c r="P825" s="30" t="n"/>
      <c r="Q825" s="30" t="n"/>
      <c r="R825" s="30" t="n"/>
      <c r="S825" s="30" t="n"/>
      <c r="T825" s="30" t="n"/>
      <c r="U825" s="30" t="n"/>
      <c r="V825" s="30" t="n"/>
      <c r="W825" s="30" t="n"/>
      <c r="X825" s="30" t="n"/>
      <c r="Y825" s="30" t="n"/>
      <c r="Z825" s="30" t="n"/>
      <c r="AA825" s="30" t="n"/>
    </row>
    <row r="826">
      <c r="A826" s="30" t="n"/>
      <c r="B826" s="156" t="n"/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  <c r="N826" s="30" t="n"/>
      <c r="O826" s="30" t="n"/>
      <c r="P826" s="30" t="n"/>
      <c r="Q826" s="30" t="n"/>
      <c r="R826" s="30" t="n"/>
      <c r="S826" s="30" t="n"/>
      <c r="T826" s="30" t="n"/>
      <c r="U826" s="30" t="n"/>
      <c r="V826" s="30" t="n"/>
      <c r="W826" s="30" t="n"/>
      <c r="X826" s="30" t="n"/>
      <c r="Y826" s="30" t="n"/>
      <c r="Z826" s="30" t="n"/>
      <c r="AA826" s="30" t="n"/>
    </row>
    <row r="827">
      <c r="A827" s="30" t="n"/>
      <c r="B827" s="156" t="n"/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  <c r="N827" s="30" t="n"/>
      <c r="O827" s="30" t="n"/>
      <c r="P827" s="30" t="n"/>
      <c r="Q827" s="30" t="n"/>
      <c r="R827" s="30" t="n"/>
      <c r="S827" s="30" t="n"/>
      <c r="T827" s="30" t="n"/>
      <c r="U827" s="30" t="n"/>
      <c r="V827" s="30" t="n"/>
      <c r="W827" s="30" t="n"/>
      <c r="X827" s="30" t="n"/>
      <c r="Y827" s="30" t="n"/>
      <c r="Z827" s="30" t="n"/>
      <c r="AA827" s="30" t="n"/>
    </row>
    <row r="828">
      <c r="A828" s="30" t="n"/>
      <c r="B828" s="156" t="n"/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  <c r="N828" s="30" t="n"/>
      <c r="O828" s="30" t="n"/>
      <c r="P828" s="30" t="n"/>
      <c r="Q828" s="30" t="n"/>
      <c r="R828" s="30" t="n"/>
      <c r="S828" s="30" t="n"/>
      <c r="T828" s="30" t="n"/>
      <c r="U828" s="30" t="n"/>
      <c r="V828" s="30" t="n"/>
      <c r="W828" s="30" t="n"/>
      <c r="X828" s="30" t="n"/>
      <c r="Y828" s="30" t="n"/>
      <c r="Z828" s="30" t="n"/>
      <c r="AA828" s="30" t="n"/>
    </row>
    <row r="829">
      <c r="A829" s="30" t="n"/>
      <c r="B829" s="156" t="n"/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  <c r="N829" s="30" t="n"/>
      <c r="O829" s="30" t="n"/>
      <c r="P829" s="30" t="n"/>
      <c r="Q829" s="30" t="n"/>
      <c r="R829" s="30" t="n"/>
      <c r="S829" s="30" t="n"/>
      <c r="T829" s="30" t="n"/>
      <c r="U829" s="30" t="n"/>
      <c r="V829" s="30" t="n"/>
      <c r="W829" s="30" t="n"/>
      <c r="X829" s="30" t="n"/>
      <c r="Y829" s="30" t="n"/>
      <c r="Z829" s="30" t="n"/>
      <c r="AA829" s="30" t="n"/>
    </row>
    <row r="830">
      <c r="A830" s="30" t="n"/>
      <c r="B830" s="156" t="n"/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  <c r="N830" s="30" t="n"/>
      <c r="O830" s="30" t="n"/>
      <c r="P830" s="30" t="n"/>
      <c r="Q830" s="30" t="n"/>
      <c r="R830" s="30" t="n"/>
      <c r="S830" s="30" t="n"/>
      <c r="T830" s="30" t="n"/>
      <c r="U830" s="30" t="n"/>
      <c r="V830" s="30" t="n"/>
      <c r="W830" s="30" t="n"/>
      <c r="X830" s="30" t="n"/>
      <c r="Y830" s="30" t="n"/>
      <c r="Z830" s="30" t="n"/>
      <c r="AA830" s="30" t="n"/>
    </row>
    <row r="831">
      <c r="A831" s="30" t="n"/>
      <c r="B831" s="156" t="n"/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  <c r="N831" s="30" t="n"/>
      <c r="O831" s="30" t="n"/>
      <c r="P831" s="30" t="n"/>
      <c r="Q831" s="30" t="n"/>
      <c r="R831" s="30" t="n"/>
      <c r="S831" s="30" t="n"/>
      <c r="T831" s="30" t="n"/>
      <c r="U831" s="30" t="n"/>
      <c r="V831" s="30" t="n"/>
      <c r="W831" s="30" t="n"/>
      <c r="X831" s="30" t="n"/>
      <c r="Y831" s="30" t="n"/>
      <c r="Z831" s="30" t="n"/>
      <c r="AA831" s="30" t="n"/>
    </row>
    <row r="832">
      <c r="A832" s="30" t="n"/>
      <c r="B832" s="156" t="n"/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  <c r="N832" s="30" t="n"/>
      <c r="O832" s="30" t="n"/>
      <c r="P832" s="30" t="n"/>
      <c r="Q832" s="30" t="n"/>
      <c r="R832" s="30" t="n"/>
      <c r="S832" s="30" t="n"/>
      <c r="T832" s="30" t="n"/>
      <c r="U832" s="30" t="n"/>
      <c r="V832" s="30" t="n"/>
      <c r="W832" s="30" t="n"/>
      <c r="X832" s="30" t="n"/>
      <c r="Y832" s="30" t="n"/>
      <c r="Z832" s="30" t="n"/>
      <c r="AA832" s="30" t="n"/>
    </row>
    <row r="833">
      <c r="A833" s="30" t="n"/>
      <c r="B833" s="156" t="n"/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  <c r="N833" s="30" t="n"/>
      <c r="O833" s="30" t="n"/>
      <c r="P833" s="30" t="n"/>
      <c r="Q833" s="30" t="n"/>
      <c r="R833" s="30" t="n"/>
      <c r="S833" s="30" t="n"/>
      <c r="T833" s="30" t="n"/>
      <c r="U833" s="30" t="n"/>
      <c r="V833" s="30" t="n"/>
      <c r="W833" s="30" t="n"/>
      <c r="X833" s="30" t="n"/>
      <c r="Y833" s="30" t="n"/>
      <c r="Z833" s="30" t="n"/>
      <c r="AA833" s="30" t="n"/>
    </row>
    <row r="834">
      <c r="A834" s="30" t="n"/>
      <c r="B834" s="156" t="n"/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  <c r="N834" s="30" t="n"/>
      <c r="O834" s="30" t="n"/>
      <c r="P834" s="30" t="n"/>
      <c r="Q834" s="30" t="n"/>
      <c r="R834" s="30" t="n"/>
      <c r="S834" s="30" t="n"/>
      <c r="T834" s="30" t="n"/>
      <c r="U834" s="30" t="n"/>
      <c r="V834" s="30" t="n"/>
      <c r="W834" s="30" t="n"/>
      <c r="X834" s="30" t="n"/>
      <c r="Y834" s="30" t="n"/>
      <c r="Z834" s="30" t="n"/>
      <c r="AA834" s="30" t="n"/>
    </row>
    <row r="835">
      <c r="A835" s="30" t="n"/>
      <c r="B835" s="156" t="n"/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  <c r="N835" s="30" t="n"/>
      <c r="O835" s="30" t="n"/>
      <c r="P835" s="30" t="n"/>
      <c r="Q835" s="30" t="n"/>
      <c r="R835" s="30" t="n"/>
      <c r="S835" s="30" t="n"/>
      <c r="T835" s="30" t="n"/>
      <c r="U835" s="30" t="n"/>
      <c r="V835" s="30" t="n"/>
      <c r="W835" s="30" t="n"/>
      <c r="X835" s="30" t="n"/>
      <c r="Y835" s="30" t="n"/>
      <c r="Z835" s="30" t="n"/>
      <c r="AA835" s="30" t="n"/>
    </row>
    <row r="836">
      <c r="A836" s="30" t="n"/>
      <c r="B836" s="156" t="n"/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  <c r="N836" s="30" t="n"/>
      <c r="O836" s="30" t="n"/>
      <c r="P836" s="30" t="n"/>
      <c r="Q836" s="30" t="n"/>
      <c r="R836" s="30" t="n"/>
      <c r="S836" s="30" t="n"/>
      <c r="T836" s="30" t="n"/>
      <c r="U836" s="30" t="n"/>
      <c r="V836" s="30" t="n"/>
      <c r="W836" s="30" t="n"/>
      <c r="X836" s="30" t="n"/>
      <c r="Y836" s="30" t="n"/>
      <c r="Z836" s="30" t="n"/>
      <c r="AA836" s="30" t="n"/>
    </row>
    <row r="837">
      <c r="A837" s="30" t="n"/>
      <c r="B837" s="156" t="n"/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  <c r="N837" s="30" t="n"/>
      <c r="O837" s="30" t="n"/>
      <c r="P837" s="30" t="n"/>
      <c r="Q837" s="30" t="n"/>
      <c r="R837" s="30" t="n"/>
      <c r="S837" s="30" t="n"/>
      <c r="T837" s="30" t="n"/>
      <c r="U837" s="30" t="n"/>
      <c r="V837" s="30" t="n"/>
      <c r="W837" s="30" t="n"/>
      <c r="X837" s="30" t="n"/>
      <c r="Y837" s="30" t="n"/>
      <c r="Z837" s="30" t="n"/>
      <c r="AA837" s="30" t="n"/>
    </row>
    <row r="838">
      <c r="A838" s="30" t="n"/>
      <c r="B838" s="156" t="n"/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  <c r="N838" s="30" t="n"/>
      <c r="O838" s="30" t="n"/>
      <c r="P838" s="30" t="n"/>
      <c r="Q838" s="30" t="n"/>
      <c r="R838" s="30" t="n"/>
      <c r="S838" s="30" t="n"/>
      <c r="T838" s="30" t="n"/>
      <c r="U838" s="30" t="n"/>
      <c r="V838" s="30" t="n"/>
      <c r="W838" s="30" t="n"/>
      <c r="X838" s="30" t="n"/>
      <c r="Y838" s="30" t="n"/>
      <c r="Z838" s="30" t="n"/>
      <c r="AA838" s="30" t="n"/>
    </row>
    <row r="839">
      <c r="A839" s="30" t="n"/>
      <c r="B839" s="156" t="n"/>
      <c r="C839" s="30" t="n"/>
      <c r="D839" s="30" t="n"/>
      <c r="E839" s="30" t="n"/>
      <c r="F839" s="30" t="n"/>
      <c r="G839" s="30" t="n"/>
      <c r="H839" s="30" t="n"/>
      <c r="I839" s="30" t="n"/>
      <c r="J839" s="30" t="n"/>
      <c r="K839" s="30" t="n"/>
      <c r="L839" s="30" t="n"/>
      <c r="M839" s="30" t="n"/>
      <c r="N839" s="30" t="n"/>
      <c r="O839" s="30" t="n"/>
      <c r="P839" s="30" t="n"/>
      <c r="Q839" s="30" t="n"/>
      <c r="R839" s="30" t="n"/>
      <c r="S839" s="30" t="n"/>
      <c r="T839" s="30" t="n"/>
      <c r="U839" s="30" t="n"/>
      <c r="V839" s="30" t="n"/>
      <c r="W839" s="30" t="n"/>
      <c r="X839" s="30" t="n"/>
      <c r="Y839" s="30" t="n"/>
      <c r="Z839" s="30" t="n"/>
      <c r="AA839" s="30" t="n"/>
    </row>
    <row r="840">
      <c r="A840" s="30" t="n"/>
      <c r="B840" s="156" t="n"/>
      <c r="C840" s="30" t="n"/>
      <c r="D840" s="30" t="n"/>
      <c r="E840" s="30" t="n"/>
      <c r="F840" s="30" t="n"/>
      <c r="G840" s="30" t="n"/>
      <c r="H840" s="30" t="n"/>
      <c r="I840" s="30" t="n"/>
      <c r="J840" s="30" t="n"/>
      <c r="K840" s="30" t="n"/>
      <c r="L840" s="30" t="n"/>
      <c r="M840" s="30" t="n"/>
      <c r="N840" s="30" t="n"/>
      <c r="O840" s="30" t="n"/>
      <c r="P840" s="30" t="n"/>
      <c r="Q840" s="30" t="n"/>
      <c r="R840" s="30" t="n"/>
      <c r="S840" s="30" t="n"/>
      <c r="T840" s="30" t="n"/>
      <c r="U840" s="30" t="n"/>
      <c r="V840" s="30" t="n"/>
      <c r="W840" s="30" t="n"/>
      <c r="X840" s="30" t="n"/>
      <c r="Y840" s="30" t="n"/>
      <c r="Z840" s="30" t="n"/>
      <c r="AA840" s="30" t="n"/>
    </row>
    <row r="841">
      <c r="A841" s="30" t="n"/>
      <c r="B841" s="156" t="n"/>
      <c r="C841" s="30" t="n"/>
      <c r="D841" s="30" t="n"/>
      <c r="E841" s="30" t="n"/>
      <c r="F841" s="30" t="n"/>
      <c r="G841" s="30" t="n"/>
      <c r="H841" s="30" t="n"/>
      <c r="I841" s="30" t="n"/>
      <c r="J841" s="30" t="n"/>
      <c r="K841" s="30" t="n"/>
      <c r="L841" s="30" t="n"/>
      <c r="M841" s="30" t="n"/>
      <c r="N841" s="30" t="n"/>
      <c r="O841" s="30" t="n"/>
      <c r="P841" s="30" t="n"/>
      <c r="Q841" s="30" t="n"/>
      <c r="R841" s="30" t="n"/>
      <c r="S841" s="30" t="n"/>
      <c r="T841" s="30" t="n"/>
      <c r="U841" s="30" t="n"/>
      <c r="V841" s="30" t="n"/>
      <c r="W841" s="30" t="n"/>
      <c r="X841" s="30" t="n"/>
      <c r="Y841" s="30" t="n"/>
      <c r="Z841" s="30" t="n"/>
      <c r="AA841" s="30" t="n"/>
    </row>
    <row r="842">
      <c r="A842" s="30" t="n"/>
      <c r="B842" s="156" t="n"/>
      <c r="C842" s="30" t="n"/>
      <c r="D842" s="30" t="n"/>
      <c r="E842" s="30" t="n"/>
      <c r="F842" s="30" t="n"/>
      <c r="G842" s="30" t="n"/>
      <c r="H842" s="30" t="n"/>
      <c r="I842" s="30" t="n"/>
      <c r="J842" s="30" t="n"/>
      <c r="K842" s="30" t="n"/>
      <c r="L842" s="30" t="n"/>
      <c r="M842" s="30" t="n"/>
      <c r="N842" s="30" t="n"/>
      <c r="O842" s="30" t="n"/>
      <c r="P842" s="30" t="n"/>
      <c r="Q842" s="30" t="n"/>
      <c r="R842" s="30" t="n"/>
      <c r="S842" s="30" t="n"/>
      <c r="T842" s="30" t="n"/>
      <c r="U842" s="30" t="n"/>
      <c r="V842" s="30" t="n"/>
      <c r="W842" s="30" t="n"/>
      <c r="X842" s="30" t="n"/>
      <c r="Y842" s="30" t="n"/>
      <c r="Z842" s="30" t="n"/>
      <c r="AA842" s="30" t="n"/>
    </row>
    <row r="843">
      <c r="A843" s="30" t="n"/>
      <c r="B843" s="156" t="n"/>
      <c r="C843" s="30" t="n"/>
      <c r="D843" s="30" t="n"/>
      <c r="E843" s="30" t="n"/>
      <c r="F843" s="30" t="n"/>
      <c r="G843" s="30" t="n"/>
      <c r="H843" s="30" t="n"/>
      <c r="I843" s="30" t="n"/>
      <c r="J843" s="30" t="n"/>
      <c r="K843" s="30" t="n"/>
      <c r="L843" s="30" t="n"/>
      <c r="M843" s="30" t="n"/>
      <c r="N843" s="30" t="n"/>
      <c r="O843" s="30" t="n"/>
      <c r="P843" s="30" t="n"/>
      <c r="Q843" s="30" t="n"/>
      <c r="R843" s="30" t="n"/>
      <c r="S843" s="30" t="n"/>
      <c r="T843" s="30" t="n"/>
      <c r="U843" s="30" t="n"/>
      <c r="V843" s="30" t="n"/>
      <c r="W843" s="30" t="n"/>
      <c r="X843" s="30" t="n"/>
      <c r="Y843" s="30" t="n"/>
      <c r="Z843" s="30" t="n"/>
      <c r="AA843" s="30" t="n"/>
    </row>
    <row r="844">
      <c r="A844" s="30" t="n"/>
      <c r="B844" s="156" t="n"/>
      <c r="C844" s="30" t="n"/>
      <c r="D844" s="30" t="n"/>
      <c r="E844" s="30" t="n"/>
      <c r="F844" s="30" t="n"/>
      <c r="G844" s="30" t="n"/>
      <c r="H844" s="30" t="n"/>
      <c r="I844" s="30" t="n"/>
      <c r="J844" s="30" t="n"/>
      <c r="K844" s="30" t="n"/>
      <c r="L844" s="30" t="n"/>
      <c r="M844" s="30" t="n"/>
      <c r="N844" s="30" t="n"/>
      <c r="O844" s="30" t="n"/>
      <c r="P844" s="30" t="n"/>
      <c r="Q844" s="30" t="n"/>
      <c r="R844" s="30" t="n"/>
      <c r="S844" s="30" t="n"/>
      <c r="T844" s="30" t="n"/>
      <c r="U844" s="30" t="n"/>
      <c r="V844" s="30" t="n"/>
      <c r="W844" s="30" t="n"/>
      <c r="X844" s="30" t="n"/>
      <c r="Y844" s="30" t="n"/>
      <c r="Z844" s="30" t="n"/>
      <c r="AA844" s="30" t="n"/>
    </row>
    <row r="845">
      <c r="A845" s="30" t="n"/>
      <c r="B845" s="156" t="n"/>
      <c r="C845" s="30" t="n"/>
      <c r="D845" s="30" t="n"/>
      <c r="E845" s="30" t="n"/>
      <c r="F845" s="30" t="n"/>
      <c r="G845" s="30" t="n"/>
      <c r="H845" s="30" t="n"/>
      <c r="I845" s="30" t="n"/>
      <c r="J845" s="30" t="n"/>
      <c r="K845" s="30" t="n"/>
      <c r="L845" s="30" t="n"/>
      <c r="M845" s="30" t="n"/>
      <c r="N845" s="30" t="n"/>
      <c r="O845" s="30" t="n"/>
      <c r="P845" s="30" t="n"/>
      <c r="Q845" s="30" t="n"/>
      <c r="R845" s="30" t="n"/>
      <c r="S845" s="30" t="n"/>
      <c r="T845" s="30" t="n"/>
      <c r="U845" s="30" t="n"/>
      <c r="V845" s="30" t="n"/>
      <c r="W845" s="30" t="n"/>
      <c r="X845" s="30" t="n"/>
      <c r="Y845" s="30" t="n"/>
      <c r="Z845" s="30" t="n"/>
      <c r="AA845" s="30" t="n"/>
    </row>
    <row r="846">
      <c r="A846" s="30" t="n"/>
      <c r="B846" s="156" t="n"/>
      <c r="C846" s="30" t="n"/>
      <c r="D846" s="30" t="n"/>
      <c r="E846" s="30" t="n"/>
      <c r="F846" s="30" t="n"/>
      <c r="G846" s="30" t="n"/>
      <c r="H846" s="30" t="n"/>
      <c r="I846" s="30" t="n"/>
      <c r="J846" s="30" t="n"/>
      <c r="K846" s="30" t="n"/>
      <c r="L846" s="30" t="n"/>
      <c r="M846" s="30" t="n"/>
      <c r="N846" s="30" t="n"/>
      <c r="O846" s="30" t="n"/>
      <c r="P846" s="30" t="n"/>
      <c r="Q846" s="30" t="n"/>
      <c r="R846" s="30" t="n"/>
      <c r="S846" s="30" t="n"/>
      <c r="T846" s="30" t="n"/>
      <c r="U846" s="30" t="n"/>
      <c r="V846" s="30" t="n"/>
      <c r="W846" s="30" t="n"/>
      <c r="X846" s="30" t="n"/>
      <c r="Y846" s="30" t="n"/>
      <c r="Z846" s="30" t="n"/>
      <c r="AA846" s="30" t="n"/>
    </row>
    <row r="847">
      <c r="A847" s="30" t="n"/>
      <c r="B847" s="156" t="n"/>
      <c r="C847" s="30" t="n"/>
      <c r="D847" s="30" t="n"/>
      <c r="E847" s="30" t="n"/>
      <c r="F847" s="30" t="n"/>
      <c r="G847" s="30" t="n"/>
      <c r="H847" s="30" t="n"/>
      <c r="I847" s="30" t="n"/>
      <c r="J847" s="30" t="n"/>
      <c r="K847" s="30" t="n"/>
      <c r="L847" s="30" t="n"/>
      <c r="M847" s="30" t="n"/>
      <c r="N847" s="30" t="n"/>
      <c r="O847" s="30" t="n"/>
      <c r="P847" s="30" t="n"/>
      <c r="Q847" s="30" t="n"/>
      <c r="R847" s="30" t="n"/>
      <c r="S847" s="30" t="n"/>
      <c r="T847" s="30" t="n"/>
      <c r="U847" s="30" t="n"/>
      <c r="V847" s="30" t="n"/>
      <c r="W847" s="30" t="n"/>
      <c r="X847" s="30" t="n"/>
      <c r="Y847" s="30" t="n"/>
      <c r="Z847" s="30" t="n"/>
      <c r="AA847" s="30" t="n"/>
    </row>
    <row r="848">
      <c r="A848" s="30" t="n"/>
      <c r="B848" s="156" t="n"/>
      <c r="C848" s="30" t="n"/>
      <c r="D848" s="30" t="n"/>
      <c r="E848" s="30" t="n"/>
      <c r="F848" s="30" t="n"/>
      <c r="G848" s="30" t="n"/>
      <c r="H848" s="30" t="n"/>
      <c r="I848" s="30" t="n"/>
      <c r="J848" s="30" t="n"/>
      <c r="K848" s="30" t="n"/>
      <c r="L848" s="30" t="n"/>
      <c r="M848" s="30" t="n"/>
      <c r="N848" s="30" t="n"/>
      <c r="O848" s="30" t="n"/>
      <c r="P848" s="30" t="n"/>
      <c r="Q848" s="30" t="n"/>
      <c r="R848" s="30" t="n"/>
      <c r="S848" s="30" t="n"/>
      <c r="T848" s="30" t="n"/>
      <c r="U848" s="30" t="n"/>
      <c r="V848" s="30" t="n"/>
      <c r="W848" s="30" t="n"/>
      <c r="X848" s="30" t="n"/>
      <c r="Y848" s="30" t="n"/>
      <c r="Z848" s="30" t="n"/>
      <c r="AA848" s="30" t="n"/>
    </row>
    <row r="849">
      <c r="A849" s="30" t="n"/>
      <c r="B849" s="156" t="n"/>
      <c r="C849" s="30" t="n"/>
      <c r="D849" s="30" t="n"/>
      <c r="E849" s="30" t="n"/>
      <c r="F849" s="30" t="n"/>
      <c r="G849" s="30" t="n"/>
      <c r="H849" s="30" t="n"/>
      <c r="I849" s="30" t="n"/>
      <c r="J849" s="30" t="n"/>
      <c r="K849" s="30" t="n"/>
      <c r="L849" s="30" t="n"/>
      <c r="M849" s="30" t="n"/>
      <c r="N849" s="30" t="n"/>
      <c r="O849" s="30" t="n"/>
      <c r="P849" s="30" t="n"/>
      <c r="Q849" s="30" t="n"/>
      <c r="R849" s="30" t="n"/>
      <c r="S849" s="30" t="n"/>
      <c r="T849" s="30" t="n"/>
      <c r="U849" s="30" t="n"/>
      <c r="V849" s="30" t="n"/>
      <c r="W849" s="30" t="n"/>
      <c r="X849" s="30" t="n"/>
      <c r="Y849" s="30" t="n"/>
      <c r="Z849" s="30" t="n"/>
      <c r="AA849" s="30" t="n"/>
    </row>
    <row r="850">
      <c r="A850" s="30" t="n"/>
      <c r="B850" s="156" t="n"/>
      <c r="C850" s="30" t="n"/>
      <c r="D850" s="30" t="n"/>
      <c r="E850" s="30" t="n"/>
      <c r="F850" s="30" t="n"/>
      <c r="G850" s="30" t="n"/>
      <c r="H850" s="30" t="n"/>
      <c r="I850" s="30" t="n"/>
      <c r="J850" s="30" t="n"/>
      <c r="K850" s="30" t="n"/>
      <c r="L850" s="30" t="n"/>
      <c r="M850" s="30" t="n"/>
      <c r="N850" s="30" t="n"/>
      <c r="O850" s="30" t="n"/>
      <c r="P850" s="30" t="n"/>
      <c r="Q850" s="30" t="n"/>
      <c r="R850" s="30" t="n"/>
      <c r="S850" s="30" t="n"/>
      <c r="T850" s="30" t="n"/>
      <c r="U850" s="30" t="n"/>
      <c r="V850" s="30" t="n"/>
      <c r="W850" s="30" t="n"/>
      <c r="X850" s="30" t="n"/>
      <c r="Y850" s="30" t="n"/>
      <c r="Z850" s="30" t="n"/>
      <c r="AA850" s="30" t="n"/>
    </row>
    <row r="851">
      <c r="A851" s="30" t="n"/>
      <c r="B851" s="156" t="n"/>
      <c r="C851" s="30" t="n"/>
      <c r="D851" s="30" t="n"/>
      <c r="E851" s="30" t="n"/>
      <c r="F851" s="30" t="n"/>
      <c r="G851" s="30" t="n"/>
      <c r="H851" s="30" t="n"/>
      <c r="I851" s="30" t="n"/>
      <c r="J851" s="30" t="n"/>
      <c r="K851" s="30" t="n"/>
      <c r="L851" s="30" t="n"/>
      <c r="M851" s="30" t="n"/>
      <c r="N851" s="30" t="n"/>
      <c r="O851" s="30" t="n"/>
      <c r="P851" s="30" t="n"/>
      <c r="Q851" s="30" t="n"/>
      <c r="R851" s="30" t="n"/>
      <c r="S851" s="30" t="n"/>
      <c r="T851" s="30" t="n"/>
      <c r="U851" s="30" t="n"/>
      <c r="V851" s="30" t="n"/>
      <c r="W851" s="30" t="n"/>
      <c r="X851" s="30" t="n"/>
      <c r="Y851" s="30" t="n"/>
      <c r="Z851" s="30" t="n"/>
      <c r="AA851" s="30" t="n"/>
    </row>
    <row r="852">
      <c r="A852" s="30" t="n"/>
      <c r="B852" s="156" t="n"/>
      <c r="C852" s="30" t="n"/>
      <c r="D852" s="30" t="n"/>
      <c r="E852" s="30" t="n"/>
      <c r="F852" s="30" t="n"/>
      <c r="G852" s="30" t="n"/>
      <c r="H852" s="30" t="n"/>
      <c r="I852" s="30" t="n"/>
      <c r="J852" s="30" t="n"/>
      <c r="K852" s="30" t="n"/>
      <c r="L852" s="30" t="n"/>
      <c r="M852" s="30" t="n"/>
      <c r="N852" s="30" t="n"/>
      <c r="O852" s="30" t="n"/>
      <c r="P852" s="30" t="n"/>
      <c r="Q852" s="30" t="n"/>
      <c r="R852" s="30" t="n"/>
      <c r="S852" s="30" t="n"/>
      <c r="T852" s="30" t="n"/>
      <c r="U852" s="30" t="n"/>
      <c r="V852" s="30" t="n"/>
      <c r="W852" s="30" t="n"/>
      <c r="X852" s="30" t="n"/>
      <c r="Y852" s="30" t="n"/>
      <c r="Z852" s="30" t="n"/>
      <c r="AA852" s="30" t="n"/>
    </row>
    <row r="853">
      <c r="A853" s="30" t="n"/>
      <c r="B853" s="156" t="n"/>
      <c r="C853" s="30" t="n"/>
      <c r="D853" s="30" t="n"/>
      <c r="E853" s="30" t="n"/>
      <c r="F853" s="30" t="n"/>
      <c r="G853" s="30" t="n"/>
      <c r="H853" s="30" t="n"/>
      <c r="I853" s="30" t="n"/>
      <c r="J853" s="30" t="n"/>
      <c r="K853" s="30" t="n"/>
      <c r="L853" s="30" t="n"/>
      <c r="M853" s="30" t="n"/>
      <c r="N853" s="30" t="n"/>
      <c r="O853" s="30" t="n"/>
      <c r="P853" s="30" t="n"/>
      <c r="Q853" s="30" t="n"/>
      <c r="R853" s="30" t="n"/>
      <c r="S853" s="30" t="n"/>
      <c r="T853" s="30" t="n"/>
      <c r="U853" s="30" t="n"/>
      <c r="V853" s="30" t="n"/>
      <c r="W853" s="30" t="n"/>
      <c r="X853" s="30" t="n"/>
      <c r="Y853" s="30" t="n"/>
      <c r="Z853" s="30" t="n"/>
      <c r="AA853" s="30" t="n"/>
    </row>
    <row r="854">
      <c r="A854" s="30" t="n"/>
      <c r="B854" s="156" t="n"/>
      <c r="C854" s="30" t="n"/>
      <c r="D854" s="30" t="n"/>
      <c r="E854" s="30" t="n"/>
      <c r="F854" s="30" t="n"/>
      <c r="G854" s="30" t="n"/>
      <c r="H854" s="30" t="n"/>
      <c r="I854" s="30" t="n"/>
      <c r="J854" s="30" t="n"/>
      <c r="K854" s="30" t="n"/>
      <c r="L854" s="30" t="n"/>
      <c r="M854" s="30" t="n"/>
      <c r="N854" s="30" t="n"/>
      <c r="O854" s="30" t="n"/>
      <c r="P854" s="30" t="n"/>
      <c r="Q854" s="30" t="n"/>
      <c r="R854" s="30" t="n"/>
      <c r="S854" s="30" t="n"/>
      <c r="T854" s="30" t="n"/>
      <c r="U854" s="30" t="n"/>
      <c r="V854" s="30" t="n"/>
      <c r="W854" s="30" t="n"/>
      <c r="X854" s="30" t="n"/>
      <c r="Y854" s="30" t="n"/>
      <c r="Z854" s="30" t="n"/>
      <c r="AA854" s="30" t="n"/>
    </row>
    <row r="855">
      <c r="A855" s="30" t="n"/>
      <c r="B855" s="156" t="n"/>
      <c r="C855" s="30" t="n"/>
      <c r="D855" s="30" t="n"/>
      <c r="E855" s="30" t="n"/>
      <c r="F855" s="30" t="n"/>
      <c r="G855" s="30" t="n"/>
      <c r="H855" s="30" t="n"/>
      <c r="I855" s="30" t="n"/>
      <c r="J855" s="30" t="n"/>
      <c r="K855" s="30" t="n"/>
      <c r="L855" s="30" t="n"/>
      <c r="M855" s="30" t="n"/>
      <c r="N855" s="30" t="n"/>
      <c r="O855" s="30" t="n"/>
      <c r="P855" s="30" t="n"/>
      <c r="Q855" s="30" t="n"/>
      <c r="R855" s="30" t="n"/>
      <c r="S855" s="30" t="n"/>
      <c r="T855" s="30" t="n"/>
      <c r="U855" s="30" t="n"/>
      <c r="V855" s="30" t="n"/>
      <c r="W855" s="30" t="n"/>
      <c r="X855" s="30" t="n"/>
      <c r="Y855" s="30" t="n"/>
      <c r="Z855" s="30" t="n"/>
      <c r="AA855" s="30" t="n"/>
    </row>
    <row r="856">
      <c r="A856" s="30" t="n"/>
      <c r="B856" s="156" t="n"/>
      <c r="C856" s="30" t="n"/>
      <c r="D856" s="30" t="n"/>
      <c r="E856" s="30" t="n"/>
      <c r="F856" s="30" t="n"/>
      <c r="G856" s="30" t="n"/>
      <c r="H856" s="30" t="n"/>
      <c r="I856" s="30" t="n"/>
      <c r="J856" s="30" t="n"/>
      <c r="K856" s="30" t="n"/>
      <c r="L856" s="30" t="n"/>
      <c r="M856" s="30" t="n"/>
      <c r="N856" s="30" t="n"/>
      <c r="O856" s="30" t="n"/>
      <c r="P856" s="30" t="n"/>
      <c r="Q856" s="30" t="n"/>
      <c r="R856" s="30" t="n"/>
      <c r="S856" s="30" t="n"/>
      <c r="T856" s="30" t="n"/>
      <c r="U856" s="30" t="n"/>
      <c r="V856" s="30" t="n"/>
      <c r="W856" s="30" t="n"/>
      <c r="X856" s="30" t="n"/>
      <c r="Y856" s="30" t="n"/>
      <c r="Z856" s="30" t="n"/>
      <c r="AA856" s="30" t="n"/>
    </row>
    <row r="857">
      <c r="A857" s="30" t="n"/>
      <c r="B857" s="156" t="n"/>
      <c r="C857" s="30" t="n"/>
      <c r="D857" s="30" t="n"/>
      <c r="E857" s="30" t="n"/>
      <c r="F857" s="30" t="n"/>
      <c r="G857" s="30" t="n"/>
      <c r="H857" s="30" t="n"/>
      <c r="I857" s="30" t="n"/>
      <c r="J857" s="30" t="n"/>
      <c r="K857" s="30" t="n"/>
      <c r="L857" s="30" t="n"/>
      <c r="M857" s="30" t="n"/>
      <c r="N857" s="30" t="n"/>
      <c r="O857" s="30" t="n"/>
      <c r="P857" s="30" t="n"/>
      <c r="Q857" s="30" t="n"/>
      <c r="R857" s="30" t="n"/>
      <c r="S857" s="30" t="n"/>
      <c r="T857" s="30" t="n"/>
      <c r="U857" s="30" t="n"/>
      <c r="V857" s="30" t="n"/>
      <c r="W857" s="30" t="n"/>
      <c r="X857" s="30" t="n"/>
      <c r="Y857" s="30" t="n"/>
      <c r="Z857" s="30" t="n"/>
      <c r="AA857" s="30" t="n"/>
    </row>
    <row r="858">
      <c r="A858" s="30" t="n"/>
      <c r="B858" s="156" t="n"/>
      <c r="C858" s="30" t="n"/>
      <c r="D858" s="30" t="n"/>
      <c r="E858" s="30" t="n"/>
      <c r="F858" s="30" t="n"/>
      <c r="G858" s="30" t="n"/>
      <c r="H858" s="30" t="n"/>
      <c r="I858" s="30" t="n"/>
      <c r="J858" s="30" t="n"/>
      <c r="K858" s="30" t="n"/>
      <c r="L858" s="30" t="n"/>
      <c r="M858" s="30" t="n"/>
      <c r="N858" s="30" t="n"/>
      <c r="O858" s="30" t="n"/>
      <c r="P858" s="30" t="n"/>
      <c r="Q858" s="30" t="n"/>
      <c r="R858" s="30" t="n"/>
      <c r="S858" s="30" t="n"/>
      <c r="T858" s="30" t="n"/>
      <c r="U858" s="30" t="n"/>
      <c r="V858" s="30" t="n"/>
      <c r="W858" s="30" t="n"/>
      <c r="X858" s="30" t="n"/>
      <c r="Y858" s="30" t="n"/>
      <c r="Z858" s="30" t="n"/>
      <c r="AA858" s="30" t="n"/>
    </row>
    <row r="859">
      <c r="A859" s="30" t="n"/>
      <c r="B859" s="156" t="n"/>
      <c r="C859" s="30" t="n"/>
      <c r="D859" s="30" t="n"/>
      <c r="E859" s="30" t="n"/>
      <c r="F859" s="30" t="n"/>
      <c r="G859" s="30" t="n"/>
      <c r="H859" s="30" t="n"/>
      <c r="I859" s="30" t="n"/>
      <c r="J859" s="30" t="n"/>
      <c r="K859" s="30" t="n"/>
      <c r="L859" s="30" t="n"/>
      <c r="M859" s="30" t="n"/>
      <c r="N859" s="30" t="n"/>
      <c r="O859" s="30" t="n"/>
      <c r="P859" s="30" t="n"/>
      <c r="Q859" s="30" t="n"/>
      <c r="R859" s="30" t="n"/>
      <c r="S859" s="30" t="n"/>
      <c r="T859" s="30" t="n"/>
      <c r="U859" s="30" t="n"/>
      <c r="V859" s="30" t="n"/>
      <c r="W859" s="30" t="n"/>
      <c r="X859" s="30" t="n"/>
      <c r="Y859" s="30" t="n"/>
      <c r="Z859" s="30" t="n"/>
      <c r="AA859" s="30" t="n"/>
    </row>
    <row r="860">
      <c r="A860" s="30" t="n"/>
      <c r="B860" s="156" t="n"/>
      <c r="C860" s="30" t="n"/>
      <c r="D860" s="30" t="n"/>
      <c r="E860" s="30" t="n"/>
      <c r="F860" s="30" t="n"/>
      <c r="G860" s="30" t="n"/>
      <c r="H860" s="30" t="n"/>
      <c r="I860" s="30" t="n"/>
      <c r="J860" s="30" t="n"/>
      <c r="K860" s="30" t="n"/>
      <c r="L860" s="30" t="n"/>
      <c r="M860" s="30" t="n"/>
      <c r="N860" s="30" t="n"/>
      <c r="O860" s="30" t="n"/>
      <c r="P860" s="30" t="n"/>
      <c r="Q860" s="30" t="n"/>
      <c r="R860" s="30" t="n"/>
      <c r="S860" s="30" t="n"/>
      <c r="T860" s="30" t="n"/>
      <c r="U860" s="30" t="n"/>
      <c r="V860" s="30" t="n"/>
      <c r="W860" s="30" t="n"/>
      <c r="X860" s="30" t="n"/>
      <c r="Y860" s="30" t="n"/>
      <c r="Z860" s="30" t="n"/>
      <c r="AA860" s="30" t="n"/>
    </row>
    <row r="861">
      <c r="A861" s="30" t="n"/>
      <c r="B861" s="156" t="n"/>
      <c r="C861" s="30" t="n"/>
      <c r="D861" s="30" t="n"/>
      <c r="E861" s="30" t="n"/>
      <c r="F861" s="30" t="n"/>
      <c r="G861" s="30" t="n"/>
      <c r="H861" s="30" t="n"/>
      <c r="I861" s="30" t="n"/>
      <c r="J861" s="30" t="n"/>
      <c r="K861" s="30" t="n"/>
      <c r="L861" s="30" t="n"/>
      <c r="M861" s="30" t="n"/>
      <c r="N861" s="30" t="n"/>
      <c r="O861" s="30" t="n"/>
      <c r="P861" s="30" t="n"/>
      <c r="Q861" s="30" t="n"/>
      <c r="R861" s="30" t="n"/>
      <c r="S861" s="30" t="n"/>
      <c r="T861" s="30" t="n"/>
      <c r="U861" s="30" t="n"/>
      <c r="V861" s="30" t="n"/>
      <c r="W861" s="30" t="n"/>
      <c r="X861" s="30" t="n"/>
      <c r="Y861" s="30" t="n"/>
      <c r="Z861" s="30" t="n"/>
      <c r="AA861" s="30" t="n"/>
    </row>
    <row r="862">
      <c r="A862" s="30" t="n"/>
      <c r="B862" s="156" t="n"/>
      <c r="C862" s="30" t="n"/>
      <c r="D862" s="30" t="n"/>
      <c r="E862" s="30" t="n"/>
      <c r="F862" s="30" t="n"/>
      <c r="G862" s="30" t="n"/>
      <c r="H862" s="30" t="n"/>
      <c r="I862" s="30" t="n"/>
      <c r="J862" s="30" t="n"/>
      <c r="K862" s="30" t="n"/>
      <c r="L862" s="30" t="n"/>
      <c r="M862" s="30" t="n"/>
      <c r="N862" s="30" t="n"/>
      <c r="O862" s="30" t="n"/>
      <c r="P862" s="30" t="n"/>
      <c r="Q862" s="30" t="n"/>
      <c r="R862" s="30" t="n"/>
      <c r="S862" s="30" t="n"/>
      <c r="T862" s="30" t="n"/>
      <c r="U862" s="30" t="n"/>
      <c r="V862" s="30" t="n"/>
      <c r="W862" s="30" t="n"/>
      <c r="X862" s="30" t="n"/>
      <c r="Y862" s="30" t="n"/>
      <c r="Z862" s="30" t="n"/>
      <c r="AA862" s="30" t="n"/>
    </row>
    <row r="863">
      <c r="A863" s="30" t="n"/>
      <c r="B863" s="156" t="n"/>
      <c r="C863" s="30" t="n"/>
      <c r="D863" s="30" t="n"/>
      <c r="E863" s="30" t="n"/>
      <c r="F863" s="30" t="n"/>
      <c r="G863" s="30" t="n"/>
      <c r="H863" s="30" t="n"/>
      <c r="I863" s="30" t="n"/>
      <c r="J863" s="30" t="n"/>
      <c r="K863" s="30" t="n"/>
      <c r="L863" s="30" t="n"/>
      <c r="M863" s="30" t="n"/>
      <c r="N863" s="30" t="n"/>
      <c r="O863" s="30" t="n"/>
      <c r="P863" s="30" t="n"/>
      <c r="Q863" s="30" t="n"/>
      <c r="R863" s="30" t="n"/>
      <c r="S863" s="30" t="n"/>
      <c r="T863" s="30" t="n"/>
      <c r="U863" s="30" t="n"/>
      <c r="V863" s="30" t="n"/>
      <c r="W863" s="30" t="n"/>
      <c r="X863" s="30" t="n"/>
      <c r="Y863" s="30" t="n"/>
      <c r="Z863" s="30" t="n"/>
      <c r="AA863" s="30" t="n"/>
    </row>
    <row r="864">
      <c r="A864" s="30" t="n"/>
      <c r="B864" s="156" t="n"/>
      <c r="C864" s="30" t="n"/>
      <c r="D864" s="30" t="n"/>
      <c r="E864" s="30" t="n"/>
      <c r="F864" s="30" t="n"/>
      <c r="G864" s="30" t="n"/>
      <c r="H864" s="30" t="n"/>
      <c r="I864" s="30" t="n"/>
      <c r="J864" s="30" t="n"/>
      <c r="K864" s="30" t="n"/>
      <c r="L864" s="30" t="n"/>
      <c r="M864" s="30" t="n"/>
      <c r="N864" s="30" t="n"/>
      <c r="O864" s="30" t="n"/>
      <c r="P864" s="30" t="n"/>
      <c r="Q864" s="30" t="n"/>
      <c r="R864" s="30" t="n"/>
      <c r="S864" s="30" t="n"/>
      <c r="T864" s="30" t="n"/>
      <c r="U864" s="30" t="n"/>
      <c r="V864" s="30" t="n"/>
      <c r="W864" s="30" t="n"/>
      <c r="X864" s="30" t="n"/>
      <c r="Y864" s="30" t="n"/>
      <c r="Z864" s="30" t="n"/>
      <c r="AA864" s="30" t="n"/>
    </row>
    <row r="865">
      <c r="A865" s="30" t="n"/>
      <c r="B865" s="156" t="n"/>
      <c r="C865" s="30" t="n"/>
      <c r="D865" s="30" t="n"/>
      <c r="E865" s="30" t="n"/>
      <c r="F865" s="30" t="n"/>
      <c r="G865" s="30" t="n"/>
      <c r="H865" s="30" t="n"/>
      <c r="I865" s="30" t="n"/>
      <c r="J865" s="30" t="n"/>
      <c r="K865" s="30" t="n"/>
      <c r="L865" s="30" t="n"/>
      <c r="M865" s="30" t="n"/>
      <c r="N865" s="30" t="n"/>
      <c r="O865" s="30" t="n"/>
      <c r="P865" s="30" t="n"/>
      <c r="Q865" s="30" t="n"/>
      <c r="R865" s="30" t="n"/>
      <c r="S865" s="30" t="n"/>
      <c r="T865" s="30" t="n"/>
      <c r="U865" s="30" t="n"/>
      <c r="V865" s="30" t="n"/>
      <c r="W865" s="30" t="n"/>
      <c r="X865" s="30" t="n"/>
      <c r="Y865" s="30" t="n"/>
      <c r="Z865" s="30" t="n"/>
      <c r="AA865" s="30" t="n"/>
    </row>
    <row r="866">
      <c r="A866" s="30" t="n"/>
      <c r="B866" s="156" t="n"/>
      <c r="C866" s="30" t="n"/>
      <c r="D866" s="30" t="n"/>
      <c r="E866" s="30" t="n"/>
      <c r="F866" s="30" t="n"/>
      <c r="G866" s="30" t="n"/>
      <c r="H866" s="30" t="n"/>
      <c r="I866" s="30" t="n"/>
      <c r="J866" s="30" t="n"/>
      <c r="K866" s="30" t="n"/>
      <c r="L866" s="30" t="n"/>
      <c r="M866" s="30" t="n"/>
      <c r="N866" s="30" t="n"/>
      <c r="O866" s="30" t="n"/>
      <c r="P866" s="30" t="n"/>
      <c r="Q866" s="30" t="n"/>
      <c r="R866" s="30" t="n"/>
      <c r="S866" s="30" t="n"/>
      <c r="T866" s="30" t="n"/>
      <c r="U866" s="30" t="n"/>
      <c r="V866" s="30" t="n"/>
      <c r="W866" s="30" t="n"/>
      <c r="X866" s="30" t="n"/>
      <c r="Y866" s="30" t="n"/>
      <c r="Z866" s="30" t="n"/>
      <c r="AA866" s="30" t="n"/>
    </row>
    <row r="867">
      <c r="A867" s="30" t="n"/>
      <c r="B867" s="156" t="n"/>
      <c r="C867" s="30" t="n"/>
      <c r="D867" s="30" t="n"/>
      <c r="E867" s="30" t="n"/>
      <c r="F867" s="30" t="n"/>
      <c r="G867" s="30" t="n"/>
      <c r="H867" s="30" t="n"/>
      <c r="I867" s="30" t="n"/>
      <c r="J867" s="30" t="n"/>
      <c r="K867" s="30" t="n"/>
      <c r="L867" s="30" t="n"/>
      <c r="M867" s="30" t="n"/>
      <c r="N867" s="30" t="n"/>
      <c r="O867" s="30" t="n"/>
      <c r="P867" s="30" t="n"/>
      <c r="Q867" s="30" t="n"/>
      <c r="R867" s="30" t="n"/>
      <c r="S867" s="30" t="n"/>
      <c r="T867" s="30" t="n"/>
      <c r="U867" s="30" t="n"/>
      <c r="V867" s="30" t="n"/>
      <c r="W867" s="30" t="n"/>
      <c r="X867" s="30" t="n"/>
      <c r="Y867" s="30" t="n"/>
      <c r="Z867" s="30" t="n"/>
      <c r="AA867" s="30" t="n"/>
    </row>
    <row r="868">
      <c r="A868" s="30" t="n"/>
      <c r="B868" s="156" t="n"/>
      <c r="C868" s="30" t="n"/>
      <c r="D868" s="30" t="n"/>
      <c r="E868" s="30" t="n"/>
      <c r="F868" s="30" t="n"/>
      <c r="G868" s="30" t="n"/>
      <c r="H868" s="30" t="n"/>
      <c r="I868" s="30" t="n"/>
      <c r="J868" s="30" t="n"/>
      <c r="K868" s="30" t="n"/>
      <c r="L868" s="30" t="n"/>
      <c r="M868" s="30" t="n"/>
      <c r="N868" s="30" t="n"/>
      <c r="O868" s="30" t="n"/>
      <c r="P868" s="30" t="n"/>
      <c r="Q868" s="30" t="n"/>
      <c r="R868" s="30" t="n"/>
      <c r="S868" s="30" t="n"/>
      <c r="T868" s="30" t="n"/>
      <c r="U868" s="30" t="n"/>
      <c r="V868" s="30" t="n"/>
      <c r="W868" s="30" t="n"/>
      <c r="X868" s="30" t="n"/>
      <c r="Y868" s="30" t="n"/>
      <c r="Z868" s="30" t="n"/>
      <c r="AA868" s="30" t="n"/>
    </row>
    <row r="869">
      <c r="A869" s="30" t="n"/>
      <c r="B869" s="156" t="n"/>
      <c r="C869" s="30" t="n"/>
      <c r="D869" s="30" t="n"/>
      <c r="E869" s="30" t="n"/>
      <c r="F869" s="30" t="n"/>
      <c r="G869" s="30" t="n"/>
      <c r="H869" s="30" t="n"/>
      <c r="I869" s="30" t="n"/>
      <c r="J869" s="30" t="n"/>
      <c r="K869" s="30" t="n"/>
      <c r="L869" s="30" t="n"/>
      <c r="M869" s="30" t="n"/>
      <c r="N869" s="30" t="n"/>
      <c r="O869" s="30" t="n"/>
      <c r="P869" s="30" t="n"/>
      <c r="Q869" s="30" t="n"/>
      <c r="R869" s="30" t="n"/>
      <c r="S869" s="30" t="n"/>
      <c r="T869" s="30" t="n"/>
      <c r="U869" s="30" t="n"/>
      <c r="V869" s="30" t="n"/>
      <c r="W869" s="30" t="n"/>
      <c r="X869" s="30" t="n"/>
      <c r="Y869" s="30" t="n"/>
      <c r="Z869" s="30" t="n"/>
      <c r="AA869" s="30" t="n"/>
    </row>
    <row r="870">
      <c r="A870" s="30" t="n"/>
      <c r="B870" s="156" t="n"/>
      <c r="C870" s="30" t="n"/>
      <c r="D870" s="30" t="n"/>
      <c r="E870" s="30" t="n"/>
      <c r="F870" s="30" t="n"/>
      <c r="G870" s="30" t="n"/>
      <c r="H870" s="30" t="n"/>
      <c r="I870" s="30" t="n"/>
      <c r="J870" s="30" t="n"/>
      <c r="K870" s="30" t="n"/>
      <c r="L870" s="30" t="n"/>
      <c r="M870" s="30" t="n"/>
      <c r="N870" s="30" t="n"/>
      <c r="O870" s="30" t="n"/>
      <c r="P870" s="30" t="n"/>
      <c r="Q870" s="30" t="n"/>
      <c r="R870" s="30" t="n"/>
      <c r="S870" s="30" t="n"/>
      <c r="T870" s="30" t="n"/>
      <c r="U870" s="30" t="n"/>
      <c r="V870" s="30" t="n"/>
      <c r="W870" s="30" t="n"/>
      <c r="X870" s="30" t="n"/>
      <c r="Y870" s="30" t="n"/>
      <c r="Z870" s="30" t="n"/>
      <c r="AA870" s="30" t="n"/>
    </row>
    <row r="871">
      <c r="A871" s="30" t="n"/>
      <c r="B871" s="156" t="n"/>
      <c r="C871" s="30" t="n"/>
      <c r="D871" s="30" t="n"/>
      <c r="E871" s="30" t="n"/>
      <c r="F871" s="30" t="n"/>
      <c r="G871" s="30" t="n"/>
      <c r="H871" s="30" t="n"/>
      <c r="I871" s="30" t="n"/>
      <c r="J871" s="30" t="n"/>
      <c r="K871" s="30" t="n"/>
      <c r="L871" s="30" t="n"/>
      <c r="M871" s="30" t="n"/>
      <c r="N871" s="30" t="n"/>
      <c r="O871" s="30" t="n"/>
      <c r="P871" s="30" t="n"/>
      <c r="Q871" s="30" t="n"/>
      <c r="R871" s="30" t="n"/>
      <c r="S871" s="30" t="n"/>
      <c r="T871" s="30" t="n"/>
      <c r="U871" s="30" t="n"/>
      <c r="V871" s="30" t="n"/>
      <c r="W871" s="30" t="n"/>
      <c r="X871" s="30" t="n"/>
      <c r="Y871" s="30" t="n"/>
      <c r="Z871" s="30" t="n"/>
      <c r="AA871" s="30" t="n"/>
    </row>
    <row r="872">
      <c r="A872" s="30" t="n"/>
      <c r="B872" s="156" t="n"/>
      <c r="C872" s="30" t="n"/>
      <c r="D872" s="30" t="n"/>
      <c r="E872" s="30" t="n"/>
      <c r="F872" s="30" t="n"/>
      <c r="G872" s="30" t="n"/>
      <c r="H872" s="30" t="n"/>
      <c r="I872" s="30" t="n"/>
      <c r="J872" s="30" t="n"/>
      <c r="K872" s="30" t="n"/>
      <c r="L872" s="30" t="n"/>
      <c r="M872" s="30" t="n"/>
      <c r="N872" s="30" t="n"/>
      <c r="O872" s="30" t="n"/>
      <c r="P872" s="30" t="n"/>
      <c r="Q872" s="30" t="n"/>
      <c r="R872" s="30" t="n"/>
      <c r="S872" s="30" t="n"/>
      <c r="T872" s="30" t="n"/>
      <c r="U872" s="30" t="n"/>
      <c r="V872" s="30" t="n"/>
      <c r="W872" s="30" t="n"/>
      <c r="X872" s="30" t="n"/>
      <c r="Y872" s="30" t="n"/>
      <c r="Z872" s="30" t="n"/>
      <c r="AA872" s="30" t="n"/>
    </row>
    <row r="873">
      <c r="A873" s="30" t="n"/>
      <c r="B873" s="156" t="n"/>
      <c r="C873" s="30" t="n"/>
      <c r="D873" s="30" t="n"/>
      <c r="E873" s="30" t="n"/>
      <c r="F873" s="30" t="n"/>
      <c r="G873" s="30" t="n"/>
      <c r="H873" s="30" t="n"/>
      <c r="I873" s="30" t="n"/>
      <c r="J873" s="30" t="n"/>
      <c r="K873" s="30" t="n"/>
      <c r="L873" s="30" t="n"/>
      <c r="M873" s="30" t="n"/>
      <c r="N873" s="30" t="n"/>
      <c r="O873" s="30" t="n"/>
      <c r="P873" s="30" t="n"/>
      <c r="Q873" s="30" t="n"/>
      <c r="R873" s="30" t="n"/>
      <c r="S873" s="30" t="n"/>
      <c r="T873" s="30" t="n"/>
      <c r="U873" s="30" t="n"/>
      <c r="V873" s="30" t="n"/>
      <c r="W873" s="30" t="n"/>
      <c r="X873" s="30" t="n"/>
      <c r="Y873" s="30" t="n"/>
      <c r="Z873" s="30" t="n"/>
      <c r="AA873" s="30" t="n"/>
    </row>
    <row r="874">
      <c r="A874" s="30" t="n"/>
      <c r="B874" s="156" t="n"/>
      <c r="C874" s="30" t="n"/>
      <c r="D874" s="30" t="n"/>
      <c r="E874" s="30" t="n"/>
      <c r="F874" s="30" t="n"/>
      <c r="G874" s="30" t="n"/>
      <c r="H874" s="30" t="n"/>
      <c r="I874" s="30" t="n"/>
      <c r="J874" s="30" t="n"/>
      <c r="K874" s="30" t="n"/>
      <c r="L874" s="30" t="n"/>
      <c r="M874" s="30" t="n"/>
      <c r="N874" s="30" t="n"/>
      <c r="O874" s="30" t="n"/>
      <c r="P874" s="30" t="n"/>
      <c r="Q874" s="30" t="n"/>
      <c r="R874" s="30" t="n"/>
      <c r="S874" s="30" t="n"/>
      <c r="T874" s="30" t="n"/>
      <c r="U874" s="30" t="n"/>
      <c r="V874" s="30" t="n"/>
      <c r="W874" s="30" t="n"/>
      <c r="X874" s="30" t="n"/>
      <c r="Y874" s="30" t="n"/>
      <c r="Z874" s="30" t="n"/>
      <c r="AA874" s="30" t="n"/>
    </row>
    <row r="875">
      <c r="A875" s="30" t="n"/>
      <c r="B875" s="156" t="n"/>
      <c r="C875" s="30" t="n"/>
      <c r="D875" s="30" t="n"/>
      <c r="E875" s="30" t="n"/>
      <c r="F875" s="30" t="n"/>
      <c r="G875" s="30" t="n"/>
      <c r="H875" s="30" t="n"/>
      <c r="I875" s="30" t="n"/>
      <c r="J875" s="30" t="n"/>
      <c r="K875" s="30" t="n"/>
      <c r="L875" s="30" t="n"/>
      <c r="M875" s="30" t="n"/>
      <c r="N875" s="30" t="n"/>
      <c r="O875" s="30" t="n"/>
      <c r="P875" s="30" t="n"/>
      <c r="Q875" s="30" t="n"/>
      <c r="R875" s="30" t="n"/>
      <c r="S875" s="30" t="n"/>
      <c r="T875" s="30" t="n"/>
      <c r="U875" s="30" t="n"/>
      <c r="V875" s="30" t="n"/>
      <c r="W875" s="30" t="n"/>
      <c r="X875" s="30" t="n"/>
      <c r="Y875" s="30" t="n"/>
      <c r="Z875" s="30" t="n"/>
      <c r="AA875" s="30" t="n"/>
    </row>
    <row r="876">
      <c r="A876" s="30" t="n"/>
      <c r="B876" s="156" t="n"/>
      <c r="C876" s="30" t="n"/>
      <c r="D876" s="30" t="n"/>
      <c r="E876" s="30" t="n"/>
      <c r="F876" s="30" t="n"/>
      <c r="G876" s="30" t="n"/>
      <c r="H876" s="30" t="n"/>
      <c r="I876" s="30" t="n"/>
      <c r="J876" s="30" t="n"/>
      <c r="K876" s="30" t="n"/>
      <c r="L876" s="30" t="n"/>
      <c r="M876" s="30" t="n"/>
      <c r="N876" s="30" t="n"/>
      <c r="O876" s="30" t="n"/>
      <c r="P876" s="30" t="n"/>
      <c r="Q876" s="30" t="n"/>
      <c r="R876" s="30" t="n"/>
      <c r="S876" s="30" t="n"/>
      <c r="T876" s="30" t="n"/>
      <c r="U876" s="30" t="n"/>
      <c r="V876" s="30" t="n"/>
      <c r="W876" s="30" t="n"/>
      <c r="X876" s="30" t="n"/>
      <c r="Y876" s="30" t="n"/>
      <c r="Z876" s="30" t="n"/>
      <c r="AA876" s="30" t="n"/>
    </row>
    <row r="877">
      <c r="A877" s="30" t="n"/>
      <c r="B877" s="156" t="n"/>
      <c r="C877" s="30" t="n"/>
      <c r="D877" s="30" t="n"/>
      <c r="E877" s="30" t="n"/>
      <c r="F877" s="30" t="n"/>
      <c r="G877" s="30" t="n"/>
      <c r="H877" s="30" t="n"/>
      <c r="I877" s="30" t="n"/>
      <c r="J877" s="30" t="n"/>
      <c r="K877" s="30" t="n"/>
      <c r="L877" s="30" t="n"/>
      <c r="M877" s="30" t="n"/>
      <c r="N877" s="30" t="n"/>
      <c r="O877" s="30" t="n"/>
      <c r="P877" s="30" t="n"/>
      <c r="Q877" s="30" t="n"/>
      <c r="R877" s="30" t="n"/>
      <c r="S877" s="30" t="n"/>
      <c r="T877" s="30" t="n"/>
      <c r="U877" s="30" t="n"/>
      <c r="V877" s="30" t="n"/>
      <c r="W877" s="30" t="n"/>
      <c r="X877" s="30" t="n"/>
      <c r="Y877" s="30" t="n"/>
      <c r="Z877" s="30" t="n"/>
      <c r="AA877" s="30" t="n"/>
    </row>
    <row r="878">
      <c r="A878" s="30" t="n"/>
      <c r="B878" s="156" t="n"/>
      <c r="C878" s="30" t="n"/>
      <c r="D878" s="30" t="n"/>
      <c r="E878" s="30" t="n"/>
      <c r="F878" s="30" t="n"/>
      <c r="G878" s="30" t="n"/>
      <c r="H878" s="30" t="n"/>
      <c r="I878" s="30" t="n"/>
      <c r="J878" s="30" t="n"/>
      <c r="K878" s="30" t="n"/>
      <c r="L878" s="30" t="n"/>
      <c r="M878" s="30" t="n"/>
      <c r="N878" s="30" t="n"/>
      <c r="O878" s="30" t="n"/>
      <c r="P878" s="30" t="n"/>
      <c r="Q878" s="30" t="n"/>
      <c r="R878" s="30" t="n"/>
      <c r="S878" s="30" t="n"/>
      <c r="T878" s="30" t="n"/>
      <c r="U878" s="30" t="n"/>
      <c r="V878" s="30" t="n"/>
      <c r="W878" s="30" t="n"/>
      <c r="X878" s="30" t="n"/>
      <c r="Y878" s="30" t="n"/>
      <c r="Z878" s="30" t="n"/>
      <c r="AA878" s="30" t="n"/>
    </row>
    <row r="879">
      <c r="A879" s="30" t="n"/>
      <c r="B879" s="156" t="n"/>
      <c r="C879" s="30" t="n"/>
      <c r="D879" s="30" t="n"/>
      <c r="E879" s="30" t="n"/>
      <c r="F879" s="30" t="n"/>
      <c r="G879" s="30" t="n"/>
      <c r="H879" s="30" t="n"/>
      <c r="I879" s="30" t="n"/>
      <c r="J879" s="30" t="n"/>
      <c r="K879" s="30" t="n"/>
      <c r="L879" s="30" t="n"/>
      <c r="M879" s="30" t="n"/>
      <c r="N879" s="30" t="n"/>
      <c r="O879" s="30" t="n"/>
      <c r="P879" s="30" t="n"/>
      <c r="Q879" s="30" t="n"/>
      <c r="R879" s="30" t="n"/>
      <c r="S879" s="30" t="n"/>
      <c r="T879" s="30" t="n"/>
      <c r="U879" s="30" t="n"/>
      <c r="V879" s="30" t="n"/>
      <c r="W879" s="30" t="n"/>
      <c r="X879" s="30" t="n"/>
      <c r="Y879" s="30" t="n"/>
      <c r="Z879" s="30" t="n"/>
      <c r="AA879" s="30" t="n"/>
    </row>
    <row r="880">
      <c r="A880" s="30" t="n"/>
      <c r="B880" s="156" t="n"/>
      <c r="C880" s="30" t="n"/>
      <c r="D880" s="30" t="n"/>
      <c r="E880" s="30" t="n"/>
      <c r="F880" s="30" t="n"/>
      <c r="G880" s="30" t="n"/>
      <c r="H880" s="30" t="n"/>
      <c r="I880" s="30" t="n"/>
      <c r="J880" s="30" t="n"/>
      <c r="K880" s="30" t="n"/>
      <c r="L880" s="30" t="n"/>
      <c r="M880" s="30" t="n"/>
      <c r="N880" s="30" t="n"/>
      <c r="O880" s="30" t="n"/>
      <c r="P880" s="30" t="n"/>
      <c r="Q880" s="30" t="n"/>
      <c r="R880" s="30" t="n"/>
      <c r="S880" s="30" t="n"/>
      <c r="T880" s="30" t="n"/>
      <c r="U880" s="30" t="n"/>
      <c r="V880" s="30" t="n"/>
      <c r="W880" s="30" t="n"/>
      <c r="X880" s="30" t="n"/>
      <c r="Y880" s="30" t="n"/>
      <c r="Z880" s="30" t="n"/>
      <c r="AA880" s="30" t="n"/>
    </row>
    <row r="881">
      <c r="A881" s="30" t="n"/>
      <c r="B881" s="156" t="n"/>
      <c r="C881" s="30" t="n"/>
      <c r="D881" s="30" t="n"/>
      <c r="E881" s="30" t="n"/>
      <c r="F881" s="30" t="n"/>
      <c r="G881" s="30" t="n"/>
      <c r="H881" s="30" t="n"/>
      <c r="I881" s="30" t="n"/>
      <c r="J881" s="30" t="n"/>
      <c r="K881" s="30" t="n"/>
      <c r="L881" s="30" t="n"/>
      <c r="M881" s="30" t="n"/>
      <c r="N881" s="30" t="n"/>
      <c r="O881" s="30" t="n"/>
      <c r="P881" s="30" t="n"/>
      <c r="Q881" s="30" t="n"/>
      <c r="R881" s="30" t="n"/>
      <c r="S881" s="30" t="n"/>
      <c r="T881" s="30" t="n"/>
      <c r="U881" s="30" t="n"/>
      <c r="V881" s="30" t="n"/>
      <c r="W881" s="30" t="n"/>
      <c r="X881" s="30" t="n"/>
      <c r="Y881" s="30" t="n"/>
      <c r="Z881" s="30" t="n"/>
      <c r="AA881" s="30" t="n"/>
    </row>
    <row r="882">
      <c r="A882" s="30" t="n"/>
      <c r="B882" s="156" t="n"/>
      <c r="C882" s="30" t="n"/>
      <c r="D882" s="30" t="n"/>
      <c r="E882" s="30" t="n"/>
      <c r="F882" s="30" t="n"/>
      <c r="G882" s="30" t="n"/>
      <c r="H882" s="30" t="n"/>
      <c r="I882" s="30" t="n"/>
      <c r="J882" s="30" t="n"/>
      <c r="K882" s="30" t="n"/>
      <c r="L882" s="30" t="n"/>
      <c r="M882" s="30" t="n"/>
      <c r="N882" s="30" t="n"/>
      <c r="O882" s="30" t="n"/>
      <c r="P882" s="30" t="n"/>
      <c r="Q882" s="30" t="n"/>
      <c r="R882" s="30" t="n"/>
      <c r="S882" s="30" t="n"/>
      <c r="T882" s="30" t="n"/>
      <c r="U882" s="30" t="n"/>
      <c r="V882" s="30" t="n"/>
      <c r="W882" s="30" t="n"/>
      <c r="X882" s="30" t="n"/>
      <c r="Y882" s="30" t="n"/>
      <c r="Z882" s="30" t="n"/>
      <c r="AA882" s="30" t="n"/>
    </row>
    <row r="883">
      <c r="A883" s="30" t="n"/>
      <c r="B883" s="156" t="n"/>
      <c r="C883" s="30" t="n"/>
      <c r="D883" s="30" t="n"/>
      <c r="E883" s="30" t="n"/>
      <c r="F883" s="30" t="n"/>
      <c r="G883" s="30" t="n"/>
      <c r="H883" s="30" t="n"/>
      <c r="I883" s="30" t="n"/>
      <c r="J883" s="30" t="n"/>
      <c r="K883" s="30" t="n"/>
      <c r="L883" s="30" t="n"/>
      <c r="M883" s="30" t="n"/>
      <c r="N883" s="30" t="n"/>
      <c r="O883" s="30" t="n"/>
      <c r="P883" s="30" t="n"/>
      <c r="Q883" s="30" t="n"/>
      <c r="R883" s="30" t="n"/>
      <c r="S883" s="30" t="n"/>
      <c r="T883" s="30" t="n"/>
      <c r="U883" s="30" t="n"/>
      <c r="V883" s="30" t="n"/>
      <c r="W883" s="30" t="n"/>
      <c r="X883" s="30" t="n"/>
      <c r="Y883" s="30" t="n"/>
      <c r="Z883" s="30" t="n"/>
      <c r="AA883" s="30" t="n"/>
    </row>
    <row r="884">
      <c r="A884" s="30" t="n"/>
      <c r="B884" s="156" t="n"/>
      <c r="C884" s="30" t="n"/>
      <c r="D884" s="30" t="n"/>
      <c r="E884" s="30" t="n"/>
      <c r="F884" s="30" t="n"/>
      <c r="G884" s="30" t="n"/>
      <c r="H884" s="30" t="n"/>
      <c r="I884" s="30" t="n"/>
      <c r="J884" s="30" t="n"/>
      <c r="K884" s="30" t="n"/>
      <c r="L884" s="30" t="n"/>
      <c r="M884" s="30" t="n"/>
      <c r="N884" s="30" t="n"/>
      <c r="O884" s="30" t="n"/>
      <c r="P884" s="30" t="n"/>
      <c r="Q884" s="30" t="n"/>
      <c r="R884" s="30" t="n"/>
      <c r="S884" s="30" t="n"/>
      <c r="T884" s="30" t="n"/>
      <c r="U884" s="30" t="n"/>
      <c r="V884" s="30" t="n"/>
      <c r="W884" s="30" t="n"/>
      <c r="X884" s="30" t="n"/>
      <c r="Y884" s="30" t="n"/>
      <c r="Z884" s="30" t="n"/>
      <c r="AA884" s="30" t="n"/>
    </row>
    <row r="885">
      <c r="A885" s="30" t="n"/>
      <c r="B885" s="156" t="n"/>
      <c r="C885" s="30" t="n"/>
      <c r="D885" s="30" t="n"/>
      <c r="E885" s="30" t="n"/>
      <c r="F885" s="30" t="n"/>
      <c r="G885" s="30" t="n"/>
      <c r="H885" s="30" t="n"/>
      <c r="I885" s="30" t="n"/>
      <c r="J885" s="30" t="n"/>
      <c r="K885" s="30" t="n"/>
      <c r="L885" s="30" t="n"/>
      <c r="M885" s="30" t="n"/>
      <c r="N885" s="30" t="n"/>
      <c r="O885" s="30" t="n"/>
      <c r="P885" s="30" t="n"/>
      <c r="Q885" s="30" t="n"/>
      <c r="R885" s="30" t="n"/>
      <c r="S885" s="30" t="n"/>
      <c r="T885" s="30" t="n"/>
      <c r="U885" s="30" t="n"/>
      <c r="V885" s="30" t="n"/>
      <c r="W885" s="30" t="n"/>
      <c r="X885" s="30" t="n"/>
      <c r="Y885" s="30" t="n"/>
      <c r="Z885" s="30" t="n"/>
      <c r="AA885" s="30" t="n"/>
    </row>
    <row r="886">
      <c r="A886" s="30" t="n"/>
      <c r="B886" s="156" t="n"/>
      <c r="C886" s="30" t="n"/>
      <c r="D886" s="30" t="n"/>
      <c r="E886" s="30" t="n"/>
      <c r="F886" s="30" t="n"/>
      <c r="G886" s="30" t="n"/>
      <c r="H886" s="30" t="n"/>
      <c r="I886" s="30" t="n"/>
      <c r="J886" s="30" t="n"/>
      <c r="K886" s="30" t="n"/>
      <c r="L886" s="30" t="n"/>
      <c r="M886" s="30" t="n"/>
      <c r="N886" s="30" t="n"/>
      <c r="O886" s="30" t="n"/>
      <c r="P886" s="30" t="n"/>
      <c r="Q886" s="30" t="n"/>
      <c r="R886" s="30" t="n"/>
      <c r="S886" s="30" t="n"/>
      <c r="T886" s="30" t="n"/>
      <c r="U886" s="30" t="n"/>
      <c r="V886" s="30" t="n"/>
      <c r="W886" s="30" t="n"/>
      <c r="X886" s="30" t="n"/>
      <c r="Y886" s="30" t="n"/>
      <c r="Z886" s="30" t="n"/>
      <c r="AA886" s="30" t="n"/>
    </row>
    <row r="887">
      <c r="A887" s="30" t="n"/>
      <c r="B887" s="156" t="n"/>
      <c r="C887" s="30" t="n"/>
      <c r="D887" s="30" t="n"/>
      <c r="E887" s="30" t="n"/>
      <c r="F887" s="30" t="n"/>
      <c r="G887" s="30" t="n"/>
      <c r="H887" s="30" t="n"/>
      <c r="I887" s="30" t="n"/>
      <c r="J887" s="30" t="n"/>
      <c r="K887" s="30" t="n"/>
      <c r="L887" s="30" t="n"/>
      <c r="M887" s="30" t="n"/>
      <c r="N887" s="30" t="n"/>
      <c r="O887" s="30" t="n"/>
      <c r="P887" s="30" t="n"/>
      <c r="Q887" s="30" t="n"/>
      <c r="R887" s="30" t="n"/>
      <c r="S887" s="30" t="n"/>
      <c r="T887" s="30" t="n"/>
      <c r="U887" s="30" t="n"/>
      <c r="V887" s="30" t="n"/>
      <c r="W887" s="30" t="n"/>
      <c r="X887" s="30" t="n"/>
      <c r="Y887" s="30" t="n"/>
      <c r="Z887" s="30" t="n"/>
      <c r="AA887" s="30" t="n"/>
    </row>
    <row r="888">
      <c r="A888" s="30" t="n"/>
      <c r="B888" s="156" t="n"/>
      <c r="C888" s="30" t="n"/>
      <c r="D888" s="30" t="n"/>
      <c r="E888" s="30" t="n"/>
      <c r="F888" s="30" t="n"/>
      <c r="G888" s="30" t="n"/>
      <c r="H888" s="30" t="n"/>
      <c r="I888" s="30" t="n"/>
      <c r="J888" s="30" t="n"/>
      <c r="K888" s="30" t="n"/>
      <c r="L888" s="30" t="n"/>
      <c r="M888" s="30" t="n"/>
      <c r="N888" s="30" t="n"/>
      <c r="O888" s="30" t="n"/>
      <c r="P888" s="30" t="n"/>
      <c r="Q888" s="30" t="n"/>
      <c r="R888" s="30" t="n"/>
      <c r="S888" s="30" t="n"/>
      <c r="T888" s="30" t="n"/>
      <c r="U888" s="30" t="n"/>
      <c r="V888" s="30" t="n"/>
      <c r="W888" s="30" t="n"/>
      <c r="X888" s="30" t="n"/>
      <c r="Y888" s="30" t="n"/>
      <c r="Z888" s="30" t="n"/>
      <c r="AA888" s="30" t="n"/>
    </row>
    <row r="889">
      <c r="A889" s="30" t="n"/>
      <c r="B889" s="156" t="n"/>
      <c r="C889" s="30" t="n"/>
      <c r="D889" s="30" t="n"/>
      <c r="E889" s="30" t="n"/>
      <c r="F889" s="30" t="n"/>
      <c r="G889" s="30" t="n"/>
      <c r="H889" s="30" t="n"/>
      <c r="I889" s="30" t="n"/>
      <c r="J889" s="30" t="n"/>
      <c r="K889" s="30" t="n"/>
      <c r="L889" s="30" t="n"/>
      <c r="M889" s="30" t="n"/>
      <c r="N889" s="30" t="n"/>
      <c r="O889" s="30" t="n"/>
      <c r="P889" s="30" t="n"/>
      <c r="Q889" s="30" t="n"/>
      <c r="R889" s="30" t="n"/>
      <c r="S889" s="30" t="n"/>
      <c r="T889" s="30" t="n"/>
      <c r="U889" s="30" t="n"/>
      <c r="V889" s="30" t="n"/>
      <c r="W889" s="30" t="n"/>
      <c r="X889" s="30" t="n"/>
      <c r="Y889" s="30" t="n"/>
      <c r="Z889" s="30" t="n"/>
      <c r="AA889" s="30" t="n"/>
    </row>
    <row r="890">
      <c r="A890" s="30" t="n"/>
      <c r="B890" s="156" t="n"/>
      <c r="C890" s="30" t="n"/>
      <c r="D890" s="30" t="n"/>
      <c r="E890" s="30" t="n"/>
      <c r="F890" s="30" t="n"/>
      <c r="G890" s="30" t="n"/>
      <c r="H890" s="30" t="n"/>
      <c r="I890" s="30" t="n"/>
      <c r="J890" s="30" t="n"/>
      <c r="K890" s="30" t="n"/>
      <c r="L890" s="30" t="n"/>
      <c r="M890" s="30" t="n"/>
      <c r="N890" s="30" t="n"/>
      <c r="O890" s="30" t="n"/>
      <c r="P890" s="30" t="n"/>
      <c r="Q890" s="30" t="n"/>
      <c r="R890" s="30" t="n"/>
      <c r="S890" s="30" t="n"/>
      <c r="T890" s="30" t="n"/>
      <c r="U890" s="30" t="n"/>
      <c r="V890" s="30" t="n"/>
      <c r="W890" s="30" t="n"/>
      <c r="X890" s="30" t="n"/>
      <c r="Y890" s="30" t="n"/>
      <c r="Z890" s="30" t="n"/>
      <c r="AA890" s="30" t="n"/>
    </row>
    <row r="891">
      <c r="A891" s="30" t="n"/>
      <c r="B891" s="156" t="n"/>
      <c r="C891" s="30" t="n"/>
      <c r="D891" s="30" t="n"/>
      <c r="E891" s="30" t="n"/>
      <c r="F891" s="30" t="n"/>
      <c r="G891" s="30" t="n"/>
      <c r="H891" s="30" t="n"/>
      <c r="I891" s="30" t="n"/>
      <c r="J891" s="30" t="n"/>
      <c r="K891" s="30" t="n"/>
      <c r="L891" s="30" t="n"/>
      <c r="M891" s="30" t="n"/>
      <c r="N891" s="30" t="n"/>
      <c r="O891" s="30" t="n"/>
      <c r="P891" s="30" t="n"/>
      <c r="Q891" s="30" t="n"/>
      <c r="R891" s="30" t="n"/>
      <c r="S891" s="30" t="n"/>
      <c r="T891" s="30" t="n"/>
      <c r="U891" s="30" t="n"/>
      <c r="V891" s="30" t="n"/>
      <c r="W891" s="30" t="n"/>
      <c r="X891" s="30" t="n"/>
      <c r="Y891" s="30" t="n"/>
      <c r="Z891" s="30" t="n"/>
      <c r="AA891" s="30" t="n"/>
    </row>
    <row r="892">
      <c r="A892" s="30" t="n"/>
      <c r="B892" s="156" t="n"/>
      <c r="C892" s="30" t="n"/>
      <c r="D892" s="30" t="n"/>
      <c r="E892" s="30" t="n"/>
      <c r="F892" s="30" t="n"/>
      <c r="G892" s="30" t="n"/>
      <c r="H892" s="30" t="n"/>
      <c r="I892" s="30" t="n"/>
      <c r="J892" s="30" t="n"/>
      <c r="K892" s="30" t="n"/>
      <c r="L892" s="30" t="n"/>
      <c r="M892" s="30" t="n"/>
      <c r="N892" s="30" t="n"/>
      <c r="O892" s="30" t="n"/>
      <c r="P892" s="30" t="n"/>
      <c r="Q892" s="30" t="n"/>
      <c r="R892" s="30" t="n"/>
      <c r="S892" s="30" t="n"/>
      <c r="T892" s="30" t="n"/>
      <c r="U892" s="30" t="n"/>
      <c r="V892" s="30" t="n"/>
      <c r="W892" s="30" t="n"/>
      <c r="X892" s="30" t="n"/>
      <c r="Y892" s="30" t="n"/>
      <c r="Z892" s="30" t="n"/>
      <c r="AA892" s="30" t="n"/>
    </row>
    <row r="893">
      <c r="A893" s="30" t="n"/>
      <c r="B893" s="156" t="n"/>
      <c r="C893" s="30" t="n"/>
      <c r="D893" s="30" t="n"/>
      <c r="E893" s="30" t="n"/>
      <c r="F893" s="30" t="n"/>
      <c r="G893" s="30" t="n"/>
      <c r="H893" s="30" t="n"/>
      <c r="I893" s="30" t="n"/>
      <c r="J893" s="30" t="n"/>
      <c r="K893" s="30" t="n"/>
      <c r="L893" s="30" t="n"/>
      <c r="M893" s="30" t="n"/>
      <c r="N893" s="30" t="n"/>
      <c r="O893" s="30" t="n"/>
      <c r="P893" s="30" t="n"/>
      <c r="Q893" s="30" t="n"/>
      <c r="R893" s="30" t="n"/>
      <c r="S893" s="30" t="n"/>
      <c r="T893" s="30" t="n"/>
      <c r="U893" s="30" t="n"/>
      <c r="V893" s="30" t="n"/>
      <c r="W893" s="30" t="n"/>
      <c r="X893" s="30" t="n"/>
      <c r="Y893" s="30" t="n"/>
      <c r="Z893" s="30" t="n"/>
      <c r="AA893" s="30" t="n"/>
    </row>
    <row r="894">
      <c r="A894" s="30" t="n"/>
      <c r="B894" s="156" t="n"/>
      <c r="C894" s="30" t="n"/>
      <c r="D894" s="30" t="n"/>
      <c r="E894" s="30" t="n"/>
      <c r="F894" s="30" t="n"/>
      <c r="G894" s="30" t="n"/>
      <c r="H894" s="30" t="n"/>
      <c r="I894" s="30" t="n"/>
      <c r="J894" s="30" t="n"/>
      <c r="K894" s="30" t="n"/>
      <c r="L894" s="30" t="n"/>
      <c r="M894" s="30" t="n"/>
      <c r="N894" s="30" t="n"/>
      <c r="O894" s="30" t="n"/>
      <c r="P894" s="30" t="n"/>
      <c r="Q894" s="30" t="n"/>
      <c r="R894" s="30" t="n"/>
      <c r="S894" s="30" t="n"/>
      <c r="T894" s="30" t="n"/>
      <c r="U894" s="30" t="n"/>
      <c r="V894" s="30" t="n"/>
      <c r="W894" s="30" t="n"/>
      <c r="X894" s="30" t="n"/>
      <c r="Y894" s="30" t="n"/>
      <c r="Z894" s="30" t="n"/>
      <c r="AA894" s="30" t="n"/>
    </row>
    <row r="895">
      <c r="A895" s="30" t="n"/>
      <c r="B895" s="156" t="n"/>
      <c r="C895" s="30" t="n"/>
      <c r="D895" s="30" t="n"/>
      <c r="E895" s="30" t="n"/>
      <c r="F895" s="30" t="n"/>
      <c r="G895" s="30" t="n"/>
      <c r="H895" s="30" t="n"/>
      <c r="I895" s="30" t="n"/>
      <c r="J895" s="30" t="n"/>
      <c r="K895" s="30" t="n"/>
      <c r="L895" s="30" t="n"/>
      <c r="M895" s="30" t="n"/>
      <c r="N895" s="30" t="n"/>
      <c r="O895" s="30" t="n"/>
      <c r="P895" s="30" t="n"/>
      <c r="Q895" s="30" t="n"/>
      <c r="R895" s="30" t="n"/>
      <c r="S895" s="30" t="n"/>
      <c r="T895" s="30" t="n"/>
      <c r="U895" s="30" t="n"/>
      <c r="V895" s="30" t="n"/>
      <c r="W895" s="30" t="n"/>
      <c r="X895" s="30" t="n"/>
      <c r="Y895" s="30" t="n"/>
      <c r="Z895" s="30" t="n"/>
      <c r="AA895" s="30" t="n"/>
    </row>
    <row r="896">
      <c r="A896" s="30" t="n"/>
      <c r="B896" s="156" t="n"/>
      <c r="C896" s="30" t="n"/>
      <c r="D896" s="30" t="n"/>
      <c r="E896" s="30" t="n"/>
      <c r="F896" s="30" t="n"/>
      <c r="G896" s="30" t="n"/>
      <c r="H896" s="30" t="n"/>
      <c r="I896" s="30" t="n"/>
      <c r="J896" s="30" t="n"/>
      <c r="K896" s="30" t="n"/>
      <c r="L896" s="30" t="n"/>
      <c r="M896" s="30" t="n"/>
      <c r="N896" s="30" t="n"/>
      <c r="O896" s="30" t="n"/>
      <c r="P896" s="30" t="n"/>
      <c r="Q896" s="30" t="n"/>
      <c r="R896" s="30" t="n"/>
      <c r="S896" s="30" t="n"/>
      <c r="T896" s="30" t="n"/>
      <c r="U896" s="30" t="n"/>
      <c r="V896" s="30" t="n"/>
      <c r="W896" s="30" t="n"/>
      <c r="X896" s="30" t="n"/>
      <c r="Y896" s="30" t="n"/>
      <c r="Z896" s="30" t="n"/>
      <c r="AA896" s="30" t="n"/>
    </row>
    <row r="897">
      <c r="A897" s="30" t="n"/>
      <c r="B897" s="156" t="n"/>
      <c r="C897" s="30" t="n"/>
      <c r="D897" s="30" t="n"/>
      <c r="E897" s="30" t="n"/>
      <c r="F897" s="30" t="n"/>
      <c r="G897" s="30" t="n"/>
      <c r="H897" s="30" t="n"/>
      <c r="I897" s="30" t="n"/>
      <c r="J897" s="30" t="n"/>
      <c r="K897" s="30" t="n"/>
      <c r="L897" s="30" t="n"/>
      <c r="M897" s="30" t="n"/>
      <c r="N897" s="30" t="n"/>
      <c r="O897" s="30" t="n"/>
      <c r="P897" s="30" t="n"/>
      <c r="Q897" s="30" t="n"/>
      <c r="R897" s="30" t="n"/>
      <c r="S897" s="30" t="n"/>
      <c r="T897" s="30" t="n"/>
      <c r="U897" s="30" t="n"/>
      <c r="V897" s="30" t="n"/>
      <c r="W897" s="30" t="n"/>
      <c r="X897" s="30" t="n"/>
      <c r="Y897" s="30" t="n"/>
      <c r="Z897" s="30" t="n"/>
      <c r="AA897" s="30" t="n"/>
    </row>
    <row r="898">
      <c r="A898" s="30" t="n"/>
      <c r="B898" s="156" t="n"/>
      <c r="C898" s="30" t="n"/>
      <c r="D898" s="30" t="n"/>
      <c r="E898" s="30" t="n"/>
      <c r="F898" s="30" t="n"/>
      <c r="G898" s="30" t="n"/>
      <c r="H898" s="30" t="n"/>
      <c r="I898" s="30" t="n"/>
      <c r="J898" s="30" t="n"/>
      <c r="K898" s="30" t="n"/>
      <c r="L898" s="30" t="n"/>
      <c r="M898" s="30" t="n"/>
      <c r="N898" s="30" t="n"/>
      <c r="O898" s="30" t="n"/>
      <c r="P898" s="30" t="n"/>
      <c r="Q898" s="30" t="n"/>
      <c r="R898" s="30" t="n"/>
      <c r="S898" s="30" t="n"/>
      <c r="T898" s="30" t="n"/>
      <c r="U898" s="30" t="n"/>
      <c r="V898" s="30" t="n"/>
      <c r="W898" s="30" t="n"/>
      <c r="X898" s="30" t="n"/>
      <c r="Y898" s="30" t="n"/>
      <c r="Z898" s="30" t="n"/>
      <c r="AA898" s="30" t="n"/>
    </row>
    <row r="899">
      <c r="A899" s="30" t="n"/>
      <c r="B899" s="156" t="n"/>
      <c r="C899" s="30" t="n"/>
      <c r="D899" s="30" t="n"/>
      <c r="E899" s="30" t="n"/>
      <c r="F899" s="30" t="n"/>
      <c r="G899" s="30" t="n"/>
      <c r="H899" s="30" t="n"/>
      <c r="I899" s="30" t="n"/>
      <c r="J899" s="30" t="n"/>
      <c r="K899" s="30" t="n"/>
      <c r="L899" s="30" t="n"/>
      <c r="M899" s="30" t="n"/>
      <c r="N899" s="30" t="n"/>
      <c r="O899" s="30" t="n"/>
      <c r="P899" s="30" t="n"/>
      <c r="Q899" s="30" t="n"/>
      <c r="R899" s="30" t="n"/>
      <c r="S899" s="30" t="n"/>
      <c r="T899" s="30" t="n"/>
      <c r="U899" s="30" t="n"/>
      <c r="V899" s="30" t="n"/>
      <c r="W899" s="30" t="n"/>
      <c r="X899" s="30" t="n"/>
      <c r="Y899" s="30" t="n"/>
      <c r="Z899" s="30" t="n"/>
      <c r="AA899" s="30" t="n"/>
    </row>
    <row r="900">
      <c r="A900" s="30" t="n"/>
      <c r="B900" s="156" t="n"/>
      <c r="C900" s="30" t="n"/>
      <c r="D900" s="30" t="n"/>
      <c r="E900" s="30" t="n"/>
      <c r="F900" s="30" t="n"/>
      <c r="G900" s="30" t="n"/>
      <c r="H900" s="30" t="n"/>
      <c r="I900" s="30" t="n"/>
      <c r="J900" s="30" t="n"/>
      <c r="K900" s="30" t="n"/>
      <c r="L900" s="30" t="n"/>
      <c r="M900" s="30" t="n"/>
      <c r="N900" s="30" t="n"/>
      <c r="O900" s="30" t="n"/>
      <c r="P900" s="30" t="n"/>
      <c r="Q900" s="30" t="n"/>
      <c r="R900" s="30" t="n"/>
      <c r="S900" s="30" t="n"/>
      <c r="T900" s="30" t="n"/>
      <c r="U900" s="30" t="n"/>
      <c r="V900" s="30" t="n"/>
      <c r="W900" s="30" t="n"/>
      <c r="X900" s="30" t="n"/>
      <c r="Y900" s="30" t="n"/>
      <c r="Z900" s="30" t="n"/>
      <c r="AA900" s="30" t="n"/>
    </row>
    <row r="901">
      <c r="A901" s="30" t="n"/>
      <c r="B901" s="156" t="n"/>
      <c r="C901" s="30" t="n"/>
      <c r="D901" s="30" t="n"/>
      <c r="E901" s="30" t="n"/>
      <c r="F901" s="30" t="n"/>
      <c r="G901" s="30" t="n"/>
      <c r="H901" s="30" t="n"/>
      <c r="I901" s="30" t="n"/>
      <c r="J901" s="30" t="n"/>
      <c r="K901" s="30" t="n"/>
      <c r="L901" s="30" t="n"/>
      <c r="M901" s="30" t="n"/>
      <c r="N901" s="30" t="n"/>
      <c r="O901" s="30" t="n"/>
      <c r="P901" s="30" t="n"/>
      <c r="Q901" s="30" t="n"/>
      <c r="R901" s="30" t="n"/>
      <c r="S901" s="30" t="n"/>
      <c r="T901" s="30" t="n"/>
      <c r="U901" s="30" t="n"/>
      <c r="V901" s="30" t="n"/>
      <c r="W901" s="30" t="n"/>
      <c r="X901" s="30" t="n"/>
      <c r="Y901" s="30" t="n"/>
      <c r="Z901" s="30" t="n"/>
      <c r="AA901" s="30" t="n"/>
    </row>
    <row r="902">
      <c r="A902" s="30" t="n"/>
      <c r="B902" s="156" t="n"/>
      <c r="C902" s="30" t="n"/>
      <c r="D902" s="30" t="n"/>
      <c r="E902" s="30" t="n"/>
      <c r="F902" s="30" t="n"/>
      <c r="G902" s="30" t="n"/>
      <c r="H902" s="30" t="n"/>
      <c r="I902" s="30" t="n"/>
      <c r="J902" s="30" t="n"/>
      <c r="K902" s="30" t="n"/>
      <c r="L902" s="30" t="n"/>
      <c r="M902" s="30" t="n"/>
      <c r="N902" s="30" t="n"/>
      <c r="O902" s="30" t="n"/>
      <c r="P902" s="30" t="n"/>
      <c r="Q902" s="30" t="n"/>
      <c r="R902" s="30" t="n"/>
      <c r="S902" s="30" t="n"/>
      <c r="T902" s="30" t="n"/>
      <c r="U902" s="30" t="n"/>
      <c r="V902" s="30" t="n"/>
      <c r="W902" s="30" t="n"/>
      <c r="X902" s="30" t="n"/>
      <c r="Y902" s="30" t="n"/>
      <c r="Z902" s="30" t="n"/>
      <c r="AA902" s="30" t="n"/>
    </row>
    <row r="903">
      <c r="A903" s="30" t="n"/>
      <c r="B903" s="156" t="n"/>
      <c r="C903" s="30" t="n"/>
      <c r="D903" s="30" t="n"/>
      <c r="E903" s="30" t="n"/>
      <c r="F903" s="30" t="n"/>
      <c r="G903" s="30" t="n"/>
      <c r="H903" s="30" t="n"/>
      <c r="I903" s="30" t="n"/>
      <c r="J903" s="30" t="n"/>
      <c r="K903" s="30" t="n"/>
      <c r="L903" s="30" t="n"/>
      <c r="M903" s="30" t="n"/>
      <c r="N903" s="30" t="n"/>
      <c r="O903" s="30" t="n"/>
      <c r="P903" s="30" t="n"/>
      <c r="Q903" s="30" t="n"/>
      <c r="R903" s="30" t="n"/>
      <c r="S903" s="30" t="n"/>
      <c r="T903" s="30" t="n"/>
      <c r="U903" s="30" t="n"/>
      <c r="V903" s="30" t="n"/>
      <c r="W903" s="30" t="n"/>
      <c r="X903" s="30" t="n"/>
      <c r="Y903" s="30" t="n"/>
      <c r="Z903" s="30" t="n"/>
      <c r="AA903" s="30" t="n"/>
    </row>
    <row r="904">
      <c r="A904" s="30" t="n"/>
      <c r="B904" s="156" t="n"/>
      <c r="C904" s="30" t="n"/>
      <c r="D904" s="30" t="n"/>
      <c r="E904" s="30" t="n"/>
      <c r="F904" s="30" t="n"/>
      <c r="G904" s="30" t="n"/>
      <c r="H904" s="30" t="n"/>
      <c r="I904" s="30" t="n"/>
      <c r="J904" s="30" t="n"/>
      <c r="K904" s="30" t="n"/>
      <c r="L904" s="30" t="n"/>
      <c r="M904" s="30" t="n"/>
      <c r="N904" s="30" t="n"/>
      <c r="O904" s="30" t="n"/>
      <c r="P904" s="30" t="n"/>
      <c r="Q904" s="30" t="n"/>
      <c r="R904" s="30" t="n"/>
      <c r="S904" s="30" t="n"/>
      <c r="T904" s="30" t="n"/>
      <c r="U904" s="30" t="n"/>
      <c r="V904" s="30" t="n"/>
      <c r="W904" s="30" t="n"/>
      <c r="X904" s="30" t="n"/>
      <c r="Y904" s="30" t="n"/>
      <c r="Z904" s="30" t="n"/>
      <c r="AA904" s="30" t="n"/>
    </row>
    <row r="905">
      <c r="A905" s="30" t="n"/>
      <c r="B905" s="156" t="n"/>
      <c r="C905" s="30" t="n"/>
      <c r="D905" s="30" t="n"/>
      <c r="E905" s="30" t="n"/>
      <c r="F905" s="30" t="n"/>
      <c r="G905" s="30" t="n"/>
      <c r="H905" s="30" t="n"/>
      <c r="I905" s="30" t="n"/>
      <c r="J905" s="30" t="n"/>
      <c r="K905" s="30" t="n"/>
      <c r="L905" s="30" t="n"/>
      <c r="M905" s="30" t="n"/>
      <c r="N905" s="30" t="n"/>
      <c r="O905" s="30" t="n"/>
      <c r="P905" s="30" t="n"/>
      <c r="Q905" s="30" t="n"/>
      <c r="R905" s="30" t="n"/>
      <c r="S905" s="30" t="n"/>
      <c r="T905" s="30" t="n"/>
      <c r="U905" s="30" t="n"/>
      <c r="V905" s="30" t="n"/>
      <c r="W905" s="30" t="n"/>
      <c r="X905" s="30" t="n"/>
      <c r="Y905" s="30" t="n"/>
      <c r="Z905" s="30" t="n"/>
      <c r="AA905" s="30" t="n"/>
    </row>
    <row r="906">
      <c r="A906" s="30" t="n"/>
      <c r="B906" s="156" t="n"/>
      <c r="C906" s="30" t="n"/>
      <c r="D906" s="30" t="n"/>
      <c r="E906" s="30" t="n"/>
      <c r="F906" s="30" t="n"/>
      <c r="G906" s="30" t="n"/>
      <c r="H906" s="30" t="n"/>
      <c r="I906" s="30" t="n"/>
      <c r="J906" s="30" t="n"/>
      <c r="K906" s="30" t="n"/>
      <c r="L906" s="30" t="n"/>
      <c r="M906" s="30" t="n"/>
      <c r="N906" s="30" t="n"/>
      <c r="O906" s="30" t="n"/>
      <c r="P906" s="30" t="n"/>
      <c r="Q906" s="30" t="n"/>
      <c r="R906" s="30" t="n"/>
      <c r="S906" s="30" t="n"/>
      <c r="T906" s="30" t="n"/>
      <c r="U906" s="30" t="n"/>
      <c r="V906" s="30" t="n"/>
      <c r="W906" s="30" t="n"/>
      <c r="X906" s="30" t="n"/>
      <c r="Y906" s="30" t="n"/>
      <c r="Z906" s="30" t="n"/>
      <c r="AA906" s="30" t="n"/>
    </row>
    <row r="907">
      <c r="A907" s="30" t="n"/>
      <c r="B907" s="156" t="n"/>
      <c r="C907" s="30" t="n"/>
      <c r="D907" s="30" t="n"/>
      <c r="E907" s="30" t="n"/>
      <c r="F907" s="30" t="n"/>
      <c r="G907" s="30" t="n"/>
      <c r="H907" s="30" t="n"/>
      <c r="I907" s="30" t="n"/>
      <c r="J907" s="30" t="n"/>
      <c r="K907" s="30" t="n"/>
      <c r="L907" s="30" t="n"/>
      <c r="M907" s="30" t="n"/>
      <c r="N907" s="30" t="n"/>
      <c r="O907" s="30" t="n"/>
      <c r="P907" s="30" t="n"/>
      <c r="Q907" s="30" t="n"/>
      <c r="R907" s="30" t="n"/>
      <c r="S907" s="30" t="n"/>
      <c r="T907" s="30" t="n"/>
      <c r="U907" s="30" t="n"/>
      <c r="V907" s="30" t="n"/>
      <c r="W907" s="30" t="n"/>
      <c r="X907" s="30" t="n"/>
      <c r="Y907" s="30" t="n"/>
      <c r="Z907" s="30" t="n"/>
      <c r="AA907" s="30" t="n"/>
    </row>
    <row r="908">
      <c r="A908" s="30" t="n"/>
      <c r="B908" s="156" t="n"/>
      <c r="C908" s="30" t="n"/>
      <c r="D908" s="30" t="n"/>
      <c r="E908" s="30" t="n"/>
      <c r="F908" s="30" t="n"/>
      <c r="G908" s="30" t="n"/>
      <c r="H908" s="30" t="n"/>
      <c r="I908" s="30" t="n"/>
      <c r="J908" s="30" t="n"/>
      <c r="K908" s="30" t="n"/>
      <c r="L908" s="30" t="n"/>
      <c r="M908" s="30" t="n"/>
      <c r="N908" s="30" t="n"/>
      <c r="O908" s="30" t="n"/>
      <c r="P908" s="30" t="n"/>
      <c r="Q908" s="30" t="n"/>
      <c r="R908" s="30" t="n"/>
      <c r="S908" s="30" t="n"/>
      <c r="T908" s="30" t="n"/>
      <c r="U908" s="30" t="n"/>
      <c r="V908" s="30" t="n"/>
      <c r="W908" s="30" t="n"/>
      <c r="X908" s="30" t="n"/>
      <c r="Y908" s="30" t="n"/>
      <c r="Z908" s="30" t="n"/>
      <c r="AA908" s="30" t="n"/>
    </row>
    <row r="909">
      <c r="A909" s="30" t="n"/>
      <c r="B909" s="156" t="n"/>
      <c r="C909" s="30" t="n"/>
      <c r="D909" s="30" t="n"/>
      <c r="E909" s="30" t="n"/>
      <c r="F909" s="30" t="n"/>
      <c r="G909" s="30" t="n"/>
      <c r="H909" s="30" t="n"/>
      <c r="I909" s="30" t="n"/>
      <c r="J909" s="30" t="n"/>
      <c r="K909" s="30" t="n"/>
      <c r="L909" s="30" t="n"/>
      <c r="M909" s="30" t="n"/>
      <c r="N909" s="30" t="n"/>
      <c r="O909" s="30" t="n"/>
      <c r="P909" s="30" t="n"/>
      <c r="Q909" s="30" t="n"/>
      <c r="R909" s="30" t="n"/>
      <c r="S909" s="30" t="n"/>
      <c r="T909" s="30" t="n"/>
      <c r="U909" s="30" t="n"/>
      <c r="V909" s="30" t="n"/>
      <c r="W909" s="30" t="n"/>
      <c r="X909" s="30" t="n"/>
      <c r="Y909" s="30" t="n"/>
      <c r="Z909" s="30" t="n"/>
      <c r="AA909" s="30" t="n"/>
    </row>
    <row r="910">
      <c r="A910" s="30" t="n"/>
      <c r="B910" s="156" t="n"/>
      <c r="C910" s="30" t="n"/>
      <c r="D910" s="30" t="n"/>
      <c r="E910" s="30" t="n"/>
      <c r="F910" s="30" t="n"/>
      <c r="G910" s="30" t="n"/>
      <c r="H910" s="30" t="n"/>
      <c r="I910" s="30" t="n"/>
      <c r="J910" s="30" t="n"/>
      <c r="K910" s="30" t="n"/>
      <c r="L910" s="30" t="n"/>
      <c r="M910" s="30" t="n"/>
      <c r="N910" s="30" t="n"/>
      <c r="O910" s="30" t="n"/>
      <c r="P910" s="30" t="n"/>
      <c r="Q910" s="30" t="n"/>
      <c r="R910" s="30" t="n"/>
      <c r="S910" s="30" t="n"/>
      <c r="T910" s="30" t="n"/>
      <c r="U910" s="30" t="n"/>
      <c r="V910" s="30" t="n"/>
      <c r="W910" s="30" t="n"/>
      <c r="X910" s="30" t="n"/>
      <c r="Y910" s="30" t="n"/>
      <c r="Z910" s="30" t="n"/>
      <c r="AA910" s="30" t="n"/>
    </row>
    <row r="911">
      <c r="A911" s="30" t="n"/>
      <c r="B911" s="156" t="n"/>
      <c r="C911" s="30" t="n"/>
      <c r="D911" s="30" t="n"/>
      <c r="E911" s="30" t="n"/>
      <c r="F911" s="30" t="n"/>
      <c r="G911" s="30" t="n"/>
      <c r="H911" s="30" t="n"/>
      <c r="I911" s="30" t="n"/>
      <c r="J911" s="30" t="n"/>
      <c r="K911" s="30" t="n"/>
      <c r="L911" s="30" t="n"/>
      <c r="M911" s="30" t="n"/>
      <c r="N911" s="30" t="n"/>
      <c r="O911" s="30" t="n"/>
      <c r="P911" s="30" t="n"/>
      <c r="Q911" s="30" t="n"/>
      <c r="R911" s="30" t="n"/>
      <c r="S911" s="30" t="n"/>
      <c r="T911" s="30" t="n"/>
      <c r="U911" s="30" t="n"/>
      <c r="V911" s="30" t="n"/>
      <c r="W911" s="30" t="n"/>
      <c r="X911" s="30" t="n"/>
      <c r="Y911" s="30" t="n"/>
      <c r="Z911" s="30" t="n"/>
      <c r="AA911" s="30" t="n"/>
    </row>
    <row r="912">
      <c r="A912" s="30" t="n"/>
      <c r="B912" s="156" t="n"/>
      <c r="C912" s="30" t="n"/>
      <c r="D912" s="30" t="n"/>
      <c r="E912" s="30" t="n"/>
      <c r="F912" s="30" t="n"/>
      <c r="G912" s="30" t="n"/>
      <c r="H912" s="30" t="n"/>
      <c r="I912" s="30" t="n"/>
      <c r="J912" s="30" t="n"/>
      <c r="K912" s="30" t="n"/>
      <c r="L912" s="30" t="n"/>
      <c r="M912" s="30" t="n"/>
      <c r="N912" s="30" t="n"/>
      <c r="O912" s="30" t="n"/>
      <c r="P912" s="30" t="n"/>
      <c r="Q912" s="30" t="n"/>
      <c r="R912" s="30" t="n"/>
      <c r="S912" s="30" t="n"/>
      <c r="T912" s="30" t="n"/>
      <c r="U912" s="30" t="n"/>
      <c r="V912" s="30" t="n"/>
      <c r="W912" s="30" t="n"/>
      <c r="X912" s="30" t="n"/>
      <c r="Y912" s="30" t="n"/>
      <c r="Z912" s="30" t="n"/>
      <c r="AA912" s="30" t="n"/>
    </row>
    <row r="913">
      <c r="A913" s="30" t="n"/>
      <c r="B913" s="156" t="n"/>
      <c r="C913" s="30" t="n"/>
      <c r="D913" s="30" t="n"/>
      <c r="E913" s="30" t="n"/>
      <c r="F913" s="30" t="n"/>
      <c r="G913" s="30" t="n"/>
      <c r="H913" s="30" t="n"/>
      <c r="I913" s="30" t="n"/>
      <c r="J913" s="30" t="n"/>
      <c r="K913" s="30" t="n"/>
      <c r="L913" s="30" t="n"/>
      <c r="M913" s="30" t="n"/>
      <c r="N913" s="30" t="n"/>
      <c r="O913" s="30" t="n"/>
      <c r="P913" s="30" t="n"/>
      <c r="Q913" s="30" t="n"/>
      <c r="R913" s="30" t="n"/>
      <c r="S913" s="30" t="n"/>
      <c r="T913" s="30" t="n"/>
      <c r="U913" s="30" t="n"/>
      <c r="V913" s="30" t="n"/>
      <c r="W913" s="30" t="n"/>
      <c r="X913" s="30" t="n"/>
      <c r="Y913" s="30" t="n"/>
      <c r="Z913" s="30" t="n"/>
      <c r="AA913" s="30" t="n"/>
    </row>
    <row r="914">
      <c r="A914" s="30" t="n"/>
      <c r="B914" s="156" t="n"/>
      <c r="C914" s="30" t="n"/>
      <c r="D914" s="30" t="n"/>
      <c r="E914" s="30" t="n"/>
      <c r="F914" s="30" t="n"/>
      <c r="G914" s="30" t="n"/>
      <c r="H914" s="30" t="n"/>
      <c r="I914" s="30" t="n"/>
      <c r="J914" s="30" t="n"/>
      <c r="K914" s="30" t="n"/>
      <c r="L914" s="30" t="n"/>
      <c r="M914" s="30" t="n"/>
      <c r="N914" s="30" t="n"/>
      <c r="O914" s="30" t="n"/>
      <c r="P914" s="30" t="n"/>
      <c r="Q914" s="30" t="n"/>
      <c r="R914" s="30" t="n"/>
      <c r="S914" s="30" t="n"/>
      <c r="T914" s="30" t="n"/>
      <c r="U914" s="30" t="n"/>
      <c r="V914" s="30" t="n"/>
      <c r="W914" s="30" t="n"/>
      <c r="X914" s="30" t="n"/>
      <c r="Y914" s="30" t="n"/>
      <c r="Z914" s="30" t="n"/>
      <c r="AA914" s="30" t="n"/>
    </row>
    <row r="915">
      <c r="A915" s="30" t="n"/>
      <c r="B915" s="156" t="n"/>
      <c r="C915" s="30" t="n"/>
      <c r="D915" s="30" t="n"/>
      <c r="E915" s="30" t="n"/>
      <c r="F915" s="30" t="n"/>
      <c r="G915" s="30" t="n"/>
      <c r="H915" s="30" t="n"/>
      <c r="I915" s="30" t="n"/>
      <c r="J915" s="30" t="n"/>
      <c r="K915" s="30" t="n"/>
      <c r="L915" s="30" t="n"/>
      <c r="M915" s="30" t="n"/>
      <c r="N915" s="30" t="n"/>
      <c r="O915" s="30" t="n"/>
      <c r="P915" s="30" t="n"/>
      <c r="Q915" s="30" t="n"/>
      <c r="R915" s="30" t="n"/>
      <c r="S915" s="30" t="n"/>
      <c r="T915" s="30" t="n"/>
      <c r="U915" s="30" t="n"/>
      <c r="V915" s="30" t="n"/>
      <c r="W915" s="30" t="n"/>
      <c r="X915" s="30" t="n"/>
      <c r="Y915" s="30" t="n"/>
      <c r="Z915" s="30" t="n"/>
      <c r="AA915" s="30" t="n"/>
    </row>
    <row r="916">
      <c r="A916" s="30" t="n"/>
      <c r="B916" s="156" t="n"/>
      <c r="C916" s="30" t="n"/>
      <c r="D916" s="30" t="n"/>
      <c r="E916" s="30" t="n"/>
      <c r="F916" s="30" t="n"/>
      <c r="G916" s="30" t="n"/>
      <c r="H916" s="30" t="n"/>
      <c r="I916" s="30" t="n"/>
      <c r="J916" s="30" t="n"/>
      <c r="K916" s="30" t="n"/>
      <c r="L916" s="30" t="n"/>
      <c r="M916" s="30" t="n"/>
      <c r="N916" s="30" t="n"/>
      <c r="O916" s="30" t="n"/>
      <c r="P916" s="30" t="n"/>
      <c r="Q916" s="30" t="n"/>
      <c r="R916" s="30" t="n"/>
      <c r="S916" s="30" t="n"/>
      <c r="T916" s="30" t="n"/>
      <c r="U916" s="30" t="n"/>
      <c r="V916" s="30" t="n"/>
      <c r="W916" s="30" t="n"/>
      <c r="X916" s="30" t="n"/>
      <c r="Y916" s="30" t="n"/>
      <c r="Z916" s="30" t="n"/>
      <c r="AA916" s="30" t="n"/>
    </row>
    <row r="917">
      <c r="A917" s="30" t="n"/>
      <c r="B917" s="156" t="n"/>
      <c r="C917" s="30" t="n"/>
      <c r="D917" s="30" t="n"/>
      <c r="E917" s="30" t="n"/>
      <c r="F917" s="30" t="n"/>
      <c r="G917" s="30" t="n"/>
      <c r="H917" s="30" t="n"/>
      <c r="I917" s="30" t="n"/>
      <c r="J917" s="30" t="n"/>
      <c r="K917" s="30" t="n"/>
      <c r="L917" s="30" t="n"/>
      <c r="M917" s="30" t="n"/>
      <c r="N917" s="30" t="n"/>
      <c r="O917" s="30" t="n"/>
      <c r="P917" s="30" t="n"/>
      <c r="Q917" s="30" t="n"/>
      <c r="R917" s="30" t="n"/>
      <c r="S917" s="30" t="n"/>
      <c r="T917" s="30" t="n"/>
      <c r="U917" s="30" t="n"/>
      <c r="V917" s="30" t="n"/>
      <c r="W917" s="30" t="n"/>
      <c r="X917" s="30" t="n"/>
      <c r="Y917" s="30" t="n"/>
      <c r="Z917" s="30" t="n"/>
      <c r="AA917" s="30" t="n"/>
    </row>
    <row r="918">
      <c r="A918" s="30" t="n"/>
      <c r="B918" s="156" t="n"/>
      <c r="C918" s="30" t="n"/>
      <c r="D918" s="30" t="n"/>
      <c r="E918" s="30" t="n"/>
      <c r="F918" s="30" t="n"/>
      <c r="G918" s="30" t="n"/>
      <c r="H918" s="30" t="n"/>
      <c r="I918" s="30" t="n"/>
      <c r="J918" s="30" t="n"/>
      <c r="K918" s="30" t="n"/>
      <c r="L918" s="30" t="n"/>
      <c r="M918" s="30" t="n"/>
      <c r="N918" s="30" t="n"/>
      <c r="O918" s="30" t="n"/>
      <c r="P918" s="30" t="n"/>
      <c r="Q918" s="30" t="n"/>
      <c r="R918" s="30" t="n"/>
      <c r="S918" s="30" t="n"/>
      <c r="T918" s="30" t="n"/>
      <c r="U918" s="30" t="n"/>
      <c r="V918" s="30" t="n"/>
      <c r="W918" s="30" t="n"/>
      <c r="X918" s="30" t="n"/>
      <c r="Y918" s="30" t="n"/>
      <c r="Z918" s="30" t="n"/>
      <c r="AA918" s="30" t="n"/>
    </row>
    <row r="919">
      <c r="A919" s="30" t="n"/>
      <c r="B919" s="156" t="n"/>
      <c r="C919" s="30" t="n"/>
      <c r="D919" s="30" t="n"/>
      <c r="E919" s="30" t="n"/>
      <c r="F919" s="30" t="n"/>
      <c r="G919" s="30" t="n"/>
      <c r="H919" s="30" t="n"/>
      <c r="I919" s="30" t="n"/>
      <c r="J919" s="30" t="n"/>
      <c r="K919" s="30" t="n"/>
      <c r="L919" s="30" t="n"/>
      <c r="M919" s="30" t="n"/>
      <c r="N919" s="30" t="n"/>
      <c r="O919" s="30" t="n"/>
      <c r="P919" s="30" t="n"/>
      <c r="Q919" s="30" t="n"/>
      <c r="R919" s="30" t="n"/>
      <c r="S919" s="30" t="n"/>
      <c r="T919" s="30" t="n"/>
      <c r="U919" s="30" t="n"/>
      <c r="V919" s="30" t="n"/>
      <c r="W919" s="30" t="n"/>
      <c r="X919" s="30" t="n"/>
      <c r="Y919" s="30" t="n"/>
      <c r="Z919" s="30" t="n"/>
      <c r="AA919" s="30" t="n"/>
    </row>
    <row r="920">
      <c r="A920" s="30" t="n"/>
      <c r="B920" s="156" t="n"/>
      <c r="C920" s="30" t="n"/>
      <c r="D920" s="30" t="n"/>
      <c r="E920" s="30" t="n"/>
      <c r="F920" s="30" t="n"/>
      <c r="G920" s="30" t="n"/>
      <c r="H920" s="30" t="n"/>
      <c r="I920" s="30" t="n"/>
      <c r="J920" s="30" t="n"/>
      <c r="K920" s="30" t="n"/>
      <c r="L920" s="30" t="n"/>
      <c r="M920" s="30" t="n"/>
      <c r="N920" s="30" t="n"/>
      <c r="O920" s="30" t="n"/>
      <c r="P920" s="30" t="n"/>
      <c r="Q920" s="30" t="n"/>
      <c r="R920" s="30" t="n"/>
      <c r="S920" s="30" t="n"/>
      <c r="T920" s="30" t="n"/>
      <c r="U920" s="30" t="n"/>
      <c r="V920" s="30" t="n"/>
      <c r="W920" s="30" t="n"/>
      <c r="X920" s="30" t="n"/>
      <c r="Y920" s="30" t="n"/>
      <c r="Z920" s="30" t="n"/>
      <c r="AA920" s="30" t="n"/>
    </row>
    <row r="921">
      <c r="A921" s="30" t="n"/>
      <c r="B921" s="156" t="n"/>
      <c r="C921" s="30" t="n"/>
      <c r="D921" s="30" t="n"/>
      <c r="E921" s="30" t="n"/>
      <c r="F921" s="30" t="n"/>
      <c r="G921" s="30" t="n"/>
      <c r="H921" s="30" t="n"/>
      <c r="I921" s="30" t="n"/>
      <c r="J921" s="30" t="n"/>
      <c r="K921" s="30" t="n"/>
      <c r="L921" s="30" t="n"/>
      <c r="M921" s="30" t="n"/>
      <c r="N921" s="30" t="n"/>
      <c r="O921" s="30" t="n"/>
      <c r="P921" s="30" t="n"/>
      <c r="Q921" s="30" t="n"/>
      <c r="R921" s="30" t="n"/>
      <c r="S921" s="30" t="n"/>
      <c r="T921" s="30" t="n"/>
      <c r="U921" s="30" t="n"/>
      <c r="V921" s="30" t="n"/>
      <c r="W921" s="30" t="n"/>
      <c r="X921" s="30" t="n"/>
      <c r="Y921" s="30" t="n"/>
      <c r="Z921" s="30" t="n"/>
      <c r="AA921" s="30" t="n"/>
    </row>
    <row r="922">
      <c r="A922" s="30" t="n"/>
      <c r="B922" s="156" t="n"/>
      <c r="C922" s="30" t="n"/>
      <c r="D922" s="30" t="n"/>
      <c r="E922" s="30" t="n"/>
      <c r="F922" s="30" t="n"/>
      <c r="G922" s="30" t="n"/>
      <c r="H922" s="30" t="n"/>
      <c r="I922" s="30" t="n"/>
      <c r="J922" s="30" t="n"/>
      <c r="K922" s="30" t="n"/>
      <c r="L922" s="30" t="n"/>
      <c r="M922" s="30" t="n"/>
      <c r="N922" s="30" t="n"/>
      <c r="O922" s="30" t="n"/>
      <c r="P922" s="30" t="n"/>
      <c r="Q922" s="30" t="n"/>
      <c r="R922" s="30" t="n"/>
      <c r="S922" s="30" t="n"/>
      <c r="T922" s="30" t="n"/>
      <c r="U922" s="30" t="n"/>
      <c r="V922" s="30" t="n"/>
      <c r="W922" s="30" t="n"/>
      <c r="X922" s="30" t="n"/>
      <c r="Y922" s="30" t="n"/>
      <c r="Z922" s="30" t="n"/>
      <c r="AA922" s="30" t="n"/>
    </row>
    <row r="923">
      <c r="A923" s="30" t="n"/>
      <c r="B923" s="156" t="n"/>
      <c r="C923" s="30" t="n"/>
      <c r="D923" s="30" t="n"/>
      <c r="E923" s="30" t="n"/>
      <c r="F923" s="30" t="n"/>
      <c r="G923" s="30" t="n"/>
      <c r="H923" s="30" t="n"/>
      <c r="I923" s="30" t="n"/>
      <c r="J923" s="30" t="n"/>
      <c r="K923" s="30" t="n"/>
      <c r="L923" s="30" t="n"/>
      <c r="M923" s="30" t="n"/>
      <c r="N923" s="30" t="n"/>
      <c r="O923" s="30" t="n"/>
      <c r="P923" s="30" t="n"/>
      <c r="Q923" s="30" t="n"/>
      <c r="R923" s="30" t="n"/>
      <c r="S923" s="30" t="n"/>
      <c r="T923" s="30" t="n"/>
      <c r="U923" s="30" t="n"/>
      <c r="V923" s="30" t="n"/>
      <c r="W923" s="30" t="n"/>
      <c r="X923" s="30" t="n"/>
      <c r="Y923" s="30" t="n"/>
      <c r="Z923" s="30" t="n"/>
      <c r="AA923" s="30" t="n"/>
    </row>
    <row r="924">
      <c r="A924" s="30" t="n"/>
      <c r="B924" s="156" t="n"/>
      <c r="C924" s="30" t="n"/>
      <c r="D924" s="30" t="n"/>
      <c r="E924" s="30" t="n"/>
      <c r="F924" s="30" t="n"/>
      <c r="G924" s="30" t="n"/>
      <c r="H924" s="30" t="n"/>
      <c r="I924" s="30" t="n"/>
      <c r="J924" s="30" t="n"/>
      <c r="K924" s="30" t="n"/>
      <c r="L924" s="30" t="n"/>
      <c r="M924" s="30" t="n"/>
      <c r="N924" s="30" t="n"/>
      <c r="O924" s="30" t="n"/>
      <c r="P924" s="30" t="n"/>
      <c r="Q924" s="30" t="n"/>
      <c r="R924" s="30" t="n"/>
      <c r="S924" s="30" t="n"/>
      <c r="T924" s="30" t="n"/>
      <c r="U924" s="30" t="n"/>
      <c r="V924" s="30" t="n"/>
      <c r="W924" s="30" t="n"/>
      <c r="X924" s="30" t="n"/>
      <c r="Y924" s="30" t="n"/>
      <c r="Z924" s="30" t="n"/>
      <c r="AA924" s="30" t="n"/>
    </row>
    <row r="925">
      <c r="A925" s="30" t="n"/>
      <c r="B925" s="156" t="n"/>
      <c r="C925" s="30" t="n"/>
      <c r="D925" s="30" t="n"/>
      <c r="E925" s="30" t="n"/>
      <c r="F925" s="30" t="n"/>
      <c r="G925" s="30" t="n"/>
      <c r="H925" s="30" t="n"/>
      <c r="I925" s="30" t="n"/>
      <c r="J925" s="30" t="n"/>
      <c r="K925" s="30" t="n"/>
      <c r="L925" s="30" t="n"/>
      <c r="M925" s="30" t="n"/>
      <c r="N925" s="30" t="n"/>
      <c r="O925" s="30" t="n"/>
      <c r="P925" s="30" t="n"/>
      <c r="Q925" s="30" t="n"/>
      <c r="R925" s="30" t="n"/>
      <c r="S925" s="30" t="n"/>
      <c r="T925" s="30" t="n"/>
      <c r="U925" s="30" t="n"/>
      <c r="V925" s="30" t="n"/>
      <c r="W925" s="30" t="n"/>
      <c r="X925" s="30" t="n"/>
      <c r="Y925" s="30" t="n"/>
      <c r="Z925" s="30" t="n"/>
      <c r="AA925" s="30" t="n"/>
    </row>
    <row r="926">
      <c r="A926" s="30" t="n"/>
      <c r="B926" s="156" t="n"/>
      <c r="C926" s="30" t="n"/>
      <c r="D926" s="30" t="n"/>
      <c r="E926" s="30" t="n"/>
      <c r="F926" s="30" t="n"/>
      <c r="G926" s="30" t="n"/>
      <c r="H926" s="30" t="n"/>
      <c r="I926" s="30" t="n"/>
      <c r="J926" s="30" t="n"/>
      <c r="K926" s="30" t="n"/>
      <c r="L926" s="30" t="n"/>
      <c r="M926" s="30" t="n"/>
      <c r="N926" s="30" t="n"/>
      <c r="O926" s="30" t="n"/>
      <c r="P926" s="30" t="n"/>
      <c r="Q926" s="30" t="n"/>
      <c r="R926" s="30" t="n"/>
      <c r="S926" s="30" t="n"/>
      <c r="T926" s="30" t="n"/>
      <c r="U926" s="30" t="n"/>
      <c r="V926" s="30" t="n"/>
      <c r="W926" s="30" t="n"/>
      <c r="X926" s="30" t="n"/>
      <c r="Y926" s="30" t="n"/>
      <c r="Z926" s="30" t="n"/>
      <c r="AA926" s="30" t="n"/>
    </row>
    <row r="927">
      <c r="A927" s="30" t="n"/>
      <c r="B927" s="156" t="n"/>
      <c r="C927" s="30" t="n"/>
      <c r="D927" s="30" t="n"/>
      <c r="E927" s="30" t="n"/>
      <c r="F927" s="30" t="n"/>
      <c r="G927" s="30" t="n"/>
      <c r="H927" s="30" t="n"/>
      <c r="I927" s="30" t="n"/>
      <c r="J927" s="30" t="n"/>
      <c r="K927" s="30" t="n"/>
      <c r="L927" s="30" t="n"/>
      <c r="M927" s="30" t="n"/>
      <c r="N927" s="30" t="n"/>
      <c r="O927" s="30" t="n"/>
      <c r="P927" s="30" t="n"/>
      <c r="Q927" s="30" t="n"/>
      <c r="R927" s="30" t="n"/>
      <c r="S927" s="30" t="n"/>
      <c r="T927" s="30" t="n"/>
      <c r="U927" s="30" t="n"/>
      <c r="V927" s="30" t="n"/>
      <c r="W927" s="30" t="n"/>
      <c r="X927" s="30" t="n"/>
      <c r="Y927" s="30" t="n"/>
      <c r="Z927" s="30" t="n"/>
      <c r="AA927" s="30" t="n"/>
    </row>
    <row r="928">
      <c r="A928" s="30" t="n"/>
      <c r="B928" s="156" t="n"/>
      <c r="C928" s="30" t="n"/>
      <c r="D928" s="30" t="n"/>
      <c r="E928" s="30" t="n"/>
      <c r="F928" s="30" t="n"/>
      <c r="G928" s="30" t="n"/>
      <c r="H928" s="30" t="n"/>
      <c r="I928" s="30" t="n"/>
      <c r="J928" s="30" t="n"/>
      <c r="K928" s="30" t="n"/>
      <c r="L928" s="30" t="n"/>
      <c r="M928" s="30" t="n"/>
      <c r="N928" s="30" t="n"/>
      <c r="O928" s="30" t="n"/>
      <c r="P928" s="30" t="n"/>
      <c r="Q928" s="30" t="n"/>
      <c r="R928" s="30" t="n"/>
      <c r="S928" s="30" t="n"/>
      <c r="T928" s="30" t="n"/>
      <c r="U928" s="30" t="n"/>
      <c r="V928" s="30" t="n"/>
      <c r="W928" s="30" t="n"/>
      <c r="X928" s="30" t="n"/>
      <c r="Y928" s="30" t="n"/>
      <c r="Z928" s="30" t="n"/>
      <c r="AA928" s="30" t="n"/>
    </row>
    <row r="929">
      <c r="A929" s="30" t="n"/>
      <c r="B929" s="156" t="n"/>
      <c r="C929" s="30" t="n"/>
      <c r="D929" s="30" t="n"/>
      <c r="E929" s="30" t="n"/>
      <c r="F929" s="30" t="n"/>
      <c r="G929" s="30" t="n"/>
      <c r="H929" s="30" t="n"/>
      <c r="I929" s="30" t="n"/>
      <c r="J929" s="30" t="n"/>
      <c r="K929" s="30" t="n"/>
      <c r="L929" s="30" t="n"/>
      <c r="M929" s="30" t="n"/>
      <c r="N929" s="30" t="n"/>
      <c r="O929" s="30" t="n"/>
      <c r="P929" s="30" t="n"/>
      <c r="Q929" s="30" t="n"/>
      <c r="R929" s="30" t="n"/>
      <c r="S929" s="30" t="n"/>
      <c r="T929" s="30" t="n"/>
      <c r="U929" s="30" t="n"/>
      <c r="V929" s="30" t="n"/>
      <c r="W929" s="30" t="n"/>
      <c r="X929" s="30" t="n"/>
      <c r="Y929" s="30" t="n"/>
      <c r="Z929" s="30" t="n"/>
      <c r="AA929" s="30" t="n"/>
    </row>
    <row r="930">
      <c r="A930" s="30" t="n"/>
      <c r="B930" s="156" t="n"/>
      <c r="C930" s="30" t="n"/>
      <c r="D930" s="30" t="n"/>
      <c r="E930" s="30" t="n"/>
      <c r="F930" s="30" t="n"/>
      <c r="G930" s="30" t="n"/>
      <c r="H930" s="30" t="n"/>
      <c r="I930" s="30" t="n"/>
      <c r="J930" s="30" t="n"/>
      <c r="K930" s="30" t="n"/>
      <c r="L930" s="30" t="n"/>
      <c r="M930" s="30" t="n"/>
      <c r="N930" s="30" t="n"/>
      <c r="O930" s="30" t="n"/>
      <c r="P930" s="30" t="n"/>
      <c r="Q930" s="30" t="n"/>
      <c r="R930" s="30" t="n"/>
      <c r="S930" s="30" t="n"/>
      <c r="T930" s="30" t="n"/>
      <c r="U930" s="30" t="n"/>
      <c r="V930" s="30" t="n"/>
      <c r="W930" s="30" t="n"/>
      <c r="X930" s="30" t="n"/>
      <c r="Y930" s="30" t="n"/>
      <c r="Z930" s="30" t="n"/>
      <c r="AA930" s="30" t="n"/>
    </row>
    <row r="931">
      <c r="A931" s="30" t="n"/>
      <c r="B931" s="156" t="n"/>
      <c r="C931" s="30" t="n"/>
      <c r="D931" s="30" t="n"/>
      <c r="E931" s="30" t="n"/>
      <c r="F931" s="30" t="n"/>
      <c r="G931" s="30" t="n"/>
      <c r="H931" s="30" t="n"/>
      <c r="I931" s="30" t="n"/>
      <c r="J931" s="30" t="n"/>
      <c r="K931" s="30" t="n"/>
      <c r="L931" s="30" t="n"/>
      <c r="M931" s="30" t="n"/>
      <c r="N931" s="30" t="n"/>
      <c r="O931" s="30" t="n"/>
      <c r="P931" s="30" t="n"/>
      <c r="Q931" s="30" t="n"/>
      <c r="R931" s="30" t="n"/>
      <c r="S931" s="30" t="n"/>
      <c r="T931" s="30" t="n"/>
      <c r="U931" s="30" t="n"/>
      <c r="V931" s="30" t="n"/>
      <c r="W931" s="30" t="n"/>
      <c r="X931" s="30" t="n"/>
      <c r="Y931" s="30" t="n"/>
      <c r="Z931" s="30" t="n"/>
      <c r="AA931" s="30" t="n"/>
    </row>
    <row r="932">
      <c r="A932" s="30" t="n"/>
      <c r="B932" s="156" t="n"/>
      <c r="C932" s="30" t="n"/>
      <c r="D932" s="30" t="n"/>
      <c r="E932" s="30" t="n"/>
      <c r="F932" s="30" t="n"/>
      <c r="G932" s="30" t="n"/>
      <c r="H932" s="30" t="n"/>
      <c r="I932" s="30" t="n"/>
      <c r="J932" s="30" t="n"/>
      <c r="K932" s="30" t="n"/>
      <c r="L932" s="30" t="n"/>
      <c r="M932" s="30" t="n"/>
      <c r="N932" s="30" t="n"/>
      <c r="O932" s="30" t="n"/>
      <c r="P932" s="30" t="n"/>
      <c r="Q932" s="30" t="n"/>
      <c r="R932" s="30" t="n"/>
      <c r="S932" s="30" t="n"/>
      <c r="T932" s="30" t="n"/>
      <c r="U932" s="30" t="n"/>
      <c r="V932" s="30" t="n"/>
      <c r="W932" s="30" t="n"/>
      <c r="X932" s="30" t="n"/>
      <c r="Y932" s="30" t="n"/>
      <c r="Z932" s="30" t="n"/>
      <c r="AA932" s="30" t="n"/>
    </row>
    <row r="933">
      <c r="A933" s="30" t="n"/>
      <c r="B933" s="156" t="n"/>
      <c r="C933" s="30" t="n"/>
      <c r="D933" s="30" t="n"/>
      <c r="E933" s="30" t="n"/>
      <c r="F933" s="30" t="n"/>
      <c r="G933" s="30" t="n"/>
      <c r="H933" s="30" t="n"/>
      <c r="I933" s="30" t="n"/>
      <c r="J933" s="30" t="n"/>
      <c r="K933" s="30" t="n"/>
      <c r="L933" s="30" t="n"/>
      <c r="M933" s="30" t="n"/>
      <c r="N933" s="30" t="n"/>
      <c r="O933" s="30" t="n"/>
      <c r="P933" s="30" t="n"/>
      <c r="Q933" s="30" t="n"/>
      <c r="R933" s="30" t="n"/>
      <c r="S933" s="30" t="n"/>
      <c r="T933" s="30" t="n"/>
      <c r="U933" s="30" t="n"/>
      <c r="V933" s="30" t="n"/>
      <c r="W933" s="30" t="n"/>
      <c r="X933" s="30" t="n"/>
      <c r="Y933" s="30" t="n"/>
      <c r="Z933" s="30" t="n"/>
      <c r="AA933" s="30" t="n"/>
    </row>
    <row r="934">
      <c r="A934" s="30" t="n"/>
      <c r="B934" s="156" t="n"/>
      <c r="C934" s="30" t="n"/>
      <c r="D934" s="30" t="n"/>
      <c r="E934" s="30" t="n"/>
      <c r="F934" s="30" t="n"/>
      <c r="G934" s="30" t="n"/>
      <c r="H934" s="30" t="n"/>
      <c r="I934" s="30" t="n"/>
      <c r="J934" s="30" t="n"/>
      <c r="K934" s="30" t="n"/>
      <c r="L934" s="30" t="n"/>
      <c r="M934" s="30" t="n"/>
      <c r="N934" s="30" t="n"/>
      <c r="O934" s="30" t="n"/>
      <c r="P934" s="30" t="n"/>
      <c r="Q934" s="30" t="n"/>
      <c r="R934" s="30" t="n"/>
      <c r="S934" s="30" t="n"/>
      <c r="T934" s="30" t="n"/>
      <c r="U934" s="30" t="n"/>
      <c r="V934" s="30" t="n"/>
      <c r="W934" s="30" t="n"/>
      <c r="X934" s="30" t="n"/>
      <c r="Y934" s="30" t="n"/>
      <c r="Z934" s="30" t="n"/>
      <c r="AA934" s="30" t="n"/>
    </row>
    <row r="935">
      <c r="A935" s="30" t="n"/>
      <c r="B935" s="156" t="n"/>
      <c r="C935" s="30" t="n"/>
      <c r="D935" s="30" t="n"/>
      <c r="E935" s="30" t="n"/>
      <c r="F935" s="30" t="n"/>
      <c r="G935" s="30" t="n"/>
      <c r="H935" s="30" t="n"/>
      <c r="I935" s="30" t="n"/>
      <c r="J935" s="30" t="n"/>
      <c r="K935" s="30" t="n"/>
      <c r="L935" s="30" t="n"/>
      <c r="M935" s="30" t="n"/>
      <c r="N935" s="30" t="n"/>
      <c r="O935" s="30" t="n"/>
      <c r="P935" s="30" t="n"/>
      <c r="Q935" s="30" t="n"/>
      <c r="R935" s="30" t="n"/>
      <c r="S935" s="30" t="n"/>
      <c r="T935" s="30" t="n"/>
      <c r="U935" s="30" t="n"/>
      <c r="V935" s="30" t="n"/>
      <c r="W935" s="30" t="n"/>
      <c r="X935" s="30" t="n"/>
      <c r="Y935" s="30" t="n"/>
      <c r="Z935" s="30" t="n"/>
      <c r="AA935" s="30" t="n"/>
    </row>
    <row r="936">
      <c r="A936" s="30" t="n"/>
      <c r="B936" s="156" t="n"/>
      <c r="C936" s="30" t="n"/>
      <c r="D936" s="30" t="n"/>
      <c r="E936" s="30" t="n"/>
      <c r="F936" s="30" t="n"/>
      <c r="G936" s="30" t="n"/>
      <c r="H936" s="30" t="n"/>
      <c r="I936" s="30" t="n"/>
      <c r="J936" s="30" t="n"/>
      <c r="K936" s="30" t="n"/>
      <c r="L936" s="30" t="n"/>
      <c r="M936" s="30" t="n"/>
      <c r="N936" s="30" t="n"/>
      <c r="O936" s="30" t="n"/>
      <c r="P936" s="30" t="n"/>
      <c r="Q936" s="30" t="n"/>
      <c r="R936" s="30" t="n"/>
      <c r="S936" s="30" t="n"/>
      <c r="T936" s="30" t="n"/>
      <c r="U936" s="30" t="n"/>
      <c r="V936" s="30" t="n"/>
      <c r="W936" s="30" t="n"/>
      <c r="X936" s="30" t="n"/>
      <c r="Y936" s="30" t="n"/>
      <c r="Z936" s="30" t="n"/>
      <c r="AA936" s="30" t="n"/>
    </row>
    <row r="937">
      <c r="A937" s="30" t="n"/>
      <c r="B937" s="156" t="n"/>
      <c r="C937" s="30" t="n"/>
      <c r="D937" s="30" t="n"/>
      <c r="E937" s="30" t="n"/>
      <c r="F937" s="30" t="n"/>
      <c r="G937" s="30" t="n"/>
      <c r="H937" s="30" t="n"/>
      <c r="I937" s="30" t="n"/>
      <c r="J937" s="30" t="n"/>
      <c r="K937" s="30" t="n"/>
      <c r="L937" s="30" t="n"/>
      <c r="M937" s="30" t="n"/>
      <c r="N937" s="30" t="n"/>
      <c r="O937" s="30" t="n"/>
      <c r="P937" s="30" t="n"/>
      <c r="Q937" s="30" t="n"/>
      <c r="R937" s="30" t="n"/>
      <c r="S937" s="30" t="n"/>
      <c r="T937" s="30" t="n"/>
      <c r="U937" s="30" t="n"/>
      <c r="V937" s="30" t="n"/>
      <c r="W937" s="30" t="n"/>
      <c r="X937" s="30" t="n"/>
      <c r="Y937" s="30" t="n"/>
      <c r="Z937" s="30" t="n"/>
      <c r="AA937" s="30" t="n"/>
    </row>
    <row r="938">
      <c r="A938" s="30" t="n"/>
      <c r="B938" s="156" t="n"/>
      <c r="C938" s="30" t="n"/>
      <c r="D938" s="30" t="n"/>
      <c r="E938" s="30" t="n"/>
      <c r="F938" s="30" t="n"/>
      <c r="G938" s="30" t="n"/>
      <c r="H938" s="30" t="n"/>
      <c r="I938" s="30" t="n"/>
      <c r="J938" s="30" t="n"/>
      <c r="K938" s="30" t="n"/>
      <c r="L938" s="30" t="n"/>
      <c r="M938" s="30" t="n"/>
      <c r="N938" s="30" t="n"/>
      <c r="O938" s="30" t="n"/>
      <c r="P938" s="30" t="n"/>
      <c r="Q938" s="30" t="n"/>
      <c r="R938" s="30" t="n"/>
      <c r="S938" s="30" t="n"/>
      <c r="T938" s="30" t="n"/>
      <c r="U938" s="30" t="n"/>
      <c r="V938" s="30" t="n"/>
      <c r="W938" s="30" t="n"/>
      <c r="X938" s="30" t="n"/>
      <c r="Y938" s="30" t="n"/>
      <c r="Z938" s="30" t="n"/>
      <c r="AA938" s="30" t="n"/>
    </row>
    <row r="939">
      <c r="A939" s="30" t="n"/>
      <c r="B939" s="156" t="n"/>
      <c r="C939" s="30" t="n"/>
      <c r="D939" s="30" t="n"/>
      <c r="E939" s="30" t="n"/>
      <c r="F939" s="30" t="n"/>
      <c r="G939" s="30" t="n"/>
      <c r="H939" s="30" t="n"/>
      <c r="I939" s="30" t="n"/>
      <c r="J939" s="30" t="n"/>
      <c r="K939" s="30" t="n"/>
      <c r="L939" s="30" t="n"/>
      <c r="M939" s="30" t="n"/>
      <c r="N939" s="30" t="n"/>
      <c r="O939" s="30" t="n"/>
      <c r="P939" s="30" t="n"/>
      <c r="Q939" s="30" t="n"/>
      <c r="R939" s="30" t="n"/>
      <c r="S939" s="30" t="n"/>
      <c r="T939" s="30" t="n"/>
      <c r="U939" s="30" t="n"/>
      <c r="V939" s="30" t="n"/>
      <c r="W939" s="30" t="n"/>
      <c r="X939" s="30" t="n"/>
      <c r="Y939" s="30" t="n"/>
      <c r="Z939" s="30" t="n"/>
      <c r="AA939" s="30" t="n"/>
    </row>
    <row r="940">
      <c r="A940" s="30" t="n"/>
      <c r="B940" s="156" t="n"/>
      <c r="C940" s="30" t="n"/>
      <c r="D940" s="30" t="n"/>
      <c r="E940" s="30" t="n"/>
      <c r="F940" s="30" t="n"/>
      <c r="G940" s="30" t="n"/>
      <c r="H940" s="30" t="n"/>
      <c r="I940" s="30" t="n"/>
      <c r="J940" s="30" t="n"/>
      <c r="K940" s="30" t="n"/>
      <c r="L940" s="30" t="n"/>
      <c r="M940" s="30" t="n"/>
      <c r="N940" s="30" t="n"/>
      <c r="O940" s="30" t="n"/>
      <c r="P940" s="30" t="n"/>
      <c r="Q940" s="30" t="n"/>
      <c r="R940" s="30" t="n"/>
      <c r="S940" s="30" t="n"/>
      <c r="T940" s="30" t="n"/>
      <c r="U940" s="30" t="n"/>
      <c r="V940" s="30" t="n"/>
      <c r="W940" s="30" t="n"/>
      <c r="X940" s="30" t="n"/>
      <c r="Y940" s="30" t="n"/>
      <c r="Z940" s="30" t="n"/>
      <c r="AA940" s="30" t="n"/>
    </row>
    <row r="941">
      <c r="A941" s="30" t="n"/>
      <c r="B941" s="156" t="n"/>
      <c r="C941" s="30" t="n"/>
      <c r="D941" s="30" t="n"/>
      <c r="E941" s="30" t="n"/>
      <c r="F941" s="30" t="n"/>
      <c r="G941" s="30" t="n"/>
      <c r="H941" s="30" t="n"/>
      <c r="I941" s="30" t="n"/>
      <c r="J941" s="30" t="n"/>
      <c r="K941" s="30" t="n"/>
      <c r="L941" s="30" t="n"/>
      <c r="M941" s="30" t="n"/>
      <c r="N941" s="30" t="n"/>
      <c r="O941" s="30" t="n"/>
      <c r="P941" s="30" t="n"/>
      <c r="Q941" s="30" t="n"/>
      <c r="R941" s="30" t="n"/>
      <c r="S941" s="30" t="n"/>
      <c r="T941" s="30" t="n"/>
      <c r="U941" s="30" t="n"/>
      <c r="V941" s="30" t="n"/>
      <c r="W941" s="30" t="n"/>
      <c r="X941" s="30" t="n"/>
      <c r="Y941" s="30" t="n"/>
      <c r="Z941" s="30" t="n"/>
      <c r="AA941" s="30" t="n"/>
    </row>
    <row r="942">
      <c r="A942" s="30" t="n"/>
      <c r="B942" s="156" t="n"/>
      <c r="C942" s="30" t="n"/>
      <c r="D942" s="30" t="n"/>
      <c r="E942" s="30" t="n"/>
      <c r="F942" s="30" t="n"/>
      <c r="G942" s="30" t="n"/>
      <c r="H942" s="30" t="n"/>
      <c r="I942" s="30" t="n"/>
      <c r="J942" s="30" t="n"/>
      <c r="K942" s="30" t="n"/>
      <c r="L942" s="30" t="n"/>
      <c r="M942" s="30" t="n"/>
      <c r="N942" s="30" t="n"/>
      <c r="O942" s="30" t="n"/>
      <c r="P942" s="30" t="n"/>
      <c r="Q942" s="30" t="n"/>
      <c r="R942" s="30" t="n"/>
      <c r="S942" s="30" t="n"/>
      <c r="T942" s="30" t="n"/>
      <c r="U942" s="30" t="n"/>
      <c r="V942" s="30" t="n"/>
      <c r="W942" s="30" t="n"/>
      <c r="X942" s="30" t="n"/>
      <c r="Y942" s="30" t="n"/>
      <c r="Z942" s="30" t="n"/>
      <c r="AA942" s="30" t="n"/>
    </row>
    <row r="943">
      <c r="A943" s="30" t="n"/>
      <c r="B943" s="156" t="n"/>
      <c r="C943" s="30" t="n"/>
      <c r="D943" s="30" t="n"/>
      <c r="E943" s="30" t="n"/>
      <c r="F943" s="30" t="n"/>
      <c r="G943" s="30" t="n"/>
      <c r="H943" s="30" t="n"/>
      <c r="I943" s="30" t="n"/>
      <c r="J943" s="30" t="n"/>
      <c r="K943" s="30" t="n"/>
      <c r="L943" s="30" t="n"/>
      <c r="M943" s="30" t="n"/>
      <c r="N943" s="30" t="n"/>
      <c r="O943" s="30" t="n"/>
      <c r="P943" s="30" t="n"/>
      <c r="Q943" s="30" t="n"/>
      <c r="R943" s="30" t="n"/>
      <c r="S943" s="30" t="n"/>
      <c r="T943" s="30" t="n"/>
      <c r="U943" s="30" t="n"/>
      <c r="V943" s="30" t="n"/>
      <c r="W943" s="30" t="n"/>
      <c r="X943" s="30" t="n"/>
      <c r="Y943" s="30" t="n"/>
      <c r="Z943" s="30" t="n"/>
      <c r="AA943" s="30" t="n"/>
    </row>
    <row r="944">
      <c r="A944" s="30" t="n"/>
      <c r="B944" s="156" t="n"/>
      <c r="C944" s="30" t="n"/>
      <c r="D944" s="30" t="n"/>
      <c r="E944" s="30" t="n"/>
      <c r="F944" s="30" t="n"/>
      <c r="G944" s="30" t="n"/>
      <c r="H944" s="30" t="n"/>
      <c r="I944" s="30" t="n"/>
      <c r="J944" s="30" t="n"/>
      <c r="K944" s="30" t="n"/>
      <c r="L944" s="30" t="n"/>
      <c r="M944" s="30" t="n"/>
      <c r="N944" s="30" t="n"/>
      <c r="O944" s="30" t="n"/>
      <c r="P944" s="30" t="n"/>
      <c r="Q944" s="30" t="n"/>
      <c r="R944" s="30" t="n"/>
      <c r="S944" s="30" t="n"/>
      <c r="T944" s="30" t="n"/>
      <c r="U944" s="30" t="n"/>
      <c r="V944" s="30" t="n"/>
      <c r="W944" s="30" t="n"/>
      <c r="X944" s="30" t="n"/>
      <c r="Y944" s="30" t="n"/>
      <c r="Z944" s="30" t="n"/>
      <c r="AA944" s="30" t="n"/>
    </row>
    <row r="945">
      <c r="A945" s="30" t="n"/>
      <c r="B945" s="156" t="n"/>
      <c r="C945" s="30" t="n"/>
      <c r="D945" s="30" t="n"/>
      <c r="E945" s="30" t="n"/>
      <c r="F945" s="30" t="n"/>
      <c r="G945" s="30" t="n"/>
      <c r="H945" s="30" t="n"/>
      <c r="I945" s="30" t="n"/>
      <c r="J945" s="30" t="n"/>
      <c r="K945" s="30" t="n"/>
      <c r="L945" s="30" t="n"/>
      <c r="M945" s="30" t="n"/>
      <c r="N945" s="30" t="n"/>
      <c r="O945" s="30" t="n"/>
      <c r="P945" s="30" t="n"/>
      <c r="Q945" s="30" t="n"/>
      <c r="R945" s="30" t="n"/>
      <c r="S945" s="30" t="n"/>
      <c r="T945" s="30" t="n"/>
      <c r="U945" s="30" t="n"/>
      <c r="V945" s="30" t="n"/>
      <c r="W945" s="30" t="n"/>
      <c r="X945" s="30" t="n"/>
      <c r="Y945" s="30" t="n"/>
      <c r="Z945" s="30" t="n"/>
      <c r="AA945" s="30" t="n"/>
    </row>
    <row r="946">
      <c r="A946" s="30" t="n"/>
      <c r="B946" s="156" t="n"/>
      <c r="C946" s="30" t="n"/>
      <c r="D946" s="30" t="n"/>
      <c r="E946" s="30" t="n"/>
      <c r="F946" s="30" t="n"/>
      <c r="G946" s="30" t="n"/>
      <c r="H946" s="30" t="n"/>
      <c r="I946" s="30" t="n"/>
      <c r="J946" s="30" t="n"/>
      <c r="K946" s="30" t="n"/>
      <c r="L946" s="30" t="n"/>
      <c r="M946" s="30" t="n"/>
      <c r="N946" s="30" t="n"/>
      <c r="O946" s="30" t="n"/>
      <c r="P946" s="30" t="n"/>
      <c r="Q946" s="30" t="n"/>
      <c r="R946" s="30" t="n"/>
      <c r="S946" s="30" t="n"/>
      <c r="T946" s="30" t="n"/>
      <c r="U946" s="30" t="n"/>
      <c r="V946" s="30" t="n"/>
      <c r="W946" s="30" t="n"/>
      <c r="X946" s="30" t="n"/>
      <c r="Y946" s="30" t="n"/>
      <c r="Z946" s="30" t="n"/>
      <c r="AA946" s="30" t="n"/>
    </row>
    <row r="947">
      <c r="A947" s="30" t="n"/>
      <c r="B947" s="156" t="n"/>
      <c r="C947" s="30" t="n"/>
      <c r="D947" s="30" t="n"/>
      <c r="E947" s="30" t="n"/>
      <c r="F947" s="30" t="n"/>
      <c r="G947" s="30" t="n"/>
      <c r="H947" s="30" t="n"/>
      <c r="I947" s="30" t="n"/>
      <c r="J947" s="30" t="n"/>
      <c r="K947" s="30" t="n"/>
      <c r="L947" s="30" t="n"/>
      <c r="M947" s="30" t="n"/>
      <c r="N947" s="30" t="n"/>
      <c r="O947" s="30" t="n"/>
      <c r="P947" s="30" t="n"/>
      <c r="Q947" s="30" t="n"/>
      <c r="R947" s="30" t="n"/>
      <c r="S947" s="30" t="n"/>
      <c r="T947" s="30" t="n"/>
      <c r="U947" s="30" t="n"/>
      <c r="V947" s="30" t="n"/>
      <c r="W947" s="30" t="n"/>
      <c r="X947" s="30" t="n"/>
      <c r="Y947" s="30" t="n"/>
      <c r="Z947" s="30" t="n"/>
      <c r="AA947" s="30" t="n"/>
    </row>
    <row r="948">
      <c r="A948" s="30" t="n"/>
      <c r="B948" s="156" t="n"/>
      <c r="C948" s="30" t="n"/>
      <c r="D948" s="30" t="n"/>
      <c r="E948" s="30" t="n"/>
      <c r="F948" s="30" t="n"/>
      <c r="G948" s="30" t="n"/>
      <c r="H948" s="30" t="n"/>
      <c r="I948" s="30" t="n"/>
      <c r="J948" s="30" t="n"/>
      <c r="K948" s="30" t="n"/>
      <c r="L948" s="30" t="n"/>
      <c r="M948" s="30" t="n"/>
      <c r="N948" s="30" t="n"/>
      <c r="O948" s="30" t="n"/>
      <c r="P948" s="30" t="n"/>
      <c r="Q948" s="30" t="n"/>
      <c r="R948" s="30" t="n"/>
      <c r="S948" s="30" t="n"/>
      <c r="T948" s="30" t="n"/>
      <c r="U948" s="30" t="n"/>
      <c r="V948" s="30" t="n"/>
      <c r="W948" s="30" t="n"/>
      <c r="X948" s="30" t="n"/>
      <c r="Y948" s="30" t="n"/>
      <c r="Z948" s="30" t="n"/>
      <c r="AA948" s="30" t="n"/>
    </row>
    <row r="949">
      <c r="A949" s="30" t="n"/>
      <c r="B949" s="156" t="n"/>
      <c r="C949" s="30" t="n"/>
      <c r="D949" s="30" t="n"/>
      <c r="E949" s="30" t="n"/>
      <c r="F949" s="30" t="n"/>
      <c r="G949" s="30" t="n"/>
      <c r="H949" s="30" t="n"/>
      <c r="I949" s="30" t="n"/>
      <c r="J949" s="30" t="n"/>
      <c r="K949" s="30" t="n"/>
      <c r="L949" s="30" t="n"/>
      <c r="M949" s="30" t="n"/>
      <c r="N949" s="30" t="n"/>
      <c r="O949" s="30" t="n"/>
      <c r="P949" s="30" t="n"/>
      <c r="Q949" s="30" t="n"/>
      <c r="R949" s="30" t="n"/>
      <c r="S949" s="30" t="n"/>
      <c r="T949" s="30" t="n"/>
      <c r="U949" s="30" t="n"/>
      <c r="V949" s="30" t="n"/>
      <c r="W949" s="30" t="n"/>
      <c r="X949" s="30" t="n"/>
      <c r="Y949" s="30" t="n"/>
      <c r="Z949" s="30" t="n"/>
      <c r="AA949" s="30" t="n"/>
    </row>
    <row r="950">
      <c r="A950" s="30" t="n"/>
      <c r="B950" s="156" t="n"/>
      <c r="C950" s="30" t="n"/>
      <c r="D950" s="30" t="n"/>
      <c r="E950" s="30" t="n"/>
      <c r="F950" s="30" t="n"/>
      <c r="G950" s="30" t="n"/>
      <c r="H950" s="30" t="n"/>
      <c r="I950" s="30" t="n"/>
      <c r="J950" s="30" t="n"/>
      <c r="K950" s="30" t="n"/>
      <c r="L950" s="30" t="n"/>
      <c r="M950" s="30" t="n"/>
      <c r="N950" s="30" t="n"/>
      <c r="O950" s="30" t="n"/>
      <c r="P950" s="30" t="n"/>
      <c r="Q950" s="30" t="n"/>
      <c r="R950" s="30" t="n"/>
      <c r="S950" s="30" t="n"/>
      <c r="T950" s="30" t="n"/>
      <c r="U950" s="30" t="n"/>
      <c r="V950" s="30" t="n"/>
      <c r="W950" s="30" t="n"/>
      <c r="X950" s="30" t="n"/>
      <c r="Y950" s="30" t="n"/>
      <c r="Z950" s="30" t="n"/>
      <c r="AA950" s="30" t="n"/>
    </row>
    <row r="951">
      <c r="A951" s="30" t="n"/>
      <c r="B951" s="156" t="n"/>
      <c r="C951" s="30" t="n"/>
      <c r="D951" s="30" t="n"/>
      <c r="E951" s="30" t="n"/>
      <c r="F951" s="30" t="n"/>
      <c r="G951" s="30" t="n"/>
      <c r="H951" s="30" t="n"/>
      <c r="I951" s="30" t="n"/>
      <c r="J951" s="30" t="n"/>
      <c r="K951" s="30" t="n"/>
      <c r="L951" s="30" t="n"/>
      <c r="M951" s="30" t="n"/>
      <c r="N951" s="30" t="n"/>
      <c r="O951" s="30" t="n"/>
      <c r="P951" s="30" t="n"/>
      <c r="Q951" s="30" t="n"/>
      <c r="R951" s="30" t="n"/>
      <c r="S951" s="30" t="n"/>
      <c r="T951" s="30" t="n"/>
      <c r="U951" s="30" t="n"/>
      <c r="V951" s="30" t="n"/>
      <c r="W951" s="30" t="n"/>
      <c r="X951" s="30" t="n"/>
      <c r="Y951" s="30" t="n"/>
      <c r="Z951" s="30" t="n"/>
      <c r="AA951" s="30" t="n"/>
    </row>
    <row r="952">
      <c r="A952" s="30" t="n"/>
      <c r="B952" s="156" t="n"/>
      <c r="C952" s="30" t="n"/>
      <c r="D952" s="30" t="n"/>
      <c r="E952" s="30" t="n"/>
      <c r="F952" s="30" t="n"/>
      <c r="G952" s="30" t="n"/>
      <c r="H952" s="30" t="n"/>
      <c r="I952" s="30" t="n"/>
      <c r="J952" s="30" t="n"/>
      <c r="K952" s="30" t="n"/>
      <c r="L952" s="30" t="n"/>
      <c r="M952" s="30" t="n"/>
      <c r="N952" s="30" t="n"/>
      <c r="O952" s="30" t="n"/>
      <c r="P952" s="30" t="n"/>
      <c r="Q952" s="30" t="n"/>
      <c r="R952" s="30" t="n"/>
      <c r="S952" s="30" t="n"/>
      <c r="T952" s="30" t="n"/>
      <c r="U952" s="30" t="n"/>
      <c r="V952" s="30" t="n"/>
      <c r="W952" s="30" t="n"/>
      <c r="X952" s="30" t="n"/>
      <c r="Y952" s="30" t="n"/>
      <c r="Z952" s="30" t="n"/>
      <c r="AA952" s="30" t="n"/>
    </row>
    <row r="953">
      <c r="A953" s="30" t="n"/>
      <c r="B953" s="156" t="n"/>
      <c r="C953" s="30" t="n"/>
      <c r="D953" s="30" t="n"/>
      <c r="E953" s="30" t="n"/>
      <c r="F953" s="30" t="n"/>
      <c r="G953" s="30" t="n"/>
      <c r="H953" s="30" t="n"/>
      <c r="I953" s="30" t="n"/>
      <c r="J953" s="30" t="n"/>
      <c r="K953" s="30" t="n"/>
      <c r="L953" s="30" t="n"/>
      <c r="M953" s="30" t="n"/>
      <c r="N953" s="30" t="n"/>
      <c r="O953" s="30" t="n"/>
      <c r="P953" s="30" t="n"/>
      <c r="Q953" s="30" t="n"/>
      <c r="R953" s="30" t="n"/>
      <c r="S953" s="30" t="n"/>
      <c r="T953" s="30" t="n"/>
      <c r="U953" s="30" t="n"/>
      <c r="V953" s="30" t="n"/>
      <c r="W953" s="30" t="n"/>
      <c r="X953" s="30" t="n"/>
      <c r="Y953" s="30" t="n"/>
      <c r="Z953" s="30" t="n"/>
      <c r="AA953" s="30" t="n"/>
    </row>
    <row r="954">
      <c r="A954" s="30" t="n"/>
      <c r="B954" s="156" t="n"/>
      <c r="C954" s="30" t="n"/>
      <c r="D954" s="30" t="n"/>
      <c r="E954" s="30" t="n"/>
      <c r="F954" s="30" t="n"/>
      <c r="G954" s="30" t="n"/>
      <c r="H954" s="30" t="n"/>
      <c r="I954" s="30" t="n"/>
      <c r="J954" s="30" t="n"/>
      <c r="K954" s="30" t="n"/>
      <c r="L954" s="30" t="n"/>
      <c r="M954" s="30" t="n"/>
      <c r="N954" s="30" t="n"/>
      <c r="O954" s="30" t="n"/>
      <c r="P954" s="30" t="n"/>
      <c r="Q954" s="30" t="n"/>
      <c r="R954" s="30" t="n"/>
      <c r="S954" s="30" t="n"/>
      <c r="T954" s="30" t="n"/>
      <c r="U954" s="30" t="n"/>
      <c r="V954" s="30" t="n"/>
      <c r="W954" s="30" t="n"/>
      <c r="X954" s="30" t="n"/>
      <c r="Y954" s="30" t="n"/>
      <c r="Z954" s="30" t="n"/>
      <c r="AA954" s="30" t="n"/>
    </row>
    <row r="955">
      <c r="A955" s="30" t="n"/>
      <c r="B955" s="156" t="n"/>
      <c r="C955" s="30" t="n"/>
      <c r="D955" s="30" t="n"/>
      <c r="E955" s="30" t="n"/>
      <c r="F955" s="30" t="n"/>
      <c r="G955" s="30" t="n"/>
      <c r="H955" s="30" t="n"/>
      <c r="I955" s="30" t="n"/>
      <c r="J955" s="30" t="n"/>
      <c r="K955" s="30" t="n"/>
      <c r="L955" s="30" t="n"/>
      <c r="M955" s="30" t="n"/>
      <c r="N955" s="30" t="n"/>
      <c r="O955" s="30" t="n"/>
      <c r="P955" s="30" t="n"/>
      <c r="Q955" s="30" t="n"/>
      <c r="R955" s="30" t="n"/>
      <c r="S955" s="30" t="n"/>
      <c r="T955" s="30" t="n"/>
      <c r="U955" s="30" t="n"/>
      <c r="V955" s="30" t="n"/>
      <c r="W955" s="30" t="n"/>
      <c r="X955" s="30" t="n"/>
      <c r="Y955" s="30" t="n"/>
      <c r="Z955" s="30" t="n"/>
      <c r="AA955" s="30" t="n"/>
    </row>
    <row r="956">
      <c r="A956" s="30" t="n"/>
      <c r="B956" s="156" t="n"/>
      <c r="C956" s="30" t="n"/>
      <c r="D956" s="30" t="n"/>
      <c r="E956" s="30" t="n"/>
      <c r="F956" s="30" t="n"/>
      <c r="G956" s="30" t="n"/>
      <c r="H956" s="30" t="n"/>
      <c r="I956" s="30" t="n"/>
      <c r="J956" s="30" t="n"/>
      <c r="K956" s="30" t="n"/>
      <c r="L956" s="30" t="n"/>
      <c r="M956" s="30" t="n"/>
      <c r="N956" s="30" t="n"/>
      <c r="O956" s="30" t="n"/>
      <c r="P956" s="30" t="n"/>
      <c r="Q956" s="30" t="n"/>
      <c r="R956" s="30" t="n"/>
      <c r="S956" s="30" t="n"/>
      <c r="T956" s="30" t="n"/>
      <c r="U956" s="30" t="n"/>
      <c r="V956" s="30" t="n"/>
      <c r="W956" s="30" t="n"/>
      <c r="X956" s="30" t="n"/>
      <c r="Y956" s="30" t="n"/>
      <c r="Z956" s="30" t="n"/>
      <c r="AA956" s="30" t="n"/>
    </row>
    <row r="957">
      <c r="A957" s="30" t="n"/>
      <c r="B957" s="156" t="n"/>
      <c r="C957" s="30" t="n"/>
      <c r="D957" s="30" t="n"/>
      <c r="E957" s="30" t="n"/>
      <c r="F957" s="30" t="n"/>
      <c r="G957" s="30" t="n"/>
      <c r="H957" s="30" t="n"/>
      <c r="I957" s="30" t="n"/>
      <c r="J957" s="30" t="n"/>
      <c r="K957" s="30" t="n"/>
      <c r="L957" s="30" t="n"/>
      <c r="M957" s="30" t="n"/>
      <c r="N957" s="30" t="n"/>
      <c r="O957" s="30" t="n"/>
      <c r="P957" s="30" t="n"/>
      <c r="Q957" s="30" t="n"/>
      <c r="R957" s="30" t="n"/>
      <c r="S957" s="30" t="n"/>
      <c r="T957" s="30" t="n"/>
      <c r="U957" s="30" t="n"/>
      <c r="V957" s="30" t="n"/>
      <c r="W957" s="30" t="n"/>
      <c r="X957" s="30" t="n"/>
      <c r="Y957" s="30" t="n"/>
      <c r="Z957" s="30" t="n"/>
      <c r="AA957" s="30" t="n"/>
    </row>
    <row r="958">
      <c r="A958" s="30" t="n"/>
      <c r="B958" s="156" t="n"/>
      <c r="C958" s="30" t="n"/>
      <c r="D958" s="30" t="n"/>
      <c r="E958" s="30" t="n"/>
      <c r="F958" s="30" t="n"/>
      <c r="G958" s="30" t="n"/>
      <c r="H958" s="30" t="n"/>
      <c r="I958" s="30" t="n"/>
      <c r="J958" s="30" t="n"/>
      <c r="K958" s="30" t="n"/>
      <c r="L958" s="30" t="n"/>
      <c r="M958" s="30" t="n"/>
      <c r="N958" s="30" t="n"/>
      <c r="O958" s="30" t="n"/>
      <c r="P958" s="30" t="n"/>
      <c r="Q958" s="30" t="n"/>
      <c r="R958" s="30" t="n"/>
      <c r="S958" s="30" t="n"/>
      <c r="T958" s="30" t="n"/>
      <c r="U958" s="30" t="n"/>
      <c r="V958" s="30" t="n"/>
      <c r="W958" s="30" t="n"/>
      <c r="X958" s="30" t="n"/>
      <c r="Y958" s="30" t="n"/>
      <c r="Z958" s="30" t="n"/>
      <c r="AA958" s="30" t="n"/>
    </row>
    <row r="959">
      <c r="A959" s="30" t="n"/>
      <c r="B959" s="156" t="n"/>
      <c r="C959" s="30" t="n"/>
      <c r="D959" s="30" t="n"/>
      <c r="E959" s="30" t="n"/>
      <c r="F959" s="30" t="n"/>
      <c r="G959" s="30" t="n"/>
      <c r="H959" s="30" t="n"/>
      <c r="I959" s="30" t="n"/>
      <c r="J959" s="30" t="n"/>
      <c r="K959" s="30" t="n"/>
      <c r="L959" s="30" t="n"/>
      <c r="M959" s="30" t="n"/>
      <c r="N959" s="30" t="n"/>
      <c r="O959" s="30" t="n"/>
      <c r="P959" s="30" t="n"/>
      <c r="Q959" s="30" t="n"/>
      <c r="R959" s="30" t="n"/>
      <c r="S959" s="30" t="n"/>
      <c r="T959" s="30" t="n"/>
      <c r="U959" s="30" t="n"/>
      <c r="V959" s="30" t="n"/>
      <c r="W959" s="30" t="n"/>
      <c r="X959" s="30" t="n"/>
      <c r="Y959" s="30" t="n"/>
      <c r="Z959" s="30" t="n"/>
      <c r="AA959" s="30" t="n"/>
    </row>
    <row r="960">
      <c r="A960" s="30" t="n"/>
      <c r="B960" s="156" t="n"/>
      <c r="C960" s="30" t="n"/>
      <c r="D960" s="30" t="n"/>
      <c r="E960" s="30" t="n"/>
      <c r="F960" s="30" t="n"/>
      <c r="G960" s="30" t="n"/>
      <c r="H960" s="30" t="n"/>
      <c r="I960" s="30" t="n"/>
      <c r="J960" s="30" t="n"/>
      <c r="K960" s="30" t="n"/>
      <c r="L960" s="30" t="n"/>
      <c r="M960" s="30" t="n"/>
      <c r="N960" s="30" t="n"/>
      <c r="O960" s="30" t="n"/>
      <c r="P960" s="30" t="n"/>
      <c r="Q960" s="30" t="n"/>
      <c r="R960" s="30" t="n"/>
      <c r="S960" s="30" t="n"/>
      <c r="T960" s="30" t="n"/>
      <c r="U960" s="30" t="n"/>
      <c r="V960" s="30" t="n"/>
      <c r="W960" s="30" t="n"/>
      <c r="X960" s="30" t="n"/>
      <c r="Y960" s="30" t="n"/>
      <c r="Z960" s="30" t="n"/>
      <c r="AA960" s="30" t="n"/>
    </row>
    <row r="961">
      <c r="A961" s="30" t="n"/>
      <c r="B961" s="156" t="n"/>
      <c r="C961" s="30" t="n"/>
      <c r="D961" s="30" t="n"/>
      <c r="E961" s="30" t="n"/>
      <c r="F961" s="30" t="n"/>
      <c r="G961" s="30" t="n"/>
      <c r="H961" s="30" t="n"/>
      <c r="I961" s="30" t="n"/>
      <c r="J961" s="30" t="n"/>
      <c r="K961" s="30" t="n"/>
      <c r="L961" s="30" t="n"/>
      <c r="M961" s="30" t="n"/>
      <c r="N961" s="30" t="n"/>
      <c r="O961" s="30" t="n"/>
      <c r="P961" s="30" t="n"/>
      <c r="Q961" s="30" t="n"/>
      <c r="R961" s="30" t="n"/>
      <c r="S961" s="30" t="n"/>
      <c r="T961" s="30" t="n"/>
      <c r="U961" s="30" t="n"/>
      <c r="V961" s="30" t="n"/>
      <c r="W961" s="30" t="n"/>
      <c r="X961" s="30" t="n"/>
      <c r="Y961" s="30" t="n"/>
      <c r="Z961" s="30" t="n"/>
      <c r="AA961" s="30" t="n"/>
    </row>
    <row r="962">
      <c r="A962" s="30" t="n"/>
      <c r="B962" s="156" t="n"/>
      <c r="C962" s="30" t="n"/>
      <c r="D962" s="30" t="n"/>
      <c r="E962" s="30" t="n"/>
      <c r="F962" s="30" t="n"/>
      <c r="G962" s="30" t="n"/>
      <c r="H962" s="30" t="n"/>
      <c r="I962" s="30" t="n"/>
      <c r="J962" s="30" t="n"/>
      <c r="K962" s="30" t="n"/>
      <c r="L962" s="30" t="n"/>
      <c r="M962" s="30" t="n"/>
      <c r="N962" s="30" t="n"/>
      <c r="O962" s="30" t="n"/>
      <c r="P962" s="30" t="n"/>
      <c r="Q962" s="30" t="n"/>
      <c r="R962" s="30" t="n"/>
      <c r="S962" s="30" t="n"/>
      <c r="T962" s="30" t="n"/>
      <c r="U962" s="30" t="n"/>
      <c r="V962" s="30" t="n"/>
      <c r="W962" s="30" t="n"/>
      <c r="X962" s="30" t="n"/>
      <c r="Y962" s="30" t="n"/>
      <c r="Z962" s="30" t="n"/>
      <c r="AA962" s="30" t="n"/>
    </row>
    <row r="963">
      <c r="A963" s="30" t="n"/>
      <c r="B963" s="156" t="n"/>
      <c r="C963" s="30" t="n"/>
      <c r="D963" s="30" t="n"/>
      <c r="E963" s="30" t="n"/>
      <c r="F963" s="30" t="n"/>
      <c r="G963" s="30" t="n"/>
      <c r="H963" s="30" t="n"/>
      <c r="I963" s="30" t="n"/>
      <c r="J963" s="30" t="n"/>
      <c r="K963" s="30" t="n"/>
      <c r="L963" s="30" t="n"/>
      <c r="M963" s="30" t="n"/>
      <c r="N963" s="30" t="n"/>
      <c r="O963" s="30" t="n"/>
      <c r="P963" s="30" t="n"/>
      <c r="Q963" s="30" t="n"/>
      <c r="R963" s="30" t="n"/>
      <c r="S963" s="30" t="n"/>
      <c r="T963" s="30" t="n"/>
      <c r="U963" s="30" t="n"/>
      <c r="V963" s="30" t="n"/>
      <c r="W963" s="30" t="n"/>
      <c r="X963" s="30" t="n"/>
      <c r="Y963" s="30" t="n"/>
      <c r="Z963" s="30" t="n"/>
      <c r="AA963" s="30" t="n"/>
    </row>
    <row r="964">
      <c r="A964" s="30" t="n"/>
      <c r="B964" s="156" t="n"/>
      <c r="C964" s="30" t="n"/>
      <c r="D964" s="30" t="n"/>
      <c r="E964" s="30" t="n"/>
      <c r="F964" s="30" t="n"/>
      <c r="G964" s="30" t="n"/>
      <c r="H964" s="30" t="n"/>
      <c r="I964" s="30" t="n"/>
      <c r="J964" s="30" t="n"/>
      <c r="K964" s="30" t="n"/>
      <c r="L964" s="30" t="n"/>
      <c r="M964" s="30" t="n"/>
      <c r="N964" s="30" t="n"/>
      <c r="O964" s="30" t="n"/>
      <c r="P964" s="30" t="n"/>
      <c r="Q964" s="30" t="n"/>
      <c r="R964" s="30" t="n"/>
      <c r="S964" s="30" t="n"/>
      <c r="T964" s="30" t="n"/>
      <c r="U964" s="30" t="n"/>
      <c r="V964" s="30" t="n"/>
      <c r="W964" s="30" t="n"/>
      <c r="X964" s="30" t="n"/>
      <c r="Y964" s="30" t="n"/>
      <c r="Z964" s="30" t="n"/>
      <c r="AA964" s="30" t="n"/>
    </row>
    <row r="965">
      <c r="A965" s="30" t="n"/>
      <c r="B965" s="156" t="n"/>
      <c r="C965" s="30" t="n"/>
      <c r="D965" s="30" t="n"/>
      <c r="E965" s="30" t="n"/>
      <c r="F965" s="30" t="n"/>
      <c r="G965" s="30" t="n"/>
      <c r="H965" s="30" t="n"/>
      <c r="I965" s="30" t="n"/>
      <c r="J965" s="30" t="n"/>
      <c r="K965" s="30" t="n"/>
      <c r="L965" s="30" t="n"/>
      <c r="M965" s="30" t="n"/>
      <c r="N965" s="30" t="n"/>
      <c r="O965" s="30" t="n"/>
      <c r="P965" s="30" t="n"/>
      <c r="Q965" s="30" t="n"/>
      <c r="R965" s="30" t="n"/>
      <c r="S965" s="30" t="n"/>
      <c r="T965" s="30" t="n"/>
      <c r="U965" s="30" t="n"/>
      <c r="V965" s="30" t="n"/>
      <c r="W965" s="30" t="n"/>
      <c r="X965" s="30" t="n"/>
      <c r="Y965" s="30" t="n"/>
      <c r="Z965" s="30" t="n"/>
      <c r="AA965" s="30" t="n"/>
    </row>
    <row r="966">
      <c r="A966" s="30" t="n"/>
      <c r="B966" s="156" t="n"/>
      <c r="C966" s="30" t="n"/>
      <c r="D966" s="30" t="n"/>
      <c r="E966" s="30" t="n"/>
      <c r="F966" s="30" t="n"/>
      <c r="G966" s="30" t="n"/>
      <c r="H966" s="30" t="n"/>
      <c r="I966" s="30" t="n"/>
      <c r="J966" s="30" t="n"/>
      <c r="K966" s="30" t="n"/>
      <c r="L966" s="30" t="n"/>
      <c r="M966" s="30" t="n"/>
      <c r="N966" s="30" t="n"/>
      <c r="O966" s="30" t="n"/>
      <c r="P966" s="30" t="n"/>
      <c r="Q966" s="30" t="n"/>
      <c r="R966" s="30" t="n"/>
      <c r="S966" s="30" t="n"/>
      <c r="T966" s="30" t="n"/>
      <c r="U966" s="30" t="n"/>
      <c r="V966" s="30" t="n"/>
      <c r="W966" s="30" t="n"/>
      <c r="X966" s="30" t="n"/>
      <c r="Y966" s="30" t="n"/>
      <c r="Z966" s="30" t="n"/>
      <c r="AA966" s="30" t="n"/>
    </row>
    <row r="967">
      <c r="A967" s="30" t="n"/>
      <c r="B967" s="156" t="n"/>
      <c r="C967" s="30" t="n"/>
      <c r="D967" s="30" t="n"/>
      <c r="E967" s="30" t="n"/>
      <c r="F967" s="30" t="n"/>
      <c r="G967" s="30" t="n"/>
      <c r="H967" s="30" t="n"/>
      <c r="I967" s="30" t="n"/>
      <c r="J967" s="30" t="n"/>
      <c r="K967" s="30" t="n"/>
      <c r="L967" s="30" t="n"/>
      <c r="M967" s="30" t="n"/>
      <c r="N967" s="30" t="n"/>
      <c r="O967" s="30" t="n"/>
      <c r="P967" s="30" t="n"/>
      <c r="Q967" s="30" t="n"/>
      <c r="R967" s="30" t="n"/>
      <c r="S967" s="30" t="n"/>
      <c r="T967" s="30" t="n"/>
      <c r="U967" s="30" t="n"/>
      <c r="V967" s="30" t="n"/>
      <c r="W967" s="30" t="n"/>
      <c r="X967" s="30" t="n"/>
      <c r="Y967" s="30" t="n"/>
      <c r="Z967" s="30" t="n"/>
      <c r="AA967" s="30" t="n"/>
    </row>
    <row r="968">
      <c r="A968" s="30" t="n"/>
      <c r="B968" s="156" t="n"/>
      <c r="C968" s="30" t="n"/>
      <c r="D968" s="30" t="n"/>
      <c r="E968" s="30" t="n"/>
      <c r="F968" s="30" t="n"/>
      <c r="G968" s="30" t="n"/>
      <c r="H968" s="30" t="n"/>
      <c r="I968" s="30" t="n"/>
      <c r="J968" s="30" t="n"/>
      <c r="K968" s="30" t="n"/>
      <c r="L968" s="30" t="n"/>
      <c r="M968" s="30" t="n"/>
      <c r="N968" s="30" t="n"/>
      <c r="O968" s="30" t="n"/>
      <c r="P968" s="30" t="n"/>
      <c r="Q968" s="30" t="n"/>
      <c r="R968" s="30" t="n"/>
      <c r="S968" s="30" t="n"/>
      <c r="T968" s="30" t="n"/>
      <c r="U968" s="30" t="n"/>
      <c r="V968" s="30" t="n"/>
      <c r="W968" s="30" t="n"/>
      <c r="X968" s="30" t="n"/>
      <c r="Y968" s="30" t="n"/>
      <c r="Z968" s="30" t="n"/>
      <c r="AA968" s="30" t="n"/>
    </row>
    <row r="969">
      <c r="A969" s="30" t="n"/>
      <c r="B969" s="156" t="n"/>
      <c r="C969" s="30" t="n"/>
      <c r="D969" s="30" t="n"/>
      <c r="E969" s="30" t="n"/>
      <c r="F969" s="30" t="n"/>
      <c r="G969" s="30" t="n"/>
      <c r="H969" s="30" t="n"/>
      <c r="I969" s="30" t="n"/>
      <c r="J969" s="30" t="n"/>
      <c r="K969" s="30" t="n"/>
      <c r="L969" s="30" t="n"/>
      <c r="M969" s="30" t="n"/>
      <c r="N969" s="30" t="n"/>
      <c r="O969" s="30" t="n"/>
      <c r="P969" s="30" t="n"/>
      <c r="Q969" s="30" t="n"/>
      <c r="R969" s="30" t="n"/>
      <c r="S969" s="30" t="n"/>
      <c r="T969" s="30" t="n"/>
      <c r="U969" s="30" t="n"/>
      <c r="V969" s="30" t="n"/>
      <c r="W969" s="30" t="n"/>
      <c r="X969" s="30" t="n"/>
      <c r="Y969" s="30" t="n"/>
      <c r="Z969" s="30" t="n"/>
      <c r="AA969" s="30" t="n"/>
    </row>
    <row r="970">
      <c r="A970" s="30" t="n"/>
      <c r="B970" s="156" t="n"/>
      <c r="C970" s="30" t="n"/>
      <c r="D970" s="30" t="n"/>
      <c r="E970" s="30" t="n"/>
      <c r="F970" s="30" t="n"/>
      <c r="G970" s="30" t="n"/>
      <c r="H970" s="30" t="n"/>
      <c r="I970" s="30" t="n"/>
      <c r="J970" s="30" t="n"/>
      <c r="K970" s="30" t="n"/>
      <c r="L970" s="30" t="n"/>
      <c r="M970" s="30" t="n"/>
      <c r="N970" s="30" t="n"/>
      <c r="O970" s="30" t="n"/>
      <c r="P970" s="30" t="n"/>
      <c r="Q970" s="30" t="n"/>
      <c r="R970" s="30" t="n"/>
      <c r="S970" s="30" t="n"/>
      <c r="T970" s="30" t="n"/>
      <c r="U970" s="30" t="n"/>
      <c r="V970" s="30" t="n"/>
      <c r="W970" s="30" t="n"/>
      <c r="X970" s="30" t="n"/>
      <c r="Y970" s="30" t="n"/>
      <c r="Z970" s="30" t="n"/>
      <c r="AA970" s="30" t="n"/>
    </row>
    <row r="971">
      <c r="A971" s="30" t="n"/>
      <c r="B971" s="156" t="n"/>
      <c r="C971" s="30" t="n"/>
      <c r="D971" s="30" t="n"/>
      <c r="E971" s="30" t="n"/>
      <c r="F971" s="30" t="n"/>
      <c r="G971" s="30" t="n"/>
      <c r="H971" s="30" t="n"/>
      <c r="I971" s="30" t="n"/>
      <c r="J971" s="30" t="n"/>
      <c r="K971" s="30" t="n"/>
      <c r="L971" s="30" t="n"/>
      <c r="M971" s="30" t="n"/>
      <c r="N971" s="30" t="n"/>
      <c r="O971" s="30" t="n"/>
      <c r="P971" s="30" t="n"/>
      <c r="Q971" s="30" t="n"/>
      <c r="R971" s="30" t="n"/>
      <c r="S971" s="30" t="n"/>
      <c r="T971" s="30" t="n"/>
      <c r="U971" s="30" t="n"/>
      <c r="V971" s="30" t="n"/>
      <c r="W971" s="30" t="n"/>
      <c r="X971" s="30" t="n"/>
      <c r="Y971" s="30" t="n"/>
      <c r="Z971" s="30" t="n"/>
      <c r="AA971" s="30" t="n"/>
    </row>
    <row r="972">
      <c r="A972" s="30" t="n"/>
      <c r="B972" s="156" t="n"/>
      <c r="C972" s="30" t="n"/>
      <c r="D972" s="30" t="n"/>
      <c r="E972" s="30" t="n"/>
      <c r="F972" s="30" t="n"/>
      <c r="G972" s="30" t="n"/>
      <c r="H972" s="30" t="n"/>
      <c r="I972" s="30" t="n"/>
      <c r="J972" s="30" t="n"/>
      <c r="K972" s="30" t="n"/>
      <c r="L972" s="30" t="n"/>
      <c r="M972" s="30" t="n"/>
      <c r="N972" s="30" t="n"/>
      <c r="O972" s="30" t="n"/>
      <c r="P972" s="30" t="n"/>
      <c r="Q972" s="30" t="n"/>
      <c r="R972" s="30" t="n"/>
      <c r="S972" s="30" t="n"/>
      <c r="T972" s="30" t="n"/>
      <c r="U972" s="30" t="n"/>
      <c r="V972" s="30" t="n"/>
      <c r="W972" s="30" t="n"/>
      <c r="X972" s="30" t="n"/>
      <c r="Y972" s="30" t="n"/>
      <c r="Z972" s="30" t="n"/>
      <c r="AA972" s="30" t="n"/>
    </row>
    <row r="973">
      <c r="A973" s="30" t="n"/>
      <c r="B973" s="156" t="n"/>
      <c r="C973" s="30" t="n"/>
      <c r="D973" s="30" t="n"/>
      <c r="E973" s="30" t="n"/>
      <c r="F973" s="30" t="n"/>
      <c r="G973" s="30" t="n"/>
      <c r="H973" s="30" t="n"/>
      <c r="I973" s="30" t="n"/>
      <c r="J973" s="30" t="n"/>
      <c r="K973" s="30" t="n"/>
      <c r="L973" s="30" t="n"/>
      <c r="M973" s="30" t="n"/>
      <c r="N973" s="30" t="n"/>
      <c r="O973" s="30" t="n"/>
      <c r="P973" s="30" t="n"/>
      <c r="Q973" s="30" t="n"/>
      <c r="R973" s="30" t="n"/>
      <c r="S973" s="30" t="n"/>
      <c r="T973" s="30" t="n"/>
      <c r="U973" s="30" t="n"/>
      <c r="V973" s="30" t="n"/>
      <c r="W973" s="30" t="n"/>
      <c r="X973" s="30" t="n"/>
      <c r="Y973" s="30" t="n"/>
      <c r="Z973" s="30" t="n"/>
      <c r="AA973" s="30" t="n"/>
    </row>
    <row r="974">
      <c r="A974" s="30" t="n"/>
      <c r="B974" s="156" t="n"/>
      <c r="C974" s="30" t="n"/>
      <c r="D974" s="30" t="n"/>
      <c r="E974" s="30" t="n"/>
      <c r="F974" s="30" t="n"/>
      <c r="G974" s="30" t="n"/>
      <c r="H974" s="30" t="n"/>
      <c r="I974" s="30" t="n"/>
      <c r="J974" s="30" t="n"/>
      <c r="K974" s="30" t="n"/>
      <c r="L974" s="30" t="n"/>
      <c r="M974" s="30" t="n"/>
      <c r="N974" s="30" t="n"/>
      <c r="O974" s="30" t="n"/>
      <c r="P974" s="30" t="n"/>
      <c r="Q974" s="30" t="n"/>
      <c r="R974" s="30" t="n"/>
      <c r="S974" s="30" t="n"/>
      <c r="T974" s="30" t="n"/>
      <c r="U974" s="30" t="n"/>
      <c r="V974" s="30" t="n"/>
      <c r="W974" s="30" t="n"/>
      <c r="X974" s="30" t="n"/>
      <c r="Y974" s="30" t="n"/>
      <c r="Z974" s="30" t="n"/>
      <c r="AA974" s="30" t="n"/>
    </row>
    <row r="975">
      <c r="A975" s="30" t="n"/>
      <c r="B975" s="156" t="n"/>
      <c r="C975" s="30" t="n"/>
      <c r="D975" s="30" t="n"/>
      <c r="E975" s="30" t="n"/>
      <c r="F975" s="30" t="n"/>
      <c r="G975" s="30" t="n"/>
      <c r="H975" s="30" t="n"/>
      <c r="I975" s="30" t="n"/>
      <c r="J975" s="30" t="n"/>
      <c r="K975" s="30" t="n"/>
      <c r="L975" s="30" t="n"/>
      <c r="M975" s="30" t="n"/>
      <c r="N975" s="30" t="n"/>
      <c r="O975" s="30" t="n"/>
      <c r="P975" s="30" t="n"/>
      <c r="Q975" s="30" t="n"/>
      <c r="R975" s="30" t="n"/>
      <c r="S975" s="30" t="n"/>
      <c r="T975" s="30" t="n"/>
      <c r="U975" s="30" t="n"/>
      <c r="V975" s="30" t="n"/>
      <c r="W975" s="30" t="n"/>
      <c r="X975" s="30" t="n"/>
      <c r="Y975" s="30" t="n"/>
      <c r="Z975" s="30" t="n"/>
      <c r="AA975" s="30" t="n"/>
    </row>
    <row r="976">
      <c r="A976" s="30" t="n"/>
      <c r="B976" s="156" t="n"/>
      <c r="C976" s="30" t="n"/>
      <c r="D976" s="30" t="n"/>
      <c r="E976" s="30" t="n"/>
      <c r="F976" s="30" t="n"/>
      <c r="G976" s="30" t="n"/>
      <c r="H976" s="30" t="n"/>
      <c r="I976" s="30" t="n"/>
      <c r="J976" s="30" t="n"/>
      <c r="K976" s="30" t="n"/>
      <c r="L976" s="30" t="n"/>
      <c r="M976" s="30" t="n"/>
      <c r="N976" s="30" t="n"/>
      <c r="O976" s="30" t="n"/>
      <c r="P976" s="30" t="n"/>
      <c r="Q976" s="30" t="n"/>
      <c r="R976" s="30" t="n"/>
      <c r="S976" s="30" t="n"/>
      <c r="T976" s="30" t="n"/>
      <c r="U976" s="30" t="n"/>
      <c r="V976" s="30" t="n"/>
      <c r="W976" s="30" t="n"/>
      <c r="X976" s="30" t="n"/>
      <c r="Y976" s="30" t="n"/>
      <c r="Z976" s="30" t="n"/>
      <c r="AA976" s="30" t="n"/>
    </row>
    <row r="977">
      <c r="A977" s="30" t="n"/>
      <c r="B977" s="156" t="n"/>
      <c r="C977" s="30" t="n"/>
      <c r="D977" s="30" t="n"/>
      <c r="E977" s="30" t="n"/>
      <c r="F977" s="30" t="n"/>
      <c r="G977" s="30" t="n"/>
      <c r="H977" s="30" t="n"/>
      <c r="I977" s="30" t="n"/>
      <c r="J977" s="30" t="n"/>
      <c r="K977" s="30" t="n"/>
      <c r="L977" s="30" t="n"/>
      <c r="M977" s="30" t="n"/>
      <c r="N977" s="30" t="n"/>
      <c r="O977" s="30" t="n"/>
      <c r="P977" s="30" t="n"/>
      <c r="Q977" s="30" t="n"/>
      <c r="R977" s="30" t="n"/>
      <c r="S977" s="30" t="n"/>
      <c r="T977" s="30" t="n"/>
      <c r="U977" s="30" t="n"/>
      <c r="V977" s="30" t="n"/>
      <c r="W977" s="30" t="n"/>
      <c r="X977" s="30" t="n"/>
      <c r="Y977" s="30" t="n"/>
      <c r="Z977" s="30" t="n"/>
      <c r="AA977" s="30" t="n"/>
    </row>
    <row r="978">
      <c r="A978" s="30" t="n"/>
      <c r="B978" s="156" t="n"/>
      <c r="C978" s="30" t="n"/>
      <c r="D978" s="30" t="n"/>
      <c r="E978" s="30" t="n"/>
      <c r="F978" s="30" t="n"/>
      <c r="G978" s="30" t="n"/>
      <c r="H978" s="30" t="n"/>
      <c r="I978" s="30" t="n"/>
      <c r="J978" s="30" t="n"/>
      <c r="K978" s="30" t="n"/>
      <c r="L978" s="30" t="n"/>
      <c r="M978" s="30" t="n"/>
      <c r="N978" s="30" t="n"/>
      <c r="O978" s="30" t="n"/>
      <c r="P978" s="30" t="n"/>
      <c r="Q978" s="30" t="n"/>
      <c r="R978" s="30" t="n"/>
      <c r="S978" s="30" t="n"/>
      <c r="T978" s="30" t="n"/>
      <c r="U978" s="30" t="n"/>
      <c r="V978" s="30" t="n"/>
      <c r="W978" s="30" t="n"/>
      <c r="X978" s="30" t="n"/>
      <c r="Y978" s="30" t="n"/>
      <c r="Z978" s="30" t="n"/>
      <c r="AA978" s="30" t="n"/>
    </row>
    <row r="979">
      <c r="A979" s="30" t="n"/>
      <c r="B979" s="156" t="n"/>
      <c r="C979" s="30" t="n"/>
      <c r="D979" s="30" t="n"/>
      <c r="E979" s="30" t="n"/>
      <c r="F979" s="30" t="n"/>
      <c r="G979" s="30" t="n"/>
      <c r="H979" s="30" t="n"/>
      <c r="I979" s="30" t="n"/>
      <c r="J979" s="30" t="n"/>
      <c r="K979" s="30" t="n"/>
      <c r="L979" s="30" t="n"/>
      <c r="M979" s="30" t="n"/>
      <c r="N979" s="30" t="n"/>
      <c r="O979" s="30" t="n"/>
      <c r="P979" s="30" t="n"/>
      <c r="Q979" s="30" t="n"/>
      <c r="R979" s="30" t="n"/>
      <c r="S979" s="30" t="n"/>
      <c r="T979" s="30" t="n"/>
      <c r="U979" s="30" t="n"/>
      <c r="V979" s="30" t="n"/>
      <c r="W979" s="30" t="n"/>
      <c r="X979" s="30" t="n"/>
      <c r="Y979" s="30" t="n"/>
      <c r="Z979" s="30" t="n"/>
      <c r="AA979" s="30" t="n"/>
    </row>
    <row r="980">
      <c r="A980" s="30" t="n"/>
      <c r="B980" s="156" t="n"/>
      <c r="C980" s="30" t="n"/>
      <c r="D980" s="30" t="n"/>
      <c r="E980" s="30" t="n"/>
      <c r="F980" s="30" t="n"/>
      <c r="G980" s="30" t="n"/>
      <c r="H980" s="30" t="n"/>
      <c r="I980" s="30" t="n"/>
      <c r="J980" s="30" t="n"/>
      <c r="K980" s="30" t="n"/>
      <c r="L980" s="30" t="n"/>
      <c r="M980" s="30" t="n"/>
      <c r="N980" s="30" t="n"/>
      <c r="O980" s="30" t="n"/>
      <c r="P980" s="30" t="n"/>
      <c r="Q980" s="30" t="n"/>
      <c r="R980" s="30" t="n"/>
      <c r="S980" s="30" t="n"/>
      <c r="T980" s="30" t="n"/>
      <c r="U980" s="30" t="n"/>
      <c r="V980" s="30" t="n"/>
      <c r="W980" s="30" t="n"/>
      <c r="X980" s="30" t="n"/>
      <c r="Y980" s="30" t="n"/>
      <c r="Z980" s="30" t="n"/>
      <c r="AA980" s="30" t="n"/>
    </row>
    <row r="981">
      <c r="A981" s="30" t="n"/>
      <c r="B981" s="156" t="n"/>
      <c r="C981" s="30" t="n"/>
      <c r="D981" s="30" t="n"/>
      <c r="E981" s="30" t="n"/>
      <c r="F981" s="30" t="n"/>
      <c r="G981" s="30" t="n"/>
      <c r="H981" s="30" t="n"/>
      <c r="I981" s="30" t="n"/>
      <c r="J981" s="30" t="n"/>
      <c r="K981" s="30" t="n"/>
      <c r="L981" s="30" t="n"/>
      <c r="M981" s="30" t="n"/>
      <c r="N981" s="30" t="n"/>
      <c r="O981" s="30" t="n"/>
      <c r="P981" s="30" t="n"/>
      <c r="Q981" s="30" t="n"/>
      <c r="R981" s="30" t="n"/>
      <c r="S981" s="30" t="n"/>
      <c r="T981" s="30" t="n"/>
      <c r="U981" s="30" t="n"/>
      <c r="V981" s="30" t="n"/>
      <c r="W981" s="30" t="n"/>
      <c r="X981" s="30" t="n"/>
      <c r="Y981" s="30" t="n"/>
      <c r="Z981" s="30" t="n"/>
      <c r="AA981" s="30" t="n"/>
    </row>
    <row r="982">
      <c r="A982" s="30" t="n"/>
      <c r="B982" s="156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30" t="n"/>
      <c r="L982" s="30" t="n"/>
      <c r="M982" s="30" t="n"/>
      <c r="N982" s="30" t="n"/>
      <c r="O982" s="30" t="n"/>
      <c r="P982" s="30" t="n"/>
      <c r="Q982" s="30" t="n"/>
      <c r="R982" s="30" t="n"/>
      <c r="S982" s="30" t="n"/>
      <c r="T982" s="30" t="n"/>
      <c r="U982" s="30" t="n"/>
      <c r="V982" s="30" t="n"/>
      <c r="W982" s="30" t="n"/>
      <c r="X982" s="30" t="n"/>
      <c r="Y982" s="30" t="n"/>
      <c r="Z982" s="30" t="n"/>
      <c r="AA982" s="30" t="n"/>
    </row>
    <row r="983">
      <c r="A983" s="30" t="n"/>
      <c r="B983" s="156" t="n"/>
      <c r="C983" s="30" t="n"/>
      <c r="D983" s="30" t="n"/>
      <c r="E983" s="30" t="n"/>
      <c r="F983" s="30" t="n"/>
      <c r="G983" s="30" t="n"/>
      <c r="H983" s="30" t="n"/>
      <c r="I983" s="30" t="n"/>
      <c r="J983" s="30" t="n"/>
      <c r="K983" s="30" t="n"/>
      <c r="L983" s="30" t="n"/>
      <c r="M983" s="30" t="n"/>
      <c r="N983" s="30" t="n"/>
      <c r="O983" s="30" t="n"/>
      <c r="P983" s="30" t="n"/>
      <c r="Q983" s="30" t="n"/>
      <c r="R983" s="30" t="n"/>
      <c r="S983" s="30" t="n"/>
      <c r="T983" s="30" t="n"/>
      <c r="U983" s="30" t="n"/>
      <c r="V983" s="30" t="n"/>
      <c r="W983" s="30" t="n"/>
      <c r="X983" s="30" t="n"/>
      <c r="Y983" s="30" t="n"/>
      <c r="Z983" s="30" t="n"/>
      <c r="AA983" s="30" t="n"/>
    </row>
    <row r="984">
      <c r="A984" s="30" t="n"/>
      <c r="B984" s="156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30" t="n"/>
      <c r="L984" s="30" t="n"/>
      <c r="M984" s="30" t="n"/>
      <c r="N984" s="30" t="n"/>
      <c r="O984" s="30" t="n"/>
      <c r="P984" s="30" t="n"/>
      <c r="Q984" s="30" t="n"/>
      <c r="R984" s="30" t="n"/>
      <c r="S984" s="30" t="n"/>
      <c r="T984" s="30" t="n"/>
      <c r="U984" s="30" t="n"/>
      <c r="V984" s="30" t="n"/>
      <c r="W984" s="30" t="n"/>
      <c r="X984" s="30" t="n"/>
      <c r="Y984" s="30" t="n"/>
      <c r="Z984" s="30" t="n"/>
      <c r="AA984" s="30" t="n"/>
    </row>
    <row r="985">
      <c r="A985" s="30" t="n"/>
      <c r="B985" s="156" t="n"/>
      <c r="C985" s="30" t="n"/>
      <c r="D985" s="30" t="n"/>
      <c r="E985" s="30" t="n"/>
      <c r="F985" s="30" t="n"/>
      <c r="G985" s="30" t="n"/>
      <c r="H985" s="30" t="n"/>
      <c r="I985" s="30" t="n"/>
      <c r="J985" s="30" t="n"/>
      <c r="K985" s="30" t="n"/>
      <c r="L985" s="30" t="n"/>
      <c r="M985" s="30" t="n"/>
      <c r="N985" s="30" t="n"/>
      <c r="O985" s="30" t="n"/>
      <c r="P985" s="30" t="n"/>
      <c r="Q985" s="30" t="n"/>
      <c r="R985" s="30" t="n"/>
      <c r="S985" s="30" t="n"/>
      <c r="T985" s="30" t="n"/>
      <c r="U985" s="30" t="n"/>
      <c r="V985" s="30" t="n"/>
      <c r="W985" s="30" t="n"/>
      <c r="X985" s="30" t="n"/>
      <c r="Y985" s="30" t="n"/>
      <c r="Z985" s="30" t="n"/>
      <c r="AA985" s="30" t="n"/>
    </row>
    <row r="986">
      <c r="A986" s="30" t="n"/>
      <c r="B986" s="156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30" t="n"/>
      <c r="L986" s="30" t="n"/>
      <c r="M986" s="30" t="n"/>
      <c r="N986" s="30" t="n"/>
      <c r="O986" s="30" t="n"/>
      <c r="P986" s="30" t="n"/>
      <c r="Q986" s="30" t="n"/>
      <c r="R986" s="30" t="n"/>
      <c r="S986" s="30" t="n"/>
      <c r="T986" s="30" t="n"/>
      <c r="U986" s="30" t="n"/>
      <c r="V986" s="30" t="n"/>
      <c r="W986" s="30" t="n"/>
      <c r="X986" s="30" t="n"/>
      <c r="Y986" s="30" t="n"/>
      <c r="Z986" s="30" t="n"/>
      <c r="AA986" s="30" t="n"/>
    </row>
    <row r="987">
      <c r="A987" s="30" t="n"/>
      <c r="B987" s="156" t="n"/>
      <c r="C987" s="30" t="n"/>
      <c r="D987" s="30" t="n"/>
      <c r="E987" s="30" t="n"/>
      <c r="F987" s="30" t="n"/>
      <c r="G987" s="30" t="n"/>
      <c r="H987" s="30" t="n"/>
      <c r="I987" s="30" t="n"/>
      <c r="J987" s="30" t="n"/>
      <c r="K987" s="30" t="n"/>
      <c r="L987" s="30" t="n"/>
      <c r="M987" s="30" t="n"/>
      <c r="N987" s="30" t="n"/>
      <c r="O987" s="30" t="n"/>
      <c r="P987" s="30" t="n"/>
      <c r="Q987" s="30" t="n"/>
      <c r="R987" s="30" t="n"/>
      <c r="S987" s="30" t="n"/>
      <c r="T987" s="30" t="n"/>
      <c r="U987" s="30" t="n"/>
      <c r="V987" s="30" t="n"/>
      <c r="W987" s="30" t="n"/>
      <c r="X987" s="30" t="n"/>
      <c r="Y987" s="30" t="n"/>
      <c r="Z987" s="30" t="n"/>
      <c r="AA987" s="30" t="n"/>
    </row>
    <row r="988">
      <c r="A988" s="30" t="n"/>
      <c r="B988" s="156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30" t="n"/>
      <c r="L988" s="30" t="n"/>
      <c r="M988" s="30" t="n"/>
      <c r="N988" s="30" t="n"/>
      <c r="O988" s="30" t="n"/>
      <c r="P988" s="30" t="n"/>
      <c r="Q988" s="30" t="n"/>
      <c r="R988" s="30" t="n"/>
      <c r="S988" s="30" t="n"/>
      <c r="T988" s="30" t="n"/>
      <c r="U988" s="30" t="n"/>
      <c r="V988" s="30" t="n"/>
      <c r="W988" s="30" t="n"/>
      <c r="X988" s="30" t="n"/>
      <c r="Y988" s="30" t="n"/>
      <c r="Z988" s="30" t="n"/>
      <c r="AA988" s="30" t="n"/>
    </row>
    <row r="989">
      <c r="A989" s="30" t="n"/>
      <c r="B989" s="156" t="n"/>
      <c r="C989" s="30" t="n"/>
      <c r="D989" s="30" t="n"/>
      <c r="E989" s="30" t="n"/>
      <c r="F989" s="30" t="n"/>
      <c r="G989" s="30" t="n"/>
      <c r="H989" s="30" t="n"/>
      <c r="I989" s="30" t="n"/>
      <c r="J989" s="30" t="n"/>
      <c r="K989" s="30" t="n"/>
      <c r="L989" s="30" t="n"/>
      <c r="M989" s="30" t="n"/>
      <c r="N989" s="30" t="n"/>
      <c r="O989" s="30" t="n"/>
      <c r="P989" s="30" t="n"/>
      <c r="Q989" s="30" t="n"/>
      <c r="R989" s="30" t="n"/>
      <c r="S989" s="30" t="n"/>
      <c r="T989" s="30" t="n"/>
      <c r="U989" s="30" t="n"/>
      <c r="V989" s="30" t="n"/>
      <c r="W989" s="30" t="n"/>
      <c r="X989" s="30" t="n"/>
      <c r="Y989" s="30" t="n"/>
      <c r="Z989" s="30" t="n"/>
      <c r="AA989" s="30" t="n"/>
    </row>
    <row r="990">
      <c r="A990" s="30" t="n"/>
      <c r="B990" s="156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30" t="n"/>
      <c r="L990" s="30" t="n"/>
      <c r="M990" s="30" t="n"/>
      <c r="N990" s="30" t="n"/>
      <c r="O990" s="30" t="n"/>
      <c r="P990" s="30" t="n"/>
      <c r="Q990" s="30" t="n"/>
      <c r="R990" s="30" t="n"/>
      <c r="S990" s="30" t="n"/>
      <c r="T990" s="30" t="n"/>
      <c r="U990" s="30" t="n"/>
      <c r="V990" s="30" t="n"/>
      <c r="W990" s="30" t="n"/>
      <c r="X990" s="30" t="n"/>
      <c r="Y990" s="30" t="n"/>
      <c r="Z990" s="30" t="n"/>
      <c r="AA990" s="30" t="n"/>
    </row>
    <row r="991">
      <c r="A991" s="30" t="n"/>
      <c r="B991" s="156" t="n"/>
      <c r="C991" s="30" t="n"/>
      <c r="D991" s="30" t="n"/>
      <c r="E991" s="30" t="n"/>
      <c r="F991" s="30" t="n"/>
      <c r="G991" s="30" t="n"/>
      <c r="H991" s="30" t="n"/>
      <c r="I991" s="30" t="n"/>
      <c r="J991" s="30" t="n"/>
      <c r="K991" s="30" t="n"/>
      <c r="L991" s="30" t="n"/>
      <c r="M991" s="30" t="n"/>
      <c r="N991" s="30" t="n"/>
      <c r="O991" s="30" t="n"/>
      <c r="P991" s="30" t="n"/>
      <c r="Q991" s="30" t="n"/>
      <c r="R991" s="30" t="n"/>
      <c r="S991" s="30" t="n"/>
      <c r="T991" s="30" t="n"/>
      <c r="U991" s="30" t="n"/>
      <c r="V991" s="30" t="n"/>
      <c r="W991" s="30" t="n"/>
      <c r="X991" s="30" t="n"/>
      <c r="Y991" s="30" t="n"/>
      <c r="Z991" s="30" t="n"/>
      <c r="AA991" s="30" t="n"/>
    </row>
    <row r="992">
      <c r="A992" s="30" t="n"/>
      <c r="B992" s="156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  <c r="N992" s="30" t="n"/>
      <c r="O992" s="30" t="n"/>
      <c r="P992" s="30" t="n"/>
      <c r="Q992" s="30" t="n"/>
      <c r="R992" s="30" t="n"/>
      <c r="S992" s="30" t="n"/>
      <c r="T992" s="30" t="n"/>
      <c r="U992" s="30" t="n"/>
      <c r="V992" s="30" t="n"/>
      <c r="W992" s="30" t="n"/>
      <c r="X992" s="30" t="n"/>
      <c r="Y992" s="30" t="n"/>
      <c r="Z992" s="30" t="n"/>
      <c r="AA992" s="30" t="n"/>
    </row>
    <row r="993">
      <c r="A993" s="30" t="n"/>
      <c r="B993" s="156" t="n"/>
      <c r="C993" s="30" t="n"/>
      <c r="D993" s="30" t="n"/>
      <c r="E993" s="30" t="n"/>
      <c r="F993" s="30" t="n"/>
      <c r="G993" s="30" t="n"/>
      <c r="H993" s="30" t="n"/>
      <c r="I993" s="30" t="n"/>
      <c r="J993" s="30" t="n"/>
      <c r="K993" s="30" t="n"/>
      <c r="L993" s="30" t="n"/>
      <c r="M993" s="30" t="n"/>
      <c r="N993" s="30" t="n"/>
      <c r="O993" s="30" t="n"/>
      <c r="P993" s="30" t="n"/>
      <c r="Q993" s="30" t="n"/>
      <c r="R993" s="30" t="n"/>
      <c r="S993" s="30" t="n"/>
      <c r="T993" s="30" t="n"/>
      <c r="U993" s="30" t="n"/>
      <c r="V993" s="30" t="n"/>
      <c r="W993" s="30" t="n"/>
      <c r="X993" s="30" t="n"/>
      <c r="Y993" s="30" t="n"/>
      <c r="Z993" s="30" t="n"/>
      <c r="AA993" s="30" t="n"/>
    </row>
    <row r="994">
      <c r="A994" s="30" t="n"/>
      <c r="B994" s="156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30" t="n"/>
      <c r="L994" s="30" t="n"/>
      <c r="M994" s="30" t="n"/>
      <c r="N994" s="30" t="n"/>
      <c r="O994" s="30" t="n"/>
      <c r="P994" s="30" t="n"/>
      <c r="Q994" s="30" t="n"/>
      <c r="R994" s="30" t="n"/>
      <c r="S994" s="30" t="n"/>
      <c r="T994" s="30" t="n"/>
      <c r="U994" s="30" t="n"/>
      <c r="V994" s="30" t="n"/>
      <c r="W994" s="30" t="n"/>
      <c r="X994" s="30" t="n"/>
      <c r="Y994" s="30" t="n"/>
      <c r="Z994" s="30" t="n"/>
      <c r="AA994" s="30" t="n"/>
    </row>
    <row r="995">
      <c r="A995" s="30" t="n"/>
      <c r="B995" s="156" t="n"/>
      <c r="C995" s="30" t="n"/>
      <c r="D995" s="30" t="n"/>
      <c r="E995" s="30" t="n"/>
      <c r="F995" s="30" t="n"/>
      <c r="G995" s="30" t="n"/>
      <c r="H995" s="30" t="n"/>
      <c r="I995" s="30" t="n"/>
      <c r="J995" s="30" t="n"/>
      <c r="K995" s="30" t="n"/>
      <c r="L995" s="30" t="n"/>
      <c r="M995" s="30" t="n"/>
      <c r="N995" s="30" t="n"/>
      <c r="O995" s="30" t="n"/>
      <c r="P995" s="30" t="n"/>
      <c r="Q995" s="30" t="n"/>
      <c r="R995" s="30" t="n"/>
      <c r="S995" s="30" t="n"/>
      <c r="T995" s="30" t="n"/>
      <c r="U995" s="30" t="n"/>
      <c r="V995" s="30" t="n"/>
      <c r="W995" s="30" t="n"/>
      <c r="X995" s="30" t="n"/>
      <c r="Y995" s="30" t="n"/>
      <c r="Z995" s="30" t="n"/>
      <c r="AA995" s="30" t="n"/>
    </row>
    <row r="996">
      <c r="A996" s="30" t="n"/>
      <c r="B996" s="156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30" t="n"/>
      <c r="L996" s="30" t="n"/>
      <c r="M996" s="30" t="n"/>
      <c r="N996" s="30" t="n"/>
      <c r="O996" s="30" t="n"/>
      <c r="P996" s="30" t="n"/>
      <c r="Q996" s="30" t="n"/>
      <c r="R996" s="30" t="n"/>
      <c r="S996" s="30" t="n"/>
      <c r="T996" s="30" t="n"/>
      <c r="U996" s="30" t="n"/>
      <c r="V996" s="30" t="n"/>
      <c r="W996" s="30" t="n"/>
      <c r="X996" s="30" t="n"/>
      <c r="Y996" s="30" t="n"/>
      <c r="Z996" s="30" t="n"/>
      <c r="AA996" s="30" t="n"/>
    </row>
    <row r="997">
      <c r="A997" s="30" t="n"/>
      <c r="B997" s="156" t="n"/>
      <c r="C997" s="30" t="n"/>
      <c r="D997" s="30" t="n"/>
      <c r="E997" s="30" t="n"/>
      <c r="F997" s="30" t="n"/>
      <c r="G997" s="30" t="n"/>
      <c r="H997" s="30" t="n"/>
      <c r="I997" s="30" t="n"/>
      <c r="J997" s="30" t="n"/>
      <c r="K997" s="30" t="n"/>
      <c r="L997" s="30" t="n"/>
      <c r="M997" s="30" t="n"/>
      <c r="N997" s="30" t="n"/>
      <c r="O997" s="30" t="n"/>
      <c r="P997" s="30" t="n"/>
      <c r="Q997" s="30" t="n"/>
      <c r="R997" s="30" t="n"/>
      <c r="S997" s="30" t="n"/>
      <c r="T997" s="30" t="n"/>
      <c r="U997" s="30" t="n"/>
      <c r="V997" s="30" t="n"/>
      <c r="W997" s="30" t="n"/>
      <c r="X997" s="30" t="n"/>
      <c r="Y997" s="30" t="n"/>
      <c r="Z997" s="30" t="n"/>
      <c r="AA997" s="30" t="n"/>
    </row>
    <row r="998">
      <c r="A998" s="30" t="n"/>
      <c r="B998" s="156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30" t="n"/>
      <c r="L998" s="30" t="n"/>
      <c r="M998" s="30" t="n"/>
      <c r="N998" s="30" t="n"/>
      <c r="O998" s="30" t="n"/>
      <c r="P998" s="30" t="n"/>
      <c r="Q998" s="30" t="n"/>
      <c r="R998" s="30" t="n"/>
      <c r="S998" s="30" t="n"/>
      <c r="T998" s="30" t="n"/>
      <c r="U998" s="30" t="n"/>
      <c r="V998" s="30" t="n"/>
      <c r="W998" s="30" t="n"/>
      <c r="X998" s="30" t="n"/>
      <c r="Y998" s="30" t="n"/>
      <c r="Z998" s="30" t="n"/>
      <c r="AA998" s="30" t="n"/>
    </row>
    <row r="999">
      <c r="A999" s="30" t="n"/>
      <c r="B999" s="156" t="n"/>
      <c r="C999" s="30" t="n"/>
      <c r="D999" s="30" t="n"/>
      <c r="E999" s="30" t="n"/>
      <c r="F999" s="30" t="n"/>
      <c r="G999" s="30" t="n"/>
      <c r="H999" s="30" t="n"/>
      <c r="I999" s="30" t="n"/>
      <c r="J999" s="30" t="n"/>
      <c r="K999" s="30" t="n"/>
      <c r="L999" s="30" t="n"/>
      <c r="M999" s="30" t="n"/>
      <c r="N999" s="30" t="n"/>
      <c r="O999" s="30" t="n"/>
      <c r="P999" s="30" t="n"/>
      <c r="Q999" s="30" t="n"/>
      <c r="R999" s="30" t="n"/>
      <c r="S999" s="30" t="n"/>
      <c r="T999" s="30" t="n"/>
      <c r="U999" s="30" t="n"/>
      <c r="V999" s="30" t="n"/>
      <c r="W999" s="30" t="n"/>
      <c r="X999" s="30" t="n"/>
      <c r="Y999" s="30" t="n"/>
      <c r="Z999" s="30" t="n"/>
      <c r="AA999" s="30" t="n"/>
    </row>
    <row r="1000">
      <c r="A1000" s="30" t="n"/>
      <c r="B1000" s="156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30" t="n"/>
      <c r="L1000" s="30" t="n"/>
      <c r="M1000" s="30" t="n"/>
      <c r="N1000" s="30" t="n"/>
      <c r="O1000" s="30" t="n"/>
      <c r="P1000" s="30" t="n"/>
      <c r="Q1000" s="30" t="n"/>
      <c r="R1000" s="30" t="n"/>
      <c r="S1000" s="30" t="n"/>
      <c r="T1000" s="30" t="n"/>
      <c r="U1000" s="30" t="n"/>
      <c r="V1000" s="30" t="n"/>
      <c r="W1000" s="30" t="n"/>
      <c r="X1000" s="30" t="n"/>
      <c r="Y1000" s="30" t="n"/>
      <c r="Z1000" s="30" t="n"/>
      <c r="AA1000" s="30" t="n"/>
    </row>
    <row r="1001">
      <c r="A1001" s="30" t="n"/>
      <c r="B1001" s="156" t="n"/>
      <c r="C1001" s="30" t="n"/>
      <c r="D1001" s="30" t="n"/>
      <c r="E1001" s="30" t="n"/>
      <c r="F1001" s="30" t="n"/>
      <c r="G1001" s="30" t="n"/>
      <c r="H1001" s="30" t="n"/>
      <c r="I1001" s="30" t="n"/>
      <c r="J1001" s="30" t="n"/>
      <c r="K1001" s="30" t="n"/>
      <c r="L1001" s="30" t="n"/>
      <c r="M1001" s="30" t="n"/>
      <c r="N1001" s="30" t="n"/>
      <c r="O1001" s="30" t="n"/>
      <c r="P1001" s="30" t="n"/>
      <c r="Q1001" s="30" t="n"/>
      <c r="R1001" s="30" t="n"/>
      <c r="S1001" s="30" t="n"/>
      <c r="T1001" s="30" t="n"/>
      <c r="U1001" s="30" t="n"/>
      <c r="V1001" s="30" t="n"/>
      <c r="W1001" s="30" t="n"/>
      <c r="X1001" s="30" t="n"/>
      <c r="Y1001" s="30" t="n"/>
      <c r="Z1001" s="30" t="n"/>
      <c r="AA1001" s="30" t="n"/>
    </row>
    <row r="1002">
      <c r="A1002" s="30" t="n"/>
      <c r="B1002" s="156" t="n"/>
      <c r="C1002" s="30" t="n"/>
      <c r="D1002" s="30" t="n"/>
      <c r="E1002" s="30" t="n"/>
      <c r="F1002" s="30" t="n"/>
      <c r="G1002" s="30" t="n"/>
      <c r="H1002" s="30" t="n"/>
      <c r="I1002" s="30" t="n"/>
      <c r="J1002" s="30" t="n"/>
      <c r="K1002" s="30" t="n"/>
      <c r="L1002" s="30" t="n"/>
      <c r="M1002" s="30" t="n"/>
      <c r="N1002" s="30" t="n"/>
      <c r="O1002" s="30" t="n"/>
      <c r="P1002" s="30" t="n"/>
      <c r="Q1002" s="30" t="n"/>
      <c r="R1002" s="30" t="n"/>
      <c r="S1002" s="30" t="n"/>
      <c r="T1002" s="30" t="n"/>
      <c r="U1002" s="30" t="n"/>
      <c r="V1002" s="30" t="n"/>
      <c r="W1002" s="30" t="n"/>
      <c r="X1002" s="30" t="n"/>
      <c r="Y1002" s="30" t="n"/>
      <c r="Z1002" s="30" t="n"/>
      <c r="AA1002" s="30" t="n"/>
    </row>
    <row r="1003" ht="15.75" customHeight="1" s="220">
      <c r="A1003" s="30" t="n"/>
      <c r="B1003" s="156" t="n"/>
      <c r="C1003" s="30" t="n"/>
      <c r="D1003" s="30" t="n"/>
      <c r="H1003" s="30" t="n"/>
      <c r="I1003" s="30" t="n"/>
      <c r="J1003" s="30" t="n"/>
      <c r="K1003" s="30" t="n"/>
      <c r="L1003" s="30" t="n"/>
      <c r="M1003" s="30" t="n"/>
      <c r="N1003" s="30" t="n"/>
      <c r="O1003" s="30" t="n"/>
      <c r="P1003" s="30" t="n"/>
      <c r="Q1003" s="30" t="n"/>
      <c r="R1003" s="30" t="n"/>
      <c r="S1003" s="30" t="n"/>
      <c r="T1003" s="30" t="n"/>
      <c r="U1003" s="30" t="n"/>
      <c r="V1003" s="30" t="n"/>
      <c r="W1003" s="30" t="n"/>
      <c r="X1003" s="30" t="n"/>
      <c r="Y1003" s="30" t="n"/>
      <c r="Z1003" s="30" t="n"/>
      <c r="AA1003" s="30" t="n"/>
    </row>
  </sheetData>
  <mergeCells count="3">
    <mergeCell ref="K1:O1"/>
    <mergeCell ref="F1:G1"/>
    <mergeCell ref="A1:B1"/>
  </mergeCells>
  <dataValidations count="2">
    <dataValidation sqref="A1 F1" showDropDown="0" showInputMessage="0" showErrorMessage="1" allowBlank="1" type="list">
      <formula1>$B$14:$C$14</formula1>
    </dataValidation>
    <dataValidation sqref="C1 H1" showDropDown="0" showInputMessage="0" showErrorMessage="1" allowBlank="1" type="list">
      <formula1>"24K,22K,18K,14K"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6"/>
  <sheetViews>
    <sheetView showGridLines="0" workbookViewId="0">
      <selection activeCell="A1" sqref="A1"/>
    </sheetView>
  </sheetViews>
  <sheetFormatPr baseColWidth="8" defaultColWidth="14.43" defaultRowHeight="15" customHeight="1"/>
  <cols>
    <col width="8.43" customWidth="1" style="220" min="1" max="1"/>
    <col width="14.71" customWidth="1" style="220" min="2" max="2"/>
    <col width="15.14" customWidth="1" style="220" min="3" max="3"/>
    <col width="17.71" customWidth="1" style="220" min="4" max="4"/>
    <col width="14.29" customWidth="1" style="220" min="5" max="5"/>
    <col width="15" customWidth="1" style="220" min="6" max="6"/>
    <col width="14.29" customWidth="1" style="220" min="7" max="7"/>
    <col width="11.57" customWidth="1" style="220" min="8" max="8"/>
    <col width="7.43" customWidth="1" style="220" min="9" max="9"/>
    <col width="9.859999999999999" customWidth="1" style="220" min="10" max="10"/>
    <col width="8.140000000000001" customWidth="1" style="220" min="11" max="11"/>
    <col width="13.86" customWidth="1" style="220" min="12" max="15"/>
    <col width="12" customWidth="1" style="220" min="16" max="16"/>
    <col width="15" customWidth="1" style="220" min="17" max="17"/>
    <col width="17.57" customWidth="1" style="220" min="18" max="18"/>
    <col width="18.57" customWidth="1" style="220" min="19" max="19"/>
    <col width="13" customWidth="1" style="220" min="20" max="20"/>
    <col width="11.57" customWidth="1" style="220" min="21" max="21"/>
    <col width="7.29" customWidth="1" style="220" min="22" max="22"/>
    <col width="12.29" customWidth="1" style="220" min="23" max="23"/>
    <col width="7.29" customWidth="1" style="220" min="24" max="26"/>
  </cols>
  <sheetData>
    <row r="1" ht="33.75" customHeight="1" s="220">
      <c r="A1" s="166" t="inlineStr">
        <is>
          <t>Ring Lookup</t>
        </is>
      </c>
      <c r="E1" s="167" t="n"/>
      <c r="F1" s="5">
        <f>TODAY()</f>
        <v/>
      </c>
      <c r="G1" s="168" t="n"/>
      <c r="H1" s="30" t="n"/>
      <c r="I1" s="26" t="n"/>
      <c r="J1" s="26" t="n"/>
      <c r="K1" s="26" t="n"/>
      <c r="L1" s="26" t="n"/>
      <c r="M1" s="26" t="n"/>
      <c r="N1" s="26" t="n"/>
      <c r="O1" s="26" t="n"/>
      <c r="P1" s="26" t="n"/>
      <c r="Q1" s="169" t="inlineStr">
        <is>
          <t>Discount %</t>
        </is>
      </c>
      <c r="R1" s="169" t="n">
        <v>40</v>
      </c>
      <c r="U1" s="170" t="n"/>
      <c r="V1" s="26" t="n"/>
      <c r="W1" s="22" t="n"/>
    </row>
    <row r="2" ht="17.25" customHeight="1" s="220">
      <c r="A2" s="171" t="inlineStr">
        <is>
          <t>Sn</t>
        </is>
      </c>
      <c r="B2" s="171" t="inlineStr">
        <is>
          <t>Net Weight</t>
        </is>
      </c>
      <c r="C2" s="171" t="inlineStr">
        <is>
          <t>Wstg + MC</t>
        </is>
      </c>
      <c r="D2" s="171" t="inlineStr">
        <is>
          <t>Gross Weight</t>
        </is>
      </c>
      <c r="E2" s="171" t="inlineStr">
        <is>
          <t>Dmd &lt;0.06</t>
        </is>
      </c>
      <c r="F2" s="171" t="inlineStr">
        <is>
          <t>Dmd &lt; 0.12</t>
        </is>
      </c>
      <c r="G2" s="171" t="inlineStr">
        <is>
          <t>Dmd &lt;0.17</t>
        </is>
      </c>
      <c r="H2" s="171" t="inlineStr">
        <is>
          <t>Dmd Big</t>
        </is>
      </c>
      <c r="I2" s="171" t="inlineStr">
        <is>
          <t>Ruby</t>
        </is>
      </c>
      <c r="J2" s="171" t="inlineStr">
        <is>
          <t>Emreld</t>
        </is>
      </c>
      <c r="K2" s="171" t="inlineStr">
        <is>
          <t>Muga</t>
        </is>
      </c>
      <c r="L2" s="171" t="inlineStr">
        <is>
          <t>Dmd Price</t>
        </is>
      </c>
      <c r="M2" s="171" t="inlineStr">
        <is>
          <t>Dmd Price</t>
        </is>
      </c>
      <c r="N2" s="171" t="inlineStr">
        <is>
          <t>Dmd Price</t>
        </is>
      </c>
      <c r="O2" s="171" t="inlineStr">
        <is>
          <t>Dmd Price</t>
        </is>
      </c>
      <c r="P2" s="171" t="inlineStr">
        <is>
          <t>Stn Price</t>
        </is>
      </c>
      <c r="Q2" s="172" t="inlineStr">
        <is>
          <t>Gold Price</t>
        </is>
      </c>
      <c r="R2" s="171" t="inlineStr">
        <is>
          <t>Ttl dmd Price</t>
        </is>
      </c>
      <c r="S2" s="173" t="inlineStr">
        <is>
          <t>Total Price</t>
        </is>
      </c>
      <c r="T2" s="173" t="inlineStr">
        <is>
          <t>Tax</t>
        </is>
      </c>
      <c r="U2" s="171" t="n"/>
      <c r="V2" s="26" t="n"/>
      <c r="W2" s="22">
        <f>(((D3*0.6)/11.664)*Prices!A4)+E3*38000+F3*51900+G3*60900+H3*140000+I3*1000+J3*3000+K3*300</f>
        <v/>
      </c>
    </row>
    <row r="3" ht="23.25" customHeight="1" s="220">
      <c r="A3" s="171" t="n">
        <v>232</v>
      </c>
      <c r="B3" s="26">
        <f>VLOOKUP($A$3,'Ladies Ring'!$A$2:$S$998, 2, 0)</f>
        <v/>
      </c>
      <c r="C3" s="26">
        <f>VLOOKUP($A$3,'Ladies Ring'!$A$2:$S$998, 3, 0)</f>
        <v/>
      </c>
      <c r="D3" s="26">
        <f>VLOOKUP($A$3,'Ladies Ring'!$A$2:$S$998, 4, 0)</f>
        <v/>
      </c>
      <c r="E3" s="26">
        <f>VLOOKUP($A$3,'Ladies Ring'!$A$2:$S$998, 5, 0)</f>
        <v/>
      </c>
      <c r="F3" s="26">
        <f>VLOOKUP($A$3,'Ladies Ring'!$A$2:$S$998, 6, 0)</f>
        <v/>
      </c>
      <c r="G3" s="26">
        <f>VLOOKUP($A$3,'Ladies Ring'!$A$2:$S$998, 7, 0)</f>
        <v/>
      </c>
      <c r="H3" s="26">
        <f>VLOOKUP($A$3,'Ladies Ring'!$A$2:$S$998, 8, 0)</f>
        <v/>
      </c>
      <c r="I3" s="26">
        <f>VLOOKUP($A$3,'Ladies Ring'!$A$2:$S$998, 9, 0)</f>
        <v/>
      </c>
      <c r="J3" s="26">
        <f>VLOOKUP($A$3,'Ladies Ring'!$A$2:$S$998, 10, 0)</f>
        <v/>
      </c>
      <c r="K3" s="26">
        <f>VLOOKUP($A$3,'Ladies Ring'!$A$2:$S$998, 11, 0)</f>
        <v/>
      </c>
      <c r="L3" s="174">
        <f>VLOOKUP($A$3,'Ladies Ring'!$A$2:$S$998, 12, 0)</f>
        <v/>
      </c>
      <c r="M3" s="174">
        <f>VLOOKUP($A$3,'Ladies Ring'!$A$2:$S$998, 13, 0)</f>
        <v/>
      </c>
      <c r="N3" s="174">
        <f>VLOOKUP($A$3,'Ladies Ring'!$A$2:$S$998, 14, 0)</f>
        <v/>
      </c>
      <c r="O3" s="174">
        <f>VLOOKUP($A$3,'Ladies Ring'!$A$2:$S$998, 15, 0)</f>
        <v/>
      </c>
      <c r="P3" s="174">
        <f>VLOOKUP($A$3,'Ladies Ring'!$A$2:$S$998, 16, 0)</f>
        <v/>
      </c>
      <c r="Q3" s="175">
        <f>VLOOKUP($A$3,'Ladies Ring'!$A$2:$S$998, 17, 0)</f>
        <v/>
      </c>
      <c r="R3" s="174">
        <f>VLOOKUP($A$3,'Ladies Ring'!$A$2:$S$998, 18, 0)</f>
        <v/>
      </c>
      <c r="S3" s="176">
        <f>VLOOKUP($A$3,'Ladies Ring'!$A$2:$S$998, 19, 0)</f>
        <v/>
      </c>
      <c r="T3" s="177">
        <f>Q3*0.02</f>
        <v/>
      </c>
      <c r="U3" s="26" t="n"/>
      <c r="W3" s="22">
        <f>((S4-W2)/S4)*100</f>
        <v/>
      </c>
    </row>
    <row r="4" ht="26.25" customHeight="1" s="220">
      <c r="A4" s="26" t="n"/>
      <c r="B4" s="26" t="n"/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178">
        <f>IFERROR(L3/E3,0)</f>
        <v/>
      </c>
      <c r="M4" s="178">
        <f>IFERROR(M3/F3,0)</f>
        <v/>
      </c>
      <c r="N4" s="178">
        <f>IFERROR(N3/G3,0)</f>
        <v/>
      </c>
      <c r="O4" s="178">
        <f>IFERROR(O3/H3,0)</f>
        <v/>
      </c>
      <c r="P4" s="178">
        <f>IFERROR(P3/(K3+J3+I3),0)</f>
        <v/>
      </c>
      <c r="Q4" s="178">
        <f>IFERROR(Q3/D3,0)</f>
        <v/>
      </c>
      <c r="R4" s="179">
        <f>R3-(R3*(R1/100))</f>
        <v/>
      </c>
      <c r="S4" s="180">
        <f>R4+Q3+P3+T3</f>
        <v/>
      </c>
      <c r="T4" s="26">
        <f>IF(W3&gt;30,"G",IF(AND(W3&gt;25,W3&lt;30),"A",IF(AND(W3&gt;20,W3&lt;25),"B","C")))</f>
        <v/>
      </c>
      <c r="V4" s="26" t="n"/>
      <c r="W4" s="22" t="n"/>
    </row>
    <row r="5" ht="15" customHeight="1" s="220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inlineStr">
        <is>
          <t>  </t>
        </is>
      </c>
      <c r="R5" s="174">
        <f>R3-R4</f>
        <v/>
      </c>
      <c r="S5" s="181" t="n"/>
      <c r="T5" s="181" t="n"/>
      <c r="U5" s="26" t="n"/>
      <c r="V5" s="26" t="n"/>
      <c r="W5" s="22" t="n"/>
    </row>
    <row r="6" ht="33.75" customHeight="1" s="220">
      <c r="A6" s="182" t="inlineStr">
        <is>
          <t>Gents Ring</t>
        </is>
      </c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181" t="n"/>
      <c r="T6" s="181" t="n"/>
      <c r="U6" s="26" t="n"/>
      <c r="V6" s="26" t="n"/>
      <c r="W6" s="22" t="n"/>
    </row>
    <row r="7">
      <c r="A7" s="171" t="inlineStr">
        <is>
          <t>Sn</t>
        </is>
      </c>
      <c r="B7" s="183" t="inlineStr">
        <is>
          <t>Net Weight</t>
        </is>
      </c>
      <c r="C7" s="183" t="inlineStr">
        <is>
          <t>Wstg + MC</t>
        </is>
      </c>
      <c r="D7" s="183" t="inlineStr">
        <is>
          <t>Gross Weight</t>
        </is>
      </c>
      <c r="E7" s="183" t="inlineStr">
        <is>
          <t>Dmd &lt;0.06</t>
        </is>
      </c>
      <c r="F7" s="183" t="inlineStr">
        <is>
          <t>Dmd &lt; 0.12</t>
        </is>
      </c>
      <c r="G7" s="183" t="inlineStr">
        <is>
          <t>Dmd &lt;0.17</t>
        </is>
      </c>
      <c r="H7" s="183" t="inlineStr">
        <is>
          <t>Dmd Big</t>
        </is>
      </c>
      <c r="I7" s="183" t="inlineStr">
        <is>
          <t>Ruby</t>
        </is>
      </c>
      <c r="J7" s="183" t="inlineStr">
        <is>
          <t>Emreld</t>
        </is>
      </c>
      <c r="K7" s="183" t="inlineStr">
        <is>
          <t>Muga</t>
        </is>
      </c>
      <c r="L7" s="183" t="inlineStr">
        <is>
          <t>Dmd Price</t>
        </is>
      </c>
      <c r="M7" s="183" t="inlineStr">
        <is>
          <t>Dmd Price</t>
        </is>
      </c>
      <c r="N7" s="183" t="inlineStr">
        <is>
          <t>Dmd Price</t>
        </is>
      </c>
      <c r="O7" s="183" t="inlineStr">
        <is>
          <t>Dmd Price</t>
        </is>
      </c>
      <c r="P7" s="183" t="inlineStr">
        <is>
          <t>Stn Price</t>
        </is>
      </c>
      <c r="Q7" s="184" t="inlineStr">
        <is>
          <t>Gold Price</t>
        </is>
      </c>
      <c r="R7" s="183" t="inlineStr">
        <is>
          <t>Ttl dmd Price</t>
        </is>
      </c>
      <c r="S7" s="185" t="inlineStr">
        <is>
          <t>Total Price</t>
        </is>
      </c>
      <c r="T7" s="173" t="inlineStr">
        <is>
          <t>Tax</t>
        </is>
      </c>
      <c r="U7" s="171" t="n"/>
      <c r="V7" s="26" t="n"/>
      <c r="W7" s="22">
        <f>(((D8*0.6)/11.664)*Prices!A4)+E8*38000+F8*51900+G8*60900+H8*140000+I8*1000+J8*3000+K8*300</f>
        <v/>
      </c>
    </row>
    <row r="8" ht="18.75" customHeight="1" s="220">
      <c r="A8" s="171" t="n">
        <v>40</v>
      </c>
      <c r="B8" s="26">
        <f>VLOOKUP($A$8,'Gents Ring'!A2:S999, 2, 0)</f>
        <v/>
      </c>
      <c r="C8" s="26">
        <f>VLOOKUP($A$8,'Gents Ring'!A2:S999, 3, 0)</f>
        <v/>
      </c>
      <c r="D8" s="26">
        <f>VLOOKUP($A$8,'Gents Ring'!A2:S999, 4, 0)</f>
        <v/>
      </c>
      <c r="E8" s="26">
        <f>VLOOKUP($A$8,'Gents Ring'!A2:S999, 5, 0)</f>
        <v/>
      </c>
      <c r="F8" s="26">
        <f>VLOOKUP($A$8,'Gents Ring'!A2:S999, 6, 0)</f>
        <v/>
      </c>
      <c r="G8" s="26">
        <f>VLOOKUP($A$8,'Gents Ring'!A2:S999, 7, 0)</f>
        <v/>
      </c>
      <c r="H8" s="26">
        <f>VLOOKUP($A$8,'Gents Ring'!A2:S999, 8, 0)</f>
        <v/>
      </c>
      <c r="I8" s="26">
        <f>VLOOKUP($A$8,'Gents Ring'!A2:S999, 9, 0)</f>
        <v/>
      </c>
      <c r="J8" s="26">
        <f>VLOOKUP($A$8,'Gents Ring'!A2:S999, 10, 0)</f>
        <v/>
      </c>
      <c r="K8" s="26">
        <f>VLOOKUP($A$8,'Gents Ring'!A2:S999, 11, 0)</f>
        <v/>
      </c>
      <c r="L8" s="174">
        <f>VLOOKUP($A$8,'Gents Ring'!A2:S999, 12, 0)</f>
        <v/>
      </c>
      <c r="M8" s="174">
        <f>VLOOKUP($A$8,'Gents Ring'!A2:S999, 13, 0)</f>
        <v/>
      </c>
      <c r="N8" s="174">
        <f>VLOOKUP($A$8,'Gents Ring'!A2:S999, 14, 0)</f>
        <v/>
      </c>
      <c r="O8" s="174">
        <f>VLOOKUP($A$8,'Gents Ring'!A2:S999, 15, 0)</f>
        <v/>
      </c>
      <c r="P8" s="174">
        <f>VLOOKUP($A$8,'Gents Ring'!A2:S999, 16, 0)</f>
        <v/>
      </c>
      <c r="Q8" s="175">
        <f>VLOOKUP($A$8,'Gents Ring'!A2:S999, 17, 0)</f>
        <v/>
      </c>
      <c r="R8" s="174">
        <f>VLOOKUP($A$8,'Gents Ring'!A2:S999, 18, 0)</f>
        <v/>
      </c>
      <c r="S8" s="176">
        <f>VLOOKUP($A$8,'Gents Ring'!A2:S999, 19, 0)</f>
        <v/>
      </c>
      <c r="T8" s="177">
        <f>Q8*0.02</f>
        <v/>
      </c>
      <c r="U8" s="26" t="n"/>
      <c r="W8" s="22">
        <f>((S9-W7)/S9)*100</f>
        <v/>
      </c>
    </row>
    <row r="9" ht="21.75" customHeight="1" s="220">
      <c r="A9" s="26" t="n"/>
      <c r="B9" s="26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178">
        <f>IFERROR(L8/E8,0)</f>
        <v/>
      </c>
      <c r="M9" s="178">
        <f>IFERROR(M8/F8,0)</f>
        <v/>
      </c>
      <c r="N9" s="178">
        <f>IFERROR(N8/G8,0)</f>
        <v/>
      </c>
      <c r="O9" s="178">
        <f>IFERROR(O8/H8,0)</f>
        <v/>
      </c>
      <c r="P9" s="178">
        <f>IFERROR(P8/(K8+J8+I8),0)</f>
        <v/>
      </c>
      <c r="Q9" s="178">
        <f>IFERROR(Q8/D8,0)</f>
        <v/>
      </c>
      <c r="R9" s="179">
        <f>R8-(R8*(R1/100))</f>
        <v/>
      </c>
      <c r="S9" s="180">
        <f>R9+Q8+P8+T8</f>
        <v/>
      </c>
      <c r="T9" s="26">
        <f>IF(W8&gt;30,"G",IF(AND(W8&gt;25,W8&lt;30),"A",IF(AND(W8&gt;20,W8&lt;25),"B","C")))</f>
        <v/>
      </c>
      <c r="V9" s="26" t="n"/>
      <c r="W9" s="22" t="n"/>
    </row>
    <row r="10">
      <c r="E10" s="26" t="n"/>
      <c r="F10" s="26" t="n"/>
      <c r="G10" s="26" t="n"/>
      <c r="H10" s="26" t="n"/>
      <c r="I10" s="26" t="n"/>
      <c r="J10" s="26" t="n"/>
      <c r="K10" s="26" t="n"/>
      <c r="R10" s="174">
        <f>R8-R9</f>
        <v/>
      </c>
      <c r="V10" s="26" t="n"/>
      <c r="W10" s="22" t="n"/>
    </row>
    <row r="11" ht="36.75" customHeight="1" s="220">
      <c r="A11" s="167" t="inlineStr">
        <is>
          <t>Top Lookup</t>
        </is>
      </c>
      <c r="B11" s="167" t="n"/>
      <c r="C11" s="167" t="n"/>
    </row>
    <row r="12">
      <c r="A12" s="171" t="inlineStr">
        <is>
          <t>Sn</t>
        </is>
      </c>
      <c r="B12" s="183" t="inlineStr">
        <is>
          <t>Net Weight</t>
        </is>
      </c>
      <c r="C12" s="183" t="inlineStr">
        <is>
          <t>Wstg + MC</t>
        </is>
      </c>
      <c r="D12" s="183" t="inlineStr">
        <is>
          <t>Gross weight</t>
        </is>
      </c>
      <c r="E12" s="183" t="inlineStr">
        <is>
          <t>Dmd &lt;0.06</t>
        </is>
      </c>
      <c r="F12" s="183" t="inlineStr">
        <is>
          <t>Dmd &lt; 0.12</t>
        </is>
      </c>
      <c r="G12" s="183" t="inlineStr">
        <is>
          <t>Dmd &lt;0.17</t>
        </is>
      </c>
      <c r="H12" s="183" t="inlineStr">
        <is>
          <t>Dmd Big</t>
        </is>
      </c>
      <c r="I12" s="171" t="inlineStr">
        <is>
          <t>Ruby</t>
        </is>
      </c>
      <c r="J12" s="171" t="inlineStr">
        <is>
          <t>Emreld</t>
        </is>
      </c>
      <c r="K12" s="171" t="inlineStr">
        <is>
          <t>Muga</t>
        </is>
      </c>
      <c r="L12" s="171" t="inlineStr">
        <is>
          <t>Dmd Price</t>
        </is>
      </c>
      <c r="M12" s="171" t="inlineStr">
        <is>
          <t>Dmd Price</t>
        </is>
      </c>
      <c r="N12" s="171" t="inlineStr">
        <is>
          <t>Dmd Price</t>
        </is>
      </c>
      <c r="O12" s="171" t="inlineStr">
        <is>
          <t>Dmd Price</t>
        </is>
      </c>
      <c r="P12" s="183" t="inlineStr">
        <is>
          <t>Stn Price</t>
        </is>
      </c>
      <c r="Q12" s="184" t="inlineStr">
        <is>
          <t>Gold Price</t>
        </is>
      </c>
      <c r="R12" s="183" t="inlineStr">
        <is>
          <t>Ttl dmd Price</t>
        </is>
      </c>
      <c r="S12" s="185" t="inlineStr">
        <is>
          <t>Total Price</t>
        </is>
      </c>
      <c r="T12" s="173" t="inlineStr">
        <is>
          <t>Tax</t>
        </is>
      </c>
      <c r="U12" s="171" t="n"/>
      <c r="V12" s="26" t="n"/>
      <c r="W12" s="22">
        <f>(((D13*0.6)/11.664)*Prices!A4)+E13*38000+F13*55000+G13*60900+H13*140000+I13*1000+J13*3000+K13*300</f>
        <v/>
      </c>
    </row>
    <row r="13" ht="21.75" customHeight="1" s="220">
      <c r="A13" s="171" t="n">
        <v>93</v>
      </c>
      <c r="B13" s="26">
        <f>VLOOKUP($A$13,Top!A2:S1000, 2, 0)</f>
        <v/>
      </c>
      <c r="C13" s="26">
        <f>VLOOKUP($A$13,Top!A2:S1000, 3, 0)</f>
        <v/>
      </c>
      <c r="D13" s="26">
        <f>VLOOKUP($A$13,Top!A2:S1000, 4, 0)</f>
        <v/>
      </c>
      <c r="E13" s="26">
        <f>VLOOKUP($A$13,Top!A2:S1000, 5, 0)</f>
        <v/>
      </c>
      <c r="F13" s="26">
        <f>VLOOKUP($A$13,Top!A2:S1000, 6, 0)</f>
        <v/>
      </c>
      <c r="G13" s="26">
        <f>VLOOKUP($A$13,Top!A2:S1000, 7, 0)</f>
        <v/>
      </c>
      <c r="H13" s="26">
        <f>VLOOKUP($A$13,Top!A2:S1000, 8, 0)</f>
        <v/>
      </c>
      <c r="I13" s="26">
        <f>VLOOKUP($A$13,Top!A2:S1000, 9, 0)</f>
        <v/>
      </c>
      <c r="J13" s="26">
        <f>VLOOKUP($A$13,Top!A2:S1000, 10, 0)</f>
        <v/>
      </c>
      <c r="K13" s="26">
        <f>VLOOKUP($A$13,Top!A2:S1000, 11, 0)</f>
        <v/>
      </c>
      <c r="L13" s="174">
        <f>VLOOKUP($A$13,Top!A2:S1000, 12, 0)</f>
        <v/>
      </c>
      <c r="M13" s="174">
        <f>VLOOKUP($A$13,Top!A2:S1000, 13, 0)</f>
        <v/>
      </c>
      <c r="N13" s="174">
        <f>VLOOKUP($A$13,Top!A2:S1000, 14, 0)</f>
        <v/>
      </c>
      <c r="O13" s="174">
        <f>VLOOKUP($A$13,Top!A2:S1000, 15, 0)</f>
        <v/>
      </c>
      <c r="P13" s="174">
        <f>VLOOKUP($A$13,Top!A2:S1000, 16, 0)</f>
        <v/>
      </c>
      <c r="Q13" s="175">
        <f>VLOOKUP($A$13,Top!A2:S1000, 17, 0)</f>
        <v/>
      </c>
      <c r="R13" s="174">
        <f>VLOOKUP($A$13,Top!A2:S1000, 18, 0)</f>
        <v/>
      </c>
      <c r="S13" s="176">
        <f>VLOOKUP($A$13,Top!A2:S1000, 19, 0)</f>
        <v/>
      </c>
      <c r="T13" s="177">
        <f>Q13*0.02</f>
        <v/>
      </c>
      <c r="U13" s="26" t="n"/>
      <c r="V13" s="26" t="n"/>
      <c r="W13" s="22">
        <f>((S14-W12)/S14)*100</f>
        <v/>
      </c>
    </row>
    <row r="14" ht="23.25" customHeight="1" s="220">
      <c r="A14" s="30" t="n"/>
      <c r="L14" s="178">
        <f>IFERROR(L13/E13,0)</f>
        <v/>
      </c>
      <c r="M14" s="178">
        <f>IFERROR(M13/F13,0)</f>
        <v/>
      </c>
      <c r="N14" s="178">
        <f>IFERROR(N13/G13,0)</f>
        <v/>
      </c>
      <c r="O14" s="178">
        <f>IFERROR(O13/H13,0)</f>
        <v/>
      </c>
      <c r="P14" s="178">
        <f>IFERROR(P13/(K13+J13+I13),0)</f>
        <v/>
      </c>
      <c r="Q14" s="178">
        <f>IFERROR(Q13/D13,0)</f>
        <v/>
      </c>
      <c r="R14" s="179">
        <f>R13-(R13*(R1/100))</f>
        <v/>
      </c>
      <c r="S14" s="180">
        <f>R14+Q13+P13+T13</f>
        <v/>
      </c>
      <c r="T14" s="26">
        <f>IF(W13&gt;30,"G",IF(AND(W13&gt;25,W13&lt;30),"A",IF(AND(W13&gt;20,W13&lt;25),"B","C")))</f>
        <v/>
      </c>
    </row>
    <row r="15" ht="18" customHeight="1" s="220">
      <c r="R15" s="174">
        <f>R13-R14</f>
        <v/>
      </c>
    </row>
    <row r="16" ht="18.75" customHeight="1" s="220">
      <c r="A16" s="182" t="inlineStr">
        <is>
          <t>Pendent Lookup</t>
        </is>
      </c>
      <c r="F16" s="26" t="n"/>
      <c r="G16" s="26" t="n"/>
      <c r="H16" s="26" t="n"/>
      <c r="I16" s="26" t="n"/>
      <c r="J16" s="26" t="n"/>
      <c r="K16" s="26" t="n"/>
      <c r="V16" s="26" t="n"/>
      <c r="W16" s="22" t="n"/>
    </row>
    <row r="17" ht="15" customHeight="1" s="220"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S17" s="181" t="n"/>
      <c r="T17" s="181" t="n"/>
      <c r="U17" s="26" t="n"/>
      <c r="V17" s="26" t="n"/>
      <c r="W17" s="22" t="n"/>
    </row>
    <row r="18">
      <c r="A18" s="171" t="inlineStr">
        <is>
          <t>Sn</t>
        </is>
      </c>
      <c r="B18" s="171" t="inlineStr">
        <is>
          <t>Net Weight</t>
        </is>
      </c>
      <c r="C18" s="171" t="inlineStr">
        <is>
          <t>Wstg + MC</t>
        </is>
      </c>
      <c r="D18" s="171" t="inlineStr">
        <is>
          <t>Gross weight</t>
        </is>
      </c>
      <c r="E18" s="171" t="inlineStr">
        <is>
          <t>Dmd &lt;0.06</t>
        </is>
      </c>
      <c r="F18" s="171" t="inlineStr">
        <is>
          <t>Dmd &lt; 0.12</t>
        </is>
      </c>
      <c r="G18" s="171" t="inlineStr">
        <is>
          <t>Dmd &lt;0.17</t>
        </is>
      </c>
      <c r="H18" s="171" t="inlineStr">
        <is>
          <t>Dmd Big</t>
        </is>
      </c>
      <c r="I18" s="171" t="inlineStr">
        <is>
          <t>Ruby</t>
        </is>
      </c>
      <c r="J18" s="171" t="inlineStr">
        <is>
          <t>Emreld</t>
        </is>
      </c>
      <c r="K18" s="171" t="inlineStr">
        <is>
          <t>Muga</t>
        </is>
      </c>
      <c r="L18" s="171" t="inlineStr">
        <is>
          <t>Dmd Price</t>
        </is>
      </c>
      <c r="M18" s="171" t="inlineStr">
        <is>
          <t>Dmd Price</t>
        </is>
      </c>
      <c r="N18" s="171" t="inlineStr">
        <is>
          <t>Dmd Price</t>
        </is>
      </c>
      <c r="O18" s="171" t="inlineStr">
        <is>
          <t>Dmd Price</t>
        </is>
      </c>
      <c r="P18" s="171" t="inlineStr">
        <is>
          <t>Stn Price</t>
        </is>
      </c>
      <c r="Q18" s="172" t="inlineStr">
        <is>
          <t>Gold Price</t>
        </is>
      </c>
      <c r="R18" s="171" t="inlineStr">
        <is>
          <t>Ttl dmd Price</t>
        </is>
      </c>
      <c r="S18" s="173" t="inlineStr">
        <is>
          <t>Total Price</t>
        </is>
      </c>
      <c r="T18" s="173" t="inlineStr">
        <is>
          <t>Tax</t>
        </is>
      </c>
      <c r="U18" s="171" t="n"/>
      <c r="V18" s="169" t="n"/>
      <c r="W18" s="22">
        <f>(((D19*0.6)/11.664)*Prices!A4)+E19*38000+F19*51900+G19*60900+H19*140000+I19*1000+J19*3000+K19*300</f>
        <v/>
      </c>
    </row>
    <row r="19" ht="18.75" customHeight="1" s="220">
      <c r="A19" s="171" t="n">
        <v>1</v>
      </c>
      <c r="B19" s="26">
        <f>VLOOKUP($A$19,#REF!, 2, 0)</f>
        <v/>
      </c>
      <c r="C19" s="26">
        <f>VLOOKUP($A$19,#REF!, 3, 0)</f>
        <v/>
      </c>
      <c r="D19" s="26">
        <f>VLOOKUP($A$19,#REF!, 4, 0)</f>
        <v/>
      </c>
      <c r="E19" s="26">
        <f>VLOOKUP($A$19,#REF!, 5, 0)</f>
        <v/>
      </c>
      <c r="F19" s="26">
        <f>VLOOKUP($A$19,#REF!, 6, 0)</f>
        <v/>
      </c>
      <c r="G19" s="26">
        <f>VLOOKUP($A$19,#REF!, 7, 0)</f>
        <v/>
      </c>
      <c r="H19" s="26">
        <f>VLOOKUP($A$19,#REF!, 8, 0)</f>
        <v/>
      </c>
      <c r="I19" s="26">
        <f>VLOOKUP($A$19,#REF!, 9, 0)</f>
        <v/>
      </c>
      <c r="J19" s="26">
        <f>VLOOKUP($A$19,#REF!, 10, 0)</f>
        <v/>
      </c>
      <c r="K19" s="26">
        <f>VLOOKUP($A$19,#REF!, 11, 0)</f>
        <v/>
      </c>
      <c r="L19" s="174">
        <f>VLOOKUP($A$19,#REF!, 12, 0)</f>
        <v/>
      </c>
      <c r="M19" s="174">
        <f>VLOOKUP($A$19,#REF!, 13, 0)</f>
        <v/>
      </c>
      <c r="N19" s="174">
        <f>VLOOKUP($A$19,#REF!, 14, 0)</f>
        <v/>
      </c>
      <c r="O19" s="174">
        <f>VLOOKUP($A$19,#REF!, 15, 0)</f>
        <v/>
      </c>
      <c r="P19" s="174">
        <f>VLOOKUP($A$19,#REF!, 16, 0)</f>
        <v/>
      </c>
      <c r="Q19" s="175">
        <f>VLOOKUP($A$19,#REF!, 17, 0)</f>
        <v/>
      </c>
      <c r="R19" s="174">
        <f>VLOOKUP($A$19,#REF!, 18, 0)</f>
        <v/>
      </c>
      <c r="S19" s="176">
        <f>VLOOKUP($A$19,#REF!, 19, 0)</f>
        <v/>
      </c>
      <c r="T19" s="177">
        <f>Q19*0.02</f>
        <v/>
      </c>
      <c r="U19" s="26" t="n"/>
      <c r="W19" s="22">
        <f>((S20-W18)/S20)*100</f>
        <v/>
      </c>
    </row>
    <row r="20" ht="22.5" customHeight="1" s="2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178">
        <f>IFERROR(L19/E19,0)</f>
        <v/>
      </c>
      <c r="M20" s="178">
        <f>IFERROR(M19/F19,0)</f>
        <v/>
      </c>
      <c r="N20" s="178">
        <f>IFERROR(N19/G19,0)</f>
        <v/>
      </c>
      <c r="O20" s="178">
        <f>IFERROR(O19/H19,0)</f>
        <v/>
      </c>
      <c r="P20" s="178">
        <f>IFERROR(P19/(K19+J19+I19),0)</f>
        <v/>
      </c>
      <c r="Q20" s="178">
        <f>IFERROR(Q19/D19,0)</f>
        <v/>
      </c>
      <c r="R20" s="179">
        <f>R19-(R19*(R1/100))</f>
        <v/>
      </c>
      <c r="S20" s="180">
        <f>R20+Q19+P19+T19</f>
        <v/>
      </c>
      <c r="T20" s="26">
        <f>IF(W19&gt;30,"G",IF(AND(W19&gt;25,W19&lt;30),"A",IF(AND(W19&gt;20,W19&lt;25),"B","C")))</f>
        <v/>
      </c>
      <c r="V20" s="26" t="n"/>
      <c r="W20" s="22" t="n"/>
    </row>
    <row r="21" ht="15" customHeight="1" s="220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174">
        <f>R19-R20</f>
        <v/>
      </c>
      <c r="S21" s="181" t="n"/>
      <c r="T21" s="181" t="n"/>
      <c r="U21" s="26" t="n"/>
      <c r="V21" s="26" t="n"/>
      <c r="W21" s="22" t="n"/>
    </row>
    <row r="22" ht="36" customHeight="1" s="220">
      <c r="A22" s="182" t="inlineStr">
        <is>
          <t>Locket Lookup</t>
        </is>
      </c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181" t="n"/>
      <c r="T22" s="181" t="n"/>
      <c r="U22" s="26" t="n"/>
      <c r="V22" s="26" t="n"/>
      <c r="W22" s="22" t="n"/>
    </row>
    <row r="23">
      <c r="A23" s="171" t="inlineStr">
        <is>
          <t>Sn</t>
        </is>
      </c>
      <c r="B23" s="183" t="inlineStr">
        <is>
          <t>Net Weight</t>
        </is>
      </c>
      <c r="C23" s="183" t="inlineStr">
        <is>
          <t>Wstg + MC</t>
        </is>
      </c>
      <c r="D23" s="183" t="inlineStr">
        <is>
          <t>Gross Weight</t>
        </is>
      </c>
      <c r="E23" s="183" t="inlineStr">
        <is>
          <t>Dmd &lt;0.06</t>
        </is>
      </c>
      <c r="F23" s="183" t="inlineStr">
        <is>
          <t>Dmd &lt; 0.12</t>
        </is>
      </c>
      <c r="G23" s="183" t="inlineStr">
        <is>
          <t>Dmd &lt;0.17</t>
        </is>
      </c>
      <c r="H23" s="183" t="inlineStr">
        <is>
          <t>Dmd Big</t>
        </is>
      </c>
      <c r="I23" s="171" t="inlineStr">
        <is>
          <t>Ruby</t>
        </is>
      </c>
      <c r="J23" s="171" t="inlineStr">
        <is>
          <t>Emreld</t>
        </is>
      </c>
      <c r="K23" s="171" t="inlineStr">
        <is>
          <t>Muga</t>
        </is>
      </c>
      <c r="L23" s="183" t="inlineStr">
        <is>
          <t>Dmd Price</t>
        </is>
      </c>
      <c r="M23" s="183" t="inlineStr">
        <is>
          <t>Dmd Price</t>
        </is>
      </c>
      <c r="N23" s="183" t="inlineStr">
        <is>
          <t>Dmd Price</t>
        </is>
      </c>
      <c r="O23" s="183" t="inlineStr">
        <is>
          <t>Dmd Price</t>
        </is>
      </c>
      <c r="P23" s="183" t="inlineStr">
        <is>
          <t>Stn Price</t>
        </is>
      </c>
      <c r="Q23" s="184" t="inlineStr">
        <is>
          <t>Gold Price</t>
        </is>
      </c>
      <c r="R23" s="183" t="inlineStr">
        <is>
          <t>Ttl dmd Price</t>
        </is>
      </c>
      <c r="S23" s="185" t="inlineStr">
        <is>
          <t>Total Price</t>
        </is>
      </c>
      <c r="T23" s="173" t="inlineStr">
        <is>
          <t>Tax</t>
        </is>
      </c>
      <c r="U23" s="171" t="n"/>
      <c r="V23" s="26" t="n"/>
      <c r="W23" s="22">
        <f>(((D24*0.6)/11.664)*Prices!A4)+E24*38000+F24*51900+G24*60900+H24*140000+I24*1000+J24*3000+K24*300</f>
        <v/>
      </c>
    </row>
    <row r="24">
      <c r="A24" s="171" t="n">
        <v>33</v>
      </c>
      <c r="B24" s="26">
        <f>VLOOKUP($A$24,Locket!A2:S999, 2, 0)</f>
        <v/>
      </c>
      <c r="C24" s="26">
        <f>VLOOKUP($A$24,Locket!A2:S999, 3, 0)</f>
        <v/>
      </c>
      <c r="D24" s="26">
        <f>VLOOKUP($A$24,Locket!A2:S999, 4, 0)</f>
        <v/>
      </c>
      <c r="E24" s="26">
        <f>VLOOKUP($A$24,Locket!A2:S999, 5, 0)</f>
        <v/>
      </c>
      <c r="F24" s="26">
        <f>VLOOKUP($A$24,Locket!A2:S999, 6, 0)</f>
        <v/>
      </c>
      <c r="G24" s="26">
        <f>VLOOKUP($A$24,Locket!A2:S999, 7, 0)</f>
        <v/>
      </c>
      <c r="H24" s="26">
        <f>VLOOKUP($A$24,Locket!A2:S999, 8, 0)</f>
        <v/>
      </c>
      <c r="I24" s="26">
        <f>VLOOKUP($A$24,Locket!A2:S999, 9, 0)</f>
        <v/>
      </c>
      <c r="J24" s="26">
        <f>VLOOKUP($A$24,Locket!A2:S999, 10, 0)</f>
        <v/>
      </c>
      <c r="K24" s="26">
        <f>VLOOKUP($A$24,Locket!A2:S999, 11, 0)</f>
        <v/>
      </c>
      <c r="L24" s="174">
        <f>VLOOKUP($A$24,Locket!A2:S999, 12, 0)</f>
        <v/>
      </c>
      <c r="M24" s="174">
        <f>VLOOKUP($A$24,Locket!A2:S999, 13, 0)</f>
        <v/>
      </c>
      <c r="N24" s="174">
        <f>VLOOKUP($A$24,Locket!A2:S999, 14, 0)</f>
        <v/>
      </c>
      <c r="O24" s="174">
        <f>VLOOKUP($A$24,Locket!A2:S999, 15, 0)</f>
        <v/>
      </c>
      <c r="P24" s="174">
        <f>VLOOKUP($A$24,Locket!A2:S999, 16, 0)</f>
        <v/>
      </c>
      <c r="Q24" s="175">
        <f>VLOOKUP($A$24,Locket!A2:S999, 17, 0)</f>
        <v/>
      </c>
      <c r="R24" s="174">
        <f>VLOOKUP($A$24,Locket!A2:S999, 18, 0)</f>
        <v/>
      </c>
      <c r="S24" s="186">
        <f>VLOOKUP($A$24,Locket!A2:S999, 19, 0)</f>
        <v/>
      </c>
      <c r="T24" s="177">
        <f>Q24*0.02</f>
        <v/>
      </c>
      <c r="U24" s="26" t="n"/>
      <c r="W24" s="22">
        <f>((S25-W23)/S25)*100</f>
        <v/>
      </c>
    </row>
    <row r="25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178">
        <f>IFERROR(L24/E24,0)</f>
        <v/>
      </c>
      <c r="M25" s="178">
        <f>IFERROR(M24/F24,0)</f>
        <v/>
      </c>
      <c r="N25" s="178">
        <f>IFERROR(N24/G24,0)</f>
        <v/>
      </c>
      <c r="O25" s="178">
        <f>IFERROR(O24/H24,0)</f>
        <v/>
      </c>
      <c r="P25" s="178">
        <f>IFERROR(P24/(K24+J24+I24),0)</f>
        <v/>
      </c>
      <c r="Q25" s="178">
        <f>IFERROR(Q24/D24,0)</f>
        <v/>
      </c>
      <c r="R25" s="179">
        <f>R24-(R24*(R1/100))</f>
        <v/>
      </c>
      <c r="S25" s="180">
        <f>R25+Q24+P24+T24</f>
        <v/>
      </c>
      <c r="T25" s="26">
        <f>IF(W24&gt;30,"G",IF(AND(W24&gt;25,W24&lt;30),"A",IF(AND(W24&gt;20,W24&lt;25),"B","C")))</f>
        <v/>
      </c>
      <c r="V25" s="26" t="n"/>
      <c r="W25" s="22" t="n"/>
    </row>
    <row r="26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174">
        <f>R24-R25</f>
        <v/>
      </c>
      <c r="S26" s="181" t="n"/>
      <c r="T26" s="181" t="n"/>
      <c r="U26" s="26" t="n"/>
      <c r="V26" s="26" t="n"/>
      <c r="W26" s="22" t="n"/>
    </row>
    <row r="27">
      <c r="A27" s="182" t="inlineStr">
        <is>
          <t>Jagganath Lookup</t>
        </is>
      </c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181" t="n"/>
      <c r="T27" s="181" t="n"/>
      <c r="U27" s="26" t="n"/>
      <c r="V27" s="26" t="n"/>
      <c r="W27" s="22" t="n"/>
    </row>
    <row r="28">
      <c r="A28" s="171" t="inlineStr">
        <is>
          <t>Sn</t>
        </is>
      </c>
      <c r="B28" s="171" t="inlineStr">
        <is>
          <t>Net Weight</t>
        </is>
      </c>
      <c r="C28" s="171" t="inlineStr">
        <is>
          <t>Wstg + MC</t>
        </is>
      </c>
      <c r="D28" s="171" t="inlineStr">
        <is>
          <t>Gross weight</t>
        </is>
      </c>
      <c r="E28" s="171" t="inlineStr">
        <is>
          <t>Dmd &lt;0.06</t>
        </is>
      </c>
      <c r="F28" s="171" t="inlineStr">
        <is>
          <t>Dmd &lt; 0.12</t>
        </is>
      </c>
      <c r="G28" s="171" t="inlineStr">
        <is>
          <t>Dmd &lt;0.17</t>
        </is>
      </c>
      <c r="H28" s="171" t="inlineStr">
        <is>
          <t>Dmd Big</t>
        </is>
      </c>
      <c r="I28" s="171" t="inlineStr">
        <is>
          <t>Ruby</t>
        </is>
      </c>
      <c r="J28" s="171" t="inlineStr">
        <is>
          <t>Emreld</t>
        </is>
      </c>
      <c r="K28" s="171" t="inlineStr">
        <is>
          <t>Muga</t>
        </is>
      </c>
      <c r="L28" s="172" t="inlineStr">
        <is>
          <t>Dmd Price</t>
        </is>
      </c>
      <c r="M28" s="171" t="inlineStr">
        <is>
          <t>Dmd Price</t>
        </is>
      </c>
      <c r="N28" s="171" t="inlineStr">
        <is>
          <t>Dmd Price</t>
        </is>
      </c>
      <c r="O28" s="171" t="inlineStr">
        <is>
          <t>Dmd Price</t>
        </is>
      </c>
      <c r="P28" s="171" t="inlineStr">
        <is>
          <t>Stn Price</t>
        </is>
      </c>
      <c r="Q28" s="171" t="inlineStr">
        <is>
          <t>Gold Price</t>
        </is>
      </c>
      <c r="R28" s="171" t="inlineStr">
        <is>
          <t>Ttl dmd Price</t>
        </is>
      </c>
      <c r="S28" s="173" t="inlineStr">
        <is>
          <t>Total Price</t>
        </is>
      </c>
      <c r="T28" s="173" t="inlineStr">
        <is>
          <t>Tax</t>
        </is>
      </c>
      <c r="U28" s="171" t="n"/>
      <c r="V28" s="170" t="n"/>
      <c r="W28" s="22">
        <f>(((D29*0.6)/11.664)*Prices!A4)+E29*38000+F29*51900+G29*60900+H29*140000+I29*1000+J29*3000+K29*300</f>
        <v/>
      </c>
    </row>
    <row r="29">
      <c r="A29" s="171" t="n">
        <v>21</v>
      </c>
      <c r="B29" s="26">
        <f>VLOOKUP($A$29,Jagganath!A2:S996, 2, 0)</f>
        <v/>
      </c>
      <c r="C29" s="26">
        <f>VLOOKUP($A$29,Jagganath!A2:S996, 3, 0)</f>
        <v/>
      </c>
      <c r="D29" s="26">
        <f>VLOOKUP($A$29,Jagganath!A2:S996, 4, 0)</f>
        <v/>
      </c>
      <c r="E29" s="26">
        <f>VLOOKUP($A$29,Jagganath!A2:S996, 5, 0)</f>
        <v/>
      </c>
      <c r="F29" s="26">
        <f>VLOOKUP($A$29,Jagganath!A2:S996, 6, 0)</f>
        <v/>
      </c>
      <c r="G29" s="26">
        <f>VLOOKUP($A$29,Jagganath!A2:S996, 7, 0)</f>
        <v/>
      </c>
      <c r="H29" s="26">
        <f>VLOOKUP($A$29,Jagganath!A2:S996, 8, 0)</f>
        <v/>
      </c>
      <c r="I29" s="26">
        <f>VLOOKUP($A$29,Jagganath!A2:S996, 9, 0)</f>
        <v/>
      </c>
      <c r="J29" s="26">
        <f>VLOOKUP($A$29,Jagganath!A2:S996, 10, 0)</f>
        <v/>
      </c>
      <c r="K29" s="26">
        <f>VLOOKUP($A$29,Jagganath!A2:S996, 11, 0)</f>
        <v/>
      </c>
      <c r="L29" s="174">
        <f>VLOOKUP($A$29,Jagganath!A2:S996, 12, 0)</f>
        <v/>
      </c>
      <c r="M29" s="241">
        <f>VLOOKUP($A$29,Jagganath!A2:S996, 13, 0)</f>
        <v/>
      </c>
      <c r="N29" s="241">
        <f>VLOOKUP($A$29,Jagganath!A2:S996, 14, 0)</f>
        <v/>
      </c>
      <c r="O29" s="241">
        <f>VLOOKUP($A$29,Jagganath!A2:S996, 15, 0)</f>
        <v/>
      </c>
      <c r="P29" s="241">
        <f>VLOOKUP($A$29,Jagganath!A2:S996, 16, 0)</f>
        <v/>
      </c>
      <c r="Q29" s="175">
        <f>VLOOKUP($A$29,Jagganath!A2:S996, 17, 0)</f>
        <v/>
      </c>
      <c r="R29" s="174">
        <f>VLOOKUP($A$29,Jagganath!A2:S996, 18, 0)</f>
        <v/>
      </c>
      <c r="S29" s="176">
        <f>VLOOKUP($A$29,Jagganath!A2:S996, 19, 0)</f>
        <v/>
      </c>
      <c r="T29" s="177">
        <f>Q29*0.02</f>
        <v/>
      </c>
      <c r="U29" s="26" t="n"/>
      <c r="W29" s="22">
        <f>((S30-W28)/S30)*100</f>
        <v/>
      </c>
    </row>
    <row r="30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178">
        <f>IFERROR(L29/E29,0)</f>
        <v/>
      </c>
      <c r="M30" s="178">
        <f>IFERROR(M29/F29,0)</f>
        <v/>
      </c>
      <c r="N30" s="178">
        <f>IFERROR(N29/G29,0)</f>
        <v/>
      </c>
      <c r="O30" s="178">
        <f>IFERROR(O29/H29,0)</f>
        <v/>
      </c>
      <c r="P30" s="178">
        <f>IFERROR(P29/(K29+J29+I29),0)</f>
        <v/>
      </c>
      <c r="Q30" s="178">
        <f>IFERROR(Q29/D29,0)</f>
        <v/>
      </c>
      <c r="R30" s="179">
        <f>R29-(R29*(R1/100))</f>
        <v/>
      </c>
      <c r="S30" s="180">
        <f>R30+Q29+P29+T29</f>
        <v/>
      </c>
      <c r="T30" s="26">
        <f>IF(W29&gt;30,"G",IF(AND(W29&gt;25,W29&lt;30),"A",IF(AND(W29&gt;20,W29&lt;25),"B","C")))</f>
        <v/>
      </c>
      <c r="V30" s="26" t="n"/>
      <c r="W30" s="22" t="n"/>
    </row>
    <row r="3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174">
        <f>R29-R30</f>
        <v/>
      </c>
      <c r="S31" s="181" t="n"/>
      <c r="T31" s="181" t="n"/>
      <c r="U31" s="26" t="n"/>
      <c r="V31" s="26" t="n"/>
      <c r="W31" s="22" t="n"/>
    </row>
    <row r="32">
      <c r="A32" s="182" t="inlineStr">
        <is>
          <t>Jagganath Lookup</t>
        </is>
      </c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181" t="n"/>
      <c r="T32" s="181" t="n"/>
      <c r="U32" s="26" t="n"/>
      <c r="V32" s="26" t="n"/>
      <c r="W32" s="22" t="n"/>
    </row>
    <row r="33">
      <c r="A33" s="171" t="inlineStr">
        <is>
          <t>Sn</t>
        </is>
      </c>
      <c r="B33" s="171" t="inlineStr">
        <is>
          <t>Net Weight</t>
        </is>
      </c>
      <c r="C33" s="171" t="inlineStr">
        <is>
          <t>Wstg + MC</t>
        </is>
      </c>
      <c r="D33" s="171" t="inlineStr">
        <is>
          <t>Gross weight</t>
        </is>
      </c>
      <c r="E33" s="171" t="inlineStr">
        <is>
          <t>Dmd &lt;0.06</t>
        </is>
      </c>
      <c r="F33" s="171" t="inlineStr">
        <is>
          <t>Dmd &lt; 0.12</t>
        </is>
      </c>
      <c r="G33" s="171" t="inlineStr">
        <is>
          <t>Dmd &lt;0.17</t>
        </is>
      </c>
      <c r="H33" s="171" t="inlineStr">
        <is>
          <t>Dmd Big</t>
        </is>
      </c>
      <c r="I33" s="171" t="inlineStr">
        <is>
          <t>Ruby</t>
        </is>
      </c>
      <c r="J33" s="171" t="inlineStr">
        <is>
          <t>Emreld</t>
        </is>
      </c>
      <c r="K33" s="171" t="inlineStr">
        <is>
          <t>Muga</t>
        </is>
      </c>
      <c r="L33" s="172" t="inlineStr">
        <is>
          <t>Dmd Price</t>
        </is>
      </c>
      <c r="M33" s="171" t="inlineStr">
        <is>
          <t>Dmd Price</t>
        </is>
      </c>
      <c r="N33" s="171" t="inlineStr">
        <is>
          <t>Dmd Price</t>
        </is>
      </c>
      <c r="O33" s="171" t="inlineStr">
        <is>
          <t>Dmd Price</t>
        </is>
      </c>
      <c r="P33" s="171" t="inlineStr">
        <is>
          <t>Stn Price</t>
        </is>
      </c>
      <c r="Q33" s="171" t="inlineStr">
        <is>
          <t>Gold Price</t>
        </is>
      </c>
      <c r="R33" s="171" t="inlineStr">
        <is>
          <t>Ttl dmd Price</t>
        </is>
      </c>
      <c r="S33" s="173" t="inlineStr">
        <is>
          <t>Total Price</t>
        </is>
      </c>
      <c r="T33" s="173" t="inlineStr">
        <is>
          <t>Tax</t>
        </is>
      </c>
      <c r="U33" s="171" t="n"/>
      <c r="V33" s="26" t="n"/>
      <c r="W33" s="22">
        <f>(((D34*0.6)/11.664)*Prices!A4)+E34*38000+F34*51900+G34*60900+H34*140000+I34*1000+J34*3000+K34*300</f>
        <v/>
      </c>
    </row>
    <row r="34">
      <c r="A34" s="171" t="n">
        <v>85720</v>
      </c>
      <c r="B34" s="26">
        <f>VLOOKUP($A$34,Prithivi!A2:S995, 2, 0)</f>
        <v/>
      </c>
      <c r="C34" s="26">
        <f>VLOOKUP($A$34,Prithivi!A2:S995, 3, 0)</f>
        <v/>
      </c>
      <c r="D34" s="26">
        <f>VLOOKUP($A$34,Prithivi!A2:S995, 4, 0)</f>
        <v/>
      </c>
      <c r="E34" s="26">
        <f>VLOOKUP($A$34,Prithivi!A2:S995, 5, 0)</f>
        <v/>
      </c>
      <c r="F34" s="26">
        <f>VLOOKUP($A$34,Prithivi!A2:S995, 6, 0)</f>
        <v/>
      </c>
      <c r="G34" s="26">
        <f>VLOOKUP($A$34,Prithivi!A2:S995, 7, 0)</f>
        <v/>
      </c>
      <c r="H34" s="26">
        <f>VLOOKUP($A$34,Prithivi!A2:S995, 8, 0)</f>
        <v/>
      </c>
      <c r="I34" s="26">
        <f>VLOOKUP($A$34,Prithivi!A2:S995, 9, 0)</f>
        <v/>
      </c>
      <c r="J34" s="26">
        <f>VLOOKUP($A$34,Prithivi!A2:S995, 10, 0)</f>
        <v/>
      </c>
      <c r="K34" s="26">
        <f>VLOOKUP($A$34,Prithivi!A2:S995, 11, 0)</f>
        <v/>
      </c>
      <c r="L34" s="174">
        <f>VLOOKUP($A$34,Prithivi!A2:S995, 12, 0)</f>
        <v/>
      </c>
      <c r="M34" s="241">
        <f>VLOOKUP($A$34,Prithivi!A2:S995, 13, 0)</f>
        <v/>
      </c>
      <c r="N34" s="241">
        <f>VLOOKUP($A$34,Prithivi!A2:S995, 14, 0)</f>
        <v/>
      </c>
      <c r="O34" s="241">
        <f>VLOOKUP($A$34,Prithivi!A2:S995, 15, 0)</f>
        <v/>
      </c>
      <c r="P34" s="241">
        <f>VLOOKUP($A$34,Prithivi!A2:S995, 16, 0)</f>
        <v/>
      </c>
      <c r="Q34" s="175">
        <f>VLOOKUP($A$34,Prithivi!A2:S995, 17, 0)</f>
        <v/>
      </c>
      <c r="R34" s="174">
        <f>VLOOKUP($A$34,Prithivi!A2:S995, 18, 0)</f>
        <v/>
      </c>
      <c r="S34" s="176">
        <f>VLOOKUP($A$34,Prithivi!A2:S995, 19, 0)</f>
        <v/>
      </c>
      <c r="T34" s="177">
        <f>Q34*0.02</f>
        <v/>
      </c>
      <c r="U34" s="26" t="n"/>
      <c r="W34" s="22">
        <f>((S35-W33)/S35)*100</f>
        <v/>
      </c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178">
        <f>IFERROR(L34/E34,0)</f>
        <v/>
      </c>
      <c r="M35" s="178">
        <f>IFERROR(M34/F34,0)</f>
        <v/>
      </c>
      <c r="N35" s="178">
        <f>IFERROR(N34/G34,0)</f>
        <v/>
      </c>
      <c r="O35" s="178">
        <f>IFERROR(O34/H34,0)</f>
        <v/>
      </c>
      <c r="P35" s="178">
        <f>IFERROR(P34/(K34+J34+I34),0)</f>
        <v/>
      </c>
      <c r="Q35" s="178">
        <f>IFERROR(Q34/D34,0)</f>
        <v/>
      </c>
      <c r="R35" s="179">
        <f>R34-(R34*(R1/100))</f>
        <v/>
      </c>
      <c r="S35" s="180">
        <f>R35+Q34+P34+T34</f>
        <v/>
      </c>
      <c r="T35" s="26">
        <f>IF(W34&gt;30,"G",IF(AND(W34&gt;25,W34&lt;30),"A",IF(AND(W34&gt;20,W34&lt;25),"B","C")))</f>
        <v/>
      </c>
      <c r="V35" s="26" t="n"/>
      <c r="W35" s="22" t="n"/>
    </row>
    <row r="36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174">
        <f>R34-R35</f>
        <v/>
      </c>
      <c r="S36" s="181" t="n"/>
      <c r="T36" s="181" t="n"/>
      <c r="U36" s="26" t="n"/>
      <c r="V36" s="26" t="n"/>
      <c r="W36" s="22" t="n"/>
    </row>
    <row r="37">
      <c r="A37" s="182" t="inlineStr">
        <is>
          <t>Necklace Lookup</t>
        </is>
      </c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181" t="n"/>
      <c r="T37" s="181" t="n"/>
      <c r="U37" s="26" t="n"/>
      <c r="V37" s="26" t="n"/>
      <c r="W37" s="22" t="n"/>
    </row>
    <row r="38">
      <c r="A38" s="171" t="inlineStr">
        <is>
          <t>Sn</t>
        </is>
      </c>
      <c r="B38" s="171" t="inlineStr">
        <is>
          <t>Net Weight</t>
        </is>
      </c>
      <c r="C38" s="171" t="inlineStr">
        <is>
          <t>Wstg + MC</t>
        </is>
      </c>
      <c r="D38" s="171" t="inlineStr">
        <is>
          <t>Gross weight</t>
        </is>
      </c>
      <c r="E38" s="171" t="inlineStr">
        <is>
          <t>Dmd &lt;0.06</t>
        </is>
      </c>
      <c r="F38" s="171" t="inlineStr">
        <is>
          <t>Dmd &lt; 0.12</t>
        </is>
      </c>
      <c r="G38" s="171" t="inlineStr">
        <is>
          <t>Dmd &lt;0.17</t>
        </is>
      </c>
      <c r="H38" s="171" t="inlineStr">
        <is>
          <t>Dmd Big</t>
        </is>
      </c>
      <c r="I38" s="171" t="inlineStr">
        <is>
          <t>Ruby</t>
        </is>
      </c>
      <c r="J38" s="171" t="inlineStr">
        <is>
          <t>Emreld</t>
        </is>
      </c>
      <c r="K38" s="171" t="inlineStr">
        <is>
          <t>Muga</t>
        </is>
      </c>
      <c r="L38" s="171" t="inlineStr">
        <is>
          <t>Dmd Price</t>
        </is>
      </c>
      <c r="M38" s="171" t="inlineStr">
        <is>
          <t>Dmd Price</t>
        </is>
      </c>
      <c r="N38" s="171" t="inlineStr">
        <is>
          <t>Dmd Price</t>
        </is>
      </c>
      <c r="O38" s="171" t="inlineStr">
        <is>
          <t>Dmd Price</t>
        </is>
      </c>
      <c r="P38" s="171" t="inlineStr">
        <is>
          <t>Stn Price</t>
        </is>
      </c>
      <c r="Q38" s="172" t="inlineStr">
        <is>
          <t>Gold Price</t>
        </is>
      </c>
      <c r="R38" s="171" t="inlineStr">
        <is>
          <t>Ttl dmd Price</t>
        </is>
      </c>
      <c r="S38" s="173" t="inlineStr">
        <is>
          <t>Total Price</t>
        </is>
      </c>
      <c r="T38" s="173" t="inlineStr">
        <is>
          <t>Tax</t>
        </is>
      </c>
      <c r="U38" s="171" t="n"/>
      <c r="V38" s="26" t="n"/>
      <c r="W38" s="22">
        <f>(((D39*0.6)/11.664)*Prices!A4)+E39*38000+F39*51900+G39*60900+H39*140000+I39*1000+J39*3000+K39*300</f>
        <v/>
      </c>
    </row>
    <row r="39">
      <c r="A39" s="171" t="n">
        <v>1</v>
      </c>
      <c r="B39" s="26">
        <f>VLOOKUP($A$39,Necklace!A1:T999, 2, 0)</f>
        <v/>
      </c>
      <c r="C39" s="26">
        <f>VLOOKUP($A$39,Necklace!A1:T999, 3, 0)</f>
        <v/>
      </c>
      <c r="D39" s="26">
        <f>VLOOKUP($A$39,Necklace!A1:T999, 4, 0)</f>
        <v/>
      </c>
      <c r="E39" s="26">
        <f>VLOOKUP($A$39,Necklace!A1:T999, 5, 0)</f>
        <v/>
      </c>
      <c r="F39" s="26">
        <f>VLOOKUP($A$39,Necklace!A1:T999, 6, 0)</f>
        <v/>
      </c>
      <c r="G39" s="26">
        <f>VLOOKUP($A$39,Necklace!A1:T999, 7, 0)</f>
        <v/>
      </c>
      <c r="H39" s="26">
        <f>VLOOKUP($A$39,Necklace!A1:T999, 8, 0)</f>
        <v/>
      </c>
      <c r="I39" s="26">
        <f>VLOOKUP($A$39,Necklace!A1:T999, 9, 0)</f>
        <v/>
      </c>
      <c r="J39" s="26">
        <f>VLOOKUP($A$39,Necklace!A1:T999, 10, 0)</f>
        <v/>
      </c>
      <c r="K39" s="26">
        <f>VLOOKUP($A$39,Necklace!A1:T999, 11, 0)</f>
        <v/>
      </c>
      <c r="L39" s="174">
        <f>VLOOKUP($A$39,Necklace!A1:T999, 12, 0)</f>
        <v/>
      </c>
      <c r="M39" s="174">
        <f>VLOOKUP($A$39,Necklace!A1:T999, 13, 0)</f>
        <v/>
      </c>
      <c r="N39" s="174">
        <f>VLOOKUP($A$39,Necklace!A1:T999, 14, 0)</f>
        <v/>
      </c>
      <c r="O39" s="174">
        <f>VLOOKUP($A$39,Necklace!A1:T999, 15, 0)</f>
        <v/>
      </c>
      <c r="P39" s="174">
        <f>VLOOKUP($A$39,Necklace!A1:T999, 16, 0)</f>
        <v/>
      </c>
      <c r="Q39" s="175">
        <f>VLOOKUP($A$39,Necklace!A1:T999, 17, 0)</f>
        <v/>
      </c>
      <c r="R39" s="174">
        <f>VLOOKUP($A$39,Necklace!A1:T999, 18, 0)</f>
        <v/>
      </c>
      <c r="S39" s="176">
        <f>VLOOKUP($A$39,Necklace!A1:T999, 19, 0)</f>
        <v/>
      </c>
      <c r="T39" s="177">
        <f>Q39*0.02</f>
        <v/>
      </c>
      <c r="U39" s="26" t="n"/>
      <c r="W39" s="22">
        <f>((S40-W38)/S40)*100</f>
        <v/>
      </c>
    </row>
    <row r="40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178">
        <f>IFERROR(L39/E39,0)</f>
        <v/>
      </c>
      <c r="M40" s="178">
        <f>IFERROR(M39/F39,0)</f>
        <v/>
      </c>
      <c r="N40" s="178">
        <f>IFERROR(N39/G39,0)</f>
        <v/>
      </c>
      <c r="O40" s="178">
        <f>IFERROR(O39/H39,0)</f>
        <v/>
      </c>
      <c r="P40" s="178">
        <f>IFERROR(P39/(K39+J39+I39),0)</f>
        <v/>
      </c>
      <c r="Q40" s="178">
        <f>IFERROR(Q39/D39,0)</f>
        <v/>
      </c>
      <c r="R40" s="179">
        <f>R39-(R39*(R1/100))</f>
        <v/>
      </c>
      <c r="S40" s="180">
        <f>R40+Q39+P39+T39</f>
        <v/>
      </c>
      <c r="T40" s="26">
        <f>IF(W34&gt;30,"G",IF(AND(W34&gt;25,W34&lt;30),"A",IF(AND(W34&gt;20,W34&lt;25),"B","C")))</f>
        <v/>
      </c>
      <c r="V40" s="26" t="n"/>
      <c r="W40" s="22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174">
        <f>R39-R40</f>
        <v/>
      </c>
      <c r="S41" s="181" t="n"/>
      <c r="T41" s="181" t="n"/>
      <c r="U41" s="26" t="n"/>
      <c r="V41" s="26" t="n"/>
      <c r="W41" s="22" t="n"/>
    </row>
    <row r="42">
      <c r="A42" s="182" t="inlineStr">
        <is>
          <t>Chura Lookup</t>
        </is>
      </c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181" t="n"/>
      <c r="T42" s="181" t="n"/>
      <c r="U42" s="26" t="n"/>
    </row>
    <row r="43">
      <c r="A43" s="169" t="inlineStr">
        <is>
          <t>Sn</t>
        </is>
      </c>
      <c r="B43" s="171" t="inlineStr">
        <is>
          <t>Net Weight</t>
        </is>
      </c>
      <c r="C43" s="171" t="inlineStr">
        <is>
          <t>Wstg + MC</t>
        </is>
      </c>
      <c r="D43" s="171" t="inlineStr">
        <is>
          <t>Gross weight</t>
        </is>
      </c>
      <c r="E43" s="171" t="inlineStr">
        <is>
          <t>Dmd &lt;0.06</t>
        </is>
      </c>
      <c r="F43" s="171" t="inlineStr">
        <is>
          <t>Dmd &lt; 0.12</t>
        </is>
      </c>
      <c r="G43" s="171" t="inlineStr">
        <is>
          <t>Dmd &lt;0.17</t>
        </is>
      </c>
      <c r="H43" s="171" t="inlineStr">
        <is>
          <t>Dmd Big</t>
        </is>
      </c>
      <c r="I43" s="171" t="inlineStr">
        <is>
          <t>Ruby</t>
        </is>
      </c>
      <c r="J43" s="171" t="inlineStr">
        <is>
          <t>Emreld</t>
        </is>
      </c>
      <c r="K43" s="171" t="inlineStr">
        <is>
          <t>Muga</t>
        </is>
      </c>
      <c r="L43" s="171" t="inlineStr">
        <is>
          <t>Dmd Price</t>
        </is>
      </c>
      <c r="M43" s="171" t="inlineStr">
        <is>
          <t>Dmd Price</t>
        </is>
      </c>
      <c r="N43" s="171" t="inlineStr">
        <is>
          <t>Dmd Price</t>
        </is>
      </c>
      <c r="O43" s="171" t="inlineStr">
        <is>
          <t>Dmd Price</t>
        </is>
      </c>
      <c r="P43" s="171" t="inlineStr">
        <is>
          <t>Stn Price</t>
        </is>
      </c>
      <c r="Q43" s="172" t="inlineStr">
        <is>
          <t>Gold Price</t>
        </is>
      </c>
      <c r="R43" s="171" t="inlineStr">
        <is>
          <t>Ttl dmd Price</t>
        </is>
      </c>
      <c r="S43" s="173" t="inlineStr">
        <is>
          <t>Total Price</t>
        </is>
      </c>
      <c r="T43" s="173" t="inlineStr">
        <is>
          <t>Tax</t>
        </is>
      </c>
      <c r="U43" s="171" t="n"/>
      <c r="W43" s="22">
        <f>(((D44*0.6)/11.664)*Prices!A4)+E44*38000+F44*51900+G44*60900+H44*140000+I44*1000+J44*3000+K44*300</f>
        <v/>
      </c>
    </row>
    <row r="44">
      <c r="A44" s="171" t="n">
        <v>268</v>
      </c>
      <c r="B44" s="26">
        <f>VLOOKUP($A$44,Chura!A1:T999, 2, 0)</f>
        <v/>
      </c>
      <c r="C44" s="26">
        <f>VLOOKUP($A$44,Chura!A1:T999, 3, 0)</f>
        <v/>
      </c>
      <c r="D44" s="26">
        <f>VLOOKUP($A$44,Chura!A1:T999, 4, 0)</f>
        <v/>
      </c>
      <c r="E44" s="26">
        <f>VLOOKUP($A$44,Chura!A1:T999, 5, 0)</f>
        <v/>
      </c>
      <c r="F44" s="26">
        <f>VLOOKUP($A$44,Chura!A1:T999, 6, 0)</f>
        <v/>
      </c>
      <c r="G44" s="26">
        <f>VLOOKUP($A$44,Chura!A1:T999, 7, 0)</f>
        <v/>
      </c>
      <c r="H44" s="26">
        <f>VLOOKUP($A$44,Chura!A1:T999, 8, 0)</f>
        <v/>
      </c>
      <c r="I44" s="26">
        <f>VLOOKUP($A$44,Chura!A1:T999, 9, 0)</f>
        <v/>
      </c>
      <c r="J44" s="26">
        <f>VLOOKUP($A$44,Chura!A1:T999, 10, 0)</f>
        <v/>
      </c>
      <c r="K44" s="26">
        <f>VLOOKUP($A$44,Chura!A1:T999, 11, 0)</f>
        <v/>
      </c>
      <c r="L44" s="174">
        <f>VLOOKUP($A$44,Chura!A1:T999, 12, 0)</f>
        <v/>
      </c>
      <c r="M44" s="174">
        <f>VLOOKUP($A$44,Chura!A1:T999, 13, 0)</f>
        <v/>
      </c>
      <c r="N44" s="174">
        <f>VLOOKUP($A$44,Chura!A1:T999, 14, 0)</f>
        <v/>
      </c>
      <c r="O44" s="174">
        <f>VLOOKUP($A$44,Chura!A1:T999, 15, 0)</f>
        <v/>
      </c>
      <c r="P44" s="174">
        <f>VLOOKUP($A$44,Chura!A1:T999, 16, 0)</f>
        <v/>
      </c>
      <c r="Q44" s="175">
        <f>VLOOKUP($A$44,Chura!A1:T999, 17, 0)</f>
        <v/>
      </c>
      <c r="R44" s="174">
        <f>VLOOKUP($A$44,Chura!A1:T999, 18, 0)</f>
        <v/>
      </c>
      <c r="S44" s="176">
        <f>VLOOKUP($A$44,Chura!A1:T999, 19, 0)</f>
        <v/>
      </c>
      <c r="T44" s="177">
        <f>Q44*0.02</f>
        <v/>
      </c>
      <c r="U44" s="26" t="n"/>
      <c r="W44" s="22">
        <f>((S45-W43)/S45)*100</f>
        <v/>
      </c>
    </row>
    <row r="45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178">
        <f>IFERROR(L44/E44,0)</f>
        <v/>
      </c>
      <c r="M45" s="178">
        <f>IFERROR(M44/F44,0)</f>
        <v/>
      </c>
      <c r="N45" s="178">
        <f>IFERROR(N44/G44,0)</f>
        <v/>
      </c>
      <c r="O45" s="178">
        <f>IFERROR(O44/H44,0)</f>
        <v/>
      </c>
      <c r="P45" s="178">
        <f>IFERROR(P44/(K44+J44+I44),0)</f>
        <v/>
      </c>
      <c r="Q45" s="178">
        <f>IFERROR(Q44/D44,0)</f>
        <v/>
      </c>
      <c r="R45" s="174">
        <f>R44-(R44*(R1/100))</f>
        <v/>
      </c>
      <c r="S45" s="180">
        <f>R45+Q44+P44+T44</f>
        <v/>
      </c>
      <c r="T45" s="26">
        <f>IF(W39&gt;30,"G",IF(AND(W39&gt;25,W39&lt;30),"A",IF(AND(W39&gt;20,W39&lt;25),"B","C")))</f>
        <v/>
      </c>
    </row>
    <row r="46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174">
        <f>R44-R45</f>
        <v/>
      </c>
      <c r="S46" s="181" t="n"/>
      <c r="T46" s="181" t="n"/>
      <c r="U46" s="26" t="n"/>
    </row>
  </sheetData>
  <mergeCells count="8">
    <mergeCell ref="A1:D1"/>
    <mergeCell ref="A37:D37"/>
    <mergeCell ref="A27:D27"/>
    <mergeCell ref="A6:D6"/>
    <mergeCell ref="A16:E17"/>
    <mergeCell ref="A42:D42"/>
    <mergeCell ref="A32:D32"/>
    <mergeCell ref="A22:E22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5.57" customWidth="1" style="220" min="1" max="1"/>
    <col width="14.71" customWidth="1" style="220" min="2" max="2"/>
    <col width="15.14" customWidth="1" style="220" min="3" max="3"/>
    <col width="17.71" customWidth="1" style="220" min="4" max="4"/>
    <col width="14.29" customWidth="1" style="220" min="5" max="5"/>
    <col width="15" customWidth="1" style="220" min="6" max="6"/>
    <col width="14.29" customWidth="1" style="220" min="7" max="7"/>
    <col width="11.57" customWidth="1" style="220" min="8" max="8"/>
    <col width="7.43" customWidth="1" style="220" min="9" max="9"/>
    <col width="9.859999999999999" customWidth="1" style="220" min="10" max="10"/>
    <col width="8.140000000000001" customWidth="1" style="220" min="11" max="11"/>
    <col width="13.86" customWidth="1" style="220" min="12" max="15"/>
    <col width="12" customWidth="1" style="220" min="16" max="16"/>
    <col width="14" customWidth="1" style="220" min="17" max="17"/>
    <col width="17.57" customWidth="1" style="220" min="18" max="18"/>
    <col width="14.57" customWidth="1" style="220" min="19" max="19"/>
    <col width="5.57" customWidth="1" style="220" min="20" max="20"/>
    <col width="11" customWidth="1" style="220" min="21" max="21"/>
    <col width="8.710000000000001" customWidth="1" style="220" min="22" max="26"/>
  </cols>
  <sheetData>
    <row r="1">
      <c r="A1" s="188" t="inlineStr">
        <is>
          <t>Sn</t>
        </is>
      </c>
      <c r="B1" s="51" t="inlineStr">
        <is>
          <t>Net Weight</t>
        </is>
      </c>
      <c r="C1" s="51" t="inlineStr">
        <is>
          <t>Wstg + MC</t>
        </is>
      </c>
      <c r="D1" s="51" t="inlineStr">
        <is>
          <t>Gross Weight</t>
        </is>
      </c>
      <c r="E1" s="51" t="inlineStr">
        <is>
          <t>Dmd &lt;0.06</t>
        </is>
      </c>
      <c r="F1" s="188" t="inlineStr">
        <is>
          <t>Dmd &lt; 0.12</t>
        </is>
      </c>
      <c r="G1" s="188" t="inlineStr">
        <is>
          <t>Dmd &lt;0.17</t>
        </is>
      </c>
      <c r="H1" s="188" t="inlineStr">
        <is>
          <t>Dmd Big</t>
        </is>
      </c>
      <c r="I1" s="188" t="inlineStr">
        <is>
          <t>Ruby</t>
        </is>
      </c>
      <c r="J1" s="188" t="inlineStr">
        <is>
          <t>Emreld</t>
        </is>
      </c>
      <c r="K1" s="188" t="inlineStr">
        <is>
          <t>Muga</t>
        </is>
      </c>
      <c r="L1" s="188" t="inlineStr">
        <is>
          <t>Dmd Price</t>
        </is>
      </c>
      <c r="M1" s="188" t="inlineStr">
        <is>
          <t>Dmd Price</t>
        </is>
      </c>
      <c r="N1" s="188" t="inlineStr">
        <is>
          <t>Dmd Price</t>
        </is>
      </c>
      <c r="O1" s="188" t="inlineStr">
        <is>
          <t>Dmd Price</t>
        </is>
      </c>
      <c r="P1" s="188" t="inlineStr">
        <is>
          <t>Stn Price</t>
        </is>
      </c>
      <c r="Q1" s="189" t="inlineStr">
        <is>
          <t>Gold Price</t>
        </is>
      </c>
      <c r="R1" s="188" t="inlineStr">
        <is>
          <t>Ttl dmd Price</t>
        </is>
      </c>
      <c r="S1" s="189" t="inlineStr">
        <is>
          <t>Total Price</t>
        </is>
      </c>
      <c r="T1" s="188" t="inlineStr">
        <is>
          <t>Sn</t>
        </is>
      </c>
      <c r="U1" s="51" t="n"/>
      <c r="V1" s="12" t="n"/>
      <c r="W1" s="12" t="n"/>
      <c r="X1" s="12" t="n"/>
      <c r="Y1" s="12" t="n"/>
      <c r="Z1" s="12" t="n"/>
    </row>
    <row r="2">
      <c r="A2" s="93" t="n">
        <v>1</v>
      </c>
      <c r="B2" s="93" t="n">
        <v>6.06</v>
      </c>
      <c r="C2" s="93">
        <f>B2*(25/100)</f>
        <v/>
      </c>
      <c r="D2" s="93">
        <f>C2+B2</f>
        <v/>
      </c>
      <c r="E2" s="93" t="n">
        <v>0.54</v>
      </c>
      <c r="F2" s="93" t="n"/>
      <c r="G2" s="93" t="n"/>
      <c r="H2" s="93" t="n"/>
      <c r="I2" s="93" t="n"/>
      <c r="J2" s="93" t="n"/>
      <c r="K2" s="93" t="n"/>
      <c r="L2" s="190">
        <f>E2*Prices!B$2</f>
        <v/>
      </c>
      <c r="M2" s="190">
        <f>F2*Prices!C$2</f>
        <v/>
      </c>
      <c r="N2" s="190">
        <f>G2*Prices!D$2</f>
        <v/>
      </c>
      <c r="O2" s="190">
        <f>H2*Prices!E$2</f>
        <v/>
      </c>
      <c r="P2" s="190">
        <f>I2*2000+J2*10000+K2*1800</f>
        <v/>
      </c>
      <c r="Q2" s="190">
        <f>D2*Prices!A$2</f>
        <v/>
      </c>
      <c r="R2" s="191">
        <f>L2+M2+N2+O2</f>
        <v/>
      </c>
      <c r="S2" s="190">
        <f>R2+Q2+P2</f>
        <v/>
      </c>
      <c r="T2" s="93" t="n">
        <v>1</v>
      </c>
      <c r="U2" s="93" t="inlineStr">
        <is>
          <t>Available</t>
        </is>
      </c>
      <c r="V2" s="12" t="inlineStr">
        <is>
          <t>A</t>
        </is>
      </c>
      <c r="W2" s="12" t="n"/>
      <c r="X2" s="12" t="n"/>
      <c r="Y2" s="12" t="n"/>
      <c r="Z2" s="12" t="n"/>
    </row>
    <row r="3">
      <c r="A3" s="93" t="n">
        <v>2</v>
      </c>
      <c r="B3" s="93" t="n">
        <v>2.986</v>
      </c>
      <c r="C3" s="93">
        <f>B3*(25/100)</f>
        <v/>
      </c>
      <c r="D3" s="93">
        <f>C3+B3</f>
        <v/>
      </c>
      <c r="E3" s="93" t="n">
        <v>0.5</v>
      </c>
      <c r="F3" s="93" t="n"/>
      <c r="G3" s="93" t="n"/>
      <c r="H3" s="93" t="n"/>
      <c r="I3" s="93" t="n"/>
      <c r="J3" s="93" t="n"/>
      <c r="K3" s="93" t="n"/>
      <c r="L3" s="190">
        <f>E3*Prices!B$2</f>
        <v/>
      </c>
      <c r="M3" s="190">
        <f>F3*Prices!C$2</f>
        <v/>
      </c>
      <c r="N3" s="190">
        <f>G3*Prices!D$2</f>
        <v/>
      </c>
      <c r="O3" s="190">
        <f>H3*Prices!E$2</f>
        <v/>
      </c>
      <c r="P3" s="190">
        <f>I3*2000+J3*10000+K3*1800</f>
        <v/>
      </c>
      <c r="Q3" s="190">
        <f>D3*Prices!A$2</f>
        <v/>
      </c>
      <c r="R3" s="191">
        <f>L3+M3+N3+O3</f>
        <v/>
      </c>
      <c r="S3" s="190">
        <f>R3+Q3+P3</f>
        <v/>
      </c>
      <c r="T3" s="93" t="n">
        <v>2</v>
      </c>
      <c r="U3" s="93" t="inlineStr">
        <is>
          <t>Sold</t>
        </is>
      </c>
      <c r="V3" s="12" t="n"/>
      <c r="W3" s="12" t="n"/>
      <c r="X3" s="12" t="n"/>
      <c r="Y3" s="12" t="n"/>
      <c r="Z3" s="12" t="n"/>
    </row>
    <row r="4">
      <c r="A4" s="93" t="n">
        <v>3</v>
      </c>
      <c r="B4" s="93" t="n">
        <v>5.86</v>
      </c>
      <c r="C4" s="93">
        <f>B4*(25/100)</f>
        <v/>
      </c>
      <c r="D4" s="93">
        <f>C4+B4</f>
        <v/>
      </c>
      <c r="E4" s="93" t="n">
        <v>1.19</v>
      </c>
      <c r="F4" s="93" t="n"/>
      <c r="G4" s="93" t="n"/>
      <c r="H4" s="93" t="n"/>
      <c r="I4" s="93" t="n"/>
      <c r="J4" s="93" t="n"/>
      <c r="K4" s="93" t="n"/>
      <c r="L4" s="190">
        <f>E4*Prices!B$2</f>
        <v/>
      </c>
      <c r="M4" s="190">
        <f>F4*Prices!C$2</f>
        <v/>
      </c>
      <c r="N4" s="190">
        <f>G4*Prices!D$2</f>
        <v/>
      </c>
      <c r="O4" s="190">
        <f>H4*Prices!E$2</f>
        <v/>
      </c>
      <c r="P4" s="190">
        <f>I4*2000+J4*10000+K4*1800</f>
        <v/>
      </c>
      <c r="Q4" s="190">
        <f>D4*Prices!A$2</f>
        <v/>
      </c>
      <c r="R4" s="191">
        <f>L4+M4+N4+O4</f>
        <v/>
      </c>
      <c r="S4" s="190">
        <f>R4+Q4+P4</f>
        <v/>
      </c>
      <c r="T4" s="93" t="n">
        <v>3</v>
      </c>
      <c r="U4" s="93" t="inlineStr">
        <is>
          <t>Sold</t>
        </is>
      </c>
      <c r="V4" s="12" t="n"/>
      <c r="W4" s="12" t="n"/>
      <c r="X4" s="12" t="n"/>
      <c r="Y4" s="12" t="n"/>
      <c r="Z4" s="12" t="n"/>
    </row>
    <row r="5">
      <c r="A5" s="93" t="n">
        <v>4</v>
      </c>
      <c r="B5" s="93" t="n">
        <v>1.79</v>
      </c>
      <c r="C5" s="93">
        <f>B5*(25/100)</f>
        <v/>
      </c>
      <c r="D5" s="93">
        <f>C5+B5</f>
        <v/>
      </c>
      <c r="E5" s="93" t="n">
        <v>0.18</v>
      </c>
      <c r="F5" s="93" t="n"/>
      <c r="G5" s="93" t="n"/>
      <c r="H5" s="93" t="n"/>
      <c r="I5" s="93" t="n"/>
      <c r="J5" s="93" t="n"/>
      <c r="K5" s="93" t="n"/>
      <c r="L5" s="190">
        <f>E5*Prices!B$2</f>
        <v/>
      </c>
      <c r="M5" s="190">
        <f>F5*Prices!C$2</f>
        <v/>
      </c>
      <c r="N5" s="190">
        <f>G5*Prices!D$2</f>
        <v/>
      </c>
      <c r="O5" s="190">
        <f>H5*Prices!E$2</f>
        <v/>
      </c>
      <c r="P5" s="190">
        <f>I5*2000+J5*10000+K5*1800</f>
        <v/>
      </c>
      <c r="Q5" s="190">
        <f>D5*Prices!A$2</f>
        <v/>
      </c>
      <c r="R5" s="191">
        <f>L5+M5+N5+O5</f>
        <v/>
      </c>
      <c r="S5" s="190">
        <f>R5+Q5+P5</f>
        <v/>
      </c>
      <c r="T5" s="93" t="n">
        <v>4</v>
      </c>
      <c r="U5" s="93" t="inlineStr">
        <is>
          <t>Sold</t>
        </is>
      </c>
      <c r="V5" s="12" t="n"/>
      <c r="W5" s="12" t="n"/>
      <c r="X5" s="12" t="n"/>
      <c r="Y5" s="12" t="n"/>
      <c r="Z5" s="12" t="n"/>
    </row>
    <row r="6">
      <c r="A6" s="93" t="n">
        <v>5</v>
      </c>
      <c r="B6" s="93" t="n">
        <v>2.194</v>
      </c>
      <c r="C6" s="93">
        <f>B6*(25/100)</f>
        <v/>
      </c>
      <c r="D6" s="93">
        <f>C6+B6</f>
        <v/>
      </c>
      <c r="E6" s="93" t="n">
        <v>0.35</v>
      </c>
      <c r="F6" s="93" t="n"/>
      <c r="G6" s="93" t="n"/>
      <c r="H6" s="93" t="n"/>
      <c r="I6" s="93" t="n"/>
      <c r="J6" s="93" t="n"/>
      <c r="K6" s="93" t="n"/>
      <c r="L6" s="190">
        <f>E6*Prices!B$2</f>
        <v/>
      </c>
      <c r="M6" s="190">
        <f>F6*Prices!C$2</f>
        <v/>
      </c>
      <c r="N6" s="190">
        <f>G6*Prices!D$2</f>
        <v/>
      </c>
      <c r="O6" s="190">
        <f>H6*Prices!E$2</f>
        <v/>
      </c>
      <c r="P6" s="190">
        <f>I6*2000+J6*10000+K6*1800</f>
        <v/>
      </c>
      <c r="Q6" s="190">
        <f>D6*Prices!A$2</f>
        <v/>
      </c>
      <c r="R6" s="191">
        <f>L6+M6+N6+O6</f>
        <v/>
      </c>
      <c r="S6" s="190">
        <f>R6+Q6+P6</f>
        <v/>
      </c>
      <c r="T6" s="93" t="n">
        <v>5</v>
      </c>
      <c r="U6" s="93" t="inlineStr">
        <is>
          <t>Sold</t>
        </is>
      </c>
      <c r="V6" s="12" t="n"/>
      <c r="W6" s="12" t="n"/>
      <c r="X6" s="12" t="n"/>
      <c r="Y6" s="12" t="n"/>
      <c r="Z6" s="12" t="n"/>
    </row>
    <row r="7">
      <c r="A7" s="93" t="n">
        <v>6</v>
      </c>
      <c r="B7" s="93" t="n">
        <v>1.95</v>
      </c>
      <c r="C7" s="93">
        <f>B7*(25/100)</f>
        <v/>
      </c>
      <c r="D7" s="93">
        <f>C7+B7</f>
        <v/>
      </c>
      <c r="E7" s="93" t="n">
        <v>0.33</v>
      </c>
      <c r="F7" s="93" t="n"/>
      <c r="G7" s="93" t="n"/>
      <c r="H7" s="93" t="n"/>
      <c r="I7" s="93" t="n"/>
      <c r="J7" s="93" t="n"/>
      <c r="K7" s="93" t="n"/>
      <c r="L7" s="190">
        <f>E7*Prices!B$2</f>
        <v/>
      </c>
      <c r="M7" s="190">
        <f>F7*Prices!C$2</f>
        <v/>
      </c>
      <c r="N7" s="190">
        <f>G7*Prices!D$2</f>
        <v/>
      </c>
      <c r="O7" s="190">
        <f>H7*Prices!E$2</f>
        <v/>
      </c>
      <c r="P7" s="190">
        <f>I7*2000+J7*10000+K7*1800</f>
        <v/>
      </c>
      <c r="Q7" s="190">
        <f>D7*Prices!A$2</f>
        <v/>
      </c>
      <c r="R7" s="191">
        <f>L7+M7+N7+O7</f>
        <v/>
      </c>
      <c r="S7" s="190">
        <f>R7+Q7+P7</f>
        <v/>
      </c>
      <c r="T7" s="93" t="n">
        <v>6</v>
      </c>
      <c r="U7" s="93" t="inlineStr">
        <is>
          <t>Available</t>
        </is>
      </c>
      <c r="V7" s="12" t="inlineStr">
        <is>
          <t>A</t>
        </is>
      </c>
      <c r="W7" s="12" t="n"/>
      <c r="X7" s="12" t="n"/>
      <c r="Y7" s="12" t="n"/>
      <c r="Z7" s="12" t="n"/>
    </row>
    <row r="8">
      <c r="A8" s="93" t="n">
        <v>7</v>
      </c>
      <c r="B8" s="93" t="n">
        <v>2.75</v>
      </c>
      <c r="C8" s="93">
        <f>B8*(25/100)</f>
        <v/>
      </c>
      <c r="D8" s="93">
        <f>C8+B8</f>
        <v/>
      </c>
      <c r="E8" s="93" t="n">
        <v>0.75</v>
      </c>
      <c r="F8" s="93" t="n"/>
      <c r="G8" s="93" t="n"/>
      <c r="H8" s="93" t="n"/>
      <c r="I8" s="93" t="n"/>
      <c r="J8" s="93" t="n"/>
      <c r="K8" s="93" t="n"/>
      <c r="L8" s="190">
        <f>E8*Prices!B$2</f>
        <v/>
      </c>
      <c r="M8" s="190">
        <f>F8*Prices!C$2</f>
        <v/>
      </c>
      <c r="N8" s="190">
        <f>G8*Prices!D$2</f>
        <v/>
      </c>
      <c r="O8" s="190">
        <f>H8*Prices!E$2</f>
        <v/>
      </c>
      <c r="P8" s="190">
        <f>I8*2000+J8*10000+K8*1800</f>
        <v/>
      </c>
      <c r="Q8" s="190">
        <f>D8*Prices!A$2</f>
        <v/>
      </c>
      <c r="R8" s="191">
        <f>L8+M8+N8+O8</f>
        <v/>
      </c>
      <c r="S8" s="190">
        <f>R8+Q8+P8</f>
        <v/>
      </c>
      <c r="T8" s="93" t="n">
        <v>7</v>
      </c>
      <c r="U8" s="93" t="inlineStr">
        <is>
          <t>Sold</t>
        </is>
      </c>
      <c r="V8" s="12" t="n"/>
      <c r="W8" s="12" t="n"/>
      <c r="X8" s="12" t="n"/>
      <c r="Y8" s="12" t="n"/>
      <c r="Z8" s="12" t="n"/>
    </row>
    <row r="9">
      <c r="A9" s="192" t="n">
        <v>8</v>
      </c>
      <c r="B9" s="192" t="n">
        <v>3.58</v>
      </c>
      <c r="C9" s="192">
        <f>B9*(25/100)</f>
        <v/>
      </c>
      <c r="D9" s="192">
        <f>C9+B9</f>
        <v/>
      </c>
      <c r="E9" s="192" t="n">
        <v>0.41</v>
      </c>
      <c r="F9" s="192" t="n"/>
      <c r="G9" s="192" t="n"/>
      <c r="H9" s="192" t="n"/>
      <c r="I9" s="192" t="n">
        <v>1.26</v>
      </c>
      <c r="J9" s="192" t="n"/>
      <c r="K9" s="192" t="n"/>
      <c r="L9" s="193">
        <f>E9*Prices!B$2</f>
        <v/>
      </c>
      <c r="M9" s="193">
        <f>F9*Prices!C$2</f>
        <v/>
      </c>
      <c r="N9" s="193">
        <f>G9*Prices!D$2</f>
        <v/>
      </c>
      <c r="O9" s="193">
        <f>H9*Prices!E$2</f>
        <v/>
      </c>
      <c r="P9" s="193">
        <f>I9*2000+J9*10000+K9*1800</f>
        <v/>
      </c>
      <c r="Q9" s="193">
        <f>D9*Prices!A$2</f>
        <v/>
      </c>
      <c r="R9" s="194">
        <f>L9+M9+N9+O9</f>
        <v/>
      </c>
      <c r="S9" s="193">
        <f>R9+Q9+P9</f>
        <v/>
      </c>
      <c r="T9" s="192" t="n">
        <v>8</v>
      </c>
      <c r="U9" s="192" t="inlineStr">
        <is>
          <t>Return</t>
        </is>
      </c>
      <c r="V9" s="195" t="n"/>
      <c r="W9" s="195" t="n"/>
      <c r="X9" s="195" t="n"/>
      <c r="Y9" s="195" t="n"/>
      <c r="Z9" s="195" t="n"/>
    </row>
    <row r="10">
      <c r="A10" s="93" t="n">
        <v>9</v>
      </c>
      <c r="B10" s="93" t="n">
        <v>2.7</v>
      </c>
      <c r="C10" s="93">
        <f>B10*(25/100)</f>
        <v/>
      </c>
      <c r="D10" s="93">
        <f>C10+B10</f>
        <v/>
      </c>
      <c r="E10" s="93" t="n">
        <v>0.5600000000000001</v>
      </c>
      <c r="F10" s="93" t="n"/>
      <c r="G10" s="93" t="n"/>
      <c r="H10" s="93" t="n"/>
      <c r="I10" s="93" t="n"/>
      <c r="J10" s="93" t="n"/>
      <c r="K10" s="93" t="n"/>
      <c r="L10" s="190">
        <f>E10*Prices!B$2</f>
        <v/>
      </c>
      <c r="M10" s="190">
        <f>F10*Prices!C$2</f>
        <v/>
      </c>
      <c r="N10" s="190">
        <f>G10*Prices!D$2</f>
        <v/>
      </c>
      <c r="O10" s="190">
        <f>H10*Prices!E$2</f>
        <v/>
      </c>
      <c r="P10" s="190">
        <f>I10*2000+J10*10000+K10*1800</f>
        <v/>
      </c>
      <c r="Q10" s="190">
        <f>D10*Prices!A$2</f>
        <v/>
      </c>
      <c r="R10" s="191">
        <f>L10+M10+N10+O10</f>
        <v/>
      </c>
      <c r="S10" s="190">
        <f>R10+Q10+P10</f>
        <v/>
      </c>
      <c r="T10" s="93" t="n">
        <v>9</v>
      </c>
      <c r="U10" s="93" t="inlineStr">
        <is>
          <t>Available</t>
        </is>
      </c>
      <c r="V10" s="12" t="n"/>
      <c r="W10" s="12" t="n"/>
      <c r="X10" s="12" t="n"/>
      <c r="Y10" s="12" t="n"/>
      <c r="Z10" s="12" t="n"/>
    </row>
    <row r="11">
      <c r="A11" s="93" t="n">
        <v>10</v>
      </c>
      <c r="B11" s="93" t="n">
        <v>2.694</v>
      </c>
      <c r="C11" s="93">
        <f>B11*(25/100)</f>
        <v/>
      </c>
      <c r="D11" s="93">
        <f>C11+B11</f>
        <v/>
      </c>
      <c r="E11" s="93" t="n">
        <v>0.53</v>
      </c>
      <c r="F11" s="93" t="n"/>
      <c r="G11" s="93" t="n"/>
      <c r="H11" s="93" t="n"/>
      <c r="I11" s="93" t="n"/>
      <c r="J11" s="93" t="n"/>
      <c r="K11" s="93" t="n"/>
      <c r="L11" s="190">
        <f>E11*Prices!B$2</f>
        <v/>
      </c>
      <c r="M11" s="190">
        <f>F11*Prices!C$2</f>
        <v/>
      </c>
      <c r="N11" s="190">
        <f>G11*Prices!D$2</f>
        <v/>
      </c>
      <c r="O11" s="190">
        <f>H11*Prices!E$2</f>
        <v/>
      </c>
      <c r="P11" s="190">
        <f>I11*2000+J11*10000+K11*1800</f>
        <v/>
      </c>
      <c r="Q11" s="190">
        <f>D11*Prices!A$2</f>
        <v/>
      </c>
      <c r="R11" s="191">
        <f>L11+M11+N11+O11</f>
        <v/>
      </c>
      <c r="S11" s="190">
        <f>R11+Q11+P11</f>
        <v/>
      </c>
      <c r="T11" s="93" t="n">
        <v>10</v>
      </c>
      <c r="U11" s="93" t="inlineStr">
        <is>
          <t>Sold</t>
        </is>
      </c>
      <c r="V11" s="12" t="n"/>
      <c r="W11" s="12" t="n"/>
      <c r="X11" s="12" t="n"/>
      <c r="Y11" s="12" t="n"/>
      <c r="Z11" s="12" t="n"/>
    </row>
    <row r="12">
      <c r="A12" s="93" t="n">
        <v>11</v>
      </c>
      <c r="B12" s="93" t="n">
        <v>3.66</v>
      </c>
      <c r="C12" s="93">
        <f>B12*(25/100)</f>
        <v/>
      </c>
      <c r="D12" s="93">
        <f>C12+B12</f>
        <v/>
      </c>
      <c r="E12" s="93" t="n">
        <v>0.6899999999999999</v>
      </c>
      <c r="F12" s="93" t="n"/>
      <c r="G12" s="93" t="n"/>
      <c r="H12" s="93" t="n"/>
      <c r="I12" s="93" t="n"/>
      <c r="J12" s="93" t="n"/>
      <c r="K12" s="93" t="n"/>
      <c r="L12" s="190">
        <f>E12*Prices!B$2</f>
        <v/>
      </c>
      <c r="M12" s="190">
        <f>F12*Prices!C$2</f>
        <v/>
      </c>
      <c r="N12" s="190">
        <f>G12*Prices!D$2</f>
        <v/>
      </c>
      <c r="O12" s="190">
        <f>H12*Prices!E$2</f>
        <v/>
      </c>
      <c r="P12" s="190">
        <f>I12*2000+J12*10000+K12*1800</f>
        <v/>
      </c>
      <c r="Q12" s="190">
        <f>D12*Prices!A$2</f>
        <v/>
      </c>
      <c r="R12" s="191">
        <f>L12+M12+N12+O12</f>
        <v/>
      </c>
      <c r="S12" s="190">
        <f>R12+Q12+P12</f>
        <v/>
      </c>
      <c r="T12" s="93" t="n">
        <v>11</v>
      </c>
      <c r="U12" s="93" t="inlineStr">
        <is>
          <t>Available</t>
        </is>
      </c>
      <c r="V12" s="12" t="inlineStr">
        <is>
          <t>A</t>
        </is>
      </c>
      <c r="W12" s="12" t="n"/>
      <c r="X12" s="12" t="n"/>
      <c r="Y12" s="12" t="n"/>
      <c r="Z12" s="12" t="n"/>
    </row>
    <row r="13">
      <c r="A13" s="93" t="n">
        <v>12</v>
      </c>
      <c r="B13" s="93" t="n">
        <v>1.568</v>
      </c>
      <c r="C13" s="93">
        <f>B13*(25/100)</f>
        <v/>
      </c>
      <c r="D13" s="93">
        <f>C13+B13</f>
        <v/>
      </c>
      <c r="E13" s="93" t="n">
        <v>0.36</v>
      </c>
      <c r="F13" s="93" t="n"/>
      <c r="G13" s="93" t="n"/>
      <c r="H13" s="93" t="n"/>
      <c r="I13" s="93" t="n"/>
      <c r="J13" s="93" t="n"/>
      <c r="K13" s="93" t="n"/>
      <c r="L13" s="190">
        <f>E13*Prices!B$2</f>
        <v/>
      </c>
      <c r="M13" s="190">
        <f>F13*Prices!C$2</f>
        <v/>
      </c>
      <c r="N13" s="190">
        <f>G13*Prices!D$2</f>
        <v/>
      </c>
      <c r="O13" s="190">
        <f>H13*Prices!E$2</f>
        <v/>
      </c>
      <c r="P13" s="190">
        <f>I13*2000+J13*10000+K13*1800</f>
        <v/>
      </c>
      <c r="Q13" s="190">
        <f>D13*Prices!A$2</f>
        <v/>
      </c>
      <c r="R13" s="191">
        <f>L13+M13+N13+O13</f>
        <v/>
      </c>
      <c r="S13" s="190">
        <f>R13+Q13+P13</f>
        <v/>
      </c>
      <c r="T13" s="93" t="n">
        <v>12</v>
      </c>
      <c r="U13" s="93" t="inlineStr">
        <is>
          <t>Available</t>
        </is>
      </c>
      <c r="V13" s="12" t="inlineStr">
        <is>
          <t>A</t>
        </is>
      </c>
      <c r="W13" s="12" t="n"/>
      <c r="X13" s="12" t="n"/>
      <c r="Y13" s="12" t="n"/>
      <c r="Z13" s="12" t="n"/>
    </row>
    <row r="14">
      <c r="A14" s="93" t="n">
        <v>13</v>
      </c>
      <c r="B14" s="93" t="n">
        <v>2.48</v>
      </c>
      <c r="C14" s="93">
        <f>B14*(25/100)</f>
        <v/>
      </c>
      <c r="D14" s="93">
        <f>C14+B14</f>
        <v/>
      </c>
      <c r="E14" s="93" t="n">
        <v>0.49</v>
      </c>
      <c r="F14" s="93" t="n"/>
      <c r="G14" s="93" t="n"/>
      <c r="H14" s="93" t="n"/>
      <c r="I14" s="93" t="n"/>
      <c r="J14" s="93" t="n"/>
      <c r="K14" s="93" t="n"/>
      <c r="L14" s="190">
        <f>E14*Prices!B$2</f>
        <v/>
      </c>
      <c r="M14" s="190">
        <f>F14*Prices!C$2</f>
        <v/>
      </c>
      <c r="N14" s="190">
        <f>G14*Prices!D$2</f>
        <v/>
      </c>
      <c r="O14" s="190">
        <f>H14*Prices!E$2</f>
        <v/>
      </c>
      <c r="P14" s="190">
        <f>I14*2000+J14*10000+K14*1800</f>
        <v/>
      </c>
      <c r="Q14" s="190">
        <f>D14*Prices!A$2</f>
        <v/>
      </c>
      <c r="R14" s="191">
        <f>L14+M14+N14+O14</f>
        <v/>
      </c>
      <c r="S14" s="190">
        <f>R14+Q14+P14</f>
        <v/>
      </c>
      <c r="T14" s="93" t="n">
        <v>13</v>
      </c>
      <c r="U14" s="93" t="inlineStr">
        <is>
          <t>Sold</t>
        </is>
      </c>
      <c r="V14" s="12" t="n"/>
      <c r="W14" s="12" t="n"/>
      <c r="X14" s="12" t="n"/>
      <c r="Y14" s="12" t="n"/>
      <c r="Z14" s="12" t="n"/>
    </row>
    <row r="15">
      <c r="A15" s="93" t="n">
        <v>14</v>
      </c>
      <c r="B15" s="93" t="n">
        <v>2.92</v>
      </c>
      <c r="C15" s="93">
        <f>B15*(25/100)</f>
        <v/>
      </c>
      <c r="D15" s="93">
        <f>C15+B15</f>
        <v/>
      </c>
      <c r="E15" s="93" t="n">
        <v>0.83</v>
      </c>
      <c r="F15" s="93" t="n"/>
      <c r="G15" s="93" t="n"/>
      <c r="H15" s="93" t="n"/>
      <c r="I15" s="93" t="n"/>
      <c r="J15" s="93" t="n"/>
      <c r="K15" s="93" t="n"/>
      <c r="L15" s="190">
        <f>E15*Prices!B$2</f>
        <v/>
      </c>
      <c r="M15" s="190">
        <f>F15*Prices!C$2</f>
        <v/>
      </c>
      <c r="N15" s="190">
        <f>G15*Prices!D$2</f>
        <v/>
      </c>
      <c r="O15" s="190">
        <f>H15*Prices!E$2</f>
        <v/>
      </c>
      <c r="P15" s="190">
        <f>I15*2000+J15*10000+K15*1800</f>
        <v/>
      </c>
      <c r="Q15" s="190">
        <f>D15*Prices!A$2</f>
        <v/>
      </c>
      <c r="R15" s="191">
        <f>L15+M15+N15+O15</f>
        <v/>
      </c>
      <c r="S15" s="190">
        <f>R15+Q15+P15</f>
        <v/>
      </c>
      <c r="T15" s="93" t="n">
        <v>14</v>
      </c>
      <c r="U15" s="93" t="inlineStr">
        <is>
          <t>Available</t>
        </is>
      </c>
      <c r="V15" s="12" t="inlineStr">
        <is>
          <t>A</t>
        </is>
      </c>
      <c r="W15" s="12" t="n"/>
      <c r="X15" s="12" t="n"/>
      <c r="Y15" s="12" t="n"/>
      <c r="Z15" s="12" t="n"/>
    </row>
    <row r="16">
      <c r="A16" s="93" t="n">
        <v>15</v>
      </c>
      <c r="B16" s="93" t="n">
        <v>5.11</v>
      </c>
      <c r="C16" s="93">
        <f>B16*(25/100)</f>
        <v/>
      </c>
      <c r="D16" s="93">
        <f>C16+B16</f>
        <v/>
      </c>
      <c r="E16" s="93" t="n">
        <v>1.24</v>
      </c>
      <c r="F16" s="93" t="n"/>
      <c r="G16" s="93" t="n"/>
      <c r="H16" s="93" t="n"/>
      <c r="I16" s="93" t="n"/>
      <c r="J16" s="93" t="n"/>
      <c r="K16" s="93" t="n"/>
      <c r="L16" s="190">
        <f>E16*Prices!B$2</f>
        <v/>
      </c>
      <c r="M16" s="190">
        <f>F16*Prices!C$2</f>
        <v/>
      </c>
      <c r="N16" s="190">
        <f>G16*Prices!D$2</f>
        <v/>
      </c>
      <c r="O16" s="190">
        <f>H16*Prices!E$2</f>
        <v/>
      </c>
      <c r="P16" s="190">
        <f>I16*2000+J16*10000+K16*1800</f>
        <v/>
      </c>
      <c r="Q16" s="190">
        <f>D16*Prices!A$2</f>
        <v/>
      </c>
      <c r="R16" s="191">
        <f>L16+M16+N16+O16</f>
        <v/>
      </c>
      <c r="S16" s="190">
        <f>R16+Q16+P16</f>
        <v/>
      </c>
      <c r="T16" s="93" t="n">
        <v>15</v>
      </c>
      <c r="U16" s="93" t="inlineStr">
        <is>
          <t>Sold</t>
        </is>
      </c>
      <c r="V16" s="12" t="n"/>
      <c r="W16" s="12" t="n"/>
      <c r="X16" s="12" t="n"/>
      <c r="Y16" s="12" t="n"/>
      <c r="Z16" s="12" t="n"/>
    </row>
    <row r="17">
      <c r="A17" s="93" t="n">
        <v>16</v>
      </c>
      <c r="B17" s="93" t="n">
        <v>3.182</v>
      </c>
      <c r="C17" s="93">
        <f>B17*(25/100)</f>
        <v/>
      </c>
      <c r="D17" s="93">
        <f>C17+B17</f>
        <v/>
      </c>
      <c r="E17" s="93" t="n">
        <v>0.79</v>
      </c>
      <c r="F17" s="93" t="n"/>
      <c r="G17" s="93" t="n"/>
      <c r="H17" s="93" t="n"/>
      <c r="I17" s="93" t="n"/>
      <c r="J17" s="93" t="n"/>
      <c r="K17" s="93" t="n"/>
      <c r="L17" s="190">
        <f>E17*Prices!B$2</f>
        <v/>
      </c>
      <c r="M17" s="190">
        <f>F17*Prices!C$2</f>
        <v/>
      </c>
      <c r="N17" s="190">
        <f>G17*Prices!D$2</f>
        <v/>
      </c>
      <c r="O17" s="190">
        <f>H17*Prices!E$2</f>
        <v/>
      </c>
      <c r="P17" s="190">
        <f>I17*2000+J17*10000+K17*1800</f>
        <v/>
      </c>
      <c r="Q17" s="190">
        <f>D17*Prices!A$2</f>
        <v/>
      </c>
      <c r="R17" s="191">
        <f>L17+M17+N17+O17</f>
        <v/>
      </c>
      <c r="S17" s="190">
        <f>R17+Q17+P17</f>
        <v/>
      </c>
      <c r="T17" s="93" t="n">
        <v>16</v>
      </c>
      <c r="U17" s="93" t="inlineStr">
        <is>
          <t>Sold</t>
        </is>
      </c>
      <c r="V17" s="12" t="n"/>
      <c r="W17" s="12" t="n"/>
      <c r="X17" s="12" t="n"/>
      <c r="Y17" s="12" t="n"/>
      <c r="Z17" s="12" t="n"/>
    </row>
    <row r="18">
      <c r="A18" s="93" t="n">
        <v>17</v>
      </c>
      <c r="B18" s="93" t="n">
        <v>2.984</v>
      </c>
      <c r="C18" s="93">
        <f>B18*(25/100)</f>
        <v/>
      </c>
      <c r="D18" s="93">
        <f>C18+B18</f>
        <v/>
      </c>
      <c r="E18" s="93" t="n">
        <v>0.88</v>
      </c>
      <c r="F18" s="93" t="n"/>
      <c r="G18" s="93" t="n"/>
      <c r="H18" s="93" t="n"/>
      <c r="I18" s="93" t="n"/>
      <c r="J18" s="93" t="n"/>
      <c r="K18" s="93" t="n"/>
      <c r="L18" s="190">
        <f>E18*Prices!B$2</f>
        <v/>
      </c>
      <c r="M18" s="190">
        <f>F18*Prices!C$2</f>
        <v/>
      </c>
      <c r="N18" s="190">
        <f>G18*Prices!D$2</f>
        <v/>
      </c>
      <c r="O18" s="190">
        <f>H18*Prices!E$2</f>
        <v/>
      </c>
      <c r="P18" s="190">
        <f>I18*2000+J18*10000+K18*1800</f>
        <v/>
      </c>
      <c r="Q18" s="190">
        <f>D18*Prices!A$2</f>
        <v/>
      </c>
      <c r="R18" s="191">
        <f>L18+M18+N18+O18</f>
        <v/>
      </c>
      <c r="S18" s="190">
        <f>R18+Q18+P18</f>
        <v/>
      </c>
      <c r="T18" s="93" t="n">
        <v>17</v>
      </c>
      <c r="U18" s="93" t="inlineStr">
        <is>
          <t>Available</t>
        </is>
      </c>
      <c r="V18" s="12" t="inlineStr">
        <is>
          <t>A</t>
        </is>
      </c>
      <c r="W18" s="12" t="n"/>
      <c r="X18" s="12" t="n"/>
      <c r="Y18" s="12" t="n"/>
      <c r="Z18" s="12" t="n"/>
    </row>
    <row r="19">
      <c r="A19" s="93" t="n">
        <v>18</v>
      </c>
      <c r="B19" s="93" t="n">
        <v>3.174</v>
      </c>
      <c r="C19" s="93">
        <f>B19*(25/100)</f>
        <v/>
      </c>
      <c r="D19" s="93">
        <f>C19+B19</f>
        <v/>
      </c>
      <c r="E19" s="93" t="n">
        <v>0.68</v>
      </c>
      <c r="F19" s="93" t="n"/>
      <c r="G19" s="93" t="n"/>
      <c r="H19" s="93" t="n"/>
      <c r="I19" s="93" t="n"/>
      <c r="J19" s="93" t="n"/>
      <c r="K19" s="93" t="n"/>
      <c r="L19" s="190">
        <f>E19*Prices!B$2</f>
        <v/>
      </c>
      <c r="M19" s="190">
        <f>F19*Prices!C$2</f>
        <v/>
      </c>
      <c r="N19" s="190">
        <f>G19*Prices!D$2</f>
        <v/>
      </c>
      <c r="O19" s="190">
        <f>H19*Prices!E$2</f>
        <v/>
      </c>
      <c r="P19" s="190">
        <f>I19*2000+J19*10000+K19*1800</f>
        <v/>
      </c>
      <c r="Q19" s="190">
        <f>D19*Prices!A$2</f>
        <v/>
      </c>
      <c r="R19" s="191">
        <f>L19+M19+N19+O19</f>
        <v/>
      </c>
      <c r="S19" s="190">
        <f>R19+Q19+P19</f>
        <v/>
      </c>
      <c r="T19" s="93" t="n">
        <v>18</v>
      </c>
      <c r="U19" s="93" t="inlineStr">
        <is>
          <t>Sold</t>
        </is>
      </c>
      <c r="V19" s="12" t="n"/>
      <c r="W19" s="12" t="n"/>
      <c r="X19" s="12" t="n"/>
      <c r="Y19" s="12" t="n"/>
      <c r="Z19" s="12" t="n"/>
    </row>
    <row r="20">
      <c r="A20" s="93" t="n">
        <v>19</v>
      </c>
      <c r="B20" s="93" t="n">
        <v>3.282</v>
      </c>
      <c r="C20" s="93">
        <f>B20*(25/100)</f>
        <v/>
      </c>
      <c r="D20" s="93">
        <f>C20+B20</f>
        <v/>
      </c>
      <c r="E20" s="93" t="n">
        <v>0.89</v>
      </c>
      <c r="F20" s="93" t="n"/>
      <c r="G20" s="93" t="n"/>
      <c r="H20" s="93" t="n"/>
      <c r="I20" s="93" t="n"/>
      <c r="J20" s="93" t="n"/>
      <c r="K20" s="93" t="n"/>
      <c r="L20" s="190">
        <f>E20*Prices!B$2</f>
        <v/>
      </c>
      <c r="M20" s="190">
        <f>F20*Prices!C$2</f>
        <v/>
      </c>
      <c r="N20" s="190">
        <f>G20*Prices!D$2</f>
        <v/>
      </c>
      <c r="O20" s="190">
        <f>H20*Prices!E$2</f>
        <v/>
      </c>
      <c r="P20" s="190">
        <f>I20*2000+J20*10000+K20*1800</f>
        <v/>
      </c>
      <c r="Q20" s="190">
        <f>D20*Prices!A$2</f>
        <v/>
      </c>
      <c r="R20" s="191">
        <f>L20+M20+N20+O20</f>
        <v/>
      </c>
      <c r="S20" s="190">
        <f>R20+Q20+P20</f>
        <v/>
      </c>
      <c r="T20" s="93" t="n">
        <v>19</v>
      </c>
      <c r="U20" s="93" t="inlineStr">
        <is>
          <t>Sold</t>
        </is>
      </c>
      <c r="V20" s="12" t="n"/>
      <c r="W20" s="12" t="n"/>
      <c r="X20" s="12" t="n"/>
      <c r="Y20" s="12" t="n"/>
      <c r="Z20" s="12" t="n"/>
    </row>
    <row r="21">
      <c r="A21" s="93" t="n">
        <v>20</v>
      </c>
      <c r="B21" s="93" t="n">
        <v>3.786</v>
      </c>
      <c r="C21" s="93">
        <f>B21*(25/100)</f>
        <v/>
      </c>
      <c r="D21" s="93">
        <f>C21+B21</f>
        <v/>
      </c>
      <c r="E21" s="93" t="n">
        <v>0.77</v>
      </c>
      <c r="F21" s="93" t="n"/>
      <c r="G21" s="93" t="n"/>
      <c r="H21" s="93" t="n"/>
      <c r="I21" s="93" t="n"/>
      <c r="J21" s="93" t="n"/>
      <c r="K21" s="93" t="n"/>
      <c r="L21" s="190">
        <f>E21*Prices!B$2</f>
        <v/>
      </c>
      <c r="M21" s="190">
        <f>F21*Prices!C$2</f>
        <v/>
      </c>
      <c r="N21" s="190">
        <f>G21*Prices!D$2</f>
        <v/>
      </c>
      <c r="O21" s="190">
        <f>H21*Prices!E$2</f>
        <v/>
      </c>
      <c r="P21" s="190">
        <f>I21*2000+J21*10000+K21*1800</f>
        <v/>
      </c>
      <c r="Q21" s="190">
        <f>D21*Prices!A$2</f>
        <v/>
      </c>
      <c r="R21" s="191">
        <f>L21+M21+N21+O21</f>
        <v/>
      </c>
      <c r="S21" s="190">
        <f>R21+Q21+P21</f>
        <v/>
      </c>
      <c r="T21" s="93" t="n">
        <v>20</v>
      </c>
      <c r="U21" s="93" t="inlineStr">
        <is>
          <t>Sold</t>
        </is>
      </c>
      <c r="V21" s="12" t="n"/>
      <c r="W21" s="12" t="n"/>
      <c r="X21" s="12" t="n"/>
      <c r="Y21" s="12" t="n"/>
      <c r="Z21" s="12" t="n"/>
    </row>
    <row r="22">
      <c r="A22" s="93" t="n">
        <v>21</v>
      </c>
      <c r="B22" s="93" t="n">
        <v>1.324</v>
      </c>
      <c r="C22" s="93">
        <f>B22*(25/100)</f>
        <v/>
      </c>
      <c r="D22" s="93">
        <f>C22+B22</f>
        <v/>
      </c>
      <c r="E22" s="93" t="n">
        <v>0.13</v>
      </c>
      <c r="F22" s="93" t="n"/>
      <c r="G22" s="93" t="n"/>
      <c r="H22" s="93" t="n"/>
      <c r="I22" s="93" t="n"/>
      <c r="J22" s="93" t="n"/>
      <c r="K22" s="93" t="n"/>
      <c r="L22" s="190">
        <f>E22*Prices!B$2</f>
        <v/>
      </c>
      <c r="M22" s="190">
        <f>F22*Prices!C$2</f>
        <v/>
      </c>
      <c r="N22" s="190">
        <f>G22*Prices!D$2</f>
        <v/>
      </c>
      <c r="O22" s="190">
        <f>H22*Prices!E$2</f>
        <v/>
      </c>
      <c r="P22" s="190">
        <f>I22*2000+J22*10000+K22*1800</f>
        <v/>
      </c>
      <c r="Q22" s="190">
        <f>D22*Prices!A$2</f>
        <v/>
      </c>
      <c r="R22" s="191">
        <f>L22+M22+N22+O22</f>
        <v/>
      </c>
      <c r="S22" s="190">
        <f>R22+Q22+P22</f>
        <v/>
      </c>
      <c r="T22" s="93" t="n">
        <v>21</v>
      </c>
      <c r="U22" s="93" t="inlineStr">
        <is>
          <t>Sold</t>
        </is>
      </c>
      <c r="V22" s="12" t="n"/>
      <c r="W22" s="12" t="n"/>
      <c r="X22" s="12" t="n"/>
      <c r="Y22" s="12" t="n"/>
      <c r="Z22" s="12" t="n"/>
    </row>
    <row r="23">
      <c r="A23" s="93" t="n">
        <v>22</v>
      </c>
      <c r="B23" s="93" t="n">
        <v>3.664</v>
      </c>
      <c r="C23" s="93">
        <f>B23*(25/100)</f>
        <v/>
      </c>
      <c r="D23" s="93">
        <f>C23+B23</f>
        <v/>
      </c>
      <c r="E23" s="93" t="n">
        <v>0.2774</v>
      </c>
      <c r="F23" s="93" t="n"/>
      <c r="G23" s="93" t="n"/>
      <c r="H23" s="93" t="n"/>
      <c r="I23" s="93" t="n"/>
      <c r="J23" s="93" t="n"/>
      <c r="K23" s="93" t="n"/>
      <c r="L23" s="190">
        <f>E23*Prices!B$2</f>
        <v/>
      </c>
      <c r="M23" s="190">
        <f>F23*Prices!C$2</f>
        <v/>
      </c>
      <c r="N23" s="190">
        <f>G23*Prices!D$2</f>
        <v/>
      </c>
      <c r="O23" s="190">
        <f>H23*Prices!E$2</f>
        <v/>
      </c>
      <c r="P23" s="190">
        <f>I23*2000+J23*10000+K23*1800</f>
        <v/>
      </c>
      <c r="Q23" s="190">
        <f>D23*Prices!A$2</f>
        <v/>
      </c>
      <c r="R23" s="191">
        <f>L23+M23+N23+O23</f>
        <v/>
      </c>
      <c r="S23" s="190">
        <f>R23+Q23+P23</f>
        <v/>
      </c>
      <c r="T23" s="93" t="n">
        <v>22</v>
      </c>
      <c r="U23" s="93" t="inlineStr">
        <is>
          <t>Sold</t>
        </is>
      </c>
      <c r="V23" s="12" t="n"/>
      <c r="W23" s="12" t="n"/>
      <c r="X23" s="12" t="n"/>
      <c r="Y23" s="12" t="n"/>
      <c r="Z23" s="12" t="n"/>
    </row>
    <row r="24">
      <c r="A24" s="93" t="n">
        <v>23</v>
      </c>
      <c r="B24" s="93" t="n">
        <v>2.65</v>
      </c>
      <c r="C24" s="93">
        <f>B24*(25/100)</f>
        <v/>
      </c>
      <c r="D24" s="93">
        <f>C24+B24</f>
        <v/>
      </c>
      <c r="E24" s="93" t="n">
        <v>0.46</v>
      </c>
      <c r="F24" s="93" t="n"/>
      <c r="G24" s="93" t="n"/>
      <c r="H24" s="93" t="n"/>
      <c r="I24" s="93" t="n"/>
      <c r="J24" s="93" t="n"/>
      <c r="K24" s="93" t="n"/>
      <c r="L24" s="190">
        <f>E24*Prices!B$2</f>
        <v/>
      </c>
      <c r="M24" s="190">
        <f>F24*Prices!C$2</f>
        <v/>
      </c>
      <c r="N24" s="190">
        <f>G24*Prices!D$2</f>
        <v/>
      </c>
      <c r="O24" s="190">
        <f>H24*Prices!E$2</f>
        <v/>
      </c>
      <c r="P24" s="190">
        <f>I24*2000+J24*10000+K24*1800</f>
        <v/>
      </c>
      <c r="Q24" s="190">
        <f>D24*Prices!A$2</f>
        <v/>
      </c>
      <c r="R24" s="191">
        <f>L24+M24+N24+O24</f>
        <v/>
      </c>
      <c r="S24" s="190">
        <f>R24+Q24+P24</f>
        <v/>
      </c>
      <c r="T24" s="93" t="n">
        <v>23</v>
      </c>
      <c r="U24" s="93" t="inlineStr">
        <is>
          <t>Sold</t>
        </is>
      </c>
      <c r="V24" s="12" t="n"/>
      <c r="W24" s="12" t="n"/>
      <c r="X24" s="12" t="n"/>
      <c r="Y24" s="12" t="n"/>
      <c r="Z24" s="12" t="n"/>
    </row>
    <row r="25">
      <c r="A25" s="93" t="n">
        <v>24</v>
      </c>
      <c r="B25" s="93" t="n">
        <v>2.83</v>
      </c>
      <c r="C25" s="93">
        <f>B25*(25/100)</f>
        <v/>
      </c>
      <c r="D25" s="93">
        <f>C25+B25</f>
        <v/>
      </c>
      <c r="E25" s="93" t="n">
        <v>0.35</v>
      </c>
      <c r="F25" s="93" t="n"/>
      <c r="G25" s="93" t="n"/>
      <c r="H25" s="93" t="n"/>
      <c r="I25" s="93" t="n"/>
      <c r="J25" s="93" t="n"/>
      <c r="K25" s="93" t="n"/>
      <c r="L25" s="190">
        <f>E25*Prices!B$2</f>
        <v/>
      </c>
      <c r="M25" s="190">
        <f>F25*Prices!C$2</f>
        <v/>
      </c>
      <c r="N25" s="190">
        <f>G25*Prices!D$2</f>
        <v/>
      </c>
      <c r="O25" s="190">
        <f>H25*Prices!E$2</f>
        <v/>
      </c>
      <c r="P25" s="190">
        <f>I25*2000+J25*10000+K25*1800</f>
        <v/>
      </c>
      <c r="Q25" s="190">
        <f>D25*Prices!A$2</f>
        <v/>
      </c>
      <c r="R25" s="191">
        <f>L25+M25+N25+O25</f>
        <v/>
      </c>
      <c r="S25" s="190">
        <f>R25+Q25+P25</f>
        <v/>
      </c>
      <c r="T25" s="93" t="n">
        <v>24</v>
      </c>
      <c r="U25" s="93" t="inlineStr">
        <is>
          <t>Sold</t>
        </is>
      </c>
      <c r="V25" s="12" t="n"/>
      <c r="W25" s="12" t="n"/>
      <c r="X25" s="12" t="n"/>
      <c r="Y25" s="12" t="n"/>
      <c r="Z25" s="12" t="n"/>
    </row>
    <row r="26">
      <c r="A26" s="93" t="n">
        <v>25</v>
      </c>
      <c r="B26" s="93" t="n">
        <v>2.564</v>
      </c>
      <c r="C26" s="93">
        <f>B26*(25/100)</f>
        <v/>
      </c>
      <c r="D26" s="93">
        <f>C26+B26</f>
        <v/>
      </c>
      <c r="E26" s="93" t="n">
        <v>0.38</v>
      </c>
      <c r="F26" s="93" t="n"/>
      <c r="G26" s="93" t="n"/>
      <c r="H26" s="93" t="n"/>
      <c r="I26" s="93" t="n"/>
      <c r="J26" s="93" t="n"/>
      <c r="K26" s="93" t="n"/>
      <c r="L26" s="190">
        <f>E26*Prices!B$2</f>
        <v/>
      </c>
      <c r="M26" s="190">
        <f>F26*Prices!C$2</f>
        <v/>
      </c>
      <c r="N26" s="190">
        <f>G26*Prices!D$2</f>
        <v/>
      </c>
      <c r="O26" s="190">
        <f>H26*Prices!E$2</f>
        <v/>
      </c>
      <c r="P26" s="190">
        <f>I26*2000+J26*10000+K26*1800</f>
        <v/>
      </c>
      <c r="Q26" s="190">
        <f>D26*Prices!A$2</f>
        <v/>
      </c>
      <c r="R26" s="191">
        <f>L26+M26+N26+O26</f>
        <v/>
      </c>
      <c r="S26" s="190">
        <f>R26+Q26+P26</f>
        <v/>
      </c>
      <c r="T26" s="93" t="n">
        <v>25</v>
      </c>
      <c r="U26" s="93" t="inlineStr">
        <is>
          <t>Sold</t>
        </is>
      </c>
      <c r="V26" s="12" t="n"/>
      <c r="W26" s="12" t="n"/>
      <c r="X26" s="12" t="n"/>
      <c r="Y26" s="12" t="n"/>
      <c r="Z26" s="12" t="n"/>
    </row>
    <row r="27">
      <c r="A27" s="93" t="n">
        <v>26</v>
      </c>
      <c r="B27" s="93" t="n">
        <v>2.706</v>
      </c>
      <c r="C27" s="93">
        <f>B27*(25/100)</f>
        <v/>
      </c>
      <c r="D27" s="93">
        <f>C27+B27</f>
        <v/>
      </c>
      <c r="E27" s="93" t="n">
        <v>0.52</v>
      </c>
      <c r="F27" s="93" t="n"/>
      <c r="G27" s="93" t="n"/>
      <c r="H27" s="93" t="n"/>
      <c r="I27" s="93" t="n"/>
      <c r="J27" s="93" t="n"/>
      <c r="K27" s="93" t="n"/>
      <c r="L27" s="190">
        <f>E27*Prices!B$2</f>
        <v/>
      </c>
      <c r="M27" s="190">
        <f>F27*Prices!C$2</f>
        <v/>
      </c>
      <c r="N27" s="190">
        <f>G27*Prices!D$2</f>
        <v/>
      </c>
      <c r="O27" s="190">
        <f>H27*Prices!E$2</f>
        <v/>
      </c>
      <c r="P27" s="190">
        <f>I27*2000+J27*10000+K27*1800</f>
        <v/>
      </c>
      <c r="Q27" s="190">
        <f>D27*Prices!A$2</f>
        <v/>
      </c>
      <c r="R27" s="191">
        <f>L27+M27+N27+O27</f>
        <v/>
      </c>
      <c r="S27" s="190">
        <f>R27+Q27+P27</f>
        <v/>
      </c>
      <c r="T27" s="93" t="n">
        <v>26</v>
      </c>
      <c r="U27" s="93" t="inlineStr">
        <is>
          <t>Sold</t>
        </is>
      </c>
      <c r="V27" s="12" t="n"/>
      <c r="W27" s="12" t="n"/>
      <c r="X27" s="12" t="n"/>
      <c r="Y27" s="12" t="n"/>
      <c r="Z27" s="12" t="n"/>
    </row>
    <row r="28">
      <c r="A28" s="93" t="n">
        <v>27</v>
      </c>
      <c r="B28" s="93" t="n">
        <v>2.76</v>
      </c>
      <c r="C28" s="93">
        <f>B28*(25/100)</f>
        <v/>
      </c>
      <c r="D28" s="93">
        <f>C28+B28</f>
        <v/>
      </c>
      <c r="E28" s="93" t="n">
        <v>0.33</v>
      </c>
      <c r="F28" s="93" t="n"/>
      <c r="G28" s="93" t="n"/>
      <c r="H28" s="93" t="n"/>
      <c r="I28" s="93" t="n"/>
      <c r="J28" s="93" t="n"/>
      <c r="K28" s="93" t="n"/>
      <c r="L28" s="190">
        <f>E28*Prices!B$2</f>
        <v/>
      </c>
      <c r="M28" s="190">
        <f>F28*Prices!C$2</f>
        <v/>
      </c>
      <c r="N28" s="190">
        <f>G28*Prices!D$2</f>
        <v/>
      </c>
      <c r="O28" s="190">
        <f>H28*Prices!E$2</f>
        <v/>
      </c>
      <c r="P28" s="190">
        <f>I28*2000+J28*10000+K28*1800</f>
        <v/>
      </c>
      <c r="Q28" s="190">
        <f>D28*Prices!A$2</f>
        <v/>
      </c>
      <c r="R28" s="191">
        <f>L28+M28+N28+O28</f>
        <v/>
      </c>
      <c r="S28" s="190">
        <f>R28+Q28+P28</f>
        <v/>
      </c>
      <c r="T28" s="93" t="n">
        <v>27</v>
      </c>
      <c r="U28" s="93" t="inlineStr">
        <is>
          <t>Available</t>
        </is>
      </c>
      <c r="V28" s="12" t="inlineStr">
        <is>
          <t>A</t>
        </is>
      </c>
      <c r="W28" s="12" t="n"/>
      <c r="X28" s="12" t="n"/>
      <c r="Y28" s="12" t="n"/>
      <c r="Z28" s="12" t="n"/>
    </row>
    <row r="29">
      <c r="A29" s="93" t="n">
        <v>28</v>
      </c>
      <c r="B29" s="93" t="n">
        <v>1.904</v>
      </c>
      <c r="C29" s="93">
        <f>B29*(25/100)</f>
        <v/>
      </c>
      <c r="D29" s="93">
        <f>C29+B29</f>
        <v/>
      </c>
      <c r="E29" s="93" t="n">
        <v>0.28</v>
      </c>
      <c r="F29" s="93" t="n"/>
      <c r="G29" s="93" t="n"/>
      <c r="H29" s="93" t="n"/>
      <c r="I29" s="93" t="n"/>
      <c r="J29" s="93" t="n"/>
      <c r="K29" s="93" t="n"/>
      <c r="L29" s="190">
        <f>E29*Prices!B$2</f>
        <v/>
      </c>
      <c r="M29" s="190">
        <f>F29*Prices!C$2</f>
        <v/>
      </c>
      <c r="N29" s="190">
        <f>G29*Prices!D$2</f>
        <v/>
      </c>
      <c r="O29" s="190">
        <f>H29*Prices!E$2</f>
        <v/>
      </c>
      <c r="P29" s="190">
        <f>I29*2000+J29*10000+K29*1800</f>
        <v/>
      </c>
      <c r="Q29" s="190">
        <f>D29*Prices!A$2</f>
        <v/>
      </c>
      <c r="R29" s="191">
        <f>L29+M29+N29+O29</f>
        <v/>
      </c>
      <c r="S29" s="190">
        <f>R29+Q29+P29</f>
        <v/>
      </c>
      <c r="T29" s="93" t="n">
        <v>28</v>
      </c>
      <c r="U29" s="93" t="inlineStr">
        <is>
          <t>Sold</t>
        </is>
      </c>
      <c r="V29" s="12" t="n"/>
      <c r="W29" s="12" t="n"/>
      <c r="X29" s="12" t="n"/>
      <c r="Y29" s="12" t="n"/>
      <c r="Z29" s="12" t="n"/>
    </row>
    <row r="30">
      <c r="A30" s="93" t="n">
        <v>29</v>
      </c>
      <c r="B30" s="93" t="n">
        <v>9.384</v>
      </c>
      <c r="C30" s="93">
        <f>B30*(25/100)</f>
        <v/>
      </c>
      <c r="D30" s="93">
        <f>C30+B30</f>
        <v/>
      </c>
      <c r="E30" s="93" t="n">
        <v>1.38</v>
      </c>
      <c r="F30" s="93" t="n"/>
      <c r="G30" s="93" t="n"/>
      <c r="H30" s="93" t="n"/>
      <c r="I30" s="93" t="n"/>
      <c r="J30" s="93" t="n"/>
      <c r="K30" s="93" t="n">
        <v>8</v>
      </c>
      <c r="L30" s="190">
        <f>E30*Prices!B$2</f>
        <v/>
      </c>
      <c r="M30" s="190">
        <f>F30*Prices!C$2</f>
        <v/>
      </c>
      <c r="N30" s="190">
        <f>G30*Prices!D$2</f>
        <v/>
      </c>
      <c r="O30" s="190">
        <f>H30*Prices!E$2</f>
        <v/>
      </c>
      <c r="P30" s="190">
        <f>I30*2000+J30*10000+K30*1800</f>
        <v/>
      </c>
      <c r="Q30" s="190">
        <f>D30*Prices!A$2</f>
        <v/>
      </c>
      <c r="R30" s="191">
        <f>L30+M30+N30+O30</f>
        <v/>
      </c>
      <c r="S30" s="190">
        <f>R30+Q30+P30</f>
        <v/>
      </c>
      <c r="T30" s="93" t="n">
        <v>29</v>
      </c>
      <c r="U30" s="93" t="inlineStr">
        <is>
          <t>Available</t>
        </is>
      </c>
      <c r="V30" s="12" t="inlineStr">
        <is>
          <t>A</t>
        </is>
      </c>
      <c r="W30" s="12" t="n"/>
      <c r="X30" s="12" t="n"/>
      <c r="Y30" s="12" t="n"/>
      <c r="Z30" s="12" t="n"/>
    </row>
    <row r="31">
      <c r="A31" s="93" t="n">
        <v>30</v>
      </c>
      <c r="B31" s="93" t="n">
        <v>7.69</v>
      </c>
      <c r="C31" s="93">
        <f>B31*(25/100)</f>
        <v/>
      </c>
      <c r="D31" s="93">
        <f>C31+B31</f>
        <v/>
      </c>
      <c r="E31" s="93" t="n">
        <v>0.98</v>
      </c>
      <c r="F31" s="93" t="n"/>
      <c r="G31" s="93" t="n"/>
      <c r="H31" s="93" t="n"/>
      <c r="I31" s="93" t="n"/>
      <c r="J31" s="93" t="n"/>
      <c r="K31" s="93" t="n">
        <v>6.42</v>
      </c>
      <c r="L31" s="190">
        <f>E31*Prices!B$2</f>
        <v/>
      </c>
      <c r="M31" s="190">
        <f>F31*Prices!C$2</f>
        <v/>
      </c>
      <c r="N31" s="190">
        <f>G31*Prices!D$2</f>
        <v/>
      </c>
      <c r="O31" s="190">
        <f>H31*Prices!E$2</f>
        <v/>
      </c>
      <c r="P31" s="190">
        <f>I31*2000+J31*10000+K31*1800</f>
        <v/>
      </c>
      <c r="Q31" s="190">
        <f>D31*Prices!A$2</f>
        <v/>
      </c>
      <c r="R31" s="191">
        <f>L31+M31+N31+O31</f>
        <v/>
      </c>
      <c r="S31" s="190">
        <f>R31+Q31+P31</f>
        <v/>
      </c>
      <c r="T31" s="93" t="n">
        <v>30</v>
      </c>
      <c r="U31" s="26" t="inlineStr">
        <is>
          <t>Sold</t>
        </is>
      </c>
      <c r="V31" s="12" t="n"/>
      <c r="W31" s="12" t="n"/>
      <c r="X31" s="12" t="n"/>
      <c r="Y31" s="12" t="n"/>
      <c r="Z31" s="12" t="n"/>
    </row>
    <row r="32">
      <c r="A32" s="93" t="n">
        <v>31</v>
      </c>
      <c r="B32" s="93" t="n">
        <v>4.37</v>
      </c>
      <c r="C32" s="93">
        <f>B32*(25/100)</f>
        <v/>
      </c>
      <c r="D32" s="93">
        <f>C32+B32</f>
        <v/>
      </c>
      <c r="E32" s="93" t="n">
        <v>0.54</v>
      </c>
      <c r="F32" s="93" t="n"/>
      <c r="G32" s="93" t="n"/>
      <c r="H32" s="93" t="n"/>
      <c r="I32" s="93" t="n"/>
      <c r="J32" s="93" t="n"/>
      <c r="K32" s="93" t="n">
        <v>9.960000000000001</v>
      </c>
      <c r="L32" s="190">
        <f>E32*Prices!B$2</f>
        <v/>
      </c>
      <c r="M32" s="190">
        <f>F32*Prices!C$2</f>
        <v/>
      </c>
      <c r="N32" s="190">
        <f>G32*Prices!D$2</f>
        <v/>
      </c>
      <c r="O32" s="190">
        <f>H32*Prices!E$2</f>
        <v/>
      </c>
      <c r="P32" s="190">
        <f>I32*2000+J32*10000+K32*1800</f>
        <v/>
      </c>
      <c r="Q32" s="190">
        <f>D32*Prices!A$2</f>
        <v/>
      </c>
      <c r="R32" s="191">
        <f>L32+M32+N32+O32</f>
        <v/>
      </c>
      <c r="S32" s="190">
        <f>R32+Q32+P32</f>
        <v/>
      </c>
      <c r="T32" s="93" t="n">
        <v>31</v>
      </c>
      <c r="U32" s="26" t="inlineStr">
        <is>
          <t>Sold</t>
        </is>
      </c>
      <c r="V32" s="12" t="n"/>
      <c r="W32" s="12" t="n"/>
      <c r="X32" s="12" t="n"/>
      <c r="Y32" s="12" t="n"/>
      <c r="Z32" s="12" t="n"/>
    </row>
    <row r="33">
      <c r="A33" s="93" t="n">
        <v>32</v>
      </c>
      <c r="B33" s="93" t="n">
        <v>6.42</v>
      </c>
      <c r="C33" s="93">
        <f>B33*(25/100)</f>
        <v/>
      </c>
      <c r="D33" s="93">
        <f>C33+B33</f>
        <v/>
      </c>
      <c r="E33" s="93" t="n">
        <v>0.95</v>
      </c>
      <c r="F33" s="93" t="n"/>
      <c r="G33" s="93" t="n"/>
      <c r="H33" s="93" t="n"/>
      <c r="I33" s="93" t="n"/>
      <c r="J33" s="93" t="n"/>
      <c r="K33" s="93" t="n"/>
      <c r="L33" s="190">
        <f>E33*Prices!B$2</f>
        <v/>
      </c>
      <c r="M33" s="190">
        <f>F33*Prices!C$2</f>
        <v/>
      </c>
      <c r="N33" s="190">
        <f>G33*Prices!D$2</f>
        <v/>
      </c>
      <c r="O33" s="190">
        <f>H33*Prices!E$2</f>
        <v/>
      </c>
      <c r="P33" s="190">
        <f>I33*2000+J33*10000+K33*1800</f>
        <v/>
      </c>
      <c r="Q33" s="190">
        <f>D33*Prices!A$2</f>
        <v/>
      </c>
      <c r="R33" s="191">
        <f>L33+M33+N33+O33</f>
        <v/>
      </c>
      <c r="S33" s="190">
        <f>R33+Q33+P33</f>
        <v/>
      </c>
      <c r="T33" s="93" t="n">
        <v>32</v>
      </c>
      <c r="U33" s="26" t="inlineStr">
        <is>
          <t>Sold</t>
        </is>
      </c>
      <c r="V33" s="12" t="n"/>
      <c r="W33" s="12" t="n"/>
      <c r="X33" s="12" t="n"/>
      <c r="Y33" s="12" t="n"/>
      <c r="Z33" s="12" t="n"/>
    </row>
    <row r="34">
      <c r="A34" s="93" t="n">
        <v>33</v>
      </c>
      <c r="B34" s="93" t="n">
        <v>3.194</v>
      </c>
      <c r="C34" s="93">
        <f>B34*(25/100)</f>
        <v/>
      </c>
      <c r="D34" s="93">
        <f>C34+B34</f>
        <v/>
      </c>
      <c r="E34" s="93" t="n">
        <v>0.7</v>
      </c>
      <c r="F34" s="93" t="n">
        <v>0.08</v>
      </c>
      <c r="G34" s="93" t="n"/>
      <c r="H34" s="93" t="n"/>
      <c r="I34" s="93" t="n"/>
      <c r="J34" s="93" t="n"/>
      <c r="K34" s="93" t="n"/>
      <c r="L34" s="190">
        <f>E34*Prices!B$2</f>
        <v/>
      </c>
      <c r="M34" s="190">
        <f>F34*Prices!C$2</f>
        <v/>
      </c>
      <c r="N34" s="190">
        <f>G34*Prices!D$2</f>
        <v/>
      </c>
      <c r="O34" s="190">
        <f>H34*Prices!E$2</f>
        <v/>
      </c>
      <c r="P34" s="190">
        <f>I34*2000+J34*10000+K34*1800</f>
        <v/>
      </c>
      <c r="Q34" s="190">
        <f>D34*Prices!A$2</f>
        <v/>
      </c>
      <c r="R34" s="191">
        <f>L34+M34+N34+O34</f>
        <v/>
      </c>
      <c r="S34" s="190">
        <f>R34+Q34+P34</f>
        <v/>
      </c>
      <c r="T34" s="93" t="n">
        <v>33</v>
      </c>
      <c r="U34" s="93" t="inlineStr">
        <is>
          <t>Sold</t>
        </is>
      </c>
      <c r="V34" s="12" t="n"/>
      <c r="W34" s="12" t="n"/>
      <c r="X34" s="12" t="n"/>
      <c r="Y34" s="12" t="n"/>
      <c r="Z34" s="12" t="n"/>
    </row>
    <row r="35">
      <c r="A35" s="93" t="n">
        <v>34</v>
      </c>
      <c r="B35" s="93" t="n">
        <v>4.4</v>
      </c>
      <c r="C35" s="93">
        <f>B35*(25/100)</f>
        <v/>
      </c>
      <c r="D35" s="93">
        <f>C35+B35</f>
        <v/>
      </c>
      <c r="E35" s="93" t="n">
        <v>1.22</v>
      </c>
      <c r="F35" s="93" t="n"/>
      <c r="G35" s="93" t="n"/>
      <c r="H35" s="93" t="n"/>
      <c r="I35" s="93" t="n"/>
      <c r="J35" s="93" t="n"/>
      <c r="K35" s="93" t="n"/>
      <c r="L35" s="190">
        <f>E35*Prices!B$2</f>
        <v/>
      </c>
      <c r="M35" s="190">
        <f>F35*Prices!C$2</f>
        <v/>
      </c>
      <c r="N35" s="190">
        <f>G35*Prices!D$2</f>
        <v/>
      </c>
      <c r="O35" s="190">
        <f>H35*Prices!E$2</f>
        <v/>
      </c>
      <c r="P35" s="190">
        <f>I35*2000+J35*10000+K35*1800</f>
        <v/>
      </c>
      <c r="Q35" s="190">
        <f>D35*Prices!A$2</f>
        <v/>
      </c>
      <c r="R35" s="191">
        <f>L35+M35+N35+O35</f>
        <v/>
      </c>
      <c r="S35" s="190">
        <f>R35+Q35+P35</f>
        <v/>
      </c>
      <c r="T35" s="93" t="n">
        <v>34</v>
      </c>
      <c r="U35" s="93" t="inlineStr">
        <is>
          <t>Available</t>
        </is>
      </c>
      <c r="V35" s="12" t="inlineStr">
        <is>
          <t>A</t>
        </is>
      </c>
      <c r="W35" s="12" t="n"/>
      <c r="X35" s="12" t="n"/>
      <c r="Y35" s="12" t="n"/>
      <c r="Z35" s="12" t="n"/>
    </row>
    <row r="36">
      <c r="A36" s="93" t="n">
        <v>35</v>
      </c>
      <c r="B36" s="93" t="n">
        <v>4.31</v>
      </c>
      <c r="C36" s="93">
        <f>B36*(25/100)</f>
        <v/>
      </c>
      <c r="D36" s="93">
        <f>C36+B36</f>
        <v/>
      </c>
      <c r="E36" s="93" t="n">
        <v>0.6</v>
      </c>
      <c r="F36" s="93" t="n"/>
      <c r="G36" s="93" t="n"/>
      <c r="H36" s="93" t="n"/>
      <c r="I36" s="93" t="n"/>
      <c r="J36" s="93" t="n">
        <v>0.7</v>
      </c>
      <c r="K36" s="93" t="n"/>
      <c r="L36" s="190">
        <f>E36*Prices!B$2</f>
        <v/>
      </c>
      <c r="M36" s="190">
        <f>F36*Prices!C$2</f>
        <v/>
      </c>
      <c r="N36" s="190">
        <f>G36*Prices!D$2</f>
        <v/>
      </c>
      <c r="O36" s="190">
        <f>H36*Prices!E$2</f>
        <v/>
      </c>
      <c r="P36" s="190">
        <f>I36*2000+J36*10000+K36*1800</f>
        <v/>
      </c>
      <c r="Q36" s="190">
        <f>D36*Prices!A$2</f>
        <v/>
      </c>
      <c r="R36" s="191">
        <f>L36+M36+N36+O36</f>
        <v/>
      </c>
      <c r="S36" s="190">
        <f>R36+Q36+P36</f>
        <v/>
      </c>
      <c r="T36" s="93" t="n">
        <v>35</v>
      </c>
      <c r="U36" s="93" t="inlineStr">
        <is>
          <t>Available</t>
        </is>
      </c>
      <c r="V36" s="12" t="inlineStr">
        <is>
          <t>A</t>
        </is>
      </c>
      <c r="W36" s="12" t="n"/>
      <c r="X36" s="12" t="n"/>
      <c r="Y36" s="12" t="n"/>
      <c r="Z36" s="12" t="n"/>
    </row>
    <row r="37">
      <c r="A37" s="93" t="n">
        <v>36</v>
      </c>
      <c r="B37" s="93" t="n">
        <v>8.02</v>
      </c>
      <c r="C37" s="93">
        <f>B37*(25/100)</f>
        <v/>
      </c>
      <c r="D37" s="93">
        <f>C37+B37</f>
        <v/>
      </c>
      <c r="E37" s="93" t="n">
        <v>0.96</v>
      </c>
      <c r="F37" s="93" t="n"/>
      <c r="G37" s="93" t="n"/>
      <c r="H37" s="93" t="n"/>
      <c r="I37" s="93" t="n"/>
      <c r="J37" s="93" t="n">
        <v>2.68</v>
      </c>
      <c r="K37" s="93" t="n"/>
      <c r="L37" s="190">
        <f>E37*Prices!B$2</f>
        <v/>
      </c>
      <c r="M37" s="190">
        <f>F37*Prices!C$2</f>
        <v/>
      </c>
      <c r="N37" s="190">
        <f>G37*Prices!D$2</f>
        <v/>
      </c>
      <c r="O37" s="190">
        <f>H37*Prices!E$2</f>
        <v/>
      </c>
      <c r="P37" s="190">
        <f>I37*2000+J37*10000+K37*1800</f>
        <v/>
      </c>
      <c r="Q37" s="190">
        <f>D37*Prices!A$2</f>
        <v/>
      </c>
      <c r="R37" s="191">
        <f>L37+M37+N37+O37</f>
        <v/>
      </c>
      <c r="S37" s="190">
        <f>R37+Q37+P37</f>
        <v/>
      </c>
      <c r="T37" s="93" t="n">
        <v>36</v>
      </c>
      <c r="U37" s="93" t="inlineStr">
        <is>
          <t>Sold</t>
        </is>
      </c>
      <c r="V37" s="12" t="n"/>
      <c r="W37" s="12" t="n"/>
      <c r="X37" s="12" t="n"/>
      <c r="Y37" s="12" t="n"/>
      <c r="Z37" s="12" t="n"/>
    </row>
    <row r="38">
      <c r="A38" s="93" t="n">
        <v>37</v>
      </c>
      <c r="B38" s="93" t="n">
        <v>3.8</v>
      </c>
      <c r="C38" s="93">
        <f>B38*(25/100)</f>
        <v/>
      </c>
      <c r="D38" s="93">
        <f>C38+B38</f>
        <v/>
      </c>
      <c r="E38" s="93" t="n">
        <v>0.33</v>
      </c>
      <c r="F38" s="93" t="n"/>
      <c r="G38" s="93" t="n"/>
      <c r="H38" s="93" t="n"/>
      <c r="I38" s="93" t="n"/>
      <c r="J38" s="93" t="n">
        <v>1.1</v>
      </c>
      <c r="K38" s="93" t="n"/>
      <c r="L38" s="190">
        <f>E38*Prices!B$2</f>
        <v/>
      </c>
      <c r="M38" s="190">
        <f>F38*Prices!C$2</f>
        <v/>
      </c>
      <c r="N38" s="190">
        <f>G38*Prices!D$2</f>
        <v/>
      </c>
      <c r="O38" s="190">
        <f>H38*Prices!E$2</f>
        <v/>
      </c>
      <c r="P38" s="190">
        <f>I38*2000+J38*10000+K38*1800</f>
        <v/>
      </c>
      <c r="Q38" s="190">
        <f>D38*Prices!A$2</f>
        <v/>
      </c>
      <c r="R38" s="191">
        <f>L38+M38+N38+O38</f>
        <v/>
      </c>
      <c r="S38" s="190">
        <f>R38+Q38+P38</f>
        <v/>
      </c>
      <c r="T38" s="93" t="n">
        <v>37</v>
      </c>
      <c r="U38" s="93" t="inlineStr">
        <is>
          <t>Available</t>
        </is>
      </c>
      <c r="V38" s="12" t="inlineStr">
        <is>
          <t>A</t>
        </is>
      </c>
      <c r="W38" s="12" t="n"/>
      <c r="X38" s="12" t="n"/>
      <c r="Y38" s="12" t="n"/>
      <c r="Z38" s="12" t="n"/>
    </row>
    <row r="39">
      <c r="A39" s="93" t="n">
        <v>38</v>
      </c>
      <c r="B39" s="93" t="n">
        <v>5.562</v>
      </c>
      <c r="C39" s="93">
        <f>B39*(25/100)</f>
        <v/>
      </c>
      <c r="D39" s="93">
        <f>C39+B39</f>
        <v/>
      </c>
      <c r="E39" s="93" t="n">
        <v>1.16</v>
      </c>
      <c r="F39" s="93" t="n"/>
      <c r="G39" s="93" t="n"/>
      <c r="H39" s="93" t="n"/>
      <c r="I39" s="93" t="n"/>
      <c r="J39" s="93" t="n">
        <v>1.63</v>
      </c>
      <c r="K39" s="93" t="n"/>
      <c r="L39" s="190">
        <f>E39*Prices!B$2</f>
        <v/>
      </c>
      <c r="M39" s="190">
        <f>F39*Prices!C$2</f>
        <v/>
      </c>
      <c r="N39" s="190">
        <f>G39*Prices!D$2</f>
        <v/>
      </c>
      <c r="O39" s="190">
        <f>H39*Prices!E$2</f>
        <v/>
      </c>
      <c r="P39" s="190">
        <f>I39*2000+J39*10000+K39*1800</f>
        <v/>
      </c>
      <c r="Q39" s="190">
        <f>D39*Prices!A$2</f>
        <v/>
      </c>
      <c r="R39" s="191">
        <f>L39+M39+N39+O39</f>
        <v/>
      </c>
      <c r="S39" s="190">
        <f>R39+Q39+P39</f>
        <v/>
      </c>
      <c r="T39" s="93" t="n">
        <v>38</v>
      </c>
      <c r="U39" s="93" t="inlineStr">
        <is>
          <t>Sold</t>
        </is>
      </c>
      <c r="V39" s="12" t="n"/>
      <c r="W39" s="12" t="n"/>
      <c r="X39" s="12" t="n"/>
      <c r="Y39" s="12" t="n"/>
      <c r="Z39" s="12" t="n"/>
    </row>
    <row r="40">
      <c r="A40" s="93" t="n">
        <v>39</v>
      </c>
      <c r="B40" s="93" t="n">
        <v>2.66</v>
      </c>
      <c r="C40" s="93">
        <f>B40*(25/100)</f>
        <v/>
      </c>
      <c r="D40" s="93">
        <f>C40+B40</f>
        <v/>
      </c>
      <c r="E40" s="93" t="n"/>
      <c r="F40" s="93" t="n"/>
      <c r="G40" s="93" t="n"/>
      <c r="H40" s="93" t="n">
        <v>0.71</v>
      </c>
      <c r="I40" s="93" t="n"/>
      <c r="J40" s="93" t="n"/>
      <c r="K40" s="93" t="n"/>
      <c r="L40" s="190">
        <f>E40*Prices!B$2</f>
        <v/>
      </c>
      <c r="M40" s="190">
        <f>F40*Prices!C$2</f>
        <v/>
      </c>
      <c r="N40" s="190">
        <f>G40*Prices!D$2</f>
        <v/>
      </c>
      <c r="O40" s="190">
        <f>H40*360000</f>
        <v/>
      </c>
      <c r="P40" s="190">
        <f>I40*2000+J40*10000+K40*1800</f>
        <v/>
      </c>
      <c r="Q40" s="190">
        <f>D40*Prices!A$2</f>
        <v/>
      </c>
      <c r="R40" s="191">
        <f>L40+M40+N40+O40</f>
        <v/>
      </c>
      <c r="S40" s="190">
        <f>R40+Q40+P40</f>
        <v/>
      </c>
      <c r="T40" s="93" t="n">
        <v>39</v>
      </c>
      <c r="U40" s="93" t="inlineStr">
        <is>
          <t>Available</t>
        </is>
      </c>
      <c r="V40" s="12" t="inlineStr">
        <is>
          <t>A</t>
        </is>
      </c>
      <c r="W40" s="12" t="n"/>
      <c r="X40" s="12" t="n"/>
      <c r="Y40" s="12" t="n"/>
      <c r="Z40" s="12" t="n"/>
    </row>
    <row r="41">
      <c r="A41" s="93" t="n">
        <v>40</v>
      </c>
      <c r="B41" s="93" t="n">
        <v>3.204</v>
      </c>
      <c r="C41" s="93">
        <f>B41*(25/100)</f>
        <v/>
      </c>
      <c r="D41" s="93">
        <f>C41+B41</f>
        <v/>
      </c>
      <c r="E41" s="93" t="n">
        <v>0.5</v>
      </c>
      <c r="F41" s="93" t="n"/>
      <c r="G41" s="93" t="n"/>
      <c r="H41" s="93" t="n">
        <v>0.28</v>
      </c>
      <c r="I41" s="93" t="n"/>
      <c r="J41" s="93" t="n"/>
      <c r="K41" s="93" t="n"/>
      <c r="L41" s="190">
        <f>E41*Prices!B$2</f>
        <v/>
      </c>
      <c r="M41" s="190">
        <f>F41*Prices!C$2</f>
        <v/>
      </c>
      <c r="N41" s="190">
        <f>G41*Prices!D$2</f>
        <v/>
      </c>
      <c r="O41" s="190">
        <f>H41*200000</f>
        <v/>
      </c>
      <c r="P41" s="190">
        <f>I41*2000+J41*10000+K41*1800</f>
        <v/>
      </c>
      <c r="Q41" s="190">
        <f>D41*Prices!A$2</f>
        <v/>
      </c>
      <c r="R41" s="191">
        <f>L41+M41+N41+O41</f>
        <v/>
      </c>
      <c r="S41" s="190">
        <f>R41+Q41+P41</f>
        <v/>
      </c>
      <c r="T41" s="93" t="n">
        <v>40</v>
      </c>
      <c r="U41" s="93" t="inlineStr">
        <is>
          <t>Available</t>
        </is>
      </c>
      <c r="V41" s="12" t="inlineStr">
        <is>
          <t>A</t>
        </is>
      </c>
      <c r="W41" s="12" t="n"/>
      <c r="X41" s="12" t="n"/>
      <c r="Y41" s="12" t="n"/>
      <c r="Z41" s="12" t="n"/>
    </row>
    <row r="42">
      <c r="A42" s="93" t="n">
        <v>41</v>
      </c>
      <c r="B42" s="93" t="n">
        <v>3.91</v>
      </c>
      <c r="C42" s="93">
        <f>B42*(25/100)</f>
        <v/>
      </c>
      <c r="D42" s="93">
        <f>C42+B42</f>
        <v/>
      </c>
      <c r="E42" s="93" t="n"/>
      <c r="F42" s="93" t="n"/>
      <c r="G42" s="93" t="n"/>
      <c r="H42" s="93" t="n">
        <v>0.7</v>
      </c>
      <c r="I42" s="93" t="n"/>
      <c r="J42" s="93" t="n"/>
      <c r="K42" s="93" t="n"/>
      <c r="L42" s="190">
        <f>E42*Prices!B$2</f>
        <v/>
      </c>
      <c r="M42" s="190">
        <f>F42*Prices!C$2</f>
        <v/>
      </c>
      <c r="N42" s="190">
        <f>G42*Prices!D$2</f>
        <v/>
      </c>
      <c r="O42" s="190">
        <f>H42*360000</f>
        <v/>
      </c>
      <c r="P42" s="190">
        <f>I42*2000+J42*10000+K42*1800</f>
        <v/>
      </c>
      <c r="Q42" s="190">
        <f>D42*Prices!A$2</f>
        <v/>
      </c>
      <c r="R42" s="191">
        <f>L42+M42+N42+O42</f>
        <v/>
      </c>
      <c r="S42" s="190">
        <f>R42+Q42+P42</f>
        <v/>
      </c>
      <c r="T42" s="93" t="n">
        <v>41</v>
      </c>
      <c r="U42" s="26" t="inlineStr">
        <is>
          <t>Sold</t>
        </is>
      </c>
      <c r="V42" s="12" t="n"/>
      <c r="W42" s="12" t="n"/>
      <c r="X42" s="12" t="n"/>
      <c r="Y42" s="12" t="n"/>
      <c r="Z42" s="12" t="n"/>
    </row>
    <row r="43">
      <c r="A43" s="93" t="n">
        <v>42</v>
      </c>
      <c r="B43" s="93" t="n">
        <v>3.688</v>
      </c>
      <c r="C43" s="93">
        <f>B43*(25/100)</f>
        <v/>
      </c>
      <c r="D43" s="93">
        <f>C43+B43</f>
        <v/>
      </c>
      <c r="E43" s="93" t="n"/>
      <c r="F43" s="93" t="n"/>
      <c r="G43" s="93" t="n"/>
      <c r="H43" s="93" t="n">
        <v>0.5600000000000001</v>
      </c>
      <c r="I43" s="93" t="n"/>
      <c r="J43" s="93" t="n"/>
      <c r="K43" s="93" t="n"/>
      <c r="L43" s="190">
        <f>E43*Prices!B$2</f>
        <v/>
      </c>
      <c r="M43" s="190">
        <f>F43*Prices!C$2</f>
        <v/>
      </c>
      <c r="N43" s="190">
        <f>G43*Prices!D$2</f>
        <v/>
      </c>
      <c r="O43" s="190">
        <f>H43*290000</f>
        <v/>
      </c>
      <c r="P43" s="190">
        <f>I43*2000+J43*10000+K43*1800</f>
        <v/>
      </c>
      <c r="Q43" s="190">
        <f>D43*Prices!A$2</f>
        <v/>
      </c>
      <c r="R43" s="191">
        <f>L43+M43+N43+O43</f>
        <v/>
      </c>
      <c r="S43" s="190">
        <f>R43+Q43+P43</f>
        <v/>
      </c>
      <c r="T43" s="93" t="n">
        <v>42</v>
      </c>
      <c r="U43" s="93" t="inlineStr">
        <is>
          <t>Available</t>
        </is>
      </c>
      <c r="V43" s="12" t="inlineStr">
        <is>
          <t>A</t>
        </is>
      </c>
      <c r="W43" s="12" t="n"/>
      <c r="X43" s="12" t="n"/>
      <c r="Y43" s="12" t="n"/>
      <c r="Z43" s="12" t="n"/>
    </row>
    <row r="44">
      <c r="A44" s="93" t="n">
        <v>43</v>
      </c>
      <c r="B44" s="93" t="n">
        <v>4.006</v>
      </c>
      <c r="C44" s="93">
        <f>B44*(25/100)</f>
        <v/>
      </c>
      <c r="D44" s="93">
        <f>C44+B44</f>
        <v/>
      </c>
      <c r="E44" s="93" t="n">
        <v>0.72</v>
      </c>
      <c r="F44" s="93" t="n"/>
      <c r="G44" s="93" t="n"/>
      <c r="H44" s="93" t="n"/>
      <c r="I44" s="93" t="n"/>
      <c r="J44" s="93" t="n"/>
      <c r="K44" s="93" t="n"/>
      <c r="L44" s="190">
        <f>E44*Prices!B$2</f>
        <v/>
      </c>
      <c r="M44" s="190">
        <f>F44*Prices!C$2</f>
        <v/>
      </c>
      <c r="N44" s="190">
        <f>G44*Prices!D$2</f>
        <v/>
      </c>
      <c r="O44" s="190">
        <f>H44*Prices!E$2</f>
        <v/>
      </c>
      <c r="P44" s="190">
        <f>I44*2000+J44*10000+K44*1800</f>
        <v/>
      </c>
      <c r="Q44" s="190">
        <f>D44*Prices!A$2</f>
        <v/>
      </c>
      <c r="R44" s="191">
        <f>L44+M44+N44+O44</f>
        <v/>
      </c>
      <c r="S44" s="190">
        <f>R44+Q44+P44</f>
        <v/>
      </c>
      <c r="T44" s="93" t="n">
        <v>43</v>
      </c>
      <c r="U44" s="93" t="inlineStr">
        <is>
          <t>Available</t>
        </is>
      </c>
      <c r="V44" s="12" t="inlineStr">
        <is>
          <t>A</t>
        </is>
      </c>
      <c r="W44" s="12" t="n"/>
      <c r="X44" s="12" t="n"/>
      <c r="Y44" s="12" t="n"/>
      <c r="Z44" s="12" t="n"/>
    </row>
    <row r="45">
      <c r="A45" s="93" t="n">
        <v>44</v>
      </c>
      <c r="B45" s="93" t="n">
        <v>6.64</v>
      </c>
      <c r="C45" s="93">
        <f>B45*(25/100)</f>
        <v/>
      </c>
      <c r="D45" s="93">
        <f>C45+B45</f>
        <v/>
      </c>
      <c r="E45" s="93">
        <f>0.52+0.3</f>
        <v/>
      </c>
      <c r="F45" s="93" t="n"/>
      <c r="G45" s="93" t="n"/>
      <c r="H45" s="93" t="n"/>
      <c r="I45" s="93" t="n"/>
      <c r="J45" s="93" t="n"/>
      <c r="K45" s="93" t="n"/>
      <c r="L45" s="190">
        <f>E45*Prices!B$2</f>
        <v/>
      </c>
      <c r="M45" s="190">
        <f>F45*Prices!C$2</f>
        <v/>
      </c>
      <c r="N45" s="190">
        <f>G45*Prices!D$2</f>
        <v/>
      </c>
      <c r="O45" s="190">
        <f>H45*Prices!E$2</f>
        <v/>
      </c>
      <c r="P45" s="190">
        <f>I45*2000+J45*10000+K45*1800</f>
        <v/>
      </c>
      <c r="Q45" s="190">
        <f>D45*Prices!A$2</f>
        <v/>
      </c>
      <c r="R45" s="191">
        <f>L45+M45+N45+O45</f>
        <v/>
      </c>
      <c r="S45" s="190">
        <f>R45+Q45+P45</f>
        <v/>
      </c>
      <c r="T45" s="93" t="n">
        <v>44</v>
      </c>
      <c r="U45" s="93" t="inlineStr">
        <is>
          <t>Available</t>
        </is>
      </c>
      <c r="V45" s="12" t="inlineStr">
        <is>
          <t>A</t>
        </is>
      </c>
      <c r="W45" s="12" t="n"/>
      <c r="X45" s="12" t="n"/>
      <c r="Y45" s="12" t="n"/>
      <c r="Z45" s="12" t="n"/>
    </row>
    <row r="46">
      <c r="A46" s="93" t="n">
        <v>45</v>
      </c>
      <c r="B46" s="93" t="n">
        <v>5.934</v>
      </c>
      <c r="C46" s="93">
        <f>B46*(25/100)</f>
        <v/>
      </c>
      <c r="D46" s="93">
        <f>C46+B46</f>
        <v/>
      </c>
      <c r="E46" s="93" t="n">
        <v>1.13</v>
      </c>
      <c r="F46" s="93" t="n"/>
      <c r="G46" s="93" t="n"/>
      <c r="H46" s="93" t="n"/>
      <c r="I46" s="93" t="n"/>
      <c r="J46" s="93" t="n"/>
      <c r="K46" s="93" t="n">
        <v>7.8</v>
      </c>
      <c r="L46" s="190">
        <f>E46*Prices!B$2</f>
        <v/>
      </c>
      <c r="M46" s="190">
        <f>F46*Prices!C$2</f>
        <v/>
      </c>
      <c r="N46" s="190">
        <f>G46*Prices!D$2</f>
        <v/>
      </c>
      <c r="O46" s="190">
        <f>H46*Prices!E$2</f>
        <v/>
      </c>
      <c r="P46" s="190">
        <f>I46*2000+J46*10000+K46*1800</f>
        <v/>
      </c>
      <c r="Q46" s="190">
        <f>D46*Prices!A$2</f>
        <v/>
      </c>
      <c r="R46" s="191">
        <f>L46+M46+N46+O46</f>
        <v/>
      </c>
      <c r="S46" s="190">
        <f>R46+Q46+P46</f>
        <v/>
      </c>
      <c r="T46" s="93" t="n">
        <v>45</v>
      </c>
      <c r="U46" s="93" t="inlineStr">
        <is>
          <t>Sold</t>
        </is>
      </c>
      <c r="V46" s="12" t="n"/>
      <c r="W46" s="12" t="n"/>
      <c r="X46" s="12" t="n"/>
      <c r="Y46" s="12" t="n"/>
      <c r="Z46" s="12" t="n"/>
    </row>
    <row r="47">
      <c r="A47" s="93" t="n">
        <v>46</v>
      </c>
      <c r="B47" s="93" t="n">
        <v>10.44</v>
      </c>
      <c r="C47" s="93">
        <f>B47*(25/100)</f>
        <v/>
      </c>
      <c r="D47" s="93">
        <f>C47+B47</f>
        <v/>
      </c>
      <c r="E47" s="93" t="n">
        <v>1.97</v>
      </c>
      <c r="F47" s="93" t="n"/>
      <c r="G47" s="93" t="n"/>
      <c r="H47" s="93" t="n"/>
      <c r="I47" s="93" t="n"/>
      <c r="J47" s="93" t="n"/>
      <c r="K47" s="93" t="n">
        <v>6.3</v>
      </c>
      <c r="L47" s="190">
        <f>E47*Prices!B$2</f>
        <v/>
      </c>
      <c r="M47" s="190">
        <f>F47*Prices!C$2</f>
        <v/>
      </c>
      <c r="N47" s="190">
        <f>G47*Prices!D$2</f>
        <v/>
      </c>
      <c r="O47" s="190">
        <f>H47*Prices!E$2</f>
        <v/>
      </c>
      <c r="P47" s="190">
        <f>I47*2000+J47*10000+K47*1800</f>
        <v/>
      </c>
      <c r="Q47" s="190">
        <f>D47*Prices!A$2</f>
        <v/>
      </c>
      <c r="R47" s="191">
        <f>L47+M47+N47+O47</f>
        <v/>
      </c>
      <c r="S47" s="190">
        <f>R47+Q47+P47</f>
        <v/>
      </c>
      <c r="T47" s="93" t="n">
        <v>46</v>
      </c>
      <c r="U47" s="93" t="inlineStr">
        <is>
          <t>Available</t>
        </is>
      </c>
      <c r="V47" s="12" t="inlineStr">
        <is>
          <t>A</t>
        </is>
      </c>
      <c r="W47" s="12" t="n"/>
      <c r="X47" s="12" t="n"/>
      <c r="Y47" s="12" t="n"/>
      <c r="Z47" s="12" t="n"/>
    </row>
    <row r="48">
      <c r="A48" s="93" t="n">
        <v>47</v>
      </c>
      <c r="B48" s="93" t="n">
        <v>5.174</v>
      </c>
      <c r="C48" s="93">
        <f>B48*(25/100)</f>
        <v/>
      </c>
      <c r="D48" s="93">
        <f>C48+B48</f>
        <v/>
      </c>
      <c r="E48" s="93" t="n">
        <v>0.77</v>
      </c>
      <c r="F48" s="93" t="n"/>
      <c r="G48" s="93" t="n"/>
      <c r="H48" s="93" t="n"/>
      <c r="I48" s="93" t="n"/>
      <c r="J48" s="93" t="n"/>
      <c r="K48" s="93" t="n">
        <v>6.36</v>
      </c>
      <c r="L48" s="190">
        <f>E48*Prices!B$2</f>
        <v/>
      </c>
      <c r="M48" s="190">
        <f>F48*Prices!C$2</f>
        <v/>
      </c>
      <c r="N48" s="190">
        <f>G48*Prices!D$2</f>
        <v/>
      </c>
      <c r="O48" s="190">
        <f>H48*Prices!E$2</f>
        <v/>
      </c>
      <c r="P48" s="190">
        <f>I48*2000+J48*10000+K48*1800</f>
        <v/>
      </c>
      <c r="Q48" s="190">
        <f>D48*Prices!A$2</f>
        <v/>
      </c>
      <c r="R48" s="191">
        <f>L48+M48+N48+O48</f>
        <v/>
      </c>
      <c r="S48" s="190">
        <f>R48+Q48+P48</f>
        <v/>
      </c>
      <c r="T48" s="93" t="n">
        <v>47</v>
      </c>
      <c r="U48" s="93" t="inlineStr">
        <is>
          <t>Sold</t>
        </is>
      </c>
      <c r="V48" s="12" t="n"/>
      <c r="W48" s="12" t="n"/>
      <c r="X48" s="12" t="n"/>
      <c r="Y48" s="12" t="n"/>
      <c r="Z48" s="12" t="n"/>
    </row>
    <row r="49">
      <c r="A49" s="93" t="n">
        <v>48</v>
      </c>
      <c r="B49" s="93" t="n">
        <v>4.932</v>
      </c>
      <c r="C49" s="93">
        <f>B49*(25/100)</f>
        <v/>
      </c>
      <c r="D49" s="93">
        <f>C49+B49</f>
        <v/>
      </c>
      <c r="E49" s="93" t="n">
        <v>0.39</v>
      </c>
      <c r="F49" s="93" t="n"/>
      <c r="G49" s="93" t="n"/>
      <c r="H49" s="93" t="n"/>
      <c r="I49" s="93" t="n"/>
      <c r="J49" s="93" t="n"/>
      <c r="K49" s="93" t="n"/>
      <c r="L49" s="190">
        <f>E49*Prices!B$2</f>
        <v/>
      </c>
      <c r="M49" s="190">
        <f>F49*Prices!C$2</f>
        <v/>
      </c>
      <c r="N49" s="190">
        <f>G49*Prices!D$2</f>
        <v/>
      </c>
      <c r="O49" s="190">
        <f>H49*Prices!E$2</f>
        <v/>
      </c>
      <c r="P49" s="190">
        <f>I49*2000+J49*10000+K49*1800</f>
        <v/>
      </c>
      <c r="Q49" s="190">
        <f>D49*Prices!A$2</f>
        <v/>
      </c>
      <c r="R49" s="191">
        <f>L49+M49+N49+O49</f>
        <v/>
      </c>
      <c r="S49" s="190">
        <f>R49+Q49+P49</f>
        <v/>
      </c>
      <c r="T49" s="93" t="n">
        <v>48</v>
      </c>
      <c r="U49" s="93" t="inlineStr">
        <is>
          <t>Sold</t>
        </is>
      </c>
      <c r="V49" s="12" t="n"/>
      <c r="W49" s="12" t="n"/>
      <c r="X49" s="12" t="n"/>
      <c r="Y49" s="12" t="n"/>
      <c r="Z49" s="12" t="n"/>
    </row>
    <row r="50">
      <c r="A50" s="93" t="n">
        <v>49</v>
      </c>
      <c r="B50" s="93" t="n">
        <v>5.852</v>
      </c>
      <c r="C50" s="93">
        <f>B50*(25/100)</f>
        <v/>
      </c>
      <c r="D50" s="93">
        <f>C50+B50</f>
        <v/>
      </c>
      <c r="E50" s="93" t="n">
        <v>1.67</v>
      </c>
      <c r="F50" s="93" t="n"/>
      <c r="G50" s="93" t="n"/>
      <c r="H50" s="93" t="n"/>
      <c r="I50" s="93" t="n"/>
      <c r="J50" s="93" t="n"/>
      <c r="K50" s="93" t="n">
        <v>5.32</v>
      </c>
      <c r="L50" s="190">
        <f>E50*Prices!B$2</f>
        <v/>
      </c>
      <c r="M50" s="190">
        <f>F50*Prices!C$2</f>
        <v/>
      </c>
      <c r="N50" s="190">
        <f>G50*Prices!D$2</f>
        <v/>
      </c>
      <c r="O50" s="190">
        <f>H50*Prices!E$2</f>
        <v/>
      </c>
      <c r="P50" s="190">
        <f>I50*2000+J50*10000+K50*1800</f>
        <v/>
      </c>
      <c r="Q50" s="190">
        <f>D50*Prices!A$2</f>
        <v/>
      </c>
      <c r="R50" s="191">
        <f>L50+M50+N50+O50</f>
        <v/>
      </c>
      <c r="S50" s="190">
        <f>R50+Q50+P50</f>
        <v/>
      </c>
      <c r="T50" s="93" t="n">
        <v>49</v>
      </c>
      <c r="U50" s="93" t="inlineStr">
        <is>
          <t>Sold</t>
        </is>
      </c>
      <c r="V50" s="12" t="n"/>
      <c r="W50" s="12" t="n"/>
      <c r="X50" s="12" t="n"/>
      <c r="Y50" s="12" t="n"/>
      <c r="Z50" s="12" t="n"/>
    </row>
    <row r="51">
      <c r="A51" s="93" t="n">
        <v>50</v>
      </c>
      <c r="B51" s="93" t="n">
        <v>4.95</v>
      </c>
      <c r="C51" s="93">
        <f>B51*(25/100)</f>
        <v/>
      </c>
      <c r="D51" s="93">
        <f>C51+B51</f>
        <v/>
      </c>
      <c r="E51" s="93" t="n">
        <v>1.1</v>
      </c>
      <c r="F51" s="93" t="n"/>
      <c r="G51" s="93" t="n"/>
      <c r="H51" s="93" t="n"/>
      <c r="I51" s="93" t="n"/>
      <c r="J51" s="93" t="n"/>
      <c r="K51" s="93" t="n"/>
      <c r="L51" s="190">
        <f>E51*Prices!B$2</f>
        <v/>
      </c>
      <c r="M51" s="190">
        <f>F51*Prices!C$2</f>
        <v/>
      </c>
      <c r="N51" s="190">
        <f>G51*Prices!D$2</f>
        <v/>
      </c>
      <c r="O51" s="190">
        <f>H51*Prices!E$2</f>
        <v/>
      </c>
      <c r="P51" s="190">
        <f>I51*2000+J51*10000+K51*1800</f>
        <v/>
      </c>
      <c r="Q51" s="190">
        <f>D51*Prices!A$2</f>
        <v/>
      </c>
      <c r="R51" s="191">
        <f>L51+M51+N51+O51</f>
        <v/>
      </c>
      <c r="S51" s="190">
        <f>R51+Q51+P51</f>
        <v/>
      </c>
      <c r="T51" s="93" t="n">
        <v>50</v>
      </c>
      <c r="U51" s="93" t="inlineStr">
        <is>
          <t>Available</t>
        </is>
      </c>
      <c r="V51" s="12" t="inlineStr">
        <is>
          <t>A</t>
        </is>
      </c>
      <c r="W51" s="12" t="n"/>
      <c r="X51" s="12" t="n"/>
      <c r="Y51" s="12" t="n"/>
      <c r="Z51" s="12" t="n"/>
    </row>
    <row r="52">
      <c r="A52" s="192" t="n">
        <v>51</v>
      </c>
      <c r="B52" s="192" t="n">
        <v>5.614</v>
      </c>
      <c r="C52" s="192">
        <f>B52*(25/100)</f>
        <v/>
      </c>
      <c r="D52" s="192">
        <f>C52+B52</f>
        <v/>
      </c>
      <c r="E52" s="192">
        <f>0.23+0.18</f>
        <v/>
      </c>
      <c r="F52" s="192" t="n"/>
      <c r="G52" s="192" t="n"/>
      <c r="H52" s="192" t="n"/>
      <c r="I52" s="192" t="n"/>
      <c r="J52" s="192" t="n"/>
      <c r="K52" s="192" t="n">
        <v>2.52</v>
      </c>
      <c r="L52" s="190">
        <f>E52*Prices!B$2</f>
        <v/>
      </c>
      <c r="M52" s="190">
        <f>F52*Prices!C$2</f>
        <v/>
      </c>
      <c r="N52" s="190">
        <f>G52*Prices!D$2</f>
        <v/>
      </c>
      <c r="O52" s="190">
        <f>H52*Prices!E$2</f>
        <v/>
      </c>
      <c r="P52" s="190">
        <f>I52*2000+J52*10000+K52*1800</f>
        <v/>
      </c>
      <c r="Q52" s="190">
        <f>D52*Prices!A$2</f>
        <v/>
      </c>
      <c r="R52" s="194">
        <f>L52+M52+N52+O52</f>
        <v/>
      </c>
      <c r="S52" s="193">
        <f>R52+Q52+P52</f>
        <v/>
      </c>
      <c r="T52" s="192" t="n">
        <v>51</v>
      </c>
      <c r="U52" s="93" t="inlineStr">
        <is>
          <t>Return</t>
        </is>
      </c>
      <c r="V52" s="12" t="n"/>
      <c r="W52" s="12" t="n"/>
      <c r="X52" s="12" t="n"/>
      <c r="Y52" s="12" t="n"/>
      <c r="Z52" s="12" t="n"/>
    </row>
    <row r="53">
      <c r="A53" s="93" t="n">
        <v>52</v>
      </c>
      <c r="B53" s="93" t="n">
        <v>3.318</v>
      </c>
      <c r="C53" s="93">
        <f>B53*(25/100)</f>
        <v/>
      </c>
      <c r="D53" s="93">
        <f>C53+B53</f>
        <v/>
      </c>
      <c r="E53" s="93" t="n">
        <v>0.65</v>
      </c>
      <c r="F53" s="93" t="n"/>
      <c r="G53" s="93" t="n"/>
      <c r="H53" s="93" t="n"/>
      <c r="I53" s="93" t="n"/>
      <c r="J53" s="93" t="n"/>
      <c r="K53" s="93" t="n"/>
      <c r="L53" s="190">
        <f>E53*Prices!B$2</f>
        <v/>
      </c>
      <c r="M53" s="190">
        <f>F53*Prices!C$2</f>
        <v/>
      </c>
      <c r="N53" s="190">
        <f>G53*Prices!D$2</f>
        <v/>
      </c>
      <c r="O53" s="190">
        <f>H53*Prices!E$2</f>
        <v/>
      </c>
      <c r="P53" s="190">
        <f>I53*2000+J53*10000+K53*1800</f>
        <v/>
      </c>
      <c r="Q53" s="190">
        <f>D53*Prices!A$2</f>
        <v/>
      </c>
      <c r="R53" s="191">
        <f>L53+M53+N53+O53</f>
        <v/>
      </c>
      <c r="S53" s="190">
        <f>R53+Q53+P53</f>
        <v/>
      </c>
      <c r="T53" s="93" t="n">
        <v>52</v>
      </c>
      <c r="U53" s="93" t="inlineStr">
        <is>
          <t>Sold</t>
        </is>
      </c>
      <c r="V53" s="12" t="n"/>
      <c r="W53" s="12" t="n"/>
      <c r="X53" s="12" t="n"/>
      <c r="Y53" s="12" t="n"/>
      <c r="Z53" s="12" t="n"/>
    </row>
    <row r="54">
      <c r="A54" s="192" t="n">
        <v>53</v>
      </c>
      <c r="B54" s="192" t="n">
        <v>5.804</v>
      </c>
      <c r="C54" s="192">
        <f>B54*(25/100)</f>
        <v/>
      </c>
      <c r="D54" s="192">
        <f>C54+B54</f>
        <v/>
      </c>
      <c r="E54" s="192" t="n">
        <v>0.86</v>
      </c>
      <c r="F54" s="192" t="n"/>
      <c r="G54" s="192" t="n"/>
      <c r="H54" s="192" t="n"/>
      <c r="I54" s="192" t="n"/>
      <c r="J54" s="192" t="n"/>
      <c r="K54" s="192" t="n">
        <v>4.92</v>
      </c>
      <c r="L54" s="193">
        <f>E54*Prices!B$2</f>
        <v/>
      </c>
      <c r="M54" s="193">
        <f>F54*Prices!C$2</f>
        <v/>
      </c>
      <c r="N54" s="193">
        <f>G54*Prices!D$2</f>
        <v/>
      </c>
      <c r="O54" s="193">
        <f>H54*Prices!E$2</f>
        <v/>
      </c>
      <c r="P54" s="193">
        <f>I54*2000+J54*10000+K54*1800</f>
        <v/>
      </c>
      <c r="Q54" s="193">
        <f>D54*Prices!A$2</f>
        <v/>
      </c>
      <c r="R54" s="194">
        <f>L54+M54+N54+O54</f>
        <v/>
      </c>
      <c r="S54" s="193">
        <f>R54+Q54+P54</f>
        <v/>
      </c>
      <c r="T54" s="192" t="n">
        <v>53</v>
      </c>
      <c r="U54" s="192" t="inlineStr">
        <is>
          <t>Return</t>
        </is>
      </c>
      <c r="V54" s="195" t="n"/>
      <c r="W54" s="195" t="n"/>
      <c r="X54" s="195" t="n"/>
      <c r="Y54" s="195" t="n"/>
      <c r="Z54" s="195" t="n"/>
    </row>
    <row r="55">
      <c r="A55" s="192" t="n">
        <v>54</v>
      </c>
      <c r="B55" s="192" t="n">
        <v>7.378</v>
      </c>
      <c r="C55" s="192">
        <f>B55*(25/100)</f>
        <v/>
      </c>
      <c r="D55" s="192">
        <f>C55+B55</f>
        <v/>
      </c>
      <c r="E55" s="192" t="n">
        <v>0.92</v>
      </c>
      <c r="F55" s="192" t="n"/>
      <c r="G55" s="192" t="n"/>
      <c r="H55" s="192" t="n"/>
      <c r="I55" s="192" t="n"/>
      <c r="J55" s="192" t="n"/>
      <c r="K55" s="192" t="n">
        <v>4.84</v>
      </c>
      <c r="L55" s="193">
        <f>E55*Prices!B$2</f>
        <v/>
      </c>
      <c r="M55" s="193">
        <f>F55*Prices!C$2</f>
        <v/>
      </c>
      <c r="N55" s="193">
        <f>G55*Prices!D$2</f>
        <v/>
      </c>
      <c r="O55" s="193">
        <f>H55*Prices!E$2</f>
        <v/>
      </c>
      <c r="P55" s="193">
        <f>I55*2000+J55*10000+K55*1800</f>
        <v/>
      </c>
      <c r="Q55" s="193">
        <f>D55*Prices!A$2</f>
        <v/>
      </c>
      <c r="R55" s="194">
        <f>L55+M55+N55+O55</f>
        <v/>
      </c>
      <c r="S55" s="193">
        <f>R55+Q55+P55</f>
        <v/>
      </c>
      <c r="T55" s="192" t="n">
        <v>54</v>
      </c>
      <c r="U55" s="192" t="inlineStr">
        <is>
          <t>Return</t>
        </is>
      </c>
      <c r="V55" s="195" t="n"/>
      <c r="W55" s="195" t="n"/>
      <c r="X55" s="195" t="n"/>
      <c r="Y55" s="195" t="n"/>
      <c r="Z55" s="195" t="n"/>
    </row>
    <row r="56">
      <c r="A56" s="93" t="n">
        <v>55</v>
      </c>
      <c r="B56" s="93" t="n">
        <v>3.702</v>
      </c>
      <c r="C56" s="93">
        <f>B56*(25/100)</f>
        <v/>
      </c>
      <c r="D56" s="93">
        <f>C56+B56</f>
        <v/>
      </c>
      <c r="E56" s="93" t="n">
        <v>0.54</v>
      </c>
      <c r="F56" s="93" t="n"/>
      <c r="G56" s="93" t="n"/>
      <c r="H56" s="93" t="n"/>
      <c r="I56" s="93" t="n"/>
      <c r="J56" s="93" t="n"/>
      <c r="K56" s="93" t="n"/>
      <c r="L56" s="190">
        <f>E56*Prices!B$2</f>
        <v/>
      </c>
      <c r="M56" s="190">
        <f>F56*Prices!C$2</f>
        <v/>
      </c>
      <c r="N56" s="190">
        <f>G56*Prices!D$2</f>
        <v/>
      </c>
      <c r="O56" s="190">
        <f>H56*Prices!E$2</f>
        <v/>
      </c>
      <c r="P56" s="190">
        <f>I56*2000+J56*10000+K56*1800</f>
        <v/>
      </c>
      <c r="Q56" s="190">
        <f>D56*Prices!A$2</f>
        <v/>
      </c>
      <c r="R56" s="191">
        <f>L56+M56+N56+O56</f>
        <v/>
      </c>
      <c r="S56" s="190">
        <f>R56+Q56+P56</f>
        <v/>
      </c>
      <c r="T56" s="93" t="n">
        <v>55</v>
      </c>
      <c r="U56" s="93" t="inlineStr">
        <is>
          <t>Available</t>
        </is>
      </c>
      <c r="V56" s="12" t="inlineStr">
        <is>
          <t>A</t>
        </is>
      </c>
      <c r="W56" s="12" t="n"/>
      <c r="X56" s="12" t="n"/>
      <c r="Y56" s="12" t="n"/>
      <c r="Z56" s="12" t="n"/>
    </row>
    <row r="57">
      <c r="A57" s="93" t="n">
        <v>56</v>
      </c>
      <c r="B57" s="93" t="n">
        <v>2.8</v>
      </c>
      <c r="C57" s="93">
        <f>B57*(25/100)</f>
        <v/>
      </c>
      <c r="D57" s="93">
        <f>C57+B57</f>
        <v/>
      </c>
      <c r="E57" s="93" t="n">
        <v>0.35</v>
      </c>
      <c r="F57" s="93" t="n"/>
      <c r="G57" s="93" t="n"/>
      <c r="H57" s="93" t="n"/>
      <c r="I57" s="93" t="n"/>
      <c r="J57" s="93" t="n"/>
      <c r="K57" s="93" t="n"/>
      <c r="L57" s="190">
        <f>E57*Prices!B$2</f>
        <v/>
      </c>
      <c r="M57" s="190">
        <f>F57*Prices!C$2</f>
        <v/>
      </c>
      <c r="N57" s="190">
        <f>G57*Prices!D$2</f>
        <v/>
      </c>
      <c r="O57" s="190">
        <f>H57*Prices!E$2</f>
        <v/>
      </c>
      <c r="P57" s="190">
        <f>I57*2000+J57*10000+K57*1800</f>
        <v/>
      </c>
      <c r="Q57" s="190">
        <f>D57*Prices!A$2</f>
        <v/>
      </c>
      <c r="R57" s="191">
        <f>L57+M57+N57+O57</f>
        <v/>
      </c>
      <c r="S57" s="190">
        <f>R57+Q57+P57</f>
        <v/>
      </c>
      <c r="T57" s="93" t="n">
        <v>56</v>
      </c>
      <c r="U57" s="93" t="inlineStr">
        <is>
          <t>Sold</t>
        </is>
      </c>
      <c r="V57" s="12" t="n"/>
      <c r="W57" s="12" t="n"/>
      <c r="X57" s="12" t="n"/>
      <c r="Y57" s="12" t="n"/>
      <c r="Z57" s="12" t="n"/>
    </row>
    <row r="58">
      <c r="A58" s="93" t="n">
        <v>57</v>
      </c>
      <c r="B58" s="93" t="n">
        <v>3.126</v>
      </c>
      <c r="C58" s="93">
        <f>B58*(25/100)</f>
        <v/>
      </c>
      <c r="D58" s="93">
        <f>C58+B58</f>
        <v/>
      </c>
      <c r="E58" s="93" t="n">
        <v>0.42</v>
      </c>
      <c r="F58" s="93" t="n">
        <v>0.65</v>
      </c>
      <c r="G58" s="93" t="n"/>
      <c r="H58" s="93" t="n"/>
      <c r="I58" s="93" t="n"/>
      <c r="J58" s="93" t="n"/>
      <c r="K58" s="93" t="n"/>
      <c r="L58" s="190">
        <f>E58*Prices!B$2</f>
        <v/>
      </c>
      <c r="M58" s="190">
        <f>F58*Prices!C$2</f>
        <v/>
      </c>
      <c r="N58" s="190">
        <f>G58*Prices!D$2</f>
        <v/>
      </c>
      <c r="O58" s="190">
        <f>H58*Prices!E$2</f>
        <v/>
      </c>
      <c r="P58" s="190">
        <f>I58*2000+J58*10000+K58*1800</f>
        <v/>
      </c>
      <c r="Q58" s="190">
        <f>D58*Prices!A$2</f>
        <v/>
      </c>
      <c r="R58" s="191">
        <f>L58+M58+N58+O58</f>
        <v/>
      </c>
      <c r="S58" s="190">
        <f>R58+Q58+P58</f>
        <v/>
      </c>
      <c r="T58" s="93" t="n">
        <v>57</v>
      </c>
      <c r="U58" s="93" t="inlineStr">
        <is>
          <t>Available</t>
        </is>
      </c>
      <c r="V58" s="12" t="inlineStr">
        <is>
          <t>A</t>
        </is>
      </c>
      <c r="W58" s="12" t="n"/>
      <c r="X58" s="12" t="n"/>
      <c r="Y58" s="12" t="n"/>
      <c r="Z58" s="12" t="n"/>
    </row>
    <row r="59">
      <c r="A59" s="93" t="n">
        <v>58</v>
      </c>
      <c r="B59" s="93" t="n">
        <v>8.74</v>
      </c>
      <c r="C59" s="93">
        <f>B59*(25/100)</f>
        <v/>
      </c>
      <c r="D59" s="93">
        <f>C59+B59</f>
        <v/>
      </c>
      <c r="E59" s="93" t="n">
        <v>1.47</v>
      </c>
      <c r="F59" s="93" t="n"/>
      <c r="G59" s="93" t="n"/>
      <c r="H59" s="93" t="n"/>
      <c r="I59" s="93" t="n"/>
      <c r="J59" s="93" t="n"/>
      <c r="K59" s="93" t="n">
        <v>15.98</v>
      </c>
      <c r="L59" s="190">
        <f>E59*Prices!B$2</f>
        <v/>
      </c>
      <c r="M59" s="190">
        <f>F59*Prices!C$2</f>
        <v/>
      </c>
      <c r="N59" s="190">
        <f>G59*Prices!D$2</f>
        <v/>
      </c>
      <c r="O59" s="190">
        <f>H59*Prices!E$2</f>
        <v/>
      </c>
      <c r="P59" s="190">
        <f>I59*2000+J59*10000+K59*1800</f>
        <v/>
      </c>
      <c r="Q59" s="190">
        <f>D59*Prices!A$2</f>
        <v/>
      </c>
      <c r="R59" s="191">
        <f>L59+M59+N59+O59</f>
        <v/>
      </c>
      <c r="S59" s="190">
        <f>R59+Q59+P59</f>
        <v/>
      </c>
      <c r="T59" s="93" t="n">
        <v>58</v>
      </c>
      <c r="U59" s="93" t="inlineStr">
        <is>
          <t>Sold</t>
        </is>
      </c>
      <c r="V59" s="12" t="n"/>
      <c r="W59" s="12" t="n"/>
      <c r="X59" s="12" t="n"/>
      <c r="Y59" s="12" t="n"/>
      <c r="Z59" s="12" t="n"/>
    </row>
    <row r="60">
      <c r="A60" s="93" t="n">
        <v>59</v>
      </c>
      <c r="B60" s="93" t="n">
        <v>3.81</v>
      </c>
      <c r="C60" s="93">
        <f>B60*(25/100)</f>
        <v/>
      </c>
      <c r="D60" s="93">
        <f>C60+B60</f>
        <v/>
      </c>
      <c r="E60" s="93" t="n">
        <v>0.9</v>
      </c>
      <c r="F60" s="93" t="n"/>
      <c r="G60" s="93" t="n"/>
      <c r="H60" s="93" t="n"/>
      <c r="I60" s="93" t="n"/>
      <c r="J60" s="93" t="n"/>
      <c r="K60" s="93" t="n"/>
      <c r="L60" s="190">
        <f>E60*Prices!B$2</f>
        <v/>
      </c>
      <c r="M60" s="190">
        <f>F60*Prices!C$2</f>
        <v/>
      </c>
      <c r="N60" s="190">
        <f>G60*Prices!D$2</f>
        <v/>
      </c>
      <c r="O60" s="190">
        <f>H60*Prices!E$2</f>
        <v/>
      </c>
      <c r="P60" s="190">
        <f>I60*2000+J60*10000+K60*1800</f>
        <v/>
      </c>
      <c r="Q60" s="190">
        <f>D60*Prices!A$2</f>
        <v/>
      </c>
      <c r="R60" s="191">
        <f>L60+M60+N60+O60</f>
        <v/>
      </c>
      <c r="S60" s="190">
        <f>R60+Q60+P60</f>
        <v/>
      </c>
      <c r="T60" s="93" t="n">
        <v>59</v>
      </c>
      <c r="U60" s="93" t="inlineStr">
        <is>
          <t>Sold</t>
        </is>
      </c>
      <c r="V60" s="12" t="n"/>
      <c r="W60" s="12" t="n"/>
      <c r="X60" s="12" t="n"/>
      <c r="Y60" s="12" t="n"/>
      <c r="Z60" s="12" t="n"/>
    </row>
    <row r="61">
      <c r="A61" s="93" t="n">
        <v>60</v>
      </c>
      <c r="B61" s="93" t="n">
        <v>3.524</v>
      </c>
      <c r="C61" s="93">
        <f>B61*(25/100)</f>
        <v/>
      </c>
      <c r="D61" s="93">
        <f>C61+B61</f>
        <v/>
      </c>
      <c r="E61" s="93" t="n"/>
      <c r="F61" s="93" t="n">
        <v>1.88</v>
      </c>
      <c r="G61" s="93" t="n"/>
      <c r="H61" s="93" t="n"/>
      <c r="I61" s="93" t="n"/>
      <c r="J61" s="93" t="n"/>
      <c r="K61" s="93" t="n"/>
      <c r="L61" s="190">
        <f>E61*Prices!B$2</f>
        <v/>
      </c>
      <c r="M61" s="190">
        <f>F61*Prices!C$2</f>
        <v/>
      </c>
      <c r="N61" s="190">
        <f>G61*Prices!D$2</f>
        <v/>
      </c>
      <c r="O61" s="190">
        <f>H61*Prices!E$2</f>
        <v/>
      </c>
      <c r="P61" s="190">
        <f>I61*2000+J61*10000+K61*1800</f>
        <v/>
      </c>
      <c r="Q61" s="190">
        <f>D61*Prices!A$2</f>
        <v/>
      </c>
      <c r="R61" s="191">
        <f>L61+M61+N61+O61</f>
        <v/>
      </c>
      <c r="S61" s="190">
        <f>R61+Q61+P61</f>
        <v/>
      </c>
      <c r="T61" s="93" t="n">
        <v>60</v>
      </c>
      <c r="U61" s="93" t="inlineStr">
        <is>
          <t>Sold</t>
        </is>
      </c>
      <c r="V61" s="12" t="n"/>
      <c r="W61" s="12" t="n"/>
      <c r="X61" s="12" t="n"/>
      <c r="Y61" s="12" t="n"/>
      <c r="Z61" s="12" t="n"/>
    </row>
    <row r="62">
      <c r="A62" s="192" t="n">
        <v>61</v>
      </c>
      <c r="B62" s="192" t="n">
        <v>3.537</v>
      </c>
      <c r="C62" s="192">
        <f>B62*(25/100)</f>
        <v/>
      </c>
      <c r="D62" s="192">
        <f>C62+B62</f>
        <v/>
      </c>
      <c r="E62" s="192" t="n">
        <v>0.49</v>
      </c>
      <c r="F62" s="192" t="n"/>
      <c r="G62" s="192" t="n"/>
      <c r="H62" s="192" t="n"/>
      <c r="I62" s="192" t="n"/>
      <c r="J62" s="192" t="n"/>
      <c r="K62" s="192" t="n"/>
      <c r="L62" s="193">
        <f>E62*Prices!B$2</f>
        <v/>
      </c>
      <c r="M62" s="193">
        <f>F62*Prices!C$2</f>
        <v/>
      </c>
      <c r="N62" s="193">
        <f>G62*Prices!D$2</f>
        <v/>
      </c>
      <c r="O62" s="193">
        <f>H62*Prices!E$2</f>
        <v/>
      </c>
      <c r="P62" s="193">
        <f>I62*2000+J62*10000+K62*1800</f>
        <v/>
      </c>
      <c r="Q62" s="193">
        <f>D62*Prices!A$2</f>
        <v/>
      </c>
      <c r="R62" s="194">
        <f>L62+M62+N62+O62</f>
        <v/>
      </c>
      <c r="S62" s="193">
        <f>R62+Q62+P62</f>
        <v/>
      </c>
      <c r="T62" s="192" t="n">
        <v>61</v>
      </c>
      <c r="U62" s="192" t="inlineStr">
        <is>
          <t>Return</t>
        </is>
      </c>
      <c r="V62" s="195" t="n"/>
      <c r="W62" s="195" t="n"/>
      <c r="X62" s="195" t="n"/>
      <c r="Y62" s="195" t="n"/>
      <c r="Z62" s="195" t="n"/>
    </row>
    <row r="63">
      <c r="A63" s="93" t="n">
        <v>62</v>
      </c>
      <c r="B63" s="93" t="n">
        <v>4.78</v>
      </c>
      <c r="C63" s="93">
        <f>B63*(25/100)</f>
        <v/>
      </c>
      <c r="D63" s="93">
        <f>C63+B63</f>
        <v/>
      </c>
      <c r="E63" s="93" t="n">
        <v>1.18</v>
      </c>
      <c r="F63" s="93" t="n"/>
      <c r="G63" s="93" t="n"/>
      <c r="H63" s="93" t="n"/>
      <c r="I63" s="93" t="n"/>
      <c r="J63" s="93" t="n"/>
      <c r="K63" s="93" t="n"/>
      <c r="L63" s="190">
        <f>E63*Prices!B$2</f>
        <v/>
      </c>
      <c r="M63" s="190">
        <f>F63*Prices!C$2</f>
        <v/>
      </c>
      <c r="N63" s="190">
        <f>G63*Prices!D$2</f>
        <v/>
      </c>
      <c r="O63" s="190">
        <f>H63*Prices!E$2</f>
        <v/>
      </c>
      <c r="P63" s="190">
        <f>I63*2000+J63*10000+K63*1800</f>
        <v/>
      </c>
      <c r="Q63" s="190">
        <f>D63*Prices!A$2</f>
        <v/>
      </c>
      <c r="R63" s="191">
        <f>L63+M63+N63+O63</f>
        <v/>
      </c>
      <c r="S63" s="190">
        <f>R63+Q63+P63</f>
        <v/>
      </c>
      <c r="T63" s="93" t="n">
        <v>62</v>
      </c>
      <c r="U63" s="93" t="inlineStr">
        <is>
          <t>Available</t>
        </is>
      </c>
      <c r="V63" s="12" t="inlineStr">
        <is>
          <t>A</t>
        </is>
      </c>
      <c r="W63" s="12" t="n"/>
      <c r="X63" s="12" t="n"/>
      <c r="Y63" s="12" t="n"/>
      <c r="Z63" s="12" t="n"/>
    </row>
    <row r="64">
      <c r="A64" s="93" t="n">
        <v>63</v>
      </c>
      <c r="B64" s="93" t="n">
        <v>1.588</v>
      </c>
      <c r="C64" s="93">
        <f>B64*(25/100)</f>
        <v/>
      </c>
      <c r="D64" s="93">
        <f>C64+B64</f>
        <v/>
      </c>
      <c r="E64" s="93" t="n">
        <v>0.46</v>
      </c>
      <c r="F64" s="93" t="n"/>
      <c r="G64" s="93" t="n"/>
      <c r="H64" s="93" t="n"/>
      <c r="I64" s="93" t="n"/>
      <c r="J64" s="93" t="n"/>
      <c r="K64" s="93" t="n"/>
      <c r="L64" s="190">
        <f>E64*Prices!B$2</f>
        <v/>
      </c>
      <c r="M64" s="190">
        <f>F64*Prices!C$2</f>
        <v/>
      </c>
      <c r="N64" s="190">
        <f>G64*Prices!D$2</f>
        <v/>
      </c>
      <c r="O64" s="190">
        <f>H64*Prices!E$2</f>
        <v/>
      </c>
      <c r="P64" s="190">
        <f>I64*2000+J64*10000+K64*1800</f>
        <v/>
      </c>
      <c r="Q64" s="190">
        <f>D64*Prices!A$2</f>
        <v/>
      </c>
      <c r="R64" s="191">
        <f>L64+M64+N64+O64</f>
        <v/>
      </c>
      <c r="S64" s="190">
        <f>R64+Q64+P64</f>
        <v/>
      </c>
      <c r="T64" s="93" t="n">
        <v>63</v>
      </c>
      <c r="U64" s="93" t="inlineStr">
        <is>
          <t>Sold</t>
        </is>
      </c>
      <c r="V64" s="12" t="n"/>
      <c r="W64" s="12" t="n"/>
      <c r="X64" s="12" t="n"/>
      <c r="Y64" s="12" t="n"/>
      <c r="Z64" s="12" t="n"/>
    </row>
    <row r="65">
      <c r="A65" s="93" t="n">
        <v>64</v>
      </c>
      <c r="B65" s="93" t="n">
        <v>2.16</v>
      </c>
      <c r="C65" s="93">
        <f>B65*(25/100)</f>
        <v/>
      </c>
      <c r="D65" s="93">
        <f>C65+B65</f>
        <v/>
      </c>
      <c r="E65" s="93" t="n">
        <v>0.35</v>
      </c>
      <c r="F65" s="93" t="n"/>
      <c r="G65" s="93" t="n"/>
      <c r="H65" s="93" t="n"/>
      <c r="I65" s="93" t="n"/>
      <c r="J65" s="93" t="n"/>
      <c r="K65" s="93" t="n"/>
      <c r="L65" s="190">
        <f>E65*Prices!B$2</f>
        <v/>
      </c>
      <c r="M65" s="190">
        <f>F65*Prices!C$2</f>
        <v/>
      </c>
      <c r="N65" s="190">
        <f>G65*Prices!D$2</f>
        <v/>
      </c>
      <c r="O65" s="190">
        <f>H65*Prices!E$2</f>
        <v/>
      </c>
      <c r="P65" s="190">
        <f>I65*2000+J65*10000+K65*1800</f>
        <v/>
      </c>
      <c r="Q65" s="190">
        <f>D65*Prices!A$2</f>
        <v/>
      </c>
      <c r="R65" s="191">
        <f>L65+M65+N65+O65</f>
        <v/>
      </c>
      <c r="S65" s="190">
        <f>R65+Q65+P65</f>
        <v/>
      </c>
      <c r="T65" s="93" t="n">
        <v>64</v>
      </c>
      <c r="U65" s="93" t="inlineStr">
        <is>
          <t>Sold</t>
        </is>
      </c>
      <c r="V65" s="12" t="n"/>
      <c r="W65" s="12" t="n"/>
      <c r="X65" s="12" t="n"/>
      <c r="Y65" s="12" t="n"/>
      <c r="Z65" s="12" t="n"/>
    </row>
    <row r="66">
      <c r="A66" s="93" t="n">
        <v>65</v>
      </c>
      <c r="B66" s="93" t="n">
        <v>1.518</v>
      </c>
      <c r="C66" s="93">
        <f>B66*(25/100)</f>
        <v/>
      </c>
      <c r="D66" s="93">
        <f>C66+B66</f>
        <v/>
      </c>
      <c r="E66" s="93" t="n">
        <v>0.26</v>
      </c>
      <c r="F66" s="93" t="n"/>
      <c r="G66" s="93" t="n"/>
      <c r="H66" s="93" t="n"/>
      <c r="I66" s="93" t="n"/>
      <c r="J66" s="93" t="n"/>
      <c r="K66" s="93" t="n"/>
      <c r="L66" s="190">
        <f>E66*Prices!B$2</f>
        <v/>
      </c>
      <c r="M66" s="190">
        <f>F66*Prices!C$2</f>
        <v/>
      </c>
      <c r="N66" s="190">
        <f>G66*Prices!D$2</f>
        <v/>
      </c>
      <c r="O66" s="190">
        <f>H66*Prices!E$2</f>
        <v/>
      </c>
      <c r="P66" s="190">
        <f>I66*2000+J66*10000+K66*1800</f>
        <v/>
      </c>
      <c r="Q66" s="190">
        <f>D66*Prices!A$2</f>
        <v/>
      </c>
      <c r="R66" s="191">
        <f>L66+M66+N66+O66</f>
        <v/>
      </c>
      <c r="S66" s="190">
        <f>R66+Q66+P66</f>
        <v/>
      </c>
      <c r="T66" s="93" t="n">
        <v>65</v>
      </c>
      <c r="U66" s="93" t="inlineStr">
        <is>
          <t>Sold</t>
        </is>
      </c>
      <c r="V66" s="12" t="n"/>
      <c r="W66" s="12" t="n"/>
      <c r="X66" s="12" t="n"/>
      <c r="Y66" s="12" t="n"/>
      <c r="Z66" s="12" t="n"/>
    </row>
    <row r="67">
      <c r="A67" s="93" t="n">
        <v>66</v>
      </c>
      <c r="B67" s="93" t="n">
        <v>2.148</v>
      </c>
      <c r="C67" s="93">
        <f>B67*(25/100)</f>
        <v/>
      </c>
      <c r="D67" s="93">
        <f>C67+B67</f>
        <v/>
      </c>
      <c r="E67" s="93" t="n">
        <v>0.36</v>
      </c>
      <c r="F67" s="93" t="n"/>
      <c r="G67" s="93" t="n"/>
      <c r="H67" s="93" t="n"/>
      <c r="I67" s="93" t="n"/>
      <c r="J67" s="93" t="n"/>
      <c r="K67" s="93" t="n"/>
      <c r="L67" s="190">
        <f>E67*Prices!B$2</f>
        <v/>
      </c>
      <c r="M67" s="190">
        <f>F67*Prices!C$2</f>
        <v/>
      </c>
      <c r="N67" s="190">
        <f>G67*Prices!D$2</f>
        <v/>
      </c>
      <c r="O67" s="190">
        <f>H67*Prices!E$2</f>
        <v/>
      </c>
      <c r="P67" s="190">
        <f>I67*2000+J67*10000+K67*1800</f>
        <v/>
      </c>
      <c r="Q67" s="190">
        <f>D67*Prices!A$2</f>
        <v/>
      </c>
      <c r="R67" s="191">
        <f>L67+M67+N67+O67</f>
        <v/>
      </c>
      <c r="S67" s="190">
        <f>R67+Q67+P67</f>
        <v/>
      </c>
      <c r="T67" s="93" t="n">
        <v>66</v>
      </c>
      <c r="U67" s="93" t="inlineStr">
        <is>
          <t>Sold</t>
        </is>
      </c>
      <c r="V67" s="12" t="n"/>
      <c r="W67" s="12" t="n"/>
      <c r="X67" s="12" t="n"/>
      <c r="Y67" s="12" t="n"/>
      <c r="Z67" s="12" t="n"/>
    </row>
    <row r="68">
      <c r="A68" s="93" t="n">
        <v>67</v>
      </c>
      <c r="B68" s="93" t="n">
        <v>1.482</v>
      </c>
      <c r="C68" s="93">
        <f>B68*(25/100)</f>
        <v/>
      </c>
      <c r="D68" s="93">
        <f>C68+B68</f>
        <v/>
      </c>
      <c r="E68" s="93" t="n">
        <v>0.49</v>
      </c>
      <c r="F68" s="93" t="n"/>
      <c r="G68" s="93" t="n"/>
      <c r="H68" s="93" t="n"/>
      <c r="I68" s="93" t="n"/>
      <c r="J68" s="93" t="n"/>
      <c r="K68" s="93" t="n"/>
      <c r="L68" s="190">
        <f>E68*Prices!B$2</f>
        <v/>
      </c>
      <c r="M68" s="190">
        <f>F68*Prices!C$2</f>
        <v/>
      </c>
      <c r="N68" s="190">
        <f>G68*Prices!D$2</f>
        <v/>
      </c>
      <c r="O68" s="190">
        <f>H68*Prices!E$2</f>
        <v/>
      </c>
      <c r="P68" s="190">
        <f>I68*2000+J68*10000+K68*1800</f>
        <v/>
      </c>
      <c r="Q68" s="190">
        <f>D68*Prices!A$2</f>
        <v/>
      </c>
      <c r="R68" s="191">
        <f>L68+M68+N68+O68</f>
        <v/>
      </c>
      <c r="S68" s="190">
        <f>R68+Q68+P68</f>
        <v/>
      </c>
      <c r="T68" s="93" t="n">
        <v>67</v>
      </c>
      <c r="U68" s="93" t="inlineStr">
        <is>
          <t>Sold</t>
        </is>
      </c>
      <c r="V68" s="12" t="n"/>
      <c r="W68" s="12" t="n"/>
      <c r="X68" s="12" t="n"/>
      <c r="Y68" s="12" t="n"/>
      <c r="Z68" s="12" t="n"/>
    </row>
    <row r="69">
      <c r="A69" s="93" t="n">
        <v>68</v>
      </c>
      <c r="B69" s="93" t="n">
        <v>1.92</v>
      </c>
      <c r="C69" s="93">
        <f>B69*(25/100)</f>
        <v/>
      </c>
      <c r="D69" s="93">
        <f>C69+B69</f>
        <v/>
      </c>
      <c r="E69" s="93" t="n">
        <v>0.3</v>
      </c>
      <c r="F69" s="93" t="n"/>
      <c r="G69" s="93" t="n"/>
      <c r="H69" s="93" t="n"/>
      <c r="I69" s="93" t="n"/>
      <c r="J69" s="93" t="n"/>
      <c r="K69" s="93" t="n"/>
      <c r="L69" s="190">
        <f>E69*Prices!B$2</f>
        <v/>
      </c>
      <c r="M69" s="190">
        <f>F69*Prices!C$2</f>
        <v/>
      </c>
      <c r="N69" s="190">
        <f>G69*Prices!D$2</f>
        <v/>
      </c>
      <c r="O69" s="190">
        <f>H69*Prices!E$2</f>
        <v/>
      </c>
      <c r="P69" s="190">
        <f>I69*2000+J69*10000+K69*1800</f>
        <v/>
      </c>
      <c r="Q69" s="190">
        <f>D69*Prices!A$2</f>
        <v/>
      </c>
      <c r="R69" s="191">
        <f>L69+M69+N69+O69</f>
        <v/>
      </c>
      <c r="S69" s="190">
        <f>R69+Q69+P69</f>
        <v/>
      </c>
      <c r="T69" s="93" t="n">
        <v>68</v>
      </c>
      <c r="U69" s="93" t="inlineStr">
        <is>
          <t>Available</t>
        </is>
      </c>
      <c r="V69" s="12" t="inlineStr">
        <is>
          <t>A</t>
        </is>
      </c>
      <c r="W69" s="12" t="n"/>
      <c r="X69" s="12" t="n"/>
      <c r="Y69" s="12" t="n"/>
      <c r="Z69" s="12" t="n"/>
    </row>
    <row r="70">
      <c r="A70" s="93" t="n">
        <v>69</v>
      </c>
      <c r="B70" s="93" t="n">
        <v>1.394</v>
      </c>
      <c r="C70" s="93">
        <f>B70*(25/100)</f>
        <v/>
      </c>
      <c r="D70" s="93">
        <f>C70+B70</f>
        <v/>
      </c>
      <c r="E70" s="93" t="n">
        <v>0.48</v>
      </c>
      <c r="F70" s="93" t="n"/>
      <c r="G70" s="93" t="n"/>
      <c r="H70" s="93" t="n"/>
      <c r="I70" s="93" t="n"/>
      <c r="J70" s="93" t="n"/>
      <c r="K70" s="93" t="n"/>
      <c r="L70" s="190">
        <f>E70*Prices!B$2</f>
        <v/>
      </c>
      <c r="M70" s="190">
        <f>F70*Prices!C$2</f>
        <v/>
      </c>
      <c r="N70" s="190">
        <f>G70*Prices!D$2</f>
        <v/>
      </c>
      <c r="O70" s="190">
        <f>H70*Prices!E$2</f>
        <v/>
      </c>
      <c r="P70" s="190">
        <f>I70*2000+J70*10000+K70*1800</f>
        <v/>
      </c>
      <c r="Q70" s="190">
        <f>D70*Prices!A$2</f>
        <v/>
      </c>
      <c r="R70" s="191">
        <f>L70+M70+N70+O70</f>
        <v/>
      </c>
      <c r="S70" s="190">
        <f>R70+Q70+P70</f>
        <v/>
      </c>
      <c r="T70" s="93" t="n">
        <v>69</v>
      </c>
      <c r="U70" s="93" t="inlineStr">
        <is>
          <t>Sold</t>
        </is>
      </c>
      <c r="V70" s="12" t="n"/>
      <c r="W70" s="12" t="n"/>
      <c r="X70" s="12" t="n"/>
      <c r="Y70" s="12" t="n"/>
      <c r="Z70" s="12" t="n"/>
    </row>
    <row r="71">
      <c r="A71" s="93" t="n">
        <v>70</v>
      </c>
      <c r="B71" s="93" t="n">
        <v>2.4</v>
      </c>
      <c r="C71" s="93">
        <f>B71*(25/100)</f>
        <v/>
      </c>
      <c r="D71" s="93">
        <f>C71+B71</f>
        <v/>
      </c>
      <c r="E71" s="93" t="n">
        <v>0.21</v>
      </c>
      <c r="F71" s="93" t="n"/>
      <c r="G71" s="93" t="n"/>
      <c r="H71" s="93" t="n"/>
      <c r="I71" s="93" t="n"/>
      <c r="J71" s="93" t="n"/>
      <c r="K71" s="93" t="n"/>
      <c r="L71" s="190">
        <f>E71*Prices!B$2</f>
        <v/>
      </c>
      <c r="M71" s="190">
        <f>F71*Prices!C$2</f>
        <v/>
      </c>
      <c r="N71" s="190">
        <f>G71*Prices!D$2</f>
        <v/>
      </c>
      <c r="O71" s="190">
        <f>H71*Prices!E$2</f>
        <v/>
      </c>
      <c r="P71" s="190">
        <f>I71*2000+J71*10000+K71*1800</f>
        <v/>
      </c>
      <c r="Q71" s="190">
        <f>D71*Prices!A$2</f>
        <v/>
      </c>
      <c r="R71" s="191">
        <f>L71+M71+N71+O71</f>
        <v/>
      </c>
      <c r="S71" s="190">
        <f>R71+Q71+P71</f>
        <v/>
      </c>
      <c r="T71" s="93" t="n">
        <v>70</v>
      </c>
      <c r="U71" s="93" t="inlineStr">
        <is>
          <t>Available</t>
        </is>
      </c>
      <c r="V71" s="12" t="inlineStr">
        <is>
          <t>A</t>
        </is>
      </c>
      <c r="W71" s="12" t="n"/>
      <c r="X71" s="12" t="n"/>
      <c r="Y71" s="12" t="n"/>
      <c r="Z71" s="12" t="n"/>
    </row>
    <row r="72">
      <c r="A72" s="93" t="n">
        <v>71</v>
      </c>
      <c r="B72" s="93" t="n">
        <v>2.77</v>
      </c>
      <c r="C72" s="93">
        <f>B72*(25/100)</f>
        <v/>
      </c>
      <c r="D72" s="93">
        <f>C72+B72</f>
        <v/>
      </c>
      <c r="E72" s="93" t="n"/>
      <c r="F72" s="93" t="n"/>
      <c r="G72" s="93" t="n">
        <v>0.54</v>
      </c>
      <c r="H72" s="93" t="n"/>
      <c r="I72" s="93" t="n"/>
      <c r="J72" s="93" t="n"/>
      <c r="K72" s="93" t="n"/>
      <c r="L72" s="190">
        <f>E72*Prices!B$2</f>
        <v/>
      </c>
      <c r="M72" s="190">
        <f>F72*Prices!C$2</f>
        <v/>
      </c>
      <c r="N72" s="190">
        <f>G72*Prices!D$2</f>
        <v/>
      </c>
      <c r="O72" s="190">
        <f>H72*Prices!E$2</f>
        <v/>
      </c>
      <c r="P72" s="190">
        <f>I72*2000+J72*10000+K72*1800</f>
        <v/>
      </c>
      <c r="Q72" s="190">
        <f>D72*Prices!A$2</f>
        <v/>
      </c>
      <c r="R72" s="191">
        <f>L72+M72+N72+O72</f>
        <v/>
      </c>
      <c r="S72" s="190">
        <f>R72+Q72+P72</f>
        <v/>
      </c>
      <c r="T72" s="93" t="n">
        <v>71</v>
      </c>
      <c r="U72" s="93" t="inlineStr">
        <is>
          <t>Sold</t>
        </is>
      </c>
      <c r="V72" s="12" t="n"/>
      <c r="W72" s="12" t="n"/>
      <c r="X72" s="12" t="n"/>
      <c r="Y72" s="12" t="n"/>
      <c r="Z72" s="12" t="n"/>
    </row>
    <row r="73">
      <c r="A73" s="93" t="n">
        <v>72</v>
      </c>
      <c r="B73" s="93" t="n">
        <v>3.488</v>
      </c>
      <c r="C73" s="93">
        <f>B73*(25/100)</f>
        <v/>
      </c>
      <c r="D73" s="93">
        <f>C73+B73</f>
        <v/>
      </c>
      <c r="E73" s="93" t="n"/>
      <c r="F73" s="93" t="n">
        <v>0.8100000000000001</v>
      </c>
      <c r="G73" s="93" t="n"/>
      <c r="H73" s="93" t="n"/>
      <c r="I73" s="93" t="n"/>
      <c r="J73" s="93" t="n"/>
      <c r="K73" s="93" t="n"/>
      <c r="L73" s="190">
        <f>E73*Prices!B$2</f>
        <v/>
      </c>
      <c r="M73" s="190">
        <f>F73*Prices!C$2</f>
        <v/>
      </c>
      <c r="N73" s="190">
        <f>G73*Prices!D$2</f>
        <v/>
      </c>
      <c r="O73" s="190">
        <f>H73*Prices!E$2</f>
        <v/>
      </c>
      <c r="P73" s="190">
        <f>I73*2000+J73*10000+K73*1800</f>
        <v/>
      </c>
      <c r="Q73" s="190">
        <f>D73*Prices!A$2</f>
        <v/>
      </c>
      <c r="R73" s="191">
        <f>L73+M73+N73+O73</f>
        <v/>
      </c>
      <c r="S73" s="190">
        <f>R73+Q73+P73</f>
        <v/>
      </c>
      <c r="T73" s="93" t="n">
        <v>72</v>
      </c>
      <c r="U73" s="93" t="inlineStr">
        <is>
          <t>Available</t>
        </is>
      </c>
      <c r="V73" s="12" t="inlineStr">
        <is>
          <t>A</t>
        </is>
      </c>
      <c r="W73" s="12" t="n"/>
      <c r="X73" s="12" t="n"/>
      <c r="Y73" s="12" t="n"/>
      <c r="Z73" s="12" t="n"/>
    </row>
    <row r="74">
      <c r="A74" s="93" t="n">
        <v>73</v>
      </c>
      <c r="B74" s="93" t="n">
        <v>2.344</v>
      </c>
      <c r="C74" s="93">
        <f>B74*(25/100)</f>
        <v/>
      </c>
      <c r="D74" s="93">
        <f>C74+B74</f>
        <v/>
      </c>
      <c r="E74" s="93" t="n"/>
      <c r="F74" s="93" t="n">
        <v>0.63</v>
      </c>
      <c r="G74" s="93" t="n"/>
      <c r="H74" s="93" t="n"/>
      <c r="I74" s="93" t="n"/>
      <c r="J74" s="93" t="n"/>
      <c r="K74" s="93" t="n"/>
      <c r="L74" s="190">
        <f>E74*Prices!B$2</f>
        <v/>
      </c>
      <c r="M74" s="190">
        <f>F74*Prices!C$2</f>
        <v/>
      </c>
      <c r="N74" s="190">
        <f>G74*Prices!D$2</f>
        <v/>
      </c>
      <c r="O74" s="190">
        <f>H74*Prices!E$2</f>
        <v/>
      </c>
      <c r="P74" s="190">
        <f>I74*2000+J74*10000+K74*1800</f>
        <v/>
      </c>
      <c r="Q74" s="190">
        <f>D74*Prices!A$2</f>
        <v/>
      </c>
      <c r="R74" s="191">
        <f>L74+M74+N74+O74</f>
        <v/>
      </c>
      <c r="S74" s="190">
        <f>R74+Q74+P74</f>
        <v/>
      </c>
      <c r="T74" s="93" t="n">
        <v>73</v>
      </c>
      <c r="U74" s="26" t="inlineStr">
        <is>
          <t>Sold</t>
        </is>
      </c>
      <c r="V74" s="12" t="n"/>
      <c r="W74" s="12" t="n"/>
      <c r="X74" s="12" t="n"/>
      <c r="Y74" s="12" t="n"/>
      <c r="Z74" s="12" t="n"/>
    </row>
    <row r="75">
      <c r="A75" s="93" t="n">
        <v>74</v>
      </c>
      <c r="B75" s="93" t="n">
        <v>1.824</v>
      </c>
      <c r="C75" s="93">
        <f>B75*(25/100)</f>
        <v/>
      </c>
      <c r="D75" s="93">
        <f>C75+B75</f>
        <v/>
      </c>
      <c r="E75" s="93" t="n">
        <v>0.28</v>
      </c>
      <c r="F75" s="93" t="n"/>
      <c r="G75" s="93" t="n"/>
      <c r="H75" s="93" t="n"/>
      <c r="I75" s="93" t="n"/>
      <c r="J75" s="93" t="n"/>
      <c r="K75" s="93" t="n"/>
      <c r="L75" s="190">
        <f>E75*Prices!B$2</f>
        <v/>
      </c>
      <c r="M75" s="190">
        <f>F75*Prices!C$2</f>
        <v/>
      </c>
      <c r="N75" s="190">
        <f>G75*Prices!D$2</f>
        <v/>
      </c>
      <c r="O75" s="190">
        <f>H75*Prices!E$2</f>
        <v/>
      </c>
      <c r="P75" s="190">
        <f>I75*2000+J75*10000+K75*1800</f>
        <v/>
      </c>
      <c r="Q75" s="190">
        <f>D75*Prices!A$2</f>
        <v/>
      </c>
      <c r="R75" s="191">
        <f>L75+M75+N75+O75</f>
        <v/>
      </c>
      <c r="S75" s="190">
        <f>R75+Q75+P75</f>
        <v/>
      </c>
      <c r="T75" s="93" t="n">
        <v>74</v>
      </c>
      <c r="U75" s="93" t="inlineStr">
        <is>
          <t>Sold</t>
        </is>
      </c>
      <c r="V75" s="12" t="n"/>
      <c r="W75" s="12" t="n"/>
      <c r="X75" s="12" t="n"/>
      <c r="Y75" s="12" t="n"/>
      <c r="Z75" s="12" t="n"/>
    </row>
    <row r="76">
      <c r="A76" s="93" t="n">
        <v>75</v>
      </c>
      <c r="B76" s="93" t="n">
        <v>2.398</v>
      </c>
      <c r="C76" s="93">
        <f>B76*(25/100)</f>
        <v/>
      </c>
      <c r="D76" s="93">
        <f>C76+B76</f>
        <v/>
      </c>
      <c r="E76" s="93" t="n">
        <v>0.26</v>
      </c>
      <c r="F76" s="93" t="n"/>
      <c r="G76" s="93" t="n"/>
      <c r="H76" s="93" t="n"/>
      <c r="I76" s="93" t="n"/>
      <c r="J76" s="93" t="n"/>
      <c r="K76" s="93" t="n"/>
      <c r="L76" s="190">
        <f>E76*Prices!B$2</f>
        <v/>
      </c>
      <c r="M76" s="190">
        <f>F76*Prices!C$2</f>
        <v/>
      </c>
      <c r="N76" s="190">
        <f>G76*Prices!D$2</f>
        <v/>
      </c>
      <c r="O76" s="190">
        <f>H76*Prices!E$2</f>
        <v/>
      </c>
      <c r="P76" s="190">
        <f>I76*2000+J76*10000+K76*1800</f>
        <v/>
      </c>
      <c r="Q76" s="190">
        <f>D76*Prices!A$2</f>
        <v/>
      </c>
      <c r="R76" s="191">
        <f>L76+M76+N76+O76</f>
        <v/>
      </c>
      <c r="S76" s="190">
        <f>R76+Q76+P76</f>
        <v/>
      </c>
      <c r="T76" s="93" t="n">
        <v>75</v>
      </c>
      <c r="U76" s="26" t="inlineStr">
        <is>
          <t>Sold</t>
        </is>
      </c>
      <c r="V76" s="12" t="n"/>
      <c r="W76" s="12" t="n"/>
      <c r="X76" s="12" t="n"/>
      <c r="Y76" s="12" t="n"/>
      <c r="Z76" s="12" t="n"/>
    </row>
    <row r="77">
      <c r="A77" s="93" t="n">
        <v>76</v>
      </c>
      <c r="B77" s="93" t="n">
        <v>2.55</v>
      </c>
      <c r="C77" s="93">
        <f>B77*(25/100)</f>
        <v/>
      </c>
      <c r="D77" s="93">
        <f>C77+B77</f>
        <v/>
      </c>
      <c r="E77" s="93" t="n">
        <v>0.31</v>
      </c>
      <c r="F77" s="93" t="n">
        <v>0.08</v>
      </c>
      <c r="G77" s="93" t="n"/>
      <c r="H77" s="93" t="n"/>
      <c r="I77" s="93" t="n"/>
      <c r="J77" s="93" t="n"/>
      <c r="K77" s="93" t="n"/>
      <c r="L77" s="190">
        <f>E77*Prices!B$2</f>
        <v/>
      </c>
      <c r="M77" s="190">
        <f>F77*Prices!C$2</f>
        <v/>
      </c>
      <c r="N77" s="190">
        <f>G77*Prices!D$2</f>
        <v/>
      </c>
      <c r="O77" s="190">
        <f>H77*Prices!E$2</f>
        <v/>
      </c>
      <c r="P77" s="190">
        <f>I77*2000+J77*10000+K77*1800</f>
        <v/>
      </c>
      <c r="Q77" s="190">
        <f>D77*Prices!A$2</f>
        <v/>
      </c>
      <c r="R77" s="191">
        <f>L77+M77+N77+O77</f>
        <v/>
      </c>
      <c r="S77" s="190">
        <f>R77+Q77+P77</f>
        <v/>
      </c>
      <c r="T77" s="93" t="n">
        <v>76</v>
      </c>
      <c r="U77" s="93" t="inlineStr">
        <is>
          <t>Sold</t>
        </is>
      </c>
      <c r="V77" s="12" t="n"/>
      <c r="W77" s="12" t="n"/>
      <c r="X77" s="12" t="n"/>
      <c r="Y77" s="12" t="n"/>
      <c r="Z77" s="12" t="n"/>
    </row>
    <row r="78">
      <c r="A78" s="192" t="n">
        <v>77</v>
      </c>
      <c r="B78" s="192" t="n">
        <v>3.5</v>
      </c>
      <c r="C78" s="192">
        <f>B78*(25/100)</f>
        <v/>
      </c>
      <c r="D78" s="192">
        <f>C78+B78</f>
        <v/>
      </c>
      <c r="E78" s="192" t="n">
        <v>0.32</v>
      </c>
      <c r="F78" s="192" t="n"/>
      <c r="G78" s="192" t="n"/>
      <c r="H78" s="192" t="n"/>
      <c r="I78" s="192" t="n"/>
      <c r="J78" s="192" t="n"/>
      <c r="K78" s="192" t="n"/>
      <c r="L78" s="190">
        <f>E78*Prices!B$2</f>
        <v/>
      </c>
      <c r="M78" s="190">
        <f>F78*Prices!C$2</f>
        <v/>
      </c>
      <c r="N78" s="190">
        <f>G78*Prices!D$2</f>
        <v/>
      </c>
      <c r="O78" s="190">
        <f>H78*Prices!E$2</f>
        <v/>
      </c>
      <c r="P78" s="190">
        <f>I78*2000+J78*10000+K78*1800</f>
        <v/>
      </c>
      <c r="Q78" s="190">
        <f>D78*Prices!A$2</f>
        <v/>
      </c>
      <c r="R78" s="194">
        <f>L78+M78+N78+O78</f>
        <v/>
      </c>
      <c r="S78" s="193">
        <f>R78+Q78+P78</f>
        <v/>
      </c>
      <c r="T78" s="192" t="n">
        <v>77</v>
      </c>
      <c r="U78" s="93" t="inlineStr">
        <is>
          <t>Return</t>
        </is>
      </c>
      <c r="V78" s="12" t="n"/>
      <c r="W78" s="12" t="n"/>
      <c r="X78" s="12" t="n"/>
      <c r="Y78" s="12" t="n"/>
      <c r="Z78" s="12" t="n"/>
    </row>
    <row r="79">
      <c r="A79" s="93" t="n">
        <v>78</v>
      </c>
      <c r="B79" s="93" t="n">
        <v>3.13</v>
      </c>
      <c r="C79" s="93">
        <f>B79*(25/100)</f>
        <v/>
      </c>
      <c r="D79" s="93">
        <f>C79+B79</f>
        <v/>
      </c>
      <c r="E79" s="93" t="n">
        <v>0.25</v>
      </c>
      <c r="F79" s="93" t="n"/>
      <c r="G79" s="93" t="n"/>
      <c r="H79" s="93" t="n"/>
      <c r="I79" s="93" t="n"/>
      <c r="J79" s="93" t="n"/>
      <c r="K79" s="93" t="n"/>
      <c r="L79" s="190">
        <f>E79*Prices!B$2</f>
        <v/>
      </c>
      <c r="M79" s="190">
        <f>F79*Prices!C$2</f>
        <v/>
      </c>
      <c r="N79" s="190">
        <f>G79*Prices!D$2</f>
        <v/>
      </c>
      <c r="O79" s="190">
        <f>H79*Prices!E$2</f>
        <v/>
      </c>
      <c r="P79" s="190">
        <f>I79*2000+J79*10000+K79*1800</f>
        <v/>
      </c>
      <c r="Q79" s="190">
        <f>D79*Prices!A$2</f>
        <v/>
      </c>
      <c r="R79" s="191">
        <f>L79+M79+N79+O79</f>
        <v/>
      </c>
      <c r="S79" s="190">
        <f>R79+Q79+P79</f>
        <v/>
      </c>
      <c r="T79" s="93" t="n">
        <v>78</v>
      </c>
      <c r="U79" s="93" t="inlineStr">
        <is>
          <t>Available</t>
        </is>
      </c>
      <c r="V79" s="12" t="inlineStr">
        <is>
          <t>A</t>
        </is>
      </c>
      <c r="W79" s="12" t="n"/>
      <c r="X79" s="12" t="n"/>
      <c r="Y79" s="12" t="n"/>
      <c r="Z79" s="12" t="n"/>
    </row>
    <row r="80">
      <c r="A80" s="93" t="n">
        <v>79</v>
      </c>
      <c r="B80" s="93" t="n">
        <v>2.844</v>
      </c>
      <c r="C80" s="93">
        <f>B80*(25/100)</f>
        <v/>
      </c>
      <c r="D80" s="93">
        <f>C80+B80</f>
        <v/>
      </c>
      <c r="E80" s="93" t="n">
        <v>0.18</v>
      </c>
      <c r="F80" s="93" t="n"/>
      <c r="G80" s="93" t="n"/>
      <c r="H80" s="93" t="n"/>
      <c r="I80" s="93" t="n"/>
      <c r="J80" s="93" t="n"/>
      <c r="K80" s="93" t="n"/>
      <c r="L80" s="190">
        <f>E80*Prices!B$2</f>
        <v/>
      </c>
      <c r="M80" s="190">
        <f>F80*Prices!C$2</f>
        <v/>
      </c>
      <c r="N80" s="190">
        <f>G80*Prices!D$2</f>
        <v/>
      </c>
      <c r="O80" s="190">
        <f>H80*Prices!E$2</f>
        <v/>
      </c>
      <c r="P80" s="190">
        <f>I80*2000+J80*10000+K80*1800</f>
        <v/>
      </c>
      <c r="Q80" s="190">
        <f>D80*Prices!A$2</f>
        <v/>
      </c>
      <c r="R80" s="191">
        <f>L80+M80+N80+O80</f>
        <v/>
      </c>
      <c r="S80" s="190">
        <f>R80+Q80+P80</f>
        <v/>
      </c>
      <c r="T80" s="93" t="n">
        <v>79</v>
      </c>
      <c r="U80" s="26" t="inlineStr">
        <is>
          <t>Sold</t>
        </is>
      </c>
      <c r="V80" s="12" t="n"/>
      <c r="W80" s="12" t="n"/>
      <c r="X80" s="12" t="n"/>
      <c r="Y80" s="12" t="n"/>
      <c r="Z80" s="12" t="n"/>
    </row>
    <row r="81">
      <c r="A81" s="93" t="n">
        <v>80</v>
      </c>
      <c r="B81" s="93" t="n">
        <v>2.84</v>
      </c>
      <c r="C81" s="93">
        <f>B81*(25/100)</f>
        <v/>
      </c>
      <c r="D81" s="93">
        <f>C81+B81</f>
        <v/>
      </c>
      <c r="E81" s="93" t="n">
        <v>0.65</v>
      </c>
      <c r="F81" s="93" t="n"/>
      <c r="G81" s="93" t="n"/>
      <c r="H81" s="93" t="n"/>
      <c r="I81" s="93" t="n"/>
      <c r="J81" s="93" t="n"/>
      <c r="K81" s="93" t="n"/>
      <c r="L81" s="190">
        <f>E81*Prices!B$2</f>
        <v/>
      </c>
      <c r="M81" s="190">
        <f>F81*Prices!C$2</f>
        <v/>
      </c>
      <c r="N81" s="190">
        <f>G81*Prices!D$2</f>
        <v/>
      </c>
      <c r="O81" s="190">
        <f>H81*Prices!E$2</f>
        <v/>
      </c>
      <c r="P81" s="190">
        <f>I81*2000+J81*10000+K81*1800</f>
        <v/>
      </c>
      <c r="Q81" s="190">
        <f>D81*Prices!A$2</f>
        <v/>
      </c>
      <c r="R81" s="191">
        <f>L81+M81+N81+O81</f>
        <v/>
      </c>
      <c r="S81" s="190">
        <f>R81+Q81+P81</f>
        <v/>
      </c>
      <c r="T81" s="93" t="n">
        <v>80</v>
      </c>
      <c r="U81" s="26" t="inlineStr">
        <is>
          <t>Sold</t>
        </is>
      </c>
      <c r="V81" s="12" t="n"/>
      <c r="W81" s="12" t="n"/>
      <c r="X81" s="12" t="n"/>
      <c r="Y81" s="12" t="n"/>
      <c r="Z81" s="12" t="n"/>
    </row>
    <row r="82">
      <c r="A82" s="93" t="n">
        <v>81</v>
      </c>
      <c r="B82" s="93" t="n">
        <v>3.468</v>
      </c>
      <c r="C82" s="93">
        <f>B82*(25/100)</f>
        <v/>
      </c>
      <c r="D82" s="93">
        <f>C82+B82</f>
        <v/>
      </c>
      <c r="E82" s="93" t="n">
        <v>0.46</v>
      </c>
      <c r="F82" s="93" t="n"/>
      <c r="G82" s="93" t="n"/>
      <c r="H82" s="93" t="n"/>
      <c r="I82" s="93" t="n"/>
      <c r="J82" s="93" t="n"/>
      <c r="K82" s="93" t="n"/>
      <c r="L82" s="190">
        <f>E82*Prices!B$2</f>
        <v/>
      </c>
      <c r="M82" s="190">
        <f>F82*Prices!C$2</f>
        <v/>
      </c>
      <c r="N82" s="190">
        <f>G82*Prices!D$2</f>
        <v/>
      </c>
      <c r="O82" s="190">
        <f>H82*Prices!E$2</f>
        <v/>
      </c>
      <c r="P82" s="190">
        <f>I82*2000+J82*10000+K82*1800</f>
        <v/>
      </c>
      <c r="Q82" s="190">
        <f>D82*Prices!A$2</f>
        <v/>
      </c>
      <c r="R82" s="191">
        <f>L82+M82+N82+O82</f>
        <v/>
      </c>
      <c r="S82" s="190">
        <f>R82+Q82+P82</f>
        <v/>
      </c>
      <c r="T82" s="93" t="n">
        <v>81</v>
      </c>
      <c r="U82" s="26" t="inlineStr">
        <is>
          <t>Sold</t>
        </is>
      </c>
      <c r="V82" s="12" t="n"/>
      <c r="W82" s="12" t="n"/>
      <c r="X82" s="12" t="n"/>
      <c r="Y82" s="12" t="n"/>
      <c r="Z82" s="12" t="n"/>
    </row>
    <row r="83">
      <c r="A83" s="93" t="n">
        <v>82</v>
      </c>
      <c r="B83" s="93" t="n">
        <v>2.456</v>
      </c>
      <c r="C83" s="93">
        <f>B83*(25/100)</f>
        <v/>
      </c>
      <c r="D83" s="93">
        <f>C83+B83</f>
        <v/>
      </c>
      <c r="E83" s="93" t="n">
        <v>0.42</v>
      </c>
      <c r="F83" s="93" t="n"/>
      <c r="G83" s="93" t="n"/>
      <c r="H83" s="93" t="n"/>
      <c r="I83" s="93" t="n"/>
      <c r="J83" s="93" t="n"/>
      <c r="K83" s="93" t="n"/>
      <c r="L83" s="190">
        <f>E83*Prices!B$2</f>
        <v/>
      </c>
      <c r="M83" s="190">
        <f>F83*Prices!C$2</f>
        <v/>
      </c>
      <c r="N83" s="190">
        <f>G83*Prices!D$2</f>
        <v/>
      </c>
      <c r="O83" s="190">
        <f>H83*Prices!E$2</f>
        <v/>
      </c>
      <c r="P83" s="190">
        <f>I83*2000+J83*10000+K83*1800</f>
        <v/>
      </c>
      <c r="Q83" s="190">
        <f>D83*Prices!A$2</f>
        <v/>
      </c>
      <c r="R83" s="191">
        <f>L83+M83+N83+O83</f>
        <v/>
      </c>
      <c r="S83" s="190">
        <f>R83+Q83+P83</f>
        <v/>
      </c>
      <c r="T83" s="93" t="n">
        <v>82</v>
      </c>
      <c r="U83" s="26" t="inlineStr">
        <is>
          <t>Sold</t>
        </is>
      </c>
      <c r="V83" s="12" t="n"/>
      <c r="W83" s="12" t="n"/>
      <c r="X83" s="12" t="n"/>
      <c r="Y83" s="12" t="n"/>
      <c r="Z83" s="12" t="n"/>
    </row>
    <row r="84">
      <c r="A84" s="192" t="n">
        <v>83</v>
      </c>
      <c r="B84" s="192" t="n">
        <v>5.21</v>
      </c>
      <c r="C84" s="192">
        <f>B84*(25/100)</f>
        <v/>
      </c>
      <c r="D84" s="192">
        <f>C84+B84</f>
        <v/>
      </c>
      <c r="E84" s="192" t="n">
        <v>0.53</v>
      </c>
      <c r="F84" s="192" t="n"/>
      <c r="G84" s="192" t="n"/>
      <c r="H84" s="192" t="n"/>
      <c r="I84" s="192" t="n"/>
      <c r="J84" s="192" t="n"/>
      <c r="K84" s="192" t="n"/>
      <c r="L84" s="190">
        <f>E84*Prices!B$2</f>
        <v/>
      </c>
      <c r="M84" s="190">
        <f>F84*Prices!C$2</f>
        <v/>
      </c>
      <c r="N84" s="190">
        <f>G84*Prices!D$2</f>
        <v/>
      </c>
      <c r="O84" s="190">
        <f>H84*Prices!E$2</f>
        <v/>
      </c>
      <c r="P84" s="190">
        <f>I84*2000+J84*10000+K84*1800</f>
        <v/>
      </c>
      <c r="Q84" s="190">
        <f>D84*Prices!A$2</f>
        <v/>
      </c>
      <c r="R84" s="194">
        <f>L84+M84+N84+O84</f>
        <v/>
      </c>
      <c r="S84" s="193">
        <f>R84+Q84+P84</f>
        <v/>
      </c>
      <c r="T84" s="192" t="n">
        <v>83</v>
      </c>
      <c r="U84" s="93" t="inlineStr">
        <is>
          <t>Return</t>
        </is>
      </c>
      <c r="V84" s="12" t="n"/>
      <c r="W84" s="12" t="n"/>
      <c r="X84" s="12" t="n"/>
      <c r="Y84" s="12" t="n"/>
      <c r="Z84" s="12" t="n"/>
    </row>
    <row r="85">
      <c r="A85" s="93" t="n">
        <v>84</v>
      </c>
      <c r="B85" s="93" t="n">
        <v>2.86</v>
      </c>
      <c r="C85" s="93">
        <f>B85*(25/100)</f>
        <v/>
      </c>
      <c r="D85" s="93">
        <f>C85+B85</f>
        <v/>
      </c>
      <c r="E85" s="93" t="n">
        <v>0.4</v>
      </c>
      <c r="F85" s="93" t="n"/>
      <c r="G85" s="93" t="n"/>
      <c r="H85" s="93" t="n"/>
      <c r="I85" s="93" t="n"/>
      <c r="J85" s="93" t="n"/>
      <c r="K85" s="93" t="n"/>
      <c r="L85" s="190">
        <f>E85*Prices!B$2</f>
        <v/>
      </c>
      <c r="M85" s="190">
        <f>F85*Prices!C$2</f>
        <v/>
      </c>
      <c r="N85" s="190">
        <f>G85*Prices!D$2</f>
        <v/>
      </c>
      <c r="O85" s="190">
        <f>H85*Prices!E$2</f>
        <v/>
      </c>
      <c r="P85" s="190">
        <f>I85*2000+J85*10000+K85*1800</f>
        <v/>
      </c>
      <c r="Q85" s="190">
        <f>D85*Prices!A$2</f>
        <v/>
      </c>
      <c r="R85" s="191">
        <f>L85+M85+N85+O85</f>
        <v/>
      </c>
      <c r="S85" s="190">
        <f>R85+Q85+P85</f>
        <v/>
      </c>
      <c r="T85" s="93" t="n">
        <v>84</v>
      </c>
      <c r="U85" s="26" t="inlineStr">
        <is>
          <t>Sold</t>
        </is>
      </c>
      <c r="V85" s="12" t="n"/>
      <c r="W85" s="12" t="n"/>
      <c r="X85" s="12" t="n"/>
      <c r="Y85" s="12" t="n"/>
      <c r="Z85" s="12" t="n"/>
    </row>
    <row r="86">
      <c r="A86" s="93" t="n">
        <v>85</v>
      </c>
      <c r="B86" s="93" t="n">
        <v>3.038</v>
      </c>
      <c r="C86" s="93">
        <f>B86*(25/100)</f>
        <v/>
      </c>
      <c r="D86" s="93">
        <f>C86+B86</f>
        <v/>
      </c>
      <c r="E86" s="93" t="n">
        <v>0.51</v>
      </c>
      <c r="F86" s="93" t="n"/>
      <c r="G86" s="93" t="n"/>
      <c r="H86" s="93" t="n"/>
      <c r="I86" s="93" t="n"/>
      <c r="J86" s="93" t="n"/>
      <c r="K86" s="93" t="n"/>
      <c r="L86" s="190">
        <f>E86*Prices!B$2</f>
        <v/>
      </c>
      <c r="M86" s="190">
        <f>F86*Prices!C$2</f>
        <v/>
      </c>
      <c r="N86" s="190">
        <f>G86*Prices!D$2</f>
        <v/>
      </c>
      <c r="O86" s="190">
        <f>H86*Prices!E$2</f>
        <v/>
      </c>
      <c r="P86" s="190">
        <f>I86*2000+J86*10000+K86*1800</f>
        <v/>
      </c>
      <c r="Q86" s="190">
        <f>D86*Prices!A$2</f>
        <v/>
      </c>
      <c r="R86" s="191">
        <f>L86+M86+N86+O86</f>
        <v/>
      </c>
      <c r="S86" s="190">
        <f>R86+Q86+P86</f>
        <v/>
      </c>
      <c r="T86" s="93" t="n">
        <v>85</v>
      </c>
      <c r="U86" s="93" t="inlineStr">
        <is>
          <t>Sold</t>
        </is>
      </c>
      <c r="V86" s="12" t="n"/>
      <c r="W86" s="12" t="n"/>
      <c r="X86" s="12" t="n"/>
      <c r="Y86" s="12" t="n"/>
      <c r="Z86" s="12" t="n"/>
    </row>
    <row r="87">
      <c r="A87" s="93" t="n">
        <v>86</v>
      </c>
      <c r="B87" s="93" t="n">
        <v>4.08</v>
      </c>
      <c r="C87" s="93">
        <f>B87*(25/100)</f>
        <v/>
      </c>
      <c r="D87" s="93">
        <f>C87+B87</f>
        <v/>
      </c>
      <c r="E87" s="93" t="n">
        <v>0.95</v>
      </c>
      <c r="F87" s="93" t="n"/>
      <c r="G87" s="93" t="n"/>
      <c r="H87" s="93" t="n"/>
      <c r="I87" s="93" t="n"/>
      <c r="J87" s="93" t="n"/>
      <c r="K87" s="93" t="n"/>
      <c r="L87" s="190">
        <f>E87*Prices!B$2</f>
        <v/>
      </c>
      <c r="M87" s="190">
        <f>F87*Prices!C$2</f>
        <v/>
      </c>
      <c r="N87" s="190">
        <f>G87*Prices!D$2</f>
        <v/>
      </c>
      <c r="O87" s="190">
        <f>H87*Prices!E$2</f>
        <v/>
      </c>
      <c r="P87" s="190">
        <f>I87*2000+J87*10000+K87*1800</f>
        <v/>
      </c>
      <c r="Q87" s="190">
        <f>D87*Prices!A$2</f>
        <v/>
      </c>
      <c r="R87" s="191">
        <f>L87+M87+N87+O87</f>
        <v/>
      </c>
      <c r="S87" s="190">
        <f>R87+Q87+P87</f>
        <v/>
      </c>
      <c r="T87" s="93" t="n">
        <v>86</v>
      </c>
      <c r="U87" s="93" t="inlineStr">
        <is>
          <t>Sold</t>
        </is>
      </c>
      <c r="V87" s="12" t="n"/>
      <c r="W87" s="12" t="n"/>
      <c r="X87" s="12" t="n"/>
      <c r="Y87" s="12" t="n"/>
      <c r="Z87" s="12" t="n"/>
    </row>
    <row r="88">
      <c r="A88" s="93" t="n">
        <v>87</v>
      </c>
      <c r="B88" s="93" t="n">
        <v>3.122</v>
      </c>
      <c r="C88" s="93">
        <f>B88*(25/100)</f>
        <v/>
      </c>
      <c r="D88" s="93">
        <f>C88+B88</f>
        <v/>
      </c>
      <c r="E88" s="93" t="n">
        <v>0.42</v>
      </c>
      <c r="F88" s="93" t="n">
        <v>0.07000000000000001</v>
      </c>
      <c r="G88" s="93" t="n"/>
      <c r="H88" s="93" t="n"/>
      <c r="I88" s="93" t="n"/>
      <c r="J88" s="93" t="n"/>
      <c r="K88" s="93" t="n"/>
      <c r="L88" s="190">
        <f>E88*Prices!B$2</f>
        <v/>
      </c>
      <c r="M88" s="190">
        <f>F88*Prices!C$2</f>
        <v/>
      </c>
      <c r="N88" s="190">
        <f>G88*Prices!D$2</f>
        <v/>
      </c>
      <c r="O88" s="190">
        <f>H88*Prices!E$2</f>
        <v/>
      </c>
      <c r="P88" s="190">
        <f>I88*2000+J88*10000+K88*1800</f>
        <v/>
      </c>
      <c r="Q88" s="190">
        <f>D88*Prices!A$2</f>
        <v/>
      </c>
      <c r="R88" s="191">
        <f>L88+M88+N88+O88</f>
        <v/>
      </c>
      <c r="S88" s="190">
        <f>R88+Q88+P88</f>
        <v/>
      </c>
      <c r="T88" s="93" t="n">
        <v>87</v>
      </c>
      <c r="U88" s="93" t="inlineStr">
        <is>
          <t>Sold</t>
        </is>
      </c>
      <c r="V88" s="12" t="n"/>
      <c r="W88" s="12" t="n"/>
      <c r="X88" s="12" t="n"/>
      <c r="Y88" s="12" t="n"/>
      <c r="Z88" s="12" t="n"/>
    </row>
    <row r="89">
      <c r="A89" s="93" t="n">
        <v>88</v>
      </c>
      <c r="B89" s="93" t="n">
        <v>2.634</v>
      </c>
      <c r="C89" s="93">
        <f>B89*(25/100)</f>
        <v/>
      </c>
      <c r="D89" s="93">
        <f>C89+B89</f>
        <v/>
      </c>
      <c r="E89" s="93" t="n">
        <v>0.23</v>
      </c>
      <c r="F89" s="93" t="n"/>
      <c r="G89" s="93" t="n"/>
      <c r="H89" s="93" t="n"/>
      <c r="I89" s="93" t="n"/>
      <c r="J89" s="93" t="n"/>
      <c r="K89" s="93" t="n"/>
      <c r="L89" s="190">
        <f>E89*Prices!B$2</f>
        <v/>
      </c>
      <c r="M89" s="190">
        <f>F89*Prices!C$2</f>
        <v/>
      </c>
      <c r="N89" s="190">
        <f>G89*Prices!D$2</f>
        <v/>
      </c>
      <c r="O89" s="190">
        <f>H89*Prices!E$2</f>
        <v/>
      </c>
      <c r="P89" s="190">
        <f>I89*2000+J89*10000+K89*1800</f>
        <v/>
      </c>
      <c r="Q89" s="190">
        <f>D89*Prices!A$2</f>
        <v/>
      </c>
      <c r="R89" s="191">
        <f>L89+M89+N89+O89</f>
        <v/>
      </c>
      <c r="S89" s="190">
        <f>R89+Q89+P89</f>
        <v/>
      </c>
      <c r="T89" s="93" t="n">
        <v>88</v>
      </c>
      <c r="U89" s="93" t="inlineStr">
        <is>
          <t>Sold</t>
        </is>
      </c>
      <c r="V89" s="12" t="n"/>
      <c r="W89" s="12" t="n"/>
      <c r="X89" s="12" t="n"/>
      <c r="Y89" s="12" t="n"/>
      <c r="Z89" s="12" t="n"/>
    </row>
    <row r="90">
      <c r="A90" s="93" t="n">
        <v>89</v>
      </c>
      <c r="B90" s="93" t="n">
        <v>2.408</v>
      </c>
      <c r="C90" s="93">
        <f>B90*(25/100)</f>
        <v/>
      </c>
      <c r="D90" s="93">
        <f>C90+B90</f>
        <v/>
      </c>
      <c r="E90" s="93" t="n">
        <v>0.21</v>
      </c>
      <c r="F90" s="93" t="n"/>
      <c r="G90" s="93" t="n"/>
      <c r="H90" s="93" t="n"/>
      <c r="I90" s="93" t="n"/>
      <c r="J90" s="93" t="n"/>
      <c r="K90" s="93" t="n"/>
      <c r="L90" s="190">
        <f>E90*Prices!B$2</f>
        <v/>
      </c>
      <c r="M90" s="190">
        <f>F90*Prices!C$2</f>
        <v/>
      </c>
      <c r="N90" s="190">
        <f>G90*Prices!D$2</f>
        <v/>
      </c>
      <c r="O90" s="190">
        <f>H90*Prices!E$2</f>
        <v/>
      </c>
      <c r="P90" s="190">
        <f>I90*2000+J90*10000+K90*1800</f>
        <v/>
      </c>
      <c r="Q90" s="190">
        <f>D90*Prices!A$2</f>
        <v/>
      </c>
      <c r="R90" s="191">
        <f>L90+M90+N90+O90</f>
        <v/>
      </c>
      <c r="S90" s="190">
        <f>R90+Q90+P90</f>
        <v/>
      </c>
      <c r="T90" s="93" t="n">
        <v>89</v>
      </c>
      <c r="U90" s="93" t="inlineStr">
        <is>
          <t>Sold</t>
        </is>
      </c>
      <c r="V90" s="12" t="n"/>
      <c r="W90" s="12" t="n"/>
      <c r="X90" s="12" t="n"/>
      <c r="Y90" s="12" t="n"/>
      <c r="Z90" s="12" t="n"/>
    </row>
    <row r="91">
      <c r="A91" s="93" t="n">
        <v>90</v>
      </c>
      <c r="B91" s="93" t="n">
        <v>2.514</v>
      </c>
      <c r="C91" s="93">
        <f>B91*(25/100)</f>
        <v/>
      </c>
      <c r="D91" s="93">
        <f>C91+B91</f>
        <v/>
      </c>
      <c r="E91" s="93" t="n">
        <v>0.28</v>
      </c>
      <c r="F91" s="93" t="n"/>
      <c r="G91" s="93" t="n"/>
      <c r="H91" s="93" t="n"/>
      <c r="I91" s="93" t="n"/>
      <c r="J91" s="93" t="n"/>
      <c r="K91" s="93" t="n"/>
      <c r="L91" s="190">
        <f>E91*Prices!B$2</f>
        <v/>
      </c>
      <c r="M91" s="190">
        <f>F91*Prices!C$2</f>
        <v/>
      </c>
      <c r="N91" s="190">
        <f>G91*Prices!D$2</f>
        <v/>
      </c>
      <c r="O91" s="190">
        <f>H91*Prices!E$2</f>
        <v/>
      </c>
      <c r="P91" s="190">
        <f>I91*2000+J91*10000+K91*1800</f>
        <v/>
      </c>
      <c r="Q91" s="190">
        <f>D91*Prices!A$2</f>
        <v/>
      </c>
      <c r="R91" s="191">
        <f>L91+M91+N91+O91</f>
        <v/>
      </c>
      <c r="S91" s="190">
        <f>R91+Q91+P91</f>
        <v/>
      </c>
      <c r="T91" s="93" t="n">
        <v>90</v>
      </c>
      <c r="U91" s="93" t="inlineStr">
        <is>
          <t>Sold</t>
        </is>
      </c>
      <c r="V91" s="12" t="n"/>
      <c r="W91" s="12" t="n"/>
      <c r="X91" s="12" t="n"/>
      <c r="Y91" s="12" t="n"/>
      <c r="Z91" s="12" t="n"/>
    </row>
    <row r="92">
      <c r="A92" s="93" t="n">
        <v>91</v>
      </c>
      <c r="B92" s="93" t="n">
        <v>2.734</v>
      </c>
      <c r="C92" s="93">
        <f>B92*(25/100)</f>
        <v/>
      </c>
      <c r="D92" s="93">
        <f>C92+B92</f>
        <v/>
      </c>
      <c r="E92" s="93" t="n">
        <v>0.28</v>
      </c>
      <c r="F92" s="93" t="n"/>
      <c r="G92" s="93" t="n"/>
      <c r="H92" s="93" t="n"/>
      <c r="I92" s="93" t="n"/>
      <c r="J92" s="93" t="n"/>
      <c r="K92" s="93" t="n"/>
      <c r="L92" s="190">
        <f>E92*Prices!B$2</f>
        <v/>
      </c>
      <c r="M92" s="190">
        <f>F92*Prices!C$2</f>
        <v/>
      </c>
      <c r="N92" s="190">
        <f>G92*Prices!D$2</f>
        <v/>
      </c>
      <c r="O92" s="190">
        <f>H92*Prices!E$2</f>
        <v/>
      </c>
      <c r="P92" s="190">
        <f>I92*2000+J92*10000+K92*1800</f>
        <v/>
      </c>
      <c r="Q92" s="190">
        <f>D92*Prices!A$2</f>
        <v/>
      </c>
      <c r="R92" s="191">
        <f>L92+M92+N92+O92</f>
        <v/>
      </c>
      <c r="S92" s="190">
        <f>R92+Q92+P92</f>
        <v/>
      </c>
      <c r="T92" s="93" t="n">
        <v>91</v>
      </c>
      <c r="U92" s="93" t="inlineStr">
        <is>
          <t>Sold</t>
        </is>
      </c>
      <c r="V92" s="12" t="n"/>
      <c r="W92" s="12" t="n"/>
      <c r="X92" s="12" t="n"/>
      <c r="Y92" s="12" t="n"/>
      <c r="Z92" s="12" t="n"/>
    </row>
    <row r="93">
      <c r="A93" s="93" t="n">
        <v>92</v>
      </c>
      <c r="B93" s="93" t="n">
        <v>2.736</v>
      </c>
      <c r="C93" s="93">
        <f>B93*(25/100)</f>
        <v/>
      </c>
      <c r="D93" s="93">
        <f>C93+B93</f>
        <v/>
      </c>
      <c r="E93" s="93" t="n">
        <v>0.42</v>
      </c>
      <c r="F93" s="93" t="n"/>
      <c r="G93" s="93" t="n"/>
      <c r="H93" s="93" t="n"/>
      <c r="I93" s="93" t="n"/>
      <c r="J93" s="93" t="n"/>
      <c r="K93" s="93" t="n"/>
      <c r="L93" s="190">
        <f>E93*Prices!B$2</f>
        <v/>
      </c>
      <c r="M93" s="190">
        <f>F93*Prices!C$2</f>
        <v/>
      </c>
      <c r="N93" s="190">
        <f>G93*Prices!D$2</f>
        <v/>
      </c>
      <c r="O93" s="190">
        <f>H93*Prices!E$2</f>
        <v/>
      </c>
      <c r="P93" s="190">
        <f>I93*2000+J93*10000+K93*1800</f>
        <v/>
      </c>
      <c r="Q93" s="190">
        <f>D93*Prices!A$2</f>
        <v/>
      </c>
      <c r="R93" s="191">
        <f>L93+M93+N93+O93</f>
        <v/>
      </c>
      <c r="S93" s="190">
        <f>R93+Q93+P93</f>
        <v/>
      </c>
      <c r="T93" s="93" t="n">
        <v>92</v>
      </c>
      <c r="U93" s="93" t="inlineStr">
        <is>
          <t>Sold</t>
        </is>
      </c>
      <c r="V93" s="12" t="n"/>
      <c r="W93" s="12" t="n"/>
      <c r="X93" s="12" t="n"/>
      <c r="Y93" s="12" t="n"/>
      <c r="Z93" s="12" t="n"/>
    </row>
    <row r="94">
      <c r="A94" s="93" t="n">
        <v>93</v>
      </c>
      <c r="B94" s="93" t="n">
        <v>2.914</v>
      </c>
      <c r="C94" s="93">
        <f>B94*(25/100)</f>
        <v/>
      </c>
      <c r="D94" s="93">
        <f>C94+B94</f>
        <v/>
      </c>
      <c r="E94" s="93" t="n">
        <v>0.63</v>
      </c>
      <c r="F94" s="93" t="n"/>
      <c r="G94" s="93" t="n"/>
      <c r="H94" s="93" t="n"/>
      <c r="I94" s="93" t="n"/>
      <c r="J94" s="93" t="n"/>
      <c r="K94" s="93" t="n"/>
      <c r="L94" s="190">
        <f>E94*Prices!B$2</f>
        <v/>
      </c>
      <c r="M94" s="190">
        <f>F94*Prices!C$2</f>
        <v/>
      </c>
      <c r="N94" s="190">
        <f>G94*Prices!D$2</f>
        <v/>
      </c>
      <c r="O94" s="190">
        <f>H94*Prices!E$2</f>
        <v/>
      </c>
      <c r="P94" s="190">
        <f>I94*2000+J94*10000+K94*1800</f>
        <v/>
      </c>
      <c r="Q94" s="190">
        <f>D94*Prices!A$2</f>
        <v/>
      </c>
      <c r="R94" s="191">
        <f>L94+M94+N94+O94</f>
        <v/>
      </c>
      <c r="S94" s="190">
        <f>R94+Q94+P94</f>
        <v/>
      </c>
      <c r="T94" s="93" t="n">
        <v>93</v>
      </c>
      <c r="U94" s="93" t="inlineStr">
        <is>
          <t>Sold</t>
        </is>
      </c>
      <c r="V94" s="12" t="n"/>
      <c r="W94" s="12" t="n"/>
      <c r="X94" s="12" t="n"/>
      <c r="Y94" s="12" t="n"/>
      <c r="Z94" s="12" t="n"/>
    </row>
    <row r="95">
      <c r="A95" s="93" t="n">
        <v>94</v>
      </c>
      <c r="B95" s="93" t="n">
        <v>3.124</v>
      </c>
      <c r="C95" s="93">
        <f>B95*(25/100)</f>
        <v/>
      </c>
      <c r="D95" s="93">
        <f>C95+B95</f>
        <v/>
      </c>
      <c r="E95" s="93" t="n">
        <v>0.73</v>
      </c>
      <c r="F95" s="93" t="n"/>
      <c r="G95" s="93" t="n"/>
      <c r="H95" s="93" t="n"/>
      <c r="I95" s="93" t="n"/>
      <c r="J95" s="93" t="n"/>
      <c r="K95" s="93" t="n"/>
      <c r="L95" s="190">
        <f>E95*Prices!B$2</f>
        <v/>
      </c>
      <c r="M95" s="190">
        <f>F95*Prices!C$2</f>
        <v/>
      </c>
      <c r="N95" s="190">
        <f>G95*Prices!D$2</f>
        <v/>
      </c>
      <c r="O95" s="190">
        <f>H95*Prices!E$2</f>
        <v/>
      </c>
      <c r="P95" s="190">
        <f>I95*2000+J95*10000+K95*1800</f>
        <v/>
      </c>
      <c r="Q95" s="190">
        <f>D95*Prices!A$2</f>
        <v/>
      </c>
      <c r="R95" s="191">
        <f>L95+M95+N95+O95</f>
        <v/>
      </c>
      <c r="S95" s="190">
        <f>R95+Q95+P95</f>
        <v/>
      </c>
      <c r="T95" s="93" t="n">
        <v>94</v>
      </c>
      <c r="U95" s="93" t="inlineStr">
        <is>
          <t>Sold</t>
        </is>
      </c>
      <c r="V95" s="12" t="n"/>
      <c r="W95" s="12" t="n"/>
      <c r="X95" s="12" t="n"/>
      <c r="Y95" s="12" t="n"/>
      <c r="Z95" s="12" t="n"/>
    </row>
    <row r="96">
      <c r="A96" s="93" t="n">
        <v>95</v>
      </c>
      <c r="B96" s="93" t="n">
        <v>1.568</v>
      </c>
      <c r="C96" s="93">
        <f>B96*(25/100)</f>
        <v/>
      </c>
      <c r="D96" s="93">
        <f>C96+B96</f>
        <v/>
      </c>
      <c r="E96" s="93" t="n">
        <v>0.26</v>
      </c>
      <c r="F96" s="93" t="n"/>
      <c r="G96" s="93" t="n"/>
      <c r="H96" s="93" t="n"/>
      <c r="I96" s="93" t="n"/>
      <c r="J96" s="93" t="n"/>
      <c r="K96" s="93" t="n"/>
      <c r="L96" s="190">
        <f>E96*Prices!B$2</f>
        <v/>
      </c>
      <c r="M96" s="190">
        <f>F96*Prices!C$2</f>
        <v/>
      </c>
      <c r="N96" s="190">
        <f>G96*Prices!D$2</f>
        <v/>
      </c>
      <c r="O96" s="190">
        <f>H96*Prices!E$2</f>
        <v/>
      </c>
      <c r="P96" s="190">
        <f>I96*2000+J96*10000+K96*1800</f>
        <v/>
      </c>
      <c r="Q96" s="190">
        <f>D96*Prices!A$2</f>
        <v/>
      </c>
      <c r="R96" s="191">
        <f>L96+M96+N96+O96</f>
        <v/>
      </c>
      <c r="S96" s="190">
        <f>R96+Q96+P96</f>
        <v/>
      </c>
      <c r="T96" s="93" t="n">
        <v>95</v>
      </c>
      <c r="U96" s="93" t="inlineStr">
        <is>
          <t>Sold</t>
        </is>
      </c>
      <c r="V96" s="12" t="n"/>
      <c r="W96" s="12" t="n"/>
      <c r="X96" s="12" t="n"/>
      <c r="Y96" s="12" t="n"/>
      <c r="Z96" s="12" t="n"/>
    </row>
    <row r="97">
      <c r="A97" s="93" t="n">
        <v>96</v>
      </c>
      <c r="B97" s="93" t="n">
        <v>6.804</v>
      </c>
      <c r="C97" s="93">
        <f>B97*(25/100)</f>
        <v/>
      </c>
      <c r="D97" s="93">
        <f>C97+B97</f>
        <v/>
      </c>
      <c r="E97" s="93" t="n">
        <v>1.48</v>
      </c>
      <c r="F97" s="93" t="n"/>
      <c r="G97" s="93" t="n"/>
      <c r="H97" s="93" t="n"/>
      <c r="I97" s="93" t="n"/>
      <c r="J97" s="93" t="n"/>
      <c r="K97" s="93" t="n"/>
      <c r="L97" s="190">
        <f>E97*Prices!B$2</f>
        <v/>
      </c>
      <c r="M97" s="190">
        <f>F97*Prices!C$2</f>
        <v/>
      </c>
      <c r="N97" s="190">
        <f>G97*Prices!D$2</f>
        <v/>
      </c>
      <c r="O97" s="190">
        <f>H97*Prices!E$2</f>
        <v/>
      </c>
      <c r="P97" s="190">
        <f>I97*2000+J97*10000+K97*1800</f>
        <v/>
      </c>
      <c r="Q97" s="190">
        <f>D97*Prices!A$2</f>
        <v/>
      </c>
      <c r="R97" s="191">
        <f>L97+M97+N97+O97</f>
        <v/>
      </c>
      <c r="S97" s="190">
        <f>R97+Q97+P97</f>
        <v/>
      </c>
      <c r="T97" s="93" t="n">
        <v>96</v>
      </c>
      <c r="U97" s="93" t="inlineStr">
        <is>
          <t>Sold</t>
        </is>
      </c>
      <c r="V97" s="12" t="n"/>
      <c r="W97" s="12" t="n"/>
      <c r="X97" s="12" t="n"/>
      <c r="Y97" s="12" t="n"/>
      <c r="Z97" s="12" t="n"/>
    </row>
    <row r="98">
      <c r="A98" s="93" t="n">
        <v>97</v>
      </c>
      <c r="B98" s="93" t="n">
        <v>5.308</v>
      </c>
      <c r="C98" s="93">
        <f>B98*(25/100)</f>
        <v/>
      </c>
      <c r="D98" s="93">
        <f>C98+B98</f>
        <v/>
      </c>
      <c r="E98" s="93" t="n">
        <v>0.96</v>
      </c>
      <c r="F98" s="93" t="n"/>
      <c r="G98" s="93" t="n"/>
      <c r="H98" s="93" t="n"/>
      <c r="I98" s="93" t="n"/>
      <c r="J98" s="93" t="n"/>
      <c r="K98" s="93" t="n"/>
      <c r="L98" s="190">
        <f>E98*Prices!B$2</f>
        <v/>
      </c>
      <c r="M98" s="190">
        <f>F98*Prices!C$2</f>
        <v/>
      </c>
      <c r="N98" s="190">
        <f>G98*Prices!D$2</f>
        <v/>
      </c>
      <c r="O98" s="190">
        <f>H98*Prices!E$2</f>
        <v/>
      </c>
      <c r="P98" s="190">
        <f>I98*2000+J98*10000+K98*1800</f>
        <v/>
      </c>
      <c r="Q98" s="190">
        <f>D98*Prices!A$2</f>
        <v/>
      </c>
      <c r="R98" s="191">
        <f>L98+M98+N98+O98</f>
        <v/>
      </c>
      <c r="S98" s="190">
        <f>R98+Q98+P98</f>
        <v/>
      </c>
      <c r="T98" s="93" t="n">
        <v>97</v>
      </c>
      <c r="U98" s="93" t="inlineStr">
        <is>
          <t>Sold</t>
        </is>
      </c>
      <c r="V98" s="12" t="n"/>
      <c r="W98" s="12" t="n"/>
      <c r="X98" s="12" t="n"/>
      <c r="Y98" s="12" t="n"/>
      <c r="Z98" s="12" t="n"/>
    </row>
    <row r="99">
      <c r="A99" s="93" t="n">
        <v>98</v>
      </c>
      <c r="B99" s="93" t="n">
        <v>5.168</v>
      </c>
      <c r="C99" s="93">
        <f>B99*(25/100)</f>
        <v/>
      </c>
      <c r="D99" s="93">
        <f>C99+B99</f>
        <v/>
      </c>
      <c r="E99" s="93" t="n">
        <v>1.21</v>
      </c>
      <c r="F99" s="93" t="n"/>
      <c r="G99" s="93" t="n"/>
      <c r="H99" s="93" t="n"/>
      <c r="I99" s="93" t="n"/>
      <c r="J99" s="93" t="n"/>
      <c r="K99" s="93" t="n"/>
      <c r="L99" s="190">
        <f>E99*Prices!B$2</f>
        <v/>
      </c>
      <c r="M99" s="190">
        <f>F99*Prices!C$2</f>
        <v/>
      </c>
      <c r="N99" s="190">
        <f>G99*Prices!D$2</f>
        <v/>
      </c>
      <c r="O99" s="190">
        <f>H99*Prices!E$2</f>
        <v/>
      </c>
      <c r="P99" s="190">
        <f>I99*2000+J99*10000+K99*1800</f>
        <v/>
      </c>
      <c r="Q99" s="190">
        <f>D99*Prices!A$2</f>
        <v/>
      </c>
      <c r="R99" s="191">
        <f>L99+M99+N99+O99</f>
        <v/>
      </c>
      <c r="S99" s="190">
        <f>R99+Q99+P99</f>
        <v/>
      </c>
      <c r="T99" s="93" t="n">
        <v>98</v>
      </c>
      <c r="U99" s="93" t="inlineStr">
        <is>
          <t>Sold</t>
        </is>
      </c>
      <c r="V99" s="12" t="n"/>
      <c r="W99" s="12" t="n"/>
      <c r="X99" s="12" t="n"/>
      <c r="Y99" s="12" t="n"/>
      <c r="Z99" s="12" t="n"/>
    </row>
    <row r="100">
      <c r="A100" s="93" t="n">
        <v>99</v>
      </c>
      <c r="B100" s="93" t="n">
        <v>3.242</v>
      </c>
      <c r="C100" s="93">
        <f>B100*(25/100)</f>
        <v/>
      </c>
      <c r="D100" s="93">
        <f>C100+B100</f>
        <v/>
      </c>
      <c r="E100" s="93" t="n">
        <v>1.17</v>
      </c>
      <c r="F100" s="93" t="n">
        <v>0.07000000000000001</v>
      </c>
      <c r="G100" s="93" t="n"/>
      <c r="H100" s="93" t="n"/>
      <c r="I100" s="93" t="n"/>
      <c r="J100" s="93" t="n"/>
      <c r="K100" s="93" t="n"/>
      <c r="L100" s="190">
        <f>E100*Prices!B$2</f>
        <v/>
      </c>
      <c r="M100" s="190">
        <f>F100*Prices!C$2</f>
        <v/>
      </c>
      <c r="N100" s="190">
        <f>G100*Prices!D$2</f>
        <v/>
      </c>
      <c r="O100" s="190">
        <f>H100*Prices!E$2</f>
        <v/>
      </c>
      <c r="P100" s="190">
        <f>I100*2000+J100*10000+K100*1800</f>
        <v/>
      </c>
      <c r="Q100" s="190">
        <f>D100*Prices!A$2</f>
        <v/>
      </c>
      <c r="R100" s="191">
        <f>L100+M100+N100+O100</f>
        <v/>
      </c>
      <c r="S100" s="190">
        <f>R100+Q100+P100</f>
        <v/>
      </c>
      <c r="T100" s="93" t="n">
        <v>99</v>
      </c>
      <c r="U100" s="93" t="inlineStr">
        <is>
          <t>Available</t>
        </is>
      </c>
      <c r="V100" s="12" t="inlineStr">
        <is>
          <t>A</t>
        </is>
      </c>
      <c r="W100" s="12" t="n"/>
      <c r="X100" s="12" t="n"/>
      <c r="Y100" s="12" t="n"/>
      <c r="Z100" s="12" t="n"/>
    </row>
    <row r="101">
      <c r="A101" s="93" t="n">
        <v>100</v>
      </c>
      <c r="B101" s="93" t="n">
        <v>4.32</v>
      </c>
      <c r="C101" s="93">
        <f>B101*(25/100)</f>
        <v/>
      </c>
      <c r="D101" s="93">
        <f>C101+B101</f>
        <v/>
      </c>
      <c r="E101" s="93" t="n">
        <v>1.01</v>
      </c>
      <c r="F101" s="93" t="n"/>
      <c r="G101" s="93" t="n"/>
      <c r="H101" s="93" t="n"/>
      <c r="I101" s="93" t="n"/>
      <c r="J101" s="93" t="n"/>
      <c r="K101" s="93" t="n"/>
      <c r="L101" s="190">
        <f>E101*Prices!B$2</f>
        <v/>
      </c>
      <c r="M101" s="190">
        <f>F101*Prices!C$2</f>
        <v/>
      </c>
      <c r="N101" s="190">
        <f>G101*Prices!D$2</f>
        <v/>
      </c>
      <c r="O101" s="190">
        <f>H101*Prices!E$2</f>
        <v/>
      </c>
      <c r="P101" s="190">
        <f>I101*2000+J101*10000+K101*1800</f>
        <v/>
      </c>
      <c r="Q101" s="190">
        <f>D101*Prices!A$2</f>
        <v/>
      </c>
      <c r="R101" s="191">
        <f>L101+M101+N101+O101</f>
        <v/>
      </c>
      <c r="S101" s="190">
        <f>R101+Q101+P101</f>
        <v/>
      </c>
      <c r="T101" s="93" t="n">
        <v>100</v>
      </c>
      <c r="U101" s="93" t="inlineStr">
        <is>
          <t>Sold</t>
        </is>
      </c>
      <c r="V101" s="12" t="n"/>
      <c r="W101" s="12" t="n"/>
      <c r="X101" s="12" t="n"/>
      <c r="Y101" s="12" t="n"/>
      <c r="Z101" s="12" t="n"/>
    </row>
    <row r="102">
      <c r="A102" s="93" t="n">
        <v>101</v>
      </c>
      <c r="B102" s="93" t="n">
        <v>4.064</v>
      </c>
      <c r="C102" s="93">
        <f>B102*(25/100)</f>
        <v/>
      </c>
      <c r="D102" s="93">
        <f>C102+B102</f>
        <v/>
      </c>
      <c r="E102" s="93" t="n">
        <v>0.5</v>
      </c>
      <c r="F102" s="93" t="n"/>
      <c r="G102" s="93" t="n"/>
      <c r="H102" s="93" t="n"/>
      <c r="I102" s="93" t="n"/>
      <c r="J102" s="93" t="n"/>
      <c r="K102" s="93" t="n"/>
      <c r="L102" s="190">
        <f>E102*Prices!B$2</f>
        <v/>
      </c>
      <c r="M102" s="190">
        <f>F102*Prices!C$2</f>
        <v/>
      </c>
      <c r="N102" s="190">
        <f>G102*Prices!D$2</f>
        <v/>
      </c>
      <c r="O102" s="190">
        <f>H102*Prices!E$2</f>
        <v/>
      </c>
      <c r="P102" s="190">
        <f>I102*2000+J102*10000+K102*1800</f>
        <v/>
      </c>
      <c r="Q102" s="190">
        <f>D102*Prices!A$2</f>
        <v/>
      </c>
      <c r="R102" s="191">
        <f>L102+M102+N102+O102</f>
        <v/>
      </c>
      <c r="S102" s="190">
        <f>R102+Q102+P102</f>
        <v/>
      </c>
      <c r="T102" s="93" t="n">
        <v>101</v>
      </c>
      <c r="U102" s="93" t="inlineStr">
        <is>
          <t>Sold</t>
        </is>
      </c>
      <c r="V102" s="12" t="n"/>
      <c r="W102" s="12" t="n"/>
      <c r="X102" s="12" t="n"/>
      <c r="Y102" s="12" t="n"/>
      <c r="Z102" s="12" t="n"/>
    </row>
    <row r="103">
      <c r="A103" s="93" t="n">
        <v>102</v>
      </c>
      <c r="B103" s="93" t="n">
        <v>2.294</v>
      </c>
      <c r="C103" s="93">
        <f>B103*(25/100)</f>
        <v/>
      </c>
      <c r="D103" s="93">
        <f>C103+B103</f>
        <v/>
      </c>
      <c r="E103" s="93" t="n">
        <v>0.78</v>
      </c>
      <c r="F103" s="93" t="n"/>
      <c r="G103" s="93" t="n"/>
      <c r="H103" s="93" t="n"/>
      <c r="I103" s="93" t="n"/>
      <c r="J103" s="93" t="n"/>
      <c r="K103" s="93" t="n"/>
      <c r="L103" s="190">
        <f>E103*Prices!B$2</f>
        <v/>
      </c>
      <c r="M103" s="190">
        <f>F103*Prices!C$2</f>
        <v/>
      </c>
      <c r="N103" s="190">
        <f>G103*Prices!D$2</f>
        <v/>
      </c>
      <c r="O103" s="190">
        <f>H103*Prices!E$2</f>
        <v/>
      </c>
      <c r="P103" s="190">
        <f>I103*2000+J103*10000+K103*1800</f>
        <v/>
      </c>
      <c r="Q103" s="190">
        <f>D103*Prices!A$2</f>
        <v/>
      </c>
      <c r="R103" s="191">
        <f>L103+M103+N103+O103</f>
        <v/>
      </c>
      <c r="S103" s="190">
        <f>R103+Q103+P103</f>
        <v/>
      </c>
      <c r="T103" s="93" t="n">
        <v>102</v>
      </c>
      <c r="U103" s="93" t="inlineStr">
        <is>
          <t>Available</t>
        </is>
      </c>
      <c r="V103" s="12" t="inlineStr">
        <is>
          <t>A</t>
        </is>
      </c>
      <c r="W103" s="12" t="n"/>
      <c r="X103" s="12" t="n"/>
      <c r="Y103" s="12" t="n"/>
      <c r="Z103" s="12" t="n"/>
    </row>
    <row r="104">
      <c r="A104" s="93" t="n">
        <v>103</v>
      </c>
      <c r="B104" s="93" t="n">
        <v>1.578</v>
      </c>
      <c r="C104" s="93">
        <f>B104*(25/100)</f>
        <v/>
      </c>
      <c r="D104" s="93">
        <f>C104+B104</f>
        <v/>
      </c>
      <c r="E104" s="93" t="n">
        <v>0.21</v>
      </c>
      <c r="F104" s="93" t="n"/>
      <c r="G104" s="93" t="n"/>
      <c r="H104" s="93" t="n"/>
      <c r="I104" s="93" t="n"/>
      <c r="J104" s="93" t="n"/>
      <c r="K104" s="93" t="n"/>
      <c r="L104" s="190">
        <f>E104*Prices!B$2</f>
        <v/>
      </c>
      <c r="M104" s="190">
        <f>F104*Prices!C$2</f>
        <v/>
      </c>
      <c r="N104" s="190">
        <f>G104*Prices!D$2</f>
        <v/>
      </c>
      <c r="O104" s="190">
        <f>H104*Prices!E$2</f>
        <v/>
      </c>
      <c r="P104" s="190">
        <f>I104*2000+J104*10000+K104*1800</f>
        <v/>
      </c>
      <c r="Q104" s="190">
        <f>D104*Prices!A$2</f>
        <v/>
      </c>
      <c r="R104" s="191">
        <f>L104+M104+N104+O104</f>
        <v/>
      </c>
      <c r="S104" s="190">
        <f>R104+Q104+P104</f>
        <v/>
      </c>
      <c r="T104" s="93" t="n">
        <v>103</v>
      </c>
      <c r="U104" s="93" t="inlineStr">
        <is>
          <t>Sold</t>
        </is>
      </c>
      <c r="V104" s="12" t="n"/>
      <c r="W104" s="12" t="n"/>
      <c r="X104" s="12" t="n"/>
      <c r="Y104" s="12" t="n"/>
      <c r="Z104" s="12" t="n"/>
    </row>
    <row r="105">
      <c r="A105" s="93" t="n">
        <v>104</v>
      </c>
      <c r="B105" s="93" t="n">
        <v>3.94</v>
      </c>
      <c r="C105" s="93">
        <f>B105*(25/100)</f>
        <v/>
      </c>
      <c r="D105" s="93">
        <f>C105+B105</f>
        <v/>
      </c>
      <c r="E105" s="93" t="n">
        <v>0.59</v>
      </c>
      <c r="F105" s="93" t="n"/>
      <c r="G105" s="93" t="n"/>
      <c r="H105" s="93" t="n"/>
      <c r="I105" s="93" t="n"/>
      <c r="J105" s="93" t="n"/>
      <c r="K105" s="93" t="n">
        <v>6.01</v>
      </c>
      <c r="L105" s="190">
        <f>E105*Prices!B$2</f>
        <v/>
      </c>
      <c r="M105" s="190">
        <f>F105*Prices!C$2</f>
        <v/>
      </c>
      <c r="N105" s="190">
        <f>G105*Prices!D$2</f>
        <v/>
      </c>
      <c r="O105" s="190">
        <f>H105*Prices!E$2</f>
        <v/>
      </c>
      <c r="P105" s="190">
        <f>I105*2000+J105*10000+K105*1800</f>
        <v/>
      </c>
      <c r="Q105" s="190">
        <f>D105*Prices!A$2</f>
        <v/>
      </c>
      <c r="R105" s="191">
        <f>L105+M105+N105+O105</f>
        <v/>
      </c>
      <c r="S105" s="190">
        <f>R105+Q105+P105</f>
        <v/>
      </c>
      <c r="T105" s="93" t="n">
        <v>104</v>
      </c>
      <c r="U105" s="93" t="inlineStr">
        <is>
          <t>Available</t>
        </is>
      </c>
      <c r="V105" s="12" t="inlineStr">
        <is>
          <t>A</t>
        </is>
      </c>
      <c r="W105" s="12" t="n"/>
      <c r="X105" s="12" t="n"/>
      <c r="Y105" s="12" t="n"/>
      <c r="Z105" s="12" t="n"/>
    </row>
    <row r="106">
      <c r="A106" s="93" t="n">
        <v>105</v>
      </c>
      <c r="B106" s="93" t="n">
        <v>8.098000000000001</v>
      </c>
      <c r="C106" s="93">
        <f>B106*(25/100)</f>
        <v/>
      </c>
      <c r="D106" s="93">
        <f>C106+B106</f>
        <v/>
      </c>
      <c r="E106" s="93" t="n">
        <v>0.9399999999999999</v>
      </c>
      <c r="F106" s="93" t="n"/>
      <c r="G106" s="93" t="n"/>
      <c r="H106" s="93" t="n"/>
      <c r="I106" s="93" t="n"/>
      <c r="J106" s="93" t="n"/>
      <c r="K106" s="93" t="n">
        <v>5.42</v>
      </c>
      <c r="L106" s="190">
        <f>E106*Prices!B$2</f>
        <v/>
      </c>
      <c r="M106" s="190">
        <f>F106*Prices!C$2</f>
        <v/>
      </c>
      <c r="N106" s="190">
        <f>G106*Prices!D$2</f>
        <v/>
      </c>
      <c r="O106" s="190">
        <f>H106*Prices!E$2</f>
        <v/>
      </c>
      <c r="P106" s="190">
        <f>I106*2000+J106*10000+K106*1800</f>
        <v/>
      </c>
      <c r="Q106" s="190">
        <f>D106*Prices!A$2</f>
        <v/>
      </c>
      <c r="R106" s="191">
        <f>L106+M106+N106+O106</f>
        <v/>
      </c>
      <c r="S106" s="190">
        <f>R106+Q106+P106</f>
        <v/>
      </c>
      <c r="T106" s="93" t="n">
        <v>105</v>
      </c>
      <c r="U106" s="93" t="inlineStr">
        <is>
          <t>Sold</t>
        </is>
      </c>
      <c r="V106" s="12" t="n"/>
      <c r="W106" s="12" t="n"/>
      <c r="X106" s="12" t="n"/>
      <c r="Y106" s="12" t="n"/>
      <c r="Z106" s="12" t="n"/>
    </row>
    <row r="107">
      <c r="A107" s="93" t="n">
        <v>106</v>
      </c>
      <c r="B107" s="93" t="n">
        <v>4.208</v>
      </c>
      <c r="C107" s="93">
        <f>B107*(25/100)</f>
        <v/>
      </c>
      <c r="D107" s="93">
        <f>C107+B107</f>
        <v/>
      </c>
      <c r="E107" s="93" t="n">
        <v>0.44</v>
      </c>
      <c r="F107" s="93" t="n"/>
      <c r="G107" s="93" t="n"/>
      <c r="H107" s="93" t="n"/>
      <c r="I107" s="93" t="n"/>
      <c r="J107" s="93" t="n"/>
      <c r="K107" s="93" t="n">
        <v>7.32</v>
      </c>
      <c r="L107" s="190">
        <f>E107*Prices!B$2</f>
        <v/>
      </c>
      <c r="M107" s="190">
        <f>F107*Prices!C$2</f>
        <v/>
      </c>
      <c r="N107" s="190">
        <f>G107*Prices!D$2</f>
        <v/>
      </c>
      <c r="O107" s="190">
        <f>H107*Prices!E$2</f>
        <v/>
      </c>
      <c r="P107" s="190">
        <f>I107*2000+J107*10000+K107*1800</f>
        <v/>
      </c>
      <c r="Q107" s="190">
        <f>D107*Prices!A$2</f>
        <v/>
      </c>
      <c r="R107" s="191">
        <f>L107+M107+N107+O107</f>
        <v/>
      </c>
      <c r="S107" s="190">
        <f>R107+Q107+P107</f>
        <v/>
      </c>
      <c r="T107" s="93" t="n">
        <v>106</v>
      </c>
      <c r="U107" s="26" t="inlineStr">
        <is>
          <t>Sold</t>
        </is>
      </c>
      <c r="V107" s="12" t="n"/>
      <c r="W107" s="12" t="n"/>
      <c r="X107" s="12" t="n"/>
      <c r="Y107" s="12" t="n"/>
      <c r="Z107" s="12" t="n"/>
    </row>
    <row r="108">
      <c r="A108" s="93" t="n">
        <v>107</v>
      </c>
      <c r="B108" s="93" t="n">
        <v>5.354</v>
      </c>
      <c r="C108" s="93">
        <f>B108*(25/100)</f>
        <v/>
      </c>
      <c r="D108" s="93">
        <f>C108+B108</f>
        <v/>
      </c>
      <c r="E108" s="93" t="n">
        <v>0.9399999999999999</v>
      </c>
      <c r="F108" s="93" t="n"/>
      <c r="G108" s="93" t="n"/>
      <c r="H108" s="93" t="n"/>
      <c r="I108" s="93" t="n"/>
      <c r="J108" s="93" t="n"/>
      <c r="K108" s="93" t="n">
        <v>3.69</v>
      </c>
      <c r="L108" s="190">
        <f>E108*Prices!B$2</f>
        <v/>
      </c>
      <c r="M108" s="190">
        <f>F108*Prices!C$2</f>
        <v/>
      </c>
      <c r="N108" s="190">
        <f>G108*Prices!D$2</f>
        <v/>
      </c>
      <c r="O108" s="190">
        <f>H108*Prices!E$2</f>
        <v/>
      </c>
      <c r="P108" s="190">
        <f>I108*2000+J108*10000+K108*1800</f>
        <v/>
      </c>
      <c r="Q108" s="190">
        <f>D108*Prices!A$2</f>
        <v/>
      </c>
      <c r="R108" s="191">
        <f>L108+M108+N108+O108</f>
        <v/>
      </c>
      <c r="S108" s="190">
        <f>R108+Q108+P108</f>
        <v/>
      </c>
      <c r="T108" s="93" t="n">
        <v>107</v>
      </c>
      <c r="U108" s="93" t="inlineStr">
        <is>
          <t>Available</t>
        </is>
      </c>
      <c r="V108" s="12" t="inlineStr">
        <is>
          <t>A</t>
        </is>
      </c>
      <c r="W108" s="12" t="n"/>
      <c r="X108" s="12" t="n"/>
      <c r="Y108" s="12" t="n"/>
      <c r="Z108" s="12" t="n"/>
    </row>
    <row r="109">
      <c r="A109" s="93" t="n">
        <v>108</v>
      </c>
      <c r="B109" s="93" t="n">
        <v>5.882</v>
      </c>
      <c r="C109" s="93">
        <f>B109*(25/100)</f>
        <v/>
      </c>
      <c r="D109" s="93">
        <f>C109+B109</f>
        <v/>
      </c>
      <c r="E109" s="93" t="n">
        <v>0.62</v>
      </c>
      <c r="F109" s="93" t="n"/>
      <c r="G109" s="93" t="n"/>
      <c r="H109" s="93" t="n"/>
      <c r="I109" s="93" t="n"/>
      <c r="J109" s="93" t="n"/>
      <c r="K109" s="93" t="n">
        <v>1.97</v>
      </c>
      <c r="L109" s="190">
        <f>E109*Prices!B$2</f>
        <v/>
      </c>
      <c r="M109" s="190">
        <f>F109*Prices!C$2</f>
        <v/>
      </c>
      <c r="N109" s="190">
        <f>G109*Prices!D$2</f>
        <v/>
      </c>
      <c r="O109" s="190">
        <f>H109*Prices!E$2</f>
        <v/>
      </c>
      <c r="P109" s="190">
        <f>I109*2000+J109*10000+K109*1800</f>
        <v/>
      </c>
      <c r="Q109" s="190">
        <f>D109*Prices!A$2</f>
        <v/>
      </c>
      <c r="R109" s="191">
        <f>L109+M109+N109+O109</f>
        <v/>
      </c>
      <c r="S109" s="190">
        <f>R109+Q109+P109</f>
        <v/>
      </c>
      <c r="T109" s="93" t="n">
        <v>108</v>
      </c>
      <c r="U109" s="26" t="inlineStr">
        <is>
          <t>Sold</t>
        </is>
      </c>
      <c r="V109" s="12" t="n"/>
      <c r="W109" s="12" t="n"/>
      <c r="X109" s="12" t="n"/>
      <c r="Y109" s="12" t="n"/>
      <c r="Z109" s="12" t="n"/>
    </row>
    <row r="110">
      <c r="A110" s="93" t="n">
        <v>109</v>
      </c>
      <c r="B110" s="93" t="n">
        <v>2.968</v>
      </c>
      <c r="C110" s="93">
        <f>B110*(25/100)</f>
        <v/>
      </c>
      <c r="D110" s="93">
        <f>C110+B110</f>
        <v/>
      </c>
      <c r="E110" s="93" t="n">
        <v>0.51</v>
      </c>
      <c r="F110" s="93" t="n"/>
      <c r="G110" s="93" t="n"/>
      <c r="H110" s="93" t="n"/>
      <c r="I110" s="93" t="n"/>
      <c r="J110" s="93" t="n"/>
      <c r="K110" s="93" t="n"/>
      <c r="L110" s="190">
        <f>E110*Prices!B$2</f>
        <v/>
      </c>
      <c r="M110" s="190">
        <f>F110*Prices!C$2</f>
        <v/>
      </c>
      <c r="N110" s="190">
        <f>G110*Prices!D$2</f>
        <v/>
      </c>
      <c r="O110" s="190">
        <f>H110*Prices!E$2</f>
        <v/>
      </c>
      <c r="P110" s="190">
        <f>I110*2000+J110*10000+K110*1800</f>
        <v/>
      </c>
      <c r="Q110" s="190">
        <f>D110*Prices!A$2</f>
        <v/>
      </c>
      <c r="R110" s="191">
        <f>L110+M110+N110+O110</f>
        <v/>
      </c>
      <c r="S110" s="190">
        <f>R110+Q110+P110</f>
        <v/>
      </c>
      <c r="T110" s="93" t="n">
        <v>109</v>
      </c>
      <c r="U110" s="93" t="inlineStr">
        <is>
          <t>Sold</t>
        </is>
      </c>
      <c r="V110" s="12" t="n"/>
      <c r="W110" s="12" t="n"/>
      <c r="X110" s="12" t="n"/>
      <c r="Y110" s="12" t="n"/>
      <c r="Z110" s="12" t="n"/>
    </row>
    <row r="111">
      <c r="A111" s="93" t="n">
        <v>110</v>
      </c>
      <c r="B111" s="93" t="n">
        <v>2.1</v>
      </c>
      <c r="C111" s="93">
        <f>B111*(25/100)</f>
        <v/>
      </c>
      <c r="D111" s="93">
        <f>C111+B111</f>
        <v/>
      </c>
      <c r="E111" s="93" t="n">
        <v>0.35</v>
      </c>
      <c r="F111" s="93" t="n"/>
      <c r="G111" s="93" t="n"/>
      <c r="H111" s="93" t="n"/>
      <c r="I111" s="93" t="n"/>
      <c r="J111" s="93" t="n"/>
      <c r="K111" s="93" t="n"/>
      <c r="L111" s="190">
        <f>E111*Prices!B$2</f>
        <v/>
      </c>
      <c r="M111" s="190">
        <f>F111*Prices!C$2</f>
        <v/>
      </c>
      <c r="N111" s="190">
        <f>G111*Prices!D$2</f>
        <v/>
      </c>
      <c r="O111" s="190">
        <f>H111*Prices!E$2</f>
        <v/>
      </c>
      <c r="P111" s="190">
        <f>I111*2000+J111*10000+K111*1800</f>
        <v/>
      </c>
      <c r="Q111" s="190">
        <f>D111*Prices!A$2</f>
        <v/>
      </c>
      <c r="R111" s="191">
        <f>L111+M111+N111+O111</f>
        <v/>
      </c>
      <c r="S111" s="190">
        <f>R111+Q111+P111</f>
        <v/>
      </c>
      <c r="T111" s="93" t="n">
        <v>110</v>
      </c>
      <c r="U111" s="93" t="inlineStr">
        <is>
          <t>Sold</t>
        </is>
      </c>
      <c r="V111" s="12" t="n"/>
      <c r="W111" s="12" t="n"/>
      <c r="X111" s="12" t="n"/>
      <c r="Y111" s="12" t="n"/>
      <c r="Z111" s="12" t="n"/>
    </row>
    <row r="112">
      <c r="A112" s="93" t="n">
        <v>111</v>
      </c>
      <c r="B112" s="93" t="n">
        <v>9.013999999999999</v>
      </c>
      <c r="C112" s="93">
        <f>B112*(25/100)</f>
        <v/>
      </c>
      <c r="D112" s="93">
        <f>C112+B112</f>
        <v/>
      </c>
      <c r="E112" s="93" t="n">
        <v>1.35</v>
      </c>
      <c r="F112" s="93" t="n"/>
      <c r="G112" s="93" t="n"/>
      <c r="H112" s="93" t="n"/>
      <c r="I112" s="93" t="n"/>
      <c r="J112" s="93" t="n"/>
      <c r="K112" s="93" t="n">
        <v>5.53</v>
      </c>
      <c r="L112" s="190">
        <f>E112*Prices!B$2</f>
        <v/>
      </c>
      <c r="M112" s="190">
        <f>F112*Prices!C$2</f>
        <v/>
      </c>
      <c r="N112" s="190">
        <f>G112*Prices!D$2</f>
        <v/>
      </c>
      <c r="O112" s="190">
        <f>H112*Prices!E$2</f>
        <v/>
      </c>
      <c r="P112" s="190">
        <f>I112*2000+J112*10000+K112*1800</f>
        <v/>
      </c>
      <c r="Q112" s="190">
        <f>D112*Prices!A$2</f>
        <v/>
      </c>
      <c r="R112" s="191">
        <f>L112+M112+N112+O112</f>
        <v/>
      </c>
      <c r="S112" s="190">
        <f>R112+Q112+P112</f>
        <v/>
      </c>
      <c r="T112" s="93" t="n">
        <v>111</v>
      </c>
      <c r="U112" s="93" t="inlineStr">
        <is>
          <t>Sold</t>
        </is>
      </c>
      <c r="V112" s="12" t="n"/>
      <c r="W112" s="12" t="n"/>
      <c r="X112" s="12" t="n"/>
      <c r="Y112" s="12" t="n"/>
      <c r="Z112" s="12" t="n"/>
    </row>
    <row r="113">
      <c r="A113" s="93" t="n">
        <v>112</v>
      </c>
      <c r="B113" s="93" t="n">
        <v>4.174</v>
      </c>
      <c r="C113" s="93">
        <f>B113*(25/100)</f>
        <v/>
      </c>
      <c r="D113" s="93">
        <f>C113+B113</f>
        <v/>
      </c>
      <c r="E113" s="93" t="n">
        <v>0.48</v>
      </c>
      <c r="F113" s="93" t="n"/>
      <c r="G113" s="93" t="n"/>
      <c r="H113" s="93" t="n"/>
      <c r="I113" s="93" t="n"/>
      <c r="J113" s="93" t="n"/>
      <c r="K113" s="93" t="n">
        <v>6.9</v>
      </c>
      <c r="L113" s="190">
        <f>E113*Prices!B$2</f>
        <v/>
      </c>
      <c r="M113" s="190">
        <f>F113*Prices!C$2</f>
        <v/>
      </c>
      <c r="N113" s="190">
        <f>G113*Prices!D$2</f>
        <v/>
      </c>
      <c r="O113" s="190">
        <f>H113*Prices!E$2</f>
        <v/>
      </c>
      <c r="P113" s="190">
        <f>I113*2000+J113*10000+K113*1800</f>
        <v/>
      </c>
      <c r="Q113" s="190">
        <f>D113*Prices!A$2</f>
        <v/>
      </c>
      <c r="R113" s="191">
        <f>L113+M113+N113+O113</f>
        <v/>
      </c>
      <c r="S113" s="190">
        <f>R113+Q113+P113</f>
        <v/>
      </c>
      <c r="T113" s="93" t="n">
        <v>112</v>
      </c>
      <c r="U113" s="93" t="inlineStr">
        <is>
          <t>Sold</t>
        </is>
      </c>
      <c r="V113" s="12" t="n"/>
      <c r="W113" s="12" t="n"/>
      <c r="X113" s="12" t="n"/>
      <c r="Y113" s="12" t="n"/>
      <c r="Z113" s="12" t="n"/>
    </row>
    <row r="114">
      <c r="A114" s="93" t="n">
        <v>113</v>
      </c>
      <c r="B114" s="93" t="n">
        <v>3.52</v>
      </c>
      <c r="C114" s="93">
        <f>B114*(25/100)</f>
        <v/>
      </c>
      <c r="D114" s="93">
        <f>C114+B114</f>
        <v/>
      </c>
      <c r="E114" s="93" t="n"/>
      <c r="F114" s="93" t="n">
        <v>0.75</v>
      </c>
      <c r="G114" s="93" t="n"/>
      <c r="H114" s="93" t="n"/>
      <c r="I114" s="93" t="n"/>
      <c r="J114" s="93" t="n"/>
      <c r="K114" s="93" t="n"/>
      <c r="L114" s="190">
        <f>E114*Prices!B$2</f>
        <v/>
      </c>
      <c r="M114" s="190">
        <f>F114*Prices!C$2</f>
        <v/>
      </c>
      <c r="N114" s="190">
        <f>G114*Prices!D$2</f>
        <v/>
      </c>
      <c r="O114" s="190">
        <f>H114*Prices!E$2</f>
        <v/>
      </c>
      <c r="P114" s="190">
        <f>I114*2000+J114*10000+K114*1800</f>
        <v/>
      </c>
      <c r="Q114" s="190">
        <f>D114*Prices!A$2</f>
        <v/>
      </c>
      <c r="R114" s="191">
        <f>L114+M114+N114+O114</f>
        <v/>
      </c>
      <c r="S114" s="190">
        <f>R114+Q114+P114</f>
        <v/>
      </c>
      <c r="T114" s="93" t="n">
        <v>113</v>
      </c>
      <c r="U114" s="93" t="inlineStr">
        <is>
          <t>Sold</t>
        </is>
      </c>
      <c r="V114" s="12" t="n"/>
      <c r="W114" s="12" t="n"/>
      <c r="X114" s="12" t="n"/>
      <c r="Y114" s="12" t="n"/>
      <c r="Z114" s="12" t="n"/>
    </row>
    <row r="115">
      <c r="A115" s="93" t="n">
        <v>114</v>
      </c>
      <c r="B115" s="93" t="n">
        <v>5.35</v>
      </c>
      <c r="C115" s="93">
        <f>B115*(25/100)</f>
        <v/>
      </c>
      <c r="D115" s="93">
        <f>C115+B115</f>
        <v/>
      </c>
      <c r="E115" s="93" t="n">
        <v>0.52</v>
      </c>
      <c r="F115" s="93" t="n"/>
      <c r="G115" s="93" t="n"/>
      <c r="H115" s="93" t="n"/>
      <c r="I115" s="93" t="n"/>
      <c r="J115" s="93" t="n"/>
      <c r="K115" s="93" t="n">
        <v>10.93</v>
      </c>
      <c r="L115" s="190">
        <f>E115*Prices!B$2</f>
        <v/>
      </c>
      <c r="M115" s="190">
        <f>F115*Prices!C$2</f>
        <v/>
      </c>
      <c r="N115" s="190">
        <f>G115*Prices!D$2</f>
        <v/>
      </c>
      <c r="O115" s="190">
        <f>H115*Prices!E$2</f>
        <v/>
      </c>
      <c r="P115" s="190">
        <f>I115*2000+J115*10000+K115*1800</f>
        <v/>
      </c>
      <c r="Q115" s="190">
        <f>D115*Prices!A$2</f>
        <v/>
      </c>
      <c r="R115" s="191">
        <f>L115+M115+N115+O115</f>
        <v/>
      </c>
      <c r="S115" s="190">
        <f>R115+Q115+P115</f>
        <v/>
      </c>
      <c r="T115" s="93" t="n">
        <v>114</v>
      </c>
      <c r="U115" s="93" t="inlineStr">
        <is>
          <t>Sold</t>
        </is>
      </c>
      <c r="V115" s="12" t="n"/>
      <c r="W115" s="12" t="n"/>
      <c r="X115" s="12" t="n"/>
      <c r="Y115" s="12" t="n"/>
      <c r="Z115" s="12" t="n"/>
    </row>
    <row r="116">
      <c r="A116" s="93" t="n">
        <v>115</v>
      </c>
      <c r="B116" s="93" t="n">
        <v>4.32</v>
      </c>
      <c r="C116" s="93">
        <f>B116*(25/100)</f>
        <v/>
      </c>
      <c r="D116" s="93">
        <f>C116+B116</f>
        <v/>
      </c>
      <c r="E116" s="93" t="n">
        <v>0.62</v>
      </c>
      <c r="F116" s="93" t="n"/>
      <c r="G116" s="93" t="n"/>
      <c r="H116" s="93" t="n"/>
      <c r="I116" s="93" t="n"/>
      <c r="J116" s="93" t="n"/>
      <c r="K116" s="93" t="n"/>
      <c r="L116" s="190">
        <f>E116*Prices!B$2</f>
        <v/>
      </c>
      <c r="M116" s="190">
        <f>F116*Prices!C$2</f>
        <v/>
      </c>
      <c r="N116" s="190">
        <f>G116*Prices!D$2</f>
        <v/>
      </c>
      <c r="O116" s="190">
        <f>H116*Prices!E$2</f>
        <v/>
      </c>
      <c r="P116" s="190">
        <f>I116*2000+J116*10000+K116*1800</f>
        <v/>
      </c>
      <c r="Q116" s="190">
        <f>D116*Prices!A$2</f>
        <v/>
      </c>
      <c r="R116" s="191">
        <f>L116+M116+N116+O116</f>
        <v/>
      </c>
      <c r="S116" s="190">
        <f>R116+Q116+P116</f>
        <v/>
      </c>
      <c r="T116" s="93" t="n">
        <v>115</v>
      </c>
      <c r="U116" s="26" t="inlineStr">
        <is>
          <t>Sold</t>
        </is>
      </c>
      <c r="V116" s="12" t="n"/>
      <c r="W116" s="12" t="n"/>
      <c r="X116" s="12" t="n"/>
      <c r="Y116" s="12" t="n"/>
      <c r="Z116" s="12" t="n"/>
    </row>
    <row r="117">
      <c r="A117" s="93" t="n">
        <v>116</v>
      </c>
      <c r="B117" s="93" t="n">
        <v>4.96</v>
      </c>
      <c r="C117" s="93">
        <f>B117*(25/100)</f>
        <v/>
      </c>
      <c r="D117" s="93">
        <f>C117+B117</f>
        <v/>
      </c>
      <c r="E117" s="93" t="n">
        <v>0.87</v>
      </c>
      <c r="F117" s="93" t="n"/>
      <c r="G117" s="93" t="n"/>
      <c r="H117" s="93" t="n"/>
      <c r="I117" s="93" t="n"/>
      <c r="J117" s="93" t="n"/>
      <c r="K117" s="93" t="n">
        <v>2.8</v>
      </c>
      <c r="L117" s="190">
        <f>E117*Prices!B$2</f>
        <v/>
      </c>
      <c r="M117" s="190">
        <f>F117*Prices!C$2</f>
        <v/>
      </c>
      <c r="N117" s="190">
        <f>G117*Prices!D$2</f>
        <v/>
      </c>
      <c r="O117" s="190">
        <f>H117*Prices!E$2</f>
        <v/>
      </c>
      <c r="P117" s="190">
        <f>I117*2000+J117*10000+K117*1800</f>
        <v/>
      </c>
      <c r="Q117" s="190">
        <f>D117*Prices!A$2</f>
        <v/>
      </c>
      <c r="R117" s="191">
        <f>L117+M117+N117+O117</f>
        <v/>
      </c>
      <c r="S117" s="190">
        <f>R117+Q117+P117</f>
        <v/>
      </c>
      <c r="T117" s="93" t="n">
        <v>116</v>
      </c>
      <c r="U117" s="93" t="inlineStr">
        <is>
          <t>Available</t>
        </is>
      </c>
      <c r="V117" s="12" t="inlineStr">
        <is>
          <t>A</t>
        </is>
      </c>
      <c r="W117" s="12" t="n"/>
      <c r="X117" s="12" t="n"/>
      <c r="Y117" s="12" t="n"/>
      <c r="Z117" s="12" t="n"/>
    </row>
    <row r="118">
      <c r="A118" s="93" t="n">
        <v>117</v>
      </c>
      <c r="B118" s="93" t="n">
        <v>8.124000000000001</v>
      </c>
      <c r="C118" s="93">
        <f>B118*(25/100)</f>
        <v/>
      </c>
      <c r="D118" s="93">
        <f>C118+B118</f>
        <v/>
      </c>
      <c r="E118" s="93" t="n">
        <v>1.73</v>
      </c>
      <c r="F118" s="93" t="n"/>
      <c r="G118" s="93" t="n"/>
      <c r="H118" s="93" t="n"/>
      <c r="I118" s="93" t="n"/>
      <c r="J118" s="93" t="n">
        <v>4.9</v>
      </c>
      <c r="K118" s="93" t="n"/>
      <c r="L118" s="190">
        <f>E118*Prices!B$2</f>
        <v/>
      </c>
      <c r="M118" s="190">
        <f>F118*Prices!C$2</f>
        <v/>
      </c>
      <c r="N118" s="190">
        <f>G118*Prices!D$2</f>
        <v/>
      </c>
      <c r="O118" s="190">
        <f>H118*Prices!E$2</f>
        <v/>
      </c>
      <c r="P118" s="190">
        <f>I118*2000+J118*3500+K118*1800</f>
        <v/>
      </c>
      <c r="Q118" s="190">
        <f>D118*Prices!A$2</f>
        <v/>
      </c>
      <c r="R118" s="191">
        <f>L118+M118+N118+O118</f>
        <v/>
      </c>
      <c r="S118" s="190">
        <f>R118+Q118+P118</f>
        <v/>
      </c>
      <c r="T118" s="93" t="n">
        <v>117</v>
      </c>
      <c r="U118" s="93" t="inlineStr">
        <is>
          <t>Available</t>
        </is>
      </c>
      <c r="V118" s="12" t="inlineStr">
        <is>
          <t>A</t>
        </is>
      </c>
      <c r="W118" s="12" t="n"/>
      <c r="X118" s="12" t="n"/>
      <c r="Y118" s="12" t="n"/>
      <c r="Z118" s="12" t="n"/>
    </row>
    <row r="119">
      <c r="A119" s="93" t="n">
        <v>118</v>
      </c>
      <c r="B119" s="93" t="n">
        <v>10.43</v>
      </c>
      <c r="C119" s="93">
        <f>B119*(25/100)</f>
        <v/>
      </c>
      <c r="D119" s="93">
        <f>C119+B119</f>
        <v/>
      </c>
      <c r="E119" s="93" t="n">
        <v>2.03</v>
      </c>
      <c r="F119" s="93" t="n"/>
      <c r="G119" s="93" t="n"/>
      <c r="H119" s="93" t="n"/>
      <c r="I119" s="93" t="n"/>
      <c r="J119" s="93" t="n"/>
      <c r="K119" s="93" t="n">
        <v>9.32</v>
      </c>
      <c r="L119" s="190">
        <f>E119*Prices!B$2</f>
        <v/>
      </c>
      <c r="M119" s="190">
        <f>F119*Prices!C$2</f>
        <v/>
      </c>
      <c r="N119" s="190">
        <f>G119*Prices!D$2</f>
        <v/>
      </c>
      <c r="O119" s="190">
        <f>H119*Prices!E$2</f>
        <v/>
      </c>
      <c r="P119" s="190">
        <f>I119*2000+J119*10000+K119*1800</f>
        <v/>
      </c>
      <c r="Q119" s="190">
        <f>D119*Prices!A$2</f>
        <v/>
      </c>
      <c r="R119" s="191">
        <f>L119+M119+N119+O119</f>
        <v/>
      </c>
      <c r="S119" s="190">
        <f>R119+Q119+P119</f>
        <v/>
      </c>
      <c r="T119" s="93" t="n">
        <v>118</v>
      </c>
      <c r="U119" s="93" t="inlineStr">
        <is>
          <t>Sold</t>
        </is>
      </c>
      <c r="V119" s="12" t="n"/>
      <c r="W119" s="12" t="n"/>
      <c r="X119" s="12" t="n"/>
      <c r="Y119" s="12" t="n"/>
      <c r="Z119" s="12" t="n"/>
    </row>
    <row r="120">
      <c r="A120" s="93" t="n">
        <v>119</v>
      </c>
      <c r="B120" s="93" t="n">
        <v>3.444</v>
      </c>
      <c r="C120" s="93">
        <f>B120*(25/100)</f>
        <v/>
      </c>
      <c r="D120" s="93">
        <f>C120+B120</f>
        <v/>
      </c>
      <c r="E120" s="93" t="n">
        <v>0.93</v>
      </c>
      <c r="F120" s="93" t="n"/>
      <c r="G120" s="93" t="n"/>
      <c r="H120" s="93" t="n"/>
      <c r="I120" s="93" t="n"/>
      <c r="J120" s="93" t="n"/>
      <c r="K120" s="93" t="n"/>
      <c r="L120" s="190">
        <f>E120*Prices!B$2</f>
        <v/>
      </c>
      <c r="M120" s="190">
        <f>F120*Prices!C$2</f>
        <v/>
      </c>
      <c r="N120" s="190">
        <f>G120*Prices!D$2</f>
        <v/>
      </c>
      <c r="O120" s="190">
        <f>H120*Prices!E$2</f>
        <v/>
      </c>
      <c r="P120" s="190">
        <f>I120*2000+J120*10000+K120*1800</f>
        <v/>
      </c>
      <c r="Q120" s="190">
        <f>D120*Prices!A$2</f>
        <v/>
      </c>
      <c r="R120" s="191">
        <f>L120+M120+N120+O120</f>
        <v/>
      </c>
      <c r="S120" s="190">
        <f>R120+Q120+P120</f>
        <v/>
      </c>
      <c r="T120" s="93" t="n">
        <v>119</v>
      </c>
      <c r="U120" s="93" t="inlineStr">
        <is>
          <t>Sold</t>
        </is>
      </c>
      <c r="V120" s="12" t="n"/>
      <c r="W120" s="12" t="n"/>
      <c r="X120" s="12" t="n"/>
      <c r="Y120" s="12" t="n"/>
      <c r="Z120" s="12" t="n"/>
    </row>
    <row r="121">
      <c r="A121" s="93" t="n">
        <v>120</v>
      </c>
      <c r="B121" s="93" t="n">
        <v>5.33</v>
      </c>
      <c r="C121" s="93">
        <f>B121*(25/100)</f>
        <v/>
      </c>
      <c r="D121" s="93">
        <f>C121+B121</f>
        <v/>
      </c>
      <c r="E121" s="93" t="n"/>
      <c r="F121" s="93" t="n">
        <v>1.82</v>
      </c>
      <c r="G121" s="93" t="n"/>
      <c r="H121" s="93" t="n"/>
      <c r="I121" s="93" t="n"/>
      <c r="J121" s="93" t="n"/>
      <c r="K121" s="93" t="n"/>
      <c r="L121" s="190">
        <f>E121*Prices!B$2</f>
        <v/>
      </c>
      <c r="M121" s="190">
        <f>F121*Prices!C$2</f>
        <v/>
      </c>
      <c r="N121" s="190">
        <f>G121*Prices!D$2</f>
        <v/>
      </c>
      <c r="O121" s="190">
        <f>H121*Prices!E$2</f>
        <v/>
      </c>
      <c r="P121" s="190">
        <f>I121*2000+J121*10000+K121*1800</f>
        <v/>
      </c>
      <c r="Q121" s="190">
        <f>D121*Prices!A$2</f>
        <v/>
      </c>
      <c r="R121" s="191">
        <f>L121+M121+N121+O121</f>
        <v/>
      </c>
      <c r="S121" s="190">
        <f>R121+Q121+P121</f>
        <v/>
      </c>
      <c r="T121" s="93" t="n">
        <v>120</v>
      </c>
      <c r="U121" s="93" t="inlineStr">
        <is>
          <t>Available</t>
        </is>
      </c>
      <c r="V121" s="12" t="inlineStr">
        <is>
          <t>A</t>
        </is>
      </c>
      <c r="W121" s="12" t="n"/>
      <c r="X121" s="12" t="n"/>
      <c r="Y121" s="12" t="n"/>
      <c r="Z121" s="12" t="n"/>
    </row>
    <row r="122">
      <c r="A122" s="93" t="n">
        <v>121</v>
      </c>
      <c r="B122" s="93" t="n">
        <v>3.618</v>
      </c>
      <c r="C122" s="93">
        <f>B122*(25/100)</f>
        <v/>
      </c>
      <c r="D122" s="93">
        <f>C122+B122</f>
        <v/>
      </c>
      <c r="E122" s="93" t="n">
        <v>0.34</v>
      </c>
      <c r="F122" s="93" t="n"/>
      <c r="G122" s="93" t="n"/>
      <c r="H122" s="93" t="n"/>
      <c r="I122" s="93" t="n"/>
      <c r="J122" s="93" t="n"/>
      <c r="K122" s="93" t="n"/>
      <c r="L122" s="190">
        <f>E122*Prices!B$2</f>
        <v/>
      </c>
      <c r="M122" s="190">
        <f>F122*Prices!C$2</f>
        <v/>
      </c>
      <c r="N122" s="190">
        <f>G122*Prices!D$2</f>
        <v/>
      </c>
      <c r="O122" s="190">
        <f>H122*Prices!E$2</f>
        <v/>
      </c>
      <c r="P122" s="190">
        <f>I122*2000+J122*10000+K122*1800</f>
        <v/>
      </c>
      <c r="Q122" s="190">
        <f>D122*Prices!A$2</f>
        <v/>
      </c>
      <c r="R122" s="191">
        <f>L122+M122+N122+O122</f>
        <v/>
      </c>
      <c r="S122" s="190">
        <f>R122+Q122+P122</f>
        <v/>
      </c>
      <c r="T122" s="93" t="n">
        <v>121</v>
      </c>
      <c r="U122" s="26" t="inlineStr">
        <is>
          <t>Sold</t>
        </is>
      </c>
      <c r="V122" s="12" t="n"/>
      <c r="W122" s="12" t="n"/>
      <c r="X122" s="12" t="n"/>
      <c r="Y122" s="12" t="n"/>
      <c r="Z122" s="12" t="n"/>
    </row>
    <row r="123">
      <c r="A123" s="93" t="n">
        <v>122</v>
      </c>
      <c r="B123" s="93" t="n">
        <v>1.98</v>
      </c>
      <c r="C123" s="93">
        <f>B123*(25/100)</f>
        <v/>
      </c>
      <c r="D123" s="93">
        <f>C123+B123</f>
        <v/>
      </c>
      <c r="E123" s="93" t="n">
        <v>0.42</v>
      </c>
      <c r="F123" s="93" t="n"/>
      <c r="G123" s="93" t="n">
        <v>0.13</v>
      </c>
      <c r="H123" s="93" t="n"/>
      <c r="I123" s="93" t="n"/>
      <c r="J123" s="93" t="n"/>
      <c r="K123" s="93" t="n"/>
      <c r="L123" s="190">
        <f>E123*Prices!B$2</f>
        <v/>
      </c>
      <c r="M123" s="190">
        <f>F123*Prices!C$2</f>
        <v/>
      </c>
      <c r="N123" s="190">
        <f>G123*Prices!D$2</f>
        <v/>
      </c>
      <c r="O123" s="190">
        <f>H123*Prices!E$2</f>
        <v/>
      </c>
      <c r="P123" s="190">
        <f>I123*2000+J123*10000+K123*1800</f>
        <v/>
      </c>
      <c r="Q123" s="190">
        <f>D123*Prices!A$2</f>
        <v/>
      </c>
      <c r="R123" s="191">
        <f>L123+M123+N123+O123</f>
        <v/>
      </c>
      <c r="S123" s="190">
        <f>R123+Q123+P123</f>
        <v/>
      </c>
      <c r="T123" s="93" t="n">
        <v>122</v>
      </c>
      <c r="U123" s="93" t="inlineStr">
        <is>
          <t>Available</t>
        </is>
      </c>
      <c r="V123" s="12" t="inlineStr">
        <is>
          <t>A</t>
        </is>
      </c>
      <c r="W123" s="12" t="n"/>
      <c r="X123" s="12" t="n"/>
      <c r="Y123" s="12" t="n"/>
      <c r="Z123" s="12" t="n"/>
    </row>
    <row r="124">
      <c r="A124" s="93" t="n">
        <v>123</v>
      </c>
      <c r="B124" s="93" t="n">
        <v>4.3</v>
      </c>
      <c r="C124" s="93">
        <f>B124*(25/100)</f>
        <v/>
      </c>
      <c r="D124" s="93">
        <f>C124+B124</f>
        <v/>
      </c>
      <c r="E124" s="93" t="n">
        <v>0.33</v>
      </c>
      <c r="F124" s="93" t="n"/>
      <c r="G124" s="93" t="n"/>
      <c r="H124" s="93" t="n"/>
      <c r="I124" s="93" t="n"/>
      <c r="J124" s="93" t="n">
        <v>1.19</v>
      </c>
      <c r="K124" s="93" t="n"/>
      <c r="L124" s="190">
        <f>E124*Prices!B$2</f>
        <v/>
      </c>
      <c r="M124" s="190">
        <f>F124*Prices!C$2</f>
        <v/>
      </c>
      <c r="N124" s="190">
        <f>G124*Prices!D$2</f>
        <v/>
      </c>
      <c r="O124" s="190">
        <f>H124*Prices!E$2</f>
        <v/>
      </c>
      <c r="P124" s="190">
        <f>I124*2000+J124*10000+K124*1800</f>
        <v/>
      </c>
      <c r="Q124" s="190">
        <f>D124*Prices!A$2</f>
        <v/>
      </c>
      <c r="R124" s="191">
        <f>L124+M124+N124+O124</f>
        <v/>
      </c>
      <c r="S124" s="190">
        <f>R124+Q124+P124</f>
        <v/>
      </c>
      <c r="T124" s="93" t="n">
        <v>123</v>
      </c>
      <c r="U124" s="93" t="inlineStr">
        <is>
          <t>Available</t>
        </is>
      </c>
      <c r="V124" s="12" t="inlineStr">
        <is>
          <t>A</t>
        </is>
      </c>
      <c r="W124" s="12" t="n"/>
      <c r="X124" s="12" t="n"/>
      <c r="Y124" s="12" t="n"/>
      <c r="Z124" s="12" t="n"/>
    </row>
    <row r="125">
      <c r="A125" s="93" t="n">
        <v>124</v>
      </c>
      <c r="B125" s="93" t="n">
        <v>4.446</v>
      </c>
      <c r="C125" s="93">
        <f>B125*(25/100)</f>
        <v/>
      </c>
      <c r="D125" s="93">
        <f>C125+B125</f>
        <v/>
      </c>
      <c r="E125" s="93" t="n">
        <v>0.62</v>
      </c>
      <c r="F125" s="93" t="n"/>
      <c r="G125" s="93" t="n"/>
      <c r="H125" s="93" t="n"/>
      <c r="I125" s="93" t="n"/>
      <c r="J125" s="93" t="n"/>
      <c r="K125" s="93" t="n">
        <v>2.1</v>
      </c>
      <c r="L125" s="190">
        <f>E125*Prices!B$2</f>
        <v/>
      </c>
      <c r="M125" s="190">
        <f>F125*Prices!C$2</f>
        <v/>
      </c>
      <c r="N125" s="190">
        <f>G125*Prices!D$2</f>
        <v/>
      </c>
      <c r="O125" s="190">
        <f>H125*Prices!E$2</f>
        <v/>
      </c>
      <c r="P125" s="190">
        <f>I125*2000+J125*10000+K125*1800</f>
        <v/>
      </c>
      <c r="Q125" s="190">
        <f>D125*Prices!A$2</f>
        <v/>
      </c>
      <c r="R125" s="191">
        <f>L125+M125+N125+O125</f>
        <v/>
      </c>
      <c r="S125" s="190">
        <f>R125+Q125+P125</f>
        <v/>
      </c>
      <c r="T125" s="93" t="n">
        <v>124</v>
      </c>
      <c r="U125" s="93" t="inlineStr">
        <is>
          <t>Sold</t>
        </is>
      </c>
      <c r="V125" s="12" t="n"/>
      <c r="W125" s="12" t="n"/>
      <c r="X125" s="12" t="n"/>
      <c r="Y125" s="12" t="n"/>
      <c r="Z125" s="12" t="n"/>
    </row>
    <row r="126">
      <c r="A126" s="93" t="n">
        <v>125</v>
      </c>
      <c r="B126" s="93" t="n">
        <v>1.946</v>
      </c>
      <c r="C126" s="93">
        <f>B126*(25/100)</f>
        <v/>
      </c>
      <c r="D126" s="93">
        <f>C126+B126</f>
        <v/>
      </c>
      <c r="E126" s="93" t="n">
        <v>0.42</v>
      </c>
      <c r="F126" s="93" t="n"/>
      <c r="G126" s="93" t="n"/>
      <c r="H126" s="93" t="n"/>
      <c r="I126" s="93" t="n"/>
      <c r="J126" s="93" t="n"/>
      <c r="K126" s="93" t="n"/>
      <c r="L126" s="190">
        <f>E126*Prices!B$2</f>
        <v/>
      </c>
      <c r="M126" s="190">
        <f>F126*Prices!C$2</f>
        <v/>
      </c>
      <c r="N126" s="190">
        <f>G126*Prices!D$2</f>
        <v/>
      </c>
      <c r="O126" s="190">
        <f>H126*Prices!E$2</f>
        <v/>
      </c>
      <c r="P126" s="190">
        <f>I126*2000+J126*10000+K126*1800</f>
        <v/>
      </c>
      <c r="Q126" s="190">
        <f>D126*Prices!A$2</f>
        <v/>
      </c>
      <c r="R126" s="191">
        <f>L126+M126+N126+O126</f>
        <v/>
      </c>
      <c r="S126" s="190">
        <f>R126+Q126+P126</f>
        <v/>
      </c>
      <c r="T126" s="93" t="n">
        <v>125</v>
      </c>
      <c r="U126" s="93" t="inlineStr">
        <is>
          <t>Available</t>
        </is>
      </c>
      <c r="V126" s="12" t="inlineStr">
        <is>
          <t>A</t>
        </is>
      </c>
      <c r="W126" s="12" t="n"/>
      <c r="X126" s="12" t="n"/>
      <c r="Y126" s="12" t="n"/>
      <c r="Z126" s="12" t="n"/>
    </row>
    <row r="127">
      <c r="A127" s="93" t="n">
        <v>126</v>
      </c>
      <c r="B127" s="93" t="n">
        <v>3.43</v>
      </c>
      <c r="C127" s="93">
        <f>B127*(25/100)</f>
        <v/>
      </c>
      <c r="D127" s="93">
        <f>C127+B127</f>
        <v/>
      </c>
      <c r="E127" s="93" t="n">
        <v>0.5</v>
      </c>
      <c r="F127" s="93" t="n"/>
      <c r="G127" s="93" t="n"/>
      <c r="H127" s="93" t="n"/>
      <c r="I127" s="93" t="n"/>
      <c r="J127" s="93" t="n"/>
      <c r="K127" s="93" t="n"/>
      <c r="L127" s="190">
        <f>E127*Prices!B$2</f>
        <v/>
      </c>
      <c r="M127" s="190">
        <f>F127*Prices!C$2</f>
        <v/>
      </c>
      <c r="N127" s="190">
        <f>G127*Prices!D$2</f>
        <v/>
      </c>
      <c r="O127" s="190">
        <f>H127*Prices!E$2</f>
        <v/>
      </c>
      <c r="P127" s="190">
        <f>I127*2000+J127*10000+K127*1800</f>
        <v/>
      </c>
      <c r="Q127" s="190">
        <f>D127*Prices!A$2</f>
        <v/>
      </c>
      <c r="R127" s="191">
        <f>L127+M127+N127+O127</f>
        <v/>
      </c>
      <c r="S127" s="190">
        <f>R127+Q127+P127</f>
        <v/>
      </c>
      <c r="T127" s="93" t="n">
        <v>126</v>
      </c>
      <c r="U127" s="93" t="inlineStr">
        <is>
          <t>Sold</t>
        </is>
      </c>
      <c r="V127" s="12" t="n"/>
      <c r="W127" s="12" t="n"/>
      <c r="X127" s="12" t="n"/>
      <c r="Y127" s="12" t="n"/>
      <c r="Z127" s="12" t="n"/>
    </row>
    <row r="128">
      <c r="A128" s="93" t="n">
        <v>127</v>
      </c>
      <c r="B128" s="93" t="n">
        <v>9.141999999999999</v>
      </c>
      <c r="C128" s="93">
        <f>B128*(25/100)</f>
        <v/>
      </c>
      <c r="D128" s="93">
        <f>C128+B128</f>
        <v/>
      </c>
      <c r="E128" s="93" t="n">
        <v>1.09</v>
      </c>
      <c r="F128" s="93" t="n"/>
      <c r="G128" s="93" t="n"/>
      <c r="H128" s="93" t="n"/>
      <c r="I128" s="93" t="n"/>
      <c r="J128" s="93" t="n"/>
      <c r="K128" s="93" t="n">
        <v>10.4</v>
      </c>
      <c r="L128" s="190">
        <f>E128*Prices!B$2</f>
        <v/>
      </c>
      <c r="M128" s="190">
        <f>F128*Prices!C$2</f>
        <v/>
      </c>
      <c r="N128" s="190">
        <f>G128*Prices!D$2</f>
        <v/>
      </c>
      <c r="O128" s="190">
        <f>H128*Prices!E$2</f>
        <v/>
      </c>
      <c r="P128" s="190">
        <f>I128*2000+J128*10000+K128*1800</f>
        <v/>
      </c>
      <c r="Q128" s="190">
        <f>D128*Prices!A$2</f>
        <v/>
      </c>
      <c r="R128" s="191">
        <f>L128+M128+N128+O128</f>
        <v/>
      </c>
      <c r="S128" s="190">
        <f>R128+Q128+P128</f>
        <v/>
      </c>
      <c r="T128" s="93" t="n">
        <v>127</v>
      </c>
      <c r="U128" s="93" t="inlineStr">
        <is>
          <t>Sold</t>
        </is>
      </c>
      <c r="V128" s="12" t="n"/>
      <c r="W128" s="12" t="n"/>
      <c r="X128" s="12" t="n"/>
      <c r="Y128" s="12" t="n"/>
      <c r="Z128" s="12" t="n"/>
    </row>
    <row r="129">
      <c r="A129" s="93" t="n">
        <v>128</v>
      </c>
      <c r="B129" s="93" t="n">
        <v>3.354</v>
      </c>
      <c r="C129" s="93">
        <f>B129*(25/100)</f>
        <v/>
      </c>
      <c r="D129" s="93">
        <f>C129+B129</f>
        <v/>
      </c>
      <c r="E129" s="93" t="n">
        <v>0.83</v>
      </c>
      <c r="F129" s="93" t="n">
        <v>0.1</v>
      </c>
      <c r="G129" s="93" t="n"/>
      <c r="H129" s="93" t="n"/>
      <c r="I129" s="93" t="n"/>
      <c r="J129" s="93" t="n"/>
      <c r="K129" s="93" t="n"/>
      <c r="L129" s="190">
        <f>E129*Prices!B$2</f>
        <v/>
      </c>
      <c r="M129" s="190">
        <f>F129*Prices!C$2</f>
        <v/>
      </c>
      <c r="N129" s="190">
        <f>G129*Prices!D$2</f>
        <v/>
      </c>
      <c r="O129" s="190">
        <f>H129*Prices!E$2</f>
        <v/>
      </c>
      <c r="P129" s="190">
        <f>I129*2000+J129*10000+K129*1800</f>
        <v/>
      </c>
      <c r="Q129" s="190">
        <f>D129*Prices!A$2</f>
        <v/>
      </c>
      <c r="R129" s="191">
        <f>L129+M129+N129+O129</f>
        <v/>
      </c>
      <c r="S129" s="190">
        <f>R129+Q129+P129</f>
        <v/>
      </c>
      <c r="T129" s="93" t="n">
        <v>128</v>
      </c>
      <c r="U129" s="26" t="inlineStr">
        <is>
          <t>Sold</t>
        </is>
      </c>
      <c r="V129" s="12" t="n"/>
      <c r="W129" s="12" t="n"/>
      <c r="X129" s="12" t="n"/>
      <c r="Y129" s="12" t="n"/>
      <c r="Z129" s="12" t="n"/>
    </row>
    <row r="130">
      <c r="A130" s="93" t="n">
        <v>129</v>
      </c>
      <c r="B130" s="93" t="n">
        <v>2.45</v>
      </c>
      <c r="C130" s="93">
        <f>B130*(25/100)</f>
        <v/>
      </c>
      <c r="D130" s="93">
        <f>C130+B130</f>
        <v/>
      </c>
      <c r="E130" s="93" t="n">
        <v>0.19</v>
      </c>
      <c r="F130" s="93" t="n"/>
      <c r="G130" s="93" t="n"/>
      <c r="H130" s="93" t="n"/>
      <c r="I130" s="93" t="n"/>
      <c r="J130" s="93" t="n"/>
      <c r="K130" s="93" t="n"/>
      <c r="L130" s="190">
        <f>E130*Prices!B$2</f>
        <v/>
      </c>
      <c r="M130" s="190">
        <f>F130*Prices!C$2</f>
        <v/>
      </c>
      <c r="N130" s="190">
        <f>G130*Prices!D$2</f>
        <v/>
      </c>
      <c r="O130" s="190">
        <f>H130*Prices!E$2</f>
        <v/>
      </c>
      <c r="P130" s="190">
        <f>I130*2000+J130*10000+K130*1800</f>
        <v/>
      </c>
      <c r="Q130" s="190">
        <f>D130*Prices!A$2</f>
        <v/>
      </c>
      <c r="R130" s="191">
        <f>L130+M130+N130+O130</f>
        <v/>
      </c>
      <c r="S130" s="190">
        <f>R130+Q130+P130</f>
        <v/>
      </c>
      <c r="T130" s="93" t="n">
        <v>129</v>
      </c>
      <c r="U130" s="93" t="inlineStr">
        <is>
          <t>Sold</t>
        </is>
      </c>
      <c r="V130" s="12" t="n"/>
      <c r="W130" s="12" t="n"/>
      <c r="X130" s="12" t="n"/>
      <c r="Y130" s="12" t="n"/>
      <c r="Z130" s="12" t="n"/>
    </row>
    <row r="131">
      <c r="A131" s="93" t="n">
        <v>130</v>
      </c>
      <c r="B131" s="93" t="n">
        <v>2.78</v>
      </c>
      <c r="C131" s="93">
        <f>B131*(25/100)</f>
        <v/>
      </c>
      <c r="D131" s="93">
        <f>C131+B131</f>
        <v/>
      </c>
      <c r="E131" s="93" t="n"/>
      <c r="F131" s="93" t="n"/>
      <c r="G131" s="93" t="n"/>
      <c r="H131" s="93" t="n">
        <v>0.7</v>
      </c>
      <c r="I131" s="93" t="n"/>
      <c r="J131" s="93" t="n"/>
      <c r="K131" s="93" t="n"/>
      <c r="L131" s="190">
        <f>E131*Prices!B$2</f>
        <v/>
      </c>
      <c r="M131" s="190">
        <f>F131*Prices!C$2</f>
        <v/>
      </c>
      <c r="N131" s="190">
        <f>G131*Prices!D$2</f>
        <v/>
      </c>
      <c r="O131" s="190">
        <f>H131*Prices!E$2</f>
        <v/>
      </c>
      <c r="P131" s="190">
        <f>I131*2000+J131*10000+K131*1800</f>
        <v/>
      </c>
      <c r="Q131" s="190">
        <f>D131*Prices!A$2</f>
        <v/>
      </c>
      <c r="R131" s="191">
        <f>L131+M131+N131+O131</f>
        <v/>
      </c>
      <c r="S131" s="190">
        <f>R131+Q131+P131</f>
        <v/>
      </c>
      <c r="T131" s="93" t="n">
        <v>130</v>
      </c>
      <c r="U131" s="93" t="inlineStr">
        <is>
          <t>Sold</t>
        </is>
      </c>
      <c r="V131" s="12" t="n"/>
      <c r="W131" s="12" t="n"/>
      <c r="X131" s="12" t="n"/>
      <c r="Y131" s="12" t="n"/>
      <c r="Z131" s="12" t="n"/>
    </row>
    <row r="132">
      <c r="A132" s="93" t="n">
        <v>131</v>
      </c>
      <c r="B132" s="93" t="n">
        <v>3.798</v>
      </c>
      <c r="C132" s="93">
        <f>B132*(25/100)</f>
        <v/>
      </c>
      <c r="D132" s="93">
        <f>C132+B132</f>
        <v/>
      </c>
      <c r="E132" s="93" t="n">
        <v>0.33</v>
      </c>
      <c r="F132" s="93" t="n"/>
      <c r="G132" s="93" t="n"/>
      <c r="H132" s="93" t="n"/>
      <c r="I132" s="93" t="n"/>
      <c r="J132" s="93" t="n"/>
      <c r="K132" s="93" t="n">
        <v>3.48</v>
      </c>
      <c r="L132" s="190">
        <f>E132*Prices!B$2</f>
        <v/>
      </c>
      <c r="M132" s="190">
        <f>F132*Prices!C$2</f>
        <v/>
      </c>
      <c r="N132" s="190">
        <f>G132*Prices!D$2</f>
        <v/>
      </c>
      <c r="O132" s="190">
        <f>H132*Prices!E$2</f>
        <v/>
      </c>
      <c r="P132" s="190">
        <f>I132*2000+J132*10000+K132*1800</f>
        <v/>
      </c>
      <c r="Q132" s="190">
        <f>D132*Prices!A$2</f>
        <v/>
      </c>
      <c r="R132" s="191">
        <f>L132+M132+N132+O132</f>
        <v/>
      </c>
      <c r="S132" s="190">
        <f>R132+Q132+P132</f>
        <v/>
      </c>
      <c r="T132" s="93" t="n">
        <v>131</v>
      </c>
      <c r="U132" s="93" t="inlineStr">
        <is>
          <t>Sold</t>
        </is>
      </c>
      <c r="V132" s="12" t="n"/>
      <c r="W132" s="12" t="n"/>
      <c r="X132" s="12" t="n"/>
      <c r="Y132" s="12" t="n"/>
      <c r="Z132" s="12" t="n"/>
    </row>
    <row r="133">
      <c r="A133" s="93" t="n">
        <v>132</v>
      </c>
      <c r="B133" s="93" t="n">
        <v>3.486</v>
      </c>
      <c r="C133" s="93">
        <f>B133*(25/100)</f>
        <v/>
      </c>
      <c r="D133" s="93">
        <f>C133+B133</f>
        <v/>
      </c>
      <c r="E133" s="93" t="n">
        <v>0.77</v>
      </c>
      <c r="F133" s="93" t="n"/>
      <c r="G133" s="93" t="n"/>
      <c r="H133" s="93" t="n"/>
      <c r="I133" s="93" t="n"/>
      <c r="J133" s="93" t="n"/>
      <c r="K133" s="93" t="n"/>
      <c r="L133" s="190">
        <f>E133*Prices!B$2</f>
        <v/>
      </c>
      <c r="M133" s="190">
        <f>F133*Prices!C$2</f>
        <v/>
      </c>
      <c r="N133" s="190">
        <f>G133*Prices!D$2</f>
        <v/>
      </c>
      <c r="O133" s="190">
        <f>H133*Prices!E$2</f>
        <v/>
      </c>
      <c r="P133" s="190">
        <f>I133*2000+J133*10000+K133*1800</f>
        <v/>
      </c>
      <c r="Q133" s="190">
        <f>D133*Prices!A$2</f>
        <v/>
      </c>
      <c r="R133" s="191">
        <f>L133+M133+N133+O133</f>
        <v/>
      </c>
      <c r="S133" s="190">
        <f>R133+Q133+P133</f>
        <v/>
      </c>
      <c r="T133" s="93" t="n">
        <v>132</v>
      </c>
      <c r="U133" s="93" t="inlineStr">
        <is>
          <t>Sold</t>
        </is>
      </c>
      <c r="V133" s="12" t="n"/>
      <c r="W133" s="12" t="n"/>
      <c r="X133" s="12" t="n"/>
      <c r="Y133" s="12" t="n"/>
      <c r="Z133" s="12" t="n"/>
    </row>
    <row r="134">
      <c r="A134" s="93" t="n">
        <v>133</v>
      </c>
      <c r="B134" s="93" t="n">
        <v>4.59</v>
      </c>
      <c r="C134" s="93">
        <f>B134*(25/100)</f>
        <v/>
      </c>
      <c r="D134" s="93">
        <f>C134+B134</f>
        <v/>
      </c>
      <c r="E134" s="93" t="n">
        <v>0.17</v>
      </c>
      <c r="F134" s="93" t="n"/>
      <c r="G134" s="93" t="n"/>
      <c r="H134" s="93" t="n"/>
      <c r="I134" s="93" t="n"/>
      <c r="J134" s="93" t="n"/>
      <c r="K134" s="93" t="n"/>
      <c r="L134" s="190">
        <f>E134*Prices!B$3</f>
        <v/>
      </c>
      <c r="M134" s="190">
        <f>F134*Prices!C$3</f>
        <v/>
      </c>
      <c r="N134" s="190">
        <f>G134*Prices!D$3</f>
        <v/>
      </c>
      <c r="O134" s="190">
        <f>H134*Prices!E$3</f>
        <v/>
      </c>
      <c r="P134" s="190">
        <f>I134*2000+J134*10000+K134*1800</f>
        <v/>
      </c>
      <c r="Q134" s="190">
        <f>D134*Prices!A$2</f>
        <v/>
      </c>
      <c r="R134" s="191">
        <f>L134+M134+N134+O134</f>
        <v/>
      </c>
      <c r="S134" s="190">
        <f>R134+Q134+P134</f>
        <v/>
      </c>
      <c r="T134" s="93" t="n">
        <v>133</v>
      </c>
      <c r="U134" s="93" t="inlineStr">
        <is>
          <t>Available</t>
        </is>
      </c>
      <c r="V134" s="12" t="inlineStr">
        <is>
          <t>A</t>
        </is>
      </c>
      <c r="W134" s="12" t="n"/>
      <c r="X134" s="12" t="n"/>
      <c r="Y134" s="12" t="n"/>
      <c r="Z134" s="12" t="n"/>
    </row>
    <row r="135">
      <c r="A135" s="93" t="n">
        <v>134</v>
      </c>
      <c r="B135" s="93" t="n">
        <v>3.24</v>
      </c>
      <c r="C135" s="93">
        <f>B135*(25/100)</f>
        <v/>
      </c>
      <c r="D135" s="93">
        <f>C135+B135</f>
        <v/>
      </c>
      <c r="E135" s="93" t="n">
        <v>0.27</v>
      </c>
      <c r="F135" s="93" t="n"/>
      <c r="G135" s="93" t="n"/>
      <c r="H135" s="93" t="n"/>
      <c r="I135" s="93" t="n"/>
      <c r="J135" s="93" t="n"/>
      <c r="K135" s="93" t="n"/>
      <c r="L135" s="190">
        <f>E135*Prices!B$3</f>
        <v/>
      </c>
      <c r="M135" s="190">
        <f>F135*Prices!C$3</f>
        <v/>
      </c>
      <c r="N135" s="190">
        <f>G135*Prices!D$3</f>
        <v/>
      </c>
      <c r="O135" s="190">
        <f>H135*Prices!E$3</f>
        <v/>
      </c>
      <c r="P135" s="190">
        <f>I135*2000+J135*10000+K135*1800</f>
        <v/>
      </c>
      <c r="Q135" s="190">
        <f>D135*Prices!A$2</f>
        <v/>
      </c>
      <c r="R135" s="191">
        <f>L135+M135+N135+O135</f>
        <v/>
      </c>
      <c r="S135" s="190">
        <f>R135+Q135+P135</f>
        <v/>
      </c>
      <c r="T135" s="93" t="n">
        <v>134</v>
      </c>
      <c r="U135" s="93" t="inlineStr">
        <is>
          <t>Available</t>
        </is>
      </c>
      <c r="V135" s="12" t="inlineStr">
        <is>
          <t>A</t>
        </is>
      </c>
      <c r="W135" s="12" t="n"/>
      <c r="X135" s="12" t="n"/>
      <c r="Y135" s="12" t="n"/>
      <c r="Z135" s="12" t="n"/>
    </row>
    <row r="136">
      <c r="A136" s="93" t="n">
        <v>135</v>
      </c>
      <c r="B136" s="93" t="n">
        <v>2.75</v>
      </c>
      <c r="C136" s="93">
        <f>B136*(25/100)</f>
        <v/>
      </c>
      <c r="D136" s="93">
        <f>C136+B136</f>
        <v/>
      </c>
      <c r="E136" s="93" t="n">
        <v>0.26</v>
      </c>
      <c r="F136" s="93" t="n"/>
      <c r="G136" s="93" t="n"/>
      <c r="H136" s="93" t="n"/>
      <c r="I136" s="93" t="n"/>
      <c r="J136" s="93" t="n"/>
      <c r="K136" s="93" t="n"/>
      <c r="L136" s="190">
        <f>E136*Prices!B$3</f>
        <v/>
      </c>
      <c r="M136" s="190">
        <f>F136*Prices!C$3</f>
        <v/>
      </c>
      <c r="N136" s="190">
        <f>G136*Prices!D$3</f>
        <v/>
      </c>
      <c r="O136" s="190">
        <f>H136*Prices!E$3</f>
        <v/>
      </c>
      <c r="P136" s="190">
        <f>I136*2000+J136*10000+K136*1800</f>
        <v/>
      </c>
      <c r="Q136" s="190">
        <f>D136*Prices!A$2</f>
        <v/>
      </c>
      <c r="R136" s="191">
        <f>L136+M136+N136+O136</f>
        <v/>
      </c>
      <c r="S136" s="190">
        <f>R136+Q136+P136</f>
        <v/>
      </c>
      <c r="T136" s="93" t="n">
        <v>135</v>
      </c>
      <c r="U136" s="93" t="inlineStr">
        <is>
          <t>Available</t>
        </is>
      </c>
      <c r="V136" s="12" t="inlineStr">
        <is>
          <t>A</t>
        </is>
      </c>
      <c r="W136" s="12" t="n"/>
      <c r="X136" s="12" t="n"/>
      <c r="Y136" s="12" t="n"/>
      <c r="Z136" s="12" t="n"/>
    </row>
    <row r="137">
      <c r="A137" s="93" t="n">
        <v>136</v>
      </c>
      <c r="B137" s="93" t="n">
        <v>3.34</v>
      </c>
      <c r="C137" s="93">
        <f>B137*(25/100)</f>
        <v/>
      </c>
      <c r="D137" s="93">
        <f>C137+B137</f>
        <v/>
      </c>
      <c r="E137" s="93" t="n">
        <v>0.26</v>
      </c>
      <c r="F137" s="93" t="n"/>
      <c r="G137" s="93" t="n"/>
      <c r="H137" s="93" t="n"/>
      <c r="I137" s="93" t="n"/>
      <c r="J137" s="93" t="n"/>
      <c r="K137" s="93" t="n"/>
      <c r="L137" s="190">
        <f>E137*Prices!B$3</f>
        <v/>
      </c>
      <c r="M137" s="190">
        <f>F137*Prices!C$3</f>
        <v/>
      </c>
      <c r="N137" s="190">
        <f>G137*Prices!D$3</f>
        <v/>
      </c>
      <c r="O137" s="190">
        <f>H137*Prices!E$3</f>
        <v/>
      </c>
      <c r="P137" s="190">
        <f>I137*2000+J137*10000+K137*1800</f>
        <v/>
      </c>
      <c r="Q137" s="190">
        <f>D137*Prices!A$2</f>
        <v/>
      </c>
      <c r="R137" s="191">
        <f>L137+M137+N137+O137</f>
        <v/>
      </c>
      <c r="S137" s="190">
        <f>R137+Q137+P137</f>
        <v/>
      </c>
      <c r="T137" s="93" t="n">
        <v>136</v>
      </c>
      <c r="U137" s="93" t="inlineStr">
        <is>
          <t>Available</t>
        </is>
      </c>
      <c r="V137" s="12" t="inlineStr">
        <is>
          <t>A</t>
        </is>
      </c>
      <c r="W137" s="12" t="n"/>
      <c r="X137" s="12" t="n"/>
      <c r="Y137" s="12" t="n"/>
      <c r="Z137" s="12" t="n"/>
    </row>
    <row r="138">
      <c r="A138" s="93" t="n">
        <v>137</v>
      </c>
      <c r="B138" s="93" t="n">
        <v>3.18</v>
      </c>
      <c r="C138" s="93">
        <f>B138*(25/100)</f>
        <v/>
      </c>
      <c r="D138" s="93">
        <f>C138+B138</f>
        <v/>
      </c>
      <c r="E138" s="93" t="n">
        <v>0.505</v>
      </c>
      <c r="F138" s="93" t="n"/>
      <c r="G138" s="93" t="n"/>
      <c r="H138" s="93" t="n"/>
      <c r="I138" s="93" t="n"/>
      <c r="J138" s="93" t="n"/>
      <c r="K138" s="93" t="n"/>
      <c r="L138" s="190">
        <f>E138*Prices!B$3</f>
        <v/>
      </c>
      <c r="M138" s="190">
        <f>F138*Prices!C$3</f>
        <v/>
      </c>
      <c r="N138" s="190">
        <f>G138*Prices!D$3</f>
        <v/>
      </c>
      <c r="O138" s="190">
        <f>H138*Prices!E$3</f>
        <v/>
      </c>
      <c r="P138" s="190">
        <f>I138*2000+J138*10000+K138*1800</f>
        <v/>
      </c>
      <c r="Q138" s="190">
        <f>D138*Prices!A$2</f>
        <v/>
      </c>
      <c r="R138" s="191">
        <f>L138+M138+N138+O138</f>
        <v/>
      </c>
      <c r="S138" s="190">
        <f>R138+Q138+P138</f>
        <v/>
      </c>
      <c r="T138" s="93" t="n">
        <v>137</v>
      </c>
      <c r="U138" s="93" t="inlineStr">
        <is>
          <t>Available</t>
        </is>
      </c>
      <c r="V138" s="12" t="inlineStr">
        <is>
          <t>A</t>
        </is>
      </c>
      <c r="W138" s="12" t="n"/>
      <c r="X138" s="12" t="n"/>
      <c r="Y138" s="12" t="n"/>
      <c r="Z138" s="12" t="n"/>
    </row>
    <row r="139">
      <c r="A139" s="93" t="n">
        <v>138</v>
      </c>
      <c r="B139" s="93" t="n">
        <v>1.68</v>
      </c>
      <c r="C139" s="93">
        <f>B139*(25/100)</f>
        <v/>
      </c>
      <c r="D139" s="93">
        <f>C139+B139</f>
        <v/>
      </c>
      <c r="E139" s="93" t="n">
        <v>0.19</v>
      </c>
      <c r="F139" s="93" t="n"/>
      <c r="G139" s="93" t="n"/>
      <c r="H139" s="93" t="n"/>
      <c r="I139" s="93" t="n"/>
      <c r="J139" s="93" t="n"/>
      <c r="K139" s="93" t="n"/>
      <c r="L139" s="190">
        <f>E139*Prices!B$3</f>
        <v/>
      </c>
      <c r="M139" s="190">
        <f>F139*Prices!C$3</f>
        <v/>
      </c>
      <c r="N139" s="190">
        <f>G139*Prices!D$3</f>
        <v/>
      </c>
      <c r="O139" s="190">
        <f>H139*Prices!E$3</f>
        <v/>
      </c>
      <c r="P139" s="190">
        <f>I139*2000+J139*10000+K139*1800</f>
        <v/>
      </c>
      <c r="Q139" s="190">
        <f>D139*Prices!A$2</f>
        <v/>
      </c>
      <c r="R139" s="191">
        <f>L139+M139+N139+O139</f>
        <v/>
      </c>
      <c r="S139" s="190">
        <f>R139+Q139+P139</f>
        <v/>
      </c>
      <c r="T139" s="93" t="n">
        <v>138</v>
      </c>
      <c r="U139" s="93" t="inlineStr">
        <is>
          <t>Sold</t>
        </is>
      </c>
      <c r="V139" s="12" t="n"/>
      <c r="W139" s="12" t="n"/>
      <c r="X139" s="12" t="n"/>
      <c r="Y139" s="12" t="n"/>
      <c r="Z139" s="12" t="n"/>
    </row>
    <row r="140">
      <c r="A140" s="93" t="n">
        <v>139</v>
      </c>
      <c r="B140" s="93" t="n">
        <v>3.12</v>
      </c>
      <c r="C140" s="93">
        <f>B140*(25/100)</f>
        <v/>
      </c>
      <c r="D140" s="93">
        <f>C140+B140</f>
        <v/>
      </c>
      <c r="E140" s="93" t="n">
        <v>0.04</v>
      </c>
      <c r="F140" s="93" t="n"/>
      <c r="G140" s="93" t="n"/>
      <c r="H140" s="93" t="n"/>
      <c r="I140" s="93" t="n"/>
      <c r="J140" s="93" t="n"/>
      <c r="K140" s="93" t="n"/>
      <c r="L140" s="190">
        <f>E140*Prices!B$3</f>
        <v/>
      </c>
      <c r="M140" s="190">
        <f>F140*Prices!C$3</f>
        <v/>
      </c>
      <c r="N140" s="190">
        <f>G140*Prices!D$3</f>
        <v/>
      </c>
      <c r="O140" s="190">
        <f>H140*Prices!E$3</f>
        <v/>
      </c>
      <c r="P140" s="190">
        <f>I140*2000+J140*10000+K140*1800</f>
        <v/>
      </c>
      <c r="Q140" s="190">
        <f>D140*Prices!A$2</f>
        <v/>
      </c>
      <c r="R140" s="191">
        <f>L140+M140+N140+O140</f>
        <v/>
      </c>
      <c r="S140" s="190">
        <f>R140+Q140+P140</f>
        <v/>
      </c>
      <c r="T140" s="93" t="n">
        <v>139</v>
      </c>
      <c r="U140" s="93" t="inlineStr">
        <is>
          <t>Available</t>
        </is>
      </c>
      <c r="V140" s="12" t="inlineStr">
        <is>
          <t>A</t>
        </is>
      </c>
      <c r="W140" s="12" t="n"/>
      <c r="X140" s="12" t="n"/>
      <c r="Y140" s="12" t="n"/>
      <c r="Z140" s="12" t="n"/>
    </row>
    <row r="141">
      <c r="A141" s="93" t="n">
        <v>140</v>
      </c>
      <c r="B141" s="93" t="n">
        <v>3.37</v>
      </c>
      <c r="C141" s="93">
        <f>B141*(25/100)</f>
        <v/>
      </c>
      <c r="D141" s="93">
        <f>C141+B141</f>
        <v/>
      </c>
      <c r="E141" s="93" t="n">
        <v>0.33</v>
      </c>
      <c r="F141" s="93" t="n"/>
      <c r="G141" s="93" t="n"/>
      <c r="H141" s="93" t="n"/>
      <c r="I141" s="93" t="n"/>
      <c r="J141" s="93" t="n"/>
      <c r="K141" s="93" t="n"/>
      <c r="L141" s="190">
        <f>E141*Prices!B$3</f>
        <v/>
      </c>
      <c r="M141" s="190">
        <f>F141*Prices!C$3</f>
        <v/>
      </c>
      <c r="N141" s="190">
        <f>G141*Prices!D$3</f>
        <v/>
      </c>
      <c r="O141" s="190">
        <f>H141*Prices!E$3</f>
        <v/>
      </c>
      <c r="P141" s="190">
        <f>I141*2000+J141*10000+K141*1800</f>
        <v/>
      </c>
      <c r="Q141" s="190">
        <f>D141*Prices!A$2</f>
        <v/>
      </c>
      <c r="R141" s="191">
        <f>L141+M141+N141+O141</f>
        <v/>
      </c>
      <c r="S141" s="190">
        <f>R141+Q141+P141</f>
        <v/>
      </c>
      <c r="T141" s="93" t="n">
        <v>140</v>
      </c>
      <c r="U141" s="93" t="inlineStr">
        <is>
          <t>Available</t>
        </is>
      </c>
      <c r="V141" s="12" t="inlineStr">
        <is>
          <t>A</t>
        </is>
      </c>
      <c r="W141" s="12" t="n"/>
      <c r="X141" s="12" t="n"/>
      <c r="Y141" s="12" t="n"/>
      <c r="Z141" s="12" t="n"/>
    </row>
    <row r="142">
      <c r="A142" s="93" t="n">
        <v>141</v>
      </c>
      <c r="B142" s="93" t="n">
        <v>3.44</v>
      </c>
      <c r="C142" s="93">
        <f>B142*(25/100)</f>
        <v/>
      </c>
      <c r="D142" s="93">
        <f>C142+B142</f>
        <v/>
      </c>
      <c r="E142" s="93" t="n">
        <v>0.71</v>
      </c>
      <c r="F142" s="93" t="n"/>
      <c r="G142" s="93" t="n"/>
      <c r="H142" s="93" t="n"/>
      <c r="I142" s="93" t="n"/>
      <c r="J142" s="93" t="n"/>
      <c r="K142" s="93" t="n"/>
      <c r="L142" s="190">
        <f>E142*Prices!B$3</f>
        <v/>
      </c>
      <c r="M142" s="190">
        <f>F142*Prices!C$3</f>
        <v/>
      </c>
      <c r="N142" s="190">
        <f>G142*Prices!D$3</f>
        <v/>
      </c>
      <c r="O142" s="190">
        <f>H142*Prices!E$3</f>
        <v/>
      </c>
      <c r="P142" s="190">
        <f>I142*2000+J142*10000+K142*1800</f>
        <v/>
      </c>
      <c r="Q142" s="190">
        <f>D142*Prices!A$2</f>
        <v/>
      </c>
      <c r="R142" s="191">
        <f>L142+M142+N142+O142</f>
        <v/>
      </c>
      <c r="S142" s="190">
        <f>R142+Q142+P142</f>
        <v/>
      </c>
      <c r="T142" s="93" t="n">
        <v>141</v>
      </c>
      <c r="U142" s="93" t="inlineStr">
        <is>
          <t>Sold</t>
        </is>
      </c>
      <c r="V142" s="12" t="n"/>
      <c r="W142" s="12" t="n"/>
      <c r="X142" s="12" t="n"/>
      <c r="Y142" s="12" t="n"/>
      <c r="Z142" s="12" t="n"/>
    </row>
    <row r="143">
      <c r="A143" s="93" t="n">
        <v>142</v>
      </c>
      <c r="B143" s="93" t="n">
        <v>2.66</v>
      </c>
      <c r="C143" s="93">
        <f>B143*(25/100)</f>
        <v/>
      </c>
      <c r="D143" s="93">
        <f>C143+B143</f>
        <v/>
      </c>
      <c r="E143" s="93" t="n">
        <v>0.07000000000000001</v>
      </c>
      <c r="F143" s="93" t="n"/>
      <c r="G143" s="93" t="n"/>
      <c r="H143" s="93" t="n"/>
      <c r="I143" s="93" t="n"/>
      <c r="J143" s="93" t="n"/>
      <c r="K143" s="93" t="n"/>
      <c r="L143" s="190">
        <f>E143*Prices!B$3</f>
        <v/>
      </c>
      <c r="M143" s="190">
        <f>F143*Prices!C$3</f>
        <v/>
      </c>
      <c r="N143" s="190">
        <f>G143*Prices!D$3</f>
        <v/>
      </c>
      <c r="O143" s="190">
        <f>H143*Prices!E$3</f>
        <v/>
      </c>
      <c r="P143" s="190">
        <f>I143*2000+J143*10000+K143*1800</f>
        <v/>
      </c>
      <c r="Q143" s="190">
        <f>D143*Prices!A$2</f>
        <v/>
      </c>
      <c r="R143" s="191">
        <f>L143+M143+N143+O143</f>
        <v/>
      </c>
      <c r="S143" s="190">
        <f>R143+Q143+P143</f>
        <v/>
      </c>
      <c r="T143" s="93" t="n">
        <v>142</v>
      </c>
      <c r="U143" s="26" t="inlineStr">
        <is>
          <t>Sold</t>
        </is>
      </c>
      <c r="V143" s="12" t="n"/>
      <c r="W143" s="12" t="n"/>
      <c r="X143" s="12" t="n"/>
      <c r="Y143" s="12" t="n"/>
      <c r="Z143" s="12" t="n"/>
    </row>
    <row r="144">
      <c r="A144" s="93" t="n">
        <v>143</v>
      </c>
      <c r="B144" s="93" t="n">
        <v>2.36</v>
      </c>
      <c r="C144" s="93">
        <f>B144*(25/100)</f>
        <v/>
      </c>
      <c r="D144" s="93">
        <f>C144+B144</f>
        <v/>
      </c>
      <c r="E144" s="93" t="n">
        <v>0.08</v>
      </c>
      <c r="F144" s="93" t="n"/>
      <c r="G144" s="93" t="n"/>
      <c r="H144" s="93" t="n"/>
      <c r="I144" s="93" t="n"/>
      <c r="J144" s="93" t="n"/>
      <c r="K144" s="93" t="n"/>
      <c r="L144" s="190">
        <f>E144*Prices!B$3</f>
        <v/>
      </c>
      <c r="M144" s="190">
        <f>F144*Prices!C$3</f>
        <v/>
      </c>
      <c r="N144" s="190">
        <f>G144*Prices!D$3</f>
        <v/>
      </c>
      <c r="O144" s="190">
        <f>H144*Prices!E$3</f>
        <v/>
      </c>
      <c r="P144" s="190">
        <f>I144*2000+J144*10000+K144*1800</f>
        <v/>
      </c>
      <c r="Q144" s="190">
        <f>D144*Prices!A$2</f>
        <v/>
      </c>
      <c r="R144" s="191">
        <f>L144+M144+N144+O144</f>
        <v/>
      </c>
      <c r="S144" s="190">
        <f>R144+Q144+P144</f>
        <v/>
      </c>
      <c r="T144" s="93" t="n">
        <v>143</v>
      </c>
      <c r="U144" s="93" t="inlineStr">
        <is>
          <t>Available</t>
        </is>
      </c>
      <c r="V144" s="12" t="inlineStr">
        <is>
          <t>A</t>
        </is>
      </c>
      <c r="W144" s="12" t="n"/>
      <c r="X144" s="12" t="n"/>
      <c r="Y144" s="12" t="n"/>
      <c r="Z144" s="12" t="n"/>
    </row>
    <row r="145">
      <c r="A145" s="93" t="n">
        <v>144</v>
      </c>
      <c r="B145" s="93" t="n">
        <v>2.06</v>
      </c>
      <c r="C145" s="93">
        <f>B145*(25/100)</f>
        <v/>
      </c>
      <c r="D145" s="93">
        <f>C145+B145</f>
        <v/>
      </c>
      <c r="E145" s="93" t="n">
        <v>0.15</v>
      </c>
      <c r="F145" s="93" t="n"/>
      <c r="G145" s="93" t="n"/>
      <c r="H145" s="93" t="n"/>
      <c r="I145" s="93" t="n"/>
      <c r="J145" s="93" t="n"/>
      <c r="K145" s="93" t="n"/>
      <c r="L145" s="190">
        <f>E145*Prices!B$3</f>
        <v/>
      </c>
      <c r="M145" s="190">
        <f>F145*Prices!C$3</f>
        <v/>
      </c>
      <c r="N145" s="190">
        <f>G145*Prices!D$3</f>
        <v/>
      </c>
      <c r="O145" s="190">
        <f>H145*Prices!E$3</f>
        <v/>
      </c>
      <c r="P145" s="190">
        <f>I145*2000+J145*10000+K145*1800</f>
        <v/>
      </c>
      <c r="Q145" s="190">
        <f>D145*Prices!A$2</f>
        <v/>
      </c>
      <c r="R145" s="191">
        <f>L145+M145+N145+O145</f>
        <v/>
      </c>
      <c r="S145" s="190">
        <f>R145+Q145+P145</f>
        <v/>
      </c>
      <c r="T145" s="93" t="n">
        <v>144</v>
      </c>
      <c r="U145" s="93" t="inlineStr">
        <is>
          <t>Available</t>
        </is>
      </c>
      <c r="V145" s="12" t="inlineStr">
        <is>
          <t>A</t>
        </is>
      </c>
      <c r="W145" s="12" t="n"/>
      <c r="X145" s="12" t="n"/>
      <c r="Y145" s="12" t="n"/>
      <c r="Z145" s="12" t="n"/>
    </row>
    <row r="146">
      <c r="A146" s="93" t="n">
        <v>145</v>
      </c>
      <c r="B146" s="93" t="n">
        <v>3.56</v>
      </c>
      <c r="C146" s="93">
        <f>B146*(25/100)</f>
        <v/>
      </c>
      <c r="D146" s="93">
        <f>C146+B146</f>
        <v/>
      </c>
      <c r="E146" s="93" t="n">
        <v>0.8</v>
      </c>
      <c r="F146" s="93" t="n"/>
      <c r="G146" s="93" t="n"/>
      <c r="H146" s="93" t="n"/>
      <c r="I146" s="93" t="n"/>
      <c r="J146" s="93" t="n"/>
      <c r="K146" s="93" t="n"/>
      <c r="L146" s="190">
        <f>E146*Prices!B$3</f>
        <v/>
      </c>
      <c r="M146" s="190">
        <f>F146*Prices!C$3</f>
        <v/>
      </c>
      <c r="N146" s="190">
        <f>G146*Prices!D$3</f>
        <v/>
      </c>
      <c r="O146" s="190">
        <f>H146*Prices!E$3</f>
        <v/>
      </c>
      <c r="P146" s="190">
        <f>I146*2000+J146*10000+K146*1800</f>
        <v/>
      </c>
      <c r="Q146" s="190">
        <f>D146*Prices!A$2</f>
        <v/>
      </c>
      <c r="R146" s="191">
        <f>L146+M146+N146+O146</f>
        <v/>
      </c>
      <c r="S146" s="190">
        <f>R146+Q146+P146</f>
        <v/>
      </c>
      <c r="T146" s="93" t="n">
        <v>145</v>
      </c>
      <c r="U146" s="93" t="inlineStr">
        <is>
          <t>Available</t>
        </is>
      </c>
      <c r="V146" s="12" t="inlineStr">
        <is>
          <t>A</t>
        </is>
      </c>
      <c r="W146" s="12" t="n"/>
      <c r="X146" s="12" t="n"/>
      <c r="Y146" s="12" t="n"/>
      <c r="Z146" s="12" t="n"/>
    </row>
    <row r="147">
      <c r="A147" s="93" t="n">
        <v>146</v>
      </c>
      <c r="B147" s="93" t="n">
        <v>2.81</v>
      </c>
      <c r="C147" s="93">
        <f>B147*(25/100)</f>
        <v/>
      </c>
      <c r="D147" s="93">
        <f>C147+B147</f>
        <v/>
      </c>
      <c r="E147" s="93" t="n">
        <v>0.6</v>
      </c>
      <c r="F147" s="93" t="n"/>
      <c r="G147" s="93" t="n"/>
      <c r="H147" s="93" t="n"/>
      <c r="I147" s="93" t="n"/>
      <c r="J147" s="93" t="n"/>
      <c r="K147" s="93" t="n"/>
      <c r="L147" s="190">
        <f>E147*Prices!B$3</f>
        <v/>
      </c>
      <c r="M147" s="190">
        <f>F147*Prices!C$3</f>
        <v/>
      </c>
      <c r="N147" s="190">
        <f>G147*Prices!D$3</f>
        <v/>
      </c>
      <c r="O147" s="190">
        <f>H147*Prices!E$3</f>
        <v/>
      </c>
      <c r="P147" s="190">
        <f>I147*2000+J147*10000+K147*1800</f>
        <v/>
      </c>
      <c r="Q147" s="190">
        <f>D147*Prices!A$2</f>
        <v/>
      </c>
      <c r="R147" s="191">
        <f>L147+M147+N147+O147</f>
        <v/>
      </c>
      <c r="S147" s="190">
        <f>R147+Q147+P147</f>
        <v/>
      </c>
      <c r="T147" s="93" t="n">
        <v>146</v>
      </c>
      <c r="U147" s="93" t="inlineStr">
        <is>
          <t>Available</t>
        </is>
      </c>
      <c r="V147" s="12" t="inlineStr">
        <is>
          <t>A</t>
        </is>
      </c>
      <c r="W147" s="12" t="n"/>
      <c r="X147" s="12" t="n"/>
      <c r="Y147" s="12" t="n"/>
      <c r="Z147" s="12" t="n"/>
    </row>
    <row r="148">
      <c r="A148" s="93" t="n">
        <v>147</v>
      </c>
      <c r="B148" s="93" t="n">
        <v>2.72</v>
      </c>
      <c r="C148" s="93">
        <f>B148*(25/100)</f>
        <v/>
      </c>
      <c r="D148" s="93">
        <f>C148+B148</f>
        <v/>
      </c>
      <c r="E148" s="93" t="n">
        <v>0.27</v>
      </c>
      <c r="F148" s="93" t="n"/>
      <c r="G148" s="93" t="n"/>
      <c r="H148" s="93" t="n"/>
      <c r="I148" s="93" t="n"/>
      <c r="J148" s="93" t="n"/>
      <c r="K148" s="93" t="n"/>
      <c r="L148" s="190">
        <f>E148*Prices!B$3</f>
        <v/>
      </c>
      <c r="M148" s="190">
        <f>F148*Prices!C$3</f>
        <v/>
      </c>
      <c r="N148" s="190">
        <f>G148*Prices!D$3</f>
        <v/>
      </c>
      <c r="O148" s="190">
        <f>H148*Prices!E$3</f>
        <v/>
      </c>
      <c r="P148" s="190">
        <f>I148*2000+J148*10000+K148*1800</f>
        <v/>
      </c>
      <c r="Q148" s="190">
        <f>D148*Prices!A$2</f>
        <v/>
      </c>
      <c r="R148" s="191">
        <f>L148+M148+N148+O148</f>
        <v/>
      </c>
      <c r="S148" s="190">
        <f>R148+Q148+P148</f>
        <v/>
      </c>
      <c r="T148" s="93" t="n">
        <v>147</v>
      </c>
      <c r="U148" s="93" t="inlineStr">
        <is>
          <t>Available</t>
        </is>
      </c>
      <c r="V148" s="12" t="inlineStr">
        <is>
          <t>A</t>
        </is>
      </c>
      <c r="W148" s="12" t="n"/>
      <c r="X148" s="12" t="n"/>
      <c r="Y148" s="12" t="n"/>
      <c r="Z148" s="12" t="n"/>
    </row>
    <row r="149">
      <c r="A149" s="93" t="n">
        <v>148</v>
      </c>
      <c r="B149" s="93" t="n">
        <v>7.19</v>
      </c>
      <c r="C149" s="93">
        <f>B149*(25/100)</f>
        <v/>
      </c>
      <c r="D149" s="93">
        <f>C149+B149</f>
        <v/>
      </c>
      <c r="E149" s="93" t="n"/>
      <c r="F149" s="93" t="n">
        <v>1.63</v>
      </c>
      <c r="G149" s="93" t="n"/>
      <c r="H149" s="93" t="n"/>
      <c r="I149" s="93" t="n"/>
      <c r="J149" s="93" t="n"/>
      <c r="K149" s="93" t="n"/>
      <c r="L149" s="190">
        <f>E149*Prices!B$3</f>
        <v/>
      </c>
      <c r="M149" s="190">
        <f>F149*Prices!C$3</f>
        <v/>
      </c>
      <c r="N149" s="190">
        <f>G149*Prices!D$3</f>
        <v/>
      </c>
      <c r="O149" s="190">
        <f>H149*Prices!E$3</f>
        <v/>
      </c>
      <c r="P149" s="190">
        <f>I149*2000+J149*10000+K149*1800</f>
        <v/>
      </c>
      <c r="Q149" s="190">
        <f>D149*Prices!A$2</f>
        <v/>
      </c>
      <c r="R149" s="191">
        <f>L149+M149+N149+O149</f>
        <v/>
      </c>
      <c r="S149" s="190">
        <f>R149+Q149+P149</f>
        <v/>
      </c>
      <c r="T149" s="93" t="n">
        <v>148</v>
      </c>
      <c r="U149" s="93" t="inlineStr">
        <is>
          <t>Available</t>
        </is>
      </c>
      <c r="V149" s="12" t="inlineStr">
        <is>
          <t>A</t>
        </is>
      </c>
      <c r="W149" s="12" t="n"/>
      <c r="X149" s="12" t="n"/>
      <c r="Y149" s="12" t="n"/>
      <c r="Z149" s="12" t="n"/>
    </row>
    <row r="150">
      <c r="A150" s="93" t="n">
        <v>149</v>
      </c>
      <c r="B150" s="93" t="n">
        <v>2.126</v>
      </c>
      <c r="C150" s="93">
        <f>B150*(25/100)</f>
        <v/>
      </c>
      <c r="D150" s="93">
        <f>C150+B150</f>
        <v/>
      </c>
      <c r="E150" s="93" t="n">
        <v>0.4</v>
      </c>
      <c r="F150" s="93" t="n">
        <v>0.07000000000000001</v>
      </c>
      <c r="G150" s="93" t="n"/>
      <c r="H150" s="93" t="n"/>
      <c r="I150" s="93" t="n"/>
      <c r="J150" s="93" t="n"/>
      <c r="K150" s="93" t="n"/>
      <c r="L150" s="190">
        <f>E150*Prices!B$2</f>
        <v/>
      </c>
      <c r="M150" s="190">
        <f>F150*Prices!C$2</f>
        <v/>
      </c>
      <c r="N150" s="190">
        <f>G150*Prices!D$2</f>
        <v/>
      </c>
      <c r="O150" s="190">
        <f>H150*Prices!E$2</f>
        <v/>
      </c>
      <c r="P150" s="190">
        <f>I150*2000+J150*10000+K150*1800</f>
        <v/>
      </c>
      <c r="Q150" s="190">
        <f>D150*Prices!A$2</f>
        <v/>
      </c>
      <c r="R150" s="191">
        <f>L150+M150+N150+O150</f>
        <v/>
      </c>
      <c r="S150" s="190">
        <f>R150+Q150+P150</f>
        <v/>
      </c>
      <c r="T150" s="93" t="n">
        <v>149</v>
      </c>
      <c r="U150" s="93" t="inlineStr">
        <is>
          <t>Sold</t>
        </is>
      </c>
      <c r="V150" s="12" t="n"/>
      <c r="W150" s="12" t="n"/>
      <c r="X150" s="12" t="n"/>
      <c r="Y150" s="12" t="n"/>
      <c r="Z150" s="12" t="n"/>
    </row>
    <row r="151">
      <c r="A151" s="93" t="n">
        <v>150</v>
      </c>
      <c r="B151" s="93" t="n">
        <v>6.882</v>
      </c>
      <c r="C151" s="93">
        <f>B151*(25/100)</f>
        <v/>
      </c>
      <c r="D151" s="93">
        <f>C151+B151</f>
        <v/>
      </c>
      <c r="E151" s="93" t="n">
        <v>1.15</v>
      </c>
      <c r="F151" s="93" t="n"/>
      <c r="G151" s="93" t="n"/>
      <c r="H151" s="93" t="n"/>
      <c r="I151" s="93" t="n"/>
      <c r="J151" s="93" t="n"/>
      <c r="K151" s="93" t="n">
        <v>2.39</v>
      </c>
      <c r="L151" s="190">
        <f>E151*Prices!B$2</f>
        <v/>
      </c>
      <c r="M151" s="190">
        <f>F151*Prices!C$2</f>
        <v/>
      </c>
      <c r="N151" s="190">
        <f>G151*Prices!D$2</f>
        <v/>
      </c>
      <c r="O151" s="190">
        <f>H151*Prices!E$2</f>
        <v/>
      </c>
      <c r="P151" s="190">
        <f>I151*2000+J151*10000+K151*1800</f>
        <v/>
      </c>
      <c r="Q151" s="190">
        <f>D151*Prices!A$2</f>
        <v/>
      </c>
      <c r="R151" s="191">
        <f>L151+M151+N151+O151</f>
        <v/>
      </c>
      <c r="S151" s="190">
        <f>R151+Q151+P151</f>
        <v/>
      </c>
      <c r="T151" s="93" t="n">
        <v>150</v>
      </c>
      <c r="U151" s="93" t="inlineStr">
        <is>
          <t>Available</t>
        </is>
      </c>
      <c r="V151" s="12" t="inlineStr">
        <is>
          <t>A</t>
        </is>
      </c>
      <c r="W151" s="12" t="n"/>
      <c r="X151" s="12" t="n"/>
      <c r="Y151" s="12" t="n"/>
      <c r="Z151" s="12" t="n"/>
    </row>
    <row r="152">
      <c r="A152" s="93" t="n">
        <v>151</v>
      </c>
      <c r="B152" s="93" t="n">
        <v>4.832</v>
      </c>
      <c r="C152" s="93">
        <f>B152*(25/100)</f>
        <v/>
      </c>
      <c r="D152" s="93">
        <f>C152+B152</f>
        <v/>
      </c>
      <c r="E152" s="93">
        <f>0.46+0.23</f>
        <v/>
      </c>
      <c r="F152" s="93" t="n"/>
      <c r="G152" s="93" t="n"/>
      <c r="H152" s="93" t="n"/>
      <c r="I152" s="93" t="n"/>
      <c r="J152" s="93" t="n"/>
      <c r="K152" s="93" t="n"/>
      <c r="L152" s="190">
        <f>E152*Prices!B$2</f>
        <v/>
      </c>
      <c r="M152" s="190">
        <f>F152*Prices!C$2</f>
        <v/>
      </c>
      <c r="N152" s="190">
        <f>G152*Prices!D$2</f>
        <v/>
      </c>
      <c r="O152" s="190">
        <f>H152*Prices!E$2</f>
        <v/>
      </c>
      <c r="P152" s="190">
        <f>I152*2000+J152*10000+K152*1800</f>
        <v/>
      </c>
      <c r="Q152" s="190">
        <f>D152*Prices!A$2</f>
        <v/>
      </c>
      <c r="R152" s="191">
        <f>L152+M152+N152+O152</f>
        <v/>
      </c>
      <c r="S152" s="190">
        <f>R152+Q152+P152</f>
        <v/>
      </c>
      <c r="T152" s="93" t="n">
        <v>151</v>
      </c>
      <c r="U152" s="93" t="inlineStr">
        <is>
          <t>Available</t>
        </is>
      </c>
      <c r="V152" s="12" t="inlineStr">
        <is>
          <t>A</t>
        </is>
      </c>
      <c r="W152" s="12" t="n"/>
      <c r="X152" s="12" t="n"/>
      <c r="Y152" s="12" t="n"/>
      <c r="Z152" s="12" t="n"/>
    </row>
    <row r="153">
      <c r="A153" s="93" t="n">
        <v>152</v>
      </c>
      <c r="B153" s="93" t="n">
        <v>6.774</v>
      </c>
      <c r="C153" s="93">
        <f>B153*(25/100)</f>
        <v/>
      </c>
      <c r="D153" s="93">
        <f>C153+B153</f>
        <v/>
      </c>
      <c r="E153" s="93" t="n">
        <v>1.31</v>
      </c>
      <c r="F153" s="93" t="n"/>
      <c r="G153" s="93" t="n"/>
      <c r="H153" s="93" t="n">
        <v>0.22</v>
      </c>
      <c r="I153" s="93" t="n"/>
      <c r="J153" s="93" t="n"/>
      <c r="K153" s="93" t="n"/>
      <c r="L153" s="190">
        <f>E153*Prices!B$2</f>
        <v/>
      </c>
      <c r="M153" s="190">
        <f>F153*Prices!C$2</f>
        <v/>
      </c>
      <c r="N153" s="190">
        <f>G153*Prices!D$2</f>
        <v/>
      </c>
      <c r="O153" s="190">
        <f>H153*Prices!E$2</f>
        <v/>
      </c>
      <c r="P153" s="190">
        <f>I153*2000+J153*10000+K153*1800</f>
        <v/>
      </c>
      <c r="Q153" s="190">
        <f>D153*Prices!A$2</f>
        <v/>
      </c>
      <c r="R153" s="191">
        <f>L153+M153+N153+O153</f>
        <v/>
      </c>
      <c r="S153" s="190">
        <f>R153+Q153+P153</f>
        <v/>
      </c>
      <c r="T153" s="93" t="n">
        <v>152</v>
      </c>
      <c r="U153" s="93" t="inlineStr">
        <is>
          <t>Available</t>
        </is>
      </c>
      <c r="V153" s="12" t="inlineStr">
        <is>
          <t>A</t>
        </is>
      </c>
      <c r="W153" s="12" t="n"/>
      <c r="X153" s="12" t="n"/>
      <c r="Y153" s="12" t="n"/>
      <c r="Z153" s="12" t="n"/>
    </row>
    <row r="154">
      <c r="A154" s="93" t="n">
        <v>153</v>
      </c>
      <c r="B154" s="93" t="n">
        <v>1.896</v>
      </c>
      <c r="C154" s="93">
        <f>B154*(25/100)</f>
        <v/>
      </c>
      <c r="D154" s="93">
        <f>C154+B154</f>
        <v/>
      </c>
      <c r="E154" s="93" t="n">
        <v>0.62</v>
      </c>
      <c r="F154" s="93" t="n"/>
      <c r="G154" s="93" t="n"/>
      <c r="H154" s="93" t="n"/>
      <c r="I154" s="93" t="n"/>
      <c r="J154" s="93" t="n"/>
      <c r="K154" s="93" t="n"/>
      <c r="L154" s="190">
        <f>E154*Prices!B$2</f>
        <v/>
      </c>
      <c r="M154" s="190">
        <f>F154*Prices!C$2</f>
        <v/>
      </c>
      <c r="N154" s="190">
        <f>G154*Prices!D$2</f>
        <v/>
      </c>
      <c r="O154" s="190">
        <f>H154*Prices!E$2</f>
        <v/>
      </c>
      <c r="P154" s="190">
        <f>I154*2000+J154*10000+K154*1800</f>
        <v/>
      </c>
      <c r="Q154" s="190">
        <f>D154*Prices!A$2</f>
        <v/>
      </c>
      <c r="R154" s="191">
        <f>L154+M154+N154+O154</f>
        <v/>
      </c>
      <c r="S154" s="190">
        <f>R154+Q154+P154</f>
        <v/>
      </c>
      <c r="T154" s="93" t="n">
        <v>153</v>
      </c>
      <c r="U154" s="93" t="inlineStr">
        <is>
          <t>Available</t>
        </is>
      </c>
      <c r="V154" s="12" t="inlineStr">
        <is>
          <t>A</t>
        </is>
      </c>
      <c r="W154" s="12" t="n"/>
      <c r="X154" s="12" t="n"/>
      <c r="Y154" s="12" t="n"/>
      <c r="Z154" s="12" t="n"/>
    </row>
    <row r="155">
      <c r="A155" s="93" t="n">
        <v>154</v>
      </c>
      <c r="B155" s="93" t="n">
        <v>4.87</v>
      </c>
      <c r="C155" s="93">
        <f>B155*(25/100)</f>
        <v/>
      </c>
      <c r="D155" s="93">
        <f>C155+B155</f>
        <v/>
      </c>
      <c r="E155" s="93" t="n"/>
      <c r="F155" s="93" t="n">
        <v>1.25</v>
      </c>
      <c r="G155" s="93" t="n"/>
      <c r="H155" s="93" t="n"/>
      <c r="I155" s="93" t="n"/>
      <c r="J155" s="93" t="n"/>
      <c r="K155" s="93" t="n"/>
      <c r="L155" s="190">
        <f>E155*Prices!B$2</f>
        <v/>
      </c>
      <c r="M155" s="190">
        <f>F155*Prices!C$2</f>
        <v/>
      </c>
      <c r="N155" s="190">
        <f>G155*Prices!D$2</f>
        <v/>
      </c>
      <c r="O155" s="190">
        <f>H155*Prices!E$2</f>
        <v/>
      </c>
      <c r="P155" s="190">
        <f>I155*2000+J155*10000+K155*1800</f>
        <v/>
      </c>
      <c r="Q155" s="190">
        <f>D155*Prices!A$2</f>
        <v/>
      </c>
      <c r="R155" s="191">
        <f>L155+M155+N155+O155</f>
        <v/>
      </c>
      <c r="S155" s="190">
        <f>R155+Q155+P155</f>
        <v/>
      </c>
      <c r="T155" s="93" t="n">
        <v>154</v>
      </c>
      <c r="U155" s="93" t="inlineStr">
        <is>
          <t>Available</t>
        </is>
      </c>
      <c r="V155" s="12" t="inlineStr">
        <is>
          <t>A</t>
        </is>
      </c>
      <c r="W155" s="12" t="n"/>
      <c r="X155" s="12" t="n"/>
      <c r="Y155" s="12" t="n"/>
      <c r="Z155" s="12" t="n"/>
    </row>
    <row r="156">
      <c r="A156" s="93" t="n">
        <v>155</v>
      </c>
      <c r="B156" s="93" t="n">
        <v>7.258</v>
      </c>
      <c r="C156" s="93">
        <f>B156*(25/100)</f>
        <v/>
      </c>
      <c r="D156" s="93">
        <f>C156+B156</f>
        <v/>
      </c>
      <c r="E156" s="93" t="n">
        <v>1.61</v>
      </c>
      <c r="F156" s="93" t="n"/>
      <c r="G156" s="93" t="n"/>
      <c r="H156" s="93" t="n"/>
      <c r="I156" s="93" t="n"/>
      <c r="J156" s="93" t="n"/>
      <c r="K156" s="93" t="n">
        <v>2.4</v>
      </c>
      <c r="L156" s="190">
        <f>E156*Prices!B$2</f>
        <v/>
      </c>
      <c r="M156" s="190">
        <f>F156*Prices!C$2</f>
        <v/>
      </c>
      <c r="N156" s="190">
        <f>G156*Prices!D$2</f>
        <v/>
      </c>
      <c r="O156" s="190">
        <f>H156*Prices!E$2</f>
        <v/>
      </c>
      <c r="P156" s="190">
        <f>I156*2000+J156*10000+K156*1800</f>
        <v/>
      </c>
      <c r="Q156" s="190">
        <f>D156*Prices!A$2</f>
        <v/>
      </c>
      <c r="R156" s="191">
        <f>L156+M156+N156+O156</f>
        <v/>
      </c>
      <c r="S156" s="190">
        <f>R156+Q156+P156</f>
        <v/>
      </c>
      <c r="T156" s="93" t="n">
        <v>155</v>
      </c>
      <c r="U156" s="93" t="inlineStr">
        <is>
          <t>Available</t>
        </is>
      </c>
      <c r="V156" s="12" t="inlineStr">
        <is>
          <t>A</t>
        </is>
      </c>
      <c r="W156" s="12" t="n"/>
      <c r="X156" s="12" t="n"/>
      <c r="Y156" s="12" t="n"/>
      <c r="Z156" s="12" t="n"/>
    </row>
    <row r="157">
      <c r="A157" s="93" t="n">
        <v>156</v>
      </c>
      <c r="B157" s="93" t="n">
        <v>4.038</v>
      </c>
      <c r="C157" s="93">
        <f>B157*(25/100)</f>
        <v/>
      </c>
      <c r="D157" s="93">
        <f>C157+B157</f>
        <v/>
      </c>
      <c r="E157" s="93" t="n">
        <v>1.31</v>
      </c>
      <c r="F157" s="93" t="n"/>
      <c r="G157" s="93" t="n"/>
      <c r="H157" s="93" t="n"/>
      <c r="I157" s="93" t="n"/>
      <c r="J157" s="93" t="n"/>
      <c r="K157" s="93" t="n"/>
      <c r="L157" s="190">
        <f>E157*Prices!B$2</f>
        <v/>
      </c>
      <c r="M157" s="190">
        <f>F157*Prices!C$2</f>
        <v/>
      </c>
      <c r="N157" s="190">
        <f>G157*Prices!D$2</f>
        <v/>
      </c>
      <c r="O157" s="190">
        <f>H157*Prices!E$2</f>
        <v/>
      </c>
      <c r="P157" s="190">
        <f>I157*2000+J157*10000+K157*1800</f>
        <v/>
      </c>
      <c r="Q157" s="190">
        <f>D157*Prices!A$2</f>
        <v/>
      </c>
      <c r="R157" s="191">
        <f>L157+M157+N157+O157</f>
        <v/>
      </c>
      <c r="S157" s="190">
        <f>R157+Q157+P157</f>
        <v/>
      </c>
      <c r="T157" s="93" t="n">
        <v>156</v>
      </c>
      <c r="U157" s="93" t="inlineStr">
        <is>
          <t>Sold</t>
        </is>
      </c>
      <c r="V157" s="12" t="n"/>
      <c r="W157" s="12" t="n"/>
      <c r="X157" s="12" t="n"/>
      <c r="Y157" s="12" t="n"/>
      <c r="Z157" s="12" t="n"/>
    </row>
    <row r="158">
      <c r="A158" s="93" t="n">
        <v>157</v>
      </c>
      <c r="B158" s="93" t="n">
        <v>4.814</v>
      </c>
      <c r="C158" s="93">
        <f>B158*(25/100)</f>
        <v/>
      </c>
      <c r="D158" s="93">
        <f>C158+B158</f>
        <v/>
      </c>
      <c r="E158" s="93" t="n">
        <v>0.98</v>
      </c>
      <c r="F158" s="93" t="n"/>
      <c r="G158" s="93" t="n"/>
      <c r="H158" s="93" t="n"/>
      <c r="I158" s="93" t="n"/>
      <c r="J158" s="93" t="n"/>
      <c r="K158" s="93" t="n"/>
      <c r="L158" s="190">
        <f>E158*Prices!B$2</f>
        <v/>
      </c>
      <c r="M158" s="190">
        <f>F158*Prices!C$2</f>
        <v/>
      </c>
      <c r="N158" s="190">
        <f>G158*Prices!D$2</f>
        <v/>
      </c>
      <c r="O158" s="190">
        <f>H158*Prices!E$2</f>
        <v/>
      </c>
      <c r="P158" s="190">
        <f>I158*2000+J158*10000+K158*1800</f>
        <v/>
      </c>
      <c r="Q158" s="190">
        <f>D158*Prices!A$2</f>
        <v/>
      </c>
      <c r="R158" s="191">
        <f>L158+M158+N158+O158</f>
        <v/>
      </c>
      <c r="S158" s="190">
        <f>R158+Q158+P158</f>
        <v/>
      </c>
      <c r="T158" s="93" t="n">
        <v>157</v>
      </c>
      <c r="U158" s="93" t="inlineStr">
        <is>
          <t>Available</t>
        </is>
      </c>
      <c r="V158" s="12" t="inlineStr">
        <is>
          <t>A</t>
        </is>
      </c>
      <c r="W158" s="12" t="n"/>
      <c r="X158" s="12" t="n"/>
      <c r="Y158" s="12" t="n"/>
      <c r="Z158" s="12" t="n"/>
    </row>
    <row r="159">
      <c r="A159" s="93" t="n">
        <v>158</v>
      </c>
      <c r="B159" s="93" t="n">
        <v>6.03</v>
      </c>
      <c r="C159" s="93">
        <f>B159*(25/100)</f>
        <v/>
      </c>
      <c r="D159" s="93">
        <f>C159+B159</f>
        <v/>
      </c>
      <c r="E159" s="93" t="n">
        <v>0.5</v>
      </c>
      <c r="F159" s="93" t="n"/>
      <c r="G159" s="93" t="n"/>
      <c r="H159" s="93" t="n"/>
      <c r="I159" s="93" t="n"/>
      <c r="J159" s="93" t="n"/>
      <c r="K159" s="93" t="n">
        <v>2.34</v>
      </c>
      <c r="L159" s="190">
        <f>E159*Prices!B$2</f>
        <v/>
      </c>
      <c r="M159" s="190">
        <f>F159*Prices!C$2</f>
        <v/>
      </c>
      <c r="N159" s="190">
        <f>G159*Prices!D$2</f>
        <v/>
      </c>
      <c r="O159" s="190">
        <f>H159*Prices!E$2</f>
        <v/>
      </c>
      <c r="P159" s="190">
        <f>I159*2000+J159*10000+K159*1800</f>
        <v/>
      </c>
      <c r="Q159" s="190">
        <f>D159*Prices!A$2</f>
        <v/>
      </c>
      <c r="R159" s="191">
        <f>L159+M159+N159+O159</f>
        <v/>
      </c>
      <c r="S159" s="190">
        <f>R159+Q159+P159</f>
        <v/>
      </c>
      <c r="T159" s="93" t="n">
        <v>158</v>
      </c>
      <c r="U159" s="93" t="inlineStr">
        <is>
          <t>Sold</t>
        </is>
      </c>
      <c r="V159" s="12" t="n"/>
      <c r="W159" s="12" t="n"/>
      <c r="X159" s="12" t="n"/>
      <c r="Y159" s="12" t="n"/>
      <c r="Z159" s="12" t="n"/>
    </row>
    <row r="160">
      <c r="A160" s="93" t="n">
        <v>159</v>
      </c>
      <c r="B160" s="93" t="n">
        <v>4.64</v>
      </c>
      <c r="C160" s="93">
        <f>B160*(25/100)</f>
        <v/>
      </c>
      <c r="D160" s="93">
        <f>C160+B160</f>
        <v/>
      </c>
      <c r="E160" s="93" t="n">
        <v>0.45</v>
      </c>
      <c r="F160" s="93" t="n"/>
      <c r="G160" s="93" t="n"/>
      <c r="H160" s="93" t="n"/>
      <c r="I160" s="93" t="n"/>
      <c r="J160" s="93" t="n"/>
      <c r="K160" s="93" t="n"/>
      <c r="L160" s="190">
        <f>E160*Prices!B$2</f>
        <v/>
      </c>
      <c r="M160" s="190">
        <f>F160*Prices!C$2</f>
        <v/>
      </c>
      <c r="N160" s="190">
        <f>G160*Prices!D$2</f>
        <v/>
      </c>
      <c r="O160" s="190">
        <f>H160*Prices!E$2</f>
        <v/>
      </c>
      <c r="P160" s="190">
        <f>I160*2000+J160*10000+K160*1800</f>
        <v/>
      </c>
      <c r="Q160" s="190">
        <f>D160*Prices!A$2</f>
        <v/>
      </c>
      <c r="R160" s="191">
        <f>L160+M160+N160+O160</f>
        <v/>
      </c>
      <c r="S160" s="190">
        <f>R160+Q160+P160</f>
        <v/>
      </c>
      <c r="T160" s="93" t="n">
        <v>159</v>
      </c>
      <c r="U160" s="93" t="inlineStr">
        <is>
          <t>Sold</t>
        </is>
      </c>
      <c r="V160" s="12" t="n"/>
      <c r="W160" s="12" t="n"/>
      <c r="X160" s="12" t="n"/>
      <c r="Y160" s="12" t="n"/>
      <c r="Z160" s="12" t="n"/>
    </row>
    <row r="161">
      <c r="A161" s="93" t="n">
        <v>160</v>
      </c>
      <c r="B161" s="93" t="n">
        <v>7.54</v>
      </c>
      <c r="C161" s="93">
        <f>B161*(25/100)</f>
        <v/>
      </c>
      <c r="D161" s="93">
        <f>C161+B161</f>
        <v/>
      </c>
      <c r="E161" s="93" t="n">
        <v>1.66</v>
      </c>
      <c r="F161" s="93" t="n"/>
      <c r="G161" s="93" t="n"/>
      <c r="H161" s="93" t="n"/>
      <c r="I161" s="93" t="n"/>
      <c r="J161" s="93" t="n"/>
      <c r="K161" s="93" t="n">
        <v>4.24</v>
      </c>
      <c r="L161" s="190">
        <f>E161*Prices!B$2</f>
        <v/>
      </c>
      <c r="M161" s="190">
        <f>F161*Prices!C$2</f>
        <v/>
      </c>
      <c r="N161" s="190">
        <f>G161*Prices!D$2</f>
        <v/>
      </c>
      <c r="O161" s="190">
        <f>H161*Prices!E$2</f>
        <v/>
      </c>
      <c r="P161" s="190">
        <f>I161*2000+J161*10000+K161*1800</f>
        <v/>
      </c>
      <c r="Q161" s="190">
        <f>D161*Prices!A$2</f>
        <v/>
      </c>
      <c r="R161" s="191">
        <f>L161+M161+N161+O161</f>
        <v/>
      </c>
      <c r="S161" s="190">
        <f>R161+Q161+P161</f>
        <v/>
      </c>
      <c r="T161" s="93" t="n">
        <v>160</v>
      </c>
      <c r="U161" s="93" t="inlineStr">
        <is>
          <t>Available</t>
        </is>
      </c>
      <c r="V161" s="12" t="inlineStr">
        <is>
          <t>A</t>
        </is>
      </c>
      <c r="W161" s="12" t="n"/>
      <c r="X161" s="12" t="n"/>
      <c r="Y161" s="12" t="n"/>
      <c r="Z161" s="12" t="n"/>
    </row>
    <row r="162">
      <c r="A162" s="93" t="n">
        <v>161</v>
      </c>
      <c r="B162" s="93" t="n">
        <v>4.13</v>
      </c>
      <c r="C162" s="93">
        <f>B162*(25/100)</f>
        <v/>
      </c>
      <c r="D162" s="93">
        <f>C162+B162</f>
        <v/>
      </c>
      <c r="E162" s="93" t="n">
        <v>0.65</v>
      </c>
      <c r="F162" s="93" t="n"/>
      <c r="G162" s="93" t="n"/>
      <c r="H162" s="93" t="n"/>
      <c r="I162" s="93" t="n"/>
      <c r="J162" s="93" t="n"/>
      <c r="K162" s="93" t="n"/>
      <c r="L162" s="190">
        <f>E162*Prices!B$2</f>
        <v/>
      </c>
      <c r="M162" s="190">
        <f>F162*Prices!C$2</f>
        <v/>
      </c>
      <c r="N162" s="190">
        <f>G162*Prices!D$2</f>
        <v/>
      </c>
      <c r="O162" s="190">
        <f>H162*Prices!E$2</f>
        <v/>
      </c>
      <c r="P162" s="190">
        <f>I162*2000+J162*10000+K162*1800</f>
        <v/>
      </c>
      <c r="Q162" s="190">
        <f>D162*Prices!A$2</f>
        <v/>
      </c>
      <c r="R162" s="191">
        <f>L162+M162+N162+O162</f>
        <v/>
      </c>
      <c r="S162" s="190">
        <f>R162+Q162+P162</f>
        <v/>
      </c>
      <c r="T162" s="93" t="n">
        <v>161</v>
      </c>
      <c r="U162" s="93" t="inlineStr">
        <is>
          <t>Sold</t>
        </is>
      </c>
      <c r="V162" s="12" t="n"/>
      <c r="W162" s="12" t="n"/>
      <c r="X162" s="12" t="n"/>
      <c r="Y162" s="12" t="n"/>
      <c r="Z162" s="12" t="n"/>
    </row>
    <row r="163">
      <c r="A163" s="93" t="n">
        <v>162</v>
      </c>
      <c r="B163" s="93" t="n">
        <v>3.674</v>
      </c>
      <c r="C163" s="93">
        <f>B163*(25/100)</f>
        <v/>
      </c>
      <c r="D163" s="93">
        <f>C163+B163</f>
        <v/>
      </c>
      <c r="E163" s="93" t="n">
        <v>0.46</v>
      </c>
      <c r="F163" s="93" t="n"/>
      <c r="G163" s="93" t="n"/>
      <c r="H163" s="93" t="n">
        <v>0.22</v>
      </c>
      <c r="I163" s="93" t="n"/>
      <c r="J163" s="93" t="n"/>
      <c r="K163" s="93" t="n"/>
      <c r="L163" s="190">
        <f>E163*Prices!B$2</f>
        <v/>
      </c>
      <c r="M163" s="190">
        <f>F163*Prices!C$2</f>
        <v/>
      </c>
      <c r="N163" s="190">
        <f>G163*Prices!D$2</f>
        <v/>
      </c>
      <c r="O163" s="190">
        <f>H163*Prices!E$2</f>
        <v/>
      </c>
      <c r="P163" s="190">
        <f>I163*2000+J163*10000+K163*1800</f>
        <v/>
      </c>
      <c r="Q163" s="190">
        <f>D163*Prices!A$2</f>
        <v/>
      </c>
      <c r="R163" s="191">
        <f>L163+M163+N163+O163</f>
        <v/>
      </c>
      <c r="S163" s="190">
        <f>R163+Q163+P163</f>
        <v/>
      </c>
      <c r="T163" s="93" t="n">
        <v>162</v>
      </c>
      <c r="U163" s="93" t="inlineStr">
        <is>
          <t>Available</t>
        </is>
      </c>
      <c r="V163" s="12" t="inlineStr">
        <is>
          <t>A</t>
        </is>
      </c>
      <c r="W163" s="12" t="n"/>
      <c r="X163" s="12" t="n"/>
      <c r="Y163" s="12" t="n"/>
      <c r="Z163" s="12" t="n"/>
    </row>
    <row r="164">
      <c r="A164" s="93" t="n">
        <v>163</v>
      </c>
      <c r="B164" s="93" t="n">
        <v>3.82</v>
      </c>
      <c r="C164" s="93">
        <f>B164*(25/100)</f>
        <v/>
      </c>
      <c r="D164" s="93">
        <f>C164+B164</f>
        <v/>
      </c>
      <c r="E164" s="93" t="n">
        <v>0.2</v>
      </c>
      <c r="F164" s="93" t="n"/>
      <c r="G164" s="93" t="n"/>
      <c r="H164" s="93" t="n"/>
      <c r="I164" s="93" t="n"/>
      <c r="J164" s="93" t="n"/>
      <c r="K164" s="93" t="n"/>
      <c r="L164" s="190">
        <f>E164*Prices!B$2</f>
        <v/>
      </c>
      <c r="M164" s="190">
        <f>F164*Prices!C$2</f>
        <v/>
      </c>
      <c r="N164" s="190">
        <f>G164*Prices!D$2</f>
        <v/>
      </c>
      <c r="O164" s="190">
        <f>H164*Prices!E$2</f>
        <v/>
      </c>
      <c r="P164" s="190">
        <f>I164*2000+J164*10000+K164*1800</f>
        <v/>
      </c>
      <c r="Q164" s="190">
        <f>D164*Prices!A$2</f>
        <v/>
      </c>
      <c r="R164" s="191">
        <f>L164+M164+N164+O164</f>
        <v/>
      </c>
      <c r="S164" s="190">
        <f>R164+Q164+P164</f>
        <v/>
      </c>
      <c r="T164" s="93" t="n">
        <v>163</v>
      </c>
      <c r="U164" s="93" t="inlineStr">
        <is>
          <t>Available</t>
        </is>
      </c>
      <c r="V164" s="12" t="inlineStr">
        <is>
          <t>A</t>
        </is>
      </c>
      <c r="W164" s="12" t="n"/>
      <c r="X164" s="12" t="n"/>
      <c r="Y164" s="12" t="n"/>
      <c r="Z164" s="12" t="n"/>
    </row>
    <row r="165">
      <c r="A165" s="192" t="n">
        <v>164</v>
      </c>
      <c r="B165" s="192" t="n">
        <v>3.376</v>
      </c>
      <c r="C165" s="192">
        <f>B165*(25/100)</f>
        <v/>
      </c>
      <c r="D165" s="192">
        <f>C165+B165</f>
        <v/>
      </c>
      <c r="E165" s="192" t="n">
        <v>0.42</v>
      </c>
      <c r="F165" s="192" t="n"/>
      <c r="G165" s="192" t="n"/>
      <c r="H165" s="192" t="n"/>
      <c r="I165" s="192" t="n"/>
      <c r="J165" s="192" t="n"/>
      <c r="K165" s="192" t="n">
        <v>0.9</v>
      </c>
      <c r="L165" s="193">
        <f>E165*Prices!B$2</f>
        <v/>
      </c>
      <c r="M165" s="193">
        <f>F165*Prices!C$2</f>
        <v/>
      </c>
      <c r="N165" s="193">
        <f>G165*Prices!D$2</f>
        <v/>
      </c>
      <c r="O165" s="193">
        <f>H165*Prices!E$2</f>
        <v/>
      </c>
      <c r="P165" s="193">
        <f>I165*2000+J165*10000+K165*1800</f>
        <v/>
      </c>
      <c r="Q165" s="193">
        <f>D165*Prices!A$2</f>
        <v/>
      </c>
      <c r="R165" s="194">
        <f>L165+M165+N165+O165</f>
        <v/>
      </c>
      <c r="S165" s="193">
        <f>R165+Q165+P165</f>
        <v/>
      </c>
      <c r="T165" s="192" t="n">
        <v>164</v>
      </c>
      <c r="U165" s="93" t="inlineStr">
        <is>
          <t>Return</t>
        </is>
      </c>
      <c r="V165" s="12" t="n"/>
      <c r="W165" s="12" t="n"/>
      <c r="X165" s="12" t="n"/>
      <c r="Y165" s="12" t="n"/>
      <c r="Z165" s="12" t="n"/>
    </row>
    <row r="166">
      <c r="A166" s="93" t="n">
        <v>165</v>
      </c>
      <c r="B166" s="93" t="n">
        <v>1.562</v>
      </c>
      <c r="C166" s="93">
        <f>B166*(25/100)</f>
        <v/>
      </c>
      <c r="D166" s="93">
        <f>C166+B166</f>
        <v/>
      </c>
      <c r="E166" s="93" t="n">
        <v>0.49</v>
      </c>
      <c r="F166" s="93" t="n"/>
      <c r="G166" s="93" t="n"/>
      <c r="H166" s="93" t="n"/>
      <c r="I166" s="93" t="n"/>
      <c r="J166" s="93" t="n"/>
      <c r="K166" s="93" t="n"/>
      <c r="L166" s="190">
        <f>E166*Prices!B$2</f>
        <v/>
      </c>
      <c r="M166" s="190">
        <f>F166*Prices!C$2</f>
        <v/>
      </c>
      <c r="N166" s="190">
        <f>G166*Prices!D$2</f>
        <v/>
      </c>
      <c r="O166" s="190">
        <f>H166*Prices!E$2</f>
        <v/>
      </c>
      <c r="P166" s="190">
        <f>I166*2000+J166*10000+K166*1800</f>
        <v/>
      </c>
      <c r="Q166" s="190">
        <f>D166*Prices!A$2</f>
        <v/>
      </c>
      <c r="R166" s="191">
        <f>L166+M166+N166+O166</f>
        <v/>
      </c>
      <c r="S166" s="190">
        <f>R166+Q166+P166</f>
        <v/>
      </c>
      <c r="T166" s="93" t="n">
        <v>165</v>
      </c>
      <c r="U166" s="93" t="inlineStr">
        <is>
          <t>Available</t>
        </is>
      </c>
      <c r="V166" s="12" t="inlineStr">
        <is>
          <t>A</t>
        </is>
      </c>
      <c r="W166" s="12" t="n"/>
      <c r="X166" s="12" t="n"/>
      <c r="Y166" s="12" t="n"/>
      <c r="Z166" s="12" t="n"/>
    </row>
    <row r="167">
      <c r="A167" s="93" t="n">
        <v>166</v>
      </c>
      <c r="B167" s="93" t="n">
        <v>3.422</v>
      </c>
      <c r="C167" s="93">
        <f>B167*(25/100)</f>
        <v/>
      </c>
      <c r="D167" s="93">
        <f>C167+B167</f>
        <v/>
      </c>
      <c r="E167" s="93" t="n">
        <v>0.25</v>
      </c>
      <c r="F167" s="93" t="n"/>
      <c r="G167" s="93" t="n"/>
      <c r="H167" s="93" t="n"/>
      <c r="I167" s="93" t="n"/>
      <c r="J167" s="93" t="n">
        <v>0.89</v>
      </c>
      <c r="K167" s="93" t="n"/>
      <c r="L167" s="190">
        <f>E167*Prices!B$2</f>
        <v/>
      </c>
      <c r="M167" s="190">
        <f>F167*Prices!C$2</f>
        <v/>
      </c>
      <c r="N167" s="190">
        <f>G167*Prices!D$2</f>
        <v/>
      </c>
      <c r="O167" s="190">
        <f>H167*Prices!E$2</f>
        <v/>
      </c>
      <c r="P167" s="190">
        <f>I167*2000+J167*10000+K167*1800</f>
        <v/>
      </c>
      <c r="Q167" s="190">
        <f>D167*Prices!A$2</f>
        <v/>
      </c>
      <c r="R167" s="191">
        <f>L167+M167+N167+O167</f>
        <v/>
      </c>
      <c r="S167" s="190">
        <f>R167+Q167+P167</f>
        <v/>
      </c>
      <c r="T167" s="93" t="n">
        <v>166</v>
      </c>
      <c r="U167" s="93" t="inlineStr">
        <is>
          <t>Available</t>
        </is>
      </c>
      <c r="V167" s="12" t="inlineStr">
        <is>
          <t>A</t>
        </is>
      </c>
      <c r="W167" s="12" t="n"/>
      <c r="X167" s="12" t="n"/>
      <c r="Y167" s="12" t="n"/>
      <c r="Z167" s="12" t="n"/>
    </row>
    <row r="168">
      <c r="A168" s="93" t="n">
        <v>167</v>
      </c>
      <c r="B168" s="93" t="n">
        <v>2.176</v>
      </c>
      <c r="C168" s="93">
        <f>B168*(25/100)</f>
        <v/>
      </c>
      <c r="D168" s="93">
        <f>C168+B168</f>
        <v/>
      </c>
      <c r="E168" s="93" t="n">
        <v>0.62</v>
      </c>
      <c r="F168" s="93" t="n"/>
      <c r="G168" s="93" t="n"/>
      <c r="H168" s="93" t="n"/>
      <c r="I168" s="93" t="n"/>
      <c r="J168" s="93" t="n"/>
      <c r="K168" s="93" t="n"/>
      <c r="L168" s="190">
        <f>E168*Prices!B$2</f>
        <v/>
      </c>
      <c r="M168" s="190">
        <f>F168*Prices!C$2</f>
        <v/>
      </c>
      <c r="N168" s="190">
        <f>G168*Prices!D$2</f>
        <v/>
      </c>
      <c r="O168" s="190">
        <f>H168*Prices!E$2</f>
        <v/>
      </c>
      <c r="P168" s="190">
        <f>I168*2000+J168*10000+K168*1800</f>
        <v/>
      </c>
      <c r="Q168" s="190">
        <f>D168*Prices!A$2</f>
        <v/>
      </c>
      <c r="R168" s="191">
        <f>L168+M168+N168+O168</f>
        <v/>
      </c>
      <c r="S168" s="190">
        <f>R168+Q168+P168</f>
        <v/>
      </c>
      <c r="T168" s="93" t="n">
        <v>167</v>
      </c>
      <c r="U168" s="93" t="inlineStr">
        <is>
          <t>Sold</t>
        </is>
      </c>
      <c r="V168" s="12" t="n"/>
      <c r="W168" s="12" t="n"/>
      <c r="X168" s="12" t="n"/>
      <c r="Y168" s="12" t="n"/>
      <c r="Z168" s="12" t="n"/>
    </row>
    <row r="169">
      <c r="A169" s="93" t="n">
        <v>168</v>
      </c>
      <c r="B169" s="93" t="n">
        <v>1.814</v>
      </c>
      <c r="C169" s="93">
        <f>B169*(25/100)</f>
        <v/>
      </c>
      <c r="D169" s="93">
        <f>C169+B169</f>
        <v/>
      </c>
      <c r="E169" s="93" t="n">
        <v>0.13</v>
      </c>
      <c r="F169" s="93" t="n"/>
      <c r="G169" s="93" t="n"/>
      <c r="H169" s="93" t="n"/>
      <c r="I169" s="93" t="n"/>
      <c r="J169" s="93" t="n"/>
      <c r="K169" s="93" t="n"/>
      <c r="L169" s="190">
        <f>E169*Prices!B$2</f>
        <v/>
      </c>
      <c r="M169" s="190">
        <f>F169*Prices!C$2</f>
        <v/>
      </c>
      <c r="N169" s="190">
        <f>G169*Prices!D$2</f>
        <v/>
      </c>
      <c r="O169" s="190">
        <f>H169*Prices!E$2</f>
        <v/>
      </c>
      <c r="P169" s="190">
        <f>I169*2000+J169*10000+K169*1800</f>
        <v/>
      </c>
      <c r="Q169" s="190">
        <f>D169*Prices!A$2</f>
        <v/>
      </c>
      <c r="R169" s="191">
        <f>L169+M169+N169+O169</f>
        <v/>
      </c>
      <c r="S169" s="190">
        <f>R169+Q169+P169</f>
        <v/>
      </c>
      <c r="T169" s="93" t="n">
        <v>168</v>
      </c>
      <c r="U169" s="93" t="inlineStr">
        <is>
          <t>Available</t>
        </is>
      </c>
      <c r="V169" s="12" t="inlineStr">
        <is>
          <t>A</t>
        </is>
      </c>
      <c r="W169" s="12" t="n"/>
      <c r="X169" s="12" t="n"/>
      <c r="Y169" s="12" t="n"/>
      <c r="Z169" s="12" t="n"/>
    </row>
    <row r="170">
      <c r="A170" s="93" t="n">
        <v>169</v>
      </c>
      <c r="B170" s="93" t="n">
        <v>2.63</v>
      </c>
      <c r="C170" s="93">
        <f>B170*(25/100)</f>
        <v/>
      </c>
      <c r="D170" s="93">
        <f>C170+B170</f>
        <v/>
      </c>
      <c r="E170" s="93" t="n">
        <v>0.55</v>
      </c>
      <c r="F170" s="93" t="n"/>
      <c r="G170" s="93" t="n"/>
      <c r="H170" s="93" t="n"/>
      <c r="I170" s="93" t="n"/>
      <c r="J170" s="93" t="n"/>
      <c r="K170" s="93" t="n"/>
      <c r="L170" s="190">
        <f>E170*Prices!B$2</f>
        <v/>
      </c>
      <c r="M170" s="190">
        <f>F170*Prices!C$2</f>
        <v/>
      </c>
      <c r="N170" s="190">
        <f>G170*Prices!D$2</f>
        <v/>
      </c>
      <c r="O170" s="190">
        <f>H170*Prices!E$2</f>
        <v/>
      </c>
      <c r="P170" s="190">
        <f>I170*2000+J170*10000+K170*1800</f>
        <v/>
      </c>
      <c r="Q170" s="190">
        <f>D170*Prices!A$2</f>
        <v/>
      </c>
      <c r="R170" s="191">
        <f>L170+M170+N170+O170</f>
        <v/>
      </c>
      <c r="S170" s="190">
        <f>R170+Q170+P170</f>
        <v/>
      </c>
      <c r="T170" s="93" t="n">
        <v>169</v>
      </c>
      <c r="U170" s="93" t="inlineStr">
        <is>
          <t>Sold</t>
        </is>
      </c>
      <c r="V170" s="12" t="n"/>
      <c r="W170" s="12" t="n"/>
      <c r="X170" s="12" t="n"/>
      <c r="Y170" s="12" t="n"/>
      <c r="Z170" s="12" t="n"/>
    </row>
    <row r="171">
      <c r="A171" s="93" t="n">
        <v>170</v>
      </c>
      <c r="B171" s="93" t="n">
        <v>1.488</v>
      </c>
      <c r="C171" s="93">
        <f>B171*(25/100)</f>
        <v/>
      </c>
      <c r="D171" s="93">
        <f>C171+B171</f>
        <v/>
      </c>
      <c r="E171" s="93" t="n">
        <v>0.16</v>
      </c>
      <c r="F171" s="93" t="n"/>
      <c r="G171" s="93" t="n"/>
      <c r="H171" s="93" t="n"/>
      <c r="I171" s="93" t="n"/>
      <c r="J171" s="93" t="n"/>
      <c r="K171" s="93" t="n"/>
      <c r="L171" s="190">
        <f>E171*Prices!B$2</f>
        <v/>
      </c>
      <c r="M171" s="190">
        <f>F171*Prices!C$2</f>
        <v/>
      </c>
      <c r="N171" s="190">
        <f>G171*Prices!D$2</f>
        <v/>
      </c>
      <c r="O171" s="190">
        <f>H171*Prices!E$2</f>
        <v/>
      </c>
      <c r="P171" s="190">
        <f>I171*2000+J171*10000+K171*1800</f>
        <v/>
      </c>
      <c r="Q171" s="190">
        <f>D171*Prices!A$2</f>
        <v/>
      </c>
      <c r="R171" s="191">
        <f>L171+M171+N171+O171</f>
        <v/>
      </c>
      <c r="S171" s="190">
        <f>R171+Q171+P171</f>
        <v/>
      </c>
      <c r="T171" s="93" t="n">
        <v>170</v>
      </c>
      <c r="U171" s="93" t="inlineStr">
        <is>
          <t>Sold</t>
        </is>
      </c>
      <c r="V171" s="12" t="n"/>
      <c r="W171" s="12" t="n"/>
      <c r="X171" s="12" t="n"/>
      <c r="Y171" s="12" t="n"/>
      <c r="Z171" s="12" t="n"/>
    </row>
    <row r="172">
      <c r="A172" s="93" t="n">
        <v>171</v>
      </c>
      <c r="B172" s="93" t="n">
        <v>3.064</v>
      </c>
      <c r="C172" s="93">
        <f>B172*(25/100)</f>
        <v/>
      </c>
      <c r="D172" s="93">
        <f>C172+B172</f>
        <v/>
      </c>
      <c r="E172" s="93" t="n">
        <v>0.53</v>
      </c>
      <c r="F172" s="93" t="n"/>
      <c r="G172" s="93" t="n"/>
      <c r="H172" s="93" t="n"/>
      <c r="I172" s="93" t="n"/>
      <c r="J172" s="93" t="n"/>
      <c r="K172" s="93" t="n"/>
      <c r="L172" s="190">
        <f>E172*Prices!B$2</f>
        <v/>
      </c>
      <c r="M172" s="190">
        <f>F172*Prices!C$2</f>
        <v/>
      </c>
      <c r="N172" s="190">
        <f>G172*Prices!D$2</f>
        <v/>
      </c>
      <c r="O172" s="190">
        <f>H172*Prices!E$2</f>
        <v/>
      </c>
      <c r="P172" s="190">
        <f>I172*2000+J172*10000+K172*1800</f>
        <v/>
      </c>
      <c r="Q172" s="190">
        <f>D172*Prices!A$2</f>
        <v/>
      </c>
      <c r="R172" s="191">
        <f>L172+M172+N172+O172</f>
        <v/>
      </c>
      <c r="S172" s="190">
        <f>R172+Q172+P172</f>
        <v/>
      </c>
      <c r="T172" s="93" t="n">
        <v>171</v>
      </c>
      <c r="U172" s="93" t="inlineStr">
        <is>
          <t>Sold</t>
        </is>
      </c>
      <c r="V172" s="12" t="n"/>
      <c r="W172" s="12" t="n"/>
      <c r="X172" s="12" t="n"/>
      <c r="Y172" s="12" t="n"/>
      <c r="Z172" s="12" t="n"/>
    </row>
    <row r="173">
      <c r="A173" s="93" t="n">
        <v>172</v>
      </c>
      <c r="B173" s="93" t="n">
        <v>2.47</v>
      </c>
      <c r="C173" s="93">
        <f>B173*(25/100)</f>
        <v/>
      </c>
      <c r="D173" s="93">
        <f>C173+B173</f>
        <v/>
      </c>
      <c r="E173" s="93" t="n">
        <v>0.27</v>
      </c>
      <c r="F173" s="93" t="n"/>
      <c r="G173" s="93" t="n"/>
      <c r="H173" s="93" t="n"/>
      <c r="I173" s="93" t="n"/>
      <c r="J173" s="93" t="n"/>
      <c r="K173" s="93" t="n"/>
      <c r="L173" s="190">
        <f>E173*Prices!B$2</f>
        <v/>
      </c>
      <c r="M173" s="190">
        <f>F173*Prices!C$2</f>
        <v/>
      </c>
      <c r="N173" s="190">
        <f>G173*Prices!D$2</f>
        <v/>
      </c>
      <c r="O173" s="190">
        <f>H173*Prices!E$2</f>
        <v/>
      </c>
      <c r="P173" s="190">
        <f>I173*2000+J173*10000+K173*1800</f>
        <v/>
      </c>
      <c r="Q173" s="190">
        <f>D173*Prices!A$2</f>
        <v/>
      </c>
      <c r="R173" s="191">
        <f>L173+M173+N173+O173</f>
        <v/>
      </c>
      <c r="S173" s="190">
        <f>R173+Q173+P173</f>
        <v/>
      </c>
      <c r="T173" s="93" t="n">
        <v>172</v>
      </c>
      <c r="U173" s="93" t="inlineStr">
        <is>
          <t>Sold</t>
        </is>
      </c>
      <c r="V173" s="12" t="n"/>
      <c r="W173" s="12" t="n"/>
      <c r="X173" s="12" t="n"/>
      <c r="Y173" s="12" t="n"/>
      <c r="Z173" s="12" t="n"/>
    </row>
    <row r="174">
      <c r="A174" s="93" t="n">
        <v>173</v>
      </c>
      <c r="B174" s="93" t="n">
        <v>1.622</v>
      </c>
      <c r="C174" s="93">
        <f>B174*(25/100)</f>
        <v/>
      </c>
      <c r="D174" s="93">
        <f>C174+B174</f>
        <v/>
      </c>
      <c r="E174" s="93" t="n">
        <v>0.29</v>
      </c>
      <c r="F174" s="93" t="n"/>
      <c r="G174" s="93" t="n"/>
      <c r="H174" s="93" t="n"/>
      <c r="I174" s="93" t="n"/>
      <c r="J174" s="93" t="n"/>
      <c r="K174" s="93" t="n"/>
      <c r="L174" s="190">
        <f>E174*Prices!B$2</f>
        <v/>
      </c>
      <c r="M174" s="190">
        <f>F174*Prices!C$2</f>
        <v/>
      </c>
      <c r="N174" s="190">
        <f>G174*Prices!D$2</f>
        <v/>
      </c>
      <c r="O174" s="190">
        <f>H174*Prices!E$2</f>
        <v/>
      </c>
      <c r="P174" s="190">
        <f>I174*2000+J174*10000+K174*1800</f>
        <v/>
      </c>
      <c r="Q174" s="190">
        <f>D174*Prices!A$2</f>
        <v/>
      </c>
      <c r="R174" s="191">
        <f>L174+M174+N174+O174</f>
        <v/>
      </c>
      <c r="S174" s="190">
        <f>R174+Q174+P174</f>
        <v/>
      </c>
      <c r="T174" s="93" t="n">
        <v>173</v>
      </c>
      <c r="U174" s="93" t="inlineStr">
        <is>
          <t>Sold</t>
        </is>
      </c>
      <c r="V174" s="12" t="n"/>
      <c r="W174" s="12" t="n"/>
      <c r="X174" s="12" t="n"/>
      <c r="Y174" s="12" t="n"/>
      <c r="Z174" s="12" t="n"/>
    </row>
    <row r="175">
      <c r="A175" s="93" t="n">
        <v>174</v>
      </c>
      <c r="B175" s="93" t="n">
        <v>10.234</v>
      </c>
      <c r="C175" s="93">
        <f>B175*(25/100)</f>
        <v/>
      </c>
      <c r="D175" s="93">
        <f>C175+B175</f>
        <v/>
      </c>
      <c r="E175" s="93" t="n">
        <v>1.69</v>
      </c>
      <c r="F175" s="93" t="n"/>
      <c r="G175" s="93" t="n"/>
      <c r="H175" s="93" t="n"/>
      <c r="I175" s="93" t="n"/>
      <c r="J175" s="93" t="n"/>
      <c r="K175" s="93" t="n"/>
      <c r="L175" s="190">
        <f>E175*Prices!B$2</f>
        <v/>
      </c>
      <c r="M175" s="190">
        <f>F175*Prices!C$2</f>
        <v/>
      </c>
      <c r="N175" s="190">
        <f>G175*Prices!D$2</f>
        <v/>
      </c>
      <c r="O175" s="190">
        <f>H175*Prices!E$2</f>
        <v/>
      </c>
      <c r="P175" s="190">
        <f>I175*2000+J175*10000+K175*1800</f>
        <v/>
      </c>
      <c r="Q175" s="190">
        <f>D175*Prices!A$2</f>
        <v/>
      </c>
      <c r="R175" s="191">
        <f>L175+M175+N175+O175</f>
        <v/>
      </c>
      <c r="S175" s="190">
        <f>R175+Q175+P175</f>
        <v/>
      </c>
      <c r="T175" s="93" t="n">
        <v>174</v>
      </c>
      <c r="U175" s="93" t="inlineStr">
        <is>
          <t>Sold</t>
        </is>
      </c>
      <c r="V175" s="12" t="n"/>
      <c r="W175" s="12" t="n"/>
      <c r="X175" s="12" t="n"/>
      <c r="Y175" s="12" t="n"/>
      <c r="Z175" s="12" t="n"/>
    </row>
    <row r="176">
      <c r="A176" s="93" t="n">
        <v>175</v>
      </c>
      <c r="B176" s="93" t="n">
        <v>7.776</v>
      </c>
      <c r="C176" s="93">
        <f>B176*(25/100)</f>
        <v/>
      </c>
      <c r="D176" s="93">
        <f>C176+B176</f>
        <v/>
      </c>
      <c r="E176" s="93" t="n">
        <v>1.77</v>
      </c>
      <c r="F176" s="93" t="n"/>
      <c r="G176" s="93" t="n"/>
      <c r="H176" s="93" t="n"/>
      <c r="I176" s="93" t="n"/>
      <c r="J176" s="93" t="n"/>
      <c r="K176" s="93" t="n"/>
      <c r="L176" s="190">
        <f>E176*Prices!B$2</f>
        <v/>
      </c>
      <c r="M176" s="190">
        <f>F176*Prices!C$2</f>
        <v/>
      </c>
      <c r="N176" s="190">
        <f>G176*Prices!D$2</f>
        <v/>
      </c>
      <c r="O176" s="190">
        <f>H176*Prices!E$2</f>
        <v/>
      </c>
      <c r="P176" s="190">
        <f>I176*2000+J176*10000+K176*1800</f>
        <v/>
      </c>
      <c r="Q176" s="190">
        <f>D176*Prices!A$2</f>
        <v/>
      </c>
      <c r="R176" s="191">
        <f>L176+M176+N176+O176</f>
        <v/>
      </c>
      <c r="S176" s="190">
        <f>R176+Q176+P176</f>
        <v/>
      </c>
      <c r="T176" s="93" t="n">
        <v>175</v>
      </c>
      <c r="U176" s="93" t="inlineStr">
        <is>
          <t>Sold</t>
        </is>
      </c>
      <c r="V176" s="12" t="n"/>
      <c r="W176" s="12" t="n"/>
      <c r="X176" s="12" t="n"/>
      <c r="Y176" s="12" t="n"/>
      <c r="Z176" s="12" t="n"/>
    </row>
    <row r="177">
      <c r="A177" s="93" t="n">
        <v>176</v>
      </c>
      <c r="B177" s="93" t="n">
        <v>2.082</v>
      </c>
      <c r="C177" s="93">
        <f>B177*(25/100)</f>
        <v/>
      </c>
      <c r="D177" s="93">
        <f>C177+B177</f>
        <v/>
      </c>
      <c r="E177" s="93" t="n">
        <v>0.34</v>
      </c>
      <c r="F177" s="93" t="n"/>
      <c r="G177" s="93" t="n"/>
      <c r="H177" s="93" t="n"/>
      <c r="I177" s="93" t="n"/>
      <c r="J177" s="93" t="n"/>
      <c r="K177" s="93" t="n"/>
      <c r="L177" s="190">
        <f>E177*Prices!B$2</f>
        <v/>
      </c>
      <c r="M177" s="190">
        <f>F177*Prices!C$2</f>
        <v/>
      </c>
      <c r="N177" s="190">
        <f>G177*Prices!D$2</f>
        <v/>
      </c>
      <c r="O177" s="190">
        <f>H177*Prices!E$2</f>
        <v/>
      </c>
      <c r="P177" s="190">
        <f>I177*2000+J177*10000+K177*1800</f>
        <v/>
      </c>
      <c r="Q177" s="190">
        <f>D177*Prices!A$2</f>
        <v/>
      </c>
      <c r="R177" s="191">
        <f>L177+M177+N177+O177</f>
        <v/>
      </c>
      <c r="S177" s="190">
        <f>R177+Q177+P177</f>
        <v/>
      </c>
      <c r="T177" s="93" t="n">
        <v>176</v>
      </c>
      <c r="U177" s="93" t="inlineStr">
        <is>
          <t>Sold</t>
        </is>
      </c>
      <c r="V177" s="12" t="n"/>
      <c r="W177" s="12" t="n"/>
      <c r="X177" s="12" t="n"/>
      <c r="Y177" s="12" t="n"/>
      <c r="Z177" s="12" t="n"/>
    </row>
    <row r="178">
      <c r="A178" s="93" t="n">
        <v>177</v>
      </c>
      <c r="B178" s="93" t="n">
        <v>2.836</v>
      </c>
      <c r="C178" s="93">
        <f>B178*(25/100)</f>
        <v/>
      </c>
      <c r="D178" s="93">
        <f>C178+B178</f>
        <v/>
      </c>
      <c r="E178" s="93" t="n">
        <v>0.57</v>
      </c>
      <c r="F178" s="93" t="n"/>
      <c r="G178" s="93" t="n"/>
      <c r="H178" s="93" t="n"/>
      <c r="I178" s="93" t="n"/>
      <c r="J178" s="93" t="n"/>
      <c r="K178" s="93" t="n"/>
      <c r="L178" s="190">
        <f>E178*Prices!B$2</f>
        <v/>
      </c>
      <c r="M178" s="190">
        <f>F178*Prices!C$2</f>
        <v/>
      </c>
      <c r="N178" s="190">
        <f>G178*Prices!D$2</f>
        <v/>
      </c>
      <c r="O178" s="190">
        <f>H178*Prices!E$2</f>
        <v/>
      </c>
      <c r="P178" s="190">
        <f>I178*2000+J178*10000+K178*1800</f>
        <v/>
      </c>
      <c r="Q178" s="190">
        <f>D178*Prices!A$2</f>
        <v/>
      </c>
      <c r="R178" s="191">
        <f>L178+M178+N178+O178</f>
        <v/>
      </c>
      <c r="S178" s="190">
        <f>R178+Q178+P178</f>
        <v/>
      </c>
      <c r="T178" s="93" t="n">
        <v>177</v>
      </c>
      <c r="U178" s="93" t="inlineStr">
        <is>
          <t>Sold</t>
        </is>
      </c>
      <c r="V178" s="12" t="n"/>
      <c r="W178" s="12" t="n"/>
      <c r="X178" s="12" t="n"/>
      <c r="Y178" s="12" t="n"/>
      <c r="Z178" s="12" t="n"/>
    </row>
    <row r="179">
      <c r="A179" s="93" t="n">
        <v>178</v>
      </c>
      <c r="B179" s="93" t="n">
        <v>3.226</v>
      </c>
      <c r="C179" s="93">
        <f>B179*(25/100)</f>
        <v/>
      </c>
      <c r="D179" s="93">
        <f>C179+B179</f>
        <v/>
      </c>
      <c r="E179" s="93" t="n">
        <v>0.52</v>
      </c>
      <c r="F179" s="93" t="n"/>
      <c r="G179" s="93" t="n"/>
      <c r="H179" s="93" t="n"/>
      <c r="I179" s="93" t="n"/>
      <c r="J179" s="93" t="n"/>
      <c r="K179" s="93" t="n"/>
      <c r="L179" s="190">
        <f>E179*Prices!B$2</f>
        <v/>
      </c>
      <c r="M179" s="190">
        <f>F179*Prices!C$2</f>
        <v/>
      </c>
      <c r="N179" s="190">
        <f>G179*Prices!D$2</f>
        <v/>
      </c>
      <c r="O179" s="190">
        <f>H179*Prices!E$2</f>
        <v/>
      </c>
      <c r="P179" s="190">
        <f>I179*2000+J179*10000+K179*1800</f>
        <v/>
      </c>
      <c r="Q179" s="190">
        <f>D179*Prices!A$2</f>
        <v/>
      </c>
      <c r="R179" s="191">
        <f>L179+M179+N179+O179</f>
        <v/>
      </c>
      <c r="S179" s="190">
        <f>R179+Q179+P179</f>
        <v/>
      </c>
      <c r="T179" s="93" t="n">
        <v>178</v>
      </c>
      <c r="U179" s="26" t="inlineStr">
        <is>
          <t>Sold</t>
        </is>
      </c>
      <c r="V179" s="12" t="n"/>
      <c r="W179" s="12" t="n"/>
      <c r="X179" s="12" t="n"/>
      <c r="Y179" s="12" t="n"/>
      <c r="Z179" s="12" t="n"/>
    </row>
    <row r="180">
      <c r="A180" s="93" t="n">
        <v>179</v>
      </c>
      <c r="B180" s="93" t="n">
        <v>2.874</v>
      </c>
      <c r="C180" s="93">
        <f>B180*(25/100)</f>
        <v/>
      </c>
      <c r="D180" s="93">
        <f>C180+B180</f>
        <v/>
      </c>
      <c r="E180" s="93" t="n">
        <v>0.53</v>
      </c>
      <c r="F180" s="93" t="n"/>
      <c r="G180" s="93" t="n"/>
      <c r="H180" s="93" t="n"/>
      <c r="I180" s="93" t="n"/>
      <c r="J180" s="93" t="n"/>
      <c r="K180" s="93" t="n"/>
      <c r="L180" s="190">
        <f>E180*Prices!B$2</f>
        <v/>
      </c>
      <c r="M180" s="190">
        <f>F180*Prices!C$2</f>
        <v/>
      </c>
      <c r="N180" s="190">
        <f>G180*Prices!D$2</f>
        <v/>
      </c>
      <c r="O180" s="190">
        <f>H180*Prices!E$2</f>
        <v/>
      </c>
      <c r="P180" s="190">
        <f>I180*2000+J180*10000+K180*1800</f>
        <v/>
      </c>
      <c r="Q180" s="190">
        <f>D180*Prices!A$2</f>
        <v/>
      </c>
      <c r="R180" s="191">
        <f>L180+M180+N180+O180</f>
        <v/>
      </c>
      <c r="S180" s="190">
        <f>R180+Q180+P180</f>
        <v/>
      </c>
      <c r="T180" s="93" t="n">
        <v>179</v>
      </c>
      <c r="U180" s="93" t="inlineStr">
        <is>
          <t>Sold</t>
        </is>
      </c>
      <c r="V180" s="12" t="n"/>
      <c r="W180" s="12" t="n"/>
      <c r="X180" s="12" t="n"/>
      <c r="Y180" s="12" t="n"/>
      <c r="Z180" s="12" t="n"/>
    </row>
    <row r="181">
      <c r="A181" s="93" t="n">
        <v>180</v>
      </c>
      <c r="B181" s="93" t="n">
        <v>4.134</v>
      </c>
      <c r="C181" s="93">
        <f>B181*(25/100)</f>
        <v/>
      </c>
      <c r="D181" s="93">
        <f>C181+B181</f>
        <v/>
      </c>
      <c r="E181" s="93" t="n">
        <v>0.48</v>
      </c>
      <c r="F181" s="93" t="n"/>
      <c r="G181" s="93" t="n"/>
      <c r="H181" s="93" t="n"/>
      <c r="I181" s="93" t="n"/>
      <c r="J181" s="93" t="n"/>
      <c r="K181" s="93" t="n">
        <v>8.25</v>
      </c>
      <c r="L181" s="190">
        <f>E181*Prices!B$2</f>
        <v/>
      </c>
      <c r="M181" s="190">
        <f>F181*Prices!C$2</f>
        <v/>
      </c>
      <c r="N181" s="190">
        <f>G181*Prices!D$2</f>
        <v/>
      </c>
      <c r="O181" s="190">
        <f>H181*Prices!E$2</f>
        <v/>
      </c>
      <c r="P181" s="190">
        <f>I181*2000+J181*10000+K181*1800</f>
        <v/>
      </c>
      <c r="Q181" s="190">
        <f>D181*Prices!A$2</f>
        <v/>
      </c>
      <c r="R181" s="191">
        <f>L181+M181+N181+O181</f>
        <v/>
      </c>
      <c r="S181" s="190">
        <f>R181+Q181+P181</f>
        <v/>
      </c>
      <c r="T181" s="93" t="n">
        <v>180</v>
      </c>
      <c r="U181" s="93" t="inlineStr">
        <is>
          <t>Available</t>
        </is>
      </c>
      <c r="V181" s="12" t="inlineStr">
        <is>
          <t>A</t>
        </is>
      </c>
      <c r="W181" s="12" t="n"/>
      <c r="X181" s="12" t="n"/>
      <c r="Y181" s="12" t="n"/>
      <c r="Z181" s="12" t="n"/>
    </row>
    <row r="182">
      <c r="A182" s="93" t="n">
        <v>181</v>
      </c>
      <c r="B182" s="93" t="n">
        <v>4.884</v>
      </c>
      <c r="C182" s="93">
        <f>B182*(25/100)</f>
        <v/>
      </c>
      <c r="D182" s="93">
        <f>C182+B182</f>
        <v/>
      </c>
      <c r="E182" s="93" t="n">
        <v>0.58</v>
      </c>
      <c r="F182" s="93" t="n"/>
      <c r="G182" s="93" t="n"/>
      <c r="H182" s="93" t="n"/>
      <c r="I182" s="93" t="n"/>
      <c r="J182" s="93" t="n"/>
      <c r="K182" s="93" t="n">
        <v>8.25</v>
      </c>
      <c r="L182" s="190">
        <f>E182*Prices!B$2</f>
        <v/>
      </c>
      <c r="M182" s="190">
        <f>F182*Prices!C$2</f>
        <v/>
      </c>
      <c r="N182" s="190">
        <f>G182*Prices!D$2</f>
        <v/>
      </c>
      <c r="O182" s="190">
        <f>H182*Prices!E$2</f>
        <v/>
      </c>
      <c r="P182" s="190">
        <f>I182*2000+J182*10000+K182*1800</f>
        <v/>
      </c>
      <c r="Q182" s="190">
        <f>D182*Prices!A$2</f>
        <v/>
      </c>
      <c r="R182" s="191">
        <f>L182+M182+N182+O182</f>
        <v/>
      </c>
      <c r="S182" s="190">
        <f>R182+Q182+P182</f>
        <v/>
      </c>
      <c r="T182" s="93" t="n">
        <v>181</v>
      </c>
      <c r="U182" s="93" t="inlineStr">
        <is>
          <t>Sold</t>
        </is>
      </c>
      <c r="V182" s="12" t="n"/>
      <c r="W182" s="12" t="n"/>
      <c r="X182" s="12" t="n"/>
      <c r="Y182" s="12" t="n"/>
      <c r="Z182" s="12" t="n"/>
    </row>
    <row r="183">
      <c r="A183" s="93" t="n">
        <v>182</v>
      </c>
      <c r="B183" s="93" t="n">
        <v>4.214</v>
      </c>
      <c r="C183" s="93">
        <f>B183*(25/100)</f>
        <v/>
      </c>
      <c r="D183" s="93">
        <f>C183+B183</f>
        <v/>
      </c>
      <c r="E183" s="93" t="n">
        <v>0.4</v>
      </c>
      <c r="F183" s="93" t="n"/>
      <c r="G183" s="93" t="n"/>
      <c r="H183" s="93" t="n"/>
      <c r="I183" s="93" t="n"/>
      <c r="J183" s="93" t="n"/>
      <c r="K183" s="93" t="n">
        <v>6.53</v>
      </c>
      <c r="L183" s="190">
        <f>E183*Prices!B$2</f>
        <v/>
      </c>
      <c r="M183" s="190">
        <f>F183*Prices!C$2</f>
        <v/>
      </c>
      <c r="N183" s="190">
        <f>G183*Prices!D$2</f>
        <v/>
      </c>
      <c r="O183" s="190">
        <f>H183*Prices!E$2</f>
        <v/>
      </c>
      <c r="P183" s="190">
        <f>I183*2000+J183*10000+K183*1800</f>
        <v/>
      </c>
      <c r="Q183" s="190">
        <f>D183*Prices!A$2</f>
        <v/>
      </c>
      <c r="R183" s="191">
        <f>L183+M183+N183+O183</f>
        <v/>
      </c>
      <c r="S183" s="190">
        <f>R183+Q183+P183</f>
        <v/>
      </c>
      <c r="T183" s="93" t="n">
        <v>182</v>
      </c>
      <c r="U183" s="93" t="inlineStr">
        <is>
          <t>Available</t>
        </is>
      </c>
      <c r="V183" s="12" t="inlineStr">
        <is>
          <t>A</t>
        </is>
      </c>
      <c r="W183" s="12" t="n"/>
      <c r="X183" s="12" t="n"/>
      <c r="Y183" s="12" t="n"/>
      <c r="Z183" s="12" t="n"/>
    </row>
    <row r="184">
      <c r="A184" s="93" t="n">
        <v>183</v>
      </c>
      <c r="B184" s="93" t="n">
        <v>7.32</v>
      </c>
      <c r="C184" s="93">
        <f>B184*(25/100)</f>
        <v/>
      </c>
      <c r="D184" s="93">
        <f>C184+B184</f>
        <v/>
      </c>
      <c r="E184" s="93" t="n">
        <v>1.265</v>
      </c>
      <c r="F184" s="93" t="n"/>
      <c r="G184" s="93" t="n"/>
      <c r="H184" s="93" t="n"/>
      <c r="I184" s="93" t="n"/>
      <c r="J184" s="93" t="n"/>
      <c r="K184" s="93" t="n"/>
      <c r="L184" s="190">
        <f>E184*Prices!B$2</f>
        <v/>
      </c>
      <c r="M184" s="190">
        <f>F184*Prices!C$2</f>
        <v/>
      </c>
      <c r="N184" s="190">
        <f>G184*Prices!D$2</f>
        <v/>
      </c>
      <c r="O184" s="190">
        <f>H184*Prices!E$2</f>
        <v/>
      </c>
      <c r="P184" s="190">
        <f>I184*2000+J184*10000+K184*1800</f>
        <v/>
      </c>
      <c r="Q184" s="190">
        <f>D184*Prices!A$2</f>
        <v/>
      </c>
      <c r="R184" s="191">
        <f>L184+M184+N184+O184</f>
        <v/>
      </c>
      <c r="S184" s="190">
        <f>R184+Q184+P184</f>
        <v/>
      </c>
      <c r="T184" s="93" t="n">
        <v>183</v>
      </c>
      <c r="U184" s="93" t="inlineStr">
        <is>
          <t>Available</t>
        </is>
      </c>
      <c r="V184" s="12" t="inlineStr">
        <is>
          <t>A</t>
        </is>
      </c>
      <c r="W184" s="12" t="n"/>
      <c r="X184" s="12" t="n"/>
      <c r="Y184" s="12" t="n"/>
      <c r="Z184" s="12" t="n"/>
    </row>
    <row r="185">
      <c r="A185" s="93" t="n">
        <v>184</v>
      </c>
      <c r="B185" s="93" t="n">
        <v>4.882</v>
      </c>
      <c r="C185" s="93">
        <f>B185*(25/100)</f>
        <v/>
      </c>
      <c r="D185" s="93">
        <f>C185+B185</f>
        <v/>
      </c>
      <c r="E185" s="93" t="n">
        <v>0.34</v>
      </c>
      <c r="F185" s="93" t="n"/>
      <c r="G185" s="93" t="n"/>
      <c r="H185" s="93" t="n"/>
      <c r="I185" s="93" t="n"/>
      <c r="J185" s="93" t="n"/>
      <c r="K185" s="93" t="n">
        <v>4.35</v>
      </c>
      <c r="L185" s="190">
        <f>E185*Prices!B$2</f>
        <v/>
      </c>
      <c r="M185" s="190">
        <f>F185*Prices!C$2</f>
        <v/>
      </c>
      <c r="N185" s="190">
        <f>G185*Prices!D$2</f>
        <v/>
      </c>
      <c r="O185" s="190">
        <f>H185*Prices!E$2</f>
        <v/>
      </c>
      <c r="P185" s="190">
        <f>I185*2000+J185*10000+K185*1800</f>
        <v/>
      </c>
      <c r="Q185" s="190">
        <f>D185*Prices!A$2</f>
        <v/>
      </c>
      <c r="R185" s="191">
        <f>L185+M185+N185+O185</f>
        <v/>
      </c>
      <c r="S185" s="190">
        <f>R185+Q185+P185</f>
        <v/>
      </c>
      <c r="T185" s="93" t="n">
        <v>184</v>
      </c>
      <c r="U185" s="93" t="inlineStr">
        <is>
          <t>Sold</t>
        </is>
      </c>
      <c r="V185" s="12" t="n"/>
      <c r="W185" s="12" t="n"/>
      <c r="X185" s="12" t="n"/>
      <c r="Y185" s="12" t="n"/>
      <c r="Z185" s="12" t="n"/>
    </row>
    <row r="186">
      <c r="A186" s="93" t="n">
        <v>185</v>
      </c>
      <c r="B186" s="93" t="n">
        <v>8.17</v>
      </c>
      <c r="C186" s="93">
        <f>B186*(25/100)</f>
        <v/>
      </c>
      <c r="D186" s="93">
        <f>C186+B186</f>
        <v/>
      </c>
      <c r="E186" s="93" t="n">
        <v>1.84</v>
      </c>
      <c r="F186" s="93" t="n"/>
      <c r="G186" s="93" t="n"/>
      <c r="H186" s="93" t="n"/>
      <c r="I186" s="93" t="n"/>
      <c r="J186" s="93" t="n">
        <v>3.61</v>
      </c>
      <c r="K186" s="93" t="n"/>
      <c r="L186" s="190">
        <f>E186*Prices!B$2</f>
        <v/>
      </c>
      <c r="M186" s="190">
        <f>F186*Prices!C$2</f>
        <v/>
      </c>
      <c r="N186" s="190">
        <f>G186*Prices!D$2</f>
        <v/>
      </c>
      <c r="O186" s="190">
        <f>H186*Prices!E$2</f>
        <v/>
      </c>
      <c r="P186" s="190">
        <f>I186*2000+J186*10000+K186*1800</f>
        <v/>
      </c>
      <c r="Q186" s="190">
        <f>D186*Prices!A$2</f>
        <v/>
      </c>
      <c r="R186" s="191">
        <f>L186+M186+N186+O186</f>
        <v/>
      </c>
      <c r="S186" s="190">
        <f>R186+Q186+P186</f>
        <v/>
      </c>
      <c r="T186" s="93" t="n">
        <v>185</v>
      </c>
      <c r="U186" s="26" t="inlineStr">
        <is>
          <t>Sold</t>
        </is>
      </c>
      <c r="V186" s="12" t="n"/>
      <c r="W186" s="12" t="n"/>
      <c r="X186" s="12" t="n"/>
      <c r="Y186" s="12" t="n"/>
      <c r="Z186" s="12" t="n"/>
    </row>
    <row r="187">
      <c r="A187" s="192" t="n">
        <v>186</v>
      </c>
      <c r="B187" s="192" t="n">
        <v>6.108</v>
      </c>
      <c r="C187" s="192">
        <f>B187*(25/100)</f>
        <v/>
      </c>
      <c r="D187" s="192">
        <f>C187+B187</f>
        <v/>
      </c>
      <c r="E187" s="192" t="n">
        <v>1.16</v>
      </c>
      <c r="F187" s="192" t="n"/>
      <c r="G187" s="192" t="n"/>
      <c r="H187" s="192" t="n"/>
      <c r="I187" s="192" t="n">
        <v>4.05</v>
      </c>
      <c r="J187" s="192" t="n"/>
      <c r="K187" s="192" t="n"/>
      <c r="L187" s="193">
        <f>E187*Prices!B$2</f>
        <v/>
      </c>
      <c r="M187" s="193">
        <f>F187*Prices!C$2</f>
        <v/>
      </c>
      <c r="N187" s="193">
        <f>G187*Prices!D$2</f>
        <v/>
      </c>
      <c r="O187" s="193">
        <f>H187*Prices!E$2</f>
        <v/>
      </c>
      <c r="P187" s="193">
        <f>I187*2000+J187*10000+K187*1800</f>
        <v/>
      </c>
      <c r="Q187" s="193">
        <f>D187*Prices!A$2</f>
        <v/>
      </c>
      <c r="R187" s="194">
        <f>L187+M187+N187+O187</f>
        <v/>
      </c>
      <c r="S187" s="193">
        <f>R187+Q187+P187</f>
        <v/>
      </c>
      <c r="T187" s="192" t="n">
        <v>186</v>
      </c>
      <c r="U187" s="192" t="inlineStr">
        <is>
          <t>Return</t>
        </is>
      </c>
      <c r="V187" s="12" t="n"/>
      <c r="W187" s="12" t="n"/>
      <c r="X187" s="12" t="n"/>
      <c r="Y187" s="12" t="n"/>
      <c r="Z187" s="12" t="n"/>
    </row>
    <row r="188">
      <c r="A188" s="93" t="n">
        <v>187</v>
      </c>
      <c r="B188" s="93" t="n">
        <v>5.242</v>
      </c>
      <c r="C188" s="93">
        <f>B188*(25/100)</f>
        <v/>
      </c>
      <c r="D188" s="93">
        <f>C188+B188</f>
        <v/>
      </c>
      <c r="E188" s="93" t="n">
        <v>0.39</v>
      </c>
      <c r="F188" s="93" t="n"/>
      <c r="G188" s="93" t="n"/>
      <c r="H188" s="93" t="n"/>
      <c r="I188" s="93" t="n"/>
      <c r="J188" s="93" t="n">
        <v>3</v>
      </c>
      <c r="K188" s="93" t="n"/>
      <c r="L188" s="190">
        <f>E188*Prices!B$2</f>
        <v/>
      </c>
      <c r="M188" s="190">
        <f>F188*Prices!C$2</f>
        <v/>
      </c>
      <c r="N188" s="190">
        <f>G188*Prices!D$2</f>
        <v/>
      </c>
      <c r="O188" s="190">
        <f>H188*Prices!E$2</f>
        <v/>
      </c>
      <c r="P188" s="190">
        <f>I188*2000+J188*10000+K188*1800</f>
        <v/>
      </c>
      <c r="Q188" s="190">
        <f>D188*Prices!A$2</f>
        <v/>
      </c>
      <c r="R188" s="191">
        <f>L188+M188+N188+O188</f>
        <v/>
      </c>
      <c r="S188" s="190">
        <f>R188+Q188+P188</f>
        <v/>
      </c>
      <c r="T188" s="93" t="n">
        <v>187</v>
      </c>
      <c r="U188" s="93" t="inlineStr">
        <is>
          <t>Sold</t>
        </is>
      </c>
      <c r="V188" s="12" t="n"/>
      <c r="W188" s="12" t="n"/>
      <c r="X188" s="12" t="n"/>
      <c r="Y188" s="12" t="n"/>
      <c r="Z188" s="12" t="n"/>
    </row>
    <row r="189">
      <c r="A189" s="93" t="n">
        <v>188</v>
      </c>
      <c r="B189" s="93" t="n">
        <v>3.734</v>
      </c>
      <c r="C189" s="93">
        <f>B189*(25/100)</f>
        <v/>
      </c>
      <c r="D189" s="93">
        <f>C189+B189</f>
        <v/>
      </c>
      <c r="E189" s="93" t="n"/>
      <c r="F189" s="93" t="n"/>
      <c r="G189" s="93" t="n">
        <v>1.72</v>
      </c>
      <c r="H189" s="93" t="n"/>
      <c r="I189" s="93" t="n"/>
      <c r="J189" s="93" t="n">
        <v>1.66</v>
      </c>
      <c r="K189" s="93" t="n"/>
      <c r="L189" s="190">
        <f>E189*Prices!B$2</f>
        <v/>
      </c>
      <c r="M189" s="190">
        <f>F189*Prices!C$2</f>
        <v/>
      </c>
      <c r="N189" s="190">
        <f>G189*Prices!D$2</f>
        <v/>
      </c>
      <c r="O189" s="190">
        <f>H189*Prices!E$2</f>
        <v/>
      </c>
      <c r="P189" s="190">
        <f>I189*2000+J189*10000+K189*1800</f>
        <v/>
      </c>
      <c r="Q189" s="190">
        <f>D189*Prices!A$2</f>
        <v/>
      </c>
      <c r="R189" s="191">
        <f>L189+M189+N189+O189</f>
        <v/>
      </c>
      <c r="S189" s="190">
        <f>R189+Q189+P189</f>
        <v/>
      </c>
      <c r="T189" s="93" t="n">
        <v>188</v>
      </c>
      <c r="U189" s="93" t="inlineStr">
        <is>
          <t>Sold</t>
        </is>
      </c>
      <c r="V189" s="12" t="n"/>
      <c r="W189" s="12" t="n"/>
      <c r="X189" s="12" t="n"/>
      <c r="Y189" s="12" t="n"/>
      <c r="Z189" s="12" t="n"/>
    </row>
    <row r="190">
      <c r="A190" s="93" t="n">
        <v>189</v>
      </c>
      <c r="B190" s="93" t="n">
        <v>4.086</v>
      </c>
      <c r="C190" s="93">
        <f>B190*(25/100)</f>
        <v/>
      </c>
      <c r="D190" s="93">
        <f>C190+B190</f>
        <v/>
      </c>
      <c r="E190" s="93" t="n">
        <v>0.47</v>
      </c>
      <c r="F190" s="93" t="n"/>
      <c r="G190" s="93" t="n"/>
      <c r="H190" s="93" t="n"/>
      <c r="I190" s="93" t="n"/>
      <c r="J190" s="93" t="n"/>
      <c r="K190" s="93" t="n">
        <v>5.35</v>
      </c>
      <c r="L190" s="190">
        <f>E190*Prices!B$2</f>
        <v/>
      </c>
      <c r="M190" s="190">
        <f>F190*Prices!C$2</f>
        <v/>
      </c>
      <c r="N190" s="190">
        <f>G190*Prices!D$2</f>
        <v/>
      </c>
      <c r="O190" s="190">
        <f>H190*Prices!E$2</f>
        <v/>
      </c>
      <c r="P190" s="190">
        <f>I190*2000+J190*10000+K190*1800</f>
        <v/>
      </c>
      <c r="Q190" s="190">
        <f>D190*Prices!A$2</f>
        <v/>
      </c>
      <c r="R190" s="191">
        <f>L190+M190+N190+O190</f>
        <v/>
      </c>
      <c r="S190" s="190">
        <f>R190+Q190+P190</f>
        <v/>
      </c>
      <c r="T190" s="93" t="n">
        <v>189</v>
      </c>
      <c r="U190" s="93" t="inlineStr">
        <is>
          <t>Sold</t>
        </is>
      </c>
      <c r="V190" s="12" t="n"/>
      <c r="W190" s="12" t="n"/>
      <c r="X190" s="12" t="n"/>
      <c r="Y190" s="12" t="n"/>
      <c r="Z190" s="12" t="n"/>
    </row>
    <row r="191">
      <c r="A191" s="93" t="n">
        <v>190</v>
      </c>
      <c r="B191" s="93" t="n">
        <v>4.144</v>
      </c>
      <c r="C191" s="93">
        <f>B191*(25/100)</f>
        <v/>
      </c>
      <c r="D191" s="93">
        <f>C191+B191</f>
        <v/>
      </c>
      <c r="E191" s="93" t="n">
        <v>0.53</v>
      </c>
      <c r="F191" s="93" t="n"/>
      <c r="G191" s="93" t="n"/>
      <c r="H191" s="93" t="n"/>
      <c r="I191" s="93" t="n"/>
      <c r="J191" s="93" t="n"/>
      <c r="K191" s="93" t="n">
        <v>6.75</v>
      </c>
      <c r="L191" s="190">
        <f>E191*Prices!B$2</f>
        <v/>
      </c>
      <c r="M191" s="190">
        <f>F191*Prices!C$2</f>
        <v/>
      </c>
      <c r="N191" s="190">
        <f>G191*Prices!D$2</f>
        <v/>
      </c>
      <c r="O191" s="190">
        <f>H191*Prices!E$2</f>
        <v/>
      </c>
      <c r="P191" s="190">
        <f>I191*2000+J191*10000+K191*1800</f>
        <v/>
      </c>
      <c r="Q191" s="190">
        <f>D191*Prices!A$2</f>
        <v/>
      </c>
      <c r="R191" s="191">
        <f>L191+M191+N191+O191</f>
        <v/>
      </c>
      <c r="S191" s="190">
        <f>R191+Q191+P191</f>
        <v/>
      </c>
      <c r="T191" s="93" t="n">
        <v>190</v>
      </c>
      <c r="U191" s="93" t="inlineStr">
        <is>
          <t>Sold</t>
        </is>
      </c>
      <c r="V191" s="12" t="n"/>
      <c r="W191" s="12" t="n"/>
      <c r="X191" s="12" t="n"/>
      <c r="Y191" s="12" t="n"/>
      <c r="Z191" s="12" t="n"/>
    </row>
    <row r="192">
      <c r="A192" s="93" t="n">
        <v>191</v>
      </c>
      <c r="B192" s="93" t="n">
        <v>4.202</v>
      </c>
      <c r="C192" s="93">
        <f>B192*(25/100)</f>
        <v/>
      </c>
      <c r="D192" s="93">
        <f>C192+B192</f>
        <v/>
      </c>
      <c r="E192" s="93" t="n">
        <v>0.47</v>
      </c>
      <c r="F192" s="93" t="n"/>
      <c r="G192" s="93" t="n">
        <v>0.37</v>
      </c>
      <c r="H192" s="93" t="n"/>
      <c r="I192" s="93" t="n"/>
      <c r="J192" s="93" t="n"/>
      <c r="K192" s="93" t="n"/>
      <c r="L192" s="190">
        <f>E192*Prices!B$2</f>
        <v/>
      </c>
      <c r="M192" s="190">
        <f>F192*Prices!C$2</f>
        <v/>
      </c>
      <c r="N192" s="190">
        <f>G192*Prices!D$2</f>
        <v/>
      </c>
      <c r="O192" s="190">
        <f>H192*Prices!E$2</f>
        <v/>
      </c>
      <c r="P192" s="190">
        <f>I192*2000+J192*10000+K192*1800</f>
        <v/>
      </c>
      <c r="Q192" s="190">
        <f>D192*Prices!A$2</f>
        <v/>
      </c>
      <c r="R192" s="191">
        <f>L192+M192+N192+O192</f>
        <v/>
      </c>
      <c r="S192" s="190">
        <f>R192+Q192+P192</f>
        <v/>
      </c>
      <c r="T192" s="93" t="n">
        <v>191</v>
      </c>
      <c r="U192" s="93" t="inlineStr">
        <is>
          <t>Sold</t>
        </is>
      </c>
      <c r="V192" s="12" t="n"/>
      <c r="W192" s="12" t="n"/>
      <c r="X192" s="12" t="n"/>
      <c r="Y192" s="12" t="n"/>
      <c r="Z192" s="12" t="n"/>
    </row>
    <row r="193">
      <c r="A193" s="93" t="n">
        <v>192</v>
      </c>
      <c r="B193" s="93" t="n">
        <v>3.438</v>
      </c>
      <c r="C193" s="93">
        <f>B193*(25/100)</f>
        <v/>
      </c>
      <c r="D193" s="93">
        <f>C193+B193</f>
        <v/>
      </c>
      <c r="E193" s="93" t="n">
        <v>0.26</v>
      </c>
      <c r="F193" s="93" t="n"/>
      <c r="G193" s="93" t="n"/>
      <c r="H193" s="93" t="n"/>
      <c r="I193" s="93" t="n"/>
      <c r="J193" s="93" t="n"/>
      <c r="K193" s="93" t="n"/>
      <c r="L193" s="190">
        <f>E193*Prices!B$2</f>
        <v/>
      </c>
      <c r="M193" s="190">
        <f>F193*Prices!C$2</f>
        <v/>
      </c>
      <c r="N193" s="190">
        <f>G193*Prices!D$2</f>
        <v/>
      </c>
      <c r="O193" s="190">
        <f>H193*Prices!E$2</f>
        <v/>
      </c>
      <c r="P193" s="190">
        <f>I193*2000+J193*10000+K193*1800</f>
        <v/>
      </c>
      <c r="Q193" s="190">
        <f>D193*Prices!A$2</f>
        <v/>
      </c>
      <c r="R193" s="191">
        <f>L193+M193+N193+O193</f>
        <v/>
      </c>
      <c r="S193" s="190">
        <f>R193+Q193+P193</f>
        <v/>
      </c>
      <c r="T193" s="93" t="n">
        <v>192</v>
      </c>
      <c r="U193" s="93" t="inlineStr">
        <is>
          <t>Available</t>
        </is>
      </c>
      <c r="V193" s="12" t="inlineStr">
        <is>
          <t>A</t>
        </is>
      </c>
      <c r="W193" s="12" t="n"/>
      <c r="X193" s="12" t="n"/>
      <c r="Y193" s="12" t="n"/>
      <c r="Z193" s="12" t="n"/>
    </row>
    <row r="194">
      <c r="A194" s="93" t="n">
        <v>193</v>
      </c>
      <c r="B194" s="93" t="n">
        <v>3.05</v>
      </c>
      <c r="C194" s="93">
        <f>B194*(25/100)</f>
        <v/>
      </c>
      <c r="D194" s="93">
        <f>C194+B194</f>
        <v/>
      </c>
      <c r="E194" s="93" t="n">
        <v>0.25</v>
      </c>
      <c r="F194" s="93" t="n"/>
      <c r="G194" s="93" t="n"/>
      <c r="H194" s="93" t="n"/>
      <c r="I194" s="93" t="n"/>
      <c r="J194" s="93" t="n"/>
      <c r="K194" s="93" t="n"/>
      <c r="L194" s="190">
        <f>E194*Prices!B$2</f>
        <v/>
      </c>
      <c r="M194" s="190">
        <f>F194*Prices!C$2</f>
        <v/>
      </c>
      <c r="N194" s="190">
        <f>G194*Prices!D$2</f>
        <v/>
      </c>
      <c r="O194" s="190">
        <f>H194*Prices!E$2</f>
        <v/>
      </c>
      <c r="P194" s="190">
        <f>I194*2000+J194*10000+K194*1800</f>
        <v/>
      </c>
      <c r="Q194" s="190">
        <f>D194*Prices!A$2</f>
        <v/>
      </c>
      <c r="R194" s="191">
        <f>L194+M194+N194+O194</f>
        <v/>
      </c>
      <c r="S194" s="190">
        <f>R194+Q194+P194</f>
        <v/>
      </c>
      <c r="T194" s="93" t="n">
        <v>193</v>
      </c>
      <c r="U194" s="93" t="inlineStr">
        <is>
          <t>Available</t>
        </is>
      </c>
      <c r="V194" s="12" t="inlineStr">
        <is>
          <t>A</t>
        </is>
      </c>
      <c r="W194" s="12" t="n"/>
      <c r="X194" s="12" t="n"/>
      <c r="Y194" s="12" t="n"/>
      <c r="Z194" s="12" t="n"/>
    </row>
    <row r="195">
      <c r="A195" s="93" t="n">
        <v>194</v>
      </c>
      <c r="B195" s="93" t="n">
        <v>2.244</v>
      </c>
      <c r="C195" s="93">
        <f>B195*(25/100)</f>
        <v/>
      </c>
      <c r="D195" s="93">
        <f>C195+B195</f>
        <v/>
      </c>
      <c r="E195" s="93" t="n">
        <v>0.17</v>
      </c>
      <c r="F195" s="93" t="n"/>
      <c r="G195" s="93" t="n"/>
      <c r="H195" s="93" t="n"/>
      <c r="I195" s="93" t="n"/>
      <c r="J195" s="93" t="n"/>
      <c r="K195" s="93" t="n">
        <v>0.41</v>
      </c>
      <c r="L195" s="190">
        <f>E195*Prices!B$2</f>
        <v/>
      </c>
      <c r="M195" s="190">
        <f>F195*Prices!C$2</f>
        <v/>
      </c>
      <c r="N195" s="190">
        <f>G195*Prices!D$2</f>
        <v/>
      </c>
      <c r="O195" s="190">
        <f>H195*Prices!E$2</f>
        <v/>
      </c>
      <c r="P195" s="190">
        <f>I195*2000+J195*10000+K195*1800</f>
        <v/>
      </c>
      <c r="Q195" s="190">
        <f>D195*Prices!A$2</f>
        <v/>
      </c>
      <c r="R195" s="191">
        <f>L195+M195+N195+O195</f>
        <v/>
      </c>
      <c r="S195" s="190">
        <f>R195+Q195+P195</f>
        <v/>
      </c>
      <c r="T195" s="93" t="n">
        <v>194</v>
      </c>
      <c r="U195" s="93" t="inlineStr">
        <is>
          <t>Available</t>
        </is>
      </c>
      <c r="V195" s="12" t="inlineStr">
        <is>
          <t>A</t>
        </is>
      </c>
      <c r="W195" s="12" t="n"/>
      <c r="X195" s="12" t="n"/>
      <c r="Y195" s="12" t="n"/>
      <c r="Z195" s="12" t="n"/>
    </row>
    <row r="196">
      <c r="A196" s="93" t="n">
        <v>195</v>
      </c>
      <c r="B196" s="93" t="n">
        <v>2.248</v>
      </c>
      <c r="C196" s="93">
        <f>B196*(25/100)</f>
        <v/>
      </c>
      <c r="D196" s="93">
        <f>C196+B196</f>
        <v/>
      </c>
      <c r="E196" s="93" t="n">
        <v>0.31</v>
      </c>
      <c r="F196" s="93" t="n"/>
      <c r="G196" s="93" t="n"/>
      <c r="H196" s="93" t="n"/>
      <c r="I196" s="93" t="n"/>
      <c r="J196" s="93" t="n"/>
      <c r="K196" s="93" t="n"/>
      <c r="L196" s="190">
        <f>E196*Prices!B$2</f>
        <v/>
      </c>
      <c r="M196" s="190">
        <f>F196*Prices!C$2</f>
        <v/>
      </c>
      <c r="N196" s="190">
        <f>G196*Prices!D$2</f>
        <v/>
      </c>
      <c r="O196" s="190">
        <f>H196*Prices!E$2</f>
        <v/>
      </c>
      <c r="P196" s="190">
        <f>I196*2000+J196*10000+K196*1800</f>
        <v/>
      </c>
      <c r="Q196" s="190">
        <f>D196*Prices!A$2</f>
        <v/>
      </c>
      <c r="R196" s="191">
        <f>L196+M196+N196+O196</f>
        <v/>
      </c>
      <c r="S196" s="190">
        <f>R196+Q196+P196</f>
        <v/>
      </c>
      <c r="T196" s="93" t="n">
        <v>195</v>
      </c>
      <c r="U196" s="93" t="inlineStr">
        <is>
          <t>Available</t>
        </is>
      </c>
      <c r="V196" s="12" t="inlineStr">
        <is>
          <t>A</t>
        </is>
      </c>
      <c r="W196" s="12" t="n"/>
      <c r="X196" s="12" t="n"/>
      <c r="Y196" s="12" t="n"/>
      <c r="Z196" s="12" t="n"/>
    </row>
    <row r="197">
      <c r="A197" s="93" t="n">
        <v>196</v>
      </c>
      <c r="B197" s="93" t="n">
        <v>3.032</v>
      </c>
      <c r="C197" s="93">
        <f>B197*(25/100)</f>
        <v/>
      </c>
      <c r="D197" s="93">
        <f>C197+B197</f>
        <v/>
      </c>
      <c r="E197" s="93" t="n">
        <v>0.24</v>
      </c>
      <c r="F197" s="93" t="n"/>
      <c r="G197" s="93" t="n"/>
      <c r="H197" s="93" t="n"/>
      <c r="I197" s="93" t="n"/>
      <c r="J197" s="93" t="n"/>
      <c r="K197" s="93" t="n"/>
      <c r="L197" s="190">
        <f>E197*Prices!B$2</f>
        <v/>
      </c>
      <c r="M197" s="190">
        <f>F197*Prices!C$2</f>
        <v/>
      </c>
      <c r="N197" s="190">
        <f>G197*Prices!D$2</f>
        <v/>
      </c>
      <c r="O197" s="190">
        <f>H197*Prices!E$2</f>
        <v/>
      </c>
      <c r="P197" s="190">
        <f>I197*2000+J197*10000+K197*1800</f>
        <v/>
      </c>
      <c r="Q197" s="190">
        <f>D197*Prices!A$2</f>
        <v/>
      </c>
      <c r="R197" s="191">
        <f>L197+M197+N197+O197</f>
        <v/>
      </c>
      <c r="S197" s="190">
        <f>R197+Q197+P197</f>
        <v/>
      </c>
      <c r="T197" s="93" t="n">
        <v>196</v>
      </c>
      <c r="U197" s="93" t="inlineStr">
        <is>
          <t>Available</t>
        </is>
      </c>
      <c r="V197" s="12" t="inlineStr">
        <is>
          <t>A</t>
        </is>
      </c>
      <c r="W197" s="12" t="n"/>
      <c r="X197" s="12" t="n"/>
      <c r="Y197" s="12" t="n"/>
      <c r="Z197" s="12" t="n"/>
    </row>
    <row r="198">
      <c r="A198" s="93" t="n">
        <v>197</v>
      </c>
      <c r="B198" s="93" t="n">
        <v>3.644</v>
      </c>
      <c r="C198" s="93">
        <f>B198*(25/100)</f>
        <v/>
      </c>
      <c r="D198" s="93">
        <f>C198+B198</f>
        <v/>
      </c>
      <c r="E198" s="93" t="n">
        <v>1</v>
      </c>
      <c r="F198" s="93" t="n">
        <v>0.08</v>
      </c>
      <c r="G198" s="93" t="n"/>
      <c r="H198" s="93" t="n"/>
      <c r="I198" s="93" t="n"/>
      <c r="J198" s="93" t="n"/>
      <c r="K198" s="93" t="n"/>
      <c r="L198" s="190">
        <f>E198*Prices!B$2</f>
        <v/>
      </c>
      <c r="M198" s="190">
        <f>F198*Prices!C$2</f>
        <v/>
      </c>
      <c r="N198" s="190">
        <f>G198*Prices!D$2</f>
        <v/>
      </c>
      <c r="O198" s="190">
        <f>H198*Prices!E$2</f>
        <v/>
      </c>
      <c r="P198" s="190">
        <f>I198*2000+J198*10000+K198*1800</f>
        <v/>
      </c>
      <c r="Q198" s="190">
        <f>D198*Prices!A$2</f>
        <v/>
      </c>
      <c r="R198" s="191">
        <f>L198+M198+N198+O198</f>
        <v/>
      </c>
      <c r="S198" s="190">
        <f>R198+Q198+P198</f>
        <v/>
      </c>
      <c r="T198" s="93" t="n">
        <v>197</v>
      </c>
      <c r="U198" s="93" t="inlineStr">
        <is>
          <t>Available</t>
        </is>
      </c>
      <c r="V198" s="12" t="inlineStr">
        <is>
          <t>A</t>
        </is>
      </c>
      <c r="W198" s="12" t="n"/>
      <c r="X198" s="12" t="n"/>
      <c r="Y198" s="12" t="n"/>
      <c r="Z198" s="12" t="n"/>
    </row>
    <row r="199">
      <c r="A199" s="93" t="n">
        <v>198</v>
      </c>
      <c r="B199" s="93" t="n">
        <v>3.21</v>
      </c>
      <c r="C199" s="93">
        <f>B199*(25/100)</f>
        <v/>
      </c>
      <c r="D199" s="93">
        <f>C199+B199</f>
        <v/>
      </c>
      <c r="E199" s="93" t="n">
        <v>0.84</v>
      </c>
      <c r="F199" s="93" t="n"/>
      <c r="G199" s="93" t="n"/>
      <c r="H199" s="93" t="n"/>
      <c r="I199" s="93" t="n"/>
      <c r="J199" s="93" t="n"/>
      <c r="K199" s="93" t="n"/>
      <c r="L199" s="190">
        <f>E199*Prices!B$2</f>
        <v/>
      </c>
      <c r="M199" s="190">
        <f>F199*Prices!C$2</f>
        <v/>
      </c>
      <c r="N199" s="190">
        <f>G199*Prices!D$2</f>
        <v/>
      </c>
      <c r="O199" s="190">
        <f>H199*Prices!E$2</f>
        <v/>
      </c>
      <c r="P199" s="190">
        <f>I199*2000+J199*10000+K199*1800</f>
        <v/>
      </c>
      <c r="Q199" s="190">
        <f>D199*Prices!A$2</f>
        <v/>
      </c>
      <c r="R199" s="191">
        <f>L199+M199+N199+O199</f>
        <v/>
      </c>
      <c r="S199" s="190">
        <f>R199+Q199+P199</f>
        <v/>
      </c>
      <c r="T199" s="93" t="n">
        <v>198</v>
      </c>
      <c r="U199" s="93" t="inlineStr">
        <is>
          <t>Sold</t>
        </is>
      </c>
      <c r="V199" s="12" t="n"/>
      <c r="W199" s="12" t="n"/>
      <c r="X199" s="12" t="n"/>
      <c r="Y199" s="12" t="n"/>
      <c r="Z199" s="12" t="n"/>
    </row>
    <row r="200">
      <c r="A200" s="93" t="n">
        <v>199</v>
      </c>
      <c r="B200" s="93" t="n">
        <v>3.166</v>
      </c>
      <c r="C200" s="93">
        <f>B200*(25/100)</f>
        <v/>
      </c>
      <c r="D200" s="93">
        <f>C200+B200</f>
        <v/>
      </c>
      <c r="E200" s="93" t="n">
        <v>0.89</v>
      </c>
      <c r="F200" s="93" t="n">
        <v>0.08</v>
      </c>
      <c r="G200" s="93" t="n"/>
      <c r="H200" s="93" t="n"/>
      <c r="I200" s="93" t="n"/>
      <c r="J200" s="93" t="n"/>
      <c r="K200" s="93" t="n"/>
      <c r="L200" s="190">
        <f>E200*Prices!B$2</f>
        <v/>
      </c>
      <c r="M200" s="190">
        <f>F200*Prices!C$2</f>
        <v/>
      </c>
      <c r="N200" s="190">
        <f>G200*Prices!D$2</f>
        <v/>
      </c>
      <c r="O200" s="190">
        <f>H200*Prices!E$2</f>
        <v/>
      </c>
      <c r="P200" s="190">
        <f>I200*2000+J200*10000+K200*1800</f>
        <v/>
      </c>
      <c r="Q200" s="190">
        <f>D200*Prices!A$2</f>
        <v/>
      </c>
      <c r="R200" s="191">
        <f>L200+M200+N200+O200</f>
        <v/>
      </c>
      <c r="S200" s="190">
        <f>R200+Q200+P200</f>
        <v/>
      </c>
      <c r="T200" s="93" t="n">
        <v>199</v>
      </c>
      <c r="U200" s="93" t="inlineStr">
        <is>
          <t>Available</t>
        </is>
      </c>
      <c r="V200" s="12" t="inlineStr">
        <is>
          <t>A</t>
        </is>
      </c>
      <c r="W200" s="12" t="n"/>
      <c r="X200" s="12" t="n"/>
      <c r="Y200" s="12" t="n"/>
      <c r="Z200" s="12" t="n"/>
    </row>
    <row r="201">
      <c r="A201" s="93" t="n">
        <v>200</v>
      </c>
      <c r="B201" s="93" t="n">
        <v>2.564</v>
      </c>
      <c r="C201" s="93">
        <f>B201*(25/100)</f>
        <v/>
      </c>
      <c r="D201" s="93">
        <f>C201+B201</f>
        <v/>
      </c>
      <c r="E201" s="93" t="n">
        <v>0.23</v>
      </c>
      <c r="F201" s="93" t="n"/>
      <c r="G201" s="93" t="n"/>
      <c r="H201" s="93" t="n"/>
      <c r="I201" s="93" t="n"/>
      <c r="J201" s="93" t="n"/>
      <c r="K201" s="93" t="n"/>
      <c r="L201" s="190">
        <f>E201*Prices!B$2</f>
        <v/>
      </c>
      <c r="M201" s="190">
        <f>F201*Prices!C$2</f>
        <v/>
      </c>
      <c r="N201" s="190">
        <f>G201*Prices!D$2</f>
        <v/>
      </c>
      <c r="O201" s="190">
        <f>H201*Prices!E$2</f>
        <v/>
      </c>
      <c r="P201" s="190">
        <f>I201*2000+J201*10000+K201*1800</f>
        <v/>
      </c>
      <c r="Q201" s="190">
        <f>D201*Prices!A$2</f>
        <v/>
      </c>
      <c r="R201" s="191">
        <f>L201+M201+N201+O201</f>
        <v/>
      </c>
      <c r="S201" s="190">
        <f>R201+Q201+P201</f>
        <v/>
      </c>
      <c r="T201" s="93" t="n">
        <v>200</v>
      </c>
      <c r="U201" s="93" t="inlineStr">
        <is>
          <t>Sold</t>
        </is>
      </c>
      <c r="V201" s="12" t="n"/>
      <c r="W201" s="12" t="n"/>
      <c r="X201" s="12" t="n"/>
      <c r="Y201" s="12" t="n"/>
      <c r="Z201" s="12" t="n"/>
    </row>
    <row r="202">
      <c r="A202" s="93" t="n">
        <v>201</v>
      </c>
      <c r="B202" s="93" t="n">
        <v>2.322</v>
      </c>
      <c r="C202" s="93">
        <f>B202*(25/100)</f>
        <v/>
      </c>
      <c r="D202" s="93">
        <f>C202+B202</f>
        <v/>
      </c>
      <c r="E202" s="93" t="n">
        <v>0.34</v>
      </c>
      <c r="F202" s="93" t="n"/>
      <c r="G202" s="93" t="n"/>
      <c r="H202" s="93" t="n"/>
      <c r="I202" s="93" t="n"/>
      <c r="J202" s="93" t="n"/>
      <c r="K202" s="93" t="n"/>
      <c r="L202" s="190">
        <f>E202*Prices!B$2</f>
        <v/>
      </c>
      <c r="M202" s="190">
        <f>F202*Prices!C$2</f>
        <v/>
      </c>
      <c r="N202" s="190">
        <f>G202*Prices!D$2</f>
        <v/>
      </c>
      <c r="O202" s="190">
        <f>H202*Prices!E$2</f>
        <v/>
      </c>
      <c r="P202" s="190">
        <f>I202*2000+J202*10000+K202*1800</f>
        <v/>
      </c>
      <c r="Q202" s="190">
        <f>D202*Prices!A$2</f>
        <v/>
      </c>
      <c r="R202" s="191">
        <f>L202+M202+N202+O202</f>
        <v/>
      </c>
      <c r="S202" s="190">
        <f>R202+Q202+P202</f>
        <v/>
      </c>
      <c r="T202" s="93" t="n">
        <v>201</v>
      </c>
      <c r="U202" s="93" t="inlineStr">
        <is>
          <t>Available</t>
        </is>
      </c>
      <c r="V202" s="12" t="inlineStr">
        <is>
          <t>A</t>
        </is>
      </c>
      <c r="W202" s="12" t="n"/>
      <c r="X202" s="12" t="n"/>
      <c r="Y202" s="12" t="n"/>
      <c r="Z202" s="12" t="n"/>
    </row>
    <row r="203">
      <c r="A203" s="93" t="n">
        <v>202</v>
      </c>
      <c r="B203" s="93" t="n">
        <v>7.434</v>
      </c>
      <c r="C203" s="93">
        <f>B203*(25/100)</f>
        <v/>
      </c>
      <c r="D203" s="93">
        <f>C203+B203</f>
        <v/>
      </c>
      <c r="E203" s="93" t="n">
        <v>1.58</v>
      </c>
      <c r="F203" s="93" t="n"/>
      <c r="G203" s="93" t="n"/>
      <c r="H203" s="93" t="n"/>
      <c r="I203" s="93" t="n"/>
      <c r="J203" s="93" t="n"/>
      <c r="K203" s="93" t="n"/>
      <c r="L203" s="190">
        <f>E203*Prices!B$2</f>
        <v/>
      </c>
      <c r="M203" s="190">
        <f>F203*Prices!C$2</f>
        <v/>
      </c>
      <c r="N203" s="190">
        <f>G203*Prices!D$2</f>
        <v/>
      </c>
      <c r="O203" s="190">
        <f>H203*Prices!E$2</f>
        <v/>
      </c>
      <c r="P203" s="190">
        <f>I203*2000+J203*10000+K203*1800</f>
        <v/>
      </c>
      <c r="Q203" s="190">
        <f>D203*Prices!A$2</f>
        <v/>
      </c>
      <c r="R203" s="191">
        <f>L203+M203+N203+O203</f>
        <v/>
      </c>
      <c r="S203" s="190">
        <f>R203+Q203+P203</f>
        <v/>
      </c>
      <c r="T203" s="93" t="n">
        <v>202</v>
      </c>
      <c r="U203" s="93" t="inlineStr">
        <is>
          <t>Available</t>
        </is>
      </c>
      <c r="V203" s="12" t="inlineStr">
        <is>
          <t>A</t>
        </is>
      </c>
      <c r="W203" s="12" t="n"/>
      <c r="X203" s="12" t="n"/>
      <c r="Y203" s="12" t="n"/>
      <c r="Z203" s="12" t="n"/>
    </row>
    <row r="204">
      <c r="A204" s="93" t="n">
        <v>203</v>
      </c>
      <c r="B204" s="93" t="n">
        <v>3.588</v>
      </c>
      <c r="C204" s="93">
        <f>B204*(25/100)</f>
        <v/>
      </c>
      <c r="D204" s="93">
        <f>C204+B204</f>
        <v/>
      </c>
      <c r="E204" s="93" t="n">
        <v>0.41</v>
      </c>
      <c r="F204" s="93" t="n"/>
      <c r="G204" s="93" t="n"/>
      <c r="H204" s="93" t="n"/>
      <c r="I204" s="93" t="n"/>
      <c r="J204" s="93" t="n"/>
      <c r="K204" s="93" t="n"/>
      <c r="L204" s="190">
        <f>E204*Prices!B$2</f>
        <v/>
      </c>
      <c r="M204" s="190">
        <f>F204*Prices!C$2</f>
        <v/>
      </c>
      <c r="N204" s="190">
        <f>G204*Prices!D$2</f>
        <v/>
      </c>
      <c r="O204" s="190">
        <f>H204*Prices!E$2</f>
        <v/>
      </c>
      <c r="P204" s="190">
        <f>I204*2000+J204*10000+K204*1800</f>
        <v/>
      </c>
      <c r="Q204" s="190">
        <f>D204*Prices!A$2</f>
        <v/>
      </c>
      <c r="R204" s="191">
        <f>L204+M204+N204+O204</f>
        <v/>
      </c>
      <c r="S204" s="190">
        <f>R204+Q204+P204</f>
        <v/>
      </c>
      <c r="T204" s="93" t="n">
        <v>203</v>
      </c>
      <c r="U204" s="93" t="inlineStr">
        <is>
          <t>Sold</t>
        </is>
      </c>
      <c r="V204" s="12" t="n"/>
      <c r="W204" s="12" t="n"/>
      <c r="X204" s="12" t="n"/>
      <c r="Y204" s="12" t="n"/>
      <c r="Z204" s="12" t="n"/>
    </row>
    <row r="205">
      <c r="A205" s="93" t="n">
        <v>204</v>
      </c>
      <c r="B205" s="93" t="n">
        <v>4.61</v>
      </c>
      <c r="C205" s="93">
        <f>B205*(25/100)</f>
        <v/>
      </c>
      <c r="D205" s="93">
        <f>C205+B205</f>
        <v/>
      </c>
      <c r="E205" s="93" t="n">
        <v>1.1</v>
      </c>
      <c r="F205" s="93" t="n"/>
      <c r="G205" s="93" t="n"/>
      <c r="H205" s="93" t="n"/>
      <c r="I205" s="93" t="n"/>
      <c r="J205" s="93" t="n"/>
      <c r="K205" s="93" t="n"/>
      <c r="L205" s="190">
        <f>E205*Prices!B$2</f>
        <v/>
      </c>
      <c r="M205" s="190">
        <f>F205*Prices!C$2</f>
        <v/>
      </c>
      <c r="N205" s="190">
        <f>G205*Prices!D$2</f>
        <v/>
      </c>
      <c r="O205" s="190">
        <f>H205*Prices!E$2</f>
        <v/>
      </c>
      <c r="P205" s="190">
        <f>I205*2000+J205*10000+K205*1800</f>
        <v/>
      </c>
      <c r="Q205" s="190">
        <f>D205*Prices!A$2</f>
        <v/>
      </c>
      <c r="R205" s="191">
        <f>L205+M205+N205+O205</f>
        <v/>
      </c>
      <c r="S205" s="190">
        <f>R205+Q205+P205</f>
        <v/>
      </c>
      <c r="T205" s="93" t="n">
        <v>204</v>
      </c>
      <c r="U205" s="93" t="inlineStr">
        <is>
          <t>Sold</t>
        </is>
      </c>
      <c r="V205" s="12" t="n"/>
      <c r="W205" s="12" t="n"/>
      <c r="X205" s="12" t="n"/>
      <c r="Y205" s="12" t="n"/>
      <c r="Z205" s="12" t="n"/>
    </row>
    <row r="206">
      <c r="A206" s="93" t="n">
        <v>205</v>
      </c>
      <c r="B206" s="93" t="n">
        <v>2.03</v>
      </c>
      <c r="C206" s="93">
        <f>B206*(25/100)</f>
        <v/>
      </c>
      <c r="D206" s="93">
        <f>C206+B206</f>
        <v/>
      </c>
      <c r="E206" s="93" t="n"/>
      <c r="F206" s="93" t="n"/>
      <c r="G206" s="93" t="n"/>
      <c r="H206" s="93" t="n">
        <v>0.2</v>
      </c>
      <c r="I206" s="93" t="n"/>
      <c r="J206" s="93" t="n"/>
      <c r="K206" s="93" t="n"/>
      <c r="L206" s="190">
        <f>E206*Prices!B$2</f>
        <v/>
      </c>
      <c r="M206" s="190">
        <f>F206*Prices!C$2</f>
        <v/>
      </c>
      <c r="N206" s="190">
        <f>G206*Prices!D$2</f>
        <v/>
      </c>
      <c r="O206" s="190">
        <f>H206*150000</f>
        <v/>
      </c>
      <c r="P206" s="190">
        <f>I206*2000+J206*10000+K206*1800</f>
        <v/>
      </c>
      <c r="Q206" s="190">
        <f>D206*Prices!A$2</f>
        <v/>
      </c>
      <c r="R206" s="191">
        <f>L206+M206+N206+O206</f>
        <v/>
      </c>
      <c r="S206" s="190">
        <f>R206+Q206+P206</f>
        <v/>
      </c>
      <c r="T206" s="93" t="n">
        <v>205</v>
      </c>
      <c r="U206" s="93" t="inlineStr">
        <is>
          <t>Available</t>
        </is>
      </c>
      <c r="V206" s="12" t="inlineStr">
        <is>
          <t>A</t>
        </is>
      </c>
      <c r="W206" s="12" t="n"/>
      <c r="X206" s="12" t="n"/>
      <c r="Y206" s="12" t="n"/>
      <c r="Z206" s="12" t="n"/>
    </row>
    <row r="207">
      <c r="A207" s="93" t="n">
        <v>206</v>
      </c>
      <c r="B207" s="93" t="n">
        <v>2.558</v>
      </c>
      <c r="C207" s="93">
        <f>B207*(25/100)</f>
        <v/>
      </c>
      <c r="D207" s="93">
        <f>C207+B207</f>
        <v/>
      </c>
      <c r="E207" s="93" t="n">
        <v>0.61</v>
      </c>
      <c r="F207" s="93" t="n"/>
      <c r="G207" s="93" t="n"/>
      <c r="H207" s="93" t="n"/>
      <c r="I207" s="93" t="n"/>
      <c r="J207" s="93" t="n"/>
      <c r="K207" s="93" t="n"/>
      <c r="L207" s="190">
        <f>E207*Prices!B$2</f>
        <v/>
      </c>
      <c r="M207" s="190">
        <f>F207*Prices!C$2</f>
        <v/>
      </c>
      <c r="N207" s="190">
        <f>G207*Prices!D$2</f>
        <v/>
      </c>
      <c r="O207" s="190">
        <f>H207*Prices!E$2</f>
        <v/>
      </c>
      <c r="P207" s="190">
        <f>I207*2000+J207*10000+K207*1800</f>
        <v/>
      </c>
      <c r="Q207" s="190">
        <f>D207*Prices!A$2</f>
        <v/>
      </c>
      <c r="R207" s="191">
        <f>L207+M207+N207+O207</f>
        <v/>
      </c>
      <c r="S207" s="190">
        <f>R207+Q207+P207</f>
        <v/>
      </c>
      <c r="T207" s="93" t="n">
        <v>206</v>
      </c>
      <c r="U207" s="93" t="inlineStr">
        <is>
          <t>Sold</t>
        </is>
      </c>
      <c r="V207" s="12" t="n"/>
      <c r="W207" s="12" t="n"/>
      <c r="X207" s="12" t="n"/>
      <c r="Y207" s="12" t="n"/>
      <c r="Z207" s="12" t="n"/>
    </row>
    <row r="208">
      <c r="A208" s="93" t="n">
        <v>207</v>
      </c>
      <c r="B208" s="93" t="n">
        <v>3.332</v>
      </c>
      <c r="C208" s="93">
        <f>B208*(25/100)</f>
        <v/>
      </c>
      <c r="D208" s="93">
        <f>C208+B208</f>
        <v/>
      </c>
      <c r="E208" s="93" t="n">
        <v>0.89</v>
      </c>
      <c r="F208" s="93" t="n"/>
      <c r="G208" s="93" t="n"/>
      <c r="H208" s="93" t="n"/>
      <c r="I208" s="93" t="n"/>
      <c r="J208" s="93" t="n"/>
      <c r="K208" s="93" t="n"/>
      <c r="L208" s="190">
        <f>E208*Prices!B$2</f>
        <v/>
      </c>
      <c r="M208" s="190">
        <f>F208*Prices!C$2</f>
        <v/>
      </c>
      <c r="N208" s="190">
        <f>G208*Prices!D$2</f>
        <v/>
      </c>
      <c r="O208" s="190">
        <f>H208*Prices!E$2</f>
        <v/>
      </c>
      <c r="P208" s="190">
        <f>I208*2000+J208*10000+K208*1800</f>
        <v/>
      </c>
      <c r="Q208" s="190">
        <f>D208*Prices!A$2</f>
        <v/>
      </c>
      <c r="R208" s="191">
        <f>L208+M208+N208+O208</f>
        <v/>
      </c>
      <c r="S208" s="190">
        <f>R208+Q208+P208</f>
        <v/>
      </c>
      <c r="T208" s="93" t="n">
        <v>207</v>
      </c>
      <c r="U208" s="93" t="inlineStr">
        <is>
          <t>Available</t>
        </is>
      </c>
      <c r="V208" s="12" t="inlineStr">
        <is>
          <t>A</t>
        </is>
      </c>
      <c r="W208" s="12" t="n"/>
      <c r="X208" s="12" t="n"/>
      <c r="Y208" s="12" t="n"/>
      <c r="Z208" s="12" t="n"/>
    </row>
    <row r="209">
      <c r="A209" s="93" t="n">
        <v>208</v>
      </c>
      <c r="B209" s="93" t="n">
        <v>3.3</v>
      </c>
      <c r="C209" s="93">
        <f>B209*(25/100)</f>
        <v/>
      </c>
      <c r="D209" s="93">
        <f>C209+B209</f>
        <v/>
      </c>
      <c r="E209" s="93" t="n">
        <v>0.96</v>
      </c>
      <c r="F209" s="93" t="n"/>
      <c r="G209" s="93" t="n"/>
      <c r="H209" s="93" t="n"/>
      <c r="I209" s="93" t="n"/>
      <c r="J209" s="93" t="n"/>
      <c r="K209" s="93" t="n"/>
      <c r="L209" s="190">
        <f>E209*Prices!B$2</f>
        <v/>
      </c>
      <c r="M209" s="190">
        <f>F209*Prices!C$2</f>
        <v/>
      </c>
      <c r="N209" s="190">
        <f>G209*Prices!D$2</f>
        <v/>
      </c>
      <c r="O209" s="190">
        <f>H209*Prices!E$2</f>
        <v/>
      </c>
      <c r="P209" s="190">
        <f>I209*2000+J209*10000+K209*1800</f>
        <v/>
      </c>
      <c r="Q209" s="190">
        <f>D209*Prices!A$2</f>
        <v/>
      </c>
      <c r="R209" s="191">
        <f>L209+M209+N209+O209</f>
        <v/>
      </c>
      <c r="S209" s="190">
        <f>R209+Q209+P209</f>
        <v/>
      </c>
      <c r="T209" s="93" t="n">
        <v>208</v>
      </c>
      <c r="U209" s="93" t="inlineStr">
        <is>
          <t>Available</t>
        </is>
      </c>
      <c r="V209" s="12" t="inlineStr">
        <is>
          <t>A</t>
        </is>
      </c>
      <c r="W209" s="12" t="n"/>
      <c r="X209" s="12" t="n"/>
      <c r="Y209" s="12" t="n"/>
      <c r="Z209" s="12" t="n"/>
    </row>
    <row r="210">
      <c r="A210" s="93" t="n">
        <v>209</v>
      </c>
      <c r="B210" s="93" t="n">
        <v>3.292</v>
      </c>
      <c r="C210" s="93">
        <f>B210*(25/100)</f>
        <v/>
      </c>
      <c r="D210" s="93">
        <f>C210+B210</f>
        <v/>
      </c>
      <c r="E210" s="93" t="n">
        <v>0.39</v>
      </c>
      <c r="F210" s="93" t="n"/>
      <c r="G210" s="93" t="n"/>
      <c r="H210" s="93" t="n"/>
      <c r="I210" s="93" t="n"/>
      <c r="J210" s="93" t="n"/>
      <c r="K210" s="93" t="n"/>
      <c r="L210" s="190">
        <f>E210*Prices!B$2</f>
        <v/>
      </c>
      <c r="M210" s="190">
        <f>F210*Prices!C$2</f>
        <v/>
      </c>
      <c r="N210" s="190">
        <f>G210*Prices!D$2</f>
        <v/>
      </c>
      <c r="O210" s="190">
        <f>H210*Prices!E$2</f>
        <v/>
      </c>
      <c r="P210" s="190">
        <f>I210*2000+J210*10000+K210*1800</f>
        <v/>
      </c>
      <c r="Q210" s="190">
        <f>D210*Prices!A$2</f>
        <v/>
      </c>
      <c r="R210" s="191">
        <f>L210+M210+N210+O210</f>
        <v/>
      </c>
      <c r="S210" s="190">
        <f>R210+Q210+P210</f>
        <v/>
      </c>
      <c r="T210" s="93" t="n">
        <v>209</v>
      </c>
      <c r="U210" s="93" t="inlineStr">
        <is>
          <t>Available</t>
        </is>
      </c>
      <c r="V210" s="12" t="inlineStr">
        <is>
          <t>A</t>
        </is>
      </c>
      <c r="W210" s="12" t="n"/>
      <c r="X210" s="12" t="n"/>
      <c r="Y210" s="12" t="n"/>
      <c r="Z210" s="12" t="n"/>
    </row>
    <row r="211">
      <c r="A211" s="93" t="n">
        <v>210</v>
      </c>
      <c r="B211" s="93" t="n">
        <v>2.94</v>
      </c>
      <c r="C211" s="93">
        <f>B211*(25/100)</f>
        <v/>
      </c>
      <c r="D211" s="93">
        <f>C211+B211</f>
        <v/>
      </c>
      <c r="E211" s="93" t="n">
        <v>0.35</v>
      </c>
      <c r="F211" s="93" t="n"/>
      <c r="G211" s="93" t="n"/>
      <c r="H211" s="93" t="n"/>
      <c r="I211" s="93" t="n"/>
      <c r="J211" s="93" t="n"/>
      <c r="K211" s="93" t="n"/>
      <c r="L211" s="190">
        <f>E211*Prices!B$2</f>
        <v/>
      </c>
      <c r="M211" s="190">
        <f>F211*Prices!C$2</f>
        <v/>
      </c>
      <c r="N211" s="190">
        <f>G211*Prices!D$2</f>
        <v/>
      </c>
      <c r="O211" s="190">
        <f>H211*Prices!E$2</f>
        <v/>
      </c>
      <c r="P211" s="190">
        <f>I211*2000+J211*10000+K211*1800</f>
        <v/>
      </c>
      <c r="Q211" s="190">
        <f>D211*Prices!A$2</f>
        <v/>
      </c>
      <c r="R211" s="191">
        <f>L211+M211+N211+O211</f>
        <v/>
      </c>
      <c r="S211" s="190">
        <f>R211+Q211+P211</f>
        <v/>
      </c>
      <c r="T211" s="93" t="n">
        <v>210</v>
      </c>
      <c r="U211" s="93" t="inlineStr">
        <is>
          <t>Sold</t>
        </is>
      </c>
      <c r="V211" s="12" t="n"/>
      <c r="W211" s="12" t="n"/>
      <c r="X211" s="12" t="n"/>
      <c r="Y211" s="12" t="n"/>
      <c r="Z211" s="12" t="n"/>
    </row>
    <row r="212">
      <c r="A212" s="93" t="n">
        <v>211</v>
      </c>
      <c r="B212" s="93" t="n">
        <v>2.71</v>
      </c>
      <c r="C212" s="93">
        <f>B212*(25/100)</f>
        <v/>
      </c>
      <c r="D212" s="93">
        <f>C212+B212</f>
        <v/>
      </c>
      <c r="E212" s="93" t="n">
        <v>0.35</v>
      </c>
      <c r="F212" s="93" t="n"/>
      <c r="G212" s="93" t="n"/>
      <c r="H212" s="93" t="n"/>
      <c r="I212" s="93" t="n"/>
      <c r="J212" s="93" t="n"/>
      <c r="K212" s="93" t="n"/>
      <c r="L212" s="190">
        <f>E212*Prices!B$2</f>
        <v/>
      </c>
      <c r="M212" s="190">
        <f>F212*Prices!C$2</f>
        <v/>
      </c>
      <c r="N212" s="190">
        <f>G212*Prices!D$2</f>
        <v/>
      </c>
      <c r="O212" s="190">
        <f>H212*Prices!E$2</f>
        <v/>
      </c>
      <c r="P212" s="190">
        <f>I212*2000+J212*10000+K212*1800</f>
        <v/>
      </c>
      <c r="Q212" s="190">
        <f>D212*Prices!A$2</f>
        <v/>
      </c>
      <c r="R212" s="191">
        <f>L212+M212+N212+O212</f>
        <v/>
      </c>
      <c r="S212" s="190">
        <f>R212+Q212+P212</f>
        <v/>
      </c>
      <c r="T212" s="93" t="n">
        <v>211</v>
      </c>
      <c r="U212" s="93" t="inlineStr">
        <is>
          <t>Sold</t>
        </is>
      </c>
      <c r="V212" s="12" t="n"/>
      <c r="W212" s="12" t="n"/>
      <c r="X212" s="12" t="n"/>
      <c r="Y212" s="12" t="n"/>
      <c r="Z212" s="12" t="n"/>
    </row>
    <row r="213">
      <c r="A213" s="93" t="n">
        <v>212</v>
      </c>
      <c r="B213" s="93" t="n">
        <v>1.42</v>
      </c>
      <c r="C213" s="93">
        <f>B213*(25/100)</f>
        <v/>
      </c>
      <c r="D213" s="93">
        <f>C213+B213</f>
        <v/>
      </c>
      <c r="E213" s="93" t="n"/>
      <c r="F213" s="93" t="n"/>
      <c r="G213" s="93" t="n"/>
      <c r="H213" s="93" t="n">
        <v>0.2</v>
      </c>
      <c r="I213" s="93" t="n"/>
      <c r="J213" s="93" t="n"/>
      <c r="K213" s="93" t="n"/>
      <c r="L213" s="190">
        <f>E213*Prices!B$2</f>
        <v/>
      </c>
      <c r="M213" s="190">
        <f>F213*Prices!C$2</f>
        <v/>
      </c>
      <c r="N213" s="190">
        <f>G213*Prices!D$2</f>
        <v/>
      </c>
      <c r="O213" s="190">
        <f>H213*160000</f>
        <v/>
      </c>
      <c r="P213" s="190">
        <f>I213*2000+J213*10000+K213*1800</f>
        <v/>
      </c>
      <c r="Q213" s="190">
        <f>D213*Prices!A$2</f>
        <v/>
      </c>
      <c r="R213" s="191">
        <f>L213+M213+N213+O213</f>
        <v/>
      </c>
      <c r="S213" s="190">
        <f>R213+Q213+P213</f>
        <v/>
      </c>
      <c r="T213" s="93" t="n">
        <v>212</v>
      </c>
      <c r="U213" s="93" t="inlineStr">
        <is>
          <t>Available</t>
        </is>
      </c>
      <c r="V213" s="12" t="inlineStr">
        <is>
          <t>A</t>
        </is>
      </c>
      <c r="W213" s="12" t="n"/>
      <c r="X213" s="12" t="n"/>
      <c r="Y213" s="12" t="n"/>
      <c r="Z213" s="12" t="n"/>
    </row>
    <row r="214">
      <c r="A214" s="93" t="n">
        <v>213</v>
      </c>
      <c r="B214" s="93" t="n">
        <v>1.872</v>
      </c>
      <c r="C214" s="93">
        <f>B214*(25/100)</f>
        <v/>
      </c>
      <c r="D214" s="93">
        <f>C214+B214</f>
        <v/>
      </c>
      <c r="E214" s="93" t="n"/>
      <c r="F214" s="93" t="n">
        <v>0.44</v>
      </c>
      <c r="G214" s="93" t="n"/>
      <c r="H214" s="93" t="n"/>
      <c r="I214" s="93" t="n"/>
      <c r="J214" s="93" t="n"/>
      <c r="K214" s="93" t="n"/>
      <c r="L214" s="190">
        <f>E214*Prices!B$2</f>
        <v/>
      </c>
      <c r="M214" s="190">
        <f>F214*Prices!C$2</f>
        <v/>
      </c>
      <c r="N214" s="190">
        <f>G214*Prices!D$2</f>
        <v/>
      </c>
      <c r="O214" s="190">
        <f>H214*Prices!E$2</f>
        <v/>
      </c>
      <c r="P214" s="190">
        <f>I214*2000+J214*10000+K214*1800</f>
        <v/>
      </c>
      <c r="Q214" s="190">
        <f>D214*Prices!A$2</f>
        <v/>
      </c>
      <c r="R214" s="191">
        <f>L214+M214+N214+O214</f>
        <v/>
      </c>
      <c r="S214" s="190">
        <f>R214+Q214+P214</f>
        <v/>
      </c>
      <c r="T214" s="93" t="n">
        <v>213</v>
      </c>
      <c r="U214" s="93" t="inlineStr">
        <is>
          <t>Available</t>
        </is>
      </c>
      <c r="V214" s="12" t="inlineStr">
        <is>
          <t>A</t>
        </is>
      </c>
      <c r="W214" s="12" t="n"/>
      <c r="X214" s="12" t="n"/>
      <c r="Y214" s="12" t="n"/>
      <c r="Z214" s="12" t="n"/>
    </row>
    <row r="215">
      <c r="A215" s="93" t="n">
        <v>214</v>
      </c>
      <c r="B215" s="93" t="n">
        <v>2.52</v>
      </c>
      <c r="C215" s="93">
        <f>B215*(25/100)</f>
        <v/>
      </c>
      <c r="D215" s="93">
        <f>C215+B215</f>
        <v/>
      </c>
      <c r="E215" s="93" t="n">
        <v>0.35</v>
      </c>
      <c r="F215" s="93" t="n"/>
      <c r="G215" s="93" t="n"/>
      <c r="H215" s="93" t="n"/>
      <c r="I215" s="93" t="n"/>
      <c r="J215" s="93" t="n"/>
      <c r="K215" s="93" t="n"/>
      <c r="L215" s="190">
        <f>E215*Prices!B$2</f>
        <v/>
      </c>
      <c r="M215" s="190">
        <f>F215*Prices!C$2</f>
        <v/>
      </c>
      <c r="N215" s="190">
        <f>G215*Prices!D$2</f>
        <v/>
      </c>
      <c r="O215" s="190">
        <f>H215*Prices!E$2</f>
        <v/>
      </c>
      <c r="P215" s="190">
        <f>I215*2000+J215*10000+K215*1800</f>
        <v/>
      </c>
      <c r="Q215" s="190">
        <f>D215*Prices!A$2</f>
        <v/>
      </c>
      <c r="R215" s="191">
        <f>L215+M215+N215+O215</f>
        <v/>
      </c>
      <c r="S215" s="190">
        <f>R215+Q215+P215</f>
        <v/>
      </c>
      <c r="T215" s="93" t="n">
        <v>214</v>
      </c>
      <c r="U215" s="93" t="inlineStr">
        <is>
          <t>Sold</t>
        </is>
      </c>
      <c r="V215" s="12" t="n"/>
      <c r="W215" s="12" t="n"/>
      <c r="X215" s="12" t="n"/>
      <c r="Y215" s="12" t="n"/>
      <c r="Z215" s="12" t="n"/>
    </row>
    <row r="216">
      <c r="A216" s="93" t="n">
        <v>215</v>
      </c>
      <c r="B216" s="93" t="n">
        <v>4.22</v>
      </c>
      <c r="C216" s="93">
        <f>B216*(25/100)</f>
        <v/>
      </c>
      <c r="D216" s="93">
        <f>C216+B216</f>
        <v/>
      </c>
      <c r="E216" s="93" t="n">
        <v>1.06</v>
      </c>
      <c r="F216" s="93" t="n"/>
      <c r="G216" s="93" t="n"/>
      <c r="H216" s="93" t="n"/>
      <c r="I216" s="93" t="n"/>
      <c r="J216" s="93" t="n"/>
      <c r="K216" s="93" t="n"/>
      <c r="L216" s="190">
        <f>E216*Prices!B$2</f>
        <v/>
      </c>
      <c r="M216" s="190">
        <f>F216*Prices!C$2</f>
        <v/>
      </c>
      <c r="N216" s="190">
        <f>G216*Prices!D$2</f>
        <v/>
      </c>
      <c r="O216" s="190">
        <f>H216*Prices!E$2</f>
        <v/>
      </c>
      <c r="P216" s="190">
        <f>I216*2000+J216*10000+K216*1800</f>
        <v/>
      </c>
      <c r="Q216" s="190">
        <f>D216*Prices!A$2</f>
        <v/>
      </c>
      <c r="R216" s="191">
        <f>L216+M216+N216+O216</f>
        <v/>
      </c>
      <c r="S216" s="190">
        <f>R216+Q216+P216</f>
        <v/>
      </c>
      <c r="T216" s="93" t="n">
        <v>215</v>
      </c>
      <c r="U216" s="93" t="inlineStr">
        <is>
          <t>Sold</t>
        </is>
      </c>
      <c r="V216" s="12" t="n"/>
      <c r="W216" s="12" t="n"/>
      <c r="X216" s="12" t="n"/>
      <c r="Y216" s="12" t="n"/>
      <c r="Z216" s="12" t="n"/>
    </row>
    <row r="217">
      <c r="A217" s="93" t="n">
        <v>216</v>
      </c>
      <c r="B217" s="93" t="n">
        <v>10.93</v>
      </c>
      <c r="C217" s="93">
        <f>B217*(25/100)</f>
        <v/>
      </c>
      <c r="D217" s="93">
        <f>C217+B217</f>
        <v/>
      </c>
      <c r="E217" s="93" t="n">
        <v>2.6</v>
      </c>
      <c r="F217" s="93" t="n"/>
      <c r="G217" s="93" t="n"/>
      <c r="H217" s="93" t="n"/>
      <c r="I217" s="93" t="n"/>
      <c r="J217" s="93" t="n"/>
      <c r="K217" s="93" t="n"/>
      <c r="L217" s="190">
        <f>E217*Prices!B$2</f>
        <v/>
      </c>
      <c r="M217" s="190">
        <f>F217*Prices!C$2</f>
        <v/>
      </c>
      <c r="N217" s="190">
        <f>G217*Prices!D$2</f>
        <v/>
      </c>
      <c r="O217" s="190">
        <f>H217*Prices!E$2</f>
        <v/>
      </c>
      <c r="P217" s="190">
        <f>I217*2000+J217*10000+K217*1800</f>
        <v/>
      </c>
      <c r="Q217" s="190">
        <f>D217*Prices!A$2</f>
        <v/>
      </c>
      <c r="R217" s="191">
        <f>L217+M217+N217+O217</f>
        <v/>
      </c>
      <c r="S217" s="190">
        <f>R217+Q217+P217</f>
        <v/>
      </c>
      <c r="T217" s="93" t="n">
        <v>216</v>
      </c>
      <c r="U217" s="93" t="inlineStr">
        <is>
          <t>Available</t>
        </is>
      </c>
      <c r="V217" s="12" t="inlineStr">
        <is>
          <t>A</t>
        </is>
      </c>
      <c r="W217" s="12" t="n"/>
      <c r="X217" s="12" t="n"/>
      <c r="Y217" s="12" t="n"/>
      <c r="Z217" s="12" t="n"/>
    </row>
    <row r="218">
      <c r="A218" s="93" t="n">
        <v>217</v>
      </c>
      <c r="B218" s="93" t="n">
        <v>4.14</v>
      </c>
      <c r="C218" s="93">
        <f>B218*(25/100)</f>
        <v/>
      </c>
      <c r="D218" s="93">
        <f>C218+B218</f>
        <v/>
      </c>
      <c r="E218" s="93" t="n">
        <v>0.6</v>
      </c>
      <c r="F218" s="93" t="n"/>
      <c r="G218" s="93" t="n"/>
      <c r="H218" s="93" t="n"/>
      <c r="I218" s="93" t="n"/>
      <c r="J218" s="93" t="n"/>
      <c r="K218" s="93" t="n"/>
      <c r="L218" s="190">
        <f>E218*Prices!B$2</f>
        <v/>
      </c>
      <c r="M218" s="190">
        <f>F218*Prices!C$2</f>
        <v/>
      </c>
      <c r="N218" s="190">
        <f>G218*Prices!D$2</f>
        <v/>
      </c>
      <c r="O218" s="190">
        <f>H218*Prices!E$2</f>
        <v/>
      </c>
      <c r="P218" s="190">
        <f>I218*2000+J218*10000+K218*1800</f>
        <v/>
      </c>
      <c r="Q218" s="190">
        <f>D218*Prices!A$2</f>
        <v/>
      </c>
      <c r="R218" s="191">
        <f>L218+M218+N218+O218</f>
        <v/>
      </c>
      <c r="S218" s="190">
        <f>R218+Q218+P218</f>
        <v/>
      </c>
      <c r="T218" s="93" t="n">
        <v>217</v>
      </c>
      <c r="U218" s="93" t="inlineStr">
        <is>
          <t>Available</t>
        </is>
      </c>
      <c r="V218" s="12" t="inlineStr">
        <is>
          <t>A</t>
        </is>
      </c>
      <c r="W218" s="12" t="n"/>
      <c r="X218" s="12" t="n"/>
      <c r="Y218" s="12" t="n"/>
      <c r="Z218" s="12" t="n"/>
    </row>
    <row r="219">
      <c r="A219" s="93" t="n">
        <v>218</v>
      </c>
      <c r="B219" s="93" t="n">
        <v>8.164</v>
      </c>
      <c r="C219" s="93">
        <f>B219*(25/100)</f>
        <v/>
      </c>
      <c r="D219" s="93">
        <f>C219+B219</f>
        <v/>
      </c>
      <c r="E219" s="93" t="n"/>
      <c r="F219" s="93" t="n">
        <v>2.14</v>
      </c>
      <c r="G219" s="93" t="n"/>
      <c r="H219" s="93" t="n"/>
      <c r="I219" s="93" t="n"/>
      <c r="J219" s="93" t="n"/>
      <c r="K219" s="93" t="n">
        <v>11.14</v>
      </c>
      <c r="L219" s="190">
        <f>E219*Prices!B$2</f>
        <v/>
      </c>
      <c r="M219" s="190">
        <f>F219*Prices!C$2</f>
        <v/>
      </c>
      <c r="N219" s="190">
        <f>G219*Prices!D$2</f>
        <v/>
      </c>
      <c r="O219" s="190">
        <f>H219*Prices!E$2</f>
        <v/>
      </c>
      <c r="P219" s="190">
        <f>I219*2000+J219*10000+K219*1800</f>
        <v/>
      </c>
      <c r="Q219" s="190">
        <f>D219*Prices!A$2</f>
        <v/>
      </c>
      <c r="R219" s="191">
        <f>L219+M219+N219+O219</f>
        <v/>
      </c>
      <c r="S219" s="190">
        <f>R219+Q219+P219</f>
        <v/>
      </c>
      <c r="T219" s="93" t="n">
        <v>218</v>
      </c>
      <c r="U219" s="93" t="inlineStr">
        <is>
          <t>Sold</t>
        </is>
      </c>
      <c r="V219" s="12" t="n"/>
      <c r="W219" s="12" t="n"/>
      <c r="X219" s="12" t="n"/>
      <c r="Y219" s="12" t="n"/>
      <c r="Z219" s="12" t="n"/>
    </row>
    <row r="220">
      <c r="A220" s="93" t="n">
        <v>219</v>
      </c>
      <c r="B220" s="93" t="n">
        <v>4.302</v>
      </c>
      <c r="C220" s="93">
        <f>B220*(25/100)</f>
        <v/>
      </c>
      <c r="D220" s="93">
        <f>C220+B220</f>
        <v/>
      </c>
      <c r="E220" s="93" t="n">
        <v>0.62</v>
      </c>
      <c r="F220" s="93" t="n"/>
      <c r="G220" s="93" t="n"/>
      <c r="H220" s="93" t="n"/>
      <c r="I220" s="93" t="n"/>
      <c r="J220" s="93" t="n">
        <v>0.97</v>
      </c>
      <c r="K220" s="93" t="n"/>
      <c r="L220" s="190">
        <f>E220*Prices!B$2</f>
        <v/>
      </c>
      <c r="M220" s="190">
        <f>F220*Prices!C$2</f>
        <v/>
      </c>
      <c r="N220" s="190">
        <f>G220*Prices!D$2</f>
        <v/>
      </c>
      <c r="O220" s="190">
        <f>H220*Prices!E$2</f>
        <v/>
      </c>
      <c r="P220" s="190">
        <f>I220*2000+J220*10000+K220*1800</f>
        <v/>
      </c>
      <c r="Q220" s="190">
        <f>D220*Prices!A$2</f>
        <v/>
      </c>
      <c r="R220" s="191">
        <f>L220+M220+N220+O220</f>
        <v/>
      </c>
      <c r="S220" s="190">
        <f>R220+Q220+P220</f>
        <v/>
      </c>
      <c r="T220" s="93" t="n">
        <v>219</v>
      </c>
      <c r="U220" s="93" t="inlineStr">
        <is>
          <t>Sold</t>
        </is>
      </c>
      <c r="V220" s="12" t="n"/>
      <c r="W220" s="12" t="n"/>
      <c r="X220" s="12" t="n"/>
      <c r="Y220" s="12" t="n"/>
      <c r="Z220" s="12" t="n"/>
    </row>
    <row r="221">
      <c r="A221" s="93" t="n">
        <v>220</v>
      </c>
      <c r="B221" s="93" t="n">
        <v>8.996</v>
      </c>
      <c r="C221" s="93">
        <f>B221*(25/100)</f>
        <v/>
      </c>
      <c r="D221" s="93">
        <f>C221+B221</f>
        <v/>
      </c>
      <c r="E221" s="93" t="n">
        <v>1.42</v>
      </c>
      <c r="F221" s="93" t="n"/>
      <c r="G221" s="93" t="n"/>
      <c r="H221" s="93" t="n"/>
      <c r="I221" s="93" t="n"/>
      <c r="J221" s="93" t="n"/>
      <c r="K221" s="93" t="n"/>
      <c r="L221" s="190">
        <f>E221*Prices!B$2</f>
        <v/>
      </c>
      <c r="M221" s="190">
        <f>F221*Prices!C$2</f>
        <v/>
      </c>
      <c r="N221" s="190">
        <f>G221*Prices!D$2</f>
        <v/>
      </c>
      <c r="O221" s="190">
        <f>H221*Prices!E$2</f>
        <v/>
      </c>
      <c r="P221" s="190">
        <f>I221*2000+J221*10000+K221*1800</f>
        <v/>
      </c>
      <c r="Q221" s="190">
        <f>D221*Prices!A$2</f>
        <v/>
      </c>
      <c r="R221" s="191">
        <f>L221+M221+N221+O221</f>
        <v/>
      </c>
      <c r="S221" s="190">
        <f>R221+Q221+P221</f>
        <v/>
      </c>
      <c r="T221" s="93" t="n">
        <v>220</v>
      </c>
      <c r="U221" s="93" t="inlineStr">
        <is>
          <t>Available</t>
        </is>
      </c>
      <c r="V221" s="12" t="inlineStr">
        <is>
          <t>A</t>
        </is>
      </c>
      <c r="W221" s="12" t="n"/>
      <c r="X221" s="12" t="n"/>
      <c r="Y221" s="12" t="n"/>
      <c r="Z221" s="12" t="n"/>
    </row>
    <row r="222">
      <c r="A222" s="93" t="n">
        <v>221</v>
      </c>
      <c r="B222" s="93" t="n">
        <v>6.08</v>
      </c>
      <c r="C222" s="93">
        <f>B222*(25/100)</f>
        <v/>
      </c>
      <c r="D222" s="93">
        <f>C222+B222</f>
        <v/>
      </c>
      <c r="E222" s="93" t="n">
        <v>2.15</v>
      </c>
      <c r="F222" s="93" t="n"/>
      <c r="G222" s="93" t="n"/>
      <c r="H222" s="93" t="n"/>
      <c r="I222" s="93" t="n"/>
      <c r="J222" s="93" t="n"/>
      <c r="K222" s="93" t="n"/>
      <c r="L222" s="190">
        <f>E222*Prices!B$2</f>
        <v/>
      </c>
      <c r="M222" s="190">
        <f>F222*Prices!C$2</f>
        <v/>
      </c>
      <c r="N222" s="190">
        <f>G222*Prices!D$2</f>
        <v/>
      </c>
      <c r="O222" s="190">
        <f>H222*Prices!E$2</f>
        <v/>
      </c>
      <c r="P222" s="190">
        <f>I222*2000+J222*10000+K222*1800</f>
        <v/>
      </c>
      <c r="Q222" s="190">
        <f>D222*Prices!A$2</f>
        <v/>
      </c>
      <c r="R222" s="191">
        <f>L222+M222+N222+O222</f>
        <v/>
      </c>
      <c r="S222" s="190">
        <f>R222+Q222+P222</f>
        <v/>
      </c>
      <c r="T222" s="93" t="n">
        <v>221</v>
      </c>
      <c r="U222" s="93" t="inlineStr">
        <is>
          <t>Available</t>
        </is>
      </c>
      <c r="V222" s="12" t="inlineStr">
        <is>
          <t>A</t>
        </is>
      </c>
      <c r="W222" s="12" t="n"/>
      <c r="X222" s="12" t="n"/>
      <c r="Y222" s="12" t="n"/>
      <c r="Z222" s="12" t="n"/>
    </row>
    <row r="223">
      <c r="A223" s="93" t="n">
        <v>222</v>
      </c>
      <c r="B223" s="93" t="n">
        <v>4.62</v>
      </c>
      <c r="C223" s="93">
        <f>B223*(25/100)</f>
        <v/>
      </c>
      <c r="D223" s="93">
        <f>C223+B223</f>
        <v/>
      </c>
      <c r="E223" s="93" t="n">
        <v>0.86</v>
      </c>
      <c r="F223" s="93" t="n"/>
      <c r="G223" s="93" t="n"/>
      <c r="H223" s="93" t="n"/>
      <c r="I223" s="93" t="n"/>
      <c r="J223" s="93" t="n"/>
      <c r="K223" s="93" t="n"/>
      <c r="L223" s="190">
        <f>E223*Prices!B$2</f>
        <v/>
      </c>
      <c r="M223" s="190">
        <f>F223*Prices!C$2</f>
        <v/>
      </c>
      <c r="N223" s="190">
        <f>G223*Prices!D$2</f>
        <v/>
      </c>
      <c r="O223" s="190">
        <f>H223*Prices!E$2</f>
        <v/>
      </c>
      <c r="P223" s="190">
        <f>I223*2000+J223*10000+K223*1800</f>
        <v/>
      </c>
      <c r="Q223" s="190">
        <f>D223*Prices!A$2</f>
        <v/>
      </c>
      <c r="R223" s="191">
        <f>L223+M223+N223+O223</f>
        <v/>
      </c>
      <c r="S223" s="190">
        <f>R223+Q223+P223</f>
        <v/>
      </c>
      <c r="T223" s="93" t="n">
        <v>222</v>
      </c>
      <c r="U223" s="93" t="inlineStr">
        <is>
          <t>Sold</t>
        </is>
      </c>
      <c r="V223" s="12" t="n"/>
      <c r="W223" s="12" t="n"/>
      <c r="X223" s="12" t="n"/>
      <c r="Y223" s="12" t="n"/>
      <c r="Z223" s="12" t="n"/>
    </row>
    <row r="224">
      <c r="A224" s="93" t="n">
        <v>223</v>
      </c>
      <c r="B224" s="93" t="n">
        <v>8.084</v>
      </c>
      <c r="C224" s="93">
        <f>B224*(25/100)</f>
        <v/>
      </c>
      <c r="D224" s="93">
        <f>C224+B224</f>
        <v/>
      </c>
      <c r="E224" s="93" t="n">
        <v>1.16</v>
      </c>
      <c r="F224" s="93" t="n"/>
      <c r="G224" s="93" t="n"/>
      <c r="H224" s="93" t="n"/>
      <c r="I224" s="93" t="n"/>
      <c r="J224" s="93" t="n"/>
      <c r="K224" s="93" t="n">
        <v>6.97</v>
      </c>
      <c r="L224" s="190">
        <f>E224*Prices!B$2</f>
        <v/>
      </c>
      <c r="M224" s="190">
        <f>F224*Prices!C$2</f>
        <v/>
      </c>
      <c r="N224" s="190">
        <f>G224*Prices!D$2</f>
        <v/>
      </c>
      <c r="O224" s="190">
        <f>H224*Prices!E$2</f>
        <v/>
      </c>
      <c r="P224" s="190">
        <f>I224*2000+J224*10000+K224*1800</f>
        <v/>
      </c>
      <c r="Q224" s="190">
        <f>D224*Prices!A$2</f>
        <v/>
      </c>
      <c r="R224" s="191">
        <f>L224+M224+N224+O224</f>
        <v/>
      </c>
      <c r="S224" s="190">
        <f>R224+Q224+P224</f>
        <v/>
      </c>
      <c r="T224" s="93" t="n">
        <v>223</v>
      </c>
      <c r="U224" s="93" t="inlineStr">
        <is>
          <t>Sold</t>
        </is>
      </c>
      <c r="V224" s="12" t="n"/>
      <c r="W224" s="12" t="n"/>
      <c r="X224" s="12" t="n"/>
      <c r="Y224" s="12" t="n"/>
      <c r="Z224" s="12" t="n"/>
    </row>
    <row r="225">
      <c r="A225" s="93" t="n">
        <v>224</v>
      </c>
      <c r="B225" s="93" t="n">
        <v>3.588</v>
      </c>
      <c r="C225" s="93">
        <f>B225*(25/100)</f>
        <v/>
      </c>
      <c r="D225" s="93">
        <f>C225+B225</f>
        <v/>
      </c>
      <c r="E225" s="93" t="n">
        <v>0.38</v>
      </c>
      <c r="F225" s="93" t="n"/>
      <c r="G225" s="93" t="n"/>
      <c r="H225" s="93" t="n"/>
      <c r="I225" s="93" t="n"/>
      <c r="J225" s="93" t="n"/>
      <c r="K225" s="93" t="n"/>
      <c r="L225" s="190">
        <f>E225*Prices!B$2</f>
        <v/>
      </c>
      <c r="M225" s="190">
        <f>F225*Prices!C$2</f>
        <v/>
      </c>
      <c r="N225" s="190">
        <f>G225*Prices!D$2</f>
        <v/>
      </c>
      <c r="O225" s="190">
        <f>H225*Prices!E$2</f>
        <v/>
      </c>
      <c r="P225" s="190">
        <f>I225*2000+J225*10000+K225*1800</f>
        <v/>
      </c>
      <c r="Q225" s="190">
        <f>D225*Prices!A$2</f>
        <v/>
      </c>
      <c r="R225" s="191">
        <f>L225+M225+N225+O225</f>
        <v/>
      </c>
      <c r="S225" s="190">
        <f>R225+Q225+P225</f>
        <v/>
      </c>
      <c r="T225" s="93" t="n">
        <v>224</v>
      </c>
      <c r="U225" s="93" t="inlineStr">
        <is>
          <t>Sold</t>
        </is>
      </c>
      <c r="V225" s="12" t="n"/>
      <c r="W225" s="12" t="n"/>
      <c r="X225" s="12" t="n"/>
      <c r="Y225" s="12" t="n"/>
      <c r="Z225" s="12" t="n"/>
    </row>
    <row r="226">
      <c r="A226" s="93" t="n">
        <v>225</v>
      </c>
      <c r="B226" s="93" t="n">
        <v>3.48</v>
      </c>
      <c r="C226" s="93">
        <f>B226*(25/100)</f>
        <v/>
      </c>
      <c r="D226" s="93">
        <f>C226+B226</f>
        <v/>
      </c>
      <c r="E226" s="93" t="n">
        <v>0.51</v>
      </c>
      <c r="F226" s="93" t="n"/>
      <c r="G226" s="93" t="n"/>
      <c r="H226" s="93" t="n"/>
      <c r="I226" s="93" t="n"/>
      <c r="J226" s="93" t="n"/>
      <c r="K226" s="93" t="n"/>
      <c r="L226" s="190">
        <f>E226*Prices!B$2</f>
        <v/>
      </c>
      <c r="M226" s="190">
        <f>F226*Prices!C$2</f>
        <v/>
      </c>
      <c r="N226" s="190">
        <f>G226*Prices!D$2</f>
        <v/>
      </c>
      <c r="O226" s="190">
        <f>H226*Prices!E$2</f>
        <v/>
      </c>
      <c r="P226" s="190">
        <f>I226*2000+J226*10000+K226*1800</f>
        <v/>
      </c>
      <c r="Q226" s="190">
        <f>D226*Prices!A$2</f>
        <v/>
      </c>
      <c r="R226" s="191">
        <f>L226+M226+N226+O226</f>
        <v/>
      </c>
      <c r="S226" s="190">
        <f>R226+Q226+P226</f>
        <v/>
      </c>
      <c r="T226" s="93" t="n">
        <v>225</v>
      </c>
      <c r="U226" s="93" t="inlineStr">
        <is>
          <t>Available</t>
        </is>
      </c>
      <c r="V226" s="12" t="inlineStr">
        <is>
          <t>A</t>
        </is>
      </c>
      <c r="W226" s="12" t="n"/>
      <c r="X226" s="12" t="n"/>
      <c r="Y226" s="12" t="n"/>
      <c r="Z226" s="12" t="n"/>
    </row>
    <row r="227">
      <c r="A227" s="192" t="n">
        <v>226</v>
      </c>
      <c r="B227" s="192" t="n">
        <v>5.2</v>
      </c>
      <c r="C227" s="192">
        <f>B227*(25/100)</f>
        <v/>
      </c>
      <c r="D227" s="192">
        <f>C227+B227</f>
        <v/>
      </c>
      <c r="E227" s="192" t="n">
        <v>1.5</v>
      </c>
      <c r="F227" s="192" t="n"/>
      <c r="G227" s="192" t="n"/>
      <c r="H227" s="192" t="n"/>
      <c r="I227" s="192" t="n"/>
      <c r="J227" s="192" t="n"/>
      <c r="K227" s="192" t="n"/>
      <c r="L227" s="193">
        <f>E227*Prices!B$2</f>
        <v/>
      </c>
      <c r="M227" s="193">
        <f>F227*Prices!C$2</f>
        <v/>
      </c>
      <c r="N227" s="193">
        <f>G227*Prices!D$2</f>
        <v/>
      </c>
      <c r="O227" s="193">
        <f>H227*Prices!E$2</f>
        <v/>
      </c>
      <c r="P227" s="193">
        <f>I227*2000+J227*10000+K227*1800</f>
        <v/>
      </c>
      <c r="Q227" s="193">
        <f>D227*Prices!A$2</f>
        <v/>
      </c>
      <c r="R227" s="194">
        <f>L227+M227+N227+O227</f>
        <v/>
      </c>
      <c r="S227" s="193">
        <f>R227+Q227+P227</f>
        <v/>
      </c>
      <c r="T227" s="192" t="n">
        <v>226</v>
      </c>
      <c r="U227" s="192" t="inlineStr">
        <is>
          <t>Return</t>
        </is>
      </c>
      <c r="V227" s="12" t="n"/>
      <c r="W227" s="12" t="n"/>
      <c r="X227" s="12" t="n"/>
      <c r="Y227" s="12" t="n"/>
      <c r="Z227" s="12" t="n"/>
    </row>
    <row r="228">
      <c r="A228" s="93" t="n">
        <v>227</v>
      </c>
      <c r="B228" s="93" t="n">
        <v>2.47</v>
      </c>
      <c r="C228" s="93">
        <f>B228*(25/100)</f>
        <v/>
      </c>
      <c r="D228" s="93">
        <f>C228+B228</f>
        <v/>
      </c>
      <c r="E228" s="93" t="n">
        <v>0.54</v>
      </c>
      <c r="F228" s="93" t="n"/>
      <c r="G228" s="93" t="n"/>
      <c r="H228" s="93" t="n"/>
      <c r="I228" s="93" t="n"/>
      <c r="J228" s="93" t="n"/>
      <c r="K228" s="93" t="n"/>
      <c r="L228" s="190">
        <f>E228*Prices!B$2</f>
        <v/>
      </c>
      <c r="M228" s="190">
        <f>F228*Prices!C$2</f>
        <v/>
      </c>
      <c r="N228" s="190">
        <f>G228*Prices!D$2</f>
        <v/>
      </c>
      <c r="O228" s="190">
        <f>H228*Prices!E$2</f>
        <v/>
      </c>
      <c r="P228" s="190">
        <f>I228*2000+J228*10000+K228*1800</f>
        <v/>
      </c>
      <c r="Q228" s="190">
        <f>D228*Prices!A$2</f>
        <v/>
      </c>
      <c r="R228" s="191">
        <f>L228+M228+N228+O228</f>
        <v/>
      </c>
      <c r="S228" s="190">
        <f>R228+Q228+P228</f>
        <v/>
      </c>
      <c r="T228" s="93" t="n">
        <v>227</v>
      </c>
      <c r="U228" s="93" t="inlineStr">
        <is>
          <t>Available</t>
        </is>
      </c>
      <c r="V228" s="12" t="inlineStr">
        <is>
          <t>A</t>
        </is>
      </c>
      <c r="W228" s="12" t="n"/>
      <c r="X228" s="12" t="n"/>
      <c r="Y228" s="12" t="n"/>
      <c r="Z228" s="12" t="n"/>
    </row>
    <row r="229">
      <c r="A229" s="93" t="n">
        <v>228</v>
      </c>
      <c r="B229" s="93" t="n">
        <v>5.27</v>
      </c>
      <c r="C229" s="93">
        <f>B229*(25/100)</f>
        <v/>
      </c>
      <c r="D229" s="93">
        <f>C229+B229</f>
        <v/>
      </c>
      <c r="E229" s="93" t="n">
        <v>0.71</v>
      </c>
      <c r="F229" s="93" t="n"/>
      <c r="G229" s="93" t="n"/>
      <c r="H229" s="93" t="n"/>
      <c r="I229" s="93" t="n"/>
      <c r="J229" s="93" t="n"/>
      <c r="K229" s="93" t="n"/>
      <c r="L229" s="190">
        <f>E229*Prices!B$2</f>
        <v/>
      </c>
      <c r="M229" s="190">
        <f>F229*Prices!C$2</f>
        <v/>
      </c>
      <c r="N229" s="190">
        <f>G229*Prices!D$2</f>
        <v/>
      </c>
      <c r="O229" s="190">
        <f>H229*Prices!E$2</f>
        <v/>
      </c>
      <c r="P229" s="190">
        <f>I229*2000+J229*10000+K229*1800</f>
        <v/>
      </c>
      <c r="Q229" s="190">
        <f>D229*Prices!A$2</f>
        <v/>
      </c>
      <c r="R229" s="191">
        <f>L229+M229+N229+O229</f>
        <v/>
      </c>
      <c r="S229" s="190">
        <f>R229+Q229+P229</f>
        <v/>
      </c>
      <c r="T229" s="93" t="n">
        <v>228</v>
      </c>
      <c r="U229" s="93" t="inlineStr">
        <is>
          <t>Available</t>
        </is>
      </c>
      <c r="V229" s="12" t="inlineStr">
        <is>
          <t>A</t>
        </is>
      </c>
      <c r="W229" s="12" t="n"/>
      <c r="X229" s="12" t="n"/>
      <c r="Y229" s="12" t="n"/>
      <c r="Z229" s="12" t="n"/>
    </row>
    <row r="230">
      <c r="A230" s="93" t="n">
        <v>229</v>
      </c>
      <c r="B230" s="93" t="n">
        <v>2.134</v>
      </c>
      <c r="C230" s="93">
        <f>B230*(25/100)</f>
        <v/>
      </c>
      <c r="D230" s="93">
        <f>C230+B230</f>
        <v/>
      </c>
      <c r="E230" s="93" t="n">
        <v>0.38</v>
      </c>
      <c r="F230" s="93" t="n"/>
      <c r="G230" s="93" t="n"/>
      <c r="H230" s="93" t="n"/>
      <c r="I230" s="93" t="n"/>
      <c r="J230" s="93" t="n"/>
      <c r="K230" s="93" t="n"/>
      <c r="L230" s="190">
        <f>E230*Prices!B$2</f>
        <v/>
      </c>
      <c r="M230" s="190">
        <f>F230*Prices!C$2</f>
        <v/>
      </c>
      <c r="N230" s="190">
        <f>G230*Prices!D$2</f>
        <v/>
      </c>
      <c r="O230" s="190">
        <f>H230*Prices!E$2</f>
        <v/>
      </c>
      <c r="P230" s="190">
        <f>I230*2000+J230*10000+K230*1800</f>
        <v/>
      </c>
      <c r="Q230" s="190">
        <f>D230*Prices!A$2</f>
        <v/>
      </c>
      <c r="R230" s="191">
        <f>L230+M230+N230+O230</f>
        <v/>
      </c>
      <c r="S230" s="190">
        <f>R230+Q230+P230</f>
        <v/>
      </c>
      <c r="T230" s="93" t="n">
        <v>229</v>
      </c>
      <c r="U230" s="93" t="inlineStr">
        <is>
          <t>Available</t>
        </is>
      </c>
      <c r="V230" s="12" t="inlineStr">
        <is>
          <t>A</t>
        </is>
      </c>
      <c r="W230" s="12" t="n"/>
      <c r="X230" s="12" t="n"/>
      <c r="Y230" s="12" t="n"/>
      <c r="Z230" s="12" t="n"/>
    </row>
    <row r="231">
      <c r="A231" s="93" t="n">
        <v>230</v>
      </c>
      <c r="B231" s="93" t="n">
        <v>2.96</v>
      </c>
      <c r="C231" s="93">
        <f>B231*(25/100)</f>
        <v/>
      </c>
      <c r="D231" s="93">
        <f>C231+B231</f>
        <v/>
      </c>
      <c r="E231" s="93" t="n">
        <v>0.25</v>
      </c>
      <c r="F231" s="93" t="n"/>
      <c r="G231" s="93" t="n"/>
      <c r="H231" s="93" t="n"/>
      <c r="I231" s="93" t="n"/>
      <c r="J231" s="93" t="n"/>
      <c r="K231" s="93" t="n"/>
      <c r="L231" s="190">
        <f>E231*Prices!B$2</f>
        <v/>
      </c>
      <c r="M231" s="190">
        <f>F231*Prices!C$2</f>
        <v/>
      </c>
      <c r="N231" s="190">
        <f>G231*Prices!D$2</f>
        <v/>
      </c>
      <c r="O231" s="190">
        <f>H231*Prices!E$2</f>
        <v/>
      </c>
      <c r="P231" s="190">
        <f>I231*2000+J231*10000+K231*1800</f>
        <v/>
      </c>
      <c r="Q231" s="190">
        <f>D231*Prices!A$2</f>
        <v/>
      </c>
      <c r="R231" s="191">
        <f>L231+M231+N231+O231</f>
        <v/>
      </c>
      <c r="S231" s="190">
        <f>R231+Q231+P231</f>
        <v/>
      </c>
      <c r="T231" s="93" t="n">
        <v>230</v>
      </c>
      <c r="U231" s="93" t="inlineStr">
        <is>
          <t>Sold</t>
        </is>
      </c>
      <c r="V231" s="12" t="n"/>
      <c r="W231" s="12" t="n"/>
      <c r="X231" s="12" t="n"/>
      <c r="Y231" s="12" t="n"/>
      <c r="Z231" s="12" t="n"/>
    </row>
    <row r="232">
      <c r="A232" s="93" t="n">
        <v>231</v>
      </c>
      <c r="B232" s="93" t="n">
        <v>2.718</v>
      </c>
      <c r="C232" s="93">
        <f>B232*(25/100)</f>
        <v/>
      </c>
      <c r="D232" s="93">
        <f>C232+B232</f>
        <v/>
      </c>
      <c r="E232" s="93" t="n">
        <v>0.36</v>
      </c>
      <c r="F232" s="93" t="n"/>
      <c r="G232" s="93" t="n"/>
      <c r="H232" s="93" t="n"/>
      <c r="I232" s="93" t="n"/>
      <c r="J232" s="93" t="n"/>
      <c r="K232" s="93" t="n"/>
      <c r="L232" s="190">
        <f>E232*Prices!B$2</f>
        <v/>
      </c>
      <c r="M232" s="190">
        <f>F232*Prices!C$2</f>
        <v/>
      </c>
      <c r="N232" s="190">
        <f>G232*Prices!D$2</f>
        <v/>
      </c>
      <c r="O232" s="190">
        <f>H232*Prices!E$2</f>
        <v/>
      </c>
      <c r="P232" s="190">
        <f>I232*2000+J232*10000+K232*1800</f>
        <v/>
      </c>
      <c r="Q232" s="190">
        <f>D232*Prices!A$2</f>
        <v/>
      </c>
      <c r="R232" s="191">
        <f>L232+M232+N232+O232</f>
        <v/>
      </c>
      <c r="S232" s="190">
        <f>R232+Q232+P232</f>
        <v/>
      </c>
      <c r="T232" s="93" t="n">
        <v>231</v>
      </c>
      <c r="U232" s="93" t="inlineStr">
        <is>
          <t>Sold</t>
        </is>
      </c>
      <c r="V232" s="12" t="n"/>
      <c r="W232" s="12" t="n"/>
      <c r="X232" s="12" t="n"/>
      <c r="Y232" s="12" t="n"/>
      <c r="Z232" s="12" t="n"/>
    </row>
    <row r="233">
      <c r="A233" s="93" t="n">
        <v>232</v>
      </c>
      <c r="B233" s="93" t="n">
        <v>9.382</v>
      </c>
      <c r="C233" s="93">
        <f>B233*(25/100)</f>
        <v/>
      </c>
      <c r="D233" s="93">
        <f>C233+B233</f>
        <v/>
      </c>
      <c r="E233" s="93" t="n">
        <v>1.59</v>
      </c>
      <c r="F233" s="93" t="n"/>
      <c r="G233" s="93" t="n"/>
      <c r="H233" s="93" t="n"/>
      <c r="I233" s="93" t="n"/>
      <c r="J233" s="93" t="n"/>
      <c r="K233" s="93" t="n">
        <v>7.1</v>
      </c>
      <c r="L233" s="190">
        <f>E233*Prices!B$2</f>
        <v/>
      </c>
      <c r="M233" s="190">
        <f>F233*Prices!C$2</f>
        <v/>
      </c>
      <c r="N233" s="190">
        <f>G233*Prices!D$2</f>
        <v/>
      </c>
      <c r="O233" s="190">
        <f>H233*Prices!E$2</f>
        <v/>
      </c>
      <c r="P233" s="190">
        <f>I233*2000+J233*10000+K233*1800</f>
        <v/>
      </c>
      <c r="Q233" s="190">
        <f>D233*Prices!A$2</f>
        <v/>
      </c>
      <c r="R233" s="191">
        <f>L233+M233+N233+O233</f>
        <v/>
      </c>
      <c r="S233" s="190">
        <f>R233+Q233+P233</f>
        <v/>
      </c>
      <c r="T233" s="93" t="n">
        <v>232</v>
      </c>
      <c r="U233" s="93" t="inlineStr">
        <is>
          <t>Available</t>
        </is>
      </c>
      <c r="V233" s="12" t="inlineStr">
        <is>
          <t>A</t>
        </is>
      </c>
      <c r="W233" s="12" t="n"/>
      <c r="X233" s="12" t="n"/>
      <c r="Y233" s="12" t="n"/>
      <c r="Z233" s="12" t="n"/>
    </row>
    <row r="234">
      <c r="A234" s="93" t="n">
        <v>233</v>
      </c>
      <c r="B234" s="93" t="n">
        <v>6.92</v>
      </c>
      <c r="C234" s="93">
        <f>B234*(25/100)</f>
        <v/>
      </c>
      <c r="D234" s="93">
        <f>C234+B234</f>
        <v/>
      </c>
      <c r="E234" s="93" t="n">
        <v>1.53</v>
      </c>
      <c r="F234" s="93" t="n"/>
      <c r="G234" s="93" t="n"/>
      <c r="H234" s="93" t="n"/>
      <c r="I234" s="93" t="n"/>
      <c r="J234" s="93" t="n"/>
      <c r="K234" s="93" t="n">
        <v>16.62</v>
      </c>
      <c r="L234" s="190">
        <f>E234*Prices!B$2</f>
        <v/>
      </c>
      <c r="M234" s="190">
        <f>F234*Prices!C$2</f>
        <v/>
      </c>
      <c r="N234" s="190">
        <f>G234*Prices!D$2</f>
        <v/>
      </c>
      <c r="O234" s="190">
        <f>H234*Prices!E$2</f>
        <v/>
      </c>
      <c r="P234" s="190">
        <f>I234*2000+J234*10000+K234*1800</f>
        <v/>
      </c>
      <c r="Q234" s="190">
        <f>D234*Prices!A$2</f>
        <v/>
      </c>
      <c r="R234" s="191">
        <f>L234+M234+N234+O234</f>
        <v/>
      </c>
      <c r="S234" s="190">
        <f>R234+Q234+P234</f>
        <v/>
      </c>
      <c r="T234" s="93" t="n">
        <v>233</v>
      </c>
      <c r="U234" s="26" t="inlineStr">
        <is>
          <t>Sold</t>
        </is>
      </c>
      <c r="V234" s="12" t="n"/>
      <c r="W234" s="12" t="n"/>
      <c r="X234" s="12" t="n"/>
      <c r="Y234" s="12" t="n"/>
      <c r="Z234" s="12" t="n"/>
    </row>
    <row r="235">
      <c r="A235" s="93" t="n">
        <v>234</v>
      </c>
      <c r="B235" s="93" t="n">
        <v>5.252</v>
      </c>
      <c r="C235" s="93">
        <f>B235*(25/100)</f>
        <v/>
      </c>
      <c r="D235" s="93">
        <f>C235+B235</f>
        <v/>
      </c>
      <c r="E235" s="93">
        <f>0.56+0.5</f>
        <v/>
      </c>
      <c r="F235" s="93" t="n"/>
      <c r="G235" s="93" t="n"/>
      <c r="H235" s="93" t="n"/>
      <c r="I235" s="93" t="n"/>
      <c r="J235" s="93" t="n"/>
      <c r="K235" s="93" t="n">
        <v>5.3</v>
      </c>
      <c r="L235" s="190">
        <f>E235*Prices!B$2</f>
        <v/>
      </c>
      <c r="M235" s="190">
        <f>F235*Prices!C$2</f>
        <v/>
      </c>
      <c r="N235" s="190">
        <f>G235*Prices!D$2</f>
        <v/>
      </c>
      <c r="O235" s="190">
        <f>H235*Prices!E$2</f>
        <v/>
      </c>
      <c r="P235" s="190">
        <f>I235*2000+J235*10000+K235*1800</f>
        <v/>
      </c>
      <c r="Q235" s="190">
        <f>D235*Prices!A$2</f>
        <v/>
      </c>
      <c r="R235" s="191">
        <f>L235+M235+N235+O235</f>
        <v/>
      </c>
      <c r="S235" s="190">
        <f>R235+Q235+P235</f>
        <v/>
      </c>
      <c r="T235" s="93" t="n">
        <v>234</v>
      </c>
      <c r="U235" s="93" t="inlineStr">
        <is>
          <t>Available</t>
        </is>
      </c>
      <c r="V235" s="12" t="inlineStr">
        <is>
          <t>A</t>
        </is>
      </c>
      <c r="W235" s="12" t="n"/>
      <c r="X235" s="12" t="n"/>
      <c r="Y235" s="12" t="n"/>
      <c r="Z235" s="12" t="n"/>
    </row>
    <row r="236">
      <c r="A236" s="93" t="n">
        <v>235</v>
      </c>
      <c r="B236" s="93" t="n">
        <v>8.08</v>
      </c>
      <c r="C236" s="93">
        <f>B236*(25/100)</f>
        <v/>
      </c>
      <c r="D236" s="93">
        <f>C236+B236</f>
        <v/>
      </c>
      <c r="E236" s="93" t="n">
        <v>0.95</v>
      </c>
      <c r="F236" s="93" t="n"/>
      <c r="G236" s="93" t="n"/>
      <c r="H236" s="93" t="n"/>
      <c r="I236" s="93" t="n"/>
      <c r="J236" s="93" t="n"/>
      <c r="K236" s="93" t="n">
        <v>6.8</v>
      </c>
      <c r="L236" s="190">
        <f>E236*Prices!B$2</f>
        <v/>
      </c>
      <c r="M236" s="190">
        <f>F236*Prices!C$2</f>
        <v/>
      </c>
      <c r="N236" s="190">
        <f>G236*Prices!D$2</f>
        <v/>
      </c>
      <c r="O236" s="190">
        <f>H236*Prices!E$2</f>
        <v/>
      </c>
      <c r="P236" s="190">
        <f>I236*2000+J236*10000+K236*1800</f>
        <v/>
      </c>
      <c r="Q236" s="190">
        <f>D236*Prices!A$2</f>
        <v/>
      </c>
      <c r="R236" s="191">
        <f>L236+M236+N236+O236</f>
        <v/>
      </c>
      <c r="S236" s="190">
        <f>R236+Q236+P236</f>
        <v/>
      </c>
      <c r="T236" s="93" t="n">
        <v>235</v>
      </c>
      <c r="U236" s="93" t="inlineStr">
        <is>
          <t>Sold</t>
        </is>
      </c>
      <c r="V236" s="12" t="n"/>
      <c r="W236" s="12" t="n"/>
      <c r="X236" s="12" t="n"/>
      <c r="Y236" s="12" t="n"/>
      <c r="Z236" s="12" t="n"/>
    </row>
    <row r="237">
      <c r="A237" s="93" t="n">
        <v>236</v>
      </c>
      <c r="B237" s="93" t="n">
        <v>2.946</v>
      </c>
      <c r="C237" s="93">
        <f>B237*(25/100)</f>
        <v/>
      </c>
      <c r="D237" s="93">
        <f>C237+B237</f>
        <v/>
      </c>
      <c r="E237" s="93" t="n">
        <v>0.21</v>
      </c>
      <c r="F237" s="93" t="n">
        <v>0.31</v>
      </c>
      <c r="G237" s="93" t="n"/>
      <c r="H237" s="93" t="n"/>
      <c r="I237" s="93" t="n"/>
      <c r="J237" s="93" t="n"/>
      <c r="K237" s="93" t="n"/>
      <c r="L237" s="190">
        <f>E237*Prices!B$2</f>
        <v/>
      </c>
      <c r="M237" s="190">
        <f>F237*Prices!C$2</f>
        <v/>
      </c>
      <c r="N237" s="190">
        <f>G237*Prices!D$2</f>
        <v/>
      </c>
      <c r="O237" s="190">
        <f>H237*Prices!E$2</f>
        <v/>
      </c>
      <c r="P237" s="190">
        <f>I237*2000+J237*10000+K237*1800</f>
        <v/>
      </c>
      <c r="Q237" s="190">
        <f>D237*Prices!A$2</f>
        <v/>
      </c>
      <c r="R237" s="191">
        <f>L237+M237+N237+O237</f>
        <v/>
      </c>
      <c r="S237" s="190">
        <f>R237+Q237+P237</f>
        <v/>
      </c>
      <c r="T237" s="93" t="n">
        <v>236</v>
      </c>
      <c r="U237" s="93" t="inlineStr">
        <is>
          <t>Sold</t>
        </is>
      </c>
      <c r="V237" s="12" t="n"/>
      <c r="W237" s="12" t="n"/>
      <c r="X237" s="12" t="n"/>
      <c r="Y237" s="12" t="n"/>
      <c r="Z237" s="12" t="n"/>
    </row>
    <row r="238">
      <c r="A238" s="93" t="n">
        <v>237</v>
      </c>
      <c r="B238" s="93" t="n">
        <v>4.172</v>
      </c>
      <c r="C238" s="93">
        <f>B238*(25/100)</f>
        <v/>
      </c>
      <c r="D238" s="93">
        <f>C238+B238</f>
        <v/>
      </c>
      <c r="E238" s="93" t="n">
        <v>0.02</v>
      </c>
      <c r="F238" s="93" t="n"/>
      <c r="G238" s="93" t="n">
        <v>0.62</v>
      </c>
      <c r="H238" s="93" t="n"/>
      <c r="I238" s="93" t="n"/>
      <c r="J238" s="93" t="n"/>
      <c r="K238" s="93" t="n"/>
      <c r="L238" s="190">
        <f>E238*Prices!B$2</f>
        <v/>
      </c>
      <c r="M238" s="190">
        <f>F238*Prices!C$2</f>
        <v/>
      </c>
      <c r="N238" s="190">
        <f>G238*Prices!D$2</f>
        <v/>
      </c>
      <c r="O238" s="190">
        <f>H238*Prices!E$2</f>
        <v/>
      </c>
      <c r="P238" s="190">
        <f>I238*2000+J238*10000+K238*1800</f>
        <v/>
      </c>
      <c r="Q238" s="190">
        <f>D238*Prices!A$2</f>
        <v/>
      </c>
      <c r="R238" s="191">
        <f>L238+M238+N238+O238</f>
        <v/>
      </c>
      <c r="S238" s="190">
        <f>R238+Q238+P238</f>
        <v/>
      </c>
      <c r="T238" s="93" t="n">
        <v>237</v>
      </c>
      <c r="U238" s="93" t="inlineStr">
        <is>
          <t>Available</t>
        </is>
      </c>
      <c r="V238" s="12" t="inlineStr">
        <is>
          <t>A</t>
        </is>
      </c>
      <c r="W238" s="12" t="n"/>
      <c r="X238" s="12" t="n"/>
      <c r="Y238" s="12" t="n"/>
      <c r="Z238" s="12" t="n"/>
    </row>
    <row r="239">
      <c r="A239" s="93" t="n">
        <v>238</v>
      </c>
      <c r="B239" s="93" t="n">
        <v>4.124</v>
      </c>
      <c r="C239" s="93">
        <f>B239*(25/100)</f>
        <v/>
      </c>
      <c r="D239" s="93">
        <f>C239+B239</f>
        <v/>
      </c>
      <c r="E239" s="93" t="n">
        <v>0.53</v>
      </c>
      <c r="F239" s="93" t="n"/>
      <c r="G239" s="93" t="n"/>
      <c r="H239" s="93" t="n"/>
      <c r="I239" s="93" t="n"/>
      <c r="J239" s="93" t="n"/>
      <c r="K239" s="93" t="n"/>
      <c r="L239" s="190">
        <f>E239*Prices!B$2</f>
        <v/>
      </c>
      <c r="M239" s="190">
        <f>F239*Prices!C$2</f>
        <v/>
      </c>
      <c r="N239" s="190">
        <f>G239*Prices!D$2</f>
        <v/>
      </c>
      <c r="O239" s="190">
        <f>H239*Prices!E$2</f>
        <v/>
      </c>
      <c r="P239" s="190">
        <f>I239*2000+J239*10000+K239*1800</f>
        <v/>
      </c>
      <c r="Q239" s="190">
        <f>D239*Prices!A$2</f>
        <v/>
      </c>
      <c r="R239" s="191">
        <f>L239+M239+N239+O239</f>
        <v/>
      </c>
      <c r="S239" s="190">
        <f>R239+Q239+P239</f>
        <v/>
      </c>
      <c r="T239" s="93" t="n">
        <v>238</v>
      </c>
      <c r="U239" s="93" t="inlineStr">
        <is>
          <t>Sold</t>
        </is>
      </c>
      <c r="V239" s="12" t="n"/>
      <c r="W239" s="12" t="n"/>
      <c r="X239" s="12" t="n"/>
      <c r="Y239" s="12" t="n"/>
      <c r="Z239" s="12" t="n"/>
    </row>
    <row r="240">
      <c r="A240" s="93" t="n">
        <v>239</v>
      </c>
      <c r="B240" s="93" t="n">
        <v>3.338</v>
      </c>
      <c r="C240" s="93">
        <f>B240*(25/100)</f>
        <v/>
      </c>
      <c r="D240" s="93">
        <f>C240+B240</f>
        <v/>
      </c>
      <c r="E240" s="93" t="n">
        <v>0.41</v>
      </c>
      <c r="F240" s="93" t="n"/>
      <c r="G240" s="93" t="n"/>
      <c r="H240" s="93" t="n"/>
      <c r="I240" s="93" t="n"/>
      <c r="J240" s="93" t="n"/>
      <c r="K240" s="93" t="n"/>
      <c r="L240" s="190">
        <f>E240*Prices!B$2</f>
        <v/>
      </c>
      <c r="M240" s="190">
        <f>F240*Prices!C$2</f>
        <v/>
      </c>
      <c r="N240" s="190">
        <f>G240*Prices!D$2</f>
        <v/>
      </c>
      <c r="O240" s="190">
        <f>H240*Prices!E$2</f>
        <v/>
      </c>
      <c r="P240" s="190">
        <f>I240*2000+J240*10000+K240*1800</f>
        <v/>
      </c>
      <c r="Q240" s="190">
        <f>D240*Prices!A$2</f>
        <v/>
      </c>
      <c r="R240" s="191">
        <f>L240+M240+N240+O240</f>
        <v/>
      </c>
      <c r="S240" s="190">
        <f>R240+Q240+P240</f>
        <v/>
      </c>
      <c r="T240" s="93" t="n">
        <v>239</v>
      </c>
      <c r="U240" s="93" t="inlineStr">
        <is>
          <t>Sold</t>
        </is>
      </c>
      <c r="V240" s="12" t="n"/>
      <c r="W240" s="12" t="n"/>
      <c r="X240" s="12" t="n"/>
      <c r="Y240" s="12" t="n"/>
      <c r="Z240" s="12" t="n"/>
    </row>
    <row r="241">
      <c r="A241" s="93" t="n">
        <v>240</v>
      </c>
      <c r="B241" s="93" t="n">
        <v>5.238</v>
      </c>
      <c r="C241" s="93">
        <f>B241*(25/100)</f>
        <v/>
      </c>
      <c r="D241" s="93">
        <f>C241+B241</f>
        <v/>
      </c>
      <c r="E241" s="93" t="n">
        <v>0.86</v>
      </c>
      <c r="F241" s="93" t="n"/>
      <c r="G241" s="93" t="n"/>
      <c r="H241" s="93" t="n"/>
      <c r="I241" s="93" t="n"/>
      <c r="J241" s="93" t="n"/>
      <c r="K241" s="93" t="n">
        <v>4.25</v>
      </c>
      <c r="L241" s="190">
        <f>E241*Prices!B$2</f>
        <v/>
      </c>
      <c r="M241" s="190">
        <f>F241*Prices!C$2</f>
        <v/>
      </c>
      <c r="N241" s="190">
        <f>G241*Prices!D$2</f>
        <v/>
      </c>
      <c r="O241" s="190">
        <f>H241*Prices!E$2</f>
        <v/>
      </c>
      <c r="P241" s="190">
        <f>I241*2000+J241*10000+K241*1800</f>
        <v/>
      </c>
      <c r="Q241" s="190">
        <f>D241*Prices!A$2</f>
        <v/>
      </c>
      <c r="R241" s="191">
        <f>L241+M241+N241+O241</f>
        <v/>
      </c>
      <c r="S241" s="190">
        <f>R241+Q241+P241</f>
        <v/>
      </c>
      <c r="T241" s="93" t="n">
        <v>240</v>
      </c>
      <c r="U241" s="93" t="inlineStr">
        <is>
          <t>Available</t>
        </is>
      </c>
      <c r="V241" s="12" t="inlineStr">
        <is>
          <t>A</t>
        </is>
      </c>
      <c r="W241" s="12" t="n"/>
      <c r="X241" s="12" t="n"/>
      <c r="Y241" s="12" t="n"/>
      <c r="Z241" s="12" t="n"/>
    </row>
    <row r="242">
      <c r="A242" s="93" t="n">
        <v>241</v>
      </c>
      <c r="B242" s="93" t="n">
        <v>4.28</v>
      </c>
      <c r="C242" s="93">
        <f>B242*(25/100)</f>
        <v/>
      </c>
      <c r="D242" s="93">
        <f>C242+B242</f>
        <v/>
      </c>
      <c r="E242" s="93" t="n">
        <v>0.45</v>
      </c>
      <c r="F242" s="93" t="n"/>
      <c r="G242" s="93" t="n"/>
      <c r="H242" s="93" t="n"/>
      <c r="I242" s="93" t="n"/>
      <c r="J242" s="93" t="n"/>
      <c r="K242" s="93" t="n">
        <v>3.7</v>
      </c>
      <c r="L242" s="190">
        <f>E242*Prices!B$2</f>
        <v/>
      </c>
      <c r="M242" s="190">
        <f>F242*Prices!C$2</f>
        <v/>
      </c>
      <c r="N242" s="190">
        <f>G242*Prices!D$2</f>
        <v/>
      </c>
      <c r="O242" s="190">
        <f>H242*Prices!E$2</f>
        <v/>
      </c>
      <c r="P242" s="190">
        <f>I242*2000+J242*10000+K242*1800</f>
        <v/>
      </c>
      <c r="Q242" s="190">
        <f>D242*Prices!A$2</f>
        <v/>
      </c>
      <c r="R242" s="191">
        <f>L242+M242+N242+O242</f>
        <v/>
      </c>
      <c r="S242" s="190">
        <f>R242+Q242+P242</f>
        <v/>
      </c>
      <c r="T242" s="93" t="n">
        <v>241</v>
      </c>
      <c r="U242" s="93" t="inlineStr">
        <is>
          <t>Available</t>
        </is>
      </c>
      <c r="V242" s="12" t="inlineStr">
        <is>
          <t>A</t>
        </is>
      </c>
      <c r="W242" s="12" t="n"/>
      <c r="X242" s="12" t="n"/>
      <c r="Y242" s="12" t="n"/>
      <c r="Z242" s="12" t="n"/>
    </row>
    <row r="243">
      <c r="A243" s="93" t="n">
        <v>242</v>
      </c>
      <c r="B243" s="93" t="n">
        <v>4.114</v>
      </c>
      <c r="C243" s="93">
        <f>B243*(25/100)</f>
        <v/>
      </c>
      <c r="D243" s="93">
        <f>C243+B243</f>
        <v/>
      </c>
      <c r="E243" s="93" t="n"/>
      <c r="F243" s="93" t="n">
        <v>0.93</v>
      </c>
      <c r="G243" s="93" t="n"/>
      <c r="H243" s="93" t="n"/>
      <c r="I243" s="93" t="n"/>
      <c r="J243" s="93" t="n"/>
      <c r="K243" s="93" t="n"/>
      <c r="L243" s="190">
        <f>E243*Prices!B$2</f>
        <v/>
      </c>
      <c r="M243" s="190">
        <f>F243*Prices!C$2</f>
        <v/>
      </c>
      <c r="N243" s="190">
        <f>G243*Prices!D$2</f>
        <v/>
      </c>
      <c r="O243" s="190">
        <f>H243*Prices!E$2</f>
        <v/>
      </c>
      <c r="P243" s="190">
        <f>I243*2000+J243*10000+K243*1800</f>
        <v/>
      </c>
      <c r="Q243" s="190">
        <f>D243*Prices!A$2</f>
        <v/>
      </c>
      <c r="R243" s="191">
        <f>L243+M243+N243+O243</f>
        <v/>
      </c>
      <c r="S243" s="190">
        <f>R243+Q243+P243</f>
        <v/>
      </c>
      <c r="T243" s="93" t="n">
        <v>242</v>
      </c>
      <c r="U243" s="93" t="inlineStr">
        <is>
          <t>Available</t>
        </is>
      </c>
      <c r="V243" s="12" t="inlineStr">
        <is>
          <t>A</t>
        </is>
      </c>
      <c r="W243" s="12" t="n"/>
      <c r="X243" s="12" t="n"/>
      <c r="Y243" s="12" t="n"/>
      <c r="Z243" s="12" t="n"/>
    </row>
    <row r="244">
      <c r="A244" s="93" t="n">
        <v>243</v>
      </c>
      <c r="B244" s="93" t="n">
        <v>2.858</v>
      </c>
      <c r="C244" s="93">
        <f>B244*(25/100)</f>
        <v/>
      </c>
      <c r="D244" s="93">
        <f>C244+B244</f>
        <v/>
      </c>
      <c r="E244" s="93" t="n">
        <v>0.91</v>
      </c>
      <c r="F244" s="93" t="n"/>
      <c r="G244" s="93" t="n"/>
      <c r="H244" s="93" t="n"/>
      <c r="I244" s="93" t="n"/>
      <c r="J244" s="93" t="n"/>
      <c r="K244" s="93" t="n"/>
      <c r="L244" s="190">
        <f>E244*Prices!B$2</f>
        <v/>
      </c>
      <c r="M244" s="190">
        <f>F244*Prices!C$2</f>
        <v/>
      </c>
      <c r="N244" s="190">
        <f>G244*Prices!D$2</f>
        <v/>
      </c>
      <c r="O244" s="190">
        <f>H244*Prices!E$2</f>
        <v/>
      </c>
      <c r="P244" s="190">
        <f>I244*2000+J244*10000+K244*1800</f>
        <v/>
      </c>
      <c r="Q244" s="190">
        <f>D244*Prices!A$2</f>
        <v/>
      </c>
      <c r="R244" s="191">
        <f>L244+M244+N244+O244</f>
        <v/>
      </c>
      <c r="S244" s="190">
        <f>R244+Q244+P244</f>
        <v/>
      </c>
      <c r="T244" s="93" t="n">
        <v>243</v>
      </c>
      <c r="U244" s="93" t="inlineStr">
        <is>
          <t>Sold</t>
        </is>
      </c>
      <c r="V244" s="12" t="n"/>
      <c r="W244" s="12" t="n"/>
      <c r="X244" s="12" t="n"/>
      <c r="Y244" s="12" t="n"/>
      <c r="Z244" s="12" t="n"/>
    </row>
    <row r="245">
      <c r="A245" s="93" t="n">
        <v>244</v>
      </c>
      <c r="B245" s="93" t="n">
        <v>2.54</v>
      </c>
      <c r="C245" s="93">
        <f>B245*(25/100)</f>
        <v/>
      </c>
      <c r="D245" s="93">
        <f>C245+B245</f>
        <v/>
      </c>
      <c r="E245" s="93" t="n">
        <v>0.4</v>
      </c>
      <c r="F245" s="93" t="n"/>
      <c r="G245" s="93" t="n"/>
      <c r="H245" s="93" t="n"/>
      <c r="I245" s="93" t="n"/>
      <c r="J245" s="93" t="n"/>
      <c r="K245" s="93" t="n"/>
      <c r="L245" s="190">
        <f>E245*Prices!B$2</f>
        <v/>
      </c>
      <c r="M245" s="190">
        <f>F245*Prices!C$2</f>
        <v/>
      </c>
      <c r="N245" s="190">
        <f>G245*Prices!D$2</f>
        <v/>
      </c>
      <c r="O245" s="190">
        <f>H245*Prices!E$2</f>
        <v/>
      </c>
      <c r="P245" s="190">
        <f>I245*2000+J245*10000+K245*1800</f>
        <v/>
      </c>
      <c r="Q245" s="190">
        <f>D245*Prices!A$2</f>
        <v/>
      </c>
      <c r="R245" s="191">
        <f>L245+M245+N245+O245</f>
        <v/>
      </c>
      <c r="S245" s="190">
        <f>R245+Q245+P245</f>
        <v/>
      </c>
      <c r="T245" s="93" t="n">
        <v>244</v>
      </c>
      <c r="U245" s="26" t="inlineStr">
        <is>
          <t>Sold</t>
        </is>
      </c>
      <c r="V245" s="12" t="n"/>
      <c r="W245" s="12" t="n"/>
      <c r="X245" s="12" t="n"/>
      <c r="Y245" s="12" t="n"/>
      <c r="Z245" s="12" t="n"/>
    </row>
    <row r="246">
      <c r="A246" s="93" t="n">
        <v>245</v>
      </c>
      <c r="B246" s="93" t="n">
        <v>5.64</v>
      </c>
      <c r="C246" s="93">
        <f>B246*(25/100)</f>
        <v/>
      </c>
      <c r="D246" s="93">
        <f>C246+B246</f>
        <v/>
      </c>
      <c r="E246" s="93" t="n">
        <v>0.76</v>
      </c>
      <c r="F246" s="93" t="n"/>
      <c r="G246" s="93" t="n"/>
      <c r="H246" s="93" t="n"/>
      <c r="I246" s="93" t="n"/>
      <c r="J246" s="93" t="n"/>
      <c r="K246" s="93" t="n"/>
      <c r="L246" s="190">
        <f>E246*Prices!B$2</f>
        <v/>
      </c>
      <c r="M246" s="190">
        <f>F246*Prices!C$2</f>
        <v/>
      </c>
      <c r="N246" s="190">
        <f>G246*Prices!D$2</f>
        <v/>
      </c>
      <c r="O246" s="190">
        <f>H246*Prices!E$2</f>
        <v/>
      </c>
      <c r="P246" s="190">
        <f>I246*2000+J246*10000+K246*1800</f>
        <v/>
      </c>
      <c r="Q246" s="190">
        <f>D246*Prices!A$2</f>
        <v/>
      </c>
      <c r="R246" s="191">
        <f>L246+M246+N246+O246</f>
        <v/>
      </c>
      <c r="S246" s="190">
        <f>R246+Q246+P246</f>
        <v/>
      </c>
      <c r="T246" s="93" t="n">
        <v>245</v>
      </c>
      <c r="U246" s="93" t="inlineStr">
        <is>
          <t>Available</t>
        </is>
      </c>
      <c r="V246" s="12" t="inlineStr">
        <is>
          <t>A</t>
        </is>
      </c>
      <c r="W246" s="12" t="n"/>
      <c r="X246" s="12" t="n"/>
      <c r="Y246" s="12" t="n"/>
      <c r="Z246" s="12" t="n"/>
    </row>
    <row r="247">
      <c r="A247" s="93" t="n">
        <v>246</v>
      </c>
      <c r="B247" s="93" t="n">
        <v>5.7</v>
      </c>
      <c r="C247" s="93">
        <f>B247*(25/100)</f>
        <v/>
      </c>
      <c r="D247" s="93">
        <f>C247+B247</f>
        <v/>
      </c>
      <c r="E247" s="93" t="n">
        <v>1.2</v>
      </c>
      <c r="F247" s="93" t="n"/>
      <c r="G247" s="93" t="n"/>
      <c r="H247" s="93" t="n"/>
      <c r="I247" s="93" t="n"/>
      <c r="J247" s="93" t="n"/>
      <c r="K247" s="93" t="n"/>
      <c r="L247" s="190">
        <f>E247*Prices!B$2</f>
        <v/>
      </c>
      <c r="M247" s="190">
        <f>F247*Prices!C$2</f>
        <v/>
      </c>
      <c r="N247" s="190">
        <f>G247*Prices!D$2</f>
        <v/>
      </c>
      <c r="O247" s="190">
        <f>H247*Prices!E$2</f>
        <v/>
      </c>
      <c r="P247" s="190">
        <f>I247*2000+J247*10000+K247*1800</f>
        <v/>
      </c>
      <c r="Q247" s="190">
        <f>D247*Prices!A$2</f>
        <v/>
      </c>
      <c r="R247" s="191">
        <f>L247+M247+N247+O247</f>
        <v/>
      </c>
      <c r="S247" s="190">
        <f>R247+Q247+P247</f>
        <v/>
      </c>
      <c r="T247" s="93" t="n">
        <v>246</v>
      </c>
      <c r="U247" s="26" t="inlineStr">
        <is>
          <t>Sold</t>
        </is>
      </c>
      <c r="V247" s="12" t="n"/>
      <c r="W247" s="12" t="n"/>
      <c r="X247" s="12" t="n"/>
      <c r="Y247" s="12" t="n"/>
      <c r="Z247" s="12" t="n"/>
    </row>
    <row r="248">
      <c r="A248" s="93" t="n">
        <v>247</v>
      </c>
      <c r="B248" s="93" t="n">
        <v>4.79</v>
      </c>
      <c r="C248" s="93">
        <f>B248*(25/100)</f>
        <v/>
      </c>
      <c r="D248" s="93">
        <f>C248+B248</f>
        <v/>
      </c>
      <c r="E248" s="93" t="n">
        <v>1.94</v>
      </c>
      <c r="F248" s="93" t="n"/>
      <c r="G248" s="93" t="n"/>
      <c r="H248" s="93" t="n"/>
      <c r="I248" s="93" t="n"/>
      <c r="J248" s="93" t="n"/>
      <c r="K248" s="93" t="n"/>
      <c r="L248" s="190">
        <f>E248*Prices!B$2</f>
        <v/>
      </c>
      <c r="M248" s="190">
        <f>F248*Prices!C$2</f>
        <v/>
      </c>
      <c r="N248" s="190">
        <f>G248*Prices!D$2</f>
        <v/>
      </c>
      <c r="O248" s="190">
        <f>H248*Prices!E$2</f>
        <v/>
      </c>
      <c r="P248" s="190">
        <f>I248*2000+J248*10000+K248*1800</f>
        <v/>
      </c>
      <c r="Q248" s="190">
        <f>D248*Prices!A$2</f>
        <v/>
      </c>
      <c r="R248" s="191">
        <f>L248+M248+N248+O248</f>
        <v/>
      </c>
      <c r="S248" s="190">
        <f>R248+Q248+P248</f>
        <v/>
      </c>
      <c r="T248" s="93" t="n">
        <v>247</v>
      </c>
      <c r="U248" s="93" t="inlineStr">
        <is>
          <t>Sold</t>
        </is>
      </c>
      <c r="V248" s="12" t="n"/>
      <c r="W248" s="12" t="n"/>
      <c r="X248" s="12" t="n"/>
      <c r="Y248" s="12" t="n"/>
      <c r="Z248" s="12" t="n"/>
    </row>
    <row r="249">
      <c r="A249" s="93" t="n">
        <v>248</v>
      </c>
      <c r="B249" s="93" t="n">
        <v>2.296</v>
      </c>
      <c r="C249" s="93">
        <f>B249*(25/100)</f>
        <v/>
      </c>
      <c r="D249" s="93">
        <f>C249+B249</f>
        <v/>
      </c>
      <c r="E249" s="93" t="n">
        <v>0.22</v>
      </c>
      <c r="F249" s="93" t="n"/>
      <c r="G249" s="93" t="n"/>
      <c r="H249" s="93" t="n"/>
      <c r="I249" s="93" t="n"/>
      <c r="J249" s="93" t="n"/>
      <c r="K249" s="93" t="n"/>
      <c r="L249" s="190">
        <f>E249*Prices!B$2</f>
        <v/>
      </c>
      <c r="M249" s="190">
        <f>F249*Prices!C$2</f>
        <v/>
      </c>
      <c r="N249" s="190">
        <f>G249*Prices!D$2</f>
        <v/>
      </c>
      <c r="O249" s="190">
        <f>H249*Prices!E$2</f>
        <v/>
      </c>
      <c r="P249" s="190">
        <f>I249*2000+J249*10000+K249*1800</f>
        <v/>
      </c>
      <c r="Q249" s="190">
        <f>D249*Prices!A$2</f>
        <v/>
      </c>
      <c r="R249" s="191">
        <f>L249+M249+N249+O249</f>
        <v/>
      </c>
      <c r="S249" s="190">
        <f>R249+Q249+P249</f>
        <v/>
      </c>
      <c r="T249" s="93" t="n">
        <v>248</v>
      </c>
      <c r="U249" s="93" t="inlineStr">
        <is>
          <t>Available</t>
        </is>
      </c>
      <c r="V249" s="12" t="inlineStr">
        <is>
          <t>A</t>
        </is>
      </c>
      <c r="W249" s="12" t="n"/>
      <c r="X249" s="12" t="n"/>
      <c r="Y249" s="12" t="n"/>
      <c r="Z249" s="12" t="n"/>
    </row>
    <row r="250">
      <c r="A250" s="93" t="n">
        <v>249</v>
      </c>
      <c r="B250" s="93" t="n">
        <v>3.12</v>
      </c>
      <c r="C250" s="93">
        <f>B250*(25/100)</f>
        <v/>
      </c>
      <c r="D250" s="93">
        <f>C250+B250</f>
        <v/>
      </c>
      <c r="E250" s="93" t="n">
        <v>0.31</v>
      </c>
      <c r="F250" s="93" t="n"/>
      <c r="G250" s="93" t="n"/>
      <c r="H250" s="93" t="n"/>
      <c r="I250" s="93" t="n"/>
      <c r="J250" s="93" t="n"/>
      <c r="K250" s="93" t="n">
        <v>4.99</v>
      </c>
      <c r="L250" s="190">
        <f>E250*Prices!B$2</f>
        <v/>
      </c>
      <c r="M250" s="190">
        <f>F250*Prices!C$2</f>
        <v/>
      </c>
      <c r="N250" s="190">
        <f>G250*Prices!D$2</f>
        <v/>
      </c>
      <c r="O250" s="190">
        <f>H250*Prices!E$2</f>
        <v/>
      </c>
      <c r="P250" s="190">
        <f>I250*2000+J250*10000+K250*1800</f>
        <v/>
      </c>
      <c r="Q250" s="190">
        <f>D250*Prices!A$2</f>
        <v/>
      </c>
      <c r="R250" s="191">
        <f>L250+M250+N250+O250</f>
        <v/>
      </c>
      <c r="S250" s="190">
        <f>R250+Q250+P250</f>
        <v/>
      </c>
      <c r="T250" s="93" t="n">
        <v>249</v>
      </c>
      <c r="U250" s="93" t="inlineStr">
        <is>
          <t>Available</t>
        </is>
      </c>
      <c r="V250" s="12" t="inlineStr">
        <is>
          <t>A</t>
        </is>
      </c>
      <c r="W250" s="12" t="n"/>
      <c r="X250" s="12" t="n"/>
      <c r="Y250" s="12" t="n"/>
      <c r="Z250" s="12" t="n"/>
    </row>
    <row r="251">
      <c r="A251" s="93" t="n">
        <v>250</v>
      </c>
      <c r="B251" s="93" t="n">
        <v>3.99</v>
      </c>
      <c r="C251" s="93">
        <f>B251*(25/100)</f>
        <v/>
      </c>
      <c r="D251" s="93">
        <f>C251+B251</f>
        <v/>
      </c>
      <c r="E251" s="93" t="n">
        <v>0.5</v>
      </c>
      <c r="F251" s="93" t="n"/>
      <c r="G251" s="93" t="n"/>
      <c r="H251" s="93" t="n"/>
      <c r="I251" s="93" t="n"/>
      <c r="J251" s="93" t="n"/>
      <c r="K251" s="93" t="n"/>
      <c r="L251" s="190">
        <f>E251*Prices!B$2</f>
        <v/>
      </c>
      <c r="M251" s="190">
        <f>F251*Prices!C$2</f>
        <v/>
      </c>
      <c r="N251" s="190">
        <f>G251*Prices!D$2</f>
        <v/>
      </c>
      <c r="O251" s="190">
        <f>H251*Prices!E$2</f>
        <v/>
      </c>
      <c r="P251" s="190">
        <f>I251*2000+J251*10000+K251*1800</f>
        <v/>
      </c>
      <c r="Q251" s="190">
        <f>D251*Prices!A$2</f>
        <v/>
      </c>
      <c r="R251" s="191">
        <f>L251+M251+N251+O251</f>
        <v/>
      </c>
      <c r="S251" s="190">
        <f>R251+Q251+P251</f>
        <v/>
      </c>
      <c r="T251" s="93" t="n">
        <v>250</v>
      </c>
      <c r="U251" s="93" t="inlineStr">
        <is>
          <t>Available</t>
        </is>
      </c>
      <c r="V251" s="12" t="inlineStr">
        <is>
          <t>A</t>
        </is>
      </c>
      <c r="W251" s="12" t="n"/>
      <c r="X251" s="12" t="n"/>
      <c r="Y251" s="12" t="n"/>
      <c r="Z251" s="12" t="n"/>
    </row>
    <row r="252">
      <c r="A252" s="93" t="n">
        <v>251</v>
      </c>
      <c r="B252" s="93" t="n">
        <v>2.532</v>
      </c>
      <c r="C252" s="93">
        <f>B252*(25/100)</f>
        <v/>
      </c>
      <c r="D252" s="93">
        <f>C252+B252</f>
        <v/>
      </c>
      <c r="E252" s="93" t="n">
        <v>0.46</v>
      </c>
      <c r="F252" s="93" t="n"/>
      <c r="G252" s="93" t="n"/>
      <c r="H252" s="93" t="n"/>
      <c r="I252" s="93" t="n"/>
      <c r="J252" s="93" t="n">
        <v>0.63</v>
      </c>
      <c r="K252" s="93" t="n"/>
      <c r="L252" s="190">
        <f>E252*Prices!B$2</f>
        <v/>
      </c>
      <c r="M252" s="190">
        <f>F252*Prices!C$2</f>
        <v/>
      </c>
      <c r="N252" s="190">
        <f>G252*Prices!D$2</f>
        <v/>
      </c>
      <c r="O252" s="190">
        <f>H252*Prices!E$2</f>
        <v/>
      </c>
      <c r="P252" s="190">
        <f>I252*2000+J252*10000+K252*1800</f>
        <v/>
      </c>
      <c r="Q252" s="190">
        <f>D252*Prices!A$2</f>
        <v/>
      </c>
      <c r="R252" s="191">
        <f>L252+M252+N252+O252</f>
        <v/>
      </c>
      <c r="S252" s="190">
        <f>R252+Q252+P252</f>
        <v/>
      </c>
      <c r="T252" s="93" t="n">
        <v>251</v>
      </c>
      <c r="U252" s="93" t="inlineStr">
        <is>
          <t>Available</t>
        </is>
      </c>
      <c r="V252" s="12" t="inlineStr">
        <is>
          <t>A</t>
        </is>
      </c>
      <c r="W252" s="12" t="n"/>
      <c r="X252" s="12" t="n"/>
      <c r="Y252" s="12" t="n"/>
      <c r="Z252" s="12" t="n"/>
    </row>
    <row r="253">
      <c r="A253" s="93" t="n">
        <v>252</v>
      </c>
      <c r="B253" s="93" t="n">
        <v>2.486</v>
      </c>
      <c r="C253" s="93">
        <f>B253*(25/100)</f>
        <v/>
      </c>
      <c r="D253" s="93">
        <f>C253+B253</f>
        <v/>
      </c>
      <c r="E253" s="93" t="n">
        <v>0.22</v>
      </c>
      <c r="F253" s="93" t="n"/>
      <c r="G253" s="93" t="n"/>
      <c r="H253" s="93" t="n"/>
      <c r="I253" s="93" t="n"/>
      <c r="J253" s="93" t="n">
        <v>0.55</v>
      </c>
      <c r="K253" s="93" t="n"/>
      <c r="L253" s="190">
        <f>E253*Prices!B$2</f>
        <v/>
      </c>
      <c r="M253" s="190">
        <f>F253*Prices!C$2</f>
        <v/>
      </c>
      <c r="N253" s="190">
        <f>G253*Prices!D$2</f>
        <v/>
      </c>
      <c r="O253" s="190">
        <f>H253*Prices!E$2</f>
        <v/>
      </c>
      <c r="P253" s="190">
        <f>I253*2000+J253*10000+K253*1800</f>
        <v/>
      </c>
      <c r="Q253" s="190">
        <f>D253*Prices!A$2</f>
        <v/>
      </c>
      <c r="R253" s="191">
        <f>L253+M253+N253+O253</f>
        <v/>
      </c>
      <c r="S253" s="190">
        <f>R253+Q253+P253</f>
        <v/>
      </c>
      <c r="T253" s="93" t="n">
        <v>252</v>
      </c>
      <c r="U253" s="93" t="inlineStr">
        <is>
          <t>Sold</t>
        </is>
      </c>
      <c r="V253" s="12" t="n"/>
      <c r="W253" s="12" t="n"/>
      <c r="X253" s="12" t="n"/>
      <c r="Y253" s="12" t="n"/>
      <c r="Z253" s="12" t="n"/>
    </row>
    <row r="254">
      <c r="A254" s="93" t="n">
        <v>253</v>
      </c>
      <c r="B254" s="93" t="n">
        <v>2.924</v>
      </c>
      <c r="C254" s="93">
        <f>B254*(25/100)</f>
        <v/>
      </c>
      <c r="D254" s="93">
        <f>C254+B254</f>
        <v/>
      </c>
      <c r="E254" s="93" t="n">
        <v>0.31</v>
      </c>
      <c r="F254" s="93" t="n"/>
      <c r="G254" s="93" t="n"/>
      <c r="H254" s="93" t="n"/>
      <c r="I254" s="93" t="n"/>
      <c r="J254" s="93" t="n"/>
      <c r="K254" s="93" t="n">
        <v>2.07</v>
      </c>
      <c r="L254" s="190">
        <f>E254*Prices!B$2</f>
        <v/>
      </c>
      <c r="M254" s="190">
        <f>F254*Prices!C$2</f>
        <v/>
      </c>
      <c r="N254" s="190">
        <f>G254*Prices!D$2</f>
        <v/>
      </c>
      <c r="O254" s="190">
        <f>H254*Prices!E$2</f>
        <v/>
      </c>
      <c r="P254" s="190">
        <f>I254*2000+J254*10000+K254*1800</f>
        <v/>
      </c>
      <c r="Q254" s="190">
        <f>D254*Prices!A$2</f>
        <v/>
      </c>
      <c r="R254" s="191">
        <f>L254+M254+N254+O254</f>
        <v/>
      </c>
      <c r="S254" s="190">
        <f>R254+Q254+P254</f>
        <v/>
      </c>
      <c r="T254" s="93" t="n">
        <v>253</v>
      </c>
      <c r="U254" s="93" t="inlineStr">
        <is>
          <t>Available</t>
        </is>
      </c>
      <c r="V254" s="12" t="inlineStr">
        <is>
          <t>A</t>
        </is>
      </c>
      <c r="W254" s="12" t="n"/>
      <c r="X254" s="12" t="n"/>
      <c r="Y254" s="12" t="n"/>
      <c r="Z254" s="12" t="n"/>
    </row>
    <row r="255">
      <c r="A255" s="93" t="n">
        <v>254</v>
      </c>
      <c r="B255" s="93" t="n">
        <v>2.904</v>
      </c>
      <c r="C255" s="93">
        <f>B255*(25/100)</f>
        <v/>
      </c>
      <c r="D255" s="93">
        <f>C255+B255</f>
        <v/>
      </c>
      <c r="E255" s="93" t="n">
        <v>0.48</v>
      </c>
      <c r="F255" s="93" t="n"/>
      <c r="G255" s="93" t="n"/>
      <c r="H255" s="93" t="n"/>
      <c r="I255" s="93" t="n"/>
      <c r="J255" s="93" t="n">
        <v>0.55</v>
      </c>
      <c r="K255" s="93" t="n"/>
      <c r="L255" s="190">
        <f>E255*Prices!B$2</f>
        <v/>
      </c>
      <c r="M255" s="190">
        <f>F255*Prices!C$2</f>
        <v/>
      </c>
      <c r="N255" s="190">
        <f>G255*Prices!D$2</f>
        <v/>
      </c>
      <c r="O255" s="190">
        <f>H255*Prices!E$2</f>
        <v/>
      </c>
      <c r="P255" s="190">
        <f>I255*2000+J255*10000+K255*1800</f>
        <v/>
      </c>
      <c r="Q255" s="190">
        <f>D255*Prices!A$2</f>
        <v/>
      </c>
      <c r="R255" s="191">
        <f>L255+M255+N255+O255</f>
        <v/>
      </c>
      <c r="S255" s="190">
        <f>R255+Q255+P255</f>
        <v/>
      </c>
      <c r="T255" s="93" t="n">
        <v>254</v>
      </c>
      <c r="U255" s="93" t="inlineStr">
        <is>
          <t>Sold</t>
        </is>
      </c>
      <c r="V255" s="12" t="n"/>
      <c r="W255" s="12" t="n"/>
      <c r="X255" s="12" t="n"/>
      <c r="Y255" s="12" t="n"/>
      <c r="Z255" s="12" t="n"/>
    </row>
    <row r="256">
      <c r="A256" s="93" t="n">
        <v>255</v>
      </c>
      <c r="B256" s="93" t="n">
        <v>3.85</v>
      </c>
      <c r="C256" s="93">
        <f>B256*(25/100)</f>
        <v/>
      </c>
      <c r="D256" s="93">
        <f>C256+B256</f>
        <v/>
      </c>
      <c r="E256" s="93" t="n">
        <v>0.78</v>
      </c>
      <c r="F256" s="93" t="n"/>
      <c r="G256" s="93" t="n"/>
      <c r="H256" s="93" t="n"/>
      <c r="I256" s="93" t="n"/>
      <c r="J256" s="93" t="n"/>
      <c r="K256" s="93" t="n"/>
      <c r="L256" s="190">
        <f>E256*Prices!B$2</f>
        <v/>
      </c>
      <c r="M256" s="190">
        <f>F256*Prices!C$2</f>
        <v/>
      </c>
      <c r="N256" s="190">
        <f>G256*Prices!D$2</f>
        <v/>
      </c>
      <c r="O256" s="190">
        <f>H256*Prices!E$2</f>
        <v/>
      </c>
      <c r="P256" s="190">
        <f>I256*2000+J256*10000+K256*1800</f>
        <v/>
      </c>
      <c r="Q256" s="190">
        <f>D256*Prices!A$2</f>
        <v/>
      </c>
      <c r="R256" s="191">
        <f>L256+M256+N256+O256</f>
        <v/>
      </c>
      <c r="S256" s="190">
        <f>R256+Q256+P256</f>
        <v/>
      </c>
      <c r="T256" s="93" t="n">
        <v>255</v>
      </c>
      <c r="U256" s="93" t="inlineStr">
        <is>
          <t>Available</t>
        </is>
      </c>
      <c r="V256" s="12" t="inlineStr">
        <is>
          <t>A</t>
        </is>
      </c>
      <c r="W256" s="12" t="n"/>
      <c r="X256" s="12" t="n"/>
      <c r="Y256" s="12" t="n"/>
      <c r="Z256" s="12" t="n"/>
    </row>
    <row r="257">
      <c r="A257" s="93" t="n">
        <v>256</v>
      </c>
      <c r="B257" s="93" t="n">
        <v>3.905</v>
      </c>
      <c r="C257" s="93">
        <f>B257*(25/100)</f>
        <v/>
      </c>
      <c r="D257" s="93">
        <f>C257+B257</f>
        <v/>
      </c>
      <c r="E257" s="93" t="n">
        <v>0.34</v>
      </c>
      <c r="F257" s="93" t="n">
        <v>0.12</v>
      </c>
      <c r="G257" s="93" t="n"/>
      <c r="H257" s="93" t="n"/>
      <c r="I257" s="93" t="n"/>
      <c r="J257" s="93" t="n"/>
      <c r="K257" s="93" t="n"/>
      <c r="L257" s="190">
        <f>E257*Prices!B$2</f>
        <v/>
      </c>
      <c r="M257" s="190">
        <f>F257*Prices!C$2</f>
        <v/>
      </c>
      <c r="N257" s="190">
        <f>G257*Prices!D$2</f>
        <v/>
      </c>
      <c r="O257" s="190">
        <f>H257*Prices!E$2</f>
        <v/>
      </c>
      <c r="P257" s="190">
        <f>I257*2000+J257*10000+K257*1800</f>
        <v/>
      </c>
      <c r="Q257" s="190">
        <f>D257*Prices!A$2</f>
        <v/>
      </c>
      <c r="R257" s="191">
        <f>L257+M257+N257+O257</f>
        <v/>
      </c>
      <c r="S257" s="190">
        <f>R257+Q257+P257</f>
        <v/>
      </c>
      <c r="T257" s="93" t="n">
        <v>256</v>
      </c>
      <c r="U257" s="93" t="inlineStr">
        <is>
          <t>Available</t>
        </is>
      </c>
      <c r="V257" s="12" t="inlineStr">
        <is>
          <t>A</t>
        </is>
      </c>
      <c r="W257" s="12" t="n"/>
      <c r="X257" s="12" t="n"/>
      <c r="Y257" s="12" t="n"/>
      <c r="Z257" s="12" t="n"/>
    </row>
    <row r="258">
      <c r="A258" s="93" t="n">
        <v>257</v>
      </c>
      <c r="B258" s="93" t="n">
        <v>7.404</v>
      </c>
      <c r="C258" s="93">
        <f>B258*(25/100)</f>
        <v/>
      </c>
      <c r="D258" s="93">
        <f>C258+B258</f>
        <v/>
      </c>
      <c r="E258" s="93" t="n">
        <v>1.46</v>
      </c>
      <c r="F258" s="93" t="n"/>
      <c r="G258" s="93" t="n"/>
      <c r="H258" s="93" t="n"/>
      <c r="I258" s="93" t="n">
        <v>0.27</v>
      </c>
      <c r="J258" s="93" t="n"/>
      <c r="K258" s="93" t="n"/>
      <c r="L258" s="190">
        <f>E258*Prices!B$2</f>
        <v/>
      </c>
      <c r="M258" s="190">
        <f>F258*Prices!C$2</f>
        <v/>
      </c>
      <c r="N258" s="190">
        <f>G258*Prices!D$2</f>
        <v/>
      </c>
      <c r="O258" s="190">
        <f>H258*Prices!E$2</f>
        <v/>
      </c>
      <c r="P258" s="190">
        <f>I258*2000+J258*10000+K258*1800</f>
        <v/>
      </c>
      <c r="Q258" s="190">
        <f>D258*Prices!A$2</f>
        <v/>
      </c>
      <c r="R258" s="191">
        <f>L258+M258+N258+O258</f>
        <v/>
      </c>
      <c r="S258" s="190">
        <f>R258+Q258+P258</f>
        <v/>
      </c>
      <c r="T258" s="93" t="n">
        <v>257</v>
      </c>
      <c r="U258" s="26" t="inlineStr">
        <is>
          <t>Sold</t>
        </is>
      </c>
      <c r="V258" s="12" t="n"/>
      <c r="W258" s="12" t="n"/>
      <c r="X258" s="12" t="n"/>
      <c r="Y258" s="12" t="n"/>
      <c r="Z258" s="12" t="n"/>
    </row>
    <row r="259">
      <c r="A259" s="93" t="n">
        <v>258</v>
      </c>
      <c r="B259" s="93" t="n">
        <v>2.218</v>
      </c>
      <c r="C259" s="93">
        <f>B259*(25/100)</f>
        <v/>
      </c>
      <c r="D259" s="93">
        <f>C259+B259</f>
        <v/>
      </c>
      <c r="E259" s="93" t="n"/>
      <c r="F259" s="93" t="n"/>
      <c r="G259" s="93" t="n">
        <v>0.76</v>
      </c>
      <c r="H259" s="93" t="n"/>
      <c r="I259" s="93" t="n"/>
      <c r="J259" s="93" t="n"/>
      <c r="K259" s="93" t="n"/>
      <c r="L259" s="190">
        <f>E259*Prices!B$2</f>
        <v/>
      </c>
      <c r="M259" s="190">
        <f>F259*Prices!C$2</f>
        <v/>
      </c>
      <c r="N259" s="190">
        <f>G259*Prices!D$2</f>
        <v/>
      </c>
      <c r="O259" s="190">
        <f>H259*Prices!E$2</f>
        <v/>
      </c>
      <c r="P259" s="190">
        <f>I259*2000+J259*10000+K259*1800</f>
        <v/>
      </c>
      <c r="Q259" s="190">
        <f>D259*Prices!A$2</f>
        <v/>
      </c>
      <c r="R259" s="191">
        <f>L259+M259+N259+O259</f>
        <v/>
      </c>
      <c r="S259" s="190">
        <f>R259+Q259+P259</f>
        <v/>
      </c>
      <c r="T259" s="93" t="n">
        <v>258</v>
      </c>
      <c r="U259" s="93" t="inlineStr">
        <is>
          <t>Sold</t>
        </is>
      </c>
      <c r="V259" s="12" t="n"/>
      <c r="W259" s="12" t="n"/>
      <c r="X259" s="12" t="n"/>
      <c r="Y259" s="12" t="n"/>
      <c r="Z259" s="12" t="n"/>
    </row>
    <row r="260">
      <c r="A260" s="93" t="n">
        <v>259</v>
      </c>
      <c r="B260" s="93" t="n">
        <v>6.002</v>
      </c>
      <c r="C260" s="93">
        <f>B260*(25/100)</f>
        <v/>
      </c>
      <c r="D260" s="93">
        <f>C260+B260</f>
        <v/>
      </c>
      <c r="E260" s="93" t="n">
        <v>1.44</v>
      </c>
      <c r="F260" s="93" t="n"/>
      <c r="G260" s="93" t="n"/>
      <c r="H260" s="93" t="n"/>
      <c r="I260" s="93" t="n"/>
      <c r="J260" s="93" t="n"/>
      <c r="K260" s="93" t="n"/>
      <c r="L260" s="190">
        <f>E260*Prices!B$2</f>
        <v/>
      </c>
      <c r="M260" s="190">
        <f>F260*Prices!C$2</f>
        <v/>
      </c>
      <c r="N260" s="190">
        <f>G260*Prices!D$2</f>
        <v/>
      </c>
      <c r="O260" s="190">
        <f>H260*Prices!E$2</f>
        <v/>
      </c>
      <c r="P260" s="190">
        <f>I260*2000+J260*10000+K260*1800</f>
        <v/>
      </c>
      <c r="Q260" s="190">
        <f>D260*Prices!A$2</f>
        <v/>
      </c>
      <c r="R260" s="191">
        <f>L260+M260+N260+O260</f>
        <v/>
      </c>
      <c r="S260" s="190">
        <f>R260+Q260+P260</f>
        <v/>
      </c>
      <c r="T260" s="93" t="n">
        <v>259</v>
      </c>
      <c r="U260" s="93" t="inlineStr">
        <is>
          <t>Available</t>
        </is>
      </c>
      <c r="V260" s="12" t="n"/>
      <c r="W260" s="12" t="n"/>
      <c r="X260" s="12" t="n"/>
      <c r="Y260" s="12" t="n"/>
      <c r="Z260" s="12" t="n"/>
    </row>
    <row r="261">
      <c r="A261" s="93" t="n">
        <v>260</v>
      </c>
      <c r="B261" s="93" t="n">
        <v>1.82</v>
      </c>
      <c r="C261" s="93">
        <f>B261*(25/100)</f>
        <v/>
      </c>
      <c r="D261" s="93">
        <f>C261+B261</f>
        <v/>
      </c>
      <c r="E261" s="93" t="n">
        <v>0.33</v>
      </c>
      <c r="F261" s="93" t="n"/>
      <c r="G261" s="93" t="n"/>
      <c r="H261" s="93" t="n"/>
      <c r="I261" s="93" t="n"/>
      <c r="J261" s="93" t="n"/>
      <c r="K261" s="93" t="n"/>
      <c r="L261" s="190">
        <f>E261*Prices!B$2</f>
        <v/>
      </c>
      <c r="M261" s="190">
        <f>F261*Prices!C$2</f>
        <v/>
      </c>
      <c r="N261" s="190">
        <f>G261*Prices!D$2</f>
        <v/>
      </c>
      <c r="O261" s="190">
        <f>H261*Prices!E$2</f>
        <v/>
      </c>
      <c r="P261" s="190">
        <f>I261*2000+J261*10000+K261*1800</f>
        <v/>
      </c>
      <c r="Q261" s="190">
        <f>D261*Prices!A$2</f>
        <v/>
      </c>
      <c r="R261" s="191">
        <f>L261+M261+N261+O261</f>
        <v/>
      </c>
      <c r="S261" s="190">
        <f>R261+Q261+P261</f>
        <v/>
      </c>
      <c r="T261" s="93" t="n">
        <v>260</v>
      </c>
      <c r="U261" s="93" t="inlineStr">
        <is>
          <t>Available</t>
        </is>
      </c>
      <c r="V261" s="12" t="inlineStr">
        <is>
          <t>A</t>
        </is>
      </c>
      <c r="W261" s="12" t="n"/>
      <c r="X261" s="12" t="n"/>
      <c r="Y261" s="12" t="n"/>
      <c r="Z261" s="12" t="n"/>
    </row>
    <row r="262">
      <c r="A262" s="93" t="n">
        <v>261</v>
      </c>
      <c r="B262" s="93" t="n">
        <v>1.82</v>
      </c>
      <c r="C262" s="93">
        <f>B262*(25/100)</f>
        <v/>
      </c>
      <c r="D262" s="93">
        <f>C262+B262</f>
        <v/>
      </c>
      <c r="E262" s="93" t="n">
        <v>0.25</v>
      </c>
      <c r="F262" s="93" t="n"/>
      <c r="G262" s="93" t="n"/>
      <c r="H262" s="93" t="n"/>
      <c r="I262" s="93" t="n"/>
      <c r="J262" s="93" t="n"/>
      <c r="K262" s="93" t="n"/>
      <c r="L262" s="190">
        <f>E262*Prices!B$2</f>
        <v/>
      </c>
      <c r="M262" s="190">
        <f>F262*Prices!C$2</f>
        <v/>
      </c>
      <c r="N262" s="190">
        <f>G262*Prices!D$2</f>
        <v/>
      </c>
      <c r="O262" s="190">
        <f>H262*Prices!E$2</f>
        <v/>
      </c>
      <c r="P262" s="190">
        <f>I262*2000+J262*10000+K262*1800</f>
        <v/>
      </c>
      <c r="Q262" s="190">
        <f>D262*Prices!A$2</f>
        <v/>
      </c>
      <c r="R262" s="191">
        <f>L262+M262+N262+O262</f>
        <v/>
      </c>
      <c r="S262" s="190">
        <f>R262+Q262+P262</f>
        <v/>
      </c>
      <c r="T262" s="93" t="n">
        <v>261</v>
      </c>
      <c r="U262" s="93" t="inlineStr">
        <is>
          <t>Available</t>
        </is>
      </c>
      <c r="V262" s="12" t="inlineStr">
        <is>
          <t>A</t>
        </is>
      </c>
      <c r="W262" s="12" t="n"/>
      <c r="X262" s="12" t="n"/>
      <c r="Y262" s="12" t="n"/>
      <c r="Z262" s="12" t="n"/>
    </row>
    <row r="263">
      <c r="A263" s="93" t="n">
        <v>262</v>
      </c>
      <c r="B263" s="93" t="n">
        <v>4.556</v>
      </c>
      <c r="C263" s="93">
        <f>B263*(25/100)</f>
        <v/>
      </c>
      <c r="D263" s="93">
        <f>C263+B263</f>
        <v/>
      </c>
      <c r="E263" s="93" t="n">
        <v>0.87</v>
      </c>
      <c r="F263" s="93" t="n"/>
      <c r="G263" s="93" t="n"/>
      <c r="H263" s="93" t="n"/>
      <c r="I263" s="93" t="n"/>
      <c r="J263" s="93" t="n"/>
      <c r="K263" s="93" t="n"/>
      <c r="L263" s="190">
        <f>E263*Prices!B$2</f>
        <v/>
      </c>
      <c r="M263" s="190">
        <f>F263*Prices!C$2</f>
        <v/>
      </c>
      <c r="N263" s="190">
        <f>G263*Prices!D$2</f>
        <v/>
      </c>
      <c r="O263" s="190">
        <f>H263*Prices!E$2</f>
        <v/>
      </c>
      <c r="P263" s="190">
        <f>I263*2000+J263*10000+K263*1800</f>
        <v/>
      </c>
      <c r="Q263" s="190">
        <f>D263*Prices!A$2</f>
        <v/>
      </c>
      <c r="R263" s="191">
        <f>L263+M263+N263+O263</f>
        <v/>
      </c>
      <c r="S263" s="190">
        <f>R263+Q263+P263</f>
        <v/>
      </c>
      <c r="T263" s="93" t="n">
        <v>262</v>
      </c>
      <c r="U263" s="93" t="inlineStr">
        <is>
          <t>Sold</t>
        </is>
      </c>
      <c r="V263" s="12" t="n"/>
      <c r="W263" s="12" t="n"/>
      <c r="X263" s="12" t="n"/>
      <c r="Y263" s="12" t="n"/>
      <c r="Z263" s="12" t="n"/>
    </row>
    <row r="264">
      <c r="A264" s="93" t="n">
        <v>263</v>
      </c>
      <c r="B264" s="93" t="n">
        <v>3.474</v>
      </c>
      <c r="C264" s="93">
        <f>B264*(25/100)</f>
        <v/>
      </c>
      <c r="D264" s="93">
        <f>C264+B264</f>
        <v/>
      </c>
      <c r="E264" s="93" t="n">
        <v>0.88</v>
      </c>
      <c r="F264" s="93" t="n"/>
      <c r="G264" s="93" t="n"/>
      <c r="H264" s="93" t="n"/>
      <c r="I264" s="93" t="n"/>
      <c r="J264" s="93" t="n"/>
      <c r="K264" s="93" t="n"/>
      <c r="L264" s="190">
        <f>E264*Prices!B$2</f>
        <v/>
      </c>
      <c r="M264" s="190">
        <f>F264*Prices!C$2</f>
        <v/>
      </c>
      <c r="N264" s="190">
        <f>G264*Prices!D$2</f>
        <v/>
      </c>
      <c r="O264" s="190">
        <f>H264*Prices!E$2</f>
        <v/>
      </c>
      <c r="P264" s="190">
        <f>I264*2000+J264*10000+K264*1800</f>
        <v/>
      </c>
      <c r="Q264" s="190">
        <f>D264*Prices!A$2</f>
        <v/>
      </c>
      <c r="R264" s="191">
        <f>L264+M264+N264+O264</f>
        <v/>
      </c>
      <c r="S264" s="190">
        <f>R264+Q264+P264</f>
        <v/>
      </c>
      <c r="T264" s="93" t="n">
        <v>263</v>
      </c>
      <c r="U264" s="93" t="inlineStr">
        <is>
          <t>Sold</t>
        </is>
      </c>
      <c r="V264" s="12" t="n"/>
      <c r="W264" s="12" t="n"/>
      <c r="X264" s="12" t="n"/>
      <c r="Y264" s="12" t="n"/>
      <c r="Z264" s="12" t="n"/>
    </row>
    <row r="265">
      <c r="A265" s="93" t="n">
        <v>264</v>
      </c>
      <c r="B265" s="93" t="n">
        <v>1.554</v>
      </c>
      <c r="C265" s="93">
        <f>B265*(25/100)</f>
        <v/>
      </c>
      <c r="D265" s="93">
        <f>C265+B265</f>
        <v/>
      </c>
      <c r="E265" s="93" t="n">
        <v>0.28</v>
      </c>
      <c r="F265" s="93" t="n"/>
      <c r="G265" s="93" t="n"/>
      <c r="H265" s="93" t="n"/>
      <c r="I265" s="93" t="n"/>
      <c r="J265" s="93" t="n"/>
      <c r="K265" s="93" t="n"/>
      <c r="L265" s="190">
        <f>E265*Prices!B$2</f>
        <v/>
      </c>
      <c r="M265" s="190">
        <f>F265*Prices!C$2</f>
        <v/>
      </c>
      <c r="N265" s="190">
        <f>G265*Prices!D$2</f>
        <v/>
      </c>
      <c r="O265" s="190">
        <f>H265*Prices!E$2</f>
        <v/>
      </c>
      <c r="P265" s="190">
        <f>I265*2000+J265*10000+K265*1800</f>
        <v/>
      </c>
      <c r="Q265" s="190">
        <f>D265*Prices!A$2</f>
        <v/>
      </c>
      <c r="R265" s="191">
        <f>L265+M265+N265+O265</f>
        <v/>
      </c>
      <c r="S265" s="190">
        <f>R265+Q265+P265</f>
        <v/>
      </c>
      <c r="T265" s="93" t="n">
        <v>264</v>
      </c>
      <c r="U265" s="26" t="inlineStr">
        <is>
          <t>Sold</t>
        </is>
      </c>
      <c r="V265" s="12" t="n"/>
      <c r="W265" s="12" t="n"/>
      <c r="X265" s="12" t="n"/>
      <c r="Y265" s="12" t="n"/>
      <c r="Z265" s="12" t="n"/>
    </row>
    <row r="266">
      <c r="A266" s="93" t="n">
        <v>265</v>
      </c>
      <c r="B266" s="93" t="n">
        <v>1.802</v>
      </c>
      <c r="C266" s="93">
        <f>B266*(25/100)</f>
        <v/>
      </c>
      <c r="D266" s="93">
        <f>C266+B266</f>
        <v/>
      </c>
      <c r="E266" s="93" t="n">
        <v>0.44</v>
      </c>
      <c r="F266" s="93" t="n"/>
      <c r="G266" s="93" t="n"/>
      <c r="H266" s="93" t="n"/>
      <c r="I266" s="93" t="n"/>
      <c r="J266" s="93" t="n"/>
      <c r="K266" s="93" t="n"/>
      <c r="L266" s="190">
        <f>E266*Prices!B$2</f>
        <v/>
      </c>
      <c r="M266" s="190">
        <f>F266*Prices!C$2</f>
        <v/>
      </c>
      <c r="N266" s="190">
        <f>G266*Prices!D$2</f>
        <v/>
      </c>
      <c r="O266" s="190">
        <f>H266*Prices!E$2</f>
        <v/>
      </c>
      <c r="P266" s="190">
        <f>I266*2000+J266*10000+K266*1800</f>
        <v/>
      </c>
      <c r="Q266" s="190">
        <f>D266*Prices!A$2</f>
        <v/>
      </c>
      <c r="R266" s="191">
        <f>L266+M266+N266+O266</f>
        <v/>
      </c>
      <c r="S266" s="190">
        <f>R266+Q266+P266</f>
        <v/>
      </c>
      <c r="T266" s="93" t="n">
        <v>265</v>
      </c>
      <c r="U266" s="26" t="inlineStr">
        <is>
          <t>Sold</t>
        </is>
      </c>
      <c r="V266" s="12" t="n"/>
      <c r="W266" s="12" t="n"/>
      <c r="X266" s="12" t="n"/>
      <c r="Y266" s="12" t="n"/>
      <c r="Z266" s="12" t="n"/>
    </row>
    <row r="267">
      <c r="A267" s="93" t="n">
        <v>266</v>
      </c>
      <c r="B267" s="93" t="n">
        <v>2.412</v>
      </c>
      <c r="C267" s="93">
        <f>B267*(25/100)</f>
        <v/>
      </c>
      <c r="D267" s="93">
        <f>C267+B267</f>
        <v/>
      </c>
      <c r="E267" s="93" t="n">
        <v>0.29</v>
      </c>
      <c r="F267" s="93" t="n"/>
      <c r="G267" s="93" t="n"/>
      <c r="H267" s="93" t="n"/>
      <c r="I267" s="93" t="n"/>
      <c r="J267" s="93" t="n"/>
      <c r="K267" s="93" t="n"/>
      <c r="L267" s="190">
        <f>E267*Prices!B$2</f>
        <v/>
      </c>
      <c r="M267" s="190">
        <f>F267*Prices!C$2</f>
        <v/>
      </c>
      <c r="N267" s="190">
        <f>G267*Prices!D$2</f>
        <v/>
      </c>
      <c r="O267" s="190">
        <f>H267*Prices!E$2</f>
        <v/>
      </c>
      <c r="P267" s="190">
        <f>I267*2000+J267*10000+K267*1800</f>
        <v/>
      </c>
      <c r="Q267" s="190">
        <f>D267*Prices!A$2</f>
        <v/>
      </c>
      <c r="R267" s="191">
        <f>L267+M267+N267+O267</f>
        <v/>
      </c>
      <c r="S267" s="190">
        <f>R267+Q267+P267</f>
        <v/>
      </c>
      <c r="T267" s="93" t="n">
        <v>266</v>
      </c>
      <c r="U267" s="93" t="inlineStr">
        <is>
          <t>Sold</t>
        </is>
      </c>
      <c r="V267" s="12" t="n"/>
      <c r="W267" s="12" t="n"/>
      <c r="X267" s="12" t="n"/>
      <c r="Y267" s="12" t="n"/>
      <c r="Z267" s="12" t="n"/>
    </row>
    <row r="268">
      <c r="A268" s="93" t="n">
        <v>267</v>
      </c>
      <c r="B268" s="93" t="n">
        <v>3.45</v>
      </c>
      <c r="C268" s="93">
        <f>B268*(25/100)</f>
        <v/>
      </c>
      <c r="D268" s="93">
        <f>C268+B268</f>
        <v/>
      </c>
      <c r="E268" s="93" t="n">
        <v>0.79</v>
      </c>
      <c r="F268" s="93" t="n"/>
      <c r="G268" s="93" t="n"/>
      <c r="H268" s="93" t="n"/>
      <c r="I268" s="93" t="n"/>
      <c r="J268" s="93" t="n"/>
      <c r="K268" s="93" t="n"/>
      <c r="L268" s="190">
        <f>E268*Prices!B$2</f>
        <v/>
      </c>
      <c r="M268" s="190">
        <f>F268*Prices!C$2</f>
        <v/>
      </c>
      <c r="N268" s="190">
        <f>G268*Prices!D$2</f>
        <v/>
      </c>
      <c r="O268" s="190">
        <f>H268*Prices!E$2</f>
        <v/>
      </c>
      <c r="P268" s="190">
        <f>I268*2000+J268*10000+K268*1800</f>
        <v/>
      </c>
      <c r="Q268" s="190">
        <f>D268*Prices!A$2</f>
        <v/>
      </c>
      <c r="R268" s="191">
        <f>L268+M268+N268+O268</f>
        <v/>
      </c>
      <c r="S268" s="190">
        <f>R268+Q268+P268</f>
        <v/>
      </c>
      <c r="T268" s="93" t="n">
        <v>267</v>
      </c>
      <c r="U268" s="93" t="inlineStr">
        <is>
          <t>Available</t>
        </is>
      </c>
      <c r="V268" s="12" t="inlineStr">
        <is>
          <t>A</t>
        </is>
      </c>
      <c r="W268" s="12" t="n"/>
      <c r="X268" s="12" t="n"/>
      <c r="Y268" s="12" t="n"/>
      <c r="Z268" s="12" t="n"/>
    </row>
    <row r="269">
      <c r="A269" s="93" t="n">
        <v>268</v>
      </c>
      <c r="B269" s="93" t="n">
        <v>1.512</v>
      </c>
      <c r="C269" s="93">
        <f>B269*(25/100)</f>
        <v/>
      </c>
      <c r="D269" s="93">
        <f>C269+B269</f>
        <v/>
      </c>
      <c r="E269" s="93" t="n">
        <v>0.19</v>
      </c>
      <c r="F269" s="93" t="n"/>
      <c r="G269" s="93" t="n"/>
      <c r="H269" s="93" t="n"/>
      <c r="I269" s="93" t="n"/>
      <c r="J269" s="93" t="n"/>
      <c r="K269" s="93" t="n"/>
      <c r="L269" s="190">
        <f>E269*Prices!B$2</f>
        <v/>
      </c>
      <c r="M269" s="190">
        <f>F269*Prices!C$2</f>
        <v/>
      </c>
      <c r="N269" s="190">
        <f>G269*Prices!D$2</f>
        <v/>
      </c>
      <c r="O269" s="190">
        <f>H269*Prices!E$2</f>
        <v/>
      </c>
      <c r="P269" s="190">
        <f>I269*2000+J269*10000+K269*1800</f>
        <v/>
      </c>
      <c r="Q269" s="190">
        <f>D269*Prices!A$2</f>
        <v/>
      </c>
      <c r="R269" s="191">
        <f>L269+M269+N269+O269</f>
        <v/>
      </c>
      <c r="S269" s="190">
        <f>R269+Q269+P269</f>
        <v/>
      </c>
      <c r="T269" s="93" t="n">
        <v>268</v>
      </c>
      <c r="U269" s="93" t="inlineStr">
        <is>
          <t>Available</t>
        </is>
      </c>
      <c r="V269" s="12" t="inlineStr">
        <is>
          <t>A</t>
        </is>
      </c>
      <c r="W269" s="12" t="n"/>
      <c r="X269" s="12" t="n"/>
      <c r="Y269" s="12" t="n"/>
      <c r="Z269" s="12" t="n"/>
    </row>
    <row r="270">
      <c r="A270" s="93" t="n">
        <v>269</v>
      </c>
      <c r="B270" s="93" t="n">
        <v>2.86</v>
      </c>
      <c r="C270" s="93">
        <f>B270*(25/100)</f>
        <v/>
      </c>
      <c r="D270" s="93">
        <f>C270+B270</f>
        <v/>
      </c>
      <c r="E270" s="93" t="n">
        <v>0.35</v>
      </c>
      <c r="F270" s="93" t="n"/>
      <c r="G270" s="93" t="n"/>
      <c r="H270" s="93" t="n"/>
      <c r="I270" s="93" t="n"/>
      <c r="J270" s="93" t="n"/>
      <c r="K270" s="93" t="n"/>
      <c r="L270" s="190">
        <f>E270*Prices!B$2</f>
        <v/>
      </c>
      <c r="M270" s="190">
        <f>F270*Prices!C$2</f>
        <v/>
      </c>
      <c r="N270" s="190">
        <f>G270*Prices!D$2</f>
        <v/>
      </c>
      <c r="O270" s="190">
        <f>H270*Prices!E$2</f>
        <v/>
      </c>
      <c r="P270" s="190">
        <f>I270*2000+J270*10000+K270*1800</f>
        <v/>
      </c>
      <c r="Q270" s="190">
        <f>D270*Prices!A$2</f>
        <v/>
      </c>
      <c r="R270" s="191">
        <f>L270+M270+N270+O270</f>
        <v/>
      </c>
      <c r="S270" s="190">
        <f>R270+Q270+P270</f>
        <v/>
      </c>
      <c r="T270" s="93" t="n">
        <v>269</v>
      </c>
      <c r="U270" s="93" t="inlineStr">
        <is>
          <t>Available</t>
        </is>
      </c>
      <c r="V270" s="12" t="inlineStr">
        <is>
          <t>A</t>
        </is>
      </c>
      <c r="W270" s="12" t="n"/>
      <c r="X270" s="12" t="n"/>
      <c r="Y270" s="12" t="n"/>
      <c r="Z270" s="12" t="n"/>
    </row>
    <row r="271">
      <c r="A271" s="93" t="n">
        <v>270</v>
      </c>
      <c r="B271" s="93" t="n">
        <v>1.512</v>
      </c>
      <c r="C271" s="93">
        <f>B271*(25/100)</f>
        <v/>
      </c>
      <c r="D271" s="93">
        <f>C271+B271</f>
        <v/>
      </c>
      <c r="E271" s="93" t="n">
        <v>0.19</v>
      </c>
      <c r="F271" s="93" t="n"/>
      <c r="G271" s="93" t="n"/>
      <c r="H271" s="93" t="n"/>
      <c r="I271" s="93" t="n"/>
      <c r="J271" s="93" t="n"/>
      <c r="K271" s="93" t="n"/>
      <c r="L271" s="190">
        <f>E271*Prices!B$2</f>
        <v/>
      </c>
      <c r="M271" s="190">
        <f>F271*Prices!C$2</f>
        <v/>
      </c>
      <c r="N271" s="190">
        <f>G271*Prices!D$2</f>
        <v/>
      </c>
      <c r="O271" s="190">
        <f>H271*Prices!E$2</f>
        <v/>
      </c>
      <c r="P271" s="190">
        <f>I271*2000+J271*10000+K271*1800</f>
        <v/>
      </c>
      <c r="Q271" s="190">
        <f>D271*Prices!A$2</f>
        <v/>
      </c>
      <c r="R271" s="191">
        <f>L271+M271+N271+O271</f>
        <v/>
      </c>
      <c r="S271" s="190">
        <f>R271+Q271+P271</f>
        <v/>
      </c>
      <c r="T271" s="93" t="n">
        <v>270</v>
      </c>
      <c r="U271" s="93" t="inlineStr">
        <is>
          <t>Available</t>
        </is>
      </c>
      <c r="V271" s="12" t="inlineStr">
        <is>
          <t>A</t>
        </is>
      </c>
      <c r="W271" s="12" t="n"/>
      <c r="X271" s="12" t="n"/>
      <c r="Y271" s="12" t="n"/>
      <c r="Z271" s="12" t="n"/>
    </row>
    <row r="272">
      <c r="A272" s="93" t="n">
        <v>271</v>
      </c>
      <c r="B272" s="93" t="n">
        <v>2.6</v>
      </c>
      <c r="C272" s="93">
        <f>B272*(25/100)</f>
        <v/>
      </c>
      <c r="D272" s="93">
        <f>C272+B272</f>
        <v/>
      </c>
      <c r="E272" s="93" t="n">
        <v>0.6</v>
      </c>
      <c r="F272" s="93" t="n"/>
      <c r="G272" s="93" t="n"/>
      <c r="H272" s="93" t="n"/>
      <c r="I272" s="93" t="n"/>
      <c r="J272" s="93" t="n"/>
      <c r="K272" s="93" t="n"/>
      <c r="L272" s="190">
        <f>E272*Prices!B$2</f>
        <v/>
      </c>
      <c r="M272" s="190">
        <f>F272*Prices!C$2</f>
        <v/>
      </c>
      <c r="N272" s="190">
        <f>G272*Prices!D$2</f>
        <v/>
      </c>
      <c r="O272" s="190">
        <f>H272*Prices!E$2</f>
        <v/>
      </c>
      <c r="P272" s="190">
        <f>I272*2000+J272*10000+K272*1800</f>
        <v/>
      </c>
      <c r="Q272" s="190">
        <f>D272*Prices!A$2</f>
        <v/>
      </c>
      <c r="R272" s="191">
        <f>L272+M272+N272+O272</f>
        <v/>
      </c>
      <c r="S272" s="190">
        <f>R272+Q272+P272</f>
        <v/>
      </c>
      <c r="T272" s="93" t="n">
        <v>271</v>
      </c>
      <c r="U272" s="93" t="inlineStr">
        <is>
          <t>Sold</t>
        </is>
      </c>
      <c r="V272" s="12" t="n"/>
      <c r="W272" s="12" t="n"/>
      <c r="X272" s="12" t="n"/>
      <c r="Y272" s="12" t="n"/>
      <c r="Z272" s="12" t="n"/>
    </row>
    <row r="273">
      <c r="A273" s="93" t="n">
        <v>272</v>
      </c>
      <c r="B273" s="93" t="n">
        <v>3.268</v>
      </c>
      <c r="C273" s="93">
        <f>B273*(25/100)</f>
        <v/>
      </c>
      <c r="D273" s="93">
        <f>C273+B273</f>
        <v/>
      </c>
      <c r="E273" s="93" t="n">
        <v>0.41</v>
      </c>
      <c r="F273" s="93" t="n"/>
      <c r="G273" s="93" t="n"/>
      <c r="H273" s="93" t="n"/>
      <c r="I273" s="93" t="n"/>
      <c r="J273" s="93" t="n"/>
      <c r="K273" s="93" t="n"/>
      <c r="L273" s="190">
        <f>E273*Prices!B$2</f>
        <v/>
      </c>
      <c r="M273" s="190">
        <f>F273*Prices!C$2</f>
        <v/>
      </c>
      <c r="N273" s="190">
        <f>G273*Prices!D$2</f>
        <v/>
      </c>
      <c r="O273" s="190">
        <f>H273*Prices!E$2</f>
        <v/>
      </c>
      <c r="P273" s="190">
        <f>I273*2000+J273*10000+K273*1800</f>
        <v/>
      </c>
      <c r="Q273" s="190">
        <f>D273*Prices!A$2</f>
        <v/>
      </c>
      <c r="R273" s="191">
        <f>L273+M273+N273+O273</f>
        <v/>
      </c>
      <c r="S273" s="190">
        <f>R273+Q273+P273</f>
        <v/>
      </c>
      <c r="T273" s="93" t="n">
        <v>272</v>
      </c>
      <c r="U273" s="93" t="inlineStr">
        <is>
          <t>Available</t>
        </is>
      </c>
      <c r="V273" s="12" t="inlineStr">
        <is>
          <t>A</t>
        </is>
      </c>
      <c r="W273" s="12" t="n"/>
      <c r="X273" s="12" t="n"/>
      <c r="Y273" s="12" t="n"/>
      <c r="Z273" s="12" t="n"/>
    </row>
    <row r="274">
      <c r="A274" s="93" t="n">
        <v>273</v>
      </c>
      <c r="B274" s="93" t="n">
        <v>2.474</v>
      </c>
      <c r="C274" s="93">
        <f>B274*(25/100)</f>
        <v/>
      </c>
      <c r="D274" s="93">
        <f>C274+B274</f>
        <v/>
      </c>
      <c r="E274" s="93" t="n">
        <v>0.18</v>
      </c>
      <c r="F274" s="93" t="n">
        <v>0.49</v>
      </c>
      <c r="G274" s="93" t="n">
        <v>0.16</v>
      </c>
      <c r="H274" s="93" t="n"/>
      <c r="I274" s="93" t="n"/>
      <c r="J274" s="93" t="n"/>
      <c r="K274" s="93" t="n"/>
      <c r="L274" s="190">
        <f>E274*Prices!B$2</f>
        <v/>
      </c>
      <c r="M274" s="190">
        <f>F274*Prices!C$2</f>
        <v/>
      </c>
      <c r="N274" s="190">
        <f>G274*Prices!D$2</f>
        <v/>
      </c>
      <c r="O274" s="190">
        <f>H274*Prices!E$2</f>
        <v/>
      </c>
      <c r="P274" s="190">
        <f>I274*2000+J274*10000+K274*1800</f>
        <v/>
      </c>
      <c r="Q274" s="190">
        <f>D274*Prices!A$2</f>
        <v/>
      </c>
      <c r="R274" s="191">
        <f>L274+M274+N274+O274</f>
        <v/>
      </c>
      <c r="S274" s="190">
        <f>R274+Q274+P274</f>
        <v/>
      </c>
      <c r="T274" s="93" t="n">
        <v>273</v>
      </c>
      <c r="U274" s="93" t="inlineStr">
        <is>
          <t>Available</t>
        </is>
      </c>
      <c r="V274" s="12" t="inlineStr">
        <is>
          <t>A</t>
        </is>
      </c>
      <c r="W274" s="12" t="n"/>
      <c r="X274" s="12" t="n"/>
      <c r="Y274" s="12" t="n"/>
      <c r="Z274" s="12" t="n"/>
    </row>
    <row r="275">
      <c r="A275" s="93" t="n">
        <v>274</v>
      </c>
      <c r="B275" s="93" t="n">
        <v>3.262</v>
      </c>
      <c r="C275" s="93">
        <f>B275*(25/100)</f>
        <v/>
      </c>
      <c r="D275" s="93">
        <f>C275+B275</f>
        <v/>
      </c>
      <c r="E275" s="93" t="n">
        <v>0.39</v>
      </c>
      <c r="F275" s="93" t="n"/>
      <c r="G275" s="93" t="n"/>
      <c r="H275" s="93" t="n"/>
      <c r="I275" s="93" t="n"/>
      <c r="J275" s="93" t="n"/>
      <c r="K275" s="93" t="n"/>
      <c r="L275" s="190">
        <f>E275*Prices!B$2</f>
        <v/>
      </c>
      <c r="M275" s="190">
        <f>F275*Prices!C$2</f>
        <v/>
      </c>
      <c r="N275" s="190">
        <f>G275*Prices!D$2</f>
        <v/>
      </c>
      <c r="O275" s="190">
        <f>H275*Prices!E$2</f>
        <v/>
      </c>
      <c r="P275" s="190">
        <f>I275*2000+J275*10000+K275*1800</f>
        <v/>
      </c>
      <c r="Q275" s="190">
        <f>D275*Prices!A$2</f>
        <v/>
      </c>
      <c r="R275" s="191">
        <f>L275+M275+N275+O275</f>
        <v/>
      </c>
      <c r="S275" s="190">
        <f>R275+Q275+P275</f>
        <v/>
      </c>
      <c r="T275" s="93" t="n">
        <v>274</v>
      </c>
      <c r="U275" s="93" t="inlineStr">
        <is>
          <t>Sold</t>
        </is>
      </c>
      <c r="V275" s="12" t="n"/>
      <c r="W275" s="12" t="n"/>
      <c r="X275" s="12" t="n"/>
      <c r="Y275" s="12" t="n"/>
      <c r="Z275" s="12" t="n"/>
    </row>
    <row r="276">
      <c r="A276" s="93" t="n">
        <v>275</v>
      </c>
      <c r="B276" s="93" t="n">
        <v>1.96</v>
      </c>
      <c r="C276" s="93">
        <f>B276*(25/100)</f>
        <v/>
      </c>
      <c r="D276" s="93">
        <f>C276+B276</f>
        <v/>
      </c>
      <c r="E276" s="93" t="n">
        <v>0.19</v>
      </c>
      <c r="F276" s="93" t="n"/>
      <c r="G276" s="93" t="n"/>
      <c r="H276" s="93" t="n"/>
      <c r="I276" s="93" t="n"/>
      <c r="J276" s="93" t="n"/>
      <c r="K276" s="93" t="n"/>
      <c r="L276" s="190">
        <f>E276*Prices!B$2</f>
        <v/>
      </c>
      <c r="M276" s="190">
        <f>F276*Prices!C$2</f>
        <v/>
      </c>
      <c r="N276" s="190">
        <f>G276*Prices!D$2</f>
        <v/>
      </c>
      <c r="O276" s="190">
        <f>H276*Prices!E$2</f>
        <v/>
      </c>
      <c r="P276" s="190">
        <f>I276*2000+J276*10000+K276*1800</f>
        <v/>
      </c>
      <c r="Q276" s="190">
        <f>D276*Prices!A$2</f>
        <v/>
      </c>
      <c r="R276" s="191">
        <f>L276+M276+N276+O276</f>
        <v/>
      </c>
      <c r="S276" s="190">
        <f>R276+Q276+P276</f>
        <v/>
      </c>
      <c r="T276" s="93" t="n">
        <v>275</v>
      </c>
      <c r="U276" s="93" t="inlineStr">
        <is>
          <t>Available</t>
        </is>
      </c>
      <c r="V276" s="12" t="inlineStr">
        <is>
          <t>A</t>
        </is>
      </c>
      <c r="W276" s="12" t="n"/>
      <c r="X276" s="12" t="n"/>
      <c r="Y276" s="12" t="n"/>
      <c r="Z276" s="12" t="n"/>
    </row>
    <row r="277">
      <c r="A277" s="93" t="n">
        <v>276</v>
      </c>
      <c r="B277" s="93" t="n">
        <v>2.758</v>
      </c>
      <c r="C277" s="93">
        <f>B277*(25/100)</f>
        <v/>
      </c>
      <c r="D277" s="93">
        <f>C277+B277</f>
        <v/>
      </c>
      <c r="E277" s="93" t="n">
        <v>0.25</v>
      </c>
      <c r="F277" s="93" t="n"/>
      <c r="G277" s="93" t="n"/>
      <c r="H277" s="93" t="n"/>
      <c r="I277" s="93" t="n"/>
      <c r="J277" s="93" t="n"/>
      <c r="K277" s="93" t="n">
        <v>1.41</v>
      </c>
      <c r="L277" s="190">
        <f>E277*Prices!B$2</f>
        <v/>
      </c>
      <c r="M277" s="190">
        <f>F277*Prices!C$2</f>
        <v/>
      </c>
      <c r="N277" s="190">
        <f>G277*Prices!D$2</f>
        <v/>
      </c>
      <c r="O277" s="190">
        <f>H277*Prices!E$2</f>
        <v/>
      </c>
      <c r="P277" s="190">
        <f>I277*2000+J277*10000+K277*1800</f>
        <v/>
      </c>
      <c r="Q277" s="190">
        <f>D277*Prices!A$2</f>
        <v/>
      </c>
      <c r="R277" s="191">
        <f>L277+M277+N277+O277</f>
        <v/>
      </c>
      <c r="S277" s="190">
        <f>R277+Q277+P277</f>
        <v/>
      </c>
      <c r="T277" s="93" t="n">
        <v>276</v>
      </c>
      <c r="U277" s="93" t="inlineStr">
        <is>
          <t>Available</t>
        </is>
      </c>
      <c r="V277" s="12" t="inlineStr">
        <is>
          <t>A</t>
        </is>
      </c>
      <c r="W277" s="12" t="n"/>
      <c r="X277" s="12" t="n"/>
      <c r="Y277" s="12" t="n"/>
      <c r="Z277" s="12" t="n"/>
    </row>
    <row r="278">
      <c r="A278" s="93" t="n">
        <v>277</v>
      </c>
      <c r="B278" s="93" t="n">
        <v>6.756</v>
      </c>
      <c r="C278" s="93">
        <f>B278*(25/100)</f>
        <v/>
      </c>
      <c r="D278" s="93">
        <f>C278+B278</f>
        <v/>
      </c>
      <c r="E278" s="93" t="n"/>
      <c r="F278" s="93" t="n"/>
      <c r="G278" s="93" t="n">
        <v>1.81</v>
      </c>
      <c r="H278" s="93" t="n"/>
      <c r="I278" s="93" t="n"/>
      <c r="J278" s="93" t="n"/>
      <c r="K278" s="93" t="n"/>
      <c r="L278" s="190">
        <f>E278*Prices!B$2</f>
        <v/>
      </c>
      <c r="M278" s="190">
        <f>F278*Prices!C$2</f>
        <v/>
      </c>
      <c r="N278" s="190">
        <f>G278*Prices!D$2</f>
        <v/>
      </c>
      <c r="O278" s="190">
        <f>H278*Prices!E$2</f>
        <v/>
      </c>
      <c r="P278" s="190">
        <f>I278*2000+J278*10000+K278*1800</f>
        <v/>
      </c>
      <c r="Q278" s="190">
        <f>D278*Prices!A$2</f>
        <v/>
      </c>
      <c r="R278" s="191">
        <f>L278+M278+N278+O278</f>
        <v/>
      </c>
      <c r="S278" s="190">
        <f>R278+Q278+P278</f>
        <v/>
      </c>
      <c r="T278" s="93" t="n">
        <v>277</v>
      </c>
      <c r="U278" s="93" t="inlineStr">
        <is>
          <t>Sold</t>
        </is>
      </c>
      <c r="V278" s="12" t="n"/>
      <c r="W278" s="12" t="n"/>
      <c r="X278" s="12" t="n"/>
      <c r="Y278" s="12" t="n"/>
      <c r="Z278" s="12" t="n"/>
    </row>
    <row r="279">
      <c r="A279" s="93" t="n">
        <v>278</v>
      </c>
      <c r="B279" s="93" t="n">
        <v>4.716</v>
      </c>
      <c r="C279" s="93">
        <f>B279*(25/100)</f>
        <v/>
      </c>
      <c r="D279" s="93">
        <f>C279+B279</f>
        <v/>
      </c>
      <c r="E279" s="93" t="n">
        <v>0.57</v>
      </c>
      <c r="F279" s="93" t="n"/>
      <c r="G279" s="93" t="n"/>
      <c r="H279" s="93" t="n"/>
      <c r="I279" s="93" t="n"/>
      <c r="J279" s="93" t="n"/>
      <c r="K279" s="93" t="n">
        <v>7.6</v>
      </c>
      <c r="L279" s="190">
        <f>E279*Prices!B$2</f>
        <v/>
      </c>
      <c r="M279" s="190">
        <f>F279*Prices!C$2</f>
        <v/>
      </c>
      <c r="N279" s="190">
        <f>G279*Prices!D$2</f>
        <v/>
      </c>
      <c r="O279" s="190">
        <f>H279*Prices!E$2</f>
        <v/>
      </c>
      <c r="P279" s="190">
        <f>I279*2000+J279*10000+K279*850</f>
        <v/>
      </c>
      <c r="Q279" s="190">
        <f>D279*Prices!A$2</f>
        <v/>
      </c>
      <c r="R279" s="191">
        <f>L279+M279+N279+O279</f>
        <v/>
      </c>
      <c r="S279" s="190">
        <f>R279+Q279+P279</f>
        <v/>
      </c>
      <c r="T279" s="93" t="n">
        <v>278</v>
      </c>
      <c r="U279" s="93" t="inlineStr">
        <is>
          <t>Available</t>
        </is>
      </c>
      <c r="V279" s="12" t="inlineStr">
        <is>
          <t>A</t>
        </is>
      </c>
      <c r="W279" s="12" t="n"/>
      <c r="X279" s="12" t="n"/>
      <c r="Y279" s="12" t="n"/>
      <c r="Z279" s="12" t="n"/>
    </row>
    <row r="280">
      <c r="A280" s="93" t="n">
        <v>279</v>
      </c>
      <c r="B280" s="93" t="n">
        <v>4.346</v>
      </c>
      <c r="C280" s="93">
        <f>B280*(25/100)</f>
        <v/>
      </c>
      <c r="D280" s="93">
        <f>C280+B280</f>
        <v/>
      </c>
      <c r="E280" s="93" t="n">
        <v>0.57</v>
      </c>
      <c r="F280" s="93" t="n"/>
      <c r="G280" s="93" t="n"/>
      <c r="H280" s="93" t="n"/>
      <c r="I280" s="93" t="n"/>
      <c r="J280" s="93" t="n"/>
      <c r="K280" s="93" t="n">
        <v>6.35</v>
      </c>
      <c r="L280" s="190">
        <f>E280*Prices!B$2</f>
        <v/>
      </c>
      <c r="M280" s="190">
        <f>F280*Prices!C$2</f>
        <v/>
      </c>
      <c r="N280" s="190">
        <f>G280*Prices!D$2</f>
        <v/>
      </c>
      <c r="O280" s="190">
        <f>H280*Prices!E$2</f>
        <v/>
      </c>
      <c r="P280" s="190">
        <f>I280*2000+J280*10000+K280*850</f>
        <v/>
      </c>
      <c r="Q280" s="190">
        <f>D280*Prices!A$2</f>
        <v/>
      </c>
      <c r="R280" s="191">
        <f>L280+M280+N280+O280</f>
        <v/>
      </c>
      <c r="S280" s="190">
        <f>R280+Q280+P280</f>
        <v/>
      </c>
      <c r="T280" s="93" t="n">
        <v>279</v>
      </c>
      <c r="U280" s="93" t="inlineStr">
        <is>
          <t>Sold</t>
        </is>
      </c>
      <c r="V280" s="12" t="n"/>
      <c r="W280" s="12" t="n"/>
      <c r="X280" s="12" t="n"/>
      <c r="Y280" s="12" t="n"/>
      <c r="Z280" s="12" t="n"/>
    </row>
    <row r="281">
      <c r="A281" s="93" t="n">
        <v>280</v>
      </c>
      <c r="B281" s="93" t="n">
        <v>4.498</v>
      </c>
      <c r="C281" s="93">
        <f>B281*(25/100)</f>
        <v/>
      </c>
      <c r="D281" s="93">
        <f>C281+B281</f>
        <v/>
      </c>
      <c r="E281" s="93" t="n">
        <v>0.5600000000000001</v>
      </c>
      <c r="F281" s="93" t="n"/>
      <c r="G281" s="93" t="n"/>
      <c r="H281" s="93" t="n"/>
      <c r="I281" s="93" t="n"/>
      <c r="J281" s="93" t="n"/>
      <c r="K281" s="93" t="n">
        <v>8.1</v>
      </c>
      <c r="L281" s="190">
        <f>E281*Prices!B$2</f>
        <v/>
      </c>
      <c r="M281" s="190">
        <f>F281*Prices!C$2</f>
        <v/>
      </c>
      <c r="N281" s="190">
        <f>G281*Prices!D$2</f>
        <v/>
      </c>
      <c r="O281" s="190">
        <f>H281*Prices!E$2</f>
        <v/>
      </c>
      <c r="P281" s="190">
        <f>I281*2000+J281*10000+K281*850</f>
        <v/>
      </c>
      <c r="Q281" s="190">
        <f>D281*Prices!A$2</f>
        <v/>
      </c>
      <c r="R281" s="191">
        <f>L281+M281+N281+O281</f>
        <v/>
      </c>
      <c r="S281" s="190">
        <f>R281+Q281+P281</f>
        <v/>
      </c>
      <c r="T281" s="93" t="n">
        <v>280</v>
      </c>
      <c r="U281" s="26" t="inlineStr">
        <is>
          <t>Sold</t>
        </is>
      </c>
      <c r="V281" s="12" t="n"/>
      <c r="W281" s="12" t="n"/>
      <c r="X281" s="12" t="n"/>
      <c r="Y281" s="12" t="n"/>
      <c r="Z281" s="12" t="n"/>
    </row>
    <row r="282">
      <c r="A282" s="93" t="n">
        <v>281</v>
      </c>
      <c r="B282" s="93" t="n">
        <v>4.546</v>
      </c>
      <c r="C282" s="93">
        <f>B282*(25/100)</f>
        <v/>
      </c>
      <c r="D282" s="93">
        <f>C282+B282</f>
        <v/>
      </c>
      <c r="E282" s="93" t="n">
        <v>0.57</v>
      </c>
      <c r="F282" s="93" t="n"/>
      <c r="G282" s="93" t="n"/>
      <c r="H282" s="93" t="n"/>
      <c r="I282" s="93" t="n"/>
      <c r="J282" s="93" t="n"/>
      <c r="K282" s="93" t="n">
        <v>7.15</v>
      </c>
      <c r="L282" s="190">
        <f>E282*Prices!B$2</f>
        <v/>
      </c>
      <c r="M282" s="190">
        <f>F282*Prices!C$2</f>
        <v/>
      </c>
      <c r="N282" s="190">
        <f>G282*Prices!D$2</f>
        <v/>
      </c>
      <c r="O282" s="190">
        <f>H282*Prices!E$2</f>
        <v/>
      </c>
      <c r="P282" s="190">
        <f>I282*2000+J282*10000+K282*850</f>
        <v/>
      </c>
      <c r="Q282" s="190">
        <f>D282*Prices!A$2</f>
        <v/>
      </c>
      <c r="R282" s="191">
        <f>L282+M282+N282+O282</f>
        <v/>
      </c>
      <c r="S282" s="190">
        <f>R282+Q282+P282</f>
        <v/>
      </c>
      <c r="T282" s="93" t="n">
        <v>281</v>
      </c>
      <c r="U282" s="93" t="inlineStr">
        <is>
          <t>Available</t>
        </is>
      </c>
      <c r="V282" s="12" t="inlineStr">
        <is>
          <t>A</t>
        </is>
      </c>
      <c r="W282" s="12" t="n"/>
      <c r="X282" s="12" t="n"/>
      <c r="Y282" s="12" t="n"/>
      <c r="Z282" s="12" t="n"/>
    </row>
    <row r="283">
      <c r="A283" s="93" t="n">
        <v>282</v>
      </c>
      <c r="B283" s="93" t="n">
        <v>5.254</v>
      </c>
      <c r="C283" s="93">
        <f>B283*(25/100)</f>
        <v/>
      </c>
      <c r="D283" s="93">
        <f>C283+B283</f>
        <v/>
      </c>
      <c r="E283" s="93" t="n">
        <v>0.9</v>
      </c>
      <c r="F283" s="93" t="n">
        <v>0.18</v>
      </c>
      <c r="G283" s="93" t="n"/>
      <c r="H283" s="93" t="n"/>
      <c r="I283" s="93" t="n"/>
      <c r="J283" s="93" t="n"/>
      <c r="K283" s="93" t="n"/>
      <c r="L283" s="190">
        <f>E283*Prices!B$2</f>
        <v/>
      </c>
      <c r="M283" s="190">
        <f>F283*Prices!C$2</f>
        <v/>
      </c>
      <c r="N283" s="190">
        <f>G283*Prices!D$2</f>
        <v/>
      </c>
      <c r="O283" s="190">
        <f>H283*Prices!E$2</f>
        <v/>
      </c>
      <c r="P283" s="190">
        <f>I283*2000+J283*10000+K283*850</f>
        <v/>
      </c>
      <c r="Q283" s="190">
        <f>D283*Prices!A$2</f>
        <v/>
      </c>
      <c r="R283" s="191">
        <f>L283+M283+N283+O283</f>
        <v/>
      </c>
      <c r="S283" s="190">
        <f>R283+Q283+P283</f>
        <v/>
      </c>
      <c r="T283" s="93" t="n">
        <v>282</v>
      </c>
      <c r="U283" s="93" t="inlineStr">
        <is>
          <t>Sold</t>
        </is>
      </c>
      <c r="V283" s="12" t="n"/>
      <c r="W283" s="12" t="n"/>
      <c r="X283" s="12" t="n"/>
      <c r="Y283" s="12" t="n"/>
      <c r="Z283" s="12" t="n"/>
    </row>
    <row r="284">
      <c r="A284" s="93" t="n">
        <v>283</v>
      </c>
      <c r="B284" s="93" t="n">
        <v>6.588</v>
      </c>
      <c r="C284" s="93">
        <f>B284*(25/100)</f>
        <v/>
      </c>
      <c r="D284" s="93">
        <f>C284+B284</f>
        <v/>
      </c>
      <c r="E284" s="93" t="n">
        <v>1.06</v>
      </c>
      <c r="F284" s="93" t="n"/>
      <c r="G284" s="93" t="n"/>
      <c r="H284" s="93" t="n"/>
      <c r="I284" s="93" t="n"/>
      <c r="J284" s="93" t="n"/>
      <c r="K284" s="93" t="n">
        <v>5.5</v>
      </c>
      <c r="L284" s="190">
        <f>E284*Prices!B$2</f>
        <v/>
      </c>
      <c r="M284" s="190">
        <f>F284*Prices!C$2</f>
        <v/>
      </c>
      <c r="N284" s="190">
        <f>G284*Prices!D$2</f>
        <v/>
      </c>
      <c r="O284" s="190">
        <f>H284*Prices!E$2</f>
        <v/>
      </c>
      <c r="P284" s="190">
        <f>I284*2000+J284*10000+K284*850</f>
        <v/>
      </c>
      <c r="Q284" s="190">
        <f>D284*Prices!A$2</f>
        <v/>
      </c>
      <c r="R284" s="191">
        <f>L284+M284+N284+O284</f>
        <v/>
      </c>
      <c r="S284" s="190">
        <f>R284+Q284+P284</f>
        <v/>
      </c>
      <c r="T284" s="93" t="n">
        <v>283</v>
      </c>
      <c r="U284" s="93" t="inlineStr">
        <is>
          <t>Available</t>
        </is>
      </c>
      <c r="V284" s="12" t="inlineStr">
        <is>
          <t>A</t>
        </is>
      </c>
      <c r="W284" s="12" t="n"/>
      <c r="X284" s="12" t="n"/>
      <c r="Y284" s="12" t="n"/>
      <c r="Z284" s="12" t="n"/>
    </row>
    <row r="285">
      <c r="A285" s="93" t="n">
        <v>284</v>
      </c>
      <c r="B285" s="93" t="n">
        <v>9.76</v>
      </c>
      <c r="C285" s="93">
        <f>B285*(25/100)</f>
        <v/>
      </c>
      <c r="D285" s="93">
        <f>C285+B285</f>
        <v/>
      </c>
      <c r="E285" s="93" t="n">
        <v>1.7</v>
      </c>
      <c r="F285" s="93" t="n"/>
      <c r="G285" s="93" t="n"/>
      <c r="H285" s="93" t="n"/>
      <c r="I285" s="93" t="n"/>
      <c r="J285" s="93" t="n"/>
      <c r="K285" s="93" t="n">
        <v>8.4</v>
      </c>
      <c r="L285" s="190">
        <f>E285*Prices!B$2</f>
        <v/>
      </c>
      <c r="M285" s="190">
        <f>F285*Prices!C$2</f>
        <v/>
      </c>
      <c r="N285" s="190">
        <f>G285*Prices!D$2</f>
        <v/>
      </c>
      <c r="O285" s="190">
        <f>H285*Prices!E$2</f>
        <v/>
      </c>
      <c r="P285" s="190">
        <f>I285*2000+J285*10000+K285*850</f>
        <v/>
      </c>
      <c r="Q285" s="190">
        <f>D285*Prices!A$2</f>
        <v/>
      </c>
      <c r="R285" s="191">
        <f>L285+M285+N285+O285</f>
        <v/>
      </c>
      <c r="S285" s="190">
        <f>R285+Q285+P285</f>
        <v/>
      </c>
      <c r="T285" s="93" t="n">
        <v>284</v>
      </c>
      <c r="U285" s="93" t="inlineStr">
        <is>
          <t>Sold</t>
        </is>
      </c>
      <c r="V285" s="12" t="n"/>
      <c r="W285" s="12" t="n"/>
      <c r="X285" s="12" t="n"/>
      <c r="Y285" s="12" t="n"/>
      <c r="Z285" s="12" t="n"/>
    </row>
    <row r="286">
      <c r="A286" s="93" t="n">
        <v>285</v>
      </c>
      <c r="B286" s="93" t="n">
        <v>3.556</v>
      </c>
      <c r="C286" s="93">
        <f>B286*(25/100)</f>
        <v/>
      </c>
      <c r="D286" s="93">
        <f>C286+B286</f>
        <v/>
      </c>
      <c r="E286" s="93" t="n">
        <v>0.57</v>
      </c>
      <c r="F286" s="93" t="n"/>
      <c r="G286" s="93" t="n"/>
      <c r="H286" s="93" t="n"/>
      <c r="I286" s="93" t="n"/>
      <c r="J286" s="93" t="n"/>
      <c r="K286" s="93" t="n"/>
      <c r="L286" s="190">
        <f>E286*Prices!B$2</f>
        <v/>
      </c>
      <c r="M286" s="190">
        <f>F286*Prices!C$2</f>
        <v/>
      </c>
      <c r="N286" s="190">
        <f>G286*Prices!D$2</f>
        <v/>
      </c>
      <c r="O286" s="190">
        <f>H286*Prices!E$2</f>
        <v/>
      </c>
      <c r="P286" s="190">
        <f>I286*2000+J286*10000+K286*850</f>
        <v/>
      </c>
      <c r="Q286" s="190">
        <f>D286*Prices!A$2</f>
        <v/>
      </c>
      <c r="R286" s="191">
        <f>L286+M286+N286+O286</f>
        <v/>
      </c>
      <c r="S286" s="190">
        <f>R286+Q286+P286</f>
        <v/>
      </c>
      <c r="T286" s="93" t="n">
        <v>285</v>
      </c>
      <c r="U286" s="93" t="inlineStr">
        <is>
          <t>Sold</t>
        </is>
      </c>
      <c r="V286" s="12" t="n"/>
      <c r="W286" s="12" t="n"/>
      <c r="X286" s="12" t="n"/>
      <c r="Y286" s="12" t="n"/>
      <c r="Z286" s="12" t="n"/>
    </row>
    <row r="287">
      <c r="A287" s="93" t="n">
        <v>286</v>
      </c>
      <c r="B287" s="93" t="n">
        <v>2.34</v>
      </c>
      <c r="C287" s="93">
        <f>B287*(25/100)</f>
        <v/>
      </c>
      <c r="D287" s="93">
        <f>C287+B287</f>
        <v/>
      </c>
      <c r="E287" s="93" t="n"/>
      <c r="F287" s="93" t="n"/>
      <c r="G287" s="93" t="n"/>
      <c r="H287" s="93" t="n">
        <v>0.22</v>
      </c>
      <c r="I287" s="93" t="n"/>
      <c r="J287" s="93" t="n"/>
      <c r="K287" s="93" t="n"/>
      <c r="L287" s="190">
        <f>E287*Prices!B$2</f>
        <v/>
      </c>
      <c r="M287" s="190">
        <f>F287*Prices!C$2</f>
        <v/>
      </c>
      <c r="N287" s="190">
        <f>G287*Prices!D$2</f>
        <v/>
      </c>
      <c r="O287" s="190">
        <f>H287*160000</f>
        <v/>
      </c>
      <c r="P287" s="190">
        <f>I287*2000+J287*10000+K287*850</f>
        <v/>
      </c>
      <c r="Q287" s="190">
        <f>D287*Prices!A$2</f>
        <v/>
      </c>
      <c r="R287" s="191">
        <f>L287+M287+N287+O287</f>
        <v/>
      </c>
      <c r="S287" s="190">
        <f>R287+Q287+P287</f>
        <v/>
      </c>
      <c r="T287" s="93" t="n">
        <v>286</v>
      </c>
      <c r="U287" s="93" t="inlineStr">
        <is>
          <t>Available</t>
        </is>
      </c>
      <c r="V287" s="12" t="inlineStr">
        <is>
          <t>A</t>
        </is>
      </c>
      <c r="W287" s="12" t="n"/>
      <c r="X287" s="12" t="n"/>
      <c r="Y287" s="12" t="n"/>
      <c r="Z287" s="12" t="n"/>
    </row>
    <row r="288">
      <c r="A288" s="93" t="n">
        <v>287</v>
      </c>
      <c r="B288" s="93" t="n">
        <v>4.154</v>
      </c>
      <c r="C288" s="93">
        <f>B288*(25/100)</f>
        <v/>
      </c>
      <c r="D288" s="93">
        <f>C288+B288</f>
        <v/>
      </c>
      <c r="E288" s="93" t="n">
        <v>0.93</v>
      </c>
      <c r="F288" s="93" t="n"/>
      <c r="G288" s="93" t="n"/>
      <c r="H288" s="93" t="n"/>
      <c r="I288" s="93" t="n"/>
      <c r="J288" s="93" t="n"/>
      <c r="K288" s="93" t="n"/>
      <c r="L288" s="190">
        <f>E288*Prices!B$2</f>
        <v/>
      </c>
      <c r="M288" s="190">
        <f>F288*Prices!C$2</f>
        <v/>
      </c>
      <c r="N288" s="190">
        <f>G288*Prices!D$2</f>
        <v/>
      </c>
      <c r="O288" s="190">
        <f>H288*160000</f>
        <v/>
      </c>
      <c r="P288" s="190">
        <f>I288*2000+J288*10000+K288*850</f>
        <v/>
      </c>
      <c r="Q288" s="190">
        <f>D288*Prices!A$2</f>
        <v/>
      </c>
      <c r="R288" s="191">
        <f>L288+M288+N288+O288</f>
        <v/>
      </c>
      <c r="S288" s="190">
        <f>R288+Q288+P288</f>
        <v/>
      </c>
      <c r="T288" s="93" t="n">
        <v>287</v>
      </c>
      <c r="U288" s="93" t="inlineStr">
        <is>
          <t>Sold</t>
        </is>
      </c>
      <c r="V288" s="12" t="n"/>
      <c r="W288" s="12" t="n"/>
      <c r="X288" s="12" t="n"/>
      <c r="Y288" s="12" t="n"/>
      <c r="Z288" s="12" t="n"/>
    </row>
    <row r="289">
      <c r="A289" s="93" t="n">
        <v>288</v>
      </c>
      <c r="B289" s="93" t="n">
        <v>2.416</v>
      </c>
      <c r="C289" s="93">
        <f>B289*(25/100)</f>
        <v/>
      </c>
      <c r="D289" s="93">
        <f>C289+B289</f>
        <v/>
      </c>
      <c r="E289" s="93" t="n">
        <v>0.18</v>
      </c>
      <c r="F289" s="93" t="n">
        <v>0.29</v>
      </c>
      <c r="G289" s="93" t="n"/>
      <c r="H289" s="93" t="n"/>
      <c r="I289" s="93" t="n"/>
      <c r="J289" s="93" t="n"/>
      <c r="K289" s="93" t="n"/>
      <c r="L289" s="190">
        <f>E289*Prices!B$2</f>
        <v/>
      </c>
      <c r="M289" s="190">
        <f>F289*Prices!C$2</f>
        <v/>
      </c>
      <c r="N289" s="190">
        <f>G289*Prices!D$2</f>
        <v/>
      </c>
      <c r="O289" s="190">
        <f>H289*160000</f>
        <v/>
      </c>
      <c r="P289" s="190">
        <f>I289*2000+J289*10000+K289*850</f>
        <v/>
      </c>
      <c r="Q289" s="190">
        <f>D289*Prices!A$2</f>
        <v/>
      </c>
      <c r="R289" s="191">
        <f>L289+M289+N289+O289</f>
        <v/>
      </c>
      <c r="S289" s="190">
        <f>R289+Q289+P289</f>
        <v/>
      </c>
      <c r="T289" s="93" t="n">
        <v>288</v>
      </c>
      <c r="U289" s="93" t="inlineStr">
        <is>
          <t>Sold</t>
        </is>
      </c>
      <c r="V289" s="12" t="n"/>
      <c r="W289" s="12" t="n"/>
      <c r="X289" s="12" t="n"/>
      <c r="Y289" s="12" t="n"/>
      <c r="Z289" s="12" t="n"/>
    </row>
    <row r="290">
      <c r="A290" s="93" t="n">
        <v>289</v>
      </c>
      <c r="B290" s="93" t="n">
        <v>2.386</v>
      </c>
      <c r="C290" s="93">
        <f>B290*(25/100)</f>
        <v/>
      </c>
      <c r="D290" s="93">
        <f>C290+B290</f>
        <v/>
      </c>
      <c r="E290" s="93" t="n">
        <v>0.22</v>
      </c>
      <c r="F290" s="93" t="n"/>
      <c r="G290" s="93" t="n"/>
      <c r="H290" s="93" t="n"/>
      <c r="I290" s="93" t="n"/>
      <c r="J290" s="93" t="n"/>
      <c r="K290" s="93" t="n"/>
      <c r="L290" s="190">
        <f>E290*Prices!B$2</f>
        <v/>
      </c>
      <c r="M290" s="190">
        <f>F290*Prices!C$2</f>
        <v/>
      </c>
      <c r="N290" s="190">
        <f>G290*Prices!D$2</f>
        <v/>
      </c>
      <c r="O290" s="190">
        <f>H290*160000</f>
        <v/>
      </c>
      <c r="P290" s="190">
        <f>I290*2000+J290*10000+K290*850</f>
        <v/>
      </c>
      <c r="Q290" s="190">
        <f>D290*Prices!A$2</f>
        <v/>
      </c>
      <c r="R290" s="191">
        <f>L290+M290+N290+O290</f>
        <v/>
      </c>
      <c r="S290" s="190">
        <f>R290+Q290+P290</f>
        <v/>
      </c>
      <c r="T290" s="93" t="n">
        <v>289</v>
      </c>
      <c r="U290" s="93" t="inlineStr">
        <is>
          <t>Available</t>
        </is>
      </c>
      <c r="V290" s="12" t="inlineStr">
        <is>
          <t>A</t>
        </is>
      </c>
      <c r="W290" s="12" t="n"/>
      <c r="X290" s="12" t="n"/>
      <c r="Y290" s="12" t="n"/>
      <c r="Z290" s="12" t="n"/>
    </row>
    <row r="291">
      <c r="A291" s="93" t="n">
        <v>290</v>
      </c>
      <c r="B291" s="93" t="n">
        <v>1.896</v>
      </c>
      <c r="C291" s="93">
        <f>B291*(25/100)</f>
        <v/>
      </c>
      <c r="D291" s="93">
        <f>C291+B291</f>
        <v/>
      </c>
      <c r="E291" s="93" t="n">
        <v>0.27</v>
      </c>
      <c r="F291" s="93" t="n"/>
      <c r="G291" s="93" t="n"/>
      <c r="H291" s="93" t="n"/>
      <c r="I291" s="93" t="n"/>
      <c r="J291" s="93" t="n"/>
      <c r="K291" s="93" t="n"/>
      <c r="L291" s="190">
        <f>E291*Prices!B$2</f>
        <v/>
      </c>
      <c r="M291" s="190">
        <f>F291*Prices!C$2</f>
        <v/>
      </c>
      <c r="N291" s="190">
        <f>G291*Prices!D$2</f>
        <v/>
      </c>
      <c r="O291" s="190">
        <f>H291*160000</f>
        <v/>
      </c>
      <c r="P291" s="190">
        <f>I291*2000+J291*10000+K291*850</f>
        <v/>
      </c>
      <c r="Q291" s="190">
        <f>D291*Prices!A$2</f>
        <v/>
      </c>
      <c r="R291" s="191">
        <f>L291+M291+N291+O291</f>
        <v/>
      </c>
      <c r="S291" s="190">
        <f>R291+Q291+P291</f>
        <v/>
      </c>
      <c r="T291" s="93" t="n">
        <v>290</v>
      </c>
      <c r="U291" s="93" t="inlineStr">
        <is>
          <t>Sold</t>
        </is>
      </c>
      <c r="V291" s="12" t="n"/>
      <c r="W291" s="12" t="n"/>
      <c r="X291" s="12" t="n"/>
      <c r="Y291" s="12" t="n"/>
      <c r="Z291" s="12" t="n"/>
    </row>
    <row r="292">
      <c r="A292" s="93" t="n">
        <v>291</v>
      </c>
      <c r="B292" s="93" t="n">
        <v>3.04</v>
      </c>
      <c r="C292" s="93">
        <f>B292*(25/100)</f>
        <v/>
      </c>
      <c r="D292" s="93">
        <f>C292+B292</f>
        <v/>
      </c>
      <c r="E292" s="93" t="n">
        <v>0.59</v>
      </c>
      <c r="F292" s="93" t="n"/>
      <c r="G292" s="93" t="n"/>
      <c r="H292" s="93" t="n"/>
      <c r="I292" s="93" t="n"/>
      <c r="J292" s="93" t="n"/>
      <c r="K292" s="93" t="n"/>
      <c r="L292" s="190">
        <f>E292*Prices!B$2</f>
        <v/>
      </c>
      <c r="M292" s="190">
        <f>F292*Prices!C$2</f>
        <v/>
      </c>
      <c r="N292" s="190">
        <f>G292*Prices!D$2</f>
        <v/>
      </c>
      <c r="O292" s="190">
        <f>H292*160000</f>
        <v/>
      </c>
      <c r="P292" s="190">
        <f>I292*2000+J292*10000+K292*850</f>
        <v/>
      </c>
      <c r="Q292" s="190">
        <f>D292*Prices!A$2</f>
        <v/>
      </c>
      <c r="R292" s="191">
        <f>L292+M292+N292+O292</f>
        <v/>
      </c>
      <c r="S292" s="190">
        <f>R292+Q292+P292</f>
        <v/>
      </c>
      <c r="T292" s="93" t="n">
        <v>291</v>
      </c>
      <c r="U292" s="93" t="inlineStr">
        <is>
          <t>Available</t>
        </is>
      </c>
      <c r="V292" s="12" t="inlineStr">
        <is>
          <t>A</t>
        </is>
      </c>
      <c r="W292" s="12" t="n"/>
      <c r="X292" s="12" t="n"/>
      <c r="Y292" s="12" t="n"/>
      <c r="Z292" s="12" t="n"/>
    </row>
    <row r="293">
      <c r="A293" s="93" t="n">
        <v>292</v>
      </c>
      <c r="B293" s="93" t="n">
        <v>3.826</v>
      </c>
      <c r="C293" s="93">
        <f>B293*(25/100)</f>
        <v/>
      </c>
      <c r="D293" s="93">
        <f>C293+B293</f>
        <v/>
      </c>
      <c r="E293" s="93" t="n">
        <v>0.62</v>
      </c>
      <c r="F293" s="93" t="n"/>
      <c r="G293" s="93" t="n"/>
      <c r="H293" s="93" t="n"/>
      <c r="I293" s="93" t="n"/>
      <c r="J293" s="93" t="n"/>
      <c r="K293" s="93" t="n"/>
      <c r="L293" s="190">
        <f>E293*Prices!B$2</f>
        <v/>
      </c>
      <c r="M293" s="190">
        <f>F293*Prices!C$2</f>
        <v/>
      </c>
      <c r="N293" s="190">
        <f>G293*Prices!D$2</f>
        <v/>
      </c>
      <c r="O293" s="190">
        <f>H293*160000</f>
        <v/>
      </c>
      <c r="P293" s="190">
        <f>I293*2000+J293*10000+K293*850</f>
        <v/>
      </c>
      <c r="Q293" s="190">
        <f>D293*Prices!A$2</f>
        <v/>
      </c>
      <c r="R293" s="191">
        <f>L293+M293+N293+O293</f>
        <v/>
      </c>
      <c r="S293" s="190">
        <f>R293+Q293+P293</f>
        <v/>
      </c>
      <c r="T293" s="93" t="n">
        <v>292</v>
      </c>
      <c r="U293" s="93" t="inlineStr">
        <is>
          <t>Sold</t>
        </is>
      </c>
      <c r="V293" s="12" t="n"/>
      <c r="W293" s="12" t="n"/>
      <c r="X293" s="12" t="n"/>
      <c r="Y293" s="12" t="n"/>
      <c r="Z293" s="12" t="n"/>
    </row>
    <row r="294">
      <c r="A294" s="93" t="n">
        <v>293</v>
      </c>
      <c r="B294" s="93" t="n">
        <v>3.486</v>
      </c>
      <c r="C294" s="93">
        <f>B294*(25/100)</f>
        <v/>
      </c>
      <c r="D294" s="93">
        <f>C294+B294</f>
        <v/>
      </c>
      <c r="E294" s="93" t="n">
        <v>0.87</v>
      </c>
      <c r="F294" s="93" t="n"/>
      <c r="G294" s="93" t="n"/>
      <c r="H294" s="93" t="n"/>
      <c r="I294" s="93" t="n"/>
      <c r="J294" s="93" t="n"/>
      <c r="K294" s="93" t="n"/>
      <c r="L294" s="190">
        <f>E294*Prices!B$2</f>
        <v/>
      </c>
      <c r="M294" s="190">
        <f>F294*Prices!C$2</f>
        <v/>
      </c>
      <c r="N294" s="190">
        <f>G294*Prices!D$2</f>
        <v/>
      </c>
      <c r="O294" s="190">
        <f>H294*160000</f>
        <v/>
      </c>
      <c r="P294" s="190">
        <f>I294*2000+J294*10000+K294*850</f>
        <v/>
      </c>
      <c r="Q294" s="190">
        <f>D294*Prices!A$2</f>
        <v/>
      </c>
      <c r="R294" s="191">
        <f>L294+M294+N294+O294</f>
        <v/>
      </c>
      <c r="S294" s="190">
        <f>R294+Q294+P294</f>
        <v/>
      </c>
      <c r="T294" s="93" t="n">
        <v>293</v>
      </c>
      <c r="U294" s="93" t="inlineStr">
        <is>
          <t>Available</t>
        </is>
      </c>
      <c r="V294" s="12" t="inlineStr">
        <is>
          <t>A</t>
        </is>
      </c>
      <c r="W294" s="12" t="n"/>
      <c r="X294" s="12" t="n"/>
      <c r="Y294" s="12" t="n"/>
      <c r="Z294" s="12" t="n"/>
    </row>
    <row r="295">
      <c r="A295" s="93" t="n">
        <v>294</v>
      </c>
      <c r="B295" s="93" t="n">
        <v>6.332</v>
      </c>
      <c r="C295" s="93">
        <f>B295*(25/100)</f>
        <v/>
      </c>
      <c r="D295" s="93">
        <f>C295+B295</f>
        <v/>
      </c>
      <c r="E295" s="93" t="n">
        <v>1.04</v>
      </c>
      <c r="F295" s="93" t="n"/>
      <c r="G295" s="93" t="n"/>
      <c r="H295" s="93" t="n"/>
      <c r="I295" s="93" t="n"/>
      <c r="J295" s="93" t="n"/>
      <c r="K295" s="93" t="n"/>
      <c r="L295" s="190">
        <f>E295*Prices!B$2</f>
        <v/>
      </c>
      <c r="M295" s="190">
        <f>F295*Prices!C$2</f>
        <v/>
      </c>
      <c r="N295" s="190">
        <f>G295*Prices!D$2</f>
        <v/>
      </c>
      <c r="O295" s="190">
        <f>H295*160000</f>
        <v/>
      </c>
      <c r="P295" s="190">
        <f>I295*2000+J295*10000+K295*850</f>
        <v/>
      </c>
      <c r="Q295" s="190">
        <f>D295*Prices!A$2</f>
        <v/>
      </c>
      <c r="R295" s="191">
        <f>L295+M295+N295+O295</f>
        <v/>
      </c>
      <c r="S295" s="190">
        <f>R295+Q295+P295</f>
        <v/>
      </c>
      <c r="T295" s="93" t="n">
        <v>294</v>
      </c>
      <c r="U295" s="93" t="inlineStr">
        <is>
          <t>Available</t>
        </is>
      </c>
      <c r="V295" s="12" t="inlineStr">
        <is>
          <t>A</t>
        </is>
      </c>
      <c r="W295" s="12" t="n"/>
      <c r="X295" s="12" t="n"/>
      <c r="Y295" s="12" t="n"/>
      <c r="Z295" s="12" t="n"/>
    </row>
    <row r="296">
      <c r="A296" s="93" t="n">
        <v>295</v>
      </c>
      <c r="B296" s="93" t="n">
        <v>3.764</v>
      </c>
      <c r="C296" s="93">
        <f>B296*(25/100)</f>
        <v/>
      </c>
      <c r="D296" s="93">
        <f>C296+B296</f>
        <v/>
      </c>
      <c r="E296" s="93" t="n">
        <v>0.68</v>
      </c>
      <c r="F296" s="93" t="n"/>
      <c r="G296" s="93" t="n"/>
      <c r="H296" s="93" t="n"/>
      <c r="I296" s="93" t="n"/>
      <c r="J296" s="93" t="n"/>
      <c r="K296" s="93" t="n"/>
      <c r="L296" s="190">
        <f>E296*Prices!B$2</f>
        <v/>
      </c>
      <c r="M296" s="190">
        <f>F296*Prices!C$2</f>
        <v/>
      </c>
      <c r="N296" s="190">
        <f>G296*Prices!D$2</f>
        <v/>
      </c>
      <c r="O296" s="190">
        <f>H296*160000</f>
        <v/>
      </c>
      <c r="P296" s="190">
        <f>I296*2000+J296*10000+K296*850</f>
        <v/>
      </c>
      <c r="Q296" s="190">
        <f>D296*Prices!A$2</f>
        <v/>
      </c>
      <c r="R296" s="191">
        <f>L296+M296+N296+O296</f>
        <v/>
      </c>
      <c r="S296" s="190">
        <f>R296+Q296+P296</f>
        <v/>
      </c>
      <c r="T296" s="93" t="n">
        <v>295</v>
      </c>
      <c r="U296" s="93" t="inlineStr">
        <is>
          <t>Sold</t>
        </is>
      </c>
      <c r="V296" s="12" t="n"/>
      <c r="W296" s="12" t="n"/>
      <c r="X296" s="12" t="n"/>
      <c r="Y296" s="12" t="n"/>
      <c r="Z296" s="12" t="n"/>
    </row>
    <row r="297">
      <c r="A297" s="93" t="n">
        <v>296</v>
      </c>
      <c r="B297" s="93" t="n">
        <v>3.976</v>
      </c>
      <c r="C297" s="93">
        <f>B297*(25/100)</f>
        <v/>
      </c>
      <c r="D297" s="93">
        <f>C297+B297</f>
        <v/>
      </c>
      <c r="E297" s="93" t="n">
        <v>1.32</v>
      </c>
      <c r="F297" s="93" t="n"/>
      <c r="G297" s="93" t="n"/>
      <c r="H297" s="93" t="n"/>
      <c r="I297" s="93" t="n"/>
      <c r="J297" s="93" t="n"/>
      <c r="K297" s="93" t="n"/>
      <c r="L297" s="190">
        <f>E297*Prices!B$2</f>
        <v/>
      </c>
      <c r="M297" s="190">
        <f>F297*Prices!C$2</f>
        <v/>
      </c>
      <c r="N297" s="190">
        <f>G297*Prices!D$2</f>
        <v/>
      </c>
      <c r="O297" s="190">
        <f>H297*160000</f>
        <v/>
      </c>
      <c r="P297" s="190">
        <f>I297*2000+J297*10000+K297*850</f>
        <v/>
      </c>
      <c r="Q297" s="190">
        <f>D297*Prices!A$2</f>
        <v/>
      </c>
      <c r="R297" s="191">
        <f>L297+M297+N297+O297</f>
        <v/>
      </c>
      <c r="S297" s="190">
        <f>R297+Q297+P297</f>
        <v/>
      </c>
      <c r="T297" s="93" t="n">
        <v>296</v>
      </c>
      <c r="U297" s="93" t="inlineStr">
        <is>
          <t>Sold</t>
        </is>
      </c>
      <c r="V297" s="12" t="n"/>
      <c r="W297" s="12" t="n"/>
      <c r="X297" s="12" t="n"/>
      <c r="Y297" s="12" t="n"/>
      <c r="Z297" s="12" t="n"/>
    </row>
    <row r="298">
      <c r="A298" s="93" t="n">
        <v>297</v>
      </c>
      <c r="B298" s="93" t="n">
        <v>4.55</v>
      </c>
      <c r="C298" s="93">
        <f>B298*(25/100)</f>
        <v/>
      </c>
      <c r="D298" s="93">
        <f>C298+B298</f>
        <v/>
      </c>
      <c r="E298" s="93" t="n">
        <v>0.75</v>
      </c>
      <c r="F298" s="93" t="n"/>
      <c r="G298" s="93" t="n"/>
      <c r="H298" s="93" t="n"/>
      <c r="I298" s="93" t="n"/>
      <c r="J298" s="93" t="n"/>
      <c r="K298" s="93" t="n"/>
      <c r="L298" s="190">
        <f>E298*Prices!B$2</f>
        <v/>
      </c>
      <c r="M298" s="190">
        <f>F298*Prices!C$2</f>
        <v/>
      </c>
      <c r="N298" s="190">
        <f>G298*Prices!D$2</f>
        <v/>
      </c>
      <c r="O298" s="190">
        <f>H298*160000</f>
        <v/>
      </c>
      <c r="P298" s="190">
        <f>I298*2000+J298*10000+K298*850</f>
        <v/>
      </c>
      <c r="Q298" s="190">
        <f>D298*Prices!A$2</f>
        <v/>
      </c>
      <c r="R298" s="191">
        <f>L298+M298+N298+O298</f>
        <v/>
      </c>
      <c r="S298" s="190">
        <f>R298+Q298+P298</f>
        <v/>
      </c>
      <c r="T298" s="93" t="n">
        <v>297</v>
      </c>
      <c r="U298" s="93" t="inlineStr">
        <is>
          <t>Sold</t>
        </is>
      </c>
      <c r="V298" s="12" t="n"/>
      <c r="W298" s="12" t="n"/>
      <c r="X298" s="12" t="n"/>
      <c r="Y298" s="12" t="n"/>
      <c r="Z298" s="12" t="n"/>
    </row>
    <row r="299">
      <c r="A299" s="93" t="n">
        <v>298</v>
      </c>
      <c r="B299" s="93" t="n">
        <v>2.368</v>
      </c>
      <c r="C299" s="93">
        <f>B299*(25/100)</f>
        <v/>
      </c>
      <c r="D299" s="93">
        <f>C299+B299</f>
        <v/>
      </c>
      <c r="E299" s="93" t="n">
        <v>0.26</v>
      </c>
      <c r="F299" s="93" t="n"/>
      <c r="G299" s="93" t="n"/>
      <c r="H299" s="93" t="n"/>
      <c r="I299" s="93" t="n"/>
      <c r="J299" s="93" t="n"/>
      <c r="K299" s="93" t="n"/>
      <c r="L299" s="190">
        <f>E299*Prices!B$2</f>
        <v/>
      </c>
      <c r="M299" s="190">
        <f>F299*Prices!C$2</f>
        <v/>
      </c>
      <c r="N299" s="190">
        <f>G299*Prices!D$2</f>
        <v/>
      </c>
      <c r="O299" s="190">
        <f>H299*160000</f>
        <v/>
      </c>
      <c r="P299" s="190">
        <f>I299*2000+J299*10000+K299*850</f>
        <v/>
      </c>
      <c r="Q299" s="190">
        <f>D299*Prices!A$2</f>
        <v/>
      </c>
      <c r="R299" s="191">
        <f>L299+M299+N299+O299</f>
        <v/>
      </c>
      <c r="S299" s="190">
        <f>R299+Q299+P299</f>
        <v/>
      </c>
      <c r="T299" s="93" t="n">
        <v>298</v>
      </c>
      <c r="U299" s="93" t="inlineStr">
        <is>
          <t>Available</t>
        </is>
      </c>
      <c r="V299" s="12" t="inlineStr">
        <is>
          <t>A</t>
        </is>
      </c>
      <c r="W299" s="12" t="n"/>
      <c r="X299" s="12" t="n"/>
      <c r="Y299" s="12" t="n"/>
      <c r="Z299" s="12" t="n"/>
    </row>
    <row r="300">
      <c r="A300" s="93" t="n">
        <v>299</v>
      </c>
      <c r="B300" s="93" t="n">
        <v>2.984</v>
      </c>
      <c r="C300" s="93">
        <f>B300*(25/100)</f>
        <v/>
      </c>
      <c r="D300" s="93">
        <f>C300+B300</f>
        <v/>
      </c>
      <c r="E300" s="93" t="n">
        <v>0.73</v>
      </c>
      <c r="F300" s="93" t="n"/>
      <c r="G300" s="93" t="n"/>
      <c r="H300" s="93" t="n"/>
      <c r="I300" s="93" t="n"/>
      <c r="J300" s="93" t="n"/>
      <c r="K300" s="93" t="n"/>
      <c r="L300" s="190">
        <f>E300*Prices!B$2</f>
        <v/>
      </c>
      <c r="M300" s="190">
        <f>F300*Prices!C$2</f>
        <v/>
      </c>
      <c r="N300" s="190">
        <f>G300*Prices!D$2</f>
        <v/>
      </c>
      <c r="O300" s="190">
        <f>H300*160000</f>
        <v/>
      </c>
      <c r="P300" s="190">
        <f>I300*2000+J300*10000+K300*850</f>
        <v/>
      </c>
      <c r="Q300" s="190">
        <f>D300*Prices!A$2</f>
        <v/>
      </c>
      <c r="R300" s="191">
        <f>L300+M300+N300+O300</f>
        <v/>
      </c>
      <c r="S300" s="190">
        <f>R300+Q300+P300</f>
        <v/>
      </c>
      <c r="T300" s="93" t="n">
        <v>299</v>
      </c>
      <c r="U300" s="93" t="inlineStr">
        <is>
          <t>Available</t>
        </is>
      </c>
      <c r="V300" s="12" t="inlineStr">
        <is>
          <t>A</t>
        </is>
      </c>
      <c r="W300" s="12" t="n"/>
      <c r="X300" s="12" t="n"/>
      <c r="Y300" s="12" t="n"/>
      <c r="Z300" s="12" t="n"/>
    </row>
    <row r="301">
      <c r="A301" s="93" t="n">
        <v>300</v>
      </c>
      <c r="B301" s="93" t="n">
        <v>1.894</v>
      </c>
      <c r="C301" s="93">
        <f>B301*(25/100)</f>
        <v/>
      </c>
      <c r="D301" s="93">
        <f>C301+B301</f>
        <v/>
      </c>
      <c r="E301" s="93" t="n">
        <v>0.43</v>
      </c>
      <c r="F301" s="93" t="n"/>
      <c r="G301" s="93" t="n"/>
      <c r="H301" s="93" t="n"/>
      <c r="I301" s="93" t="n"/>
      <c r="J301" s="93" t="n"/>
      <c r="K301" s="93" t="n"/>
      <c r="L301" s="190">
        <f>E301*Prices!B$2</f>
        <v/>
      </c>
      <c r="M301" s="190">
        <f>F301*Prices!C$2</f>
        <v/>
      </c>
      <c r="N301" s="190">
        <f>G301*Prices!D$2</f>
        <v/>
      </c>
      <c r="O301" s="190">
        <f>H301*160000</f>
        <v/>
      </c>
      <c r="P301" s="190">
        <f>I301*2000+J301*10000+K301*850</f>
        <v/>
      </c>
      <c r="Q301" s="190">
        <f>D301*Prices!A$2</f>
        <v/>
      </c>
      <c r="R301" s="191">
        <f>L301+M301+N301+O301</f>
        <v/>
      </c>
      <c r="S301" s="190">
        <f>R301+Q301+P301</f>
        <v/>
      </c>
      <c r="T301" s="93" t="n">
        <v>300</v>
      </c>
      <c r="U301" s="93" t="inlineStr">
        <is>
          <t>Available</t>
        </is>
      </c>
      <c r="V301" s="12" t="inlineStr">
        <is>
          <t>A</t>
        </is>
      </c>
      <c r="W301" s="12" t="n"/>
      <c r="X301" s="12" t="n"/>
      <c r="Y301" s="12" t="n"/>
      <c r="Z301" s="12" t="n"/>
    </row>
    <row r="302">
      <c r="A302" s="93" t="n">
        <v>301</v>
      </c>
      <c r="B302" s="93" t="n">
        <v>3.358</v>
      </c>
      <c r="C302" s="93">
        <f>B302*(25/100)</f>
        <v/>
      </c>
      <c r="D302" s="93">
        <f>C302+B302</f>
        <v/>
      </c>
      <c r="E302" s="93" t="n">
        <v>0.51</v>
      </c>
      <c r="F302" s="93" t="n"/>
      <c r="G302" s="93" t="n"/>
      <c r="H302" s="93" t="n"/>
      <c r="I302" s="93" t="n"/>
      <c r="J302" s="93" t="n"/>
      <c r="K302" s="93" t="n"/>
      <c r="L302" s="190">
        <f>E302*Prices!B$2</f>
        <v/>
      </c>
      <c r="M302" s="190">
        <f>F302*Prices!C$2</f>
        <v/>
      </c>
      <c r="N302" s="190">
        <f>G302*Prices!D$2</f>
        <v/>
      </c>
      <c r="O302" s="190">
        <f>H302*160000</f>
        <v/>
      </c>
      <c r="P302" s="190">
        <f>I302*2000+J302*10000+K302*850</f>
        <v/>
      </c>
      <c r="Q302" s="190">
        <f>D302*Prices!A$2</f>
        <v/>
      </c>
      <c r="R302" s="191">
        <f>L302+M302+N302+O302</f>
        <v/>
      </c>
      <c r="S302" s="190">
        <f>R302+Q302+P302</f>
        <v/>
      </c>
      <c r="T302" s="93" t="n">
        <v>301</v>
      </c>
      <c r="U302" s="93" t="inlineStr">
        <is>
          <t>Available</t>
        </is>
      </c>
      <c r="V302" s="12" t="inlineStr">
        <is>
          <t>A</t>
        </is>
      </c>
      <c r="W302" s="12" t="n"/>
      <c r="X302" s="12" t="n"/>
      <c r="Y302" s="12" t="n"/>
      <c r="Z302" s="12" t="n"/>
    </row>
    <row r="303">
      <c r="A303" s="93" t="n">
        <v>302</v>
      </c>
      <c r="B303" s="93" t="n">
        <v>2.58</v>
      </c>
      <c r="C303" s="93">
        <f>B303*(25/100)</f>
        <v/>
      </c>
      <c r="D303" s="93">
        <f>C303+B303</f>
        <v/>
      </c>
      <c r="E303" s="93" t="n">
        <v>0.26</v>
      </c>
      <c r="F303" s="93" t="n">
        <v>0.09</v>
      </c>
      <c r="G303" s="93" t="n"/>
      <c r="H303" s="93" t="n"/>
      <c r="I303" s="93" t="n"/>
      <c r="J303" s="93" t="n"/>
      <c r="K303" s="93" t="n"/>
      <c r="L303" s="190">
        <f>E303*Prices!B$2</f>
        <v/>
      </c>
      <c r="M303" s="190">
        <f>F303*Prices!C$2</f>
        <v/>
      </c>
      <c r="N303" s="190">
        <f>G303*Prices!D$2</f>
        <v/>
      </c>
      <c r="O303" s="190">
        <f>H303*160000</f>
        <v/>
      </c>
      <c r="P303" s="190">
        <f>I303*2000+J303*10000+K303*850</f>
        <v/>
      </c>
      <c r="Q303" s="190">
        <f>D303*Prices!A$2</f>
        <v/>
      </c>
      <c r="R303" s="191">
        <f>L303+M303+N303+O303</f>
        <v/>
      </c>
      <c r="S303" s="190">
        <f>R303+Q303+P303</f>
        <v/>
      </c>
      <c r="T303" s="93" t="n">
        <v>302</v>
      </c>
      <c r="U303" s="93" t="inlineStr">
        <is>
          <t>Sold</t>
        </is>
      </c>
      <c r="V303" s="12" t="n"/>
      <c r="W303" s="12" t="n"/>
      <c r="X303" s="12" t="n"/>
      <c r="Y303" s="12" t="n"/>
      <c r="Z303" s="12" t="n"/>
    </row>
    <row r="304">
      <c r="A304" s="93" t="n">
        <v>303</v>
      </c>
      <c r="B304" s="93" t="n">
        <v>3.75</v>
      </c>
      <c r="C304" s="93">
        <f>B304*(25/100)</f>
        <v/>
      </c>
      <c r="D304" s="93">
        <f>C304+B304</f>
        <v/>
      </c>
      <c r="E304" s="93" t="n">
        <v>0.1</v>
      </c>
      <c r="F304" s="93" t="n"/>
      <c r="G304" s="93" t="n"/>
      <c r="H304" s="93" t="n"/>
      <c r="I304" s="93" t="n"/>
      <c r="J304" s="93" t="n"/>
      <c r="K304" s="93" t="n"/>
      <c r="L304" s="190">
        <f>E304*Prices!B$2</f>
        <v/>
      </c>
      <c r="M304" s="190">
        <f>F304*Prices!C$2</f>
        <v/>
      </c>
      <c r="N304" s="190">
        <f>G304*Prices!D$2</f>
        <v/>
      </c>
      <c r="O304" s="190">
        <f>H304*160000</f>
        <v/>
      </c>
      <c r="P304" s="190">
        <f>I304*2000+J304*10000+K304*850</f>
        <v/>
      </c>
      <c r="Q304" s="190">
        <f>D304*Prices!A$2</f>
        <v/>
      </c>
      <c r="R304" s="191">
        <f>L304+M304+N304+O304</f>
        <v/>
      </c>
      <c r="S304" s="190">
        <f>R304+Q304+P304</f>
        <v/>
      </c>
      <c r="T304" s="93" t="n">
        <v>303</v>
      </c>
      <c r="U304" s="93" t="inlineStr">
        <is>
          <t>Available</t>
        </is>
      </c>
      <c r="V304" s="12" t="inlineStr">
        <is>
          <t>A</t>
        </is>
      </c>
      <c r="W304" s="12" t="n"/>
      <c r="X304" s="12" t="n"/>
      <c r="Y304" s="12" t="n"/>
      <c r="Z304" s="12" t="n"/>
    </row>
    <row r="305">
      <c r="A305" s="93" t="n">
        <v>304</v>
      </c>
      <c r="B305" s="93" t="n">
        <v>4.216</v>
      </c>
      <c r="C305" s="93">
        <f>B305*(25/100)</f>
        <v/>
      </c>
      <c r="D305" s="93">
        <f>C305+B305</f>
        <v/>
      </c>
      <c r="E305" s="93" t="n">
        <v>0.5</v>
      </c>
      <c r="F305" s="93" t="n"/>
      <c r="G305" s="93" t="n"/>
      <c r="H305" s="93" t="n"/>
      <c r="I305" s="93" t="n"/>
      <c r="J305" s="93" t="n"/>
      <c r="K305" s="93" t="n"/>
      <c r="L305" s="190">
        <f>E305*Prices!B$2</f>
        <v/>
      </c>
      <c r="M305" s="190">
        <f>F305*Prices!C$2</f>
        <v/>
      </c>
      <c r="N305" s="190">
        <f>G305*Prices!D$2</f>
        <v/>
      </c>
      <c r="O305" s="190">
        <f>H305*160000</f>
        <v/>
      </c>
      <c r="P305" s="190" t="n">
        <v>2500</v>
      </c>
      <c r="Q305" s="190">
        <f>D305*Prices!A$2</f>
        <v/>
      </c>
      <c r="R305" s="191">
        <f>L305+M305+N305+O305</f>
        <v/>
      </c>
      <c r="S305" s="190">
        <f>R305+Q305+P305</f>
        <v/>
      </c>
      <c r="T305" s="93" t="n">
        <v>304</v>
      </c>
      <c r="U305" s="93" t="inlineStr">
        <is>
          <t>Available</t>
        </is>
      </c>
      <c r="V305" s="12" t="inlineStr">
        <is>
          <t>A</t>
        </is>
      </c>
      <c r="W305" s="12" t="n"/>
      <c r="X305" s="12" t="n"/>
      <c r="Y305" s="12" t="n"/>
      <c r="Z305" s="12" t="n"/>
    </row>
    <row r="306">
      <c r="A306" s="93" t="n">
        <v>305</v>
      </c>
      <c r="B306" s="93" t="n">
        <v>3.828</v>
      </c>
      <c r="C306" s="93">
        <f>B306*(25/100)</f>
        <v/>
      </c>
      <c r="D306" s="93">
        <f>C306+B306</f>
        <v/>
      </c>
      <c r="E306" s="93" t="n">
        <v>0.95</v>
      </c>
      <c r="F306" s="93" t="n"/>
      <c r="G306" s="93" t="n"/>
      <c r="H306" s="93" t="n"/>
      <c r="I306" s="93" t="n"/>
      <c r="J306" s="93" t="n"/>
      <c r="K306" s="93" t="n">
        <v>12.16</v>
      </c>
      <c r="L306" s="190">
        <f>E306*Prices!B$2</f>
        <v/>
      </c>
      <c r="M306" s="190">
        <f>F306*Prices!C$2</f>
        <v/>
      </c>
      <c r="N306" s="190">
        <f>G306*Prices!D$2</f>
        <v/>
      </c>
      <c r="O306" s="190">
        <f>H306*160000</f>
        <v/>
      </c>
      <c r="P306" s="190">
        <f>I306*2000+J306*10000+K306*850</f>
        <v/>
      </c>
      <c r="Q306" s="190">
        <f>D306*Prices!A$2</f>
        <v/>
      </c>
      <c r="R306" s="191">
        <f>L306+M306+N306+O306</f>
        <v/>
      </c>
      <c r="S306" s="190">
        <f>R306+Q306+P306</f>
        <v/>
      </c>
      <c r="T306" s="93" t="n">
        <v>305</v>
      </c>
      <c r="U306" s="93" t="inlineStr">
        <is>
          <t>Sold</t>
        </is>
      </c>
      <c r="V306" s="12" t="n"/>
      <c r="W306" s="12" t="n"/>
      <c r="X306" s="12" t="n"/>
      <c r="Y306" s="12" t="n"/>
      <c r="Z306" s="12" t="n"/>
    </row>
    <row r="307">
      <c r="A307" s="93" t="n">
        <v>306</v>
      </c>
      <c r="B307" s="93" t="n">
        <v>5.134</v>
      </c>
      <c r="C307" s="93">
        <f>B307*(25/100)</f>
        <v/>
      </c>
      <c r="D307" s="93">
        <f>C307+B307</f>
        <v/>
      </c>
      <c r="E307" s="93">
        <f>0.65+0.29</f>
        <v/>
      </c>
      <c r="F307" s="93" t="n"/>
      <c r="G307" s="93" t="n"/>
      <c r="H307" s="93" t="n"/>
      <c r="I307" s="93" t="n"/>
      <c r="J307" s="93" t="n"/>
      <c r="K307" s="93" t="n">
        <v>11.04</v>
      </c>
      <c r="L307" s="190">
        <f>E307*Prices!B$2</f>
        <v/>
      </c>
      <c r="M307" s="190">
        <f>F307*Prices!C$2</f>
        <v/>
      </c>
      <c r="N307" s="190">
        <f>G307*Prices!D$2</f>
        <v/>
      </c>
      <c r="O307" s="190">
        <f>H307*160000</f>
        <v/>
      </c>
      <c r="P307" s="190">
        <f>I307*2000+J307*10000+K307*1800</f>
        <v/>
      </c>
      <c r="Q307" s="190">
        <f>D307*Prices!A$2</f>
        <v/>
      </c>
      <c r="R307" s="191">
        <f>L307+M307+N307+O307</f>
        <v/>
      </c>
      <c r="S307" s="190">
        <f>R307+Q307+P307</f>
        <v/>
      </c>
      <c r="T307" s="93" t="n">
        <v>306</v>
      </c>
      <c r="U307" s="93" t="inlineStr">
        <is>
          <t>Sold</t>
        </is>
      </c>
      <c r="V307" s="12" t="n"/>
      <c r="W307" s="12" t="n"/>
      <c r="X307" s="12" t="n"/>
      <c r="Y307" s="12" t="n"/>
      <c r="Z307" s="12" t="n"/>
    </row>
    <row r="308">
      <c r="A308" s="93" t="n">
        <v>307</v>
      </c>
      <c r="B308" s="93" t="n">
        <v>3.91</v>
      </c>
      <c r="C308" s="93">
        <f>B308*(25/100)</f>
        <v/>
      </c>
      <c r="D308" s="93">
        <f>C308+B308</f>
        <v/>
      </c>
      <c r="E308" s="93" t="n">
        <v>0.5</v>
      </c>
      <c r="F308" s="93" t="n"/>
      <c r="G308" s="93" t="n"/>
      <c r="H308" s="93" t="n"/>
      <c r="I308" s="93" t="n"/>
      <c r="J308" s="93" t="n"/>
      <c r="K308" s="93" t="n">
        <v>3.6</v>
      </c>
      <c r="L308" s="190">
        <f>E308*Prices!B$2</f>
        <v/>
      </c>
      <c r="M308" s="190">
        <f>F308*Prices!C$2</f>
        <v/>
      </c>
      <c r="N308" s="190">
        <f>G308*Prices!D$2</f>
        <v/>
      </c>
      <c r="O308" s="190">
        <f>H308*160000</f>
        <v/>
      </c>
      <c r="P308" s="190">
        <f>I308*2000+J308*10000+K308*1800</f>
        <v/>
      </c>
      <c r="Q308" s="190">
        <f>D308*Prices!A$2</f>
        <v/>
      </c>
      <c r="R308" s="191">
        <f>L308+M308+N308+O308</f>
        <v/>
      </c>
      <c r="S308" s="190">
        <f>R308+Q308+P308</f>
        <v/>
      </c>
      <c r="T308" s="93" t="n">
        <v>307</v>
      </c>
      <c r="U308" s="93" t="inlineStr">
        <is>
          <t>Available</t>
        </is>
      </c>
      <c r="V308" s="12" t="inlineStr">
        <is>
          <t>A</t>
        </is>
      </c>
      <c r="W308" s="12" t="n"/>
      <c r="X308" s="12" t="n"/>
      <c r="Y308" s="12" t="n"/>
      <c r="Z308" s="12" t="n"/>
    </row>
    <row r="309">
      <c r="A309" s="93" t="n">
        <v>308</v>
      </c>
      <c r="B309" s="93" t="n">
        <v>3.14</v>
      </c>
      <c r="C309" s="93">
        <f>B309*(25/100)</f>
        <v/>
      </c>
      <c r="D309" s="93">
        <f>C309+B309</f>
        <v/>
      </c>
      <c r="E309" s="93" t="n">
        <v>0.32</v>
      </c>
      <c r="F309" s="93" t="n"/>
      <c r="G309" s="93" t="n"/>
      <c r="H309" s="93" t="n"/>
      <c r="I309" s="93" t="n"/>
      <c r="J309" s="93" t="n">
        <v>2.5</v>
      </c>
      <c r="K309" s="93" t="n"/>
      <c r="L309" s="190">
        <f>E309*Prices!B$2</f>
        <v/>
      </c>
      <c r="M309" s="190">
        <f>F309*Prices!C$2</f>
        <v/>
      </c>
      <c r="N309" s="190">
        <f>G309*Prices!D$2</f>
        <v/>
      </c>
      <c r="O309" s="190">
        <f>H309*160000</f>
        <v/>
      </c>
      <c r="P309" s="190">
        <f>I309*2000+J309*10000+K309*1800</f>
        <v/>
      </c>
      <c r="Q309" s="190">
        <f>D309*Prices!A$2</f>
        <v/>
      </c>
      <c r="R309" s="191">
        <f>L309+M309+N309+O309</f>
        <v/>
      </c>
      <c r="S309" s="190">
        <f>R309+Q309+P309</f>
        <v/>
      </c>
      <c r="T309" s="93" t="n">
        <v>308</v>
      </c>
      <c r="U309" s="26" t="inlineStr">
        <is>
          <t>Sold</t>
        </is>
      </c>
      <c r="V309" s="12" t="n"/>
      <c r="W309" s="12" t="n"/>
      <c r="X309" s="12" t="n"/>
      <c r="Y309" s="12" t="n"/>
      <c r="Z309" s="12" t="n"/>
    </row>
    <row r="310">
      <c r="A310" s="93" t="n">
        <v>309</v>
      </c>
      <c r="B310" s="93" t="n">
        <v>4.386</v>
      </c>
      <c r="C310" s="93">
        <f>B310*(25/100)</f>
        <v/>
      </c>
      <c r="D310" s="93">
        <f>C310+B310</f>
        <v/>
      </c>
      <c r="E310" s="93" t="n">
        <v>0.72</v>
      </c>
      <c r="F310" s="12" t="n"/>
      <c r="G310" s="12" t="n"/>
      <c r="H310" s="12" t="n"/>
      <c r="I310" s="12" t="n"/>
      <c r="J310" s="12" t="n"/>
      <c r="K310" s="12" t="n"/>
      <c r="L310" s="190">
        <f>E310*Prices!B$2</f>
        <v/>
      </c>
      <c r="M310" s="190">
        <f>F310*Prices!C$2</f>
        <v/>
      </c>
      <c r="N310" s="190">
        <f>G310*Prices!D$2</f>
        <v/>
      </c>
      <c r="O310" s="190">
        <f>H310*160000</f>
        <v/>
      </c>
      <c r="P310" s="190">
        <f>I310*2000+J310*10000+K310*1800</f>
        <v/>
      </c>
      <c r="Q310" s="190">
        <f>D310*Prices!A$2</f>
        <v/>
      </c>
      <c r="R310" s="191">
        <f>L310+M310+N310+O310</f>
        <v/>
      </c>
      <c r="S310" s="190">
        <f>R310+Q310+P310</f>
        <v/>
      </c>
      <c r="T310" s="93" t="n">
        <v>309</v>
      </c>
      <c r="U310" s="93" t="inlineStr">
        <is>
          <t>Available</t>
        </is>
      </c>
      <c r="V310" s="12" t="inlineStr">
        <is>
          <t>A</t>
        </is>
      </c>
      <c r="W310" s="12" t="n"/>
      <c r="X310" s="12" t="n"/>
      <c r="Y310" s="12" t="n"/>
      <c r="Z310" s="12" t="n"/>
    </row>
    <row r="311">
      <c r="A311" s="93" t="n">
        <v>310</v>
      </c>
      <c r="B311" s="93" t="n">
        <v>2.292</v>
      </c>
      <c r="C311" s="93">
        <f>B311*(25/100)</f>
        <v/>
      </c>
      <c r="D311" s="93">
        <f>C311+B311</f>
        <v/>
      </c>
      <c r="E311" s="93" t="n">
        <v>0.34</v>
      </c>
      <c r="F311" s="12" t="n"/>
      <c r="G311" s="12" t="n"/>
      <c r="H311" s="12" t="n"/>
      <c r="I311" s="12" t="n"/>
      <c r="J311" s="12" t="n"/>
      <c r="K311" s="12" t="n"/>
      <c r="L311" s="190">
        <f>E311*Prices!B$2</f>
        <v/>
      </c>
      <c r="M311" s="190">
        <f>F311*Prices!C$2</f>
        <v/>
      </c>
      <c r="N311" s="190">
        <f>G311*Prices!D$2</f>
        <v/>
      </c>
      <c r="O311" s="190">
        <f>H311*160000</f>
        <v/>
      </c>
      <c r="P311" s="190">
        <f>I311*2000+J311*10000+K311*1800</f>
        <v/>
      </c>
      <c r="Q311" s="190">
        <f>D311*Prices!A$2</f>
        <v/>
      </c>
      <c r="R311" s="191">
        <f>L311+M311+N311+O311</f>
        <v/>
      </c>
      <c r="S311" s="190">
        <f>R311+Q311+P311</f>
        <v/>
      </c>
      <c r="T311" s="93" t="n">
        <v>310</v>
      </c>
      <c r="U311" s="93" t="inlineStr">
        <is>
          <t>Sold</t>
        </is>
      </c>
      <c r="V311" s="12" t="n"/>
      <c r="W311" s="12" t="n"/>
      <c r="X311" s="12" t="n"/>
      <c r="Y311" s="12" t="n"/>
      <c r="Z311" s="12" t="n"/>
    </row>
    <row r="312">
      <c r="A312" s="93" t="n">
        <v>311</v>
      </c>
      <c r="B312" s="93" t="n">
        <v>2.516</v>
      </c>
      <c r="C312" s="93">
        <f>B312*(25/100)</f>
        <v/>
      </c>
      <c r="D312" s="93">
        <f>C312+B312</f>
        <v/>
      </c>
      <c r="E312" s="93" t="n">
        <v>0.25</v>
      </c>
      <c r="F312" s="12" t="n"/>
      <c r="G312" s="12" t="n"/>
      <c r="H312" s="12" t="n"/>
      <c r="I312" s="12" t="n"/>
      <c r="J312" s="12" t="n"/>
      <c r="K312" s="12" t="n"/>
      <c r="L312" s="190">
        <f>E312*Prices!B$2</f>
        <v/>
      </c>
      <c r="M312" s="190">
        <f>F312*Prices!C$2</f>
        <v/>
      </c>
      <c r="N312" s="190">
        <f>G312*Prices!D$2</f>
        <v/>
      </c>
      <c r="O312" s="190">
        <f>H312*160000</f>
        <v/>
      </c>
      <c r="P312" s="190">
        <f>I312*2000+J312*10000+K312*1800</f>
        <v/>
      </c>
      <c r="Q312" s="190">
        <f>D312*Prices!A$2</f>
        <v/>
      </c>
      <c r="R312" s="191">
        <f>L312+M312+N312+O312</f>
        <v/>
      </c>
      <c r="S312" s="190">
        <f>R312+Q312+P312</f>
        <v/>
      </c>
      <c r="T312" s="93" t="n">
        <v>311</v>
      </c>
      <c r="U312" s="93" t="inlineStr">
        <is>
          <t>Available</t>
        </is>
      </c>
      <c r="V312" s="12" t="inlineStr">
        <is>
          <t>A</t>
        </is>
      </c>
      <c r="W312" s="12" t="n"/>
      <c r="X312" s="12" t="n"/>
      <c r="Y312" s="12" t="n"/>
      <c r="Z312" s="12" t="n"/>
    </row>
    <row r="313">
      <c r="A313" s="93" t="n">
        <v>312</v>
      </c>
      <c r="B313" s="93" t="n">
        <v>2.414</v>
      </c>
      <c r="C313" s="93">
        <f>B313*(25/100)</f>
        <v/>
      </c>
      <c r="D313" s="93">
        <f>C313+B313</f>
        <v/>
      </c>
      <c r="E313" s="93" t="n">
        <v>0.28</v>
      </c>
      <c r="F313" s="12" t="n"/>
      <c r="G313" s="12" t="n"/>
      <c r="H313" s="12" t="n"/>
      <c r="I313" s="12" t="n"/>
      <c r="J313" s="12" t="n"/>
      <c r="K313" s="12" t="n"/>
      <c r="L313" s="190">
        <f>E313*Prices!B$2</f>
        <v/>
      </c>
      <c r="M313" s="190">
        <f>F313*Prices!C$2</f>
        <v/>
      </c>
      <c r="N313" s="190">
        <f>G313*Prices!D$2</f>
        <v/>
      </c>
      <c r="O313" s="190">
        <f>H313*160000</f>
        <v/>
      </c>
      <c r="P313" s="190">
        <f>I313*2000+J313*10000+K313*1800</f>
        <v/>
      </c>
      <c r="Q313" s="190">
        <f>D313*Prices!A$2</f>
        <v/>
      </c>
      <c r="R313" s="191">
        <f>L313+M313+N313+O313</f>
        <v/>
      </c>
      <c r="S313" s="190">
        <f>R313+Q313+P313</f>
        <v/>
      </c>
      <c r="T313" s="93" t="n">
        <v>312</v>
      </c>
      <c r="U313" s="93" t="inlineStr">
        <is>
          <t>Available</t>
        </is>
      </c>
      <c r="V313" s="12" t="inlineStr">
        <is>
          <t>A</t>
        </is>
      </c>
      <c r="W313" s="12" t="n"/>
      <c r="X313" s="12" t="n"/>
      <c r="Y313" s="12" t="n"/>
      <c r="Z313" s="12" t="n"/>
    </row>
    <row r="314">
      <c r="A314" s="93" t="n">
        <v>313</v>
      </c>
      <c r="B314" s="93" t="n">
        <v>3.744</v>
      </c>
      <c r="C314" s="93">
        <f>B314*(25/100)</f>
        <v/>
      </c>
      <c r="D314" s="93">
        <f>C314+B314</f>
        <v/>
      </c>
      <c r="E314" s="93" t="n">
        <v>1.03</v>
      </c>
      <c r="F314" s="12" t="n"/>
      <c r="G314" s="12" t="n"/>
      <c r="H314" s="12" t="n"/>
      <c r="I314" s="12" t="n"/>
      <c r="J314" s="12" t="n"/>
      <c r="K314" s="12" t="n"/>
      <c r="L314" s="190">
        <f>E314*Prices!B$2</f>
        <v/>
      </c>
      <c r="M314" s="190">
        <f>F314*Prices!C$2</f>
        <v/>
      </c>
      <c r="N314" s="190">
        <f>G314*Prices!D$2</f>
        <v/>
      </c>
      <c r="O314" s="190">
        <f>H314*160000</f>
        <v/>
      </c>
      <c r="P314" s="190">
        <f>I314*2000+J314*10000+K314*1800</f>
        <v/>
      </c>
      <c r="Q314" s="190">
        <f>D314*Prices!A$2</f>
        <v/>
      </c>
      <c r="R314" s="191">
        <f>L314+M314+N314+O314</f>
        <v/>
      </c>
      <c r="S314" s="190">
        <f>R314+Q314+P314</f>
        <v/>
      </c>
      <c r="T314" s="93" t="n">
        <v>313</v>
      </c>
      <c r="U314" s="93" t="inlineStr">
        <is>
          <t>Available</t>
        </is>
      </c>
      <c r="V314" s="12" t="inlineStr">
        <is>
          <t>A</t>
        </is>
      </c>
      <c r="W314" s="12" t="n"/>
      <c r="X314" s="12" t="n"/>
      <c r="Y314" s="12" t="n"/>
      <c r="Z314" s="12" t="n"/>
    </row>
    <row r="315">
      <c r="A315" s="93" t="n">
        <v>314</v>
      </c>
      <c r="B315" s="93" t="n">
        <v>3.212</v>
      </c>
      <c r="C315" s="93">
        <f>B315*(25/100)</f>
        <v/>
      </c>
      <c r="D315" s="93">
        <f>C315+B315</f>
        <v/>
      </c>
      <c r="E315" s="93" t="n">
        <v>0.44</v>
      </c>
      <c r="F315" s="12" t="n"/>
      <c r="G315" s="12" t="n"/>
      <c r="H315" s="12" t="n"/>
      <c r="I315" s="12" t="n"/>
      <c r="J315" s="12" t="n"/>
      <c r="K315" s="12" t="n"/>
      <c r="L315" s="190">
        <f>E315*Prices!B$2</f>
        <v/>
      </c>
      <c r="M315" s="190">
        <f>F315*Prices!C$2</f>
        <v/>
      </c>
      <c r="N315" s="190">
        <f>G315*Prices!D$2</f>
        <v/>
      </c>
      <c r="O315" s="190">
        <f>H315*160000</f>
        <v/>
      </c>
      <c r="P315" s="190">
        <f>I315*2000+J315*10000+K315*1800</f>
        <v/>
      </c>
      <c r="Q315" s="190">
        <f>D315*Prices!A$2</f>
        <v/>
      </c>
      <c r="R315" s="191">
        <f>L315+M315+N315+O315</f>
        <v/>
      </c>
      <c r="S315" s="190">
        <f>R315+Q315+P315</f>
        <v/>
      </c>
      <c r="T315" s="93" t="n">
        <v>314</v>
      </c>
      <c r="U315" s="93" t="inlineStr">
        <is>
          <t>Sold</t>
        </is>
      </c>
      <c r="V315" s="12" t="n"/>
      <c r="W315" s="12" t="n"/>
      <c r="X315" s="12" t="n"/>
      <c r="Y315" s="12" t="n"/>
      <c r="Z315" s="12" t="n"/>
    </row>
    <row r="316">
      <c r="A316" s="93" t="n">
        <v>315</v>
      </c>
      <c r="B316" s="93" t="n">
        <v>2.538</v>
      </c>
      <c r="C316" s="93">
        <f>B316*(25/100)</f>
        <v/>
      </c>
      <c r="D316" s="93">
        <f>C316+B316</f>
        <v/>
      </c>
      <c r="E316" s="93">
        <f>0.25+0.06</f>
        <v/>
      </c>
      <c r="F316" s="12" t="n"/>
      <c r="G316" s="12" t="n"/>
      <c r="H316" s="12" t="n"/>
      <c r="I316" s="12" t="n"/>
      <c r="J316" s="12" t="n"/>
      <c r="K316" s="12" t="n"/>
      <c r="L316" s="190">
        <f>E316*Prices!B$2</f>
        <v/>
      </c>
      <c r="M316" s="190">
        <f>F316*Prices!C$2</f>
        <v/>
      </c>
      <c r="N316" s="190">
        <f>G316*Prices!D$2</f>
        <v/>
      </c>
      <c r="O316" s="190">
        <f>H316*160000</f>
        <v/>
      </c>
      <c r="P316" s="190">
        <f>I316*2000+J316*10000+K316*1800</f>
        <v/>
      </c>
      <c r="Q316" s="190">
        <f>D316*Prices!A$2</f>
        <v/>
      </c>
      <c r="R316" s="191">
        <f>L316+M316+N316+O316</f>
        <v/>
      </c>
      <c r="S316" s="190">
        <f>R316+Q316+P316</f>
        <v/>
      </c>
      <c r="T316" s="93" t="n">
        <v>315</v>
      </c>
      <c r="U316" s="93" t="inlineStr">
        <is>
          <t>Available</t>
        </is>
      </c>
      <c r="V316" s="12" t="inlineStr">
        <is>
          <t>A</t>
        </is>
      </c>
      <c r="W316" s="12" t="n"/>
      <c r="X316" s="12" t="n"/>
      <c r="Y316" s="12" t="n"/>
      <c r="Z316" s="12" t="n"/>
    </row>
    <row r="317">
      <c r="A317" s="93" t="n">
        <v>316</v>
      </c>
      <c r="B317" s="93">
        <f>2.806+0.7</f>
        <v/>
      </c>
      <c r="C317" s="93">
        <f>B317*(25/100)</f>
        <v/>
      </c>
      <c r="D317" s="93">
        <f>C317+B317</f>
        <v/>
      </c>
      <c r="E317" s="93" t="n">
        <v>0.27</v>
      </c>
      <c r="F317" s="12" t="n"/>
      <c r="G317" s="12" t="n"/>
      <c r="H317" s="12" t="n"/>
      <c r="I317" s="12" t="n"/>
      <c r="J317" s="12" t="n"/>
      <c r="K317" s="12" t="n"/>
      <c r="L317" s="190">
        <f>E317*Prices!B$2</f>
        <v/>
      </c>
      <c r="M317" s="190">
        <f>F317*Prices!C$2</f>
        <v/>
      </c>
      <c r="N317" s="190">
        <f>G317*Prices!D$2</f>
        <v/>
      </c>
      <c r="O317" s="190">
        <f>H317*160000</f>
        <v/>
      </c>
      <c r="P317" s="190">
        <f>I317*2000+J317*10000+K317*1800</f>
        <v/>
      </c>
      <c r="Q317" s="190">
        <f>D317*Prices!A$2</f>
        <v/>
      </c>
      <c r="R317" s="191">
        <f>L317+M317+N317+O317</f>
        <v/>
      </c>
      <c r="S317" s="190">
        <f>R317+Q317+P317</f>
        <v/>
      </c>
      <c r="T317" s="93" t="n">
        <v>316</v>
      </c>
      <c r="U317" s="26" t="inlineStr">
        <is>
          <t>Sold</t>
        </is>
      </c>
      <c r="V317" s="12" t="n"/>
      <c r="W317" s="12" t="n"/>
      <c r="X317" s="12" t="n"/>
      <c r="Y317" s="12" t="n"/>
      <c r="Z317" s="12" t="n"/>
    </row>
    <row r="318">
      <c r="A318" s="93" t="n">
        <v>317</v>
      </c>
      <c r="B318" s="93" t="n">
        <v>2.182</v>
      </c>
      <c r="C318" s="93">
        <f>B318*(25/100)</f>
        <v/>
      </c>
      <c r="D318" s="93">
        <f>C318+B318</f>
        <v/>
      </c>
      <c r="E318" s="93" t="n">
        <v>0.13</v>
      </c>
      <c r="F318" s="12" t="n"/>
      <c r="G318" s="12" t="n">
        <v>0.21</v>
      </c>
      <c r="H318" s="12" t="n"/>
      <c r="I318" s="12" t="n"/>
      <c r="J318" s="12" t="n"/>
      <c r="K318" s="12" t="n"/>
      <c r="L318" s="190">
        <f>E318*Prices!B$2</f>
        <v/>
      </c>
      <c r="M318" s="190">
        <f>F318*Prices!C$2</f>
        <v/>
      </c>
      <c r="N318" s="190">
        <f>G318*Prices!D$2</f>
        <v/>
      </c>
      <c r="O318" s="190">
        <f>H318*160000</f>
        <v/>
      </c>
      <c r="P318" s="190">
        <f>I318*2000+J318*10000+K318*1800</f>
        <v/>
      </c>
      <c r="Q318" s="190">
        <f>D318*Prices!A$2</f>
        <v/>
      </c>
      <c r="R318" s="191">
        <f>L318+M318+N318+O318</f>
        <v/>
      </c>
      <c r="S318" s="190">
        <f>R318+Q318+P318</f>
        <v/>
      </c>
      <c r="T318" s="93" t="n">
        <v>317</v>
      </c>
      <c r="U318" s="93" t="inlineStr">
        <is>
          <t>Sold</t>
        </is>
      </c>
      <c r="V318" s="12" t="n"/>
      <c r="W318" s="12" t="n"/>
      <c r="X318" s="12" t="n"/>
      <c r="Y318" s="12" t="n"/>
      <c r="Z318" s="12" t="n"/>
    </row>
    <row r="319">
      <c r="A319" s="93" t="n">
        <v>318</v>
      </c>
      <c r="B319" s="93" t="n">
        <v>4.594</v>
      </c>
      <c r="C319" s="93">
        <f>B319*(25/100)</f>
        <v/>
      </c>
      <c r="D319" s="93">
        <f>C319+B319</f>
        <v/>
      </c>
      <c r="E319" s="93" t="n">
        <v>1.05</v>
      </c>
      <c r="F319" s="93" t="n">
        <v>0.08</v>
      </c>
      <c r="G319" s="12" t="n"/>
      <c r="H319" s="12" t="n"/>
      <c r="I319" s="12" t="n"/>
      <c r="J319" s="12" t="n"/>
      <c r="K319" s="12" t="n"/>
      <c r="L319" s="190">
        <f>E319*Prices!B$2</f>
        <v/>
      </c>
      <c r="M319" s="190">
        <f>F319*Prices!C$2</f>
        <v/>
      </c>
      <c r="N319" s="190">
        <f>G319*Prices!D$2</f>
        <v/>
      </c>
      <c r="O319" s="190">
        <f>H319*160000</f>
        <v/>
      </c>
      <c r="P319" s="190">
        <f>I319*2000+J319*10000+K319*1800</f>
        <v/>
      </c>
      <c r="Q319" s="190">
        <f>D319*Prices!A$2</f>
        <v/>
      </c>
      <c r="R319" s="191">
        <f>L319+M319+N319+O319</f>
        <v/>
      </c>
      <c r="S319" s="190">
        <f>R319+Q319+P319</f>
        <v/>
      </c>
      <c r="T319" s="93" t="n">
        <v>318</v>
      </c>
      <c r="U319" s="93" t="inlineStr">
        <is>
          <t>Sold</t>
        </is>
      </c>
      <c r="V319" s="12" t="n"/>
      <c r="W319" s="12" t="n"/>
      <c r="X319" s="12" t="n"/>
      <c r="Y319" s="12" t="n"/>
      <c r="Z319" s="12" t="n"/>
    </row>
    <row r="320">
      <c r="A320" s="93" t="n">
        <v>319</v>
      </c>
      <c r="B320" s="93" t="n">
        <v>3.954</v>
      </c>
      <c r="C320" s="93">
        <f>B320*(25/100)</f>
        <v/>
      </c>
      <c r="D320" s="93">
        <f>C320+B320</f>
        <v/>
      </c>
      <c r="E320" s="93" t="n">
        <v>1.07</v>
      </c>
      <c r="F320" s="12" t="n"/>
      <c r="G320" s="12" t="n"/>
      <c r="H320" s="12" t="n"/>
      <c r="I320" s="12" t="n"/>
      <c r="J320" s="12" t="n"/>
      <c r="K320" s="12" t="n"/>
      <c r="L320" s="190">
        <f>E320*Prices!B$2</f>
        <v/>
      </c>
      <c r="M320" s="190">
        <f>F320*Prices!C$2</f>
        <v/>
      </c>
      <c r="N320" s="190">
        <f>G320*Prices!D$2</f>
        <v/>
      </c>
      <c r="O320" s="190">
        <f>H320*160000</f>
        <v/>
      </c>
      <c r="P320" s="190">
        <f>I320*2000+J320*10000+K320*1800</f>
        <v/>
      </c>
      <c r="Q320" s="190">
        <f>D320*Prices!A$2</f>
        <v/>
      </c>
      <c r="R320" s="191">
        <f>L320+M320+N320+O320</f>
        <v/>
      </c>
      <c r="S320" s="190">
        <f>R320+Q320+P320</f>
        <v/>
      </c>
      <c r="T320" s="93" t="n">
        <v>319</v>
      </c>
      <c r="U320" s="93" t="inlineStr">
        <is>
          <t>Sold</t>
        </is>
      </c>
      <c r="V320" s="12" t="n"/>
      <c r="W320" s="12" t="n"/>
      <c r="X320" s="12" t="n"/>
      <c r="Y320" s="12" t="n"/>
      <c r="Z320" s="12" t="n"/>
    </row>
    <row r="321">
      <c r="A321" s="93" t="n">
        <v>320</v>
      </c>
      <c r="B321" s="93" t="n">
        <v>2.332</v>
      </c>
      <c r="C321" s="93">
        <f>B321*(25/100)</f>
        <v/>
      </c>
      <c r="D321" s="93">
        <f>C321+B321</f>
        <v/>
      </c>
      <c r="E321" s="93" t="n">
        <v>0.39</v>
      </c>
      <c r="F321" s="12" t="n"/>
      <c r="G321" s="12" t="n"/>
      <c r="H321" s="12" t="n"/>
      <c r="I321" s="12" t="n"/>
      <c r="J321" s="12" t="n"/>
      <c r="K321" s="12" t="n"/>
      <c r="L321" s="190">
        <f>E321*Prices!B$2</f>
        <v/>
      </c>
      <c r="M321" s="190">
        <f>F321*Prices!C$2</f>
        <v/>
      </c>
      <c r="N321" s="190">
        <f>G321*Prices!D$2</f>
        <v/>
      </c>
      <c r="O321" s="190">
        <f>H321*160000</f>
        <v/>
      </c>
      <c r="P321" s="190">
        <f>I321*2000+J321*10000+K321*1800</f>
        <v/>
      </c>
      <c r="Q321" s="190">
        <f>D321*Prices!A$2</f>
        <v/>
      </c>
      <c r="R321" s="191">
        <f>L321+M321+N321+O321</f>
        <v/>
      </c>
      <c r="S321" s="190">
        <f>R321+Q321+P321</f>
        <v/>
      </c>
      <c r="T321" s="93" t="n">
        <v>320</v>
      </c>
      <c r="U321" s="93" t="inlineStr">
        <is>
          <t>Sold</t>
        </is>
      </c>
      <c r="V321" s="12" t="n"/>
      <c r="W321" s="12" t="n"/>
      <c r="X321" s="12" t="n"/>
      <c r="Y321" s="12" t="n"/>
      <c r="Z321" s="12" t="n"/>
    </row>
    <row r="322">
      <c r="A322" s="93" t="n">
        <v>321</v>
      </c>
      <c r="B322" s="93" t="n">
        <v>3.176</v>
      </c>
      <c r="C322" s="93">
        <f>B322*(25/100)</f>
        <v/>
      </c>
      <c r="D322" s="93">
        <f>C322+B322</f>
        <v/>
      </c>
      <c r="E322" s="93" t="n">
        <v>0.37</v>
      </c>
      <c r="F322" s="12" t="n"/>
      <c r="G322" s="12" t="n"/>
      <c r="H322" s="12" t="n"/>
      <c r="I322" s="12" t="n"/>
      <c r="J322" s="12" t="n"/>
      <c r="K322" s="12" t="n"/>
      <c r="L322" s="190">
        <f>E322*Prices!B$2</f>
        <v/>
      </c>
      <c r="M322" s="190">
        <f>F322*Prices!C$2</f>
        <v/>
      </c>
      <c r="N322" s="190">
        <f>G322*Prices!D$2</f>
        <v/>
      </c>
      <c r="O322" s="190">
        <f>H322*160000</f>
        <v/>
      </c>
      <c r="P322" s="190">
        <f>I322*2000+J322*10000+K322*1800</f>
        <v/>
      </c>
      <c r="Q322" s="190">
        <f>D322*Prices!A$2</f>
        <v/>
      </c>
      <c r="R322" s="191">
        <f>L322+M322+N322+O322</f>
        <v/>
      </c>
      <c r="S322" s="190">
        <f>R322+Q322+P322</f>
        <v/>
      </c>
      <c r="T322" s="93" t="n">
        <v>321</v>
      </c>
      <c r="U322" s="93" t="inlineStr">
        <is>
          <t>Sold</t>
        </is>
      </c>
      <c r="V322" s="12" t="n"/>
      <c r="W322" s="12" t="n"/>
      <c r="X322" s="12" t="n"/>
      <c r="Y322" s="12" t="n"/>
      <c r="Z322" s="12" t="n"/>
    </row>
    <row r="323">
      <c r="A323" s="93" t="n">
        <v>322</v>
      </c>
      <c r="B323" s="93" t="n">
        <v>5.49</v>
      </c>
      <c r="C323" s="93">
        <f>B323*(25/100)</f>
        <v/>
      </c>
      <c r="D323" s="93">
        <f>C323+B323</f>
        <v/>
      </c>
      <c r="E323" s="93" t="n">
        <v>0.95</v>
      </c>
      <c r="F323" s="12" t="n"/>
      <c r="G323" s="12" t="n"/>
      <c r="H323" s="12" t="n"/>
      <c r="I323" s="12" t="n"/>
      <c r="J323" s="12" t="n"/>
      <c r="K323" s="12" t="n">
        <v>4.85</v>
      </c>
      <c r="L323" s="190">
        <f>E323*Prices!B$2</f>
        <v/>
      </c>
      <c r="M323" s="190">
        <f>F323*Prices!C$2</f>
        <v/>
      </c>
      <c r="N323" s="190">
        <f>G323*Prices!D$2</f>
        <v/>
      </c>
      <c r="O323" s="190">
        <f>H323*160000</f>
        <v/>
      </c>
      <c r="P323" s="190">
        <f>I323*2000+J323*10000+K323*1800</f>
        <v/>
      </c>
      <c r="Q323" s="190">
        <f>D323*Prices!A$2</f>
        <v/>
      </c>
      <c r="R323" s="191">
        <f>L323+M323+N323+O323</f>
        <v/>
      </c>
      <c r="S323" s="190">
        <f>R323+Q323+P323</f>
        <v/>
      </c>
      <c r="T323" s="93" t="n">
        <v>322</v>
      </c>
      <c r="U323" s="93" t="inlineStr">
        <is>
          <t>Sold</t>
        </is>
      </c>
      <c r="V323" s="12" t="n"/>
      <c r="W323" s="12" t="n"/>
      <c r="X323" s="12" t="n"/>
      <c r="Y323" s="12" t="n"/>
      <c r="Z323" s="12" t="n"/>
    </row>
    <row r="324">
      <c r="A324" s="93" t="n">
        <v>323</v>
      </c>
      <c r="B324" s="93" t="n">
        <v>3.634</v>
      </c>
      <c r="C324" s="93">
        <f>B324*(25/100)</f>
        <v/>
      </c>
      <c r="D324" s="93">
        <f>C324+B324</f>
        <v/>
      </c>
      <c r="E324" s="93" t="n">
        <v>0.47</v>
      </c>
      <c r="F324" s="12" t="n"/>
      <c r="G324" s="12" t="n"/>
      <c r="H324" s="12" t="n"/>
      <c r="I324" s="12" t="n"/>
      <c r="J324" s="12" t="n"/>
      <c r="K324" s="12" t="n">
        <v>6.51</v>
      </c>
      <c r="L324" s="190">
        <f>E324*Prices!B$2</f>
        <v/>
      </c>
      <c r="M324" s="190">
        <f>F324*Prices!C$2</f>
        <v/>
      </c>
      <c r="N324" s="190">
        <f>G324*Prices!D$2</f>
        <v/>
      </c>
      <c r="O324" s="190">
        <f>H324*160000</f>
        <v/>
      </c>
      <c r="P324" s="190">
        <f>I324*2000+J324*10000+K324*1800</f>
        <v/>
      </c>
      <c r="Q324" s="190">
        <f>D324*Prices!A$2</f>
        <v/>
      </c>
      <c r="R324" s="191">
        <f>L324+M324+N324+O324</f>
        <v/>
      </c>
      <c r="S324" s="190">
        <f>R324+Q324+P324</f>
        <v/>
      </c>
      <c r="T324" s="93" t="n">
        <v>323</v>
      </c>
      <c r="U324" s="93" t="inlineStr">
        <is>
          <t>Sold</t>
        </is>
      </c>
      <c r="V324" s="12" t="n"/>
      <c r="W324" s="12" t="n"/>
      <c r="X324" s="12" t="n"/>
      <c r="Y324" s="12" t="n"/>
      <c r="Z324" s="12" t="n"/>
    </row>
    <row r="325">
      <c r="A325" s="93" t="n">
        <v>324</v>
      </c>
      <c r="B325" s="93" t="n">
        <v>3.128</v>
      </c>
      <c r="C325" s="93">
        <f>B325*(25/100)</f>
        <v/>
      </c>
      <c r="D325" s="93">
        <f>C325+B325</f>
        <v/>
      </c>
      <c r="E325" s="93" t="n">
        <v>0.66</v>
      </c>
      <c r="F325" s="12" t="n"/>
      <c r="G325" s="12" t="n"/>
      <c r="H325" s="12" t="n"/>
      <c r="I325" s="12" t="n"/>
      <c r="J325" s="12" t="n"/>
      <c r="K325" s="12" t="n">
        <v>3.75</v>
      </c>
      <c r="L325" s="190">
        <f>E325*Prices!B$2</f>
        <v/>
      </c>
      <c r="M325" s="190">
        <f>F325*Prices!C$2</f>
        <v/>
      </c>
      <c r="N325" s="190">
        <f>G325*Prices!D$2</f>
        <v/>
      </c>
      <c r="O325" s="190">
        <f>H325*160000</f>
        <v/>
      </c>
      <c r="P325" s="190">
        <f>I325*2000+J325*10000+K325*3000</f>
        <v/>
      </c>
      <c r="Q325" s="190">
        <f>D325*Prices!A$2</f>
        <v/>
      </c>
      <c r="R325" s="191">
        <f>L325+M325+N325+O325</f>
        <v/>
      </c>
      <c r="S325" s="190">
        <f>R325+Q325+P325</f>
        <v/>
      </c>
      <c r="T325" s="93" t="n">
        <v>324</v>
      </c>
      <c r="U325" s="93" t="inlineStr">
        <is>
          <t>Sold</t>
        </is>
      </c>
      <c r="V325" s="12" t="n"/>
      <c r="W325" s="12" t="n"/>
      <c r="X325" s="12" t="n"/>
      <c r="Y325" s="12" t="n"/>
      <c r="Z325" s="12" t="n"/>
    </row>
    <row r="326">
      <c r="A326" s="93" t="n">
        <v>325</v>
      </c>
      <c r="B326" s="93" t="n">
        <v>4.434</v>
      </c>
      <c r="C326" s="93">
        <f>B326*(25/100)</f>
        <v/>
      </c>
      <c r="D326" s="93">
        <f>C326+B326</f>
        <v/>
      </c>
      <c r="E326" s="93" t="n">
        <v>0.62</v>
      </c>
      <c r="F326" s="12" t="n"/>
      <c r="G326" s="12" t="n"/>
      <c r="H326" s="12" t="n"/>
      <c r="I326" s="12" t="n"/>
      <c r="J326" s="12" t="n"/>
      <c r="K326" s="12" t="n"/>
      <c r="L326" s="190">
        <f>E326*Prices!B$2</f>
        <v/>
      </c>
      <c r="M326" s="190">
        <f>F326*Prices!C$2</f>
        <v/>
      </c>
      <c r="N326" s="190">
        <f>G326*Prices!D$2</f>
        <v/>
      </c>
      <c r="O326" s="190">
        <f>H326*160000</f>
        <v/>
      </c>
      <c r="P326" s="190">
        <f>I326*2000+J326*10000+K326*3000</f>
        <v/>
      </c>
      <c r="Q326" s="190">
        <f>D326*Prices!A$2</f>
        <v/>
      </c>
      <c r="R326" s="191">
        <f>L326+M326+N326+O326</f>
        <v/>
      </c>
      <c r="S326" s="190">
        <f>R326+Q326+P326</f>
        <v/>
      </c>
      <c r="T326" s="93" t="n">
        <v>325</v>
      </c>
      <c r="U326" s="93" t="inlineStr">
        <is>
          <t>Sold</t>
        </is>
      </c>
      <c r="V326" s="12" t="n"/>
      <c r="W326" s="12" t="n"/>
      <c r="X326" s="12" t="n"/>
      <c r="Y326" s="12" t="n"/>
      <c r="Z326" s="12" t="n"/>
    </row>
    <row r="327">
      <c r="A327" s="93" t="n">
        <v>326</v>
      </c>
      <c r="B327" s="93" t="n">
        <v>3.332</v>
      </c>
      <c r="C327" s="93">
        <f>B327*(25/100)</f>
        <v/>
      </c>
      <c r="D327" s="93">
        <f>C327+B327</f>
        <v/>
      </c>
      <c r="E327" s="93">
        <f>0.23+0.31</f>
        <v/>
      </c>
      <c r="F327" s="12" t="n"/>
      <c r="G327" s="12" t="n"/>
      <c r="H327" s="12" t="n"/>
      <c r="I327" s="12" t="n"/>
      <c r="J327" s="12" t="n"/>
      <c r="K327" s="12" t="n"/>
      <c r="L327" s="190">
        <f>E327*Prices!B$2</f>
        <v/>
      </c>
      <c r="M327" s="190">
        <f>F327*Prices!C$2</f>
        <v/>
      </c>
      <c r="N327" s="190">
        <f>G327*Prices!D$2</f>
        <v/>
      </c>
      <c r="O327" s="190">
        <f>H327*160000</f>
        <v/>
      </c>
      <c r="P327" s="190">
        <f>I327*2000+J327*10000+K327*3000</f>
        <v/>
      </c>
      <c r="Q327" s="190">
        <f>D327*Prices!A$2</f>
        <v/>
      </c>
      <c r="R327" s="191">
        <f>L327+M327+N327+O327</f>
        <v/>
      </c>
      <c r="S327" s="190">
        <f>R327+Q327+P327</f>
        <v/>
      </c>
      <c r="T327" s="93" t="n">
        <v>326</v>
      </c>
      <c r="U327" s="93" t="inlineStr">
        <is>
          <t>Available</t>
        </is>
      </c>
      <c r="V327" s="12" t="inlineStr">
        <is>
          <t>A</t>
        </is>
      </c>
      <c r="W327" s="12" t="n"/>
      <c r="X327" s="12" t="n"/>
      <c r="Y327" s="12" t="n"/>
      <c r="Z327" s="12" t="n"/>
    </row>
    <row r="328">
      <c r="A328" s="93" t="n">
        <v>327</v>
      </c>
      <c r="B328" s="93" t="n">
        <v>2.032</v>
      </c>
      <c r="C328" s="93">
        <f>B328*(25/100)</f>
        <v/>
      </c>
      <c r="D328" s="93">
        <f>C328+B328</f>
        <v/>
      </c>
      <c r="E328" s="93">
        <f>0.13+0.26</f>
        <v/>
      </c>
      <c r="F328" s="12" t="n"/>
      <c r="G328" s="12" t="n"/>
      <c r="H328" s="12" t="n"/>
      <c r="I328" s="12" t="n"/>
      <c r="J328" s="12" t="n"/>
      <c r="K328" s="12" t="n"/>
      <c r="L328" s="190">
        <f>E328*Prices!B$2</f>
        <v/>
      </c>
      <c r="M328" s="190">
        <f>F328*Prices!C$2</f>
        <v/>
      </c>
      <c r="N328" s="190">
        <f>G328*Prices!D$2</f>
        <v/>
      </c>
      <c r="O328" s="190">
        <f>H328*160000</f>
        <v/>
      </c>
      <c r="P328" s="190">
        <f>I328*2000+J328*10000+K328*3000</f>
        <v/>
      </c>
      <c r="Q328" s="190">
        <f>D328*Prices!A$2</f>
        <v/>
      </c>
      <c r="R328" s="191">
        <f>L328+M328+N328+O328</f>
        <v/>
      </c>
      <c r="S328" s="190">
        <f>R328+Q328+P328</f>
        <v/>
      </c>
      <c r="T328" s="93" t="n">
        <v>327</v>
      </c>
      <c r="U328" s="93" t="inlineStr">
        <is>
          <t>Sold</t>
        </is>
      </c>
      <c r="V328" s="12" t="n"/>
      <c r="W328" s="12" t="n"/>
      <c r="X328" s="12" t="n"/>
      <c r="Y328" s="12" t="n"/>
      <c r="Z328" s="12" t="n"/>
    </row>
    <row r="329">
      <c r="A329" s="93" t="n">
        <v>328</v>
      </c>
      <c r="B329" s="93" t="n">
        <v>4.484</v>
      </c>
      <c r="C329" s="93">
        <f>B329*(25/100)</f>
        <v/>
      </c>
      <c r="D329" s="93">
        <f>C329+B329</f>
        <v/>
      </c>
      <c r="E329" s="93" t="n">
        <v>0.68</v>
      </c>
      <c r="F329" s="12" t="n"/>
      <c r="G329" s="12" t="n"/>
      <c r="H329" s="12" t="n"/>
      <c r="I329" s="12" t="n"/>
      <c r="J329" s="12" t="n"/>
      <c r="K329" s="12" t="n"/>
      <c r="L329" s="190">
        <f>E329*Prices!B$2</f>
        <v/>
      </c>
      <c r="M329" s="190">
        <f>F329*Prices!C$2</f>
        <v/>
      </c>
      <c r="N329" s="190">
        <f>G329*Prices!D$2</f>
        <v/>
      </c>
      <c r="O329" s="190">
        <f>H329*160000</f>
        <v/>
      </c>
      <c r="P329" s="190">
        <f>I329*2000+J329*10000+K329*3000</f>
        <v/>
      </c>
      <c r="Q329" s="190">
        <f>D329*Prices!A$2</f>
        <v/>
      </c>
      <c r="R329" s="191">
        <f>L329+M329+N329+O329</f>
        <v/>
      </c>
      <c r="S329" s="190">
        <f>R329+Q329+P329</f>
        <v/>
      </c>
      <c r="T329" s="93" t="n">
        <v>328</v>
      </c>
      <c r="U329" s="93" t="inlineStr">
        <is>
          <t>Sold</t>
        </is>
      </c>
      <c r="V329" s="12" t="n"/>
      <c r="W329" s="12" t="n"/>
      <c r="X329" s="12" t="n"/>
      <c r="Y329" s="12" t="n"/>
      <c r="Z329" s="12" t="n"/>
    </row>
    <row r="330">
      <c r="A330" s="93" t="n">
        <v>329</v>
      </c>
      <c r="B330" s="93" t="n">
        <v>4.447</v>
      </c>
      <c r="C330" s="93">
        <f>B330*(25/100)</f>
        <v/>
      </c>
      <c r="D330" s="93">
        <f>C330+B330</f>
        <v/>
      </c>
      <c r="E330" s="93" t="n">
        <v>0.67</v>
      </c>
      <c r="F330" s="12" t="n"/>
      <c r="G330" s="12" t="n"/>
      <c r="H330" s="12" t="n"/>
      <c r="I330" s="12" t="n"/>
      <c r="J330" s="12" t="n"/>
      <c r="K330" s="12" t="n"/>
      <c r="L330" s="190">
        <f>E330*Prices!B$2</f>
        <v/>
      </c>
      <c r="M330" s="190">
        <f>F330*Prices!C$2</f>
        <v/>
      </c>
      <c r="N330" s="190">
        <f>G330*Prices!D$2</f>
        <v/>
      </c>
      <c r="O330" s="190">
        <f>H330*160000</f>
        <v/>
      </c>
      <c r="P330" s="190">
        <f>I330*2000+J330*10000+K330*3000</f>
        <v/>
      </c>
      <c r="Q330" s="190">
        <f>D330*Prices!A$2</f>
        <v/>
      </c>
      <c r="R330" s="191">
        <f>L330+M330+N330+O330</f>
        <v/>
      </c>
      <c r="S330" s="190">
        <f>R330+Q330+P330</f>
        <v/>
      </c>
      <c r="T330" s="93" t="n">
        <v>329</v>
      </c>
      <c r="U330" s="93" t="inlineStr">
        <is>
          <t>Available</t>
        </is>
      </c>
      <c r="V330" s="12" t="inlineStr">
        <is>
          <t>A</t>
        </is>
      </c>
      <c r="W330" s="12" t="n"/>
      <c r="X330" s="12" t="n"/>
      <c r="Y330" s="12" t="n"/>
      <c r="Z330" s="12" t="n"/>
    </row>
    <row r="331">
      <c r="A331" s="93" t="n">
        <v>330</v>
      </c>
      <c r="B331" s="93" t="n">
        <v>3.234</v>
      </c>
      <c r="C331" s="93">
        <f>B331*(25/100)</f>
        <v/>
      </c>
      <c r="D331" s="93">
        <f>C331+B331</f>
        <v/>
      </c>
      <c r="E331" s="93" t="n">
        <v>0.73</v>
      </c>
      <c r="F331" s="12" t="n"/>
      <c r="G331" s="12" t="n"/>
      <c r="H331" s="12" t="n"/>
      <c r="I331" s="12" t="n"/>
      <c r="J331" s="12" t="n"/>
      <c r="K331" s="12" t="n"/>
      <c r="L331" s="190">
        <f>E331*Prices!B$2</f>
        <v/>
      </c>
      <c r="M331" s="190">
        <f>F331*Prices!C$2</f>
        <v/>
      </c>
      <c r="N331" s="190">
        <f>G331*Prices!D$2</f>
        <v/>
      </c>
      <c r="O331" s="190">
        <f>H331*160000</f>
        <v/>
      </c>
      <c r="P331" s="190">
        <f>I331*2000+J331*10000+K331*3000</f>
        <v/>
      </c>
      <c r="Q331" s="190">
        <f>D331*Prices!A$2</f>
        <v/>
      </c>
      <c r="R331" s="191">
        <f>L331+M331+N331+O331</f>
        <v/>
      </c>
      <c r="S331" s="190">
        <f>R331+Q331+P331</f>
        <v/>
      </c>
      <c r="T331" s="93" t="n">
        <v>330</v>
      </c>
      <c r="U331" s="93" t="inlineStr">
        <is>
          <t>Available</t>
        </is>
      </c>
      <c r="V331" s="12" t="inlineStr">
        <is>
          <t>A</t>
        </is>
      </c>
      <c r="W331" s="12" t="n"/>
      <c r="X331" s="12" t="n"/>
      <c r="Y331" s="12" t="n"/>
      <c r="Z331" s="12" t="n"/>
    </row>
    <row r="332">
      <c r="A332" s="93" t="n">
        <v>331</v>
      </c>
      <c r="B332" s="93" t="n">
        <v>4.64</v>
      </c>
      <c r="C332" s="93">
        <f>B332*(25/100)</f>
        <v/>
      </c>
      <c r="D332" s="93">
        <f>C332+B332</f>
        <v/>
      </c>
      <c r="E332" s="93" t="n">
        <v>0.95</v>
      </c>
      <c r="F332" s="12" t="n"/>
      <c r="G332" s="12" t="n"/>
      <c r="H332" s="12" t="n"/>
      <c r="I332" s="12" t="n"/>
      <c r="J332" s="12" t="n"/>
      <c r="K332" s="12" t="n"/>
      <c r="L332" s="190">
        <f>E332*Prices!B$2</f>
        <v/>
      </c>
      <c r="M332" s="190">
        <f>F332*Prices!C$2</f>
        <v/>
      </c>
      <c r="N332" s="190">
        <f>G332*Prices!D$2</f>
        <v/>
      </c>
      <c r="O332" s="190">
        <f>H332*160000</f>
        <v/>
      </c>
      <c r="P332" s="190">
        <f>I332*2000+J332*10000+K332*3000</f>
        <v/>
      </c>
      <c r="Q332" s="190">
        <f>D332*Prices!A$2</f>
        <v/>
      </c>
      <c r="R332" s="191">
        <f>L332+M332+N332+O332</f>
        <v/>
      </c>
      <c r="S332" s="190">
        <f>R332+Q332+P332</f>
        <v/>
      </c>
      <c r="T332" s="93" t="n">
        <v>331</v>
      </c>
      <c r="U332" s="93" t="inlineStr">
        <is>
          <t>Available</t>
        </is>
      </c>
      <c r="V332" s="12" t="inlineStr">
        <is>
          <t>A</t>
        </is>
      </c>
      <c r="W332" s="12" t="n"/>
      <c r="X332" s="12" t="n"/>
      <c r="Y332" s="12" t="n"/>
      <c r="Z332" s="12" t="n"/>
    </row>
    <row r="333">
      <c r="A333" s="93" t="n">
        <v>332</v>
      </c>
      <c r="B333" s="93" t="n">
        <v>2.522</v>
      </c>
      <c r="C333" s="93">
        <f>B333*(25/100)</f>
        <v/>
      </c>
      <c r="D333" s="93">
        <f>C333+B333</f>
        <v/>
      </c>
      <c r="E333" s="93" t="n">
        <v>0.54</v>
      </c>
      <c r="F333" s="12" t="n"/>
      <c r="G333" s="12" t="n"/>
      <c r="H333" s="12" t="n"/>
      <c r="I333" s="12" t="n"/>
      <c r="J333" s="12" t="n"/>
      <c r="K333" s="12" t="n"/>
      <c r="L333" s="190">
        <f>E333*Prices!B$2</f>
        <v/>
      </c>
      <c r="M333" s="190">
        <f>F333*Prices!C$2</f>
        <v/>
      </c>
      <c r="N333" s="190">
        <f>G333*Prices!D$2</f>
        <v/>
      </c>
      <c r="O333" s="190">
        <f>H333*160000</f>
        <v/>
      </c>
      <c r="P333" s="190">
        <f>I333*2000+J333*10000+K333*3000</f>
        <v/>
      </c>
      <c r="Q333" s="190">
        <f>D333*Prices!A$2</f>
        <v/>
      </c>
      <c r="R333" s="191">
        <f>L333+M333+N333+O333</f>
        <v/>
      </c>
      <c r="S333" s="190">
        <f>R333+Q333+P333</f>
        <v/>
      </c>
      <c r="T333" s="93" t="n">
        <v>332</v>
      </c>
      <c r="U333" s="93" t="inlineStr">
        <is>
          <t>Available</t>
        </is>
      </c>
      <c r="V333" s="12" t="inlineStr">
        <is>
          <t>A</t>
        </is>
      </c>
      <c r="W333" s="12" t="n"/>
      <c r="X333" s="12" t="n"/>
      <c r="Y333" s="12" t="n"/>
      <c r="Z333" s="12" t="n"/>
    </row>
    <row r="334">
      <c r="A334" s="93" t="n">
        <v>333</v>
      </c>
      <c r="B334" s="93" t="n">
        <v>2.004</v>
      </c>
      <c r="C334" s="93">
        <f>B334*(25/100)</f>
        <v/>
      </c>
      <c r="D334" s="93">
        <f>C334+B334</f>
        <v/>
      </c>
      <c r="E334" s="93" t="n">
        <v>0.4</v>
      </c>
      <c r="F334" s="12" t="n"/>
      <c r="G334" s="12" t="n"/>
      <c r="H334" s="12" t="n"/>
      <c r="I334" s="12" t="n"/>
      <c r="J334" s="12" t="n"/>
      <c r="K334" s="12" t="n">
        <v>1.68</v>
      </c>
      <c r="L334" s="190">
        <f>E334*Prices!B$2</f>
        <v/>
      </c>
      <c r="M334" s="190">
        <f>F334*Prices!C$2</f>
        <v/>
      </c>
      <c r="N334" s="190">
        <f>G334*Prices!D$2</f>
        <v/>
      </c>
      <c r="O334" s="190">
        <f>H334*160000</f>
        <v/>
      </c>
      <c r="P334" s="190">
        <f>I334*2000+J334*10000+K334*3000</f>
        <v/>
      </c>
      <c r="Q334" s="190">
        <f>D334*Prices!A$2</f>
        <v/>
      </c>
      <c r="R334" s="191">
        <f>L334+M334+N334+O334</f>
        <v/>
      </c>
      <c r="S334" s="190">
        <f>R334+Q334+P334</f>
        <v/>
      </c>
      <c r="T334" s="93" t="n">
        <v>333</v>
      </c>
      <c r="U334" s="93" t="inlineStr">
        <is>
          <t>Available</t>
        </is>
      </c>
      <c r="V334" s="93" t="inlineStr">
        <is>
          <t>A</t>
        </is>
      </c>
      <c r="W334" s="12" t="n"/>
      <c r="X334" s="12" t="n"/>
      <c r="Y334" s="12" t="n"/>
      <c r="Z334" s="12" t="n"/>
    </row>
    <row r="335">
      <c r="A335" s="93" t="n">
        <v>334</v>
      </c>
      <c r="B335" s="93" t="n">
        <v>1.626</v>
      </c>
      <c r="C335" s="93">
        <f>B335*(25/100)</f>
        <v/>
      </c>
      <c r="D335" s="93">
        <f>C335+B335</f>
        <v/>
      </c>
      <c r="E335" s="93" t="n">
        <v>0.27</v>
      </c>
      <c r="F335" s="12" t="n"/>
      <c r="G335" s="12" t="n"/>
      <c r="H335" s="12" t="n"/>
      <c r="I335" s="12" t="n"/>
      <c r="J335" s="12" t="n"/>
      <c r="K335" s="12" t="n"/>
      <c r="L335" s="190">
        <f>E335*Prices!B$2</f>
        <v/>
      </c>
      <c r="M335" s="190">
        <f>F335*Prices!C$2</f>
        <v/>
      </c>
      <c r="N335" s="190">
        <f>G335*Prices!D$2</f>
        <v/>
      </c>
      <c r="O335" s="190">
        <f>H335*160000</f>
        <v/>
      </c>
      <c r="P335" s="190">
        <f>I335*2000+J335*10000+K335*3000</f>
        <v/>
      </c>
      <c r="Q335" s="190">
        <f>D335*Prices!A$2</f>
        <v/>
      </c>
      <c r="R335" s="191">
        <f>L335+M335+N335+O335</f>
        <v/>
      </c>
      <c r="S335" s="190">
        <f>R335+Q335+P335</f>
        <v/>
      </c>
      <c r="T335" s="93" t="n">
        <v>334</v>
      </c>
      <c r="U335" s="93" t="inlineStr">
        <is>
          <t>Sold</t>
        </is>
      </c>
      <c r="V335" s="12" t="n"/>
      <c r="W335" s="12" t="n"/>
      <c r="X335" s="12" t="n"/>
      <c r="Y335" s="12" t="n"/>
      <c r="Z335" s="12" t="n"/>
    </row>
    <row r="336">
      <c r="A336" s="93" t="n">
        <v>335</v>
      </c>
      <c r="B336" s="93" t="n">
        <v>2.684</v>
      </c>
      <c r="C336" s="93">
        <f>B336*(25/100)</f>
        <v/>
      </c>
      <c r="D336" s="93">
        <f>C336+B336</f>
        <v/>
      </c>
      <c r="E336" s="93" t="n">
        <v>0.43</v>
      </c>
      <c r="F336" s="12" t="n"/>
      <c r="G336" s="12" t="n"/>
      <c r="H336" s="12" t="n"/>
      <c r="I336" s="12" t="n"/>
      <c r="J336" s="12" t="n"/>
      <c r="K336" s="12" t="n"/>
      <c r="L336" s="190">
        <f>E336*Prices!B$2</f>
        <v/>
      </c>
      <c r="M336" s="190">
        <f>F336*Prices!C$2</f>
        <v/>
      </c>
      <c r="N336" s="190">
        <f>G336*Prices!D$2</f>
        <v/>
      </c>
      <c r="O336" s="190">
        <f>H336*160000</f>
        <v/>
      </c>
      <c r="P336" s="190">
        <f>I336*2000+J336*10000+K336*3000</f>
        <v/>
      </c>
      <c r="Q336" s="190">
        <f>D336*Prices!A$2</f>
        <v/>
      </c>
      <c r="R336" s="191">
        <f>L336+M336+N336+O336</f>
        <v/>
      </c>
      <c r="S336" s="190">
        <f>R336+Q336+P336</f>
        <v/>
      </c>
      <c r="T336" s="93" t="n">
        <v>335</v>
      </c>
      <c r="U336" s="93" t="inlineStr">
        <is>
          <t>Available</t>
        </is>
      </c>
      <c r="V336" s="12" t="inlineStr">
        <is>
          <t>A</t>
        </is>
      </c>
      <c r="W336" s="12" t="n"/>
      <c r="X336" s="12" t="n"/>
      <c r="Y336" s="12" t="n"/>
      <c r="Z336" s="12" t="n"/>
    </row>
    <row r="337">
      <c r="A337" s="93" t="n">
        <v>336</v>
      </c>
      <c r="B337" s="93" t="n">
        <v>1.898</v>
      </c>
      <c r="C337" s="93">
        <f>B337*(25/100)</f>
        <v/>
      </c>
      <c r="D337" s="93">
        <f>C337+B337</f>
        <v/>
      </c>
      <c r="E337" s="93" t="n"/>
      <c r="F337" s="12" t="n"/>
      <c r="G337" s="12" t="n">
        <v>0.31</v>
      </c>
      <c r="H337" s="12" t="n"/>
      <c r="I337" s="12" t="n"/>
      <c r="J337" s="12" t="n"/>
      <c r="K337" s="12" t="n"/>
      <c r="L337" s="190">
        <f>E337*Prices!B$2</f>
        <v/>
      </c>
      <c r="M337" s="190">
        <f>F337*Prices!C$2</f>
        <v/>
      </c>
      <c r="N337" s="190">
        <f>G337*Prices!D$2</f>
        <v/>
      </c>
      <c r="O337" s="190">
        <f>H337*160000</f>
        <v/>
      </c>
      <c r="P337" s="190">
        <f>I337*2000+J337*10000+K337*3000</f>
        <v/>
      </c>
      <c r="Q337" s="190">
        <f>D337*Prices!A$2</f>
        <v/>
      </c>
      <c r="R337" s="191">
        <f>L337+M337+N337+O337</f>
        <v/>
      </c>
      <c r="S337" s="190">
        <f>R337+Q337+P337</f>
        <v/>
      </c>
      <c r="T337" s="93" t="n">
        <v>336</v>
      </c>
      <c r="U337" s="93" t="inlineStr">
        <is>
          <t>Sold</t>
        </is>
      </c>
      <c r="W337" s="12" t="n"/>
      <c r="X337" s="12" t="n"/>
      <c r="Y337" s="12" t="n"/>
      <c r="Z337" s="12" t="n"/>
    </row>
    <row r="338">
      <c r="A338" s="93" t="n">
        <v>337</v>
      </c>
      <c r="B338" s="93" t="n">
        <v>3.442</v>
      </c>
      <c r="C338" s="93">
        <f>B338*(25/100)</f>
        <v/>
      </c>
      <c r="D338" s="93">
        <f>C338+B338</f>
        <v/>
      </c>
      <c r="E338" s="93" t="n">
        <v>0.54</v>
      </c>
      <c r="F338" s="12" t="n"/>
      <c r="G338" s="12" t="n"/>
      <c r="H338" s="12" t="n"/>
      <c r="I338" s="12" t="n"/>
      <c r="J338" s="12" t="n"/>
      <c r="K338" s="12" t="n"/>
      <c r="L338" s="190">
        <f>E338*Prices!B$2</f>
        <v/>
      </c>
      <c r="M338" s="190">
        <f>F338*Prices!C$2</f>
        <v/>
      </c>
      <c r="N338" s="190">
        <f>G338*Prices!D$2</f>
        <v/>
      </c>
      <c r="O338" s="190">
        <f>H338*160000</f>
        <v/>
      </c>
      <c r="P338" s="190">
        <f>I338*2000+J338*10000+K338*3000</f>
        <v/>
      </c>
      <c r="Q338" s="190">
        <f>D338*Prices!A$2</f>
        <v/>
      </c>
      <c r="R338" s="191">
        <f>L338+M338+N338+O338</f>
        <v/>
      </c>
      <c r="S338" s="190">
        <f>R338+Q338+P338</f>
        <v/>
      </c>
      <c r="T338" s="93" t="n">
        <v>337</v>
      </c>
      <c r="U338" s="93" t="inlineStr">
        <is>
          <t>Available</t>
        </is>
      </c>
      <c r="V338" s="12" t="inlineStr">
        <is>
          <t>A</t>
        </is>
      </c>
      <c r="W338" s="12" t="n"/>
      <c r="X338" s="12" t="n"/>
      <c r="Y338" s="12" t="n"/>
      <c r="Z338" s="12" t="n"/>
    </row>
    <row r="339">
      <c r="A339" s="93" t="n">
        <v>338</v>
      </c>
      <c r="B339" s="93" t="n">
        <v>2.952</v>
      </c>
      <c r="C339" s="93">
        <f>B339*(25/100)</f>
        <v/>
      </c>
      <c r="D339" s="93">
        <f>C339+B339</f>
        <v/>
      </c>
      <c r="E339" s="93" t="n">
        <v>0.49</v>
      </c>
      <c r="F339" s="12" t="n"/>
      <c r="G339" s="12" t="n"/>
      <c r="H339" s="12" t="n"/>
      <c r="I339" s="12" t="n"/>
      <c r="J339" s="12" t="n"/>
      <c r="K339" s="12" t="n"/>
      <c r="L339" s="190">
        <f>E339*Prices!B$2</f>
        <v/>
      </c>
      <c r="M339" s="190">
        <f>F339*Prices!C$2</f>
        <v/>
      </c>
      <c r="N339" s="190">
        <f>G339*Prices!D$2</f>
        <v/>
      </c>
      <c r="O339" s="190">
        <f>H339*160000</f>
        <v/>
      </c>
      <c r="P339" s="190">
        <f>I339*2000+J339*10000+K339*3000</f>
        <v/>
      </c>
      <c r="Q339" s="190">
        <f>D339*Prices!A$2</f>
        <v/>
      </c>
      <c r="R339" s="191">
        <f>L339+M339+N339+O339</f>
        <v/>
      </c>
      <c r="S339" s="190">
        <f>R339+Q339+P339</f>
        <v/>
      </c>
      <c r="T339" s="93" t="n">
        <v>338</v>
      </c>
      <c r="U339" s="93" t="inlineStr">
        <is>
          <t>Sold</t>
        </is>
      </c>
      <c r="V339" s="12" t="n"/>
      <c r="W339" s="12" t="n"/>
      <c r="X339" s="12" t="n"/>
      <c r="Y339" s="12" t="n"/>
      <c r="Z339" s="12" t="n"/>
    </row>
    <row r="340">
      <c r="A340" s="93" t="n">
        <v>339</v>
      </c>
      <c r="B340" s="93" t="n">
        <v>2.554</v>
      </c>
      <c r="C340" s="93">
        <f>B340*(25/100)</f>
        <v/>
      </c>
      <c r="D340" s="93">
        <f>C340+B340</f>
        <v/>
      </c>
      <c r="E340" s="93" t="n">
        <v>0.48</v>
      </c>
      <c r="F340" s="12" t="n"/>
      <c r="G340" s="12" t="n"/>
      <c r="H340" s="12" t="n"/>
      <c r="I340" s="12" t="n"/>
      <c r="J340" s="12" t="n"/>
      <c r="K340" s="12" t="n"/>
      <c r="L340" s="190">
        <f>E340*Prices!B$2</f>
        <v/>
      </c>
      <c r="M340" s="190">
        <f>F340*Prices!C$2</f>
        <v/>
      </c>
      <c r="N340" s="190">
        <f>G340*Prices!D$2</f>
        <v/>
      </c>
      <c r="O340" s="190">
        <f>H340*160000</f>
        <v/>
      </c>
      <c r="P340" s="190">
        <f>I340*2000+J340*10000+K340*3000</f>
        <v/>
      </c>
      <c r="Q340" s="190">
        <f>D340*Prices!A$2</f>
        <v/>
      </c>
      <c r="R340" s="191">
        <f>L340+M340+N340+O340</f>
        <v/>
      </c>
      <c r="S340" s="190">
        <f>R340+Q340+P340</f>
        <v/>
      </c>
      <c r="T340" s="93" t="n">
        <v>339</v>
      </c>
      <c r="U340" s="93" t="inlineStr">
        <is>
          <t>Available</t>
        </is>
      </c>
      <c r="V340" s="12" t="inlineStr">
        <is>
          <t>A</t>
        </is>
      </c>
      <c r="W340" s="12" t="n"/>
      <c r="X340" s="12" t="n"/>
      <c r="Y340" s="12" t="n"/>
      <c r="Z340" s="12" t="n"/>
    </row>
    <row r="341">
      <c r="A341" s="93" t="n">
        <v>340</v>
      </c>
      <c r="B341" s="93" t="n">
        <v>1.77</v>
      </c>
      <c r="C341" s="93">
        <f>B341*(25/100)</f>
        <v/>
      </c>
      <c r="D341" s="93">
        <f>C341+B341</f>
        <v/>
      </c>
      <c r="E341" s="93" t="n">
        <v>0.1</v>
      </c>
      <c r="F341" s="12" t="n"/>
      <c r="G341" s="12" t="n"/>
      <c r="H341" s="12" t="n"/>
      <c r="I341" s="12" t="n"/>
      <c r="J341" s="12" t="n"/>
      <c r="K341" s="12" t="n"/>
      <c r="L341" s="190">
        <f>E341*Prices!B$2</f>
        <v/>
      </c>
      <c r="M341" s="190">
        <f>F341*Prices!C$2</f>
        <v/>
      </c>
      <c r="N341" s="190">
        <f>G341*Prices!D$2</f>
        <v/>
      </c>
      <c r="O341" s="190">
        <f>H341*160000</f>
        <v/>
      </c>
      <c r="P341" s="190">
        <f>I341*2000+J341*10000+K341*3000</f>
        <v/>
      </c>
      <c r="Q341" s="190">
        <f>D341*Prices!A$2</f>
        <v/>
      </c>
      <c r="R341" s="191">
        <f>L341+M341+N341+O341</f>
        <v/>
      </c>
      <c r="S341" s="190">
        <f>R341+Q341+P341</f>
        <v/>
      </c>
      <c r="T341" s="93" t="n">
        <v>340</v>
      </c>
      <c r="U341" s="93" t="inlineStr">
        <is>
          <t>Available</t>
        </is>
      </c>
      <c r="V341" s="12" t="inlineStr">
        <is>
          <t>A</t>
        </is>
      </c>
      <c r="W341" s="12" t="n"/>
      <c r="X341" s="12" t="n"/>
      <c r="Y341" s="12" t="n"/>
      <c r="Z341" s="12" t="n"/>
    </row>
    <row r="342">
      <c r="A342" s="93" t="n">
        <v>341</v>
      </c>
      <c r="B342" s="93" t="n">
        <v>1.264</v>
      </c>
      <c r="C342" s="93">
        <f>B342*(25/100)</f>
        <v/>
      </c>
      <c r="D342" s="93">
        <f>C342+B342</f>
        <v/>
      </c>
      <c r="E342" s="93" t="n">
        <v>0.23</v>
      </c>
      <c r="F342" s="12" t="n"/>
      <c r="G342" s="12" t="n"/>
      <c r="H342" s="12" t="n"/>
      <c r="I342" s="12" t="n"/>
      <c r="J342" s="12" t="n"/>
      <c r="K342" s="12" t="n"/>
      <c r="L342" s="190">
        <f>E342*Prices!B$2</f>
        <v/>
      </c>
      <c r="M342" s="190">
        <f>F342*Prices!C$2</f>
        <v/>
      </c>
      <c r="N342" s="190">
        <f>G342*Prices!D$2</f>
        <v/>
      </c>
      <c r="O342" s="190">
        <f>H342*160000</f>
        <v/>
      </c>
      <c r="P342" s="190">
        <f>I342*2000+J342*10000+K342*3000</f>
        <v/>
      </c>
      <c r="Q342" s="190">
        <f>D342*Prices!A$2</f>
        <v/>
      </c>
      <c r="R342" s="191">
        <f>L342+M342+N342+O342</f>
        <v/>
      </c>
      <c r="S342" s="190">
        <f>R342+Q342+P342</f>
        <v/>
      </c>
      <c r="T342" s="93" t="n">
        <v>341</v>
      </c>
      <c r="U342" s="93" t="inlineStr">
        <is>
          <t>Available</t>
        </is>
      </c>
      <c r="V342" s="12" t="inlineStr">
        <is>
          <t>A</t>
        </is>
      </c>
      <c r="W342" s="12" t="n"/>
      <c r="X342" s="12" t="n"/>
      <c r="Y342" s="12" t="n"/>
      <c r="Z342" s="12" t="n"/>
    </row>
    <row r="343">
      <c r="A343" s="93" t="n">
        <v>342</v>
      </c>
      <c r="B343" s="93" t="n">
        <v>1.64</v>
      </c>
      <c r="C343" s="93">
        <f>B343*(25/100)</f>
        <v/>
      </c>
      <c r="D343" s="93">
        <f>C343+B343</f>
        <v/>
      </c>
      <c r="E343" s="93" t="n">
        <v>0.15</v>
      </c>
      <c r="F343" s="12" t="n"/>
      <c r="G343" s="12" t="n"/>
      <c r="H343" s="12" t="n"/>
      <c r="I343" s="12" t="n"/>
      <c r="J343" s="12" t="n"/>
      <c r="K343" s="12" t="n"/>
      <c r="L343" s="190">
        <f>E343*Prices!B$2</f>
        <v/>
      </c>
      <c r="M343" s="190">
        <f>F343*Prices!C$2</f>
        <v/>
      </c>
      <c r="N343" s="190">
        <f>G343*Prices!D$2</f>
        <v/>
      </c>
      <c r="O343" s="190">
        <f>H343*160000</f>
        <v/>
      </c>
      <c r="P343" s="190">
        <f>I343*2000+J343*10000+K343*3000</f>
        <v/>
      </c>
      <c r="Q343" s="190">
        <f>D343*Prices!A$2</f>
        <v/>
      </c>
      <c r="R343" s="191">
        <f>L343+M343+N343+O343</f>
        <v/>
      </c>
      <c r="S343" s="190">
        <f>R343+Q343+P343</f>
        <v/>
      </c>
      <c r="T343" s="93" t="n">
        <v>342</v>
      </c>
      <c r="U343" s="93" t="inlineStr">
        <is>
          <t>Available</t>
        </is>
      </c>
      <c r="V343" s="12" t="inlineStr">
        <is>
          <t>A</t>
        </is>
      </c>
      <c r="W343" s="12" t="n"/>
      <c r="X343" s="12" t="n"/>
      <c r="Y343" s="12" t="n"/>
      <c r="Z343" s="12" t="n"/>
    </row>
    <row r="344">
      <c r="A344" s="93" t="n">
        <v>343</v>
      </c>
      <c r="B344" s="93" t="n">
        <v>1.746</v>
      </c>
      <c r="C344" s="93">
        <f>B344*(25/100)</f>
        <v/>
      </c>
      <c r="D344" s="93">
        <f>C344+B344</f>
        <v/>
      </c>
      <c r="E344" s="93" t="n">
        <v>0.22</v>
      </c>
      <c r="F344" s="12" t="n"/>
      <c r="G344" s="12" t="n"/>
      <c r="H344" s="12" t="n"/>
      <c r="I344" s="12" t="n"/>
      <c r="J344" s="12" t="n"/>
      <c r="K344" s="12" t="n"/>
      <c r="L344" s="190">
        <f>E344*Prices!B$2</f>
        <v/>
      </c>
      <c r="M344" s="190">
        <f>F344*Prices!C$2</f>
        <v/>
      </c>
      <c r="N344" s="190">
        <f>G344*Prices!D$2</f>
        <v/>
      </c>
      <c r="O344" s="190">
        <f>H344*160000</f>
        <v/>
      </c>
      <c r="P344" s="190">
        <f>I344*2000+J344*10000+K344*3000</f>
        <v/>
      </c>
      <c r="Q344" s="190">
        <f>D344*Prices!A$2</f>
        <v/>
      </c>
      <c r="R344" s="191">
        <f>L344+M344+N344+O344</f>
        <v/>
      </c>
      <c r="S344" s="190">
        <f>R344+Q344+P344</f>
        <v/>
      </c>
      <c r="T344" s="93" t="n">
        <v>343</v>
      </c>
      <c r="U344" s="93" t="inlineStr">
        <is>
          <t>Available</t>
        </is>
      </c>
      <c r="V344" s="12" t="inlineStr">
        <is>
          <t>A</t>
        </is>
      </c>
      <c r="W344" s="12" t="n"/>
      <c r="X344" s="12" t="n"/>
      <c r="Y344" s="12" t="n"/>
      <c r="Z344" s="12" t="n"/>
    </row>
    <row r="345">
      <c r="A345" s="93" t="n">
        <v>344</v>
      </c>
      <c r="B345" s="93" t="n">
        <v>1.974</v>
      </c>
      <c r="C345" s="93">
        <f>B345*(25/100)</f>
        <v/>
      </c>
      <c r="D345" s="93">
        <f>C345+B345</f>
        <v/>
      </c>
      <c r="E345" s="93" t="n">
        <v>0.13</v>
      </c>
      <c r="F345" s="12" t="n"/>
      <c r="G345" s="12" t="n"/>
      <c r="H345" s="12" t="n"/>
      <c r="I345" s="12" t="n"/>
      <c r="J345" s="12" t="n"/>
      <c r="K345" s="12" t="n"/>
      <c r="L345" s="190">
        <f>E345*Prices!B$2</f>
        <v/>
      </c>
      <c r="M345" s="190">
        <f>F345*Prices!C$2</f>
        <v/>
      </c>
      <c r="N345" s="190">
        <f>G345*Prices!D$2</f>
        <v/>
      </c>
      <c r="O345" s="190">
        <f>H345*160000</f>
        <v/>
      </c>
      <c r="P345" s="190">
        <f>I345*2000+J345*10000+K345*3000</f>
        <v/>
      </c>
      <c r="Q345" s="190">
        <f>D345*Prices!A$2</f>
        <v/>
      </c>
      <c r="R345" s="191">
        <f>L345+M345+N345+O345</f>
        <v/>
      </c>
      <c r="S345" s="190">
        <f>R345+Q345+P345</f>
        <v/>
      </c>
      <c r="T345" s="93" t="n">
        <v>344</v>
      </c>
      <c r="U345" s="93" t="inlineStr">
        <is>
          <t>Available</t>
        </is>
      </c>
      <c r="V345" s="12" t="inlineStr">
        <is>
          <t>A</t>
        </is>
      </c>
      <c r="W345" s="12" t="n"/>
      <c r="X345" s="12" t="n"/>
      <c r="Y345" s="12" t="n"/>
      <c r="Z345" s="12" t="n"/>
    </row>
    <row r="346">
      <c r="A346" s="93" t="n">
        <v>345</v>
      </c>
      <c r="B346" s="93" t="n">
        <v>2.394</v>
      </c>
      <c r="C346" s="93">
        <f>B346*(25/100)</f>
        <v/>
      </c>
      <c r="D346" s="93">
        <f>C346+B346</f>
        <v/>
      </c>
      <c r="E346" s="93" t="n">
        <v>0.13</v>
      </c>
      <c r="F346" s="12" t="n"/>
      <c r="G346" s="12" t="n"/>
      <c r="H346" s="12" t="n"/>
      <c r="I346" s="12" t="n"/>
      <c r="J346" s="12" t="n"/>
      <c r="K346" s="12" t="n"/>
      <c r="L346" s="190">
        <f>E346*Prices!B$2</f>
        <v/>
      </c>
      <c r="M346" s="190">
        <f>F346*Prices!C$2</f>
        <v/>
      </c>
      <c r="N346" s="190">
        <f>G346*Prices!D$2</f>
        <v/>
      </c>
      <c r="O346" s="190">
        <f>H346*160000</f>
        <v/>
      </c>
      <c r="P346" s="190">
        <f>I346*2000+J346*10000+K346*3000</f>
        <v/>
      </c>
      <c r="Q346" s="190">
        <f>D346*Prices!A$2</f>
        <v/>
      </c>
      <c r="R346" s="191">
        <f>L346+M346+N346+O346</f>
        <v/>
      </c>
      <c r="S346" s="190">
        <f>R346+Q346+P346</f>
        <v/>
      </c>
      <c r="T346" s="93" t="n">
        <v>345</v>
      </c>
      <c r="U346" s="93" t="inlineStr">
        <is>
          <t>Available</t>
        </is>
      </c>
      <c r="V346" s="12" t="inlineStr">
        <is>
          <t>A</t>
        </is>
      </c>
      <c r="W346" s="12" t="n"/>
      <c r="X346" s="12" t="n"/>
      <c r="Y346" s="12" t="n"/>
      <c r="Z346" s="12" t="n"/>
    </row>
    <row r="347">
      <c r="A347" s="93" t="n">
        <v>346</v>
      </c>
      <c r="B347" s="93" t="n">
        <v>1.708</v>
      </c>
      <c r="C347" s="93">
        <f>B347*(25/100)</f>
        <v/>
      </c>
      <c r="D347" s="93">
        <f>C347+B347</f>
        <v/>
      </c>
      <c r="E347" s="93" t="n">
        <v>0.16</v>
      </c>
      <c r="F347" s="93" t="n"/>
      <c r="G347" s="93" t="n"/>
      <c r="H347" s="93" t="n"/>
      <c r="I347" s="93" t="n"/>
      <c r="J347" s="93" t="n"/>
      <c r="K347" s="93" t="n"/>
      <c r="L347" s="190">
        <f>E347*Prices!B$2</f>
        <v/>
      </c>
      <c r="M347" s="190">
        <f>F347*Prices!C$2</f>
        <v/>
      </c>
      <c r="N347" s="190">
        <f>G347*Prices!D$2</f>
        <v/>
      </c>
      <c r="O347" s="190">
        <f>H347*160000</f>
        <v/>
      </c>
      <c r="P347" s="190">
        <f>I347*2000+J347*10000+K347*3000</f>
        <v/>
      </c>
      <c r="Q347" s="190">
        <f>D347*Prices!A$2</f>
        <v/>
      </c>
      <c r="R347" s="191">
        <f>L347+M347+N347+O347</f>
        <v/>
      </c>
      <c r="S347" s="190">
        <f>R347+Q347+P347</f>
        <v/>
      </c>
      <c r="T347" s="93" t="n">
        <v>346</v>
      </c>
      <c r="U347" s="26" t="inlineStr">
        <is>
          <t>Sold</t>
        </is>
      </c>
      <c r="V347" s="93" t="n"/>
      <c r="W347" s="93" t="n"/>
      <c r="X347" s="93" t="n"/>
      <c r="Y347" s="93" t="n"/>
      <c r="Z347" s="93" t="n"/>
    </row>
    <row r="348">
      <c r="A348" s="93" t="n">
        <v>347</v>
      </c>
      <c r="B348" s="93" t="n">
        <v>5.43</v>
      </c>
      <c r="C348" s="93">
        <f>B348*(25/100)</f>
        <v/>
      </c>
      <c r="D348" s="93">
        <f>C348+B348</f>
        <v/>
      </c>
      <c r="E348" s="93" t="n"/>
      <c r="F348" s="12" t="n">
        <v>1.55</v>
      </c>
      <c r="G348" s="12" t="n"/>
      <c r="H348" s="12" t="n"/>
      <c r="I348" s="12" t="n"/>
      <c r="J348" s="12" t="n"/>
      <c r="K348" s="12" t="n"/>
      <c r="L348" s="190">
        <f>E348*Prices!B$2</f>
        <v/>
      </c>
      <c r="M348" s="190">
        <f>F348*Prices!C$2</f>
        <v/>
      </c>
      <c r="N348" s="190">
        <f>G348*Prices!D$2</f>
        <v/>
      </c>
      <c r="O348" s="190">
        <f>H348*160000</f>
        <v/>
      </c>
      <c r="P348" s="190">
        <f>I348*2000+J348*10000+K348*3000</f>
        <v/>
      </c>
      <c r="Q348" s="190">
        <f>D348*Prices!A$2</f>
        <v/>
      </c>
      <c r="R348" s="191">
        <f>L348+M348+N348+O348</f>
        <v/>
      </c>
      <c r="S348" s="190">
        <f>R348+Q348+P348</f>
        <v/>
      </c>
      <c r="T348" s="93" t="n">
        <v>347</v>
      </c>
      <c r="U348" s="93" t="inlineStr">
        <is>
          <t>Available</t>
        </is>
      </c>
      <c r="V348" s="12" t="inlineStr">
        <is>
          <t>A</t>
        </is>
      </c>
      <c r="W348" s="12" t="n"/>
      <c r="X348" s="12" t="n"/>
      <c r="Y348" s="12" t="n"/>
      <c r="Z348" s="12" t="n"/>
    </row>
    <row r="349">
      <c r="A349" s="93" t="n">
        <v>348</v>
      </c>
      <c r="B349" s="93" t="n">
        <v>2.73</v>
      </c>
      <c r="C349" s="93">
        <f>B349*(25/100)</f>
        <v/>
      </c>
      <c r="D349" s="93">
        <f>C349+B349</f>
        <v/>
      </c>
      <c r="E349" s="93" t="n">
        <v>0.85</v>
      </c>
      <c r="F349" s="12" t="n"/>
      <c r="G349" s="12" t="n"/>
      <c r="H349" s="12" t="n"/>
      <c r="I349" s="12" t="n"/>
      <c r="J349" s="12" t="n"/>
      <c r="K349" s="12" t="n"/>
      <c r="L349" s="190">
        <f>E349*Prices!B$2</f>
        <v/>
      </c>
      <c r="M349" s="190">
        <f>F349*Prices!C$2</f>
        <v/>
      </c>
      <c r="N349" s="190">
        <f>G349*Prices!D$2</f>
        <v/>
      </c>
      <c r="O349" s="190">
        <f>H349*160000</f>
        <v/>
      </c>
      <c r="P349" s="190">
        <f>I349*2000+J349*10000+K349*3000</f>
        <v/>
      </c>
      <c r="Q349" s="190">
        <f>D349*Prices!A$2</f>
        <v/>
      </c>
      <c r="R349" s="191">
        <f>L349+M349+N349+O349</f>
        <v/>
      </c>
      <c r="S349" s="190">
        <f>R349+Q349+P349</f>
        <v/>
      </c>
      <c r="T349" s="93" t="n">
        <v>348</v>
      </c>
      <c r="U349" s="93" t="inlineStr">
        <is>
          <t>Sold</t>
        </is>
      </c>
      <c r="V349" s="12" t="n"/>
      <c r="W349" s="12" t="n"/>
      <c r="X349" s="12" t="n"/>
      <c r="Y349" s="12" t="n"/>
      <c r="Z349" s="12" t="n"/>
    </row>
    <row r="350">
      <c r="A350" s="93" t="n">
        <v>349</v>
      </c>
      <c r="B350" s="93" t="n">
        <v>2.6</v>
      </c>
      <c r="C350" s="93">
        <f>B350*(25/100)</f>
        <v/>
      </c>
      <c r="D350" s="93">
        <f>C350+B350</f>
        <v/>
      </c>
      <c r="E350" s="93" t="n">
        <v>0.29</v>
      </c>
      <c r="F350" s="12" t="n"/>
      <c r="G350" s="12" t="n"/>
      <c r="H350" s="12" t="n"/>
      <c r="I350" s="12" t="n"/>
      <c r="J350" s="12" t="n"/>
      <c r="K350" s="12" t="n"/>
      <c r="L350" s="190">
        <f>E350*Prices!B$2</f>
        <v/>
      </c>
      <c r="M350" s="190">
        <f>F350*Prices!C$2</f>
        <v/>
      </c>
      <c r="N350" s="190">
        <f>G350*Prices!D$2</f>
        <v/>
      </c>
      <c r="O350" s="190">
        <f>H350*160000</f>
        <v/>
      </c>
      <c r="P350" s="190">
        <f>I350*2000+J350*10000+K350*3000</f>
        <v/>
      </c>
      <c r="Q350" s="190">
        <f>D350*Prices!A$2</f>
        <v/>
      </c>
      <c r="R350" s="191">
        <f>L350+M350+N350+O350</f>
        <v/>
      </c>
      <c r="S350" s="190">
        <f>R350+Q350+P350</f>
        <v/>
      </c>
      <c r="T350" s="93" t="n">
        <v>349</v>
      </c>
      <c r="U350" s="93" t="inlineStr">
        <is>
          <t>Sold</t>
        </is>
      </c>
      <c r="V350" s="12" t="n"/>
      <c r="W350" s="12" t="n"/>
      <c r="X350" s="12" t="n"/>
      <c r="Y350" s="12" t="n"/>
      <c r="Z350" s="12" t="n"/>
    </row>
    <row r="351">
      <c r="A351" s="93" t="n">
        <v>350</v>
      </c>
      <c r="B351" s="93" t="n">
        <v>5.158</v>
      </c>
      <c r="C351" s="93">
        <f>B351*(25/100)</f>
        <v/>
      </c>
      <c r="D351" s="93">
        <f>C351+B351</f>
        <v/>
      </c>
      <c r="E351" s="93" t="n"/>
      <c r="F351" s="12" t="n">
        <v>1.76</v>
      </c>
      <c r="G351" s="12" t="n"/>
      <c r="H351" s="12" t="n"/>
      <c r="I351" s="12" t="n"/>
      <c r="J351" s="12" t="n"/>
      <c r="K351" s="12" t="n"/>
      <c r="L351" s="190">
        <f>E351*Prices!B$2</f>
        <v/>
      </c>
      <c r="M351" s="190">
        <f>F351*Prices!C$2</f>
        <v/>
      </c>
      <c r="N351" s="190">
        <f>G351*Prices!D$2</f>
        <v/>
      </c>
      <c r="O351" s="190">
        <f>H351*160000</f>
        <v/>
      </c>
      <c r="P351" s="190">
        <f>I351*2000+J351*10000+K351*3000</f>
        <v/>
      </c>
      <c r="Q351" s="190">
        <f>D351*Prices!A$2</f>
        <v/>
      </c>
      <c r="R351" s="191">
        <f>L351+M351+N351+O351</f>
        <v/>
      </c>
      <c r="S351" s="190">
        <f>R351+Q351+P351</f>
        <v/>
      </c>
      <c r="T351" s="93" t="n">
        <v>350</v>
      </c>
      <c r="U351" s="93" t="inlineStr">
        <is>
          <t>Sold</t>
        </is>
      </c>
      <c r="V351" s="12" t="n"/>
      <c r="W351" s="12" t="n"/>
      <c r="X351" s="12" t="n"/>
      <c r="Y351" s="12" t="n"/>
      <c r="Z351" s="12" t="n"/>
    </row>
    <row r="352">
      <c r="A352" s="93" t="n">
        <v>351</v>
      </c>
      <c r="B352" s="93" t="n">
        <v>2.98</v>
      </c>
      <c r="C352" s="93">
        <f>B352*(25/100)</f>
        <v/>
      </c>
      <c r="D352" s="93">
        <f>C352+B352</f>
        <v/>
      </c>
      <c r="E352" s="93" t="n">
        <v>0.5</v>
      </c>
      <c r="F352" s="12" t="n"/>
      <c r="G352" s="12" t="n"/>
      <c r="H352" s="12" t="n"/>
      <c r="I352" s="12" t="n"/>
      <c r="J352" s="12" t="n"/>
      <c r="K352" s="12" t="n"/>
      <c r="L352" s="190">
        <f>E352*Prices!B$2</f>
        <v/>
      </c>
      <c r="M352" s="190">
        <f>F352*Prices!C$2</f>
        <v/>
      </c>
      <c r="N352" s="190">
        <f>G352*Prices!D$2</f>
        <v/>
      </c>
      <c r="O352" s="190">
        <f>H352*160000</f>
        <v/>
      </c>
      <c r="P352" s="190">
        <f>I352*2000+J352*10000+K352*3000</f>
        <v/>
      </c>
      <c r="Q352" s="190">
        <f>D352*Prices!A$2</f>
        <v/>
      </c>
      <c r="R352" s="191">
        <f>L352+M352+N352+O352</f>
        <v/>
      </c>
      <c r="S352" s="190">
        <f>R352+Q352+P352</f>
        <v/>
      </c>
      <c r="T352" s="93" t="n">
        <v>351</v>
      </c>
      <c r="U352" s="93" t="inlineStr">
        <is>
          <t>Available</t>
        </is>
      </c>
      <c r="V352" s="12" t="inlineStr">
        <is>
          <t>A</t>
        </is>
      </c>
      <c r="W352" s="12" t="n"/>
      <c r="X352" s="12" t="n"/>
      <c r="Y352" s="12" t="n"/>
      <c r="Z352" s="12" t="n"/>
    </row>
    <row r="353">
      <c r="A353" s="93" t="n">
        <v>352</v>
      </c>
      <c r="B353" s="93" t="n">
        <v>2.836</v>
      </c>
      <c r="C353" s="93">
        <f>B353*(25/100)</f>
        <v/>
      </c>
      <c r="D353" s="93">
        <f>C353+B353</f>
        <v/>
      </c>
      <c r="E353" s="93" t="n">
        <v>0.57</v>
      </c>
      <c r="F353" s="12" t="n"/>
      <c r="G353" s="12" t="n"/>
      <c r="H353" s="12" t="n"/>
      <c r="I353" s="12" t="n"/>
      <c r="J353" s="12" t="n"/>
      <c r="K353" s="12" t="n"/>
      <c r="L353" s="190">
        <f>E353*Prices!B$2</f>
        <v/>
      </c>
      <c r="M353" s="190">
        <f>F353*Prices!C$2</f>
        <v/>
      </c>
      <c r="N353" s="190">
        <f>G353*Prices!D$2</f>
        <v/>
      </c>
      <c r="O353" s="190">
        <f>H353*160000</f>
        <v/>
      </c>
      <c r="P353" s="190">
        <f>I353*2000+J353*10000+K353*3000</f>
        <v/>
      </c>
      <c r="Q353" s="190">
        <f>D353*Prices!A$2</f>
        <v/>
      </c>
      <c r="R353" s="191">
        <f>L353+M353+N353+O353</f>
        <v/>
      </c>
      <c r="S353" s="190">
        <f>R353+Q353+P353</f>
        <v/>
      </c>
      <c r="T353" s="93" t="n">
        <v>352</v>
      </c>
      <c r="U353" s="26" t="inlineStr">
        <is>
          <t>Sold</t>
        </is>
      </c>
      <c r="V353" s="12" t="n"/>
      <c r="W353" s="12" t="n"/>
      <c r="X353" s="12" t="n"/>
      <c r="Y353" s="12" t="n"/>
      <c r="Z353" s="12" t="n"/>
    </row>
    <row r="354">
      <c r="A354" s="93" t="n">
        <v>353</v>
      </c>
      <c r="B354" s="93" t="n">
        <v>2.942</v>
      </c>
      <c r="C354" s="93">
        <f>B354*(25/100)</f>
        <v/>
      </c>
      <c r="D354" s="93">
        <f>C354+B354</f>
        <v/>
      </c>
      <c r="E354" s="93" t="n">
        <v>0.64</v>
      </c>
      <c r="F354" s="12" t="n"/>
      <c r="G354" s="12" t="n"/>
      <c r="H354" s="12" t="n"/>
      <c r="I354" s="12" t="n"/>
      <c r="J354" s="12" t="n"/>
      <c r="K354" s="12" t="n"/>
      <c r="L354" s="190">
        <f>E354*Prices!B$2</f>
        <v/>
      </c>
      <c r="M354" s="190">
        <f>F354*Prices!C$2</f>
        <v/>
      </c>
      <c r="N354" s="190">
        <f>G354*Prices!D$2</f>
        <v/>
      </c>
      <c r="O354" s="190">
        <f>H354*160000</f>
        <v/>
      </c>
      <c r="P354" s="190">
        <f>I354*2000+J354*10000+K354*3000</f>
        <v/>
      </c>
      <c r="Q354" s="190">
        <f>D354*Prices!A$2</f>
        <v/>
      </c>
      <c r="R354" s="191">
        <f>L354+M354+N354+O354</f>
        <v/>
      </c>
      <c r="S354" s="190">
        <f>R354+Q354+P354</f>
        <v/>
      </c>
      <c r="T354" s="93" t="n">
        <v>353</v>
      </c>
      <c r="U354" s="26" t="inlineStr">
        <is>
          <t>Sold</t>
        </is>
      </c>
      <c r="V354" s="12" t="n"/>
      <c r="W354" s="12" t="n"/>
      <c r="X354" s="12" t="n"/>
      <c r="Y354" s="12" t="n"/>
      <c r="Z354" s="12" t="n"/>
    </row>
    <row r="355">
      <c r="A355" s="93" t="n">
        <v>354</v>
      </c>
      <c r="B355" s="93" t="n">
        <v>3.168</v>
      </c>
      <c r="C355" s="93">
        <f>B355*(25/100)</f>
        <v/>
      </c>
      <c r="D355" s="93">
        <f>C355+B355</f>
        <v/>
      </c>
      <c r="E355" s="93" t="n">
        <v>0.51</v>
      </c>
      <c r="F355" s="12" t="n"/>
      <c r="G355" s="12" t="n"/>
      <c r="H355" s="12" t="n"/>
      <c r="I355" s="12" t="n"/>
      <c r="J355" s="12" t="n"/>
      <c r="K355" s="12" t="n"/>
      <c r="L355" s="190">
        <f>E355*Prices!B$2</f>
        <v/>
      </c>
      <c r="M355" s="190">
        <f>F355*Prices!C$2</f>
        <v/>
      </c>
      <c r="N355" s="190">
        <f>G355*Prices!D$2</f>
        <v/>
      </c>
      <c r="O355" s="190">
        <f>H355*160000</f>
        <v/>
      </c>
      <c r="P355" s="190">
        <f>I355*2000+J355*10000+K355*3000</f>
        <v/>
      </c>
      <c r="Q355" s="190">
        <f>D355*Prices!A$2</f>
        <v/>
      </c>
      <c r="R355" s="191">
        <f>L355+M355+N355+O355</f>
        <v/>
      </c>
      <c r="S355" s="190">
        <f>R355+Q355+P355</f>
        <v/>
      </c>
      <c r="T355" s="93" t="n">
        <v>354</v>
      </c>
      <c r="U355" s="93" t="inlineStr">
        <is>
          <t>Available</t>
        </is>
      </c>
      <c r="V355" s="12" t="inlineStr">
        <is>
          <t>A</t>
        </is>
      </c>
      <c r="W355" s="12" t="n"/>
      <c r="X355" s="12" t="n"/>
      <c r="Y355" s="12" t="n"/>
      <c r="Z355" s="12" t="n"/>
    </row>
    <row r="356">
      <c r="A356" s="93" t="n">
        <v>355</v>
      </c>
      <c r="B356" s="93" t="n">
        <v>3.284</v>
      </c>
      <c r="C356" s="93">
        <f>B356*(25/100)</f>
        <v/>
      </c>
      <c r="D356" s="93">
        <f>C356+B356</f>
        <v/>
      </c>
      <c r="E356" s="93" t="n">
        <v>1.19</v>
      </c>
      <c r="F356" s="12" t="n">
        <v>0.09</v>
      </c>
      <c r="G356" s="12" t="n"/>
      <c r="H356" s="12" t="n"/>
      <c r="I356" s="12" t="n"/>
      <c r="J356" s="12" t="n"/>
      <c r="K356" s="12" t="n"/>
      <c r="L356" s="190">
        <f>E356*Prices!B$2</f>
        <v/>
      </c>
      <c r="M356" s="190">
        <f>F356*Prices!C$2</f>
        <v/>
      </c>
      <c r="N356" s="190">
        <f>G356*Prices!D$2</f>
        <v/>
      </c>
      <c r="O356" s="190">
        <f>H356*160000</f>
        <v/>
      </c>
      <c r="P356" s="190">
        <f>I356*2000+J356*10000+K356*3000</f>
        <v/>
      </c>
      <c r="Q356" s="190">
        <f>D356*Prices!A$2</f>
        <v/>
      </c>
      <c r="R356" s="191">
        <f>L356+M356+N356+O356</f>
        <v/>
      </c>
      <c r="S356" s="190">
        <f>R356+Q356+P356</f>
        <v/>
      </c>
      <c r="T356" s="93" t="n">
        <v>355</v>
      </c>
      <c r="U356" s="93" t="inlineStr">
        <is>
          <t>Available</t>
        </is>
      </c>
      <c r="V356" s="12" t="inlineStr">
        <is>
          <t>A</t>
        </is>
      </c>
      <c r="W356" s="12" t="n"/>
      <c r="X356" s="12" t="n"/>
      <c r="Y356" s="12" t="n"/>
      <c r="Z356" s="12" t="n"/>
    </row>
    <row r="357">
      <c r="A357" s="93" t="n">
        <v>356</v>
      </c>
      <c r="B357" s="93" t="n">
        <v>2.998</v>
      </c>
      <c r="C357" s="93">
        <f>B357*(25/100)</f>
        <v/>
      </c>
      <c r="D357" s="93">
        <f>C357+B357</f>
        <v/>
      </c>
      <c r="E357" s="93" t="n">
        <v>0.8100000000000001</v>
      </c>
      <c r="F357" s="12" t="n"/>
      <c r="G357" s="12" t="n"/>
      <c r="H357" s="12" t="n"/>
      <c r="I357" s="12" t="n"/>
      <c r="J357" s="12" t="n"/>
      <c r="K357" s="12" t="n"/>
      <c r="L357" s="190">
        <f>E357*Prices!B$2</f>
        <v/>
      </c>
      <c r="M357" s="190">
        <f>F357*Prices!C$2</f>
        <v/>
      </c>
      <c r="N357" s="190">
        <f>G357*Prices!D$2</f>
        <v/>
      </c>
      <c r="O357" s="190">
        <f>H357*160000</f>
        <v/>
      </c>
      <c r="P357" s="190">
        <f>I357*2000+J357*10000+K357*3000</f>
        <v/>
      </c>
      <c r="Q357" s="190">
        <f>D357*Prices!A$2</f>
        <v/>
      </c>
      <c r="R357" s="191">
        <f>L357+M357+N357+O357</f>
        <v/>
      </c>
      <c r="S357" s="190">
        <f>R357+Q357+P357</f>
        <v/>
      </c>
      <c r="T357" s="93" t="n">
        <v>356</v>
      </c>
      <c r="U357" s="93" t="inlineStr">
        <is>
          <t>Available</t>
        </is>
      </c>
      <c r="V357" s="12" t="inlineStr">
        <is>
          <t>A</t>
        </is>
      </c>
      <c r="W357" s="12" t="n"/>
      <c r="X357" s="12" t="n"/>
      <c r="Y357" s="12" t="n"/>
      <c r="Z357" s="12" t="n"/>
    </row>
    <row r="358">
      <c r="A358" s="93" t="n">
        <v>357</v>
      </c>
      <c r="B358" s="93" t="n">
        <v>2.226</v>
      </c>
      <c r="C358" s="93">
        <f>B358*(25/100)</f>
        <v/>
      </c>
      <c r="D358" s="93">
        <f>C358+B358</f>
        <v/>
      </c>
      <c r="E358" s="93" t="n">
        <v>0.44</v>
      </c>
      <c r="F358" s="12" t="n">
        <v>0.08</v>
      </c>
      <c r="G358" s="12" t="n"/>
      <c r="H358" s="12" t="n"/>
      <c r="I358" s="12" t="n"/>
      <c r="J358" s="12" t="n"/>
      <c r="K358" s="12" t="n"/>
      <c r="L358" s="190">
        <f>E358*Prices!B$2</f>
        <v/>
      </c>
      <c r="M358" s="190">
        <f>F358*Prices!C$2</f>
        <v/>
      </c>
      <c r="N358" s="190">
        <f>G358*Prices!D$2</f>
        <v/>
      </c>
      <c r="O358" s="190">
        <f>H358*160000</f>
        <v/>
      </c>
      <c r="P358" s="190">
        <f>I358*2000+J358*10000+K358*3000</f>
        <v/>
      </c>
      <c r="Q358" s="190">
        <f>D358*Prices!A$2</f>
        <v/>
      </c>
      <c r="R358" s="191">
        <f>L358+M358+N358+O358</f>
        <v/>
      </c>
      <c r="S358" s="190">
        <f>R358+Q358+P358</f>
        <v/>
      </c>
      <c r="T358" s="93" t="n">
        <v>357</v>
      </c>
      <c r="U358" s="93" t="inlineStr">
        <is>
          <t>Available</t>
        </is>
      </c>
      <c r="V358" s="12" t="inlineStr">
        <is>
          <t>A</t>
        </is>
      </c>
      <c r="W358" s="12" t="n"/>
      <c r="X358" s="12" t="n"/>
      <c r="Y358" s="12" t="n"/>
      <c r="Z358" s="12" t="n"/>
    </row>
    <row r="359">
      <c r="A359" s="93" t="n">
        <v>358</v>
      </c>
      <c r="B359" s="93" t="n">
        <v>3.71</v>
      </c>
      <c r="C359" s="93">
        <f>B359*(25/100)</f>
        <v/>
      </c>
      <c r="D359" s="93">
        <f>C359+B359</f>
        <v/>
      </c>
      <c r="E359" s="93" t="n">
        <v>0.58</v>
      </c>
      <c r="F359" s="12" t="n"/>
      <c r="G359" s="12" t="n"/>
      <c r="H359" s="12" t="n"/>
      <c r="I359" s="12" t="n"/>
      <c r="J359" s="12" t="n"/>
      <c r="K359" s="12" t="n"/>
      <c r="L359" s="190">
        <f>E359*Prices!B$2</f>
        <v/>
      </c>
      <c r="M359" s="190">
        <f>F359*Prices!C$2</f>
        <v/>
      </c>
      <c r="N359" s="190">
        <f>G359*Prices!D$2</f>
        <v/>
      </c>
      <c r="O359" s="190">
        <f>H359*160000</f>
        <v/>
      </c>
      <c r="P359" s="190">
        <f>I359*2000+J359*10000+K359*3000</f>
        <v/>
      </c>
      <c r="Q359" s="190">
        <f>D359*Prices!A$2</f>
        <v/>
      </c>
      <c r="R359" s="191">
        <f>L359+M359+N359+O359</f>
        <v/>
      </c>
      <c r="S359" s="190">
        <f>R359+Q359+P359</f>
        <v/>
      </c>
      <c r="T359" s="93" t="n">
        <v>358</v>
      </c>
      <c r="U359" s="93" t="inlineStr">
        <is>
          <t>Available</t>
        </is>
      </c>
      <c r="V359" s="12" t="inlineStr">
        <is>
          <t>A</t>
        </is>
      </c>
      <c r="W359" s="12" t="n"/>
      <c r="X359" s="12" t="n"/>
      <c r="Y359" s="12" t="n"/>
      <c r="Z359" s="12" t="n"/>
    </row>
    <row r="360">
      <c r="A360" s="93" t="n">
        <v>359</v>
      </c>
      <c r="B360" s="93" t="n">
        <v>2.604</v>
      </c>
      <c r="C360" s="93">
        <f>B360*(25/100)</f>
        <v/>
      </c>
      <c r="D360" s="93">
        <f>C360+B360</f>
        <v/>
      </c>
      <c r="E360" s="93" t="n">
        <v>0.76</v>
      </c>
      <c r="F360" s="12" t="n">
        <v>0.07000000000000001</v>
      </c>
      <c r="G360" s="12" t="n"/>
      <c r="H360" s="12" t="n"/>
      <c r="I360" s="12" t="n"/>
      <c r="J360" s="12" t="n"/>
      <c r="K360" s="12" t="n"/>
      <c r="L360" s="190">
        <f>E360*Prices!B$2</f>
        <v/>
      </c>
      <c r="M360" s="190">
        <f>F360*Prices!C$2</f>
        <v/>
      </c>
      <c r="N360" s="190">
        <f>G360*Prices!D$2</f>
        <v/>
      </c>
      <c r="O360" s="190">
        <f>H360*160000</f>
        <v/>
      </c>
      <c r="P360" s="190">
        <f>I360*2000+J360*10000+K360*3000</f>
        <v/>
      </c>
      <c r="Q360" s="190">
        <f>D360*Prices!A$2</f>
        <v/>
      </c>
      <c r="R360" s="191">
        <f>L360+M360+N360+O360</f>
        <v/>
      </c>
      <c r="S360" s="190">
        <f>R360+Q360+P360</f>
        <v/>
      </c>
      <c r="T360" s="93" t="n">
        <v>359</v>
      </c>
      <c r="U360" s="93" t="inlineStr">
        <is>
          <t>Available</t>
        </is>
      </c>
      <c r="V360" s="12" t="inlineStr">
        <is>
          <t>A</t>
        </is>
      </c>
      <c r="W360" s="12" t="n"/>
      <c r="X360" s="12" t="n"/>
      <c r="Y360" s="12" t="n"/>
      <c r="Z360" s="12" t="n"/>
    </row>
    <row r="361">
      <c r="A361" s="93" t="n">
        <v>360</v>
      </c>
      <c r="B361" s="93" t="n">
        <v>3.858</v>
      </c>
      <c r="C361" s="93">
        <f>B361*(25/100)</f>
        <v/>
      </c>
      <c r="D361" s="93">
        <f>C361+B361</f>
        <v/>
      </c>
      <c r="E361" s="93" t="n">
        <v>0.86</v>
      </c>
      <c r="F361" s="12" t="n"/>
      <c r="G361" s="12" t="n"/>
      <c r="H361" s="12" t="n"/>
      <c r="I361" s="12" t="n"/>
      <c r="J361" s="12" t="n"/>
      <c r="K361" s="12" t="n"/>
      <c r="L361" s="190">
        <f>E361*Prices!B$2</f>
        <v/>
      </c>
      <c r="M361" s="190">
        <f>F361*Prices!C$2</f>
        <v/>
      </c>
      <c r="N361" s="190">
        <f>G361*Prices!D$2</f>
        <v/>
      </c>
      <c r="O361" s="190">
        <f>H361*160000</f>
        <v/>
      </c>
      <c r="P361" s="190">
        <f>I361*2000+J361*10000+K361*3000</f>
        <v/>
      </c>
      <c r="Q361" s="190">
        <f>D361*Prices!A$2</f>
        <v/>
      </c>
      <c r="R361" s="191">
        <f>L361+M361+N361+O361</f>
        <v/>
      </c>
      <c r="S361" s="190">
        <f>R361+Q361+P361</f>
        <v/>
      </c>
      <c r="T361" s="93" t="n">
        <v>360</v>
      </c>
      <c r="U361" s="26" t="inlineStr">
        <is>
          <t>Sold</t>
        </is>
      </c>
      <c r="V361" s="12" t="n"/>
      <c r="W361" s="12" t="n"/>
      <c r="X361" s="12" t="n"/>
      <c r="Y361" s="12" t="n"/>
      <c r="Z361" s="12" t="n"/>
    </row>
    <row r="362">
      <c r="A362" s="93" t="n">
        <v>361</v>
      </c>
      <c r="B362" s="93" t="n">
        <v>2.25</v>
      </c>
      <c r="C362" s="93">
        <f>B362*(25/100)</f>
        <v/>
      </c>
      <c r="D362" s="93">
        <f>C362+B362</f>
        <v/>
      </c>
      <c r="E362" s="93" t="n">
        <v>0.65</v>
      </c>
      <c r="F362" s="12" t="n"/>
      <c r="G362" s="12" t="n"/>
      <c r="H362" s="12" t="n"/>
      <c r="I362" s="12" t="n"/>
      <c r="J362" s="12" t="n"/>
      <c r="K362" s="12" t="n"/>
      <c r="L362" s="190">
        <f>E362*Prices!B$2</f>
        <v/>
      </c>
      <c r="M362" s="190">
        <f>F362*Prices!C$2</f>
        <v/>
      </c>
      <c r="N362" s="190">
        <f>G362*Prices!D$2</f>
        <v/>
      </c>
      <c r="O362" s="190">
        <f>H362*160000</f>
        <v/>
      </c>
      <c r="P362" s="190">
        <f>I362*2000+J362*10000+K362*3000</f>
        <v/>
      </c>
      <c r="Q362" s="190">
        <f>D362*Prices!A$2</f>
        <v/>
      </c>
      <c r="R362" s="191">
        <f>L362+M362+N362+O362</f>
        <v/>
      </c>
      <c r="S362" s="190">
        <f>R362+Q362+P362</f>
        <v/>
      </c>
      <c r="T362" s="93" t="n">
        <v>361</v>
      </c>
      <c r="U362" s="93" t="inlineStr">
        <is>
          <t>Available</t>
        </is>
      </c>
      <c r="V362" s="12" t="inlineStr">
        <is>
          <t>A</t>
        </is>
      </c>
      <c r="W362" s="12" t="n"/>
      <c r="X362" s="12" t="n"/>
      <c r="Y362" s="12" t="n"/>
      <c r="Z362" s="12" t="n"/>
    </row>
    <row r="363">
      <c r="A363" s="93" t="n">
        <v>362</v>
      </c>
      <c r="B363" s="93" t="n">
        <v>1.494</v>
      </c>
      <c r="C363" s="93">
        <f>B363*(25/100)</f>
        <v/>
      </c>
      <c r="D363" s="93">
        <f>C363+B363</f>
        <v/>
      </c>
      <c r="E363" s="93" t="n">
        <v>0.18</v>
      </c>
      <c r="F363" s="12" t="n"/>
      <c r="G363" s="12" t="n"/>
      <c r="H363" s="12" t="n"/>
      <c r="I363" s="12" t="n"/>
      <c r="J363" s="12" t="n"/>
      <c r="K363" s="12" t="n"/>
      <c r="L363" s="190">
        <f>E363*Prices!B$2</f>
        <v/>
      </c>
      <c r="M363" s="190">
        <f>F363*Prices!C$2</f>
        <v/>
      </c>
      <c r="N363" s="190">
        <f>G363*Prices!D$2</f>
        <v/>
      </c>
      <c r="O363" s="190">
        <f>H363*160000</f>
        <v/>
      </c>
      <c r="P363" s="190">
        <f>I363*2000+J363*10000+K363*3000</f>
        <v/>
      </c>
      <c r="Q363" s="190">
        <f>D363*Prices!A$2</f>
        <v/>
      </c>
      <c r="R363" s="191">
        <f>L363+M363+N363+O363</f>
        <v/>
      </c>
      <c r="S363" s="190">
        <f>R363+Q363+P363</f>
        <v/>
      </c>
      <c r="T363" s="93" t="n">
        <v>362</v>
      </c>
      <c r="U363" s="93" t="inlineStr">
        <is>
          <t>Available</t>
        </is>
      </c>
      <c r="V363" s="12" t="inlineStr">
        <is>
          <t>A</t>
        </is>
      </c>
      <c r="W363" s="12" t="n"/>
      <c r="X363" s="12" t="n"/>
      <c r="Y363" s="12" t="n"/>
      <c r="Z363" s="12" t="n"/>
    </row>
    <row r="364">
      <c r="A364" s="93" t="n">
        <v>363</v>
      </c>
      <c r="B364" s="93" t="n">
        <v>1.15</v>
      </c>
      <c r="C364" s="93">
        <f>B364*(25/100)</f>
        <v/>
      </c>
      <c r="D364" s="93">
        <f>C364+B364</f>
        <v/>
      </c>
      <c r="E364" s="93" t="n">
        <v>0.15</v>
      </c>
      <c r="F364" s="12" t="n"/>
      <c r="G364" s="12" t="n"/>
      <c r="H364" s="12" t="n"/>
      <c r="I364" s="12" t="n"/>
      <c r="J364" s="12" t="n"/>
      <c r="K364" s="12" t="n"/>
      <c r="L364" s="190">
        <f>E364*Prices!B$2</f>
        <v/>
      </c>
      <c r="M364" s="190">
        <f>F364*Prices!C$2</f>
        <v/>
      </c>
      <c r="N364" s="190">
        <f>G364*Prices!D$2</f>
        <v/>
      </c>
      <c r="O364" s="190">
        <f>H364*160000</f>
        <v/>
      </c>
      <c r="P364" s="190">
        <f>I364*2000+J364*10000+K364*3000</f>
        <v/>
      </c>
      <c r="Q364" s="190">
        <f>D364*Prices!A$2</f>
        <v/>
      </c>
      <c r="R364" s="191">
        <f>L364+M364+N364+O364</f>
        <v/>
      </c>
      <c r="S364" s="190">
        <f>R364+Q364+P364</f>
        <v/>
      </c>
      <c r="T364" s="93" t="n">
        <v>363</v>
      </c>
      <c r="U364" s="26" t="inlineStr">
        <is>
          <t>Sold</t>
        </is>
      </c>
      <c r="V364" s="12" t="n"/>
      <c r="W364" s="12" t="n"/>
      <c r="X364" s="12" t="n"/>
      <c r="Y364" s="12" t="n"/>
      <c r="Z364" s="12" t="n"/>
    </row>
    <row r="365" ht="15" customHeight="1" s="220">
      <c r="A365" s="12" t="n">
        <v>364</v>
      </c>
      <c r="B365" s="93" t="n">
        <v>2.518</v>
      </c>
      <c r="C365" s="93">
        <f>B365*(25/100)</f>
        <v/>
      </c>
      <c r="D365" s="93">
        <f>C365+B365</f>
        <v/>
      </c>
      <c r="E365" s="93" t="n">
        <v>0.4</v>
      </c>
      <c r="F365" s="12" t="n"/>
      <c r="G365" s="12" t="n"/>
      <c r="H365" s="12" t="n"/>
      <c r="I365" s="12" t="n">
        <v>1.26</v>
      </c>
      <c r="J365" s="12" t="n"/>
      <c r="K365" s="12" t="n"/>
      <c r="L365" s="190">
        <f>E365*Prices!B$2</f>
        <v/>
      </c>
      <c r="M365" s="190">
        <f>F365*Prices!C$2</f>
        <v/>
      </c>
      <c r="N365" s="190">
        <f>G365*Prices!D$2</f>
        <v/>
      </c>
      <c r="O365" s="190">
        <f>H365*160000</f>
        <v/>
      </c>
      <c r="P365" s="190">
        <f>I365*4000+J365*10000+K365*3000</f>
        <v/>
      </c>
      <c r="Q365" s="190">
        <f>D365*Prices!A$2</f>
        <v/>
      </c>
      <c r="R365" s="191">
        <f>L365+M365+N365+O365</f>
        <v/>
      </c>
      <c r="S365" s="190">
        <f>R365+Q365+P365</f>
        <v/>
      </c>
      <c r="T365" s="93" t="n">
        <v>364</v>
      </c>
      <c r="U365" s="26" t="inlineStr">
        <is>
          <t>Sold</t>
        </is>
      </c>
      <c r="V365" s="12" t="n"/>
      <c r="W365" s="12" t="n"/>
      <c r="X365" s="12" t="n"/>
      <c r="Y365" s="12" t="n"/>
      <c r="Z365" s="12" t="n"/>
    </row>
    <row r="366" ht="15" customHeight="1" s="220">
      <c r="A366" s="12" t="n"/>
      <c r="B366" s="93" t="n"/>
      <c r="C366" s="93" t="n"/>
      <c r="D366" s="93" t="n"/>
      <c r="E366" s="93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</row>
    <row r="367" ht="15" customHeight="1" s="220">
      <c r="A367" s="12" t="n"/>
      <c r="B367" s="93" t="n"/>
      <c r="C367" s="93" t="n"/>
      <c r="D367" s="93" t="n"/>
      <c r="E367" s="93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</row>
    <row r="368" ht="15" customHeight="1" s="220">
      <c r="A368" s="12" t="n"/>
      <c r="B368" s="93" t="n"/>
      <c r="C368" s="93" t="n"/>
      <c r="D368" s="93" t="n"/>
      <c r="E368" s="93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</row>
    <row r="369" ht="15" customHeight="1" s="220">
      <c r="A369" s="12" t="n"/>
      <c r="B369" s="93" t="n"/>
      <c r="C369" s="93" t="n"/>
      <c r="D369" s="93" t="n"/>
      <c r="E369" s="93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</row>
    <row r="370" ht="15" customHeight="1" s="220">
      <c r="A370" s="12" t="n"/>
      <c r="B370" s="93" t="n"/>
      <c r="C370" s="93" t="n"/>
      <c r="D370" s="93" t="n"/>
      <c r="E370" s="93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</row>
    <row r="371" ht="15" customHeight="1" s="220">
      <c r="A371" s="12" t="n"/>
      <c r="B371" s="93" t="n"/>
      <c r="C371" s="93" t="n"/>
      <c r="D371" s="93" t="n"/>
      <c r="E371" s="93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</row>
    <row r="372" ht="15" customHeight="1" s="220">
      <c r="A372" s="12" t="n"/>
      <c r="B372" s="93" t="n"/>
      <c r="C372" s="93" t="n"/>
      <c r="D372" s="93" t="n"/>
      <c r="E372" s="93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</row>
    <row r="373" ht="15" customHeight="1" s="220">
      <c r="A373" s="12" t="n"/>
      <c r="B373" s="93" t="n"/>
      <c r="C373" s="93" t="n"/>
      <c r="D373" s="93" t="n"/>
      <c r="E373" s="93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</row>
    <row r="374" ht="15" customHeight="1" s="220">
      <c r="A374" s="12" t="n"/>
      <c r="B374" s="93" t="n"/>
      <c r="C374" s="93" t="n"/>
      <c r="D374" s="93" t="n"/>
      <c r="E374" s="93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</row>
    <row r="375" ht="15" customHeight="1" s="220">
      <c r="A375" s="12" t="n"/>
      <c r="B375" s="93" t="n"/>
      <c r="C375" s="93" t="n"/>
      <c r="D375" s="93" t="n"/>
      <c r="E375" s="93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</row>
    <row r="376" ht="15" customHeight="1" s="220">
      <c r="A376" s="12" t="n"/>
      <c r="B376" s="93" t="n"/>
      <c r="C376" s="93" t="n"/>
      <c r="D376" s="93" t="n"/>
      <c r="E376" s="93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</row>
    <row r="377" ht="15" customHeight="1" s="220">
      <c r="A377" s="12" t="n"/>
      <c r="B377" s="93" t="n"/>
      <c r="C377" s="93" t="n"/>
      <c r="D377" s="93" t="n"/>
      <c r="E377" s="93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</row>
    <row r="378" ht="15" customHeight="1" s="220">
      <c r="A378" s="12" t="n"/>
      <c r="B378" s="93" t="n"/>
      <c r="C378" s="93" t="n"/>
      <c r="D378" s="93" t="n"/>
      <c r="E378" s="93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</row>
    <row r="379" ht="15" customHeight="1" s="220">
      <c r="A379" s="12" t="n"/>
      <c r="B379" s="93" t="n"/>
      <c r="C379" s="93" t="n"/>
      <c r="D379" s="93" t="n"/>
      <c r="E379" s="93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</row>
    <row r="380" ht="15" customHeight="1" s="220">
      <c r="A380" s="12" t="n"/>
      <c r="B380" s="93" t="n"/>
      <c r="C380" s="93" t="n"/>
      <c r="D380" s="93" t="n"/>
      <c r="E380" s="93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</row>
    <row r="381" ht="15" customHeight="1" s="220">
      <c r="A381" s="12" t="n"/>
      <c r="B381" s="93" t="n"/>
      <c r="C381" s="93" t="n"/>
      <c r="D381" s="93" t="n"/>
      <c r="E381" s="93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</row>
    <row r="382" ht="15" customHeight="1" s="220">
      <c r="A382" s="12" t="n"/>
      <c r="B382" s="93" t="n"/>
      <c r="C382" s="93" t="n"/>
      <c r="D382" s="93" t="n"/>
      <c r="E382" s="93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</row>
    <row r="383" ht="15" customHeight="1" s="220">
      <c r="A383" s="12" t="n"/>
      <c r="B383" s="93" t="n"/>
      <c r="C383" s="93" t="n"/>
      <c r="D383" s="93" t="n"/>
      <c r="E383" s="93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</row>
    <row r="384" ht="15" customHeight="1" s="220">
      <c r="A384" s="12" t="n"/>
      <c r="B384" s="93" t="n"/>
      <c r="C384" s="93" t="n"/>
      <c r="D384" s="93" t="n"/>
      <c r="E384" s="93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</row>
    <row r="385" ht="15" customHeight="1" s="220">
      <c r="A385" s="12" t="n"/>
      <c r="B385" s="93" t="n"/>
      <c r="C385" s="93" t="n"/>
      <c r="D385" s="93" t="n"/>
      <c r="E385" s="93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</row>
    <row r="386" ht="15" customHeight="1" s="220">
      <c r="A386" s="12" t="n"/>
      <c r="B386" s="93" t="n"/>
      <c r="C386" s="93" t="n"/>
      <c r="D386" s="93" t="n"/>
      <c r="E386" s="93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</row>
    <row r="387" ht="15" customHeight="1" s="220">
      <c r="A387" s="12" t="n"/>
      <c r="B387" s="93" t="n"/>
      <c r="C387" s="93" t="n"/>
      <c r="D387" s="93" t="n"/>
      <c r="E387" s="93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</row>
    <row r="388" ht="15" customHeight="1" s="220">
      <c r="A388" s="12" t="n"/>
      <c r="B388" s="93" t="n"/>
      <c r="C388" s="93" t="n"/>
      <c r="D388" s="93" t="n"/>
      <c r="E388" s="93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</row>
    <row r="389" ht="15" customHeight="1" s="220">
      <c r="A389" s="12" t="n"/>
      <c r="B389" s="93" t="n"/>
      <c r="C389" s="93" t="n"/>
      <c r="D389" s="93" t="n"/>
      <c r="E389" s="93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</row>
    <row r="390" ht="15" customHeight="1" s="220">
      <c r="A390" s="12" t="n"/>
      <c r="B390" s="93" t="n"/>
      <c r="C390" s="93" t="n"/>
      <c r="D390" s="93" t="n"/>
      <c r="E390" s="93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</row>
    <row r="391" ht="15" customHeight="1" s="220">
      <c r="A391" s="12" t="n"/>
      <c r="B391" s="93" t="n"/>
      <c r="C391" s="93" t="n"/>
      <c r="D391" s="93" t="n"/>
      <c r="E391" s="93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</row>
    <row r="392" ht="15" customHeight="1" s="220">
      <c r="A392" s="12" t="n"/>
      <c r="B392" s="93" t="n"/>
      <c r="C392" s="93" t="n"/>
      <c r="D392" s="93" t="n"/>
      <c r="E392" s="93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</row>
    <row r="393" ht="15" customHeight="1" s="220">
      <c r="A393" s="12" t="n"/>
      <c r="B393" s="93" t="n"/>
      <c r="C393" s="93" t="n"/>
      <c r="D393" s="93" t="n"/>
      <c r="E393" s="93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</row>
    <row r="394" ht="15" customHeight="1" s="220">
      <c r="A394" s="12" t="n"/>
      <c r="B394" s="93" t="n"/>
      <c r="C394" s="93" t="n"/>
      <c r="D394" s="93" t="n"/>
      <c r="E394" s="93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</row>
    <row r="395" ht="15" customHeight="1" s="220">
      <c r="A395" s="12" t="n"/>
      <c r="B395" s="93" t="n"/>
      <c r="C395" s="93" t="n"/>
      <c r="D395" s="93" t="n"/>
      <c r="E395" s="93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</row>
    <row r="396" ht="15" customHeight="1" s="220">
      <c r="A396" s="12" t="n"/>
      <c r="B396" s="93" t="n"/>
      <c r="C396" s="93" t="n"/>
      <c r="D396" s="93" t="n"/>
      <c r="E396" s="93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</row>
    <row r="397" ht="15" customHeight="1" s="220">
      <c r="A397" s="12" t="n"/>
      <c r="B397" s="93" t="n"/>
      <c r="C397" s="93" t="n"/>
      <c r="D397" s="93" t="n"/>
      <c r="E397" s="93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</row>
    <row r="398" ht="15" customHeight="1" s="220">
      <c r="A398" s="12" t="n"/>
      <c r="B398" s="93" t="n"/>
      <c r="C398" s="93" t="n"/>
      <c r="D398" s="93" t="n"/>
      <c r="E398" s="93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</row>
    <row r="399" ht="15" customHeight="1" s="220">
      <c r="A399" s="12" t="n"/>
      <c r="B399" s="93" t="n"/>
      <c r="C399" s="93" t="n"/>
      <c r="D399" s="93" t="n"/>
      <c r="E399" s="93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</row>
    <row r="400" ht="15" customHeight="1" s="220">
      <c r="A400" s="12" t="n"/>
      <c r="B400" s="93" t="n"/>
      <c r="C400" s="93" t="n"/>
      <c r="D400" s="93" t="n"/>
      <c r="E400" s="93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</row>
    <row r="401" ht="15" customHeight="1" s="220">
      <c r="A401" s="12" t="n"/>
      <c r="B401" s="93" t="n"/>
      <c r="C401" s="93" t="n"/>
      <c r="D401" s="93" t="n"/>
      <c r="E401" s="93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</row>
    <row r="402" ht="15" customHeight="1" s="220">
      <c r="A402" s="12" t="n"/>
      <c r="B402" s="93" t="n"/>
      <c r="C402" s="93" t="n"/>
      <c r="D402" s="93" t="n"/>
      <c r="E402" s="93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</row>
    <row r="403" ht="15" customHeight="1" s="220">
      <c r="A403" s="12" t="n"/>
      <c r="B403" s="93" t="n"/>
      <c r="C403" s="93" t="n"/>
      <c r="D403" s="93" t="n"/>
      <c r="E403" s="93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</row>
    <row r="404" ht="15" customHeight="1" s="220">
      <c r="A404" s="12" t="n"/>
      <c r="B404" s="93" t="n"/>
      <c r="C404" s="93" t="n"/>
      <c r="D404" s="93" t="n"/>
      <c r="E404" s="93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</row>
    <row r="405" ht="15" customHeight="1" s="220">
      <c r="A405" s="12" t="n"/>
      <c r="B405" s="93" t="n"/>
      <c r="C405" s="93" t="n"/>
      <c r="D405" s="93" t="n"/>
      <c r="E405" s="93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</row>
    <row r="406" ht="15" customHeight="1" s="220">
      <c r="A406" s="12" t="n"/>
      <c r="B406" s="93" t="n"/>
      <c r="C406" s="93" t="n"/>
      <c r="D406" s="93" t="n"/>
      <c r="E406" s="93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</row>
    <row r="407" ht="15" customHeight="1" s="220">
      <c r="A407" s="12" t="n"/>
      <c r="B407" s="93" t="n"/>
      <c r="C407" s="93" t="n"/>
      <c r="D407" s="93" t="n"/>
      <c r="E407" s="93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</row>
    <row r="408" ht="15" customHeight="1" s="220">
      <c r="A408" s="12" t="n"/>
      <c r="B408" s="93" t="n"/>
      <c r="C408" s="93" t="n"/>
      <c r="D408" s="93" t="n"/>
      <c r="E408" s="93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</row>
    <row r="409" ht="15" customHeight="1" s="220">
      <c r="A409" s="12" t="n"/>
      <c r="B409" s="93" t="n"/>
      <c r="C409" s="93" t="n"/>
      <c r="D409" s="93" t="n"/>
      <c r="E409" s="93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</row>
    <row r="410" ht="15" customHeight="1" s="220">
      <c r="A410" s="12" t="n"/>
      <c r="B410" s="93" t="n"/>
      <c r="C410" s="93" t="n"/>
      <c r="D410" s="93" t="n"/>
      <c r="E410" s="93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</row>
    <row r="411" ht="15" customHeight="1" s="220">
      <c r="A411" s="12" t="n"/>
      <c r="B411" s="93" t="n"/>
      <c r="C411" s="93" t="n"/>
      <c r="D411" s="93" t="n"/>
      <c r="E411" s="93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</row>
    <row r="412" ht="15" customHeight="1" s="220">
      <c r="A412" s="12" t="n"/>
      <c r="B412" s="93" t="n"/>
      <c r="C412" s="93" t="n"/>
      <c r="D412" s="93" t="n"/>
      <c r="E412" s="93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</row>
    <row r="413" ht="15" customHeight="1" s="220">
      <c r="A413" s="12" t="n"/>
      <c r="B413" s="93" t="n"/>
      <c r="C413" s="93" t="n"/>
      <c r="D413" s="93" t="n"/>
      <c r="E413" s="93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</row>
    <row r="414" ht="15" customHeight="1" s="220">
      <c r="A414" s="12" t="n"/>
      <c r="B414" s="93" t="n"/>
      <c r="C414" s="93" t="n"/>
      <c r="D414" s="93" t="n"/>
      <c r="E414" s="93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</row>
    <row r="415" ht="15" customHeight="1" s="220">
      <c r="A415" s="12" t="n"/>
      <c r="B415" s="93" t="n"/>
      <c r="C415" s="93" t="n"/>
      <c r="D415" s="93" t="n"/>
      <c r="E415" s="93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</row>
    <row r="416" ht="15" customHeight="1" s="220">
      <c r="A416" s="12" t="n"/>
      <c r="B416" s="93" t="n"/>
      <c r="C416" s="93" t="n"/>
      <c r="D416" s="93" t="n"/>
      <c r="E416" s="93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</row>
    <row r="417" ht="15" customHeight="1" s="220">
      <c r="A417" s="12" t="n"/>
      <c r="B417" s="93" t="n"/>
      <c r="C417" s="93" t="n"/>
      <c r="D417" s="93" t="n"/>
      <c r="E417" s="93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</row>
    <row r="418" ht="15" customHeight="1" s="220">
      <c r="A418" s="12" t="n"/>
      <c r="B418" s="93" t="n"/>
      <c r="C418" s="93" t="n"/>
      <c r="D418" s="93" t="n"/>
      <c r="E418" s="93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</row>
    <row r="419" ht="15" customHeight="1" s="220">
      <c r="A419" s="12" t="n"/>
      <c r="B419" s="93" t="n"/>
      <c r="C419" s="93" t="n"/>
      <c r="D419" s="93" t="n"/>
      <c r="E419" s="93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</row>
    <row r="420" ht="15" customHeight="1" s="220">
      <c r="A420" s="12" t="n"/>
      <c r="B420" s="93" t="n"/>
      <c r="C420" s="93" t="n"/>
      <c r="D420" s="93" t="n"/>
      <c r="E420" s="93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</row>
    <row r="421" ht="15" customHeight="1" s="220">
      <c r="A421" s="12" t="n"/>
      <c r="B421" s="93" t="n"/>
      <c r="C421" s="93" t="n"/>
      <c r="D421" s="93" t="n"/>
      <c r="E421" s="93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</row>
    <row r="422" ht="15" customHeight="1" s="220">
      <c r="A422" s="12" t="n"/>
      <c r="B422" s="93" t="n"/>
      <c r="C422" s="93" t="n"/>
      <c r="D422" s="93" t="n"/>
      <c r="E422" s="93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</row>
    <row r="423" ht="15" customHeight="1" s="220">
      <c r="A423" s="12" t="n"/>
      <c r="B423" s="93" t="n"/>
      <c r="C423" s="93" t="n"/>
      <c r="D423" s="93" t="n"/>
      <c r="E423" s="93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</row>
    <row r="424" ht="15" customHeight="1" s="220">
      <c r="A424" s="12" t="n"/>
      <c r="B424" s="93" t="n"/>
      <c r="C424" s="93" t="n"/>
      <c r="D424" s="93" t="n"/>
      <c r="E424" s="93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</row>
    <row r="425" ht="15" customHeight="1" s="220">
      <c r="A425" s="12" t="n"/>
      <c r="B425" s="93" t="n"/>
      <c r="C425" s="93" t="n"/>
      <c r="D425" s="93" t="n"/>
      <c r="E425" s="93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</row>
    <row r="426" ht="15" customHeight="1" s="220">
      <c r="A426" s="12" t="n"/>
      <c r="B426" s="93" t="n"/>
      <c r="C426" s="93" t="n"/>
      <c r="D426" s="93" t="n"/>
      <c r="E426" s="93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</row>
    <row r="427" ht="15" customHeight="1" s="220">
      <c r="A427" s="12" t="n"/>
      <c r="B427" s="93" t="n"/>
      <c r="C427" s="93" t="n"/>
      <c r="D427" s="93" t="n"/>
      <c r="E427" s="93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</row>
    <row r="428" ht="15" customHeight="1" s="220">
      <c r="A428" s="12" t="n"/>
      <c r="B428" s="93" t="n"/>
      <c r="C428" s="93" t="n"/>
      <c r="D428" s="93" t="n"/>
      <c r="E428" s="93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</row>
    <row r="429" ht="15" customHeight="1" s="220">
      <c r="A429" s="12" t="n"/>
      <c r="B429" s="93" t="n"/>
      <c r="C429" s="93" t="n"/>
      <c r="D429" s="93" t="n"/>
      <c r="E429" s="93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</row>
    <row r="430" ht="15" customHeight="1" s="220">
      <c r="A430" s="12" t="n"/>
      <c r="B430" s="93" t="n"/>
      <c r="C430" s="93" t="n"/>
      <c r="D430" s="93" t="n"/>
      <c r="E430" s="93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</row>
    <row r="431" ht="15" customHeight="1" s="220">
      <c r="A431" s="12" t="n"/>
      <c r="B431" s="93" t="n"/>
      <c r="C431" s="93" t="n"/>
      <c r="D431" s="93" t="n"/>
      <c r="E431" s="93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</row>
    <row r="432" ht="15" customHeight="1" s="220">
      <c r="A432" s="12" t="n"/>
      <c r="B432" s="93" t="n"/>
      <c r="C432" s="93" t="n"/>
      <c r="D432" s="93" t="n"/>
      <c r="E432" s="93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</row>
    <row r="433" ht="15" customHeight="1" s="220">
      <c r="A433" s="12" t="n"/>
      <c r="B433" s="93" t="n"/>
      <c r="C433" s="93" t="n"/>
      <c r="D433" s="93" t="n"/>
      <c r="E433" s="93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</row>
    <row r="434" ht="15" customHeight="1" s="220">
      <c r="A434" s="12" t="n"/>
      <c r="B434" s="93" t="n"/>
      <c r="C434" s="93" t="n"/>
      <c r="D434" s="93" t="n"/>
      <c r="E434" s="93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</row>
    <row r="435" ht="15" customHeight="1" s="220">
      <c r="A435" s="12" t="n"/>
      <c r="B435" s="93" t="n"/>
      <c r="C435" s="93" t="n"/>
      <c r="D435" s="93" t="n"/>
      <c r="E435" s="93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</row>
    <row r="436" ht="15" customHeight="1" s="220">
      <c r="A436" s="12" t="n"/>
      <c r="B436" s="93" t="n"/>
      <c r="C436" s="93" t="n"/>
      <c r="D436" s="93" t="n"/>
      <c r="E436" s="93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</row>
    <row r="437" ht="15" customHeight="1" s="220">
      <c r="A437" s="12" t="n"/>
      <c r="B437" s="93" t="n"/>
      <c r="C437" s="93" t="n"/>
      <c r="D437" s="93" t="n"/>
      <c r="E437" s="93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</row>
    <row r="438" ht="15" customHeight="1" s="220">
      <c r="A438" s="12" t="n"/>
      <c r="B438" s="93" t="n"/>
      <c r="C438" s="93" t="n"/>
      <c r="D438" s="93" t="n"/>
      <c r="E438" s="93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</row>
    <row r="439" ht="15" customHeight="1" s="220">
      <c r="A439" s="12" t="n"/>
      <c r="B439" s="93" t="n"/>
      <c r="C439" s="93" t="n"/>
      <c r="D439" s="93" t="n"/>
      <c r="E439" s="93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</row>
    <row r="440" ht="15" customHeight="1" s="220">
      <c r="A440" s="12" t="n"/>
      <c r="B440" s="93" t="n"/>
      <c r="C440" s="93" t="n"/>
      <c r="D440" s="93" t="n"/>
      <c r="E440" s="93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</row>
    <row r="441" ht="15" customHeight="1" s="220">
      <c r="A441" s="12" t="n"/>
      <c r="B441" s="93" t="n"/>
      <c r="C441" s="93" t="n"/>
      <c r="D441" s="93" t="n"/>
      <c r="E441" s="93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</row>
    <row r="442" ht="15" customHeight="1" s="220">
      <c r="A442" s="12" t="n"/>
      <c r="B442" s="93" t="n"/>
      <c r="C442" s="93" t="n"/>
      <c r="D442" s="93" t="n"/>
      <c r="E442" s="93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</row>
    <row r="443" ht="15" customHeight="1" s="220">
      <c r="A443" s="12" t="n"/>
      <c r="B443" s="93" t="n"/>
      <c r="C443" s="93" t="n"/>
      <c r="D443" s="93" t="n"/>
      <c r="E443" s="93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</row>
    <row r="444" ht="15" customHeight="1" s="220">
      <c r="A444" s="12" t="n"/>
      <c r="B444" s="93" t="n"/>
      <c r="C444" s="93" t="n"/>
      <c r="D444" s="93" t="n"/>
      <c r="E444" s="93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</row>
    <row r="445" ht="15" customHeight="1" s="220">
      <c r="A445" s="12" t="n"/>
      <c r="B445" s="93" t="n"/>
      <c r="C445" s="93" t="n"/>
      <c r="D445" s="93" t="n"/>
      <c r="E445" s="93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</row>
    <row r="446" ht="15" customHeight="1" s="220">
      <c r="A446" s="12" t="n"/>
      <c r="B446" s="93" t="n"/>
      <c r="C446" s="93" t="n"/>
      <c r="D446" s="93" t="n"/>
      <c r="E446" s="93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</row>
    <row r="447" ht="15" customHeight="1" s="220">
      <c r="A447" s="12" t="n"/>
      <c r="B447" s="93" t="n"/>
      <c r="C447" s="93" t="n"/>
      <c r="D447" s="93" t="n"/>
      <c r="E447" s="93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</row>
    <row r="448" ht="15" customHeight="1" s="220">
      <c r="A448" s="12" t="n"/>
      <c r="B448" s="93" t="n"/>
      <c r="C448" s="93" t="n"/>
      <c r="D448" s="93" t="n"/>
      <c r="E448" s="93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</row>
    <row r="449" ht="15" customHeight="1" s="220">
      <c r="A449" s="12" t="n"/>
      <c r="B449" s="93" t="n"/>
      <c r="C449" s="93" t="n"/>
      <c r="D449" s="93" t="n"/>
      <c r="E449" s="93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</row>
    <row r="450" ht="15" customHeight="1" s="220">
      <c r="A450" s="12" t="n"/>
      <c r="B450" s="93" t="n"/>
      <c r="C450" s="93" t="n"/>
      <c r="D450" s="93" t="n"/>
      <c r="E450" s="93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</row>
    <row r="451" ht="15" customHeight="1" s="220">
      <c r="A451" s="12" t="n"/>
      <c r="B451" s="93" t="n"/>
      <c r="C451" s="93" t="n"/>
      <c r="D451" s="93" t="n"/>
      <c r="E451" s="93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</row>
    <row r="452" ht="15" customHeight="1" s="220">
      <c r="A452" s="12" t="n"/>
      <c r="B452" s="93" t="n"/>
      <c r="C452" s="93" t="n"/>
      <c r="D452" s="93" t="n"/>
      <c r="E452" s="93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</row>
    <row r="453" ht="15" customHeight="1" s="220">
      <c r="A453" s="12" t="n"/>
      <c r="B453" s="93" t="n"/>
      <c r="C453" s="93" t="n"/>
      <c r="D453" s="93" t="n"/>
      <c r="E453" s="93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</row>
    <row r="454" ht="15" customHeight="1" s="220">
      <c r="A454" s="12" t="n"/>
      <c r="B454" s="93" t="n"/>
      <c r="C454" s="93" t="n"/>
      <c r="D454" s="93" t="n"/>
      <c r="E454" s="93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</row>
    <row r="455" ht="15" customHeight="1" s="220">
      <c r="A455" s="12" t="n"/>
      <c r="B455" s="93" t="n"/>
      <c r="C455" s="93" t="n"/>
      <c r="D455" s="93" t="n"/>
      <c r="E455" s="93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</row>
    <row r="456" ht="15" customHeight="1" s="220">
      <c r="A456" s="12" t="n"/>
      <c r="B456" s="93" t="n"/>
      <c r="C456" s="93" t="n"/>
      <c r="D456" s="93" t="n"/>
      <c r="E456" s="93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</row>
    <row r="457" ht="15" customHeight="1" s="220">
      <c r="A457" s="12" t="n"/>
      <c r="B457" s="93" t="n"/>
      <c r="C457" s="93" t="n"/>
      <c r="D457" s="93" t="n"/>
      <c r="E457" s="93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</row>
    <row r="458" ht="15" customHeight="1" s="220">
      <c r="A458" s="12" t="n"/>
      <c r="B458" s="93" t="n"/>
      <c r="C458" s="93" t="n"/>
      <c r="D458" s="93" t="n"/>
      <c r="E458" s="93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</row>
    <row r="459" ht="15" customHeight="1" s="220">
      <c r="A459" s="12" t="n"/>
      <c r="B459" s="93" t="n"/>
      <c r="C459" s="93" t="n"/>
      <c r="D459" s="93" t="n"/>
      <c r="E459" s="93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</row>
    <row r="460" ht="15" customHeight="1" s="220">
      <c r="A460" s="12" t="n"/>
      <c r="B460" s="93" t="n"/>
      <c r="C460" s="93" t="n"/>
      <c r="D460" s="93" t="n"/>
      <c r="E460" s="93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</row>
    <row r="461" ht="15" customHeight="1" s="220">
      <c r="A461" s="12" t="n"/>
      <c r="B461" s="93" t="n"/>
      <c r="C461" s="93" t="n"/>
      <c r="D461" s="93" t="n"/>
      <c r="E461" s="93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</row>
    <row r="462" ht="15" customHeight="1" s="220">
      <c r="A462" s="12" t="n"/>
      <c r="B462" s="93" t="n"/>
      <c r="C462" s="93" t="n"/>
      <c r="D462" s="93" t="n"/>
      <c r="E462" s="93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</row>
    <row r="463" ht="15" customHeight="1" s="220">
      <c r="A463" s="12" t="n"/>
      <c r="B463" s="93" t="n"/>
      <c r="C463" s="93" t="n"/>
      <c r="D463" s="93" t="n"/>
      <c r="E463" s="93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</row>
    <row r="464" ht="15" customHeight="1" s="220">
      <c r="A464" s="12" t="n"/>
      <c r="B464" s="93" t="n"/>
      <c r="C464" s="93" t="n"/>
      <c r="D464" s="93" t="n"/>
      <c r="E464" s="93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</row>
    <row r="465" ht="15" customHeight="1" s="220">
      <c r="A465" s="12" t="n"/>
      <c r="B465" s="93" t="n"/>
      <c r="C465" s="93" t="n"/>
      <c r="D465" s="93" t="n"/>
      <c r="E465" s="93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</row>
    <row r="466" ht="15" customHeight="1" s="220">
      <c r="A466" s="12" t="n"/>
      <c r="B466" s="93" t="n"/>
      <c r="C466" s="93" t="n"/>
      <c r="D466" s="93" t="n"/>
      <c r="E466" s="93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</row>
    <row r="467" ht="15" customHeight="1" s="220">
      <c r="A467" s="12" t="n"/>
      <c r="B467" s="93" t="n"/>
      <c r="C467" s="93" t="n"/>
      <c r="D467" s="93" t="n"/>
      <c r="E467" s="93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</row>
    <row r="468" ht="15" customHeight="1" s="220">
      <c r="A468" s="12" t="n"/>
      <c r="B468" s="93" t="n"/>
      <c r="C468" s="93" t="n"/>
      <c r="D468" s="93" t="n"/>
      <c r="E468" s="93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</row>
    <row r="469" ht="15" customHeight="1" s="220">
      <c r="A469" s="12" t="n"/>
      <c r="B469" s="93" t="n"/>
      <c r="C469" s="93" t="n"/>
      <c r="D469" s="93" t="n"/>
      <c r="E469" s="93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</row>
    <row r="470" ht="15" customHeight="1" s="220">
      <c r="A470" s="12" t="n"/>
      <c r="B470" s="93" t="n"/>
      <c r="C470" s="93" t="n"/>
      <c r="D470" s="93" t="n"/>
      <c r="E470" s="93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</row>
    <row r="471" ht="15" customHeight="1" s="220">
      <c r="A471" s="12" t="n"/>
      <c r="B471" s="93" t="n"/>
      <c r="C471" s="93" t="n"/>
      <c r="D471" s="93" t="n"/>
      <c r="E471" s="93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</row>
    <row r="472" ht="15" customHeight="1" s="220">
      <c r="A472" s="12" t="n"/>
      <c r="B472" s="93" t="n"/>
      <c r="C472" s="93" t="n"/>
      <c r="D472" s="93" t="n"/>
      <c r="E472" s="93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</row>
    <row r="473" ht="15" customHeight="1" s="220">
      <c r="A473" s="12" t="n"/>
      <c r="B473" s="93" t="n"/>
      <c r="C473" s="93" t="n"/>
      <c r="D473" s="93" t="n"/>
      <c r="E473" s="93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</row>
    <row r="474" ht="15" customHeight="1" s="220">
      <c r="A474" s="12" t="n"/>
      <c r="B474" s="93" t="n"/>
      <c r="C474" s="93" t="n"/>
      <c r="D474" s="93" t="n"/>
      <c r="E474" s="93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</row>
    <row r="475" ht="15" customHeight="1" s="220">
      <c r="A475" s="12" t="n"/>
      <c r="B475" s="93" t="n"/>
      <c r="C475" s="93" t="n"/>
      <c r="D475" s="93" t="n"/>
      <c r="E475" s="93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</row>
    <row r="476" ht="15" customHeight="1" s="220">
      <c r="A476" s="12" t="n"/>
      <c r="B476" s="93" t="n"/>
      <c r="C476" s="93" t="n"/>
      <c r="D476" s="93" t="n"/>
      <c r="E476" s="93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</row>
    <row r="477" ht="15" customHeight="1" s="220">
      <c r="A477" s="12" t="n"/>
      <c r="B477" s="93" t="n"/>
      <c r="C477" s="93" t="n"/>
      <c r="D477" s="93" t="n"/>
      <c r="E477" s="93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</row>
    <row r="478" ht="15" customHeight="1" s="220">
      <c r="A478" s="12" t="n"/>
      <c r="B478" s="93" t="n"/>
      <c r="C478" s="93" t="n"/>
      <c r="D478" s="93" t="n"/>
      <c r="E478" s="93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</row>
    <row r="479" ht="15" customHeight="1" s="220">
      <c r="A479" s="12" t="n"/>
      <c r="B479" s="93" t="n"/>
      <c r="C479" s="93" t="n"/>
      <c r="D479" s="93" t="n"/>
      <c r="E479" s="93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</row>
    <row r="480" ht="15" customHeight="1" s="220">
      <c r="A480" s="12" t="n"/>
      <c r="B480" s="93" t="n"/>
      <c r="C480" s="93" t="n"/>
      <c r="D480" s="93" t="n"/>
      <c r="E480" s="93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</row>
    <row r="481" ht="15" customHeight="1" s="220">
      <c r="A481" s="12" t="n"/>
      <c r="B481" s="93" t="n"/>
      <c r="C481" s="93" t="n"/>
      <c r="D481" s="93" t="n"/>
      <c r="E481" s="93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</row>
    <row r="482" ht="15" customHeight="1" s="220">
      <c r="A482" s="12" t="n"/>
      <c r="B482" s="93" t="n"/>
      <c r="C482" s="93" t="n"/>
      <c r="D482" s="93" t="n"/>
      <c r="E482" s="93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</row>
    <row r="483" ht="15" customHeight="1" s="220">
      <c r="A483" s="12" t="n"/>
      <c r="B483" s="93" t="n"/>
      <c r="C483" s="93" t="n"/>
      <c r="D483" s="93" t="n"/>
      <c r="E483" s="93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</row>
    <row r="484" ht="15" customHeight="1" s="220">
      <c r="A484" s="12" t="n"/>
      <c r="B484" s="93" t="n"/>
      <c r="C484" s="93" t="n"/>
      <c r="D484" s="93" t="n"/>
      <c r="E484" s="93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</row>
    <row r="485" ht="15" customHeight="1" s="220">
      <c r="A485" s="12" t="n"/>
      <c r="B485" s="93" t="n"/>
      <c r="C485" s="93" t="n"/>
      <c r="D485" s="93" t="n"/>
      <c r="E485" s="93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</row>
    <row r="486" ht="15" customHeight="1" s="220">
      <c r="A486" s="12" t="n"/>
      <c r="B486" s="93" t="n"/>
      <c r="C486" s="93" t="n"/>
      <c r="D486" s="93" t="n"/>
      <c r="E486" s="93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</row>
    <row r="487" ht="15" customHeight="1" s="220">
      <c r="A487" s="12" t="n"/>
      <c r="B487" s="93" t="n"/>
      <c r="C487" s="93" t="n"/>
      <c r="D487" s="93" t="n"/>
      <c r="E487" s="93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</row>
    <row r="488" ht="15" customHeight="1" s="220">
      <c r="A488" s="12" t="n"/>
      <c r="B488" s="93" t="n"/>
      <c r="C488" s="93" t="n"/>
      <c r="D488" s="93" t="n"/>
      <c r="E488" s="93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</row>
    <row r="489" ht="15" customHeight="1" s="220">
      <c r="A489" s="12" t="n"/>
      <c r="B489" s="93" t="n"/>
      <c r="C489" s="93" t="n"/>
      <c r="D489" s="93" t="n"/>
      <c r="E489" s="93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</row>
    <row r="490" ht="15" customHeight="1" s="220">
      <c r="A490" s="12" t="n"/>
      <c r="B490" s="93" t="n"/>
      <c r="C490" s="93" t="n"/>
      <c r="D490" s="93" t="n"/>
      <c r="E490" s="93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</row>
    <row r="491" ht="15" customHeight="1" s="220">
      <c r="A491" s="12" t="n"/>
      <c r="B491" s="93" t="n"/>
      <c r="C491" s="93" t="n"/>
      <c r="D491" s="93" t="n"/>
      <c r="E491" s="93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</row>
    <row r="492" ht="15" customHeight="1" s="220">
      <c r="A492" s="12" t="n"/>
      <c r="B492" s="93" t="n"/>
      <c r="C492" s="93" t="n"/>
      <c r="D492" s="93" t="n"/>
      <c r="E492" s="93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</row>
    <row r="493" ht="15" customHeight="1" s="220">
      <c r="A493" s="12" t="n"/>
      <c r="B493" s="93" t="n"/>
      <c r="C493" s="93" t="n"/>
      <c r="D493" s="93" t="n"/>
      <c r="E493" s="93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</row>
    <row r="494" ht="15" customHeight="1" s="220">
      <c r="A494" s="12" t="n"/>
      <c r="B494" s="93" t="n"/>
      <c r="C494" s="93" t="n"/>
      <c r="D494" s="93" t="n"/>
      <c r="E494" s="93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</row>
    <row r="495" ht="15" customHeight="1" s="220">
      <c r="A495" s="12" t="n"/>
      <c r="B495" s="93" t="n"/>
      <c r="C495" s="93" t="n"/>
      <c r="D495" s="93" t="n"/>
      <c r="E495" s="93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</row>
    <row r="496" ht="15" customHeight="1" s="220">
      <c r="A496" s="12" t="n"/>
      <c r="B496" s="93" t="n"/>
      <c r="C496" s="93" t="n"/>
      <c r="D496" s="93" t="n"/>
      <c r="E496" s="93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</row>
    <row r="497" ht="15" customHeight="1" s="220">
      <c r="A497" s="12" t="n"/>
      <c r="B497" s="93" t="n"/>
      <c r="C497" s="93" t="n"/>
      <c r="D497" s="93" t="n"/>
      <c r="E497" s="93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</row>
    <row r="498" ht="15" customHeight="1" s="220">
      <c r="A498" s="12" t="n"/>
      <c r="B498" s="93" t="n"/>
      <c r="C498" s="93" t="n"/>
      <c r="D498" s="93" t="n"/>
      <c r="E498" s="93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</row>
    <row r="499" ht="15" customHeight="1" s="220">
      <c r="A499" s="12" t="n"/>
      <c r="B499" s="93" t="n"/>
      <c r="C499" s="93" t="n"/>
      <c r="D499" s="93" t="n"/>
      <c r="E499" s="93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</row>
    <row r="500" ht="15" customHeight="1" s="220">
      <c r="A500" s="12" t="n"/>
      <c r="B500" s="93" t="n"/>
      <c r="C500" s="93" t="n"/>
      <c r="D500" s="93" t="n"/>
      <c r="E500" s="93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</row>
    <row r="501" ht="15" customHeight="1" s="220">
      <c r="A501" s="12" t="n"/>
      <c r="B501" s="93" t="n"/>
      <c r="C501" s="93" t="n"/>
      <c r="D501" s="93" t="n"/>
      <c r="E501" s="93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</row>
    <row r="502" ht="15" customHeight="1" s="220">
      <c r="A502" s="12" t="n"/>
      <c r="B502" s="93" t="n"/>
      <c r="C502" s="93" t="n"/>
      <c r="D502" s="93" t="n"/>
      <c r="E502" s="93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</row>
    <row r="503" ht="15" customHeight="1" s="220">
      <c r="A503" s="12" t="n"/>
      <c r="B503" s="93" t="n"/>
      <c r="C503" s="93" t="n"/>
      <c r="D503" s="93" t="n"/>
      <c r="E503" s="93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</row>
    <row r="504" ht="15" customHeight="1" s="220">
      <c r="A504" s="12" t="n"/>
      <c r="B504" s="93" t="n"/>
      <c r="C504" s="93" t="n"/>
      <c r="D504" s="93" t="n"/>
      <c r="E504" s="93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</row>
    <row r="505" ht="15" customHeight="1" s="220">
      <c r="A505" s="12" t="n"/>
      <c r="B505" s="93" t="n"/>
      <c r="C505" s="93" t="n"/>
      <c r="D505" s="93" t="n"/>
      <c r="E505" s="93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</row>
    <row r="506" ht="15" customHeight="1" s="220">
      <c r="A506" s="12" t="n"/>
      <c r="B506" s="93" t="n"/>
      <c r="C506" s="93" t="n"/>
      <c r="D506" s="93" t="n"/>
      <c r="E506" s="93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</row>
    <row r="507" ht="15" customHeight="1" s="220">
      <c r="A507" s="12" t="n"/>
      <c r="B507" s="93" t="n"/>
      <c r="C507" s="93" t="n"/>
      <c r="D507" s="93" t="n"/>
      <c r="E507" s="93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</row>
    <row r="508" ht="15" customHeight="1" s="220">
      <c r="A508" s="12" t="n"/>
      <c r="B508" s="93" t="n"/>
      <c r="C508" s="93" t="n"/>
      <c r="D508" s="93" t="n"/>
      <c r="E508" s="93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</row>
    <row r="509" ht="15" customHeight="1" s="220">
      <c r="A509" s="12" t="n"/>
      <c r="B509" s="93" t="n"/>
      <c r="C509" s="93" t="n"/>
      <c r="D509" s="93" t="n"/>
      <c r="E509" s="93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</row>
    <row r="510" ht="15" customHeight="1" s="220">
      <c r="A510" s="12" t="n"/>
      <c r="B510" s="93" t="n"/>
      <c r="C510" s="93" t="n"/>
      <c r="D510" s="93" t="n"/>
      <c r="E510" s="93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</row>
    <row r="511" ht="15" customHeight="1" s="220">
      <c r="A511" s="12" t="n"/>
      <c r="B511" s="93" t="n"/>
      <c r="C511" s="93" t="n"/>
      <c r="D511" s="93" t="n"/>
      <c r="E511" s="93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</row>
    <row r="512" ht="15" customHeight="1" s="220">
      <c r="A512" s="12" t="n"/>
      <c r="B512" s="93" t="n"/>
      <c r="C512" s="93" t="n"/>
      <c r="D512" s="93" t="n"/>
      <c r="E512" s="93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</row>
    <row r="513" ht="15" customHeight="1" s="220">
      <c r="A513" s="12" t="n"/>
      <c r="B513" s="93" t="n"/>
      <c r="C513" s="93" t="n"/>
      <c r="D513" s="93" t="n"/>
      <c r="E513" s="93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</row>
    <row r="514" ht="15" customHeight="1" s="220">
      <c r="A514" s="12" t="n"/>
      <c r="B514" s="93" t="n"/>
      <c r="C514" s="93" t="n"/>
      <c r="D514" s="93" t="n"/>
      <c r="E514" s="93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</row>
    <row r="515" ht="15" customHeight="1" s="220">
      <c r="A515" s="12" t="n"/>
      <c r="B515" s="93" t="n"/>
      <c r="C515" s="93" t="n"/>
      <c r="D515" s="93" t="n"/>
      <c r="E515" s="93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</row>
    <row r="516" ht="15" customHeight="1" s="220">
      <c r="A516" s="12" t="n"/>
      <c r="B516" s="93" t="n"/>
      <c r="C516" s="93" t="n"/>
      <c r="D516" s="93" t="n"/>
      <c r="E516" s="93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</row>
    <row r="517" ht="15" customHeight="1" s="220">
      <c r="A517" s="12" t="n"/>
      <c r="B517" s="93" t="n"/>
      <c r="C517" s="93" t="n"/>
      <c r="D517" s="93" t="n"/>
      <c r="E517" s="93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</row>
    <row r="518" ht="15" customHeight="1" s="220">
      <c r="A518" s="12" t="n"/>
      <c r="B518" s="93" t="n"/>
      <c r="C518" s="93" t="n"/>
      <c r="D518" s="93" t="n"/>
      <c r="E518" s="93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</row>
    <row r="519" ht="15" customHeight="1" s="220">
      <c r="A519" s="12" t="n"/>
      <c r="B519" s="93" t="n"/>
      <c r="C519" s="93" t="n"/>
      <c r="D519" s="93" t="n"/>
      <c r="E519" s="93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</row>
    <row r="520" ht="15" customHeight="1" s="220">
      <c r="A520" s="12" t="n"/>
      <c r="B520" s="93" t="n"/>
      <c r="C520" s="93" t="n"/>
      <c r="D520" s="93" t="n"/>
      <c r="E520" s="93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</row>
    <row r="521" ht="15" customHeight="1" s="220">
      <c r="A521" s="12" t="n"/>
      <c r="B521" s="93" t="n"/>
      <c r="C521" s="93" t="n"/>
      <c r="D521" s="93" t="n"/>
      <c r="E521" s="93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</row>
    <row r="522" ht="15" customHeight="1" s="220">
      <c r="A522" s="12" t="n"/>
      <c r="B522" s="93" t="n"/>
      <c r="C522" s="93" t="n"/>
      <c r="D522" s="93" t="n"/>
      <c r="E522" s="93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</row>
    <row r="523" ht="15" customHeight="1" s="220">
      <c r="A523" s="12" t="n"/>
      <c r="B523" s="93" t="n"/>
      <c r="C523" s="93" t="n"/>
      <c r="D523" s="93" t="n"/>
      <c r="E523" s="93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</row>
    <row r="524" ht="15" customHeight="1" s="220">
      <c r="A524" s="12" t="n"/>
      <c r="B524" s="93" t="n"/>
      <c r="C524" s="93" t="n"/>
      <c r="D524" s="93" t="n"/>
      <c r="E524" s="93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</row>
    <row r="525" ht="15" customHeight="1" s="220">
      <c r="A525" s="12" t="n"/>
      <c r="B525" s="93" t="n"/>
      <c r="C525" s="93" t="n"/>
      <c r="D525" s="93" t="n"/>
      <c r="E525" s="93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</row>
    <row r="526" ht="15" customHeight="1" s="220">
      <c r="A526" s="12" t="n"/>
      <c r="B526" s="93" t="n"/>
      <c r="C526" s="93" t="n"/>
      <c r="D526" s="93" t="n"/>
      <c r="E526" s="93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</row>
    <row r="527" ht="15" customHeight="1" s="220">
      <c r="A527" s="12" t="n"/>
      <c r="B527" s="93" t="n"/>
      <c r="C527" s="93" t="n"/>
      <c r="D527" s="93" t="n"/>
      <c r="E527" s="93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</row>
    <row r="528" ht="15" customHeight="1" s="220">
      <c r="A528" s="12" t="n"/>
      <c r="B528" s="93" t="n"/>
      <c r="C528" s="93" t="n"/>
      <c r="D528" s="93" t="n"/>
      <c r="E528" s="93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</row>
    <row r="529" ht="15" customHeight="1" s="220">
      <c r="A529" s="12" t="n"/>
      <c r="B529" s="93" t="n"/>
      <c r="C529" s="93" t="n"/>
      <c r="D529" s="93" t="n"/>
      <c r="E529" s="93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</row>
    <row r="530" ht="15" customHeight="1" s="220">
      <c r="A530" s="12" t="n"/>
      <c r="B530" s="93" t="n"/>
      <c r="C530" s="93" t="n"/>
      <c r="D530" s="93" t="n"/>
      <c r="E530" s="93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</row>
    <row r="531" ht="15" customHeight="1" s="220">
      <c r="A531" s="12" t="n"/>
      <c r="B531" s="93" t="n"/>
      <c r="C531" s="93" t="n"/>
      <c r="D531" s="93" t="n"/>
      <c r="E531" s="93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</row>
    <row r="532" ht="15" customHeight="1" s="220">
      <c r="A532" s="12" t="n"/>
      <c r="B532" s="93" t="n"/>
      <c r="C532" s="93" t="n"/>
      <c r="D532" s="93" t="n"/>
      <c r="E532" s="93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</row>
    <row r="533" ht="15" customHeight="1" s="220">
      <c r="A533" s="12" t="n"/>
      <c r="B533" s="93" t="n"/>
      <c r="C533" s="93" t="n"/>
      <c r="D533" s="93" t="n"/>
      <c r="E533" s="93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</row>
    <row r="534" ht="15" customHeight="1" s="220">
      <c r="A534" s="12" t="n"/>
      <c r="B534" s="93" t="n"/>
      <c r="C534" s="93" t="n"/>
      <c r="D534" s="93" t="n"/>
      <c r="E534" s="93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</row>
    <row r="535" ht="15" customHeight="1" s="220">
      <c r="A535" s="12" t="n"/>
      <c r="B535" s="93" t="n"/>
      <c r="C535" s="93" t="n"/>
      <c r="D535" s="93" t="n"/>
      <c r="E535" s="93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</row>
    <row r="536" ht="15" customHeight="1" s="220">
      <c r="A536" s="12" t="n"/>
      <c r="B536" s="93" t="n"/>
      <c r="C536" s="93" t="n"/>
      <c r="D536" s="93" t="n"/>
      <c r="E536" s="93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</row>
    <row r="537" ht="15" customHeight="1" s="220">
      <c r="A537" s="12" t="n"/>
      <c r="B537" s="93" t="n"/>
      <c r="C537" s="93" t="n"/>
      <c r="D537" s="93" t="n"/>
      <c r="E537" s="93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</row>
    <row r="538" ht="15" customHeight="1" s="220">
      <c r="A538" s="12" t="n"/>
      <c r="B538" s="93" t="n"/>
      <c r="C538" s="93" t="n"/>
      <c r="D538" s="93" t="n"/>
      <c r="E538" s="93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</row>
    <row r="539" ht="15" customHeight="1" s="220">
      <c r="A539" s="12" t="n"/>
      <c r="B539" s="93" t="n"/>
      <c r="C539" s="93" t="n"/>
      <c r="D539" s="93" t="n"/>
      <c r="E539" s="93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</row>
    <row r="540" ht="15" customHeight="1" s="220">
      <c r="A540" s="12" t="n"/>
      <c r="B540" s="93" t="n"/>
      <c r="C540" s="93" t="n"/>
      <c r="D540" s="93" t="n"/>
      <c r="E540" s="93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</row>
    <row r="541" ht="15" customHeight="1" s="220">
      <c r="A541" s="12" t="n"/>
      <c r="B541" s="93" t="n"/>
      <c r="C541" s="93" t="n"/>
      <c r="D541" s="93" t="n"/>
      <c r="E541" s="93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</row>
    <row r="542" ht="15" customHeight="1" s="220">
      <c r="A542" s="12" t="n"/>
      <c r="B542" s="93" t="n"/>
      <c r="C542" s="93" t="n"/>
      <c r="D542" s="93" t="n"/>
      <c r="E542" s="93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</row>
    <row r="543" ht="15" customHeight="1" s="220">
      <c r="A543" s="12" t="n"/>
      <c r="B543" s="93" t="n"/>
      <c r="C543" s="93" t="n"/>
      <c r="D543" s="93" t="n"/>
      <c r="E543" s="93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</row>
    <row r="544" ht="15" customHeight="1" s="220">
      <c r="A544" s="12" t="n"/>
      <c r="B544" s="93" t="n"/>
      <c r="C544" s="93" t="n"/>
      <c r="D544" s="93" t="n"/>
      <c r="E544" s="93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</row>
    <row r="545" ht="15" customHeight="1" s="220">
      <c r="A545" s="12" t="n"/>
      <c r="B545" s="93" t="n"/>
      <c r="C545" s="93" t="n"/>
      <c r="D545" s="93" t="n"/>
      <c r="E545" s="93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</row>
    <row r="546" ht="15" customHeight="1" s="220">
      <c r="A546" s="12" t="n"/>
      <c r="B546" s="93" t="n"/>
      <c r="C546" s="93" t="n"/>
      <c r="D546" s="93" t="n"/>
      <c r="E546" s="93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</row>
    <row r="547" ht="15" customHeight="1" s="220">
      <c r="A547" s="12" t="n"/>
      <c r="B547" s="93" t="n"/>
      <c r="C547" s="93" t="n"/>
      <c r="D547" s="93" t="n"/>
      <c r="E547" s="93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</row>
    <row r="548" ht="15" customHeight="1" s="220">
      <c r="A548" s="12" t="n"/>
      <c r="B548" s="93" t="n"/>
      <c r="C548" s="93" t="n"/>
      <c r="D548" s="93" t="n"/>
      <c r="E548" s="93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</row>
    <row r="549" ht="15" customHeight="1" s="220">
      <c r="A549" s="12" t="n"/>
      <c r="B549" s="93" t="n"/>
      <c r="C549" s="93" t="n"/>
      <c r="D549" s="93" t="n"/>
      <c r="E549" s="93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</row>
    <row r="550" ht="15" customHeight="1" s="220">
      <c r="A550" s="12" t="n"/>
      <c r="B550" s="93" t="n"/>
      <c r="C550" s="93" t="n"/>
      <c r="D550" s="93" t="n"/>
      <c r="E550" s="93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</row>
    <row r="551" ht="15" customHeight="1" s="220">
      <c r="A551" s="12" t="n"/>
      <c r="B551" s="93" t="n"/>
      <c r="C551" s="93" t="n"/>
      <c r="D551" s="93" t="n"/>
      <c r="E551" s="93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</row>
    <row r="552" ht="15" customHeight="1" s="220">
      <c r="A552" s="12" t="n"/>
      <c r="B552" s="93" t="n"/>
      <c r="C552" s="93" t="n"/>
      <c r="D552" s="93" t="n"/>
      <c r="E552" s="93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</row>
    <row r="553" ht="15" customHeight="1" s="220">
      <c r="A553" s="12" t="n"/>
      <c r="B553" s="93" t="n"/>
      <c r="C553" s="93" t="n"/>
      <c r="D553" s="93" t="n"/>
      <c r="E553" s="93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</row>
    <row r="554" ht="15" customHeight="1" s="220">
      <c r="A554" s="12" t="n"/>
      <c r="B554" s="93" t="n"/>
      <c r="C554" s="93" t="n"/>
      <c r="D554" s="93" t="n"/>
      <c r="E554" s="93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</row>
    <row r="555" ht="15" customHeight="1" s="220">
      <c r="A555" s="12" t="n"/>
      <c r="B555" s="93" t="n"/>
      <c r="C555" s="93" t="n"/>
      <c r="D555" s="93" t="n"/>
      <c r="E555" s="93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</row>
    <row r="556" ht="15" customHeight="1" s="220">
      <c r="A556" s="12" t="n"/>
      <c r="B556" s="93" t="n"/>
      <c r="C556" s="93" t="n"/>
      <c r="D556" s="93" t="n"/>
      <c r="E556" s="93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</row>
    <row r="557" ht="15" customHeight="1" s="220">
      <c r="A557" s="12" t="n"/>
      <c r="B557" s="93" t="n"/>
      <c r="C557" s="93" t="n"/>
      <c r="D557" s="93" t="n"/>
      <c r="E557" s="93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</row>
    <row r="558" ht="15" customHeight="1" s="220">
      <c r="A558" s="12" t="n"/>
      <c r="B558" s="93" t="n"/>
      <c r="C558" s="93" t="n"/>
      <c r="D558" s="93" t="n"/>
      <c r="E558" s="93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</row>
    <row r="559" ht="15" customHeight="1" s="220">
      <c r="A559" s="12" t="n"/>
      <c r="B559" s="93" t="n"/>
      <c r="C559" s="93" t="n"/>
      <c r="D559" s="93" t="n"/>
      <c r="E559" s="93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</row>
    <row r="560" ht="15" customHeight="1" s="220">
      <c r="A560" s="12" t="n"/>
      <c r="B560" s="93" t="n"/>
      <c r="C560" s="93" t="n"/>
      <c r="D560" s="93" t="n"/>
      <c r="E560" s="93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</row>
    <row r="561" ht="15" customHeight="1" s="220">
      <c r="A561" s="12" t="n"/>
      <c r="B561" s="93" t="n"/>
      <c r="C561" s="93" t="n"/>
      <c r="D561" s="93" t="n"/>
      <c r="E561" s="93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</row>
    <row r="562" ht="15" customHeight="1" s="220">
      <c r="A562" s="12" t="n"/>
      <c r="B562" s="93" t="n"/>
      <c r="C562" s="93" t="n"/>
      <c r="D562" s="93" t="n"/>
      <c r="E562" s="93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</row>
    <row r="563" ht="15" customHeight="1" s="220">
      <c r="A563" s="12" t="n"/>
      <c r="B563" s="93" t="n"/>
      <c r="C563" s="93" t="n"/>
      <c r="D563" s="93" t="n"/>
      <c r="E563" s="93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</row>
    <row r="564" ht="15" customHeight="1" s="220">
      <c r="A564" s="12" t="n"/>
      <c r="B564" s="93" t="n"/>
      <c r="C564" s="93" t="n"/>
      <c r="D564" s="93" t="n"/>
      <c r="E564" s="93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</row>
    <row r="565" ht="15" customHeight="1" s="220">
      <c r="A565" s="12" t="n"/>
      <c r="B565" s="93" t="n"/>
      <c r="C565" s="93" t="n"/>
      <c r="D565" s="93" t="n"/>
      <c r="E565" s="93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</row>
    <row r="566" ht="15" customHeight="1" s="220">
      <c r="A566" s="12" t="n"/>
      <c r="B566" s="93" t="n"/>
      <c r="C566" s="93" t="n"/>
      <c r="D566" s="93" t="n"/>
      <c r="E566" s="93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</row>
    <row r="567" ht="15" customHeight="1" s="220">
      <c r="A567" s="12" t="n"/>
      <c r="B567" s="93" t="n"/>
      <c r="C567" s="93" t="n"/>
      <c r="D567" s="93" t="n"/>
      <c r="E567" s="93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</row>
    <row r="568" ht="15" customHeight="1" s="220">
      <c r="A568" s="12" t="n"/>
      <c r="B568" s="93" t="n"/>
      <c r="C568" s="93" t="n"/>
      <c r="D568" s="93" t="n"/>
      <c r="E568" s="93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</row>
    <row r="569" ht="15" customHeight="1" s="220">
      <c r="A569" s="12" t="n"/>
      <c r="B569" s="93" t="n"/>
      <c r="C569" s="93" t="n"/>
      <c r="D569" s="93" t="n"/>
      <c r="E569" s="93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</row>
    <row r="570" ht="15" customHeight="1" s="220">
      <c r="A570" s="12" t="n"/>
      <c r="B570" s="93" t="n"/>
      <c r="C570" s="93" t="n"/>
      <c r="D570" s="93" t="n"/>
      <c r="E570" s="93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</row>
    <row r="571" ht="15" customHeight="1" s="220">
      <c r="A571" s="12" t="n"/>
      <c r="B571" s="93" t="n"/>
      <c r="C571" s="93" t="n"/>
      <c r="D571" s="93" t="n"/>
      <c r="E571" s="93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</row>
    <row r="572" ht="15" customHeight="1" s="220">
      <c r="A572" s="12" t="n"/>
      <c r="B572" s="93" t="n"/>
      <c r="C572" s="93" t="n"/>
      <c r="D572" s="93" t="n"/>
      <c r="E572" s="93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</row>
    <row r="573" ht="15" customHeight="1" s="220">
      <c r="A573" s="12" t="n"/>
      <c r="B573" s="93" t="n"/>
      <c r="C573" s="93" t="n"/>
      <c r="D573" s="93" t="n"/>
      <c r="E573" s="93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</row>
    <row r="574" ht="15" customHeight="1" s="220">
      <c r="A574" s="12" t="n"/>
      <c r="B574" s="93" t="n"/>
      <c r="C574" s="93" t="n"/>
      <c r="D574" s="93" t="n"/>
      <c r="E574" s="93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</row>
    <row r="575" ht="15" customHeight="1" s="220">
      <c r="A575" s="12" t="n"/>
      <c r="B575" s="93" t="n"/>
      <c r="C575" s="93" t="n"/>
      <c r="D575" s="93" t="n"/>
      <c r="E575" s="93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</row>
    <row r="576" ht="15" customHeight="1" s="220">
      <c r="A576" s="12" t="n"/>
      <c r="B576" s="93" t="n"/>
      <c r="C576" s="93" t="n"/>
      <c r="D576" s="93" t="n"/>
      <c r="E576" s="93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</row>
    <row r="577" ht="15" customHeight="1" s="220">
      <c r="A577" s="12" t="n"/>
      <c r="B577" s="93" t="n"/>
      <c r="C577" s="93" t="n"/>
      <c r="D577" s="93" t="n"/>
      <c r="E577" s="93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</row>
    <row r="578" ht="15" customHeight="1" s="220">
      <c r="A578" s="12" t="n"/>
      <c r="B578" s="93" t="n"/>
      <c r="C578" s="93" t="n"/>
      <c r="D578" s="93" t="n"/>
      <c r="E578" s="93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</row>
    <row r="579" ht="15" customHeight="1" s="220">
      <c r="A579" s="12" t="n"/>
      <c r="B579" s="93" t="n"/>
      <c r="C579" s="93" t="n"/>
      <c r="D579" s="93" t="n"/>
      <c r="E579" s="93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</row>
    <row r="580" ht="15" customHeight="1" s="220">
      <c r="A580" s="12" t="n"/>
      <c r="B580" s="93" t="n"/>
      <c r="C580" s="93" t="n"/>
      <c r="D580" s="93" t="n"/>
      <c r="E580" s="93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</row>
    <row r="581" ht="15" customHeight="1" s="220">
      <c r="A581" s="12" t="n"/>
      <c r="B581" s="93" t="n"/>
      <c r="C581" s="93" t="n"/>
      <c r="D581" s="93" t="n"/>
      <c r="E581" s="93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</row>
    <row r="582" ht="15" customHeight="1" s="220">
      <c r="A582" s="12" t="n"/>
      <c r="B582" s="93" t="n"/>
      <c r="C582" s="93" t="n"/>
      <c r="D582" s="93" t="n"/>
      <c r="E582" s="93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</row>
    <row r="583" ht="15" customHeight="1" s="220">
      <c r="A583" s="12" t="n"/>
      <c r="B583" s="93" t="n"/>
      <c r="C583" s="93" t="n"/>
      <c r="D583" s="93" t="n"/>
      <c r="E583" s="93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</row>
    <row r="584" ht="15" customHeight="1" s="220">
      <c r="A584" s="12" t="n"/>
      <c r="B584" s="93" t="n"/>
      <c r="C584" s="93" t="n"/>
      <c r="D584" s="93" t="n"/>
      <c r="E584" s="93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</row>
    <row r="585" ht="15" customHeight="1" s="220">
      <c r="A585" s="12" t="n"/>
      <c r="B585" s="93" t="n"/>
      <c r="C585" s="93" t="n"/>
      <c r="D585" s="93" t="n"/>
      <c r="E585" s="93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</row>
    <row r="586" ht="15" customHeight="1" s="220">
      <c r="A586" s="12" t="n"/>
      <c r="B586" s="93" t="n"/>
      <c r="C586" s="93" t="n"/>
      <c r="D586" s="93" t="n"/>
      <c r="E586" s="93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</row>
    <row r="587" ht="15" customHeight="1" s="220">
      <c r="A587" s="12" t="n"/>
      <c r="B587" s="93" t="n"/>
      <c r="C587" s="93" t="n"/>
      <c r="D587" s="93" t="n"/>
      <c r="E587" s="93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</row>
    <row r="588" ht="15" customHeight="1" s="220">
      <c r="A588" s="12" t="n"/>
      <c r="B588" s="93" t="n"/>
      <c r="C588" s="93" t="n"/>
      <c r="D588" s="93" t="n"/>
      <c r="E588" s="93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</row>
    <row r="589" ht="15" customHeight="1" s="220">
      <c r="A589" s="12" t="n"/>
      <c r="B589" s="93" t="n"/>
      <c r="C589" s="93" t="n"/>
      <c r="D589" s="93" t="n"/>
      <c r="E589" s="93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</row>
    <row r="590" ht="15" customHeight="1" s="220">
      <c r="A590" s="12" t="n"/>
      <c r="B590" s="93" t="n"/>
      <c r="C590" s="93" t="n"/>
      <c r="D590" s="93" t="n"/>
      <c r="E590" s="93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</row>
    <row r="591" ht="15" customHeight="1" s="220">
      <c r="A591" s="12" t="n"/>
      <c r="B591" s="93" t="n"/>
      <c r="C591" s="93" t="n"/>
      <c r="D591" s="93" t="n"/>
      <c r="E591" s="93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</row>
    <row r="592" ht="15" customHeight="1" s="220">
      <c r="A592" s="12" t="n"/>
      <c r="B592" s="93" t="n"/>
      <c r="C592" s="93" t="n"/>
      <c r="D592" s="93" t="n"/>
      <c r="E592" s="93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</row>
    <row r="593" ht="15" customHeight="1" s="220">
      <c r="A593" s="12" t="n"/>
      <c r="B593" s="93" t="n"/>
      <c r="C593" s="93" t="n"/>
      <c r="D593" s="93" t="n"/>
      <c r="E593" s="93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</row>
    <row r="594" ht="15" customHeight="1" s="220">
      <c r="A594" s="12" t="n"/>
      <c r="B594" s="93" t="n"/>
      <c r="C594" s="93" t="n"/>
      <c r="D594" s="93" t="n"/>
      <c r="E594" s="93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</row>
    <row r="595" ht="15" customHeight="1" s="220">
      <c r="A595" s="12" t="n"/>
      <c r="B595" s="93" t="n"/>
      <c r="C595" s="93" t="n"/>
      <c r="D595" s="93" t="n"/>
      <c r="E595" s="93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</row>
    <row r="596" ht="15" customHeight="1" s="220">
      <c r="A596" s="12" t="n"/>
      <c r="B596" s="93" t="n"/>
      <c r="C596" s="93" t="n"/>
      <c r="D596" s="93" t="n"/>
      <c r="E596" s="93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</row>
    <row r="597" ht="15" customHeight="1" s="220">
      <c r="A597" s="12" t="n"/>
      <c r="B597" s="93" t="n"/>
      <c r="C597" s="93" t="n"/>
      <c r="D597" s="93" t="n"/>
      <c r="E597" s="93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</row>
    <row r="598" ht="15" customHeight="1" s="220">
      <c r="A598" s="12" t="n"/>
      <c r="B598" s="93" t="n"/>
      <c r="C598" s="93" t="n"/>
      <c r="D598" s="93" t="n"/>
      <c r="E598" s="93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</row>
    <row r="599" ht="15" customHeight="1" s="220">
      <c r="A599" s="12" t="n"/>
      <c r="B599" s="93" t="n"/>
      <c r="C599" s="93" t="n"/>
      <c r="D599" s="93" t="n"/>
      <c r="E599" s="93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</row>
    <row r="600" ht="15" customHeight="1" s="220">
      <c r="A600" s="12" t="n"/>
      <c r="B600" s="93" t="n"/>
      <c r="C600" s="93" t="n"/>
      <c r="D600" s="93" t="n"/>
      <c r="E600" s="93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</row>
    <row r="601" ht="15" customHeight="1" s="220">
      <c r="A601" s="12" t="n"/>
      <c r="B601" s="93" t="n"/>
      <c r="C601" s="93" t="n"/>
      <c r="D601" s="93" t="n"/>
      <c r="E601" s="93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</row>
    <row r="602" ht="15" customHeight="1" s="220">
      <c r="A602" s="12" t="n"/>
      <c r="B602" s="93" t="n"/>
      <c r="C602" s="93" t="n"/>
      <c r="D602" s="93" t="n"/>
      <c r="E602" s="93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</row>
    <row r="603" ht="15" customHeight="1" s="220">
      <c r="A603" s="12" t="n"/>
      <c r="B603" s="93" t="n"/>
      <c r="C603" s="93" t="n"/>
      <c r="D603" s="93" t="n"/>
      <c r="E603" s="93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</row>
    <row r="604" ht="15" customHeight="1" s="220">
      <c r="A604" s="12" t="n"/>
      <c r="B604" s="93" t="n"/>
      <c r="C604" s="93" t="n"/>
      <c r="D604" s="93" t="n"/>
      <c r="E604" s="93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</row>
    <row r="605" ht="15" customHeight="1" s="220">
      <c r="A605" s="12" t="n"/>
      <c r="B605" s="93" t="n"/>
      <c r="C605" s="93" t="n"/>
      <c r="D605" s="93" t="n"/>
      <c r="E605" s="93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</row>
    <row r="606" ht="15" customHeight="1" s="220">
      <c r="A606" s="12" t="n"/>
      <c r="B606" s="93" t="n"/>
      <c r="C606" s="93" t="n"/>
      <c r="D606" s="93" t="n"/>
      <c r="E606" s="93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</row>
    <row r="607" ht="15" customHeight="1" s="220">
      <c r="A607" s="12" t="n"/>
      <c r="B607" s="93" t="n"/>
      <c r="C607" s="93" t="n"/>
      <c r="D607" s="93" t="n"/>
      <c r="E607" s="93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</row>
    <row r="608" ht="15" customHeight="1" s="220">
      <c r="A608" s="12" t="n"/>
      <c r="B608" s="93" t="n"/>
      <c r="C608" s="93" t="n"/>
      <c r="D608" s="93" t="n"/>
      <c r="E608" s="93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</row>
    <row r="609" ht="15" customHeight="1" s="220">
      <c r="A609" s="12" t="n"/>
      <c r="B609" s="93" t="n"/>
      <c r="C609" s="93" t="n"/>
      <c r="D609" s="93" t="n"/>
      <c r="E609" s="93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</row>
    <row r="610" ht="15" customHeight="1" s="220">
      <c r="A610" s="12" t="n"/>
      <c r="B610" s="93" t="n"/>
      <c r="C610" s="93" t="n"/>
      <c r="D610" s="93" t="n"/>
      <c r="E610" s="93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</row>
    <row r="611" ht="15" customHeight="1" s="220">
      <c r="A611" s="12" t="n"/>
      <c r="B611" s="93" t="n"/>
      <c r="C611" s="93" t="n"/>
      <c r="D611" s="93" t="n"/>
      <c r="E611" s="93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</row>
    <row r="612" ht="15" customHeight="1" s="220">
      <c r="A612" s="12" t="n"/>
      <c r="B612" s="93" t="n"/>
      <c r="C612" s="93" t="n"/>
      <c r="D612" s="93" t="n"/>
      <c r="E612" s="93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</row>
    <row r="613" ht="15" customHeight="1" s="220">
      <c r="A613" s="12" t="n"/>
      <c r="B613" s="93" t="n"/>
      <c r="C613" s="93" t="n"/>
      <c r="D613" s="93" t="n"/>
      <c r="E613" s="93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</row>
    <row r="614" ht="15" customHeight="1" s="220">
      <c r="A614" s="12" t="n"/>
      <c r="B614" s="93" t="n"/>
      <c r="C614" s="93" t="n"/>
      <c r="D614" s="93" t="n"/>
      <c r="E614" s="93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</row>
    <row r="615" ht="15" customHeight="1" s="220">
      <c r="A615" s="12" t="n"/>
      <c r="B615" s="93" t="n"/>
      <c r="C615" s="93" t="n"/>
      <c r="D615" s="93" t="n"/>
      <c r="E615" s="93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</row>
    <row r="616" ht="15" customHeight="1" s="220">
      <c r="A616" s="12" t="n"/>
      <c r="B616" s="93" t="n"/>
      <c r="C616" s="93" t="n"/>
      <c r="D616" s="93" t="n"/>
      <c r="E616" s="93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</row>
    <row r="617" ht="15" customHeight="1" s="220">
      <c r="A617" s="12" t="n"/>
      <c r="B617" s="93" t="n"/>
      <c r="C617" s="93" t="n"/>
      <c r="D617" s="93" t="n"/>
      <c r="E617" s="93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</row>
    <row r="618" ht="15" customHeight="1" s="220">
      <c r="A618" s="12" t="n"/>
      <c r="B618" s="93" t="n"/>
      <c r="C618" s="93" t="n"/>
      <c r="D618" s="93" t="n"/>
      <c r="E618" s="93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</row>
    <row r="619" ht="15" customHeight="1" s="220">
      <c r="A619" s="12" t="n"/>
      <c r="B619" s="93" t="n"/>
      <c r="C619" s="93" t="n"/>
      <c r="D619" s="93" t="n"/>
      <c r="E619" s="93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</row>
    <row r="620" ht="15" customHeight="1" s="220">
      <c r="A620" s="12" t="n"/>
      <c r="B620" s="93" t="n"/>
      <c r="C620" s="93" t="n"/>
      <c r="D620" s="93" t="n"/>
      <c r="E620" s="93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</row>
    <row r="621" ht="15" customHeight="1" s="220">
      <c r="A621" s="12" t="n"/>
      <c r="B621" s="93" t="n"/>
      <c r="C621" s="93" t="n"/>
      <c r="D621" s="93" t="n"/>
      <c r="E621" s="93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</row>
    <row r="622" ht="15" customHeight="1" s="220">
      <c r="A622" s="12" t="n"/>
      <c r="B622" s="93" t="n"/>
      <c r="C622" s="93" t="n"/>
      <c r="D622" s="93" t="n"/>
      <c r="E622" s="93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</row>
    <row r="623" ht="15" customHeight="1" s="220">
      <c r="A623" s="12" t="n"/>
      <c r="B623" s="93" t="n"/>
      <c r="C623" s="93" t="n"/>
      <c r="D623" s="93" t="n"/>
      <c r="E623" s="93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</row>
    <row r="624" ht="15" customHeight="1" s="220">
      <c r="A624" s="12" t="n"/>
      <c r="B624" s="93" t="n"/>
      <c r="C624" s="93" t="n"/>
      <c r="D624" s="93" t="n"/>
      <c r="E624" s="93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</row>
    <row r="625" ht="15" customHeight="1" s="220">
      <c r="A625" s="12" t="n"/>
      <c r="B625" s="93" t="n"/>
      <c r="C625" s="93" t="n"/>
      <c r="D625" s="93" t="n"/>
      <c r="E625" s="93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</row>
    <row r="626" ht="15" customHeight="1" s="220">
      <c r="A626" s="12" t="n"/>
      <c r="B626" s="93" t="n"/>
      <c r="C626" s="93" t="n"/>
      <c r="D626" s="93" t="n"/>
      <c r="E626" s="93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</row>
    <row r="627" ht="15" customHeight="1" s="220">
      <c r="A627" s="12" t="n"/>
      <c r="B627" s="93" t="n"/>
      <c r="C627" s="93" t="n"/>
      <c r="D627" s="93" t="n"/>
      <c r="E627" s="93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</row>
    <row r="628" ht="15" customHeight="1" s="220">
      <c r="A628" s="12" t="n"/>
      <c r="B628" s="93" t="n"/>
      <c r="C628" s="93" t="n"/>
      <c r="D628" s="93" t="n"/>
      <c r="E628" s="93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</row>
    <row r="629" ht="15" customHeight="1" s="220">
      <c r="A629" s="12" t="n"/>
      <c r="B629" s="93" t="n"/>
      <c r="C629" s="93" t="n"/>
      <c r="D629" s="93" t="n"/>
      <c r="E629" s="93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</row>
    <row r="630" ht="15" customHeight="1" s="220">
      <c r="A630" s="12" t="n"/>
      <c r="B630" s="93" t="n"/>
      <c r="C630" s="93" t="n"/>
      <c r="D630" s="93" t="n"/>
      <c r="E630" s="93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</row>
    <row r="631" ht="15" customHeight="1" s="220">
      <c r="A631" s="12" t="n"/>
      <c r="B631" s="93" t="n"/>
      <c r="C631" s="93" t="n"/>
      <c r="D631" s="93" t="n"/>
      <c r="E631" s="93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</row>
    <row r="632" ht="15" customHeight="1" s="220">
      <c r="A632" s="12" t="n"/>
      <c r="B632" s="93" t="n"/>
      <c r="C632" s="93" t="n"/>
      <c r="D632" s="93" t="n"/>
      <c r="E632" s="93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</row>
    <row r="633" ht="15" customHeight="1" s="220">
      <c r="A633" s="12" t="n"/>
      <c r="B633" s="93" t="n"/>
      <c r="C633" s="93" t="n"/>
      <c r="D633" s="93" t="n"/>
      <c r="E633" s="93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</row>
    <row r="634" ht="15" customHeight="1" s="220">
      <c r="A634" s="12" t="n"/>
      <c r="B634" s="93" t="n"/>
      <c r="C634" s="93" t="n"/>
      <c r="D634" s="93" t="n"/>
      <c r="E634" s="93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</row>
    <row r="635" ht="15" customHeight="1" s="220">
      <c r="A635" s="12" t="n"/>
      <c r="B635" s="93" t="n"/>
      <c r="C635" s="93" t="n"/>
      <c r="D635" s="93" t="n"/>
      <c r="E635" s="93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</row>
    <row r="636" ht="15" customHeight="1" s="220">
      <c r="A636" s="12" t="n"/>
      <c r="B636" s="93" t="n"/>
      <c r="C636" s="93" t="n"/>
      <c r="D636" s="93" t="n"/>
      <c r="E636" s="93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</row>
    <row r="637" ht="15" customHeight="1" s="220">
      <c r="A637" s="12" t="n"/>
      <c r="B637" s="93" t="n"/>
      <c r="C637" s="93" t="n"/>
      <c r="D637" s="93" t="n"/>
      <c r="E637" s="93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</row>
    <row r="638" ht="15" customHeight="1" s="220">
      <c r="A638" s="12" t="n"/>
      <c r="B638" s="93" t="n"/>
      <c r="C638" s="93" t="n"/>
      <c r="D638" s="93" t="n"/>
      <c r="E638" s="93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</row>
    <row r="639" ht="15" customHeight="1" s="220">
      <c r="A639" s="12" t="n"/>
      <c r="B639" s="93" t="n"/>
      <c r="C639" s="93" t="n"/>
      <c r="D639" s="93" t="n"/>
      <c r="E639" s="93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</row>
    <row r="640" ht="15" customHeight="1" s="220">
      <c r="A640" s="12" t="n"/>
      <c r="B640" s="93" t="n"/>
      <c r="C640" s="93" t="n"/>
      <c r="D640" s="93" t="n"/>
      <c r="E640" s="93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</row>
    <row r="641" ht="15" customHeight="1" s="220">
      <c r="A641" s="12" t="n"/>
      <c r="B641" s="93" t="n"/>
      <c r="C641" s="93" t="n"/>
      <c r="D641" s="93" t="n"/>
      <c r="E641" s="93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</row>
    <row r="642" ht="15" customHeight="1" s="220">
      <c r="A642" s="12" t="n"/>
      <c r="B642" s="93" t="n"/>
      <c r="C642" s="93" t="n"/>
      <c r="D642" s="93" t="n"/>
      <c r="E642" s="93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</row>
    <row r="643" ht="15" customHeight="1" s="220">
      <c r="A643" s="12" t="n"/>
      <c r="B643" s="93" t="n"/>
      <c r="C643" s="93" t="n"/>
      <c r="D643" s="93" t="n"/>
      <c r="E643" s="93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</row>
    <row r="644" ht="15" customHeight="1" s="220">
      <c r="A644" s="12" t="n"/>
      <c r="B644" s="93" t="n"/>
      <c r="C644" s="93" t="n"/>
      <c r="D644" s="93" t="n"/>
      <c r="E644" s="93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</row>
    <row r="645" ht="15" customHeight="1" s="220">
      <c r="A645" s="12" t="n"/>
      <c r="B645" s="93" t="n"/>
      <c r="C645" s="93" t="n"/>
      <c r="D645" s="93" t="n"/>
      <c r="E645" s="93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</row>
    <row r="646" ht="15" customHeight="1" s="220">
      <c r="A646" s="12" t="n"/>
      <c r="B646" s="93" t="n"/>
      <c r="C646" s="93" t="n"/>
      <c r="D646" s="93" t="n"/>
      <c r="E646" s="93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</row>
    <row r="647" ht="15" customHeight="1" s="220">
      <c r="A647" s="12" t="n"/>
      <c r="B647" s="93" t="n"/>
      <c r="C647" s="93" t="n"/>
      <c r="D647" s="93" t="n"/>
      <c r="E647" s="93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</row>
    <row r="648" ht="15" customHeight="1" s="220">
      <c r="A648" s="12" t="n"/>
      <c r="B648" s="93" t="n"/>
      <c r="C648" s="93" t="n"/>
      <c r="D648" s="93" t="n"/>
      <c r="E648" s="93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</row>
    <row r="649" ht="15" customHeight="1" s="220">
      <c r="A649" s="12" t="n"/>
      <c r="B649" s="93" t="n"/>
      <c r="C649" s="93" t="n"/>
      <c r="D649" s="93" t="n"/>
      <c r="E649" s="93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</row>
    <row r="650" ht="15" customHeight="1" s="220">
      <c r="A650" s="12" t="n"/>
      <c r="B650" s="93" t="n"/>
      <c r="C650" s="93" t="n"/>
      <c r="D650" s="93" t="n"/>
      <c r="E650" s="93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</row>
    <row r="651" ht="15" customHeight="1" s="220">
      <c r="A651" s="12" t="n"/>
      <c r="B651" s="93" t="n"/>
      <c r="C651" s="93" t="n"/>
      <c r="D651" s="93" t="n"/>
      <c r="E651" s="93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</row>
    <row r="652" ht="15" customHeight="1" s="220">
      <c r="A652" s="12" t="n"/>
      <c r="B652" s="93" t="n"/>
      <c r="C652" s="93" t="n"/>
      <c r="D652" s="93" t="n"/>
      <c r="E652" s="93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</row>
    <row r="653" ht="15" customHeight="1" s="220">
      <c r="A653" s="12" t="n"/>
      <c r="B653" s="93" t="n"/>
      <c r="C653" s="93" t="n"/>
      <c r="D653" s="93" t="n"/>
      <c r="E653" s="93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</row>
    <row r="654" ht="15" customHeight="1" s="220">
      <c r="A654" s="12" t="n"/>
      <c r="B654" s="93" t="n"/>
      <c r="C654" s="93" t="n"/>
      <c r="D654" s="93" t="n"/>
      <c r="E654" s="93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</row>
    <row r="655" ht="15" customHeight="1" s="220">
      <c r="A655" s="12" t="n"/>
      <c r="B655" s="93" t="n"/>
      <c r="C655" s="93" t="n"/>
      <c r="D655" s="93" t="n"/>
      <c r="E655" s="93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</row>
    <row r="656" ht="15" customHeight="1" s="220">
      <c r="A656" s="12" t="n"/>
      <c r="B656" s="93" t="n"/>
      <c r="C656" s="93" t="n"/>
      <c r="D656" s="93" t="n"/>
      <c r="E656" s="93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</row>
    <row r="657" ht="15" customHeight="1" s="220">
      <c r="A657" s="12" t="n"/>
      <c r="B657" s="93" t="n"/>
      <c r="C657" s="93" t="n"/>
      <c r="D657" s="93" t="n"/>
      <c r="E657" s="93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</row>
    <row r="658" ht="15" customHeight="1" s="220">
      <c r="A658" s="12" t="n"/>
      <c r="B658" s="93" t="n"/>
      <c r="C658" s="93" t="n"/>
      <c r="D658" s="93" t="n"/>
      <c r="E658" s="93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</row>
    <row r="659" ht="15" customHeight="1" s="220">
      <c r="A659" s="12" t="n"/>
      <c r="B659" s="93" t="n"/>
      <c r="C659" s="93" t="n"/>
      <c r="D659" s="93" t="n"/>
      <c r="E659" s="93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</row>
    <row r="660" ht="15" customHeight="1" s="220">
      <c r="A660" s="12" t="n"/>
      <c r="B660" s="93" t="n"/>
      <c r="C660" s="93" t="n"/>
      <c r="D660" s="93" t="n"/>
      <c r="E660" s="93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</row>
    <row r="661" ht="15" customHeight="1" s="220">
      <c r="A661" s="12" t="n"/>
      <c r="B661" s="93" t="n"/>
      <c r="C661" s="93" t="n"/>
      <c r="D661" s="93" t="n"/>
      <c r="E661" s="93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</row>
    <row r="662" ht="15" customHeight="1" s="220">
      <c r="A662" s="12" t="n"/>
      <c r="B662" s="93" t="n"/>
      <c r="C662" s="93" t="n"/>
      <c r="D662" s="93" t="n"/>
      <c r="E662" s="93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</row>
    <row r="663" ht="15" customHeight="1" s="220">
      <c r="A663" s="12" t="n"/>
      <c r="B663" s="93" t="n"/>
      <c r="C663" s="93" t="n"/>
      <c r="D663" s="93" t="n"/>
      <c r="E663" s="93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</row>
    <row r="664" ht="15" customHeight="1" s="220">
      <c r="A664" s="12" t="n"/>
      <c r="B664" s="93" t="n"/>
      <c r="C664" s="93" t="n"/>
      <c r="D664" s="93" t="n"/>
      <c r="E664" s="93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</row>
    <row r="665" ht="15" customHeight="1" s="220">
      <c r="A665" s="12" t="n"/>
      <c r="B665" s="93" t="n"/>
      <c r="C665" s="93" t="n"/>
      <c r="D665" s="93" t="n"/>
      <c r="E665" s="93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</row>
    <row r="666" ht="15" customHeight="1" s="220">
      <c r="A666" s="12" t="n"/>
      <c r="B666" s="93" t="n"/>
      <c r="C666" s="93" t="n"/>
      <c r="D666" s="93" t="n"/>
      <c r="E666" s="93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</row>
    <row r="667" ht="15" customHeight="1" s="220">
      <c r="A667" s="12" t="n"/>
      <c r="B667" s="93" t="n"/>
      <c r="C667" s="93" t="n"/>
      <c r="D667" s="93" t="n"/>
      <c r="E667" s="93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</row>
    <row r="668" ht="15" customHeight="1" s="220">
      <c r="A668" s="12" t="n"/>
      <c r="B668" s="93" t="n"/>
      <c r="C668" s="93" t="n"/>
      <c r="D668" s="93" t="n"/>
      <c r="E668" s="93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</row>
    <row r="669" ht="15" customHeight="1" s="220">
      <c r="A669" s="12" t="n"/>
      <c r="B669" s="93" t="n"/>
      <c r="C669" s="93" t="n"/>
      <c r="D669" s="93" t="n"/>
      <c r="E669" s="93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</row>
    <row r="670" ht="15" customHeight="1" s="220">
      <c r="A670" s="12" t="n"/>
      <c r="B670" s="93" t="n"/>
      <c r="C670" s="93" t="n"/>
      <c r="D670" s="93" t="n"/>
      <c r="E670" s="93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</row>
    <row r="671" ht="15" customHeight="1" s="220">
      <c r="A671" s="12" t="n"/>
      <c r="B671" s="93" t="n"/>
      <c r="C671" s="93" t="n"/>
      <c r="D671" s="93" t="n"/>
      <c r="E671" s="93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</row>
    <row r="672" ht="15" customHeight="1" s="220">
      <c r="A672" s="12" t="n"/>
      <c r="B672" s="93" t="n"/>
      <c r="C672" s="93" t="n"/>
      <c r="D672" s="93" t="n"/>
      <c r="E672" s="93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</row>
    <row r="673" ht="15" customHeight="1" s="220">
      <c r="A673" s="12" t="n"/>
      <c r="B673" s="93" t="n"/>
      <c r="C673" s="93" t="n"/>
      <c r="D673" s="93" t="n"/>
      <c r="E673" s="93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</row>
    <row r="674" ht="15" customHeight="1" s="220">
      <c r="A674" s="12" t="n"/>
      <c r="B674" s="93" t="n"/>
      <c r="C674" s="93" t="n"/>
      <c r="D674" s="93" t="n"/>
      <c r="E674" s="93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</row>
    <row r="675" ht="15" customHeight="1" s="220">
      <c r="A675" s="12" t="n"/>
      <c r="B675" s="93" t="n"/>
      <c r="C675" s="93" t="n"/>
      <c r="D675" s="93" t="n"/>
      <c r="E675" s="93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</row>
    <row r="676" ht="15" customHeight="1" s="220">
      <c r="A676" s="12" t="n"/>
      <c r="B676" s="93" t="n"/>
      <c r="C676" s="93" t="n"/>
      <c r="D676" s="93" t="n"/>
      <c r="E676" s="93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</row>
    <row r="677" ht="15" customHeight="1" s="220">
      <c r="A677" s="12" t="n"/>
      <c r="B677" s="93" t="n"/>
      <c r="C677" s="93" t="n"/>
      <c r="D677" s="93" t="n"/>
      <c r="E677" s="93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</row>
    <row r="678" ht="15" customHeight="1" s="220">
      <c r="A678" s="12" t="n"/>
      <c r="B678" s="93" t="n"/>
      <c r="C678" s="93" t="n"/>
      <c r="D678" s="93" t="n"/>
      <c r="E678" s="93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</row>
    <row r="679" ht="15" customHeight="1" s="220">
      <c r="A679" s="12" t="n"/>
      <c r="B679" s="93" t="n"/>
      <c r="C679" s="93" t="n"/>
      <c r="D679" s="93" t="n"/>
      <c r="E679" s="93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</row>
    <row r="680" ht="15" customHeight="1" s="220">
      <c r="A680" s="12" t="n"/>
      <c r="B680" s="93" t="n"/>
      <c r="C680" s="93" t="n"/>
      <c r="D680" s="93" t="n"/>
      <c r="E680" s="93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</row>
    <row r="681" ht="15" customHeight="1" s="220">
      <c r="A681" s="12" t="n"/>
      <c r="B681" s="93" t="n"/>
      <c r="C681" s="93" t="n"/>
      <c r="D681" s="93" t="n"/>
      <c r="E681" s="93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</row>
    <row r="682" ht="15" customHeight="1" s="220">
      <c r="A682" s="12" t="n"/>
      <c r="B682" s="93" t="n"/>
      <c r="C682" s="93" t="n"/>
      <c r="D682" s="93" t="n"/>
      <c r="E682" s="93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</row>
    <row r="683" ht="15" customHeight="1" s="220">
      <c r="A683" s="12" t="n"/>
      <c r="B683" s="93" t="n"/>
      <c r="C683" s="93" t="n"/>
      <c r="D683" s="93" t="n"/>
      <c r="E683" s="93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</row>
    <row r="684" ht="15" customHeight="1" s="220">
      <c r="A684" s="12" t="n"/>
      <c r="B684" s="93" t="n"/>
      <c r="C684" s="93" t="n"/>
      <c r="D684" s="93" t="n"/>
      <c r="E684" s="93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</row>
    <row r="685" ht="15" customHeight="1" s="220">
      <c r="A685" s="12" t="n"/>
      <c r="B685" s="93" t="n"/>
      <c r="C685" s="93" t="n"/>
      <c r="D685" s="93" t="n"/>
      <c r="E685" s="93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</row>
    <row r="686" ht="15" customHeight="1" s="220">
      <c r="A686" s="12" t="n"/>
      <c r="B686" s="93" t="n"/>
      <c r="C686" s="93" t="n"/>
      <c r="D686" s="93" t="n"/>
      <c r="E686" s="93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</row>
    <row r="687" ht="15" customHeight="1" s="220">
      <c r="A687" s="12" t="n"/>
      <c r="B687" s="93" t="n"/>
      <c r="C687" s="93" t="n"/>
      <c r="D687" s="93" t="n"/>
      <c r="E687" s="93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</row>
    <row r="688" ht="15" customHeight="1" s="220">
      <c r="A688" s="12" t="n"/>
      <c r="B688" s="93" t="n"/>
      <c r="C688" s="93" t="n"/>
      <c r="D688" s="93" t="n"/>
      <c r="E688" s="93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</row>
    <row r="689" ht="15" customHeight="1" s="220">
      <c r="A689" s="12" t="n"/>
      <c r="B689" s="93" t="n"/>
      <c r="C689" s="93" t="n"/>
      <c r="D689" s="93" t="n"/>
      <c r="E689" s="93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</row>
    <row r="690" ht="15" customHeight="1" s="220">
      <c r="A690" s="12" t="n"/>
      <c r="B690" s="93" t="n"/>
      <c r="C690" s="93" t="n"/>
      <c r="D690" s="93" t="n"/>
      <c r="E690" s="93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</row>
    <row r="691" ht="15" customHeight="1" s="220">
      <c r="A691" s="12" t="n"/>
      <c r="B691" s="93" t="n"/>
      <c r="C691" s="93" t="n"/>
      <c r="D691" s="93" t="n"/>
      <c r="E691" s="93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</row>
    <row r="692" ht="15" customHeight="1" s="220">
      <c r="A692" s="12" t="n"/>
      <c r="B692" s="93" t="n"/>
      <c r="C692" s="93" t="n"/>
      <c r="D692" s="93" t="n"/>
      <c r="E692" s="93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</row>
    <row r="693" ht="15" customHeight="1" s="220">
      <c r="A693" s="12" t="n"/>
      <c r="B693" s="93" t="n"/>
      <c r="C693" s="93" t="n"/>
      <c r="D693" s="93" t="n"/>
      <c r="E693" s="93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</row>
    <row r="694" ht="15" customHeight="1" s="220">
      <c r="A694" s="12" t="n"/>
      <c r="B694" s="93" t="n"/>
      <c r="C694" s="93" t="n"/>
      <c r="D694" s="93" t="n"/>
      <c r="E694" s="93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</row>
    <row r="695" ht="15" customHeight="1" s="220">
      <c r="A695" s="12" t="n"/>
      <c r="B695" s="93" t="n"/>
      <c r="C695" s="93" t="n"/>
      <c r="D695" s="93" t="n"/>
      <c r="E695" s="93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</row>
    <row r="696" ht="15" customHeight="1" s="220">
      <c r="A696" s="12" t="n"/>
      <c r="B696" s="93" t="n"/>
      <c r="C696" s="93" t="n"/>
      <c r="D696" s="93" t="n"/>
      <c r="E696" s="93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</row>
    <row r="697" ht="15" customHeight="1" s="220">
      <c r="A697" s="12" t="n"/>
      <c r="B697" s="93" t="n"/>
      <c r="C697" s="93" t="n"/>
      <c r="D697" s="93" t="n"/>
      <c r="E697" s="93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</row>
    <row r="698" ht="15" customHeight="1" s="220">
      <c r="A698" s="12" t="n"/>
      <c r="B698" s="93" t="n"/>
      <c r="C698" s="93" t="n"/>
      <c r="D698" s="93" t="n"/>
      <c r="E698" s="93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</row>
    <row r="699" ht="15" customHeight="1" s="220">
      <c r="A699" s="12" t="n"/>
      <c r="B699" s="93" t="n"/>
      <c r="C699" s="93" t="n"/>
      <c r="D699" s="93" t="n"/>
      <c r="E699" s="93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</row>
    <row r="700" ht="15" customHeight="1" s="220">
      <c r="A700" s="12" t="n"/>
      <c r="B700" s="93" t="n"/>
      <c r="C700" s="93" t="n"/>
      <c r="D700" s="93" t="n"/>
      <c r="E700" s="93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</row>
    <row r="701" ht="15" customHeight="1" s="220">
      <c r="A701" s="12" t="n"/>
      <c r="B701" s="93" t="n"/>
      <c r="C701" s="93" t="n"/>
      <c r="D701" s="93" t="n"/>
      <c r="E701" s="93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</row>
    <row r="702" ht="15" customHeight="1" s="220">
      <c r="A702" s="12" t="n"/>
      <c r="B702" s="93" t="n"/>
      <c r="C702" s="93" t="n"/>
      <c r="D702" s="93" t="n"/>
      <c r="E702" s="93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</row>
    <row r="703" ht="15" customHeight="1" s="220">
      <c r="A703" s="12" t="n"/>
      <c r="B703" s="93" t="n"/>
      <c r="C703" s="93" t="n"/>
      <c r="D703" s="93" t="n"/>
      <c r="E703" s="93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</row>
    <row r="704" ht="15" customHeight="1" s="220">
      <c r="A704" s="12" t="n"/>
      <c r="B704" s="93" t="n"/>
      <c r="C704" s="93" t="n"/>
      <c r="D704" s="93" t="n"/>
      <c r="E704" s="93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</row>
    <row r="705" ht="15" customHeight="1" s="220">
      <c r="A705" s="12" t="n"/>
      <c r="B705" s="93" t="n"/>
      <c r="C705" s="93" t="n"/>
      <c r="D705" s="93" t="n"/>
      <c r="E705" s="93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</row>
    <row r="706" ht="15" customHeight="1" s="220">
      <c r="A706" s="12" t="n"/>
      <c r="B706" s="93" t="n"/>
      <c r="C706" s="93" t="n"/>
      <c r="D706" s="93" t="n"/>
      <c r="E706" s="93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</row>
    <row r="707" ht="15" customHeight="1" s="220">
      <c r="A707" s="12" t="n"/>
      <c r="B707" s="93" t="n"/>
      <c r="C707" s="93" t="n"/>
      <c r="D707" s="93" t="n"/>
      <c r="E707" s="93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</row>
    <row r="708" ht="15" customHeight="1" s="220">
      <c r="A708" s="12" t="n"/>
      <c r="B708" s="93" t="n"/>
      <c r="C708" s="93" t="n"/>
      <c r="D708" s="93" t="n"/>
      <c r="E708" s="93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</row>
    <row r="709" ht="15" customHeight="1" s="220">
      <c r="A709" s="12" t="n"/>
      <c r="B709" s="93" t="n"/>
      <c r="C709" s="93" t="n"/>
      <c r="D709" s="93" t="n"/>
      <c r="E709" s="93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</row>
    <row r="710" ht="15" customHeight="1" s="220">
      <c r="A710" s="12" t="n"/>
      <c r="B710" s="93" t="n"/>
      <c r="C710" s="93" t="n"/>
      <c r="D710" s="93" t="n"/>
      <c r="E710" s="93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</row>
    <row r="711" ht="15" customHeight="1" s="220">
      <c r="A711" s="12" t="n"/>
      <c r="B711" s="93" t="n"/>
      <c r="C711" s="93" t="n"/>
      <c r="D711" s="93" t="n"/>
      <c r="E711" s="93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</row>
    <row r="712" ht="15" customHeight="1" s="220">
      <c r="A712" s="12" t="n"/>
      <c r="B712" s="93" t="n"/>
      <c r="C712" s="93" t="n"/>
      <c r="D712" s="93" t="n"/>
      <c r="E712" s="93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</row>
    <row r="713" ht="15" customHeight="1" s="220">
      <c r="A713" s="12" t="n"/>
      <c r="B713" s="93" t="n"/>
      <c r="C713" s="93" t="n"/>
      <c r="D713" s="93" t="n"/>
      <c r="E713" s="93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</row>
    <row r="714" ht="15" customHeight="1" s="220">
      <c r="A714" s="12" t="n"/>
      <c r="B714" s="93" t="n"/>
      <c r="C714" s="93" t="n"/>
      <c r="D714" s="93" t="n"/>
      <c r="E714" s="93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</row>
    <row r="715" ht="15" customHeight="1" s="220">
      <c r="A715" s="12" t="n"/>
      <c r="B715" s="93" t="n"/>
      <c r="C715" s="93" t="n"/>
      <c r="D715" s="93" t="n"/>
      <c r="E715" s="93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</row>
    <row r="716" ht="15" customHeight="1" s="220">
      <c r="A716" s="12" t="n"/>
      <c r="B716" s="93" t="n"/>
      <c r="C716" s="93" t="n"/>
      <c r="D716" s="93" t="n"/>
      <c r="E716" s="93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</row>
    <row r="717" ht="15" customHeight="1" s="220">
      <c r="A717" s="12" t="n"/>
      <c r="B717" s="93" t="n"/>
      <c r="C717" s="93" t="n"/>
      <c r="D717" s="93" t="n"/>
      <c r="E717" s="93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</row>
    <row r="718" ht="15" customHeight="1" s="220">
      <c r="A718" s="12" t="n"/>
      <c r="B718" s="93" t="n"/>
      <c r="C718" s="93" t="n"/>
      <c r="D718" s="93" t="n"/>
      <c r="E718" s="93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</row>
    <row r="719" ht="15" customHeight="1" s="220">
      <c r="A719" s="12" t="n"/>
      <c r="B719" s="93" t="n"/>
      <c r="C719" s="93" t="n"/>
      <c r="D719" s="93" t="n"/>
      <c r="E719" s="93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</row>
    <row r="720" ht="15" customHeight="1" s="220">
      <c r="A720" s="12" t="n"/>
      <c r="B720" s="93" t="n"/>
      <c r="C720" s="93" t="n"/>
      <c r="D720" s="93" t="n"/>
      <c r="E720" s="93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</row>
    <row r="721" ht="15" customHeight="1" s="220">
      <c r="A721" s="12" t="n"/>
      <c r="B721" s="93" t="n"/>
      <c r="C721" s="93" t="n"/>
      <c r="D721" s="93" t="n"/>
      <c r="E721" s="93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</row>
    <row r="722" ht="15" customHeight="1" s="220">
      <c r="A722" s="12" t="n"/>
      <c r="B722" s="93" t="n"/>
      <c r="C722" s="93" t="n"/>
      <c r="D722" s="93" t="n"/>
      <c r="E722" s="93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</row>
    <row r="723" ht="15" customHeight="1" s="220">
      <c r="A723" s="12" t="n"/>
      <c r="B723" s="93" t="n"/>
      <c r="C723" s="93" t="n"/>
      <c r="D723" s="93" t="n"/>
      <c r="E723" s="93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</row>
    <row r="724" ht="15" customHeight="1" s="220">
      <c r="A724" s="12" t="n"/>
      <c r="B724" s="93" t="n"/>
      <c r="C724" s="93" t="n"/>
      <c r="D724" s="93" t="n"/>
      <c r="E724" s="93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</row>
    <row r="725" ht="15" customHeight="1" s="220">
      <c r="A725" s="12" t="n"/>
      <c r="B725" s="93" t="n"/>
      <c r="C725" s="93" t="n"/>
      <c r="D725" s="93" t="n"/>
      <c r="E725" s="93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</row>
    <row r="726" ht="15" customHeight="1" s="220">
      <c r="A726" s="12" t="n"/>
      <c r="B726" s="93" t="n"/>
      <c r="C726" s="93" t="n"/>
      <c r="D726" s="93" t="n"/>
      <c r="E726" s="93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</row>
    <row r="727" ht="15" customHeight="1" s="220">
      <c r="A727" s="12" t="n"/>
      <c r="B727" s="93" t="n"/>
      <c r="C727" s="93" t="n"/>
      <c r="D727" s="93" t="n"/>
      <c r="E727" s="93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</row>
    <row r="728" ht="15" customHeight="1" s="220">
      <c r="A728" s="12" t="n"/>
      <c r="B728" s="93" t="n"/>
      <c r="C728" s="93" t="n"/>
      <c r="D728" s="93" t="n"/>
      <c r="E728" s="93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</row>
    <row r="729" ht="15" customHeight="1" s="220">
      <c r="A729" s="12" t="n"/>
      <c r="B729" s="93" t="n"/>
      <c r="C729" s="93" t="n"/>
      <c r="D729" s="93" t="n"/>
      <c r="E729" s="93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</row>
    <row r="730" ht="15" customHeight="1" s="220">
      <c r="A730" s="12" t="n"/>
      <c r="B730" s="93" t="n"/>
      <c r="C730" s="93" t="n"/>
      <c r="D730" s="93" t="n"/>
      <c r="E730" s="93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</row>
    <row r="731" ht="15" customHeight="1" s="220">
      <c r="A731" s="12" t="n"/>
      <c r="B731" s="93" t="n"/>
      <c r="C731" s="93" t="n"/>
      <c r="D731" s="93" t="n"/>
      <c r="E731" s="93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</row>
    <row r="732" ht="15" customHeight="1" s="220">
      <c r="A732" s="12" t="n"/>
      <c r="B732" s="93" t="n"/>
      <c r="C732" s="93" t="n"/>
      <c r="D732" s="93" t="n"/>
      <c r="E732" s="93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</row>
    <row r="733" ht="15" customHeight="1" s="220">
      <c r="A733" s="12" t="n"/>
      <c r="B733" s="93" t="n"/>
      <c r="C733" s="93" t="n"/>
      <c r="D733" s="93" t="n"/>
      <c r="E733" s="93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</row>
    <row r="734" ht="15" customHeight="1" s="220">
      <c r="A734" s="12" t="n"/>
      <c r="B734" s="93" t="n"/>
      <c r="C734" s="93" t="n"/>
      <c r="D734" s="93" t="n"/>
      <c r="E734" s="93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</row>
    <row r="735" ht="15" customHeight="1" s="220">
      <c r="A735" s="12" t="n"/>
      <c r="B735" s="93" t="n"/>
      <c r="C735" s="93" t="n"/>
      <c r="D735" s="93" t="n"/>
      <c r="E735" s="93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</row>
    <row r="736" ht="15" customHeight="1" s="220">
      <c r="A736" s="12" t="n"/>
      <c r="B736" s="93" t="n"/>
      <c r="C736" s="93" t="n"/>
      <c r="D736" s="93" t="n"/>
      <c r="E736" s="93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</row>
    <row r="737" ht="15" customHeight="1" s="220">
      <c r="A737" s="12" t="n"/>
      <c r="B737" s="93" t="n"/>
      <c r="C737" s="93" t="n"/>
      <c r="D737" s="93" t="n"/>
      <c r="E737" s="93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</row>
    <row r="738" ht="15" customHeight="1" s="220">
      <c r="A738" s="12" t="n"/>
      <c r="B738" s="93" t="n"/>
      <c r="C738" s="93" t="n"/>
      <c r="D738" s="93" t="n"/>
      <c r="E738" s="93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</row>
    <row r="739" ht="15" customHeight="1" s="220">
      <c r="A739" s="12" t="n"/>
      <c r="B739" s="93" t="n"/>
      <c r="C739" s="93" t="n"/>
      <c r="D739" s="93" t="n"/>
      <c r="E739" s="93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</row>
    <row r="740" ht="15" customHeight="1" s="220">
      <c r="A740" s="12" t="n"/>
      <c r="B740" s="93" t="n"/>
      <c r="C740" s="93" t="n"/>
      <c r="D740" s="93" t="n"/>
      <c r="E740" s="93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</row>
    <row r="741" ht="15" customHeight="1" s="220">
      <c r="A741" s="12" t="n"/>
      <c r="B741" s="93" t="n"/>
      <c r="C741" s="93" t="n"/>
      <c r="D741" s="93" t="n"/>
      <c r="E741" s="93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</row>
    <row r="742" ht="15" customHeight="1" s="220">
      <c r="A742" s="12" t="n"/>
      <c r="B742" s="93" t="n"/>
      <c r="C742" s="93" t="n"/>
      <c r="D742" s="93" t="n"/>
      <c r="E742" s="93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</row>
    <row r="743" ht="15" customHeight="1" s="220">
      <c r="A743" s="12" t="n"/>
      <c r="B743" s="93" t="n"/>
      <c r="C743" s="93" t="n"/>
      <c r="D743" s="93" t="n"/>
      <c r="E743" s="93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</row>
    <row r="744" ht="15" customHeight="1" s="220">
      <c r="A744" s="12" t="n"/>
      <c r="B744" s="93" t="n"/>
      <c r="C744" s="93" t="n"/>
      <c r="D744" s="93" t="n"/>
      <c r="E744" s="93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</row>
    <row r="745" ht="15" customHeight="1" s="220">
      <c r="A745" s="12" t="n"/>
      <c r="B745" s="93" t="n"/>
      <c r="C745" s="93" t="n"/>
      <c r="D745" s="93" t="n"/>
      <c r="E745" s="93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</row>
    <row r="746" ht="15" customHeight="1" s="220">
      <c r="A746" s="12" t="n"/>
      <c r="B746" s="93" t="n"/>
      <c r="C746" s="93" t="n"/>
      <c r="D746" s="93" t="n"/>
      <c r="E746" s="93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</row>
    <row r="747" ht="15" customHeight="1" s="220">
      <c r="A747" s="12" t="n"/>
      <c r="B747" s="93" t="n"/>
      <c r="C747" s="93" t="n"/>
      <c r="D747" s="93" t="n"/>
      <c r="E747" s="93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</row>
    <row r="748" ht="15" customHeight="1" s="220">
      <c r="A748" s="12" t="n"/>
      <c r="B748" s="93" t="n"/>
      <c r="C748" s="93" t="n"/>
      <c r="D748" s="93" t="n"/>
      <c r="E748" s="93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</row>
    <row r="749" ht="15" customHeight="1" s="220">
      <c r="A749" s="12" t="n"/>
      <c r="B749" s="93" t="n"/>
      <c r="C749" s="93" t="n"/>
      <c r="D749" s="93" t="n"/>
      <c r="E749" s="93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</row>
    <row r="750" ht="15" customHeight="1" s="220">
      <c r="A750" s="12" t="n"/>
      <c r="B750" s="93" t="n"/>
      <c r="C750" s="93" t="n"/>
      <c r="D750" s="93" t="n"/>
      <c r="E750" s="93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</row>
    <row r="751" ht="15" customHeight="1" s="220">
      <c r="A751" s="12" t="n"/>
      <c r="B751" s="93" t="n"/>
      <c r="C751" s="93" t="n"/>
      <c r="D751" s="93" t="n"/>
      <c r="E751" s="93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</row>
    <row r="752" ht="15" customHeight="1" s="220">
      <c r="A752" s="12" t="n"/>
      <c r="B752" s="93" t="n"/>
      <c r="C752" s="93" t="n"/>
      <c r="D752" s="93" t="n"/>
      <c r="E752" s="93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</row>
    <row r="753" ht="15" customHeight="1" s="220">
      <c r="A753" s="12" t="n"/>
      <c r="B753" s="93" t="n"/>
      <c r="C753" s="93" t="n"/>
      <c r="D753" s="93" t="n"/>
      <c r="E753" s="93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</row>
    <row r="754" ht="15" customHeight="1" s="220">
      <c r="A754" s="12" t="n"/>
      <c r="B754" s="93" t="n"/>
      <c r="C754" s="93" t="n"/>
      <c r="D754" s="93" t="n"/>
      <c r="E754" s="93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</row>
    <row r="755" ht="15" customHeight="1" s="220">
      <c r="A755" s="12" t="n"/>
      <c r="B755" s="93" t="n"/>
      <c r="C755" s="93" t="n"/>
      <c r="D755" s="93" t="n"/>
      <c r="E755" s="93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</row>
    <row r="756" ht="15" customHeight="1" s="220">
      <c r="A756" s="12" t="n"/>
      <c r="B756" s="93" t="n"/>
      <c r="C756" s="93" t="n"/>
      <c r="D756" s="93" t="n"/>
      <c r="E756" s="93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</row>
    <row r="757" ht="15" customHeight="1" s="220">
      <c r="A757" s="12" t="n"/>
      <c r="B757" s="93" t="n"/>
      <c r="C757" s="93" t="n"/>
      <c r="D757" s="93" t="n"/>
      <c r="E757" s="93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</row>
    <row r="758" ht="15" customHeight="1" s="220">
      <c r="A758" s="12" t="n"/>
      <c r="B758" s="93" t="n"/>
      <c r="C758" s="93" t="n"/>
      <c r="D758" s="93" t="n"/>
      <c r="E758" s="93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</row>
    <row r="759" ht="15" customHeight="1" s="220">
      <c r="A759" s="12" t="n"/>
      <c r="B759" s="93" t="n"/>
      <c r="C759" s="93" t="n"/>
      <c r="D759" s="93" t="n"/>
      <c r="E759" s="93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</row>
    <row r="760" ht="15" customHeight="1" s="220">
      <c r="A760" s="12" t="n"/>
      <c r="B760" s="93" t="n"/>
      <c r="C760" s="93" t="n"/>
      <c r="D760" s="93" t="n"/>
      <c r="E760" s="93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</row>
    <row r="761" ht="15" customHeight="1" s="220">
      <c r="A761" s="12" t="n"/>
      <c r="B761" s="93" t="n"/>
      <c r="C761" s="93" t="n"/>
      <c r="D761" s="93" t="n"/>
      <c r="E761" s="93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</row>
    <row r="762" ht="15" customHeight="1" s="220">
      <c r="A762" s="12" t="n"/>
      <c r="B762" s="93" t="n"/>
      <c r="C762" s="93" t="n"/>
      <c r="D762" s="93" t="n"/>
      <c r="E762" s="93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</row>
    <row r="763" ht="15" customHeight="1" s="220">
      <c r="A763" s="12" t="n"/>
      <c r="B763" s="93" t="n"/>
      <c r="C763" s="93" t="n"/>
      <c r="D763" s="93" t="n"/>
      <c r="E763" s="93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</row>
    <row r="764" ht="15" customHeight="1" s="220">
      <c r="A764" s="12" t="n"/>
      <c r="B764" s="93" t="n"/>
      <c r="C764" s="93" t="n"/>
      <c r="D764" s="93" t="n"/>
      <c r="E764" s="93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</row>
    <row r="765" ht="15" customHeight="1" s="220">
      <c r="A765" s="12" t="n"/>
      <c r="B765" s="93" t="n"/>
      <c r="C765" s="93" t="n"/>
      <c r="D765" s="93" t="n"/>
      <c r="E765" s="93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</row>
    <row r="766" ht="15" customHeight="1" s="220">
      <c r="A766" s="12" t="n"/>
      <c r="B766" s="93" t="n"/>
      <c r="C766" s="93" t="n"/>
      <c r="D766" s="93" t="n"/>
      <c r="E766" s="93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</row>
    <row r="767" ht="15" customHeight="1" s="220">
      <c r="A767" s="12" t="n"/>
      <c r="B767" s="93" t="n"/>
      <c r="C767" s="93" t="n"/>
      <c r="D767" s="93" t="n"/>
      <c r="E767" s="93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</row>
    <row r="768" ht="15" customHeight="1" s="220">
      <c r="A768" s="12" t="n"/>
      <c r="B768" s="93" t="n"/>
      <c r="C768" s="93" t="n"/>
      <c r="D768" s="93" t="n"/>
      <c r="E768" s="93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</row>
    <row r="769" ht="15" customHeight="1" s="220">
      <c r="A769" s="12" t="n"/>
      <c r="B769" s="93" t="n"/>
      <c r="C769" s="93" t="n"/>
      <c r="D769" s="93" t="n"/>
      <c r="E769" s="93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</row>
    <row r="770" ht="15" customHeight="1" s="220">
      <c r="A770" s="12" t="n"/>
      <c r="B770" s="93" t="n"/>
      <c r="C770" s="93" t="n"/>
      <c r="D770" s="93" t="n"/>
      <c r="E770" s="93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</row>
    <row r="771" ht="15" customHeight="1" s="220">
      <c r="A771" s="12" t="n"/>
      <c r="B771" s="93" t="n"/>
      <c r="C771" s="93" t="n"/>
      <c r="D771" s="93" t="n"/>
      <c r="E771" s="93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</row>
    <row r="772" ht="15" customHeight="1" s="220">
      <c r="A772" s="12" t="n"/>
      <c r="B772" s="93" t="n"/>
      <c r="C772" s="93" t="n"/>
      <c r="D772" s="93" t="n"/>
      <c r="E772" s="93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</row>
    <row r="773" ht="15" customHeight="1" s="220">
      <c r="A773" s="12" t="n"/>
      <c r="B773" s="93" t="n"/>
      <c r="C773" s="93" t="n"/>
      <c r="D773" s="93" t="n"/>
      <c r="E773" s="93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</row>
    <row r="774" ht="15" customHeight="1" s="220">
      <c r="A774" s="12" t="n"/>
      <c r="B774" s="93" t="n"/>
      <c r="C774" s="93" t="n"/>
      <c r="D774" s="93" t="n"/>
      <c r="E774" s="93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</row>
    <row r="775" ht="15" customHeight="1" s="220">
      <c r="A775" s="12" t="n"/>
      <c r="B775" s="93" t="n"/>
      <c r="C775" s="93" t="n"/>
      <c r="D775" s="93" t="n"/>
      <c r="E775" s="93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</row>
    <row r="776" ht="15" customHeight="1" s="220">
      <c r="A776" s="12" t="n"/>
      <c r="B776" s="93" t="n"/>
      <c r="C776" s="93" t="n"/>
      <c r="D776" s="93" t="n"/>
      <c r="E776" s="93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</row>
    <row r="777" ht="15" customHeight="1" s="220">
      <c r="A777" s="12" t="n"/>
      <c r="B777" s="93" t="n"/>
      <c r="C777" s="93" t="n"/>
      <c r="D777" s="93" t="n"/>
      <c r="E777" s="93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</row>
    <row r="778" ht="15" customHeight="1" s="220">
      <c r="A778" s="12" t="n"/>
      <c r="B778" s="93" t="n"/>
      <c r="C778" s="93" t="n"/>
      <c r="D778" s="93" t="n"/>
      <c r="E778" s="93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</row>
    <row r="779" ht="15" customHeight="1" s="220">
      <c r="A779" s="12" t="n"/>
      <c r="B779" s="93" t="n"/>
      <c r="C779" s="93" t="n"/>
      <c r="D779" s="93" t="n"/>
      <c r="E779" s="93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</row>
    <row r="780" ht="15" customHeight="1" s="220">
      <c r="A780" s="12" t="n"/>
      <c r="B780" s="93" t="n"/>
      <c r="C780" s="93" t="n"/>
      <c r="D780" s="93" t="n"/>
      <c r="E780" s="93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</row>
    <row r="781" ht="15" customHeight="1" s="220">
      <c r="A781" s="12" t="n"/>
      <c r="B781" s="93" t="n"/>
      <c r="C781" s="93" t="n"/>
      <c r="D781" s="93" t="n"/>
      <c r="E781" s="93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</row>
    <row r="782" ht="15" customHeight="1" s="220">
      <c r="A782" s="12" t="n"/>
      <c r="B782" s="93" t="n"/>
      <c r="C782" s="93" t="n"/>
      <c r="D782" s="93" t="n"/>
      <c r="E782" s="93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</row>
    <row r="783" ht="15" customHeight="1" s="220">
      <c r="A783" s="12" t="n"/>
      <c r="B783" s="93" t="n"/>
      <c r="C783" s="93" t="n"/>
      <c r="D783" s="93" t="n"/>
      <c r="E783" s="93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</row>
    <row r="784" ht="15" customHeight="1" s="220">
      <c r="A784" s="12" t="n"/>
      <c r="B784" s="93" t="n"/>
      <c r="C784" s="93" t="n"/>
      <c r="D784" s="93" t="n"/>
      <c r="E784" s="93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</row>
    <row r="785" ht="15" customHeight="1" s="220">
      <c r="A785" s="12" t="n"/>
      <c r="B785" s="93" t="n"/>
      <c r="C785" s="93" t="n"/>
      <c r="D785" s="93" t="n"/>
      <c r="E785" s="93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</row>
    <row r="786" ht="15" customHeight="1" s="220">
      <c r="A786" s="12" t="n"/>
      <c r="B786" s="93" t="n"/>
      <c r="C786" s="93" t="n"/>
      <c r="D786" s="93" t="n"/>
      <c r="E786" s="93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</row>
    <row r="787" ht="15" customHeight="1" s="220">
      <c r="A787" s="12" t="n"/>
      <c r="B787" s="93" t="n"/>
      <c r="C787" s="93" t="n"/>
      <c r="D787" s="93" t="n"/>
      <c r="E787" s="93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</row>
    <row r="788" ht="15" customHeight="1" s="220">
      <c r="A788" s="12" t="n"/>
      <c r="B788" s="93" t="n"/>
      <c r="C788" s="93" t="n"/>
      <c r="D788" s="93" t="n"/>
      <c r="E788" s="93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</row>
    <row r="789" ht="15" customHeight="1" s="220">
      <c r="A789" s="12" t="n"/>
      <c r="B789" s="93" t="n"/>
      <c r="C789" s="93" t="n"/>
      <c r="D789" s="93" t="n"/>
      <c r="E789" s="93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</row>
    <row r="790" ht="15" customHeight="1" s="220">
      <c r="A790" s="12" t="n"/>
      <c r="B790" s="93" t="n"/>
      <c r="C790" s="93" t="n"/>
      <c r="D790" s="93" t="n"/>
      <c r="E790" s="93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</row>
    <row r="791" ht="15" customHeight="1" s="220">
      <c r="A791" s="12" t="n"/>
      <c r="B791" s="93" t="n"/>
      <c r="C791" s="93" t="n"/>
      <c r="D791" s="93" t="n"/>
      <c r="E791" s="93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</row>
    <row r="792" ht="15" customHeight="1" s="220">
      <c r="A792" s="12" t="n"/>
      <c r="B792" s="93" t="n"/>
      <c r="C792" s="93" t="n"/>
      <c r="D792" s="93" t="n"/>
      <c r="E792" s="93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</row>
    <row r="793" ht="15" customHeight="1" s="220">
      <c r="A793" s="12" t="n"/>
      <c r="B793" s="93" t="n"/>
      <c r="C793" s="93" t="n"/>
      <c r="D793" s="93" t="n"/>
      <c r="E793" s="93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</row>
    <row r="794" ht="15" customHeight="1" s="220">
      <c r="A794" s="12" t="n"/>
      <c r="B794" s="93" t="n"/>
      <c r="C794" s="93" t="n"/>
      <c r="D794" s="93" t="n"/>
      <c r="E794" s="93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</row>
    <row r="795" ht="15" customHeight="1" s="220">
      <c r="A795" s="12" t="n"/>
      <c r="B795" s="93" t="n"/>
      <c r="C795" s="93" t="n"/>
      <c r="D795" s="93" t="n"/>
      <c r="E795" s="93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</row>
    <row r="796" ht="15" customHeight="1" s="220">
      <c r="A796" s="12" t="n"/>
      <c r="B796" s="93" t="n"/>
      <c r="C796" s="93" t="n"/>
      <c r="D796" s="93" t="n"/>
      <c r="E796" s="93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</row>
    <row r="797" ht="15" customHeight="1" s="220">
      <c r="A797" s="12" t="n"/>
      <c r="B797" s="93" t="n"/>
      <c r="C797" s="93" t="n"/>
      <c r="D797" s="93" t="n"/>
      <c r="E797" s="93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</row>
    <row r="798" ht="15" customHeight="1" s="220">
      <c r="A798" s="12" t="n"/>
      <c r="B798" s="93" t="n"/>
      <c r="C798" s="93" t="n"/>
      <c r="D798" s="93" t="n"/>
      <c r="E798" s="93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</row>
    <row r="799" ht="15" customHeight="1" s="220">
      <c r="A799" s="12" t="n"/>
      <c r="B799" s="93" t="n"/>
      <c r="C799" s="93" t="n"/>
      <c r="D799" s="93" t="n"/>
      <c r="E799" s="93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</row>
    <row r="800" ht="15" customHeight="1" s="220">
      <c r="A800" s="12" t="n"/>
      <c r="B800" s="93" t="n"/>
      <c r="C800" s="93" t="n"/>
      <c r="D800" s="93" t="n"/>
      <c r="E800" s="93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</row>
    <row r="801" ht="15" customHeight="1" s="220">
      <c r="A801" s="12" t="n"/>
      <c r="B801" s="93" t="n"/>
      <c r="C801" s="93" t="n"/>
      <c r="D801" s="93" t="n"/>
      <c r="E801" s="93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</row>
    <row r="802" ht="15" customHeight="1" s="220">
      <c r="A802" s="12" t="n"/>
      <c r="B802" s="93" t="n"/>
      <c r="C802" s="93" t="n"/>
      <c r="D802" s="93" t="n"/>
      <c r="E802" s="93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</row>
    <row r="803" ht="15" customHeight="1" s="220">
      <c r="A803" s="12" t="n"/>
      <c r="B803" s="93" t="n"/>
      <c r="C803" s="93" t="n"/>
      <c r="D803" s="93" t="n"/>
      <c r="E803" s="93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</row>
    <row r="804" ht="15" customHeight="1" s="220">
      <c r="A804" s="12" t="n"/>
      <c r="B804" s="93" t="n"/>
      <c r="C804" s="93" t="n"/>
      <c r="D804" s="93" t="n"/>
      <c r="E804" s="93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</row>
    <row r="805" ht="15" customHeight="1" s="220">
      <c r="A805" s="12" t="n"/>
      <c r="B805" s="93" t="n"/>
      <c r="C805" s="93" t="n"/>
      <c r="D805" s="93" t="n"/>
      <c r="E805" s="93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</row>
    <row r="806" ht="15" customHeight="1" s="220">
      <c r="A806" s="12" t="n"/>
      <c r="B806" s="93" t="n"/>
      <c r="C806" s="93" t="n"/>
      <c r="D806" s="93" t="n"/>
      <c r="E806" s="93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</row>
    <row r="807" ht="15" customHeight="1" s="220">
      <c r="A807" s="12" t="n"/>
      <c r="B807" s="93" t="n"/>
      <c r="C807" s="93" t="n"/>
      <c r="D807" s="93" t="n"/>
      <c r="E807" s="93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</row>
    <row r="808" ht="15" customHeight="1" s="220">
      <c r="A808" s="12" t="n"/>
      <c r="B808" s="93" t="n"/>
      <c r="C808" s="93" t="n"/>
      <c r="D808" s="93" t="n"/>
      <c r="E808" s="93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</row>
    <row r="809" ht="15" customHeight="1" s="220">
      <c r="A809" s="12" t="n"/>
      <c r="B809" s="93" t="n"/>
      <c r="C809" s="93" t="n"/>
      <c r="D809" s="93" t="n"/>
      <c r="E809" s="93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</row>
    <row r="810" ht="15" customHeight="1" s="220">
      <c r="A810" s="12" t="n"/>
      <c r="B810" s="93" t="n"/>
      <c r="C810" s="93" t="n"/>
      <c r="D810" s="93" t="n"/>
      <c r="E810" s="93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</row>
    <row r="811" ht="15" customHeight="1" s="220">
      <c r="A811" s="12" t="n"/>
      <c r="B811" s="93" t="n"/>
      <c r="C811" s="93" t="n"/>
      <c r="D811" s="93" t="n"/>
      <c r="E811" s="93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</row>
    <row r="812" ht="15" customHeight="1" s="220">
      <c r="A812" s="12" t="n"/>
      <c r="B812" s="93" t="n"/>
      <c r="C812" s="93" t="n"/>
      <c r="D812" s="93" t="n"/>
      <c r="E812" s="93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</row>
    <row r="813" ht="15" customHeight="1" s="220">
      <c r="A813" s="12" t="n"/>
      <c r="B813" s="93" t="n"/>
      <c r="C813" s="93" t="n"/>
      <c r="D813" s="93" t="n"/>
      <c r="E813" s="93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</row>
    <row r="814" ht="15" customHeight="1" s="220">
      <c r="A814" s="12" t="n"/>
      <c r="B814" s="93" t="n"/>
      <c r="C814" s="93" t="n"/>
      <c r="D814" s="93" t="n"/>
      <c r="E814" s="93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</row>
    <row r="815" ht="15" customHeight="1" s="220">
      <c r="A815" s="12" t="n"/>
      <c r="B815" s="93" t="n"/>
      <c r="C815" s="93" t="n"/>
      <c r="D815" s="93" t="n"/>
      <c r="E815" s="93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</row>
    <row r="816" ht="15" customHeight="1" s="220">
      <c r="A816" s="12" t="n"/>
      <c r="B816" s="93" t="n"/>
      <c r="C816" s="93" t="n"/>
      <c r="D816" s="93" t="n"/>
      <c r="E816" s="93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</row>
    <row r="817" ht="15" customHeight="1" s="220">
      <c r="A817" s="12" t="n"/>
      <c r="B817" s="93" t="n"/>
      <c r="C817" s="93" t="n"/>
      <c r="D817" s="93" t="n"/>
      <c r="E817" s="93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</row>
    <row r="818" ht="15" customHeight="1" s="220">
      <c r="A818" s="12" t="n"/>
      <c r="B818" s="93" t="n"/>
      <c r="C818" s="93" t="n"/>
      <c r="D818" s="93" t="n"/>
      <c r="E818" s="93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</row>
    <row r="819" ht="15" customHeight="1" s="220">
      <c r="A819" s="12" t="n"/>
      <c r="B819" s="93" t="n"/>
      <c r="C819" s="93" t="n"/>
      <c r="D819" s="93" t="n"/>
      <c r="E819" s="93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</row>
    <row r="820" ht="15" customHeight="1" s="220">
      <c r="A820" s="12" t="n"/>
      <c r="B820" s="93" t="n"/>
      <c r="C820" s="93" t="n"/>
      <c r="D820" s="93" t="n"/>
      <c r="E820" s="93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</row>
    <row r="821" ht="15" customHeight="1" s="220">
      <c r="A821" s="12" t="n"/>
      <c r="B821" s="93" t="n"/>
      <c r="C821" s="93" t="n"/>
      <c r="D821" s="93" t="n"/>
      <c r="E821" s="93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</row>
    <row r="822" ht="15" customHeight="1" s="220">
      <c r="A822" s="12" t="n"/>
      <c r="B822" s="93" t="n"/>
      <c r="C822" s="93" t="n"/>
      <c r="D822" s="93" t="n"/>
      <c r="E822" s="93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</row>
    <row r="823" ht="15" customHeight="1" s="220">
      <c r="A823" s="12" t="n"/>
      <c r="B823" s="93" t="n"/>
      <c r="C823" s="93" t="n"/>
      <c r="D823" s="93" t="n"/>
      <c r="E823" s="93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</row>
    <row r="824" ht="15" customHeight="1" s="220">
      <c r="A824" s="12" t="n"/>
      <c r="B824" s="93" t="n"/>
      <c r="C824" s="93" t="n"/>
      <c r="D824" s="93" t="n"/>
      <c r="E824" s="93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</row>
    <row r="825" ht="15" customHeight="1" s="220">
      <c r="A825" s="12" t="n"/>
      <c r="B825" s="93" t="n"/>
      <c r="C825" s="93" t="n"/>
      <c r="D825" s="93" t="n"/>
      <c r="E825" s="93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</row>
    <row r="826" ht="15" customHeight="1" s="220">
      <c r="A826" s="12" t="n"/>
      <c r="B826" s="93" t="n"/>
      <c r="C826" s="93" t="n"/>
      <c r="D826" s="93" t="n"/>
      <c r="E826" s="93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</row>
    <row r="827" ht="15" customHeight="1" s="220">
      <c r="A827" s="12" t="n"/>
      <c r="B827" s="93" t="n"/>
      <c r="C827" s="93" t="n"/>
      <c r="D827" s="93" t="n"/>
      <c r="E827" s="93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</row>
    <row r="828" ht="15" customHeight="1" s="220">
      <c r="A828" s="12" t="n"/>
      <c r="B828" s="93" t="n"/>
      <c r="C828" s="93" t="n"/>
      <c r="D828" s="93" t="n"/>
      <c r="E828" s="93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</row>
    <row r="829" ht="15" customHeight="1" s="220">
      <c r="A829" s="12" t="n"/>
      <c r="B829" s="93" t="n"/>
      <c r="C829" s="93" t="n"/>
      <c r="D829" s="93" t="n"/>
      <c r="E829" s="93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</row>
    <row r="830" ht="15" customHeight="1" s="220">
      <c r="A830" s="12" t="n"/>
      <c r="B830" s="93" t="n"/>
      <c r="C830" s="93" t="n"/>
      <c r="D830" s="93" t="n"/>
      <c r="E830" s="93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</row>
    <row r="831" ht="15" customHeight="1" s="220">
      <c r="A831" s="12" t="n"/>
      <c r="B831" s="93" t="n"/>
      <c r="C831" s="93" t="n"/>
      <c r="D831" s="93" t="n"/>
      <c r="E831" s="93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</row>
    <row r="832" ht="15" customHeight="1" s="220">
      <c r="A832" s="12" t="n"/>
      <c r="B832" s="93" t="n"/>
      <c r="C832" s="93" t="n"/>
      <c r="D832" s="93" t="n"/>
      <c r="E832" s="93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</row>
    <row r="833" ht="15" customHeight="1" s="220">
      <c r="A833" s="12" t="n"/>
      <c r="B833" s="93" t="n"/>
      <c r="C833" s="93" t="n"/>
      <c r="D833" s="93" t="n"/>
      <c r="E833" s="93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</row>
    <row r="834" ht="15" customHeight="1" s="220">
      <c r="A834" s="12" t="n"/>
      <c r="B834" s="93" t="n"/>
      <c r="C834" s="93" t="n"/>
      <c r="D834" s="93" t="n"/>
      <c r="E834" s="93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</row>
    <row r="835" ht="15" customHeight="1" s="220">
      <c r="A835" s="12" t="n"/>
      <c r="B835" s="93" t="n"/>
      <c r="C835" s="93" t="n"/>
      <c r="D835" s="93" t="n"/>
      <c r="E835" s="93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</row>
    <row r="836" ht="15" customHeight="1" s="220">
      <c r="A836" s="12" t="n"/>
      <c r="B836" s="93" t="n"/>
      <c r="C836" s="93" t="n"/>
      <c r="D836" s="93" t="n"/>
      <c r="E836" s="93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</row>
    <row r="837" ht="15" customHeight="1" s="220">
      <c r="A837" s="12" t="n"/>
      <c r="B837" s="93" t="n"/>
      <c r="C837" s="93" t="n"/>
      <c r="D837" s="93" t="n"/>
      <c r="E837" s="93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</row>
    <row r="838" ht="15" customHeight="1" s="220">
      <c r="A838" s="12" t="n"/>
      <c r="B838" s="93" t="n"/>
      <c r="C838" s="93" t="n"/>
      <c r="D838" s="93" t="n"/>
      <c r="E838" s="93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</row>
    <row r="839" ht="15" customHeight="1" s="220">
      <c r="A839" s="12" t="n"/>
      <c r="B839" s="93" t="n"/>
      <c r="C839" s="93" t="n"/>
      <c r="D839" s="93" t="n"/>
      <c r="E839" s="93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</row>
    <row r="840" ht="15" customHeight="1" s="220">
      <c r="A840" s="12" t="n"/>
      <c r="B840" s="93" t="n"/>
      <c r="C840" s="93" t="n"/>
      <c r="D840" s="93" t="n"/>
      <c r="E840" s="93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</row>
    <row r="841" ht="15" customHeight="1" s="220">
      <c r="A841" s="12" t="n"/>
      <c r="B841" s="93" t="n"/>
      <c r="C841" s="93" t="n"/>
      <c r="D841" s="93" t="n"/>
      <c r="E841" s="93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</row>
    <row r="842" ht="15" customHeight="1" s="220">
      <c r="A842" s="12" t="n"/>
      <c r="B842" s="93" t="n"/>
      <c r="C842" s="93" t="n"/>
      <c r="D842" s="93" t="n"/>
      <c r="E842" s="93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</row>
    <row r="843" ht="15" customHeight="1" s="220">
      <c r="A843" s="12" t="n"/>
      <c r="B843" s="93" t="n"/>
      <c r="C843" s="93" t="n"/>
      <c r="D843" s="93" t="n"/>
      <c r="E843" s="93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</row>
    <row r="844" ht="15" customHeight="1" s="220">
      <c r="A844" s="12" t="n"/>
      <c r="B844" s="93" t="n"/>
      <c r="C844" s="93" t="n"/>
      <c r="D844" s="93" t="n"/>
      <c r="E844" s="93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</row>
    <row r="845" ht="15" customHeight="1" s="220">
      <c r="A845" s="12" t="n"/>
      <c r="B845" s="93" t="n"/>
      <c r="C845" s="93" t="n"/>
      <c r="D845" s="93" t="n"/>
      <c r="E845" s="93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</row>
    <row r="846" ht="15" customHeight="1" s="220">
      <c r="A846" s="12" t="n"/>
      <c r="B846" s="93" t="n"/>
      <c r="C846" s="93" t="n"/>
      <c r="D846" s="93" t="n"/>
      <c r="E846" s="93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</row>
    <row r="847" ht="15" customHeight="1" s="220">
      <c r="A847" s="12" t="n"/>
      <c r="B847" s="93" t="n"/>
      <c r="C847" s="93" t="n"/>
      <c r="D847" s="93" t="n"/>
      <c r="E847" s="93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</row>
    <row r="848" ht="15" customHeight="1" s="220">
      <c r="A848" s="12" t="n"/>
      <c r="B848" s="93" t="n"/>
      <c r="C848" s="93" t="n"/>
      <c r="D848" s="93" t="n"/>
      <c r="E848" s="93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</row>
    <row r="849" ht="15" customHeight="1" s="220">
      <c r="A849" s="12" t="n"/>
      <c r="B849" s="93" t="n"/>
      <c r="C849" s="93" t="n"/>
      <c r="D849" s="93" t="n"/>
      <c r="E849" s="93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</row>
    <row r="850" ht="15" customHeight="1" s="220">
      <c r="A850" s="12" t="n"/>
      <c r="B850" s="93" t="n"/>
      <c r="C850" s="93" t="n"/>
      <c r="D850" s="93" t="n"/>
      <c r="E850" s="93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</row>
    <row r="851" ht="15" customHeight="1" s="220">
      <c r="A851" s="12" t="n"/>
      <c r="B851" s="93" t="n"/>
      <c r="C851" s="93" t="n"/>
      <c r="D851" s="93" t="n"/>
      <c r="E851" s="93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</row>
    <row r="852" ht="15" customHeight="1" s="220">
      <c r="A852" s="12" t="n"/>
      <c r="B852" s="93" t="n"/>
      <c r="C852" s="93" t="n"/>
      <c r="D852" s="93" t="n"/>
      <c r="E852" s="93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</row>
    <row r="853" ht="15" customHeight="1" s="220">
      <c r="A853" s="12" t="n"/>
      <c r="B853" s="93" t="n"/>
      <c r="C853" s="93" t="n"/>
      <c r="D853" s="93" t="n"/>
      <c r="E853" s="93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</row>
    <row r="854" ht="15" customHeight="1" s="220">
      <c r="A854" s="12" t="n"/>
      <c r="B854" s="93" t="n"/>
      <c r="C854" s="93" t="n"/>
      <c r="D854" s="93" t="n"/>
      <c r="E854" s="93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</row>
    <row r="855" ht="15" customHeight="1" s="220">
      <c r="A855" s="12" t="n"/>
      <c r="B855" s="93" t="n"/>
      <c r="C855" s="93" t="n"/>
      <c r="D855" s="93" t="n"/>
      <c r="E855" s="93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</row>
    <row r="856" ht="15" customHeight="1" s="220">
      <c r="A856" s="12" t="n"/>
      <c r="B856" s="93" t="n"/>
      <c r="C856" s="93" t="n"/>
      <c r="D856" s="93" t="n"/>
      <c r="E856" s="93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</row>
    <row r="857" ht="15" customHeight="1" s="220">
      <c r="A857" s="12" t="n"/>
      <c r="B857" s="93" t="n"/>
      <c r="C857" s="93" t="n"/>
      <c r="D857" s="93" t="n"/>
      <c r="E857" s="93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</row>
    <row r="858" ht="15" customHeight="1" s="220">
      <c r="A858" s="12" t="n"/>
      <c r="B858" s="93" t="n"/>
      <c r="C858" s="93" t="n"/>
      <c r="D858" s="93" t="n"/>
      <c r="E858" s="93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</row>
    <row r="859" ht="15" customHeight="1" s="220">
      <c r="A859" s="12" t="n"/>
      <c r="B859" s="93" t="n"/>
      <c r="C859" s="93" t="n"/>
      <c r="D859" s="93" t="n"/>
      <c r="E859" s="93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</row>
    <row r="860" ht="15" customHeight="1" s="220">
      <c r="A860" s="12" t="n"/>
      <c r="B860" s="93" t="n"/>
      <c r="C860" s="93" t="n"/>
      <c r="D860" s="93" t="n"/>
      <c r="E860" s="93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</row>
    <row r="861" ht="15" customHeight="1" s="220">
      <c r="A861" s="12" t="n"/>
      <c r="B861" s="93" t="n"/>
      <c r="C861" s="93" t="n"/>
      <c r="D861" s="93" t="n"/>
      <c r="E861" s="93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</row>
    <row r="862" ht="15" customHeight="1" s="220">
      <c r="A862" s="12" t="n"/>
      <c r="B862" s="93" t="n"/>
      <c r="C862" s="93" t="n"/>
      <c r="D862" s="93" t="n"/>
      <c r="E862" s="93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</row>
    <row r="863" ht="15" customHeight="1" s="220">
      <c r="A863" s="12" t="n"/>
      <c r="B863" s="93" t="n"/>
      <c r="C863" s="93" t="n"/>
      <c r="D863" s="93" t="n"/>
      <c r="E863" s="93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</row>
    <row r="864" ht="15" customHeight="1" s="220">
      <c r="A864" s="12" t="n"/>
      <c r="B864" s="93" t="n"/>
      <c r="C864" s="93" t="n"/>
      <c r="D864" s="93" t="n"/>
      <c r="E864" s="93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</row>
    <row r="865" ht="15" customHeight="1" s="220">
      <c r="A865" s="12" t="n"/>
      <c r="B865" s="93" t="n"/>
      <c r="C865" s="93" t="n"/>
      <c r="D865" s="93" t="n"/>
      <c r="E865" s="93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</row>
    <row r="866" ht="15" customHeight="1" s="220">
      <c r="A866" s="12" t="n"/>
      <c r="B866" s="93" t="n"/>
      <c r="C866" s="93" t="n"/>
      <c r="D866" s="93" t="n"/>
      <c r="E866" s="93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</row>
    <row r="867" ht="15" customHeight="1" s="220">
      <c r="A867" s="12" t="n"/>
      <c r="B867" s="93" t="n"/>
      <c r="C867" s="93" t="n"/>
      <c r="D867" s="93" t="n"/>
      <c r="E867" s="93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</row>
    <row r="868" ht="15" customHeight="1" s="220">
      <c r="A868" s="12" t="n"/>
      <c r="B868" s="93" t="n"/>
      <c r="C868" s="93" t="n"/>
      <c r="D868" s="93" t="n"/>
      <c r="E868" s="93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</row>
    <row r="869" ht="15" customHeight="1" s="220">
      <c r="A869" s="12" t="n"/>
      <c r="B869" s="93" t="n"/>
      <c r="C869" s="93" t="n"/>
      <c r="D869" s="93" t="n"/>
      <c r="E869" s="93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</row>
    <row r="870" ht="15" customHeight="1" s="220">
      <c r="A870" s="12" t="n"/>
      <c r="B870" s="93" t="n"/>
      <c r="C870" s="93" t="n"/>
      <c r="D870" s="93" t="n"/>
      <c r="E870" s="93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</row>
    <row r="871" ht="15" customHeight="1" s="220">
      <c r="A871" s="12" t="n"/>
      <c r="B871" s="93" t="n"/>
      <c r="C871" s="93" t="n"/>
      <c r="D871" s="93" t="n"/>
      <c r="E871" s="93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</row>
    <row r="872" ht="15" customHeight="1" s="220">
      <c r="A872" s="12" t="n"/>
      <c r="B872" s="93" t="n"/>
      <c r="C872" s="93" t="n"/>
      <c r="D872" s="93" t="n"/>
      <c r="E872" s="93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</row>
    <row r="873" ht="15" customHeight="1" s="220">
      <c r="A873" s="12" t="n"/>
      <c r="B873" s="93" t="n"/>
      <c r="C873" s="93" t="n"/>
      <c r="D873" s="93" t="n"/>
      <c r="E873" s="93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</row>
    <row r="874" ht="15" customHeight="1" s="220">
      <c r="A874" s="12" t="n"/>
      <c r="B874" s="93" t="n"/>
      <c r="C874" s="93" t="n"/>
      <c r="D874" s="93" t="n"/>
      <c r="E874" s="93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</row>
    <row r="875" ht="15" customHeight="1" s="220">
      <c r="A875" s="12" t="n"/>
      <c r="B875" s="93" t="n"/>
      <c r="C875" s="93" t="n"/>
      <c r="D875" s="93" t="n"/>
      <c r="E875" s="93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</row>
    <row r="876" ht="15" customHeight="1" s="220">
      <c r="A876" s="12" t="n"/>
      <c r="B876" s="93" t="n"/>
      <c r="C876" s="93" t="n"/>
      <c r="D876" s="93" t="n"/>
      <c r="E876" s="93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</row>
    <row r="877" ht="15" customHeight="1" s="220">
      <c r="A877" s="12" t="n"/>
      <c r="B877" s="93" t="n"/>
      <c r="C877" s="93" t="n"/>
      <c r="D877" s="93" t="n"/>
      <c r="E877" s="93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</row>
    <row r="878" ht="15" customHeight="1" s="220">
      <c r="A878" s="12" t="n"/>
      <c r="B878" s="93" t="n"/>
      <c r="C878" s="93" t="n"/>
      <c r="D878" s="93" t="n"/>
      <c r="E878" s="93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</row>
    <row r="879" ht="15" customHeight="1" s="220">
      <c r="A879" s="12" t="n"/>
      <c r="B879" s="93" t="n"/>
      <c r="C879" s="93" t="n"/>
      <c r="D879" s="93" t="n"/>
      <c r="E879" s="93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</row>
    <row r="880" ht="15" customHeight="1" s="220">
      <c r="A880" s="12" t="n"/>
      <c r="B880" s="93" t="n"/>
      <c r="C880" s="93" t="n"/>
      <c r="D880" s="93" t="n"/>
      <c r="E880" s="93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</row>
    <row r="881" ht="15" customHeight="1" s="220">
      <c r="A881" s="12" t="n"/>
      <c r="B881" s="93" t="n"/>
      <c r="C881" s="93" t="n"/>
      <c r="D881" s="93" t="n"/>
      <c r="E881" s="93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</row>
    <row r="882" ht="15" customHeight="1" s="220">
      <c r="A882" s="12" t="n"/>
      <c r="B882" s="93" t="n"/>
      <c r="C882" s="93" t="n"/>
      <c r="D882" s="93" t="n"/>
      <c r="E882" s="93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</row>
    <row r="883" ht="15" customHeight="1" s="220">
      <c r="A883" s="12" t="n"/>
      <c r="B883" s="93" t="n"/>
      <c r="C883" s="93" t="n"/>
      <c r="D883" s="93" t="n"/>
      <c r="E883" s="93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</row>
    <row r="884" ht="15" customHeight="1" s="220">
      <c r="A884" s="12" t="n"/>
      <c r="B884" s="93" t="n"/>
      <c r="C884" s="93" t="n"/>
      <c r="D884" s="93" t="n"/>
      <c r="E884" s="93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</row>
    <row r="885" ht="15" customHeight="1" s="220">
      <c r="A885" s="12" t="n"/>
      <c r="B885" s="93" t="n"/>
      <c r="C885" s="93" t="n"/>
      <c r="D885" s="93" t="n"/>
      <c r="E885" s="93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</row>
    <row r="886" ht="15" customHeight="1" s="220">
      <c r="A886" s="12" t="n"/>
      <c r="B886" s="93" t="n"/>
      <c r="C886" s="93" t="n"/>
      <c r="D886" s="93" t="n"/>
      <c r="E886" s="93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</row>
    <row r="887" ht="15" customHeight="1" s="220">
      <c r="A887" s="12" t="n"/>
      <c r="B887" s="93" t="n"/>
      <c r="C887" s="93" t="n"/>
      <c r="D887" s="93" t="n"/>
      <c r="E887" s="93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</row>
    <row r="888" ht="15" customHeight="1" s="220">
      <c r="A888" s="12" t="n"/>
      <c r="B888" s="93" t="n"/>
      <c r="C888" s="93" t="n"/>
      <c r="D888" s="93" t="n"/>
      <c r="E888" s="93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</row>
    <row r="889" ht="15" customHeight="1" s="220">
      <c r="A889" s="12" t="n"/>
      <c r="B889" s="93" t="n"/>
      <c r="C889" s="93" t="n"/>
      <c r="D889" s="93" t="n"/>
      <c r="E889" s="93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</row>
    <row r="890" ht="15" customHeight="1" s="220">
      <c r="A890" s="12" t="n"/>
      <c r="B890" s="93" t="n"/>
      <c r="C890" s="93" t="n"/>
      <c r="D890" s="93" t="n"/>
      <c r="E890" s="93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</row>
    <row r="891" ht="15" customHeight="1" s="220">
      <c r="A891" s="12" t="n"/>
      <c r="B891" s="93" t="n"/>
      <c r="C891" s="93" t="n"/>
      <c r="D891" s="93" t="n"/>
      <c r="E891" s="93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</row>
    <row r="892" ht="15" customHeight="1" s="220">
      <c r="A892" s="12" t="n"/>
      <c r="B892" s="93" t="n"/>
      <c r="C892" s="93" t="n"/>
      <c r="D892" s="93" t="n"/>
      <c r="E892" s="93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</row>
    <row r="893" ht="15" customHeight="1" s="220">
      <c r="A893" s="12" t="n"/>
      <c r="B893" s="93" t="n"/>
      <c r="C893" s="93" t="n"/>
      <c r="D893" s="93" t="n"/>
      <c r="E893" s="93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</row>
    <row r="894" ht="15" customHeight="1" s="220">
      <c r="A894" s="12" t="n"/>
      <c r="B894" s="93" t="n"/>
      <c r="C894" s="93" t="n"/>
      <c r="D894" s="93" t="n"/>
      <c r="E894" s="93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</row>
    <row r="895" ht="15" customHeight="1" s="220">
      <c r="A895" s="12" t="n"/>
      <c r="B895" s="93" t="n"/>
      <c r="C895" s="93" t="n"/>
      <c r="D895" s="93" t="n"/>
      <c r="E895" s="93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</row>
    <row r="896" ht="15" customHeight="1" s="220">
      <c r="A896" s="12" t="n"/>
      <c r="B896" s="93" t="n"/>
      <c r="C896" s="93" t="n"/>
      <c r="D896" s="93" t="n"/>
      <c r="E896" s="93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</row>
    <row r="897" ht="15" customHeight="1" s="220">
      <c r="A897" s="12" t="n"/>
      <c r="B897" s="93" t="n"/>
      <c r="C897" s="93" t="n"/>
      <c r="D897" s="93" t="n"/>
      <c r="E897" s="93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</row>
    <row r="898" ht="15" customHeight="1" s="220">
      <c r="A898" s="12" t="n"/>
      <c r="B898" s="93" t="n"/>
      <c r="C898" s="93" t="n"/>
      <c r="D898" s="93" t="n"/>
      <c r="E898" s="93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</row>
    <row r="899" ht="15" customHeight="1" s="220">
      <c r="A899" s="12" t="n"/>
      <c r="B899" s="93" t="n"/>
      <c r="C899" s="93" t="n"/>
      <c r="D899" s="93" t="n"/>
      <c r="E899" s="93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</row>
    <row r="900" ht="15" customHeight="1" s="220">
      <c r="A900" s="12" t="n"/>
      <c r="B900" s="93" t="n"/>
      <c r="C900" s="93" t="n"/>
      <c r="D900" s="93" t="n"/>
      <c r="E900" s="93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</row>
    <row r="901" ht="15" customHeight="1" s="220">
      <c r="A901" s="12" t="n"/>
      <c r="B901" s="93" t="n"/>
      <c r="C901" s="93" t="n"/>
      <c r="D901" s="93" t="n"/>
      <c r="E901" s="93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</row>
    <row r="902" ht="15" customHeight="1" s="220">
      <c r="A902" s="12" t="n"/>
      <c r="B902" s="93" t="n"/>
      <c r="C902" s="93" t="n"/>
      <c r="D902" s="93" t="n"/>
      <c r="E902" s="93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</row>
    <row r="903" ht="15" customHeight="1" s="220">
      <c r="A903" s="12" t="n"/>
      <c r="B903" s="93" t="n"/>
      <c r="C903" s="93" t="n"/>
      <c r="D903" s="93" t="n"/>
      <c r="E903" s="93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</row>
    <row r="904" ht="15" customHeight="1" s="220">
      <c r="A904" s="12" t="n"/>
      <c r="B904" s="93" t="n"/>
      <c r="C904" s="93" t="n"/>
      <c r="D904" s="93" t="n"/>
      <c r="E904" s="93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</row>
    <row r="905" ht="15" customHeight="1" s="220">
      <c r="A905" s="12" t="n"/>
      <c r="B905" s="93" t="n"/>
      <c r="C905" s="93" t="n"/>
      <c r="D905" s="93" t="n"/>
      <c r="E905" s="93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</row>
    <row r="906" ht="15" customHeight="1" s="220">
      <c r="A906" s="12" t="n"/>
      <c r="B906" s="93" t="n"/>
      <c r="C906" s="93" t="n"/>
      <c r="D906" s="93" t="n"/>
      <c r="E906" s="93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</row>
    <row r="907" ht="15" customHeight="1" s="220">
      <c r="A907" s="12" t="n"/>
      <c r="B907" s="93" t="n"/>
      <c r="C907" s="93" t="n"/>
      <c r="D907" s="93" t="n"/>
      <c r="E907" s="93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</row>
    <row r="908" ht="15" customHeight="1" s="220">
      <c r="A908" s="12" t="n"/>
      <c r="B908" s="93" t="n"/>
      <c r="C908" s="93" t="n"/>
      <c r="D908" s="93" t="n"/>
      <c r="E908" s="93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</row>
    <row r="909" ht="15" customHeight="1" s="220">
      <c r="A909" s="12" t="n"/>
      <c r="B909" s="93" t="n"/>
      <c r="C909" s="93" t="n"/>
      <c r="D909" s="93" t="n"/>
      <c r="E909" s="93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</row>
    <row r="910" ht="15" customHeight="1" s="220">
      <c r="A910" s="12" t="n"/>
      <c r="B910" s="93" t="n"/>
      <c r="C910" s="93" t="n"/>
      <c r="D910" s="93" t="n"/>
      <c r="E910" s="93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</row>
    <row r="911" ht="15" customHeight="1" s="220">
      <c r="A911" s="12" t="n"/>
      <c r="B911" s="93" t="n"/>
      <c r="C911" s="93" t="n"/>
      <c r="D911" s="93" t="n"/>
      <c r="E911" s="93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</row>
    <row r="912" ht="15" customHeight="1" s="220">
      <c r="A912" s="12" t="n"/>
      <c r="B912" s="93" t="n"/>
      <c r="C912" s="93" t="n"/>
      <c r="D912" s="93" t="n"/>
      <c r="E912" s="93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</row>
    <row r="913" ht="15" customHeight="1" s="220">
      <c r="A913" s="12" t="n"/>
      <c r="B913" s="93" t="n"/>
      <c r="C913" s="93" t="n"/>
      <c r="D913" s="93" t="n"/>
      <c r="E913" s="93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</row>
    <row r="914" ht="15" customHeight="1" s="220">
      <c r="A914" s="12" t="n"/>
      <c r="B914" s="93" t="n"/>
      <c r="C914" s="93" t="n"/>
      <c r="D914" s="93" t="n"/>
      <c r="E914" s="93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</row>
    <row r="915" ht="15" customHeight="1" s="220">
      <c r="A915" s="12" t="n"/>
      <c r="B915" s="93" t="n"/>
      <c r="C915" s="93" t="n"/>
      <c r="D915" s="93" t="n"/>
      <c r="E915" s="93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</row>
    <row r="916" ht="15" customHeight="1" s="220">
      <c r="A916" s="12" t="n"/>
      <c r="B916" s="93" t="n"/>
      <c r="C916" s="93" t="n"/>
      <c r="D916" s="93" t="n"/>
      <c r="E916" s="93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</row>
    <row r="917" ht="15" customHeight="1" s="220">
      <c r="A917" s="12" t="n"/>
      <c r="B917" s="93" t="n"/>
      <c r="C917" s="93" t="n"/>
      <c r="D917" s="93" t="n"/>
      <c r="E917" s="93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</row>
    <row r="918" ht="15" customHeight="1" s="220">
      <c r="A918" s="12" t="n"/>
      <c r="B918" s="93" t="n"/>
      <c r="C918" s="93" t="n"/>
      <c r="D918" s="93" t="n"/>
      <c r="E918" s="93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</row>
    <row r="919" ht="15" customHeight="1" s="220">
      <c r="A919" s="12" t="n"/>
      <c r="B919" s="93" t="n"/>
      <c r="C919" s="93" t="n"/>
      <c r="D919" s="93" t="n"/>
      <c r="E919" s="93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</row>
    <row r="920" ht="15" customHeight="1" s="220">
      <c r="A920" s="12" t="n"/>
      <c r="B920" s="93" t="n"/>
      <c r="C920" s="93" t="n"/>
      <c r="D920" s="93" t="n"/>
      <c r="E920" s="93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</row>
    <row r="921" ht="15" customHeight="1" s="220">
      <c r="A921" s="12" t="n"/>
      <c r="B921" s="93" t="n"/>
      <c r="C921" s="93" t="n"/>
      <c r="D921" s="93" t="n"/>
      <c r="E921" s="93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</row>
    <row r="922" ht="15" customHeight="1" s="220">
      <c r="A922" s="12" t="n"/>
      <c r="B922" s="93" t="n"/>
      <c r="C922" s="93" t="n"/>
      <c r="D922" s="93" t="n"/>
      <c r="E922" s="93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</row>
    <row r="923" ht="15" customHeight="1" s="220">
      <c r="A923" s="12" t="n"/>
      <c r="B923" s="93" t="n"/>
      <c r="C923" s="93" t="n"/>
      <c r="D923" s="93" t="n"/>
      <c r="E923" s="93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</row>
    <row r="924" ht="15" customHeight="1" s="220">
      <c r="A924" s="12" t="n"/>
      <c r="B924" s="93" t="n"/>
      <c r="C924" s="93" t="n"/>
      <c r="D924" s="93" t="n"/>
      <c r="E924" s="93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</row>
    <row r="925" ht="15" customHeight="1" s="220">
      <c r="A925" s="12" t="n"/>
      <c r="B925" s="93" t="n"/>
      <c r="C925" s="93" t="n"/>
      <c r="D925" s="93" t="n"/>
      <c r="E925" s="93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</row>
    <row r="926" ht="15" customHeight="1" s="220">
      <c r="A926" s="12" t="n"/>
      <c r="B926" s="93" t="n"/>
      <c r="C926" s="93" t="n"/>
      <c r="D926" s="93" t="n"/>
      <c r="E926" s="93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</row>
    <row r="927" ht="15" customHeight="1" s="220">
      <c r="A927" s="12" t="n"/>
      <c r="B927" s="93" t="n"/>
      <c r="C927" s="93" t="n"/>
      <c r="D927" s="93" t="n"/>
      <c r="E927" s="93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</row>
    <row r="928" ht="15" customHeight="1" s="220">
      <c r="A928" s="12" t="n"/>
      <c r="B928" s="93" t="n"/>
      <c r="C928" s="93" t="n"/>
      <c r="D928" s="93" t="n"/>
      <c r="E928" s="93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</row>
    <row r="929" ht="15" customHeight="1" s="220">
      <c r="A929" s="12" t="n"/>
      <c r="B929" s="93" t="n"/>
      <c r="C929" s="93" t="n"/>
      <c r="D929" s="93" t="n"/>
      <c r="E929" s="93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</row>
    <row r="930" ht="15" customHeight="1" s="220">
      <c r="A930" s="12" t="n"/>
      <c r="B930" s="93" t="n"/>
      <c r="C930" s="93" t="n"/>
      <c r="D930" s="93" t="n"/>
      <c r="E930" s="93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</row>
    <row r="931" ht="15" customHeight="1" s="220">
      <c r="A931" s="12" t="n"/>
      <c r="B931" s="93" t="n"/>
      <c r="C931" s="93" t="n"/>
      <c r="D931" s="93" t="n"/>
      <c r="E931" s="93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</row>
    <row r="932" ht="15" customHeight="1" s="220">
      <c r="A932" s="12" t="n"/>
      <c r="B932" s="93" t="n"/>
      <c r="C932" s="93" t="n"/>
      <c r="D932" s="93" t="n"/>
      <c r="E932" s="93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</row>
    <row r="933" ht="15" customHeight="1" s="220">
      <c r="A933" s="12" t="n"/>
      <c r="B933" s="93" t="n"/>
      <c r="C933" s="93" t="n"/>
      <c r="D933" s="93" t="n"/>
      <c r="E933" s="93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</row>
    <row r="934" ht="15" customHeight="1" s="220">
      <c r="A934" s="12" t="n"/>
      <c r="B934" s="93" t="n"/>
      <c r="C934" s="93" t="n"/>
      <c r="D934" s="93" t="n"/>
      <c r="E934" s="93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</row>
    <row r="935" ht="15" customHeight="1" s="220">
      <c r="A935" s="12" t="n"/>
      <c r="B935" s="93" t="n"/>
      <c r="C935" s="93" t="n"/>
      <c r="D935" s="93" t="n"/>
      <c r="E935" s="93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</row>
    <row r="936" ht="15" customHeight="1" s="220">
      <c r="A936" s="12" t="n"/>
      <c r="B936" s="93" t="n"/>
      <c r="C936" s="93" t="n"/>
      <c r="D936" s="93" t="n"/>
      <c r="E936" s="93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</row>
    <row r="937" ht="15" customHeight="1" s="220">
      <c r="A937" s="12" t="n"/>
      <c r="B937" s="93" t="n"/>
      <c r="C937" s="93" t="n"/>
      <c r="D937" s="93" t="n"/>
      <c r="E937" s="93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</row>
    <row r="938" ht="15" customHeight="1" s="220">
      <c r="A938" s="12" t="n"/>
      <c r="B938" s="93" t="n"/>
      <c r="C938" s="93" t="n"/>
      <c r="D938" s="93" t="n"/>
      <c r="E938" s="93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</row>
    <row r="939" ht="15" customHeight="1" s="220">
      <c r="A939" s="12" t="n"/>
      <c r="B939" s="93" t="n"/>
      <c r="C939" s="93" t="n"/>
      <c r="D939" s="93" t="n"/>
      <c r="E939" s="93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</row>
    <row r="940" ht="15" customHeight="1" s="220">
      <c r="A940" s="12" t="n"/>
      <c r="B940" s="93" t="n"/>
      <c r="C940" s="93" t="n"/>
      <c r="D940" s="93" t="n"/>
      <c r="E940" s="93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</row>
    <row r="941" ht="15" customHeight="1" s="220">
      <c r="A941" s="12" t="n"/>
      <c r="B941" s="93" t="n"/>
      <c r="C941" s="93" t="n"/>
      <c r="D941" s="93" t="n"/>
      <c r="E941" s="93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</row>
    <row r="942" ht="15" customHeight="1" s="220">
      <c r="A942" s="12" t="n"/>
      <c r="B942" s="93" t="n"/>
      <c r="C942" s="93" t="n"/>
      <c r="D942" s="93" t="n"/>
      <c r="E942" s="93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</row>
    <row r="943" ht="15" customHeight="1" s="220">
      <c r="A943" s="12" t="n"/>
      <c r="B943" s="93" t="n"/>
      <c r="C943" s="93" t="n"/>
      <c r="D943" s="93" t="n"/>
      <c r="E943" s="93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</row>
    <row r="944" ht="15" customHeight="1" s="220">
      <c r="A944" s="12" t="n"/>
      <c r="B944" s="93" t="n"/>
      <c r="C944" s="93" t="n"/>
      <c r="D944" s="93" t="n"/>
      <c r="E944" s="93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</row>
    <row r="945" ht="15" customHeight="1" s="220">
      <c r="A945" s="12" t="n"/>
      <c r="B945" s="93" t="n"/>
      <c r="C945" s="93" t="n"/>
      <c r="D945" s="93" t="n"/>
      <c r="E945" s="93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</row>
    <row r="946" ht="15" customHeight="1" s="220">
      <c r="A946" s="12" t="n"/>
      <c r="B946" s="93" t="n"/>
      <c r="C946" s="93" t="n"/>
      <c r="D946" s="93" t="n"/>
      <c r="E946" s="93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</row>
    <row r="947" ht="15" customHeight="1" s="220">
      <c r="A947" s="12" t="n"/>
      <c r="B947" s="93" t="n"/>
      <c r="C947" s="93" t="n"/>
      <c r="D947" s="93" t="n"/>
      <c r="E947" s="93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</row>
    <row r="948" ht="15" customHeight="1" s="220">
      <c r="A948" s="12" t="n"/>
      <c r="B948" s="93" t="n"/>
      <c r="C948" s="93" t="n"/>
      <c r="D948" s="93" t="n"/>
      <c r="E948" s="93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</row>
    <row r="949" ht="15" customHeight="1" s="220">
      <c r="A949" s="12" t="n"/>
      <c r="B949" s="93" t="n"/>
      <c r="C949" s="93" t="n"/>
      <c r="D949" s="93" t="n"/>
      <c r="E949" s="93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</row>
    <row r="950" ht="15" customHeight="1" s="220">
      <c r="A950" s="12" t="n"/>
      <c r="B950" s="93" t="n"/>
      <c r="C950" s="93" t="n"/>
      <c r="D950" s="93" t="n"/>
      <c r="E950" s="93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</row>
    <row r="951" ht="15" customHeight="1" s="220">
      <c r="A951" s="12" t="n"/>
      <c r="B951" s="93" t="n"/>
      <c r="C951" s="93" t="n"/>
      <c r="D951" s="93" t="n"/>
      <c r="E951" s="93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</row>
    <row r="952" ht="15" customHeight="1" s="220">
      <c r="A952" s="12" t="n"/>
      <c r="B952" s="93" t="n"/>
      <c r="C952" s="93" t="n"/>
      <c r="D952" s="93" t="n"/>
      <c r="E952" s="93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</row>
    <row r="953" ht="15" customHeight="1" s="220">
      <c r="A953" s="12" t="n"/>
      <c r="B953" s="93" t="n"/>
      <c r="C953" s="93" t="n"/>
      <c r="D953" s="93" t="n"/>
      <c r="E953" s="93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</row>
    <row r="954" ht="15" customHeight="1" s="220">
      <c r="A954" s="12" t="n"/>
      <c r="B954" s="93" t="n"/>
      <c r="C954" s="93" t="n"/>
      <c r="D954" s="93" t="n"/>
      <c r="E954" s="93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</row>
    <row r="955" ht="15" customHeight="1" s="220">
      <c r="A955" s="12" t="n"/>
      <c r="B955" s="93" t="n"/>
      <c r="C955" s="93" t="n"/>
      <c r="D955" s="93" t="n"/>
      <c r="E955" s="93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</row>
    <row r="956" ht="15" customHeight="1" s="220">
      <c r="A956" s="12" t="n"/>
      <c r="B956" s="93" t="n"/>
      <c r="C956" s="93" t="n"/>
      <c r="D956" s="93" t="n"/>
      <c r="E956" s="93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</row>
    <row r="957" ht="15" customHeight="1" s="220">
      <c r="A957" s="12" t="n"/>
      <c r="B957" s="93" t="n"/>
      <c r="C957" s="93" t="n"/>
      <c r="D957" s="93" t="n"/>
      <c r="E957" s="93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</row>
    <row r="958" ht="15" customHeight="1" s="220">
      <c r="A958" s="12" t="n"/>
      <c r="B958" s="93" t="n"/>
      <c r="C958" s="93" t="n"/>
      <c r="D958" s="93" t="n"/>
      <c r="E958" s="93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</row>
    <row r="959" ht="15" customHeight="1" s="220">
      <c r="A959" s="12" t="n"/>
      <c r="B959" s="93" t="n"/>
      <c r="C959" s="93" t="n"/>
      <c r="D959" s="93" t="n"/>
      <c r="E959" s="93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</row>
    <row r="960" ht="15" customHeight="1" s="220">
      <c r="A960" s="12" t="n"/>
      <c r="B960" s="93" t="n"/>
      <c r="C960" s="93" t="n"/>
      <c r="D960" s="93" t="n"/>
      <c r="E960" s="93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</row>
    <row r="961" ht="15" customHeight="1" s="220">
      <c r="A961" s="12" t="n"/>
      <c r="B961" s="93" t="n"/>
      <c r="C961" s="93" t="n"/>
      <c r="D961" s="93" t="n"/>
      <c r="E961" s="93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</row>
    <row r="962" ht="15" customHeight="1" s="220">
      <c r="A962" s="12" t="n"/>
      <c r="B962" s="93" t="n"/>
      <c r="C962" s="93" t="n"/>
      <c r="D962" s="93" t="n"/>
      <c r="E962" s="93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</row>
    <row r="963" ht="15" customHeight="1" s="220">
      <c r="A963" s="12" t="n"/>
      <c r="B963" s="93" t="n"/>
      <c r="C963" s="93" t="n"/>
      <c r="D963" s="93" t="n"/>
      <c r="E963" s="93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</row>
    <row r="964" ht="15" customHeight="1" s="220">
      <c r="A964" s="12" t="n"/>
      <c r="B964" s="93" t="n"/>
      <c r="C964" s="93" t="n"/>
      <c r="D964" s="93" t="n"/>
      <c r="E964" s="93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</row>
    <row r="965" ht="15" customHeight="1" s="220">
      <c r="A965" s="12" t="n"/>
      <c r="B965" s="93" t="n"/>
      <c r="C965" s="93" t="n"/>
      <c r="D965" s="93" t="n"/>
      <c r="E965" s="93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</row>
    <row r="966" ht="15" customHeight="1" s="220">
      <c r="A966" s="12" t="n"/>
      <c r="B966" s="93" t="n"/>
      <c r="C966" s="93" t="n"/>
      <c r="D966" s="93" t="n"/>
      <c r="E966" s="93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</row>
    <row r="967" ht="15" customHeight="1" s="220">
      <c r="A967" s="12" t="n"/>
      <c r="B967" s="93" t="n"/>
      <c r="C967" s="93" t="n"/>
      <c r="D967" s="93" t="n"/>
      <c r="E967" s="93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</row>
    <row r="968" ht="15" customHeight="1" s="220">
      <c r="A968" s="12" t="n"/>
      <c r="B968" s="93" t="n"/>
      <c r="C968" s="93" t="n"/>
      <c r="D968" s="93" t="n"/>
      <c r="E968" s="93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</row>
    <row r="969" ht="15" customHeight="1" s="220">
      <c r="A969" s="12" t="n"/>
      <c r="B969" s="93" t="n"/>
      <c r="C969" s="93" t="n"/>
      <c r="D969" s="93" t="n"/>
      <c r="E969" s="93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</row>
    <row r="970" ht="15" customHeight="1" s="220">
      <c r="A970" s="12" t="n"/>
      <c r="B970" s="93" t="n"/>
      <c r="C970" s="93" t="n"/>
      <c r="D970" s="93" t="n"/>
      <c r="E970" s="93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</row>
    <row r="971" ht="15" customHeight="1" s="220">
      <c r="A971" s="12" t="n"/>
      <c r="B971" s="93" t="n"/>
      <c r="C971" s="93" t="n"/>
      <c r="D971" s="93" t="n"/>
      <c r="E971" s="93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</row>
    <row r="972" ht="15" customHeight="1" s="220">
      <c r="A972" s="12" t="n"/>
      <c r="B972" s="93" t="n"/>
      <c r="C972" s="93" t="n"/>
      <c r="D972" s="93" t="n"/>
      <c r="E972" s="93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</row>
    <row r="973" ht="15" customHeight="1" s="220">
      <c r="A973" s="12" t="n"/>
      <c r="B973" s="93" t="n"/>
      <c r="C973" s="93" t="n"/>
      <c r="D973" s="93" t="n"/>
      <c r="E973" s="93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</row>
    <row r="974" ht="15" customHeight="1" s="220">
      <c r="A974" s="12" t="n"/>
      <c r="B974" s="93" t="n"/>
      <c r="C974" s="93" t="n"/>
      <c r="D974" s="93" t="n"/>
      <c r="E974" s="93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</row>
    <row r="975" ht="15" customHeight="1" s="220">
      <c r="A975" s="12" t="n"/>
      <c r="B975" s="93" t="n"/>
      <c r="C975" s="93" t="n"/>
      <c r="D975" s="93" t="n"/>
      <c r="E975" s="93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</row>
    <row r="976" ht="15" customHeight="1" s="220">
      <c r="A976" s="12" t="n"/>
      <c r="B976" s="93" t="n"/>
      <c r="C976" s="93" t="n"/>
      <c r="D976" s="93" t="n"/>
      <c r="E976" s="93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</row>
    <row r="977" ht="15" customHeight="1" s="220">
      <c r="A977" s="12" t="n"/>
      <c r="B977" s="93" t="n"/>
      <c r="C977" s="93" t="n"/>
      <c r="D977" s="93" t="n"/>
      <c r="E977" s="93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</row>
    <row r="978" ht="15" customHeight="1" s="220">
      <c r="A978" s="12" t="n"/>
      <c r="B978" s="93" t="n"/>
      <c r="C978" s="93" t="n"/>
      <c r="D978" s="93" t="n"/>
      <c r="E978" s="93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</row>
    <row r="979" ht="15" customHeight="1" s="220">
      <c r="A979" s="12" t="n"/>
      <c r="B979" s="93" t="n"/>
      <c r="C979" s="93" t="n"/>
      <c r="D979" s="93" t="n"/>
      <c r="E979" s="93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</row>
    <row r="980" ht="15" customHeight="1" s="220">
      <c r="A980" s="12" t="n"/>
      <c r="B980" s="93" t="n"/>
      <c r="C980" s="93" t="n"/>
      <c r="D980" s="93" t="n"/>
      <c r="E980" s="93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</row>
    <row r="981" ht="15" customHeight="1" s="220">
      <c r="A981" s="12" t="n"/>
      <c r="B981" s="93" t="n"/>
      <c r="C981" s="93" t="n"/>
      <c r="D981" s="93" t="n"/>
      <c r="E981" s="93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</row>
    <row r="982" ht="15" customHeight="1" s="220">
      <c r="A982" s="12" t="n"/>
      <c r="B982" s="93" t="n"/>
      <c r="C982" s="93" t="n"/>
      <c r="D982" s="93" t="n"/>
      <c r="E982" s="93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</row>
    <row r="983" ht="15" customHeight="1" s="220">
      <c r="A983" s="12" t="n"/>
      <c r="B983" s="93" t="n"/>
      <c r="C983" s="93" t="n"/>
      <c r="D983" s="93" t="n"/>
      <c r="E983" s="93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</row>
    <row r="984" ht="15" customHeight="1" s="220">
      <c r="A984" s="12" t="n"/>
      <c r="B984" s="93" t="n"/>
      <c r="C984" s="93" t="n"/>
      <c r="D984" s="93" t="n"/>
      <c r="E984" s="93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</row>
    <row r="985" ht="15" customHeight="1" s="220">
      <c r="A985" s="12" t="n"/>
      <c r="B985" s="93" t="n"/>
      <c r="C985" s="93" t="n"/>
      <c r="D985" s="93" t="n"/>
      <c r="E985" s="93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</row>
    <row r="986" ht="15" customHeight="1" s="220">
      <c r="A986" s="12" t="n"/>
      <c r="B986" s="93" t="n"/>
      <c r="C986" s="93" t="n"/>
      <c r="D986" s="93" t="n"/>
      <c r="E986" s="93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</row>
    <row r="987" ht="15" customHeight="1" s="220">
      <c r="A987" s="12" t="n"/>
      <c r="B987" s="93" t="n"/>
      <c r="C987" s="93" t="n"/>
      <c r="D987" s="93" t="n"/>
      <c r="E987" s="93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</row>
    <row r="988" ht="15" customHeight="1" s="220">
      <c r="A988" s="12" t="n"/>
      <c r="B988" s="93" t="n"/>
      <c r="C988" s="93" t="n"/>
      <c r="D988" s="93" t="n"/>
      <c r="E988" s="93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</row>
    <row r="989" ht="15" customHeight="1" s="220">
      <c r="A989" s="12" t="n"/>
      <c r="B989" s="93" t="n"/>
      <c r="C989" s="93" t="n"/>
      <c r="D989" s="93" t="n"/>
      <c r="E989" s="93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</row>
    <row r="990" ht="15" customHeight="1" s="220">
      <c r="A990" s="12" t="n"/>
      <c r="B990" s="93" t="n"/>
      <c r="C990" s="93" t="n"/>
      <c r="D990" s="93" t="n"/>
      <c r="E990" s="93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</row>
    <row r="991" ht="15" customHeight="1" s="220">
      <c r="A991" s="12" t="n"/>
      <c r="B991" s="93" t="n"/>
      <c r="C991" s="93" t="n"/>
      <c r="D991" s="93" t="n"/>
      <c r="E991" s="93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</row>
    <row r="992" ht="15" customHeight="1" s="220">
      <c r="A992" s="12" t="n"/>
      <c r="B992" s="93" t="n"/>
      <c r="C992" s="93" t="n"/>
      <c r="D992" s="93" t="n"/>
      <c r="E992" s="93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</row>
    <row r="993" ht="15" customHeight="1" s="220">
      <c r="A993" s="12" t="n"/>
      <c r="B993" s="93" t="n"/>
      <c r="C993" s="93" t="n"/>
      <c r="D993" s="93" t="n"/>
      <c r="E993" s="93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</row>
    <row r="994" ht="15" customHeight="1" s="220">
      <c r="A994" s="12" t="n"/>
      <c r="B994" s="93" t="n"/>
      <c r="C994" s="93" t="n"/>
      <c r="D994" s="93" t="n"/>
      <c r="E994" s="93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</row>
    <row r="995" ht="15" customHeight="1" s="220">
      <c r="A995" s="12" t="n"/>
      <c r="B995" s="93" t="n"/>
      <c r="C995" s="93" t="n"/>
      <c r="D995" s="93" t="n"/>
      <c r="E995" s="93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</row>
    <row r="996" ht="15" customHeight="1" s="220">
      <c r="A996" s="12" t="n"/>
      <c r="B996" s="93" t="n"/>
      <c r="C996" s="93" t="n"/>
      <c r="D996" s="93" t="n"/>
      <c r="E996" s="93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</row>
    <row r="997" ht="15" customHeight="1" s="220">
      <c r="A997" s="12" t="n"/>
      <c r="B997" s="93" t="n"/>
      <c r="C997" s="93" t="n"/>
      <c r="D997" s="93" t="n"/>
      <c r="E997" s="93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</row>
    <row r="998" ht="15" customHeight="1" s="220">
      <c r="A998" s="12" t="n"/>
      <c r="B998" s="93" t="n"/>
      <c r="C998" s="93" t="n"/>
      <c r="D998" s="93" t="n"/>
      <c r="E998" s="93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</row>
    <row r="999" ht="15" customHeight="1" s="220">
      <c r="A999" s="12" t="n"/>
      <c r="B999" s="93" t="n"/>
      <c r="C999" s="93" t="n"/>
      <c r="D999" s="93" t="n"/>
      <c r="E999" s="93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</row>
    <row r="1000" ht="15" customHeight="1" s="220">
      <c r="A1000" s="12" t="n"/>
      <c r="B1000" s="93" t="n"/>
      <c r="C1000" s="93" t="n"/>
      <c r="D1000" s="93" t="n"/>
      <c r="E1000" s="93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</row>
  </sheetData>
  <conditionalFormatting sqref="U1:U365">
    <cfRule type="containsText" priority="1" operator="containsText" dxfId="4" text="Available">
      <formula>NOT(ISERROR(SEARCH(("Available"),(U1))))</formula>
    </cfRule>
  </conditionalFormatting>
  <conditionalFormatting sqref="U2:U365">
    <cfRule type="containsText" priority="2" operator="containsText" dxfId="5" text="Sold">
      <formula>NOT(ISERROR(SEARCH(("Sold"),(U2))))</formula>
    </cfRule>
    <cfRule type="containsText" priority="3" operator="containsText" dxfId="6" text="Return">
      <formula>NOT(ISERROR(SEARCH(("Return"),(U2))))</formula>
    </cfRule>
  </conditionalFormatting>
  <conditionalFormatting sqref="V334">
    <cfRule type="containsText" priority="4" operator="containsText" dxfId="4" text="Available">
      <formula>NOT(ISERROR(SEARCH(("Available"),(V334))))</formula>
    </cfRule>
    <cfRule type="containsText" priority="5" operator="containsText" dxfId="5" text="Sold">
      <formula>NOT(ISERROR(SEARCH(("Sold"),(V334))))</formula>
    </cfRule>
    <cfRule type="containsText" priority="6" operator="containsText" dxfId="6" text="Return">
      <formula>NOT(ISERROR(SEARCH(("Return"),(V334))))</formula>
    </cfRule>
  </conditionalFormatting>
  <pageMargins left="0.25" right="0.25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.29" customWidth="1" style="220" min="1" max="1"/>
    <col width="14.71" customWidth="1" style="220" min="2" max="2"/>
    <col width="15.14" customWidth="1" style="220" min="3" max="3"/>
    <col width="17.71" customWidth="1" style="220" min="4" max="4"/>
    <col width="14.29" customWidth="1" style="220" min="5" max="5"/>
    <col width="15" customWidth="1" style="220" min="6" max="6"/>
    <col width="14.29" customWidth="1" style="220" min="7" max="7"/>
    <col width="11.57" customWidth="1" style="220" min="8" max="8"/>
    <col width="7.43" customWidth="1" style="220" min="9" max="9"/>
    <col width="9.859999999999999" customWidth="1" style="220" min="10" max="10"/>
    <col width="8.140000000000001" customWidth="1" style="220" min="11" max="11"/>
    <col width="13.86" customWidth="1" style="220" min="12" max="15"/>
    <col width="12" customWidth="1" style="220" min="16" max="16"/>
    <col width="14" customWidth="1" style="220" min="17" max="17"/>
    <col width="17.57" customWidth="1" style="220" min="18" max="18"/>
    <col width="14.57" customWidth="1" style="220" min="19" max="19"/>
    <col width="4.29" customWidth="1" style="220" min="20" max="20"/>
    <col width="11" customWidth="1" style="220" min="21" max="21"/>
    <col width="17.14" customWidth="1" style="220" min="22" max="22"/>
    <col width="9.140000000000001" customWidth="1" style="220" min="23" max="24"/>
    <col width="4.14" customWidth="1" style="220" min="25" max="25"/>
    <col width="8.710000000000001" customWidth="1" style="220" min="26" max="26"/>
  </cols>
  <sheetData>
    <row r="1" ht="18.75" customHeight="1" s="220">
      <c r="A1" s="171" t="inlineStr">
        <is>
          <t>Sn</t>
        </is>
      </c>
      <c r="B1" s="171" t="inlineStr">
        <is>
          <t>Net Weight</t>
        </is>
      </c>
      <c r="C1" s="171" t="inlineStr">
        <is>
          <t>Wstg + MC</t>
        </is>
      </c>
      <c r="D1" s="171" t="inlineStr">
        <is>
          <t>Gross Weight</t>
        </is>
      </c>
      <c r="E1" s="171" t="inlineStr">
        <is>
          <t>Dmd &lt;0.06</t>
        </is>
      </c>
      <c r="F1" s="171" t="inlineStr">
        <is>
          <t>Dmd &lt; 0.12</t>
        </is>
      </c>
      <c r="G1" s="171" t="inlineStr">
        <is>
          <t>Dmd &lt;0.17</t>
        </is>
      </c>
      <c r="H1" s="171" t="inlineStr">
        <is>
          <t>Dmd Big</t>
        </is>
      </c>
      <c r="I1" s="171" t="inlineStr">
        <is>
          <t>Ruby</t>
        </is>
      </c>
      <c r="J1" s="171" t="inlineStr">
        <is>
          <t>Emreld</t>
        </is>
      </c>
      <c r="K1" s="171" t="inlineStr">
        <is>
          <t>Muga</t>
        </is>
      </c>
      <c r="L1" s="171" t="inlineStr">
        <is>
          <t>Dmd Price</t>
        </is>
      </c>
      <c r="M1" s="171" t="inlineStr">
        <is>
          <t>Dmd Price</t>
        </is>
      </c>
      <c r="N1" s="171" t="inlineStr">
        <is>
          <t>Dmd Price</t>
        </is>
      </c>
      <c r="O1" s="171" t="inlineStr">
        <is>
          <t>Dmd Price</t>
        </is>
      </c>
      <c r="P1" s="171" t="inlineStr">
        <is>
          <t>Stn Price</t>
        </is>
      </c>
      <c r="Q1" s="172" t="inlineStr">
        <is>
          <t>Gold Price</t>
        </is>
      </c>
      <c r="R1" s="171" t="inlineStr">
        <is>
          <t>Ttl dmd Price</t>
        </is>
      </c>
      <c r="S1" s="172" t="inlineStr">
        <is>
          <t>Total Price</t>
        </is>
      </c>
      <c r="T1" s="171" t="inlineStr">
        <is>
          <t>Sn</t>
        </is>
      </c>
      <c r="U1" s="51" t="n"/>
      <c r="V1" s="51" t="n"/>
      <c r="W1" s="51" t="n"/>
      <c r="X1" s="51" t="n"/>
      <c r="Y1" s="51" t="n"/>
      <c r="Z1" s="93" t="n"/>
    </row>
    <row r="2" ht="18.75" customHeight="1" s="220">
      <c r="A2" s="196" t="n">
        <v>1</v>
      </c>
      <c r="B2" s="196" t="n">
        <v>5.478</v>
      </c>
      <c r="C2" s="196">
        <f>B2*(25/100)</f>
        <v/>
      </c>
      <c r="D2" s="196">
        <f>C2+B2</f>
        <v/>
      </c>
      <c r="E2" s="196">
        <f>0.63+0.08</f>
        <v/>
      </c>
      <c r="F2" s="196" t="n"/>
      <c r="G2" s="196" t="n"/>
      <c r="H2" s="196" t="n"/>
      <c r="I2" s="196" t="n"/>
      <c r="J2" s="196" t="n"/>
      <c r="K2" s="196" t="n"/>
      <c r="L2" s="197">
        <f>E2*60000</f>
        <v/>
      </c>
      <c r="M2" s="197">
        <f>F2*70000</f>
        <v/>
      </c>
      <c r="N2" s="197">
        <f>G2*90000</f>
        <v/>
      </c>
      <c r="O2" s="197">
        <f>H2*200000</f>
        <v/>
      </c>
      <c r="P2" s="197">
        <f>I2*2000+J2*4000+K2*650</f>
        <v/>
      </c>
      <c r="Q2" s="197">
        <f>D2*6700</f>
        <v/>
      </c>
      <c r="R2" s="198">
        <f>L2+M2+N2+O2</f>
        <v/>
      </c>
      <c r="S2" s="197">
        <f>R2+Q2+P2</f>
        <v/>
      </c>
      <c r="T2" s="196" t="n">
        <v>1</v>
      </c>
      <c r="U2" s="26" t="inlineStr">
        <is>
          <t>Return</t>
        </is>
      </c>
      <c r="V2" s="192" t="n"/>
      <c r="W2" s="192" t="n"/>
      <c r="X2" s="192" t="n"/>
      <c r="Y2" s="192" t="n"/>
      <c r="Z2" s="93" t="n"/>
    </row>
    <row r="3" ht="18.75" customHeight="1" s="220">
      <c r="A3" s="26" t="n">
        <v>2</v>
      </c>
      <c r="B3" s="26" t="n">
        <v>6.094</v>
      </c>
      <c r="C3" s="26">
        <f>B3*(25/100)</f>
        <v/>
      </c>
      <c r="D3" s="26">
        <f>C3+B3</f>
        <v/>
      </c>
      <c r="E3" s="26" t="n"/>
      <c r="F3" s="26" t="n"/>
      <c r="G3" s="26" t="n"/>
      <c r="H3" s="26" t="n">
        <v>0.53</v>
      </c>
      <c r="I3" s="26" t="n"/>
      <c r="J3" s="26" t="n"/>
      <c r="K3" s="26" t="n"/>
      <c r="L3" s="174">
        <f>E3*Prices!B$2</f>
        <v/>
      </c>
      <c r="M3" s="174">
        <f>F3*Prices!C$2</f>
        <v/>
      </c>
      <c r="N3" s="174">
        <f>G3*Prices!D$2</f>
        <v/>
      </c>
      <c r="O3" s="174">
        <f>H3*Prices!E$2</f>
        <v/>
      </c>
      <c r="P3" s="174">
        <f>I3*2000+J3*4000+K3*650</f>
        <v/>
      </c>
      <c r="Q3" s="174">
        <f>D3*Prices!A$2</f>
        <v/>
      </c>
      <c r="R3" s="175">
        <f>L3+M3+N3+O3</f>
        <v/>
      </c>
      <c r="S3" s="174">
        <f>R3+Q3+P3</f>
        <v/>
      </c>
      <c r="T3" s="26" t="n">
        <v>2</v>
      </c>
      <c r="U3" s="26" t="inlineStr">
        <is>
          <t>Available</t>
        </is>
      </c>
      <c r="V3" s="242" t="inlineStr">
        <is>
          <t>A</t>
        </is>
      </c>
      <c r="W3" s="93" t="n"/>
      <c r="X3" s="93" t="n"/>
      <c r="Y3" s="93" t="n"/>
      <c r="Z3" s="93" t="n"/>
    </row>
    <row r="4" ht="18.75" customHeight="1" s="220">
      <c r="A4" s="26" t="n">
        <v>3</v>
      </c>
      <c r="B4" s="26" t="n">
        <v>6.94</v>
      </c>
      <c r="C4" s="26">
        <f>B4*(25/100)</f>
        <v/>
      </c>
      <c r="D4" s="26">
        <f>C4+B4</f>
        <v/>
      </c>
      <c r="E4" s="26" t="n"/>
      <c r="F4" s="26" t="n"/>
      <c r="G4" s="26" t="n"/>
      <c r="H4" s="26" t="n">
        <v>0.27</v>
      </c>
      <c r="I4" s="26" t="n"/>
      <c r="J4" s="26" t="n"/>
      <c r="K4" s="26" t="n"/>
      <c r="L4" s="174">
        <f>E4*Prices!B$2</f>
        <v/>
      </c>
      <c r="M4" s="174">
        <f>F4*Prices!C$2</f>
        <v/>
      </c>
      <c r="N4" s="174">
        <f>G4*Prices!D$2</f>
        <v/>
      </c>
      <c r="O4" s="200">
        <f>H4*200000</f>
        <v/>
      </c>
      <c r="P4" s="174">
        <f>I4*2000+J4*4000+K4*650</f>
        <v/>
      </c>
      <c r="Q4" s="174">
        <f>D4*Prices!A$2</f>
        <v/>
      </c>
      <c r="R4" s="175">
        <f>L4+M4+N4+O4</f>
        <v/>
      </c>
      <c r="S4" s="174">
        <f>R4+Q4+P4</f>
        <v/>
      </c>
      <c r="T4" s="26" t="n">
        <v>3</v>
      </c>
      <c r="U4" s="26" t="inlineStr">
        <is>
          <t>Sold</t>
        </is>
      </c>
      <c r="V4" s="242" t="n"/>
      <c r="W4" s="93" t="n"/>
      <c r="X4" s="93" t="n"/>
      <c r="Y4" s="93" t="n"/>
      <c r="Z4" s="93" t="n"/>
    </row>
    <row r="5" ht="18.75" customHeight="1" s="220">
      <c r="A5" s="26" t="n">
        <v>4</v>
      </c>
      <c r="B5" s="26" t="n">
        <v>3.694</v>
      </c>
      <c r="C5" s="26">
        <f>B5*(25/100)</f>
        <v/>
      </c>
      <c r="D5" s="26">
        <f>C5+B5</f>
        <v/>
      </c>
      <c r="E5" s="26" t="n">
        <v>0.46</v>
      </c>
      <c r="F5" s="26" t="n"/>
      <c r="G5" s="26" t="n"/>
      <c r="H5" s="26" t="n"/>
      <c r="I5" s="26" t="n"/>
      <c r="J5" s="26" t="n"/>
      <c r="K5" s="26" t="n"/>
      <c r="L5" s="174">
        <f>E5*Prices!B$2</f>
        <v/>
      </c>
      <c r="M5" s="174">
        <f>F5*Prices!C$2</f>
        <v/>
      </c>
      <c r="N5" s="174">
        <f>G5*Prices!D$2</f>
        <v/>
      </c>
      <c r="O5" s="174">
        <f>H5*Prices!E$2</f>
        <v/>
      </c>
      <c r="P5" s="174">
        <f>I5*2000+J5*4000+K5*650</f>
        <v/>
      </c>
      <c r="Q5" s="174">
        <f>D5*Prices!A$2</f>
        <v/>
      </c>
      <c r="R5" s="175">
        <f>L5+M5+N5+O5</f>
        <v/>
      </c>
      <c r="S5" s="174">
        <f>R5+Q5+P5</f>
        <v/>
      </c>
      <c r="T5" s="26" t="n">
        <v>4</v>
      </c>
      <c r="U5" s="26" t="inlineStr">
        <is>
          <t>Sold</t>
        </is>
      </c>
      <c r="V5" s="242" t="n"/>
      <c r="W5" s="93" t="n"/>
      <c r="X5" s="93" t="n"/>
      <c r="Y5" s="93" t="n"/>
      <c r="Z5" s="93" t="n"/>
    </row>
    <row r="6" ht="18.75" customHeight="1" s="220">
      <c r="A6" s="26" t="n">
        <v>5</v>
      </c>
      <c r="B6" s="26" t="n">
        <v>4.15</v>
      </c>
      <c r="C6" s="26">
        <f>B6*(25/100)</f>
        <v/>
      </c>
      <c r="D6" s="26">
        <f>C6+B6</f>
        <v/>
      </c>
      <c r="E6" s="93" t="n"/>
      <c r="F6" s="26" t="n">
        <v>0.7</v>
      </c>
      <c r="G6" s="26" t="n"/>
      <c r="H6" s="26" t="n"/>
      <c r="I6" s="26" t="n"/>
      <c r="J6" s="26" t="n"/>
      <c r="K6" s="26" t="n"/>
      <c r="L6" s="174">
        <f>E6*Prices!B$2</f>
        <v/>
      </c>
      <c r="M6" s="174">
        <f>F6*Prices!C$2</f>
        <v/>
      </c>
      <c r="N6" s="174">
        <f>G6*Prices!D$2</f>
        <v/>
      </c>
      <c r="O6" s="174">
        <f>H6*Prices!E$2</f>
        <v/>
      </c>
      <c r="P6" s="174">
        <f>I6*2000+J6*4000+K6*650</f>
        <v/>
      </c>
      <c r="Q6" s="174">
        <f>D6*Prices!A$2</f>
        <v/>
      </c>
      <c r="R6" s="175">
        <f>L6+M6+N6+O6</f>
        <v/>
      </c>
      <c r="S6" s="174">
        <f>R6+Q6+P6</f>
        <v/>
      </c>
      <c r="T6" s="26" t="n">
        <v>5</v>
      </c>
      <c r="U6" s="26" t="inlineStr">
        <is>
          <t>Available</t>
        </is>
      </c>
      <c r="V6" s="242" t="inlineStr">
        <is>
          <t>A</t>
        </is>
      </c>
      <c r="W6" s="93" t="n"/>
      <c r="X6" s="93" t="n"/>
      <c r="Y6" s="93" t="n"/>
      <c r="Z6" s="93" t="n"/>
    </row>
    <row r="7" ht="18.75" customHeight="1" s="220">
      <c r="A7" s="26" t="n">
        <v>6</v>
      </c>
      <c r="B7" s="26" t="n">
        <v>3.284</v>
      </c>
      <c r="C7" s="26">
        <f>B7*(25/100)</f>
        <v/>
      </c>
      <c r="D7" s="26">
        <f>C7+B7</f>
        <v/>
      </c>
      <c r="E7" s="26" t="n">
        <v>0.58</v>
      </c>
      <c r="F7" s="26" t="n"/>
      <c r="G7" s="26" t="n"/>
      <c r="H7" s="26" t="n"/>
      <c r="I7" s="26" t="n"/>
      <c r="J7" s="26" t="n"/>
      <c r="K7" s="26" t="n"/>
      <c r="L7" s="174">
        <f>E7*Prices!B$2</f>
        <v/>
      </c>
      <c r="M7" s="174">
        <f>F7*Prices!C$2</f>
        <v/>
      </c>
      <c r="N7" s="174">
        <f>G7*Prices!D$2</f>
        <v/>
      </c>
      <c r="O7" s="174">
        <f>H7*Prices!E$2</f>
        <v/>
      </c>
      <c r="P7" s="174">
        <f>I7*2000+J7*4000+K7*650</f>
        <v/>
      </c>
      <c r="Q7" s="174">
        <f>D7*Prices!A$2</f>
        <v/>
      </c>
      <c r="R7" s="175">
        <f>L7+M7+N7+O7</f>
        <v/>
      </c>
      <c r="S7" s="174">
        <f>R7+Q7+P7</f>
        <v/>
      </c>
      <c r="T7" s="26" t="n">
        <v>6</v>
      </c>
      <c r="U7" s="26" t="inlineStr">
        <is>
          <t>Available</t>
        </is>
      </c>
      <c r="V7" s="242" t="inlineStr">
        <is>
          <t>A</t>
        </is>
      </c>
      <c r="W7" s="93" t="n"/>
      <c r="X7" s="93" t="n"/>
      <c r="Y7" s="93" t="n"/>
      <c r="Z7" s="93" t="n"/>
    </row>
    <row r="8" ht="18.75" customHeight="1" s="220">
      <c r="A8" s="26" t="n">
        <v>7</v>
      </c>
      <c r="B8" s="26" t="n">
        <v>5.862</v>
      </c>
      <c r="C8" s="26">
        <f>B8*(25/100)</f>
        <v/>
      </c>
      <c r="D8" s="26">
        <f>C8+B8</f>
        <v/>
      </c>
      <c r="E8" s="26" t="n"/>
      <c r="F8" s="26" t="n"/>
      <c r="G8" s="26" t="n"/>
      <c r="H8" s="26" t="n">
        <v>0.39</v>
      </c>
      <c r="I8" s="26" t="n"/>
      <c r="J8" s="26" t="n"/>
      <c r="K8" s="26" t="n"/>
      <c r="L8" s="174">
        <f>E8*Prices!B$2</f>
        <v/>
      </c>
      <c r="M8" s="174">
        <f>F8*Prices!C$2</f>
        <v/>
      </c>
      <c r="N8" s="174">
        <f>G8*Prices!D$2</f>
        <v/>
      </c>
      <c r="O8" s="174">
        <f>H8*Prices!E$2</f>
        <v/>
      </c>
      <c r="P8" s="174">
        <f>I8*2000+J8*4000+K8*650</f>
        <v/>
      </c>
      <c r="Q8" s="174">
        <f>D8*Prices!A$2</f>
        <v/>
      </c>
      <c r="R8" s="175">
        <f>L8+M8+N8+O8</f>
        <v/>
      </c>
      <c r="S8" s="174">
        <f>R8+Q8+P8</f>
        <v/>
      </c>
      <c r="T8" s="26" t="n">
        <v>7</v>
      </c>
      <c r="U8" s="26" t="inlineStr">
        <is>
          <t>Available</t>
        </is>
      </c>
      <c r="V8" s="242" t="inlineStr">
        <is>
          <t>A</t>
        </is>
      </c>
      <c r="W8" s="93" t="n"/>
      <c r="X8" s="93" t="n"/>
      <c r="Y8" s="93" t="n"/>
      <c r="Z8" s="93" t="n"/>
    </row>
    <row r="9" ht="18.75" customHeight="1" s="220">
      <c r="A9" s="26" t="n">
        <v>8</v>
      </c>
      <c r="B9" s="26" t="n">
        <v>5.638</v>
      </c>
      <c r="C9" s="26">
        <f>B9*(25/100)</f>
        <v/>
      </c>
      <c r="D9" s="26">
        <f>C9+B9</f>
        <v/>
      </c>
      <c r="E9" s="26" t="n"/>
      <c r="F9" s="26" t="n"/>
      <c r="G9" s="26" t="n"/>
      <c r="H9" s="26" t="n">
        <v>0.5600000000000001</v>
      </c>
      <c r="I9" s="26" t="n"/>
      <c r="J9" s="26" t="n"/>
      <c r="K9" s="26" t="n"/>
      <c r="L9" s="174">
        <f>E9*Prices!B$2</f>
        <v/>
      </c>
      <c r="M9" s="174">
        <f>F9*Prices!C$2</f>
        <v/>
      </c>
      <c r="N9" s="174">
        <f>G9*Prices!D$2</f>
        <v/>
      </c>
      <c r="O9" s="200">
        <f>H9*180000</f>
        <v/>
      </c>
      <c r="P9" s="174">
        <f>I9*2000+J9*4000+K9*650</f>
        <v/>
      </c>
      <c r="Q9" s="174">
        <f>D9*Prices!A$2</f>
        <v/>
      </c>
      <c r="R9" s="175">
        <f>L9+M9+N9+O9</f>
        <v/>
      </c>
      <c r="S9" s="174">
        <f>R9+Q9+P9</f>
        <v/>
      </c>
      <c r="T9" s="26" t="n">
        <v>8</v>
      </c>
      <c r="U9" s="26" t="inlineStr">
        <is>
          <t>Available</t>
        </is>
      </c>
      <c r="V9" s="242" t="inlineStr">
        <is>
          <t>A</t>
        </is>
      </c>
      <c r="W9" s="93" t="n"/>
      <c r="X9" s="93" t="n"/>
      <c r="Y9" s="93" t="n"/>
      <c r="Z9" s="93" t="n"/>
    </row>
    <row r="10" ht="18.75" customHeight="1" s="220">
      <c r="A10" s="26" t="n">
        <v>9</v>
      </c>
      <c r="B10" s="26" t="n">
        <v>4.424</v>
      </c>
      <c r="C10" s="26">
        <f>B10*(25/100)</f>
        <v/>
      </c>
      <c r="D10" s="26">
        <f>C10+B10</f>
        <v/>
      </c>
      <c r="E10" s="26" t="n">
        <v>0.48</v>
      </c>
      <c r="F10" s="26" t="n"/>
      <c r="G10" s="26" t="n"/>
      <c r="H10" s="26" t="n"/>
      <c r="I10" s="26" t="n"/>
      <c r="J10" s="26" t="n"/>
      <c r="K10" s="26" t="n"/>
      <c r="L10" s="174">
        <f>E10*Prices!B$2</f>
        <v/>
      </c>
      <c r="M10" s="174">
        <f>F10*Prices!C$2</f>
        <v/>
      </c>
      <c r="N10" s="174">
        <f>G10*Prices!D$2</f>
        <v/>
      </c>
      <c r="O10" s="174">
        <f>H10*Prices!E$2</f>
        <v/>
      </c>
      <c r="P10" s="174">
        <f>I10*2000+J10*4000+K10*650</f>
        <v/>
      </c>
      <c r="Q10" s="174">
        <f>D10*Prices!A$2</f>
        <v/>
      </c>
      <c r="R10" s="175">
        <f>L10+M10+N10+O10</f>
        <v/>
      </c>
      <c r="S10" s="174">
        <f>R10+Q10+P10</f>
        <v/>
      </c>
      <c r="T10" s="26" t="n">
        <v>9</v>
      </c>
      <c r="U10" s="26" t="inlineStr">
        <is>
          <t>Sold</t>
        </is>
      </c>
      <c r="V10" s="242" t="n"/>
      <c r="W10" s="93" t="n"/>
      <c r="X10" s="93" t="n"/>
      <c r="Y10" s="93" t="n"/>
      <c r="Z10" s="93" t="n"/>
    </row>
    <row r="11" ht="18.75" customHeight="1" s="220">
      <c r="A11" s="26" t="n">
        <v>10</v>
      </c>
      <c r="B11" s="26" t="n">
        <v>3.408</v>
      </c>
      <c r="C11" s="26">
        <f>B11*(25/100)</f>
        <v/>
      </c>
      <c r="D11" s="26">
        <f>C11+B11</f>
        <v/>
      </c>
      <c r="E11" s="26" t="n">
        <v>0.51</v>
      </c>
      <c r="F11" s="26" t="n"/>
      <c r="G11" s="26" t="n"/>
      <c r="H11" s="26" t="n"/>
      <c r="I11" s="26" t="n"/>
      <c r="J11" s="26" t="n"/>
      <c r="K11" s="26" t="n"/>
      <c r="L11" s="174">
        <f>E11*Prices!B$2</f>
        <v/>
      </c>
      <c r="M11" s="174">
        <f>F11*Prices!C$2</f>
        <v/>
      </c>
      <c r="N11" s="174">
        <f>G11*Prices!D$2</f>
        <v/>
      </c>
      <c r="O11" s="174">
        <f>H11*Prices!E$2</f>
        <v/>
      </c>
      <c r="P11" s="174">
        <f>I11*2000+J11*4000+K11*650</f>
        <v/>
      </c>
      <c r="Q11" s="174">
        <f>D11*Prices!A$2</f>
        <v/>
      </c>
      <c r="R11" s="175">
        <f>L11+M11+N11+O11</f>
        <v/>
      </c>
      <c r="S11" s="174">
        <f>R11+Q11+P11</f>
        <v/>
      </c>
      <c r="T11" s="26" t="n">
        <v>10</v>
      </c>
      <c r="U11" s="26" t="inlineStr">
        <is>
          <t>Sold</t>
        </is>
      </c>
      <c r="V11" s="242" t="n"/>
      <c r="W11" s="93" t="n"/>
      <c r="X11" s="93" t="n"/>
      <c r="Y11" s="93" t="n"/>
      <c r="Z11" s="93" t="n"/>
    </row>
    <row r="12" ht="18.75" customHeight="1" s="220">
      <c r="A12" s="26" t="n">
        <v>11</v>
      </c>
      <c r="B12" s="26" t="n">
        <v>3.066</v>
      </c>
      <c r="C12" s="26">
        <f>B12*(25/100)</f>
        <v/>
      </c>
      <c r="D12" s="26">
        <f>C12+B12</f>
        <v/>
      </c>
      <c r="E12" s="26" t="n">
        <v>0.47</v>
      </c>
      <c r="F12" s="26" t="n"/>
      <c r="G12" s="26" t="n"/>
      <c r="H12" s="26" t="n"/>
      <c r="I12" s="26" t="n"/>
      <c r="J12" s="26" t="n"/>
      <c r="K12" s="26" t="n"/>
      <c r="L12" s="174">
        <f>E12*Prices!B$2</f>
        <v/>
      </c>
      <c r="M12" s="174">
        <f>F12*Prices!C$2</f>
        <v/>
      </c>
      <c r="N12" s="174">
        <f>G12*Prices!D$2</f>
        <v/>
      </c>
      <c r="O12" s="174">
        <f>H12*Prices!E$2</f>
        <v/>
      </c>
      <c r="P12" s="174">
        <f>I12*2000+J12*4000+K12*650</f>
        <v/>
      </c>
      <c r="Q12" s="174">
        <f>D12*Prices!A$2</f>
        <v/>
      </c>
      <c r="R12" s="175">
        <f>L12+M12+N12+O12</f>
        <v/>
      </c>
      <c r="S12" s="174">
        <f>R12+Q12+P12</f>
        <v/>
      </c>
      <c r="T12" s="26" t="n">
        <v>11</v>
      </c>
      <c r="U12" s="26" t="inlineStr">
        <is>
          <t>Available</t>
        </is>
      </c>
      <c r="V12" s="242" t="inlineStr">
        <is>
          <t>A</t>
        </is>
      </c>
      <c r="W12" s="93" t="n"/>
      <c r="X12" s="93" t="n"/>
      <c r="Y12" s="93" t="n"/>
      <c r="Z12" s="93" t="n"/>
    </row>
    <row r="13" ht="18.75" customHeight="1" s="220">
      <c r="A13" s="26" t="n">
        <v>12</v>
      </c>
      <c r="B13" s="26" t="n">
        <v>4.904</v>
      </c>
      <c r="C13" s="26">
        <f>B13*(25/100)</f>
        <v/>
      </c>
      <c r="D13" s="26">
        <f>C13+B13</f>
        <v/>
      </c>
      <c r="E13" s="26" t="n">
        <v>0.28</v>
      </c>
      <c r="F13" s="26" t="n"/>
      <c r="G13" s="26" t="n"/>
      <c r="H13" s="26" t="n"/>
      <c r="I13" s="26" t="n"/>
      <c r="J13" s="26" t="n"/>
      <c r="K13" s="26" t="n"/>
      <c r="L13" s="174">
        <f>E13*Prices!B$2</f>
        <v/>
      </c>
      <c r="M13" s="174">
        <f>F13*Prices!C$2</f>
        <v/>
      </c>
      <c r="N13" s="174">
        <f>G13*Prices!D$2</f>
        <v/>
      </c>
      <c r="O13" s="174">
        <f>H13*Prices!E$2</f>
        <v/>
      </c>
      <c r="P13" s="174">
        <f>I13*2000+J13*4000+K13*650</f>
        <v/>
      </c>
      <c r="Q13" s="174">
        <f>D13*Prices!A$2</f>
        <v/>
      </c>
      <c r="R13" s="175">
        <f>L13+M13+N13+O13</f>
        <v/>
      </c>
      <c r="S13" s="174">
        <f>R13+Q13+P13</f>
        <v/>
      </c>
      <c r="T13" s="26" t="n">
        <v>12</v>
      </c>
      <c r="U13" s="26" t="inlineStr">
        <is>
          <t>Sold</t>
        </is>
      </c>
      <c r="V13" s="242" t="n"/>
      <c r="W13" s="93" t="n"/>
      <c r="X13" s="93" t="n"/>
      <c r="Y13" s="93" t="n"/>
      <c r="Z13" s="93" t="n"/>
    </row>
    <row r="14" ht="18.75" customHeight="1" s="220">
      <c r="A14" s="26" t="n">
        <v>13</v>
      </c>
      <c r="B14" s="26" t="n">
        <v>5.922</v>
      </c>
      <c r="C14" s="26">
        <f>B14*(25/100)</f>
        <v/>
      </c>
      <c r="D14" s="26">
        <f>C14+B14</f>
        <v/>
      </c>
      <c r="E14" s="26" t="n"/>
      <c r="F14" s="26" t="n"/>
      <c r="G14" s="26" t="n">
        <v>0.79</v>
      </c>
      <c r="H14" s="26" t="n"/>
      <c r="I14" s="26" t="n"/>
      <c r="J14" s="26" t="n"/>
      <c r="K14" s="26" t="n"/>
      <c r="L14" s="174">
        <f>E14*Prices!B$2</f>
        <v/>
      </c>
      <c r="M14" s="174">
        <f>F14*Prices!C$2</f>
        <v/>
      </c>
      <c r="N14" s="174">
        <f>G14*Prices!D$2</f>
        <v/>
      </c>
      <c r="O14" s="174">
        <f>H14*Prices!E$2</f>
        <v/>
      </c>
      <c r="P14" s="174">
        <f>I14*2000+J14*4000+K14*650</f>
        <v/>
      </c>
      <c r="Q14" s="174">
        <f>D14*Prices!A$2</f>
        <v/>
      </c>
      <c r="R14" s="175">
        <f>L14+M14+N14+O14</f>
        <v/>
      </c>
      <c r="S14" s="174">
        <f>R14+Q14+P14</f>
        <v/>
      </c>
      <c r="T14" s="26" t="n">
        <v>13</v>
      </c>
      <c r="U14" s="26" t="inlineStr">
        <is>
          <t>Sold</t>
        </is>
      </c>
      <c r="V14" s="242" t="n"/>
      <c r="W14" s="93" t="n"/>
      <c r="X14" s="93" t="n"/>
      <c r="Y14" s="93" t="n"/>
      <c r="Z14" s="93" t="n"/>
    </row>
    <row r="15" ht="18.75" customHeight="1" s="220">
      <c r="A15" s="26" t="n">
        <v>14</v>
      </c>
      <c r="B15" s="26" t="n">
        <v>6.126</v>
      </c>
      <c r="C15" s="26">
        <f>B15*(25/100)</f>
        <v/>
      </c>
      <c r="D15" s="26">
        <f>C15+B15</f>
        <v/>
      </c>
      <c r="E15" s="26" t="n"/>
      <c r="F15" s="26" t="n"/>
      <c r="G15" s="26" t="n">
        <v>0.77</v>
      </c>
      <c r="H15" s="26" t="n"/>
      <c r="I15" s="26" t="n"/>
      <c r="J15" s="26" t="n"/>
      <c r="K15" s="26" t="n"/>
      <c r="L15" s="174">
        <f>E15*Prices!B$2</f>
        <v/>
      </c>
      <c r="M15" s="174">
        <f>F15*Prices!C$2</f>
        <v/>
      </c>
      <c r="N15" s="174">
        <f>G15*Prices!D$2</f>
        <v/>
      </c>
      <c r="O15" s="174">
        <f>H15*Prices!E$2</f>
        <v/>
      </c>
      <c r="P15" s="174">
        <f>I15*2000+J15*4000+K15*650</f>
        <v/>
      </c>
      <c r="Q15" s="174">
        <f>D15*Prices!A$2</f>
        <v/>
      </c>
      <c r="R15" s="175">
        <f>L15+M15+N15+O15</f>
        <v/>
      </c>
      <c r="S15" s="174">
        <f>R15+Q15+P15</f>
        <v/>
      </c>
      <c r="T15" s="26" t="n">
        <v>14</v>
      </c>
      <c r="U15" s="26" t="inlineStr">
        <is>
          <t>Sold</t>
        </is>
      </c>
      <c r="V15" s="242" t="n"/>
      <c r="W15" s="93" t="n"/>
      <c r="X15" s="93" t="n"/>
      <c r="Y15" s="93" t="n"/>
      <c r="Z15" s="93" t="n"/>
    </row>
    <row r="16" ht="18.75" customHeight="1" s="220">
      <c r="A16" s="26" t="n">
        <v>15</v>
      </c>
      <c r="B16" s="26" t="n">
        <v>6.334</v>
      </c>
      <c r="C16" s="26">
        <f>B16*(25/100)</f>
        <v/>
      </c>
      <c r="D16" s="26">
        <f>C16+B16</f>
        <v/>
      </c>
      <c r="E16" s="26" t="n">
        <v>0.48</v>
      </c>
      <c r="F16" s="26" t="n"/>
      <c r="G16" s="26" t="n"/>
      <c r="H16" s="26" t="n"/>
      <c r="I16" s="26" t="n"/>
      <c r="J16" s="26" t="n"/>
      <c r="K16" s="26" t="n"/>
      <c r="L16" s="174">
        <f>E16*Prices!B$2</f>
        <v/>
      </c>
      <c r="M16" s="174">
        <f>F16*Prices!C$2</f>
        <v/>
      </c>
      <c r="N16" s="174">
        <f>G16*Prices!D$2</f>
        <v/>
      </c>
      <c r="O16" s="174">
        <f>H16*Prices!E$2</f>
        <v/>
      </c>
      <c r="P16" s="174">
        <f>I16*2000+J16*4000+K16*650</f>
        <v/>
      </c>
      <c r="Q16" s="174">
        <f>D16*Prices!A$2</f>
        <v/>
      </c>
      <c r="R16" s="175">
        <f>L16+M16+N16+O16</f>
        <v/>
      </c>
      <c r="S16" s="174">
        <f>R16+Q16+P16</f>
        <v/>
      </c>
      <c r="T16" s="26" t="n">
        <v>15</v>
      </c>
      <c r="U16" s="26" t="inlineStr">
        <is>
          <t>Sold</t>
        </is>
      </c>
      <c r="V16" s="242" t="n"/>
      <c r="W16" s="93" t="n"/>
      <c r="X16" s="93" t="n"/>
      <c r="Y16" s="93" t="n"/>
      <c r="Z16" s="93" t="n"/>
    </row>
    <row r="17" ht="18.75" customHeight="1" s="220">
      <c r="A17" s="26" t="n">
        <v>16</v>
      </c>
      <c r="B17" s="26" t="n">
        <v>6.466</v>
      </c>
      <c r="C17" s="26">
        <f>B17*(25/100)</f>
        <v/>
      </c>
      <c r="D17" s="26">
        <f>C17+B17</f>
        <v/>
      </c>
      <c r="E17" s="26" t="n">
        <v>0.47</v>
      </c>
      <c r="F17" s="26" t="n"/>
      <c r="G17" s="26" t="n"/>
      <c r="H17" s="26" t="n"/>
      <c r="I17" s="26" t="n"/>
      <c r="J17" s="26" t="n"/>
      <c r="K17" s="26" t="n"/>
      <c r="L17" s="174">
        <f>E17*Prices!B$2</f>
        <v/>
      </c>
      <c r="M17" s="174">
        <f>F17*Prices!C$2</f>
        <v/>
      </c>
      <c r="N17" s="174">
        <f>G17*Prices!D$2</f>
        <v/>
      </c>
      <c r="O17" s="174">
        <f>H17*Prices!E$2</f>
        <v/>
      </c>
      <c r="P17" s="174">
        <f>I17*2000+J17*4000+K17*650</f>
        <v/>
      </c>
      <c r="Q17" s="174">
        <f>D17*Prices!A$2</f>
        <v/>
      </c>
      <c r="R17" s="175">
        <f>L17+M17+N17+O17</f>
        <v/>
      </c>
      <c r="S17" s="174">
        <f>R17+Q17+P17</f>
        <v/>
      </c>
      <c r="T17" s="26" t="n">
        <v>16</v>
      </c>
      <c r="U17" s="26" t="inlineStr">
        <is>
          <t>Sold</t>
        </is>
      </c>
      <c r="V17" s="93" t="n"/>
      <c r="W17" s="93" t="n"/>
      <c r="X17" s="93" t="n"/>
      <c r="Y17" s="93" t="n"/>
      <c r="Z17" s="93" t="n"/>
    </row>
    <row r="18" ht="18.75" customHeight="1" s="220">
      <c r="A18" s="26" t="n">
        <v>17</v>
      </c>
      <c r="B18" s="26" t="n">
        <v>4.352</v>
      </c>
      <c r="C18" s="26">
        <f>B18*(25/100)</f>
        <v/>
      </c>
      <c r="D18" s="26">
        <f>C18+B18</f>
        <v/>
      </c>
      <c r="E18" s="26" t="n">
        <v>0.34</v>
      </c>
      <c r="F18" s="26" t="n"/>
      <c r="G18" s="26" t="n"/>
      <c r="H18" s="26" t="n"/>
      <c r="I18" s="26" t="n"/>
      <c r="J18" s="26" t="n"/>
      <c r="K18" s="26" t="n"/>
      <c r="L18" s="174">
        <f>E18*Prices!B$2</f>
        <v/>
      </c>
      <c r="M18" s="174">
        <f>F18*Prices!C$2</f>
        <v/>
      </c>
      <c r="N18" s="174">
        <f>G18*Prices!D$2</f>
        <v/>
      </c>
      <c r="O18" s="174">
        <f>H18*Prices!E$2</f>
        <v/>
      </c>
      <c r="P18" s="174">
        <f>I18*2000+J18*4000+K18*650</f>
        <v/>
      </c>
      <c r="Q18" s="174">
        <f>D18*Prices!A$2</f>
        <v/>
      </c>
      <c r="R18" s="175">
        <f>L18+M18+N18+O18</f>
        <v/>
      </c>
      <c r="S18" s="174">
        <f>R18+Q18+P18</f>
        <v/>
      </c>
      <c r="T18" s="26" t="n">
        <v>17</v>
      </c>
      <c r="U18" s="26" t="inlineStr">
        <is>
          <t>Available</t>
        </is>
      </c>
      <c r="V18" s="93" t="inlineStr">
        <is>
          <t>A</t>
        </is>
      </c>
      <c r="W18" s="93" t="n"/>
      <c r="X18" s="93" t="n"/>
      <c r="Y18" s="93" t="n"/>
      <c r="Z18" s="93" t="n"/>
    </row>
    <row r="19" ht="18.75" customHeight="1" s="220">
      <c r="A19" s="26" t="n">
        <v>18</v>
      </c>
      <c r="B19" s="26" t="n">
        <v>6.66</v>
      </c>
      <c r="C19" s="26">
        <f>B19*(25/100)</f>
        <v/>
      </c>
      <c r="D19" s="26">
        <f>C19+B19</f>
        <v/>
      </c>
      <c r="E19" s="26" t="n"/>
      <c r="F19" s="26" t="n">
        <v>0.68</v>
      </c>
      <c r="G19" s="26" t="n"/>
      <c r="H19" s="26" t="n"/>
      <c r="I19" s="26" t="n"/>
      <c r="J19" s="26" t="n"/>
      <c r="K19" s="26" t="n"/>
      <c r="L19" s="174">
        <f>E19*Prices!B$2</f>
        <v/>
      </c>
      <c r="M19" s="174">
        <f>F19*Prices!C$2</f>
        <v/>
      </c>
      <c r="N19" s="174">
        <f>G19*Prices!D$2</f>
        <v/>
      </c>
      <c r="O19" s="174">
        <f>H19*Prices!E$2</f>
        <v/>
      </c>
      <c r="P19" s="174">
        <f>I19*2000+J19*4000+K19*650</f>
        <v/>
      </c>
      <c r="Q19" s="174">
        <f>D19*Prices!A$2</f>
        <v/>
      </c>
      <c r="R19" s="175">
        <f>L19+M19+N19+O19</f>
        <v/>
      </c>
      <c r="S19" s="174">
        <f>R19+Q19+P19</f>
        <v/>
      </c>
      <c r="T19" s="26" t="n">
        <v>18</v>
      </c>
      <c r="U19" s="26" t="inlineStr">
        <is>
          <t>Available</t>
        </is>
      </c>
      <c r="V19" s="93" t="inlineStr">
        <is>
          <t>A</t>
        </is>
      </c>
      <c r="W19" s="93" t="n"/>
      <c r="X19" s="93" t="n"/>
      <c r="Y19" s="93" t="n"/>
      <c r="Z19" s="93" t="n"/>
    </row>
    <row r="20" ht="18.75" customHeight="1" s="220">
      <c r="A20" s="26" t="n">
        <v>19</v>
      </c>
      <c r="B20" s="26" t="n">
        <v>6.624</v>
      </c>
      <c r="C20" s="26">
        <f>B20*(25/100)</f>
        <v/>
      </c>
      <c r="D20" s="26">
        <f>C20+B20</f>
        <v/>
      </c>
      <c r="E20" s="26" t="n">
        <v>0.48</v>
      </c>
      <c r="F20" s="26" t="n"/>
      <c r="G20" s="26" t="n"/>
      <c r="H20" s="26" t="n"/>
      <c r="I20" s="26" t="n"/>
      <c r="J20" s="26" t="n"/>
      <c r="K20" s="26" t="n"/>
      <c r="L20" s="174">
        <f>E20*Prices!B$2</f>
        <v/>
      </c>
      <c r="M20" s="174">
        <f>F20*Prices!C$2</f>
        <v/>
      </c>
      <c r="N20" s="174">
        <f>G20*Prices!D$2</f>
        <v/>
      </c>
      <c r="O20" s="174">
        <f>H20*Prices!E$2</f>
        <v/>
      </c>
      <c r="P20" s="174">
        <f>I20*2000+J20*4000+K20*650</f>
        <v/>
      </c>
      <c r="Q20" s="174">
        <f>D20*Prices!A$2</f>
        <v/>
      </c>
      <c r="R20" s="175">
        <f>L20+M20+N20+O20</f>
        <v/>
      </c>
      <c r="S20" s="174">
        <f>R20+Q20+P20</f>
        <v/>
      </c>
      <c r="T20" s="26" t="n">
        <v>19</v>
      </c>
      <c r="U20" s="26" t="inlineStr">
        <is>
          <t>Sold</t>
        </is>
      </c>
      <c r="V20" s="93" t="n"/>
      <c r="W20" s="93" t="n"/>
      <c r="X20" s="93" t="n"/>
      <c r="Y20" s="93" t="n"/>
      <c r="Z20" s="93" t="n"/>
    </row>
    <row r="21" ht="18.75" customHeight="1" s="220">
      <c r="A21" s="26" t="n">
        <v>20</v>
      </c>
      <c r="B21" s="26" t="n">
        <v>5.492</v>
      </c>
      <c r="C21" s="26">
        <f>B21*(25/100)</f>
        <v/>
      </c>
      <c r="D21" s="26">
        <f>C21+B21</f>
        <v/>
      </c>
      <c r="E21" s="26" t="n">
        <v>0.39</v>
      </c>
      <c r="F21" s="26" t="n"/>
      <c r="G21" s="26" t="n"/>
      <c r="H21" s="26" t="n"/>
      <c r="I21" s="26" t="n"/>
      <c r="J21" s="26" t="n"/>
      <c r="K21" s="26" t="n"/>
      <c r="L21" s="174">
        <f>E21*Prices!B$2</f>
        <v/>
      </c>
      <c r="M21" s="174">
        <f>F21*Prices!C$2</f>
        <v/>
      </c>
      <c r="N21" s="174">
        <f>G21*Prices!D$2</f>
        <v/>
      </c>
      <c r="O21" s="174">
        <f>H21*Prices!E$2</f>
        <v/>
      </c>
      <c r="P21" s="174">
        <f>I21*2000+J21*4000+K21*650</f>
        <v/>
      </c>
      <c r="Q21" s="174">
        <f>D21*Prices!A$2</f>
        <v/>
      </c>
      <c r="R21" s="175">
        <f>L21+M21+N21+O21</f>
        <v/>
      </c>
      <c r="S21" s="174">
        <f>R21+Q21+P21</f>
        <v/>
      </c>
      <c r="T21" s="26" t="n">
        <v>20</v>
      </c>
      <c r="U21" s="26" t="inlineStr">
        <is>
          <t>Sold</t>
        </is>
      </c>
      <c r="V21" s="93" t="n"/>
      <c r="W21" s="93" t="n"/>
      <c r="X21" s="93" t="n"/>
      <c r="Y21" s="93" t="n"/>
      <c r="Z21" s="93" t="n"/>
    </row>
    <row r="22" ht="18.75" customHeight="1" s="220">
      <c r="A22" s="26" t="n">
        <v>21</v>
      </c>
      <c r="B22" s="26" t="n">
        <v>5.552</v>
      </c>
      <c r="C22" s="26">
        <f>B22*(25/100)</f>
        <v/>
      </c>
      <c r="D22" s="26">
        <f>C22+B22</f>
        <v/>
      </c>
      <c r="E22" s="26" t="n">
        <v>0.39</v>
      </c>
      <c r="F22" s="26" t="n"/>
      <c r="G22" s="26" t="n"/>
      <c r="H22" s="26" t="n"/>
      <c r="I22" s="26" t="n"/>
      <c r="J22" s="26" t="n"/>
      <c r="K22" s="26" t="n"/>
      <c r="L22" s="174">
        <f>E22*Prices!B$2</f>
        <v/>
      </c>
      <c r="M22" s="174">
        <f>F22*Prices!C$2</f>
        <v/>
      </c>
      <c r="N22" s="174">
        <f>G22*Prices!D$2</f>
        <v/>
      </c>
      <c r="O22" s="174">
        <f>H22*Prices!E$2</f>
        <v/>
      </c>
      <c r="P22" s="174">
        <f>I22*2000+J22*4000+K22*650</f>
        <v/>
      </c>
      <c r="Q22" s="174">
        <f>D22*Prices!A$2</f>
        <v/>
      </c>
      <c r="R22" s="175">
        <f>L22+M22+N22+O22</f>
        <v/>
      </c>
      <c r="S22" s="174">
        <f>R22+Q22+P22</f>
        <v/>
      </c>
      <c r="T22" s="26" t="n">
        <v>21</v>
      </c>
      <c r="U22" s="26" t="inlineStr">
        <is>
          <t>Sold</t>
        </is>
      </c>
      <c r="V22" s="93" t="n"/>
      <c r="W22" s="93" t="n"/>
      <c r="X22" s="93" t="n"/>
      <c r="Y22" s="93" t="n"/>
      <c r="Z22" s="93" t="n"/>
    </row>
    <row r="23" ht="18.75" customHeight="1" s="220">
      <c r="A23" s="26" t="n">
        <v>22</v>
      </c>
      <c r="B23" s="26" t="n">
        <v>6.114</v>
      </c>
      <c r="C23" s="26">
        <f>B23*(25/100)</f>
        <v/>
      </c>
      <c r="D23" s="26">
        <f>C23+B23</f>
        <v/>
      </c>
      <c r="E23" s="26" t="n"/>
      <c r="F23" s="26" t="n"/>
      <c r="G23" s="26" t="n">
        <v>0.58</v>
      </c>
      <c r="H23" s="26" t="n"/>
      <c r="I23" s="26" t="n"/>
      <c r="J23" s="26" t="n"/>
      <c r="K23" s="26" t="n"/>
      <c r="L23" s="174">
        <f>E23*Prices!B$2</f>
        <v/>
      </c>
      <c r="M23" s="174">
        <f>F23*Prices!C$2</f>
        <v/>
      </c>
      <c r="N23" s="174">
        <f>G23*Prices!D$2</f>
        <v/>
      </c>
      <c r="O23" s="174">
        <f>H23*Prices!E$2</f>
        <v/>
      </c>
      <c r="P23" s="174">
        <f>I23*2000+J23*4000+K23*650</f>
        <v/>
      </c>
      <c r="Q23" s="174">
        <f>D23*Prices!A$2</f>
        <v/>
      </c>
      <c r="R23" s="175">
        <f>L23+M23+N23+O23</f>
        <v/>
      </c>
      <c r="S23" s="174">
        <f>R23+Q23+P23</f>
        <v/>
      </c>
      <c r="T23" s="26" t="n">
        <v>22</v>
      </c>
      <c r="U23" s="26" t="inlineStr">
        <is>
          <t>Available</t>
        </is>
      </c>
      <c r="V23" s="93" t="inlineStr">
        <is>
          <t>A</t>
        </is>
      </c>
      <c r="W23" s="93" t="n"/>
      <c r="X23" s="93" t="n"/>
      <c r="Y23" s="93" t="n"/>
      <c r="Z23" s="93" t="n"/>
    </row>
    <row r="24" ht="18.75" customHeight="1" s="220">
      <c r="A24" s="26" t="n">
        <v>23</v>
      </c>
      <c r="B24" s="26" t="n">
        <v>5.052</v>
      </c>
      <c r="C24" s="26">
        <f>B24*(25/100)</f>
        <v/>
      </c>
      <c r="D24" s="26">
        <f>C24+B24</f>
        <v/>
      </c>
      <c r="E24" s="26" t="n"/>
      <c r="F24" s="26" t="n"/>
      <c r="G24" s="26" t="n"/>
      <c r="H24" s="26" t="n">
        <v>0.6899999999999999</v>
      </c>
      <c r="I24" s="26" t="n"/>
      <c r="J24" s="26" t="n"/>
      <c r="K24" s="26" t="n"/>
      <c r="L24" s="174">
        <f>E24*Prices!B$2</f>
        <v/>
      </c>
      <c r="M24" s="174">
        <f>F24*Prices!C$2</f>
        <v/>
      </c>
      <c r="N24" s="174">
        <f>G24*Prices!D$2</f>
        <v/>
      </c>
      <c r="O24" s="200">
        <f>H24*180000</f>
        <v/>
      </c>
      <c r="P24" s="174">
        <f>I24*2000+J24*4000+K24*650</f>
        <v/>
      </c>
      <c r="Q24" s="174">
        <f>D24*Prices!A$2</f>
        <v/>
      </c>
      <c r="R24" s="175">
        <f>L24+M24+N24+O24</f>
        <v/>
      </c>
      <c r="S24" s="174">
        <f>R24+Q24+P24</f>
        <v/>
      </c>
      <c r="T24" s="26" t="n">
        <v>23</v>
      </c>
      <c r="U24" s="26" t="inlineStr">
        <is>
          <t>Available</t>
        </is>
      </c>
      <c r="V24" s="93" t="inlineStr">
        <is>
          <t>A</t>
        </is>
      </c>
      <c r="W24" s="93" t="n"/>
      <c r="X24" s="93" t="n"/>
      <c r="Y24" s="93" t="n"/>
      <c r="Z24" s="93" t="n"/>
    </row>
    <row r="25" ht="18.75" customHeight="1" s="220">
      <c r="A25" s="26" t="n">
        <v>24</v>
      </c>
      <c r="B25" s="26" t="n">
        <v>4.84</v>
      </c>
      <c r="C25" s="26">
        <f>B25*(25/100)</f>
        <v/>
      </c>
      <c r="D25" s="26">
        <f>C25+B25</f>
        <v/>
      </c>
      <c r="E25" s="26" t="n"/>
      <c r="F25" s="26" t="n"/>
      <c r="G25" s="26" t="n">
        <v>0.85</v>
      </c>
      <c r="H25" s="26" t="n"/>
      <c r="I25" s="26" t="n"/>
      <c r="J25" s="26" t="n"/>
      <c r="K25" s="26" t="n"/>
      <c r="L25" s="174">
        <f>E25*Prices!B$2</f>
        <v/>
      </c>
      <c r="M25" s="174">
        <f>F25*Prices!C$2</f>
        <v/>
      </c>
      <c r="N25" s="174">
        <f>G25*Prices!D$2</f>
        <v/>
      </c>
      <c r="O25" s="174">
        <f>H25*Prices!E$2</f>
        <v/>
      </c>
      <c r="P25" s="174">
        <f>I25*2000+J25*4000+K25*650</f>
        <v/>
      </c>
      <c r="Q25" s="174">
        <f>D25*Prices!A$2</f>
        <v/>
      </c>
      <c r="R25" s="175">
        <f>L25+M25+N25+O25</f>
        <v/>
      </c>
      <c r="S25" s="174">
        <f>R25+Q25+P25</f>
        <v/>
      </c>
      <c r="T25" s="26" t="n">
        <v>24</v>
      </c>
      <c r="U25" s="26" t="inlineStr">
        <is>
          <t>Available</t>
        </is>
      </c>
      <c r="V25" s="93" t="inlineStr">
        <is>
          <t>A</t>
        </is>
      </c>
      <c r="W25" s="93" t="n"/>
      <c r="X25" s="93" t="n"/>
      <c r="Y25" s="93" t="n"/>
      <c r="Z25" s="93" t="n"/>
    </row>
    <row r="26" ht="18.75" customHeight="1" s="220">
      <c r="A26" s="26" t="n">
        <v>25</v>
      </c>
      <c r="B26" s="26" t="n">
        <v>5.75</v>
      </c>
      <c r="C26" s="26">
        <f>B26*(25/100)</f>
        <v/>
      </c>
      <c r="D26" s="26">
        <f>C26+B26</f>
        <v/>
      </c>
      <c r="E26" s="26" t="n">
        <v>0.6899999999999999</v>
      </c>
      <c r="F26" s="26" t="n"/>
      <c r="G26" s="26" t="n"/>
      <c r="H26" s="26" t="n"/>
      <c r="I26" s="26" t="n"/>
      <c r="J26" s="26" t="n"/>
      <c r="K26" s="26" t="n"/>
      <c r="L26" s="174">
        <f>E26*Prices!B$2</f>
        <v/>
      </c>
      <c r="M26" s="174">
        <f>F26*Prices!C$2</f>
        <v/>
      </c>
      <c r="N26" s="174">
        <f>G26*Prices!D$2</f>
        <v/>
      </c>
      <c r="O26" s="174">
        <f>H26*Prices!E$2</f>
        <v/>
      </c>
      <c r="P26" s="174">
        <f>I26*2000+J26*4000+K26*650</f>
        <v/>
      </c>
      <c r="Q26" s="174">
        <f>D26*Prices!A$2</f>
        <v/>
      </c>
      <c r="R26" s="175">
        <f>L26+M26+N26+O26</f>
        <v/>
      </c>
      <c r="S26" s="174">
        <f>R26+Q26+P26</f>
        <v/>
      </c>
      <c r="T26" s="26" t="n">
        <v>25</v>
      </c>
      <c r="U26" s="26" t="inlineStr">
        <is>
          <t>Sold</t>
        </is>
      </c>
      <c r="V26" s="93" t="n"/>
      <c r="W26" s="93" t="n"/>
      <c r="X26" s="93" t="n"/>
      <c r="Y26" s="93" t="n"/>
      <c r="Z26" s="93" t="n"/>
    </row>
    <row r="27" ht="18.75" customHeight="1" s="220">
      <c r="A27" s="26" t="n">
        <v>26</v>
      </c>
      <c r="B27" s="26" t="n">
        <v>7.27</v>
      </c>
      <c r="C27" s="26">
        <f>B27*(25/100)</f>
        <v/>
      </c>
      <c r="D27" s="26">
        <f>C27+B27</f>
        <v/>
      </c>
      <c r="E27" s="26" t="n">
        <v>0.2</v>
      </c>
      <c r="F27" s="26" t="n"/>
      <c r="G27" s="26" t="n"/>
      <c r="H27" s="26" t="n"/>
      <c r="I27" s="26" t="n"/>
      <c r="J27" s="26" t="n"/>
      <c r="K27" s="26" t="n"/>
      <c r="L27" s="174">
        <f>E27*Prices!B$2</f>
        <v/>
      </c>
      <c r="M27" s="174">
        <f>F27*Prices!C$2</f>
        <v/>
      </c>
      <c r="N27" s="174">
        <f>G27*Prices!D$2</f>
        <v/>
      </c>
      <c r="O27" s="174">
        <f>H27*Prices!E$2</f>
        <v/>
      </c>
      <c r="P27" s="174">
        <f>I27*2000+J27*4000+K27*650</f>
        <v/>
      </c>
      <c r="Q27" s="174">
        <f>D27*(Prices!A$2+2200)</f>
        <v/>
      </c>
      <c r="R27" s="175">
        <f>L27+M27+N27+O27</f>
        <v/>
      </c>
      <c r="S27" s="174">
        <f>R27+Q27+P27</f>
        <v/>
      </c>
      <c r="T27" s="26" t="n">
        <v>26</v>
      </c>
      <c r="U27" s="26" t="inlineStr">
        <is>
          <t>Available</t>
        </is>
      </c>
      <c r="V27" s="93" t="inlineStr">
        <is>
          <t>A</t>
        </is>
      </c>
      <c r="W27" s="93" t="n"/>
      <c r="X27" s="93" t="n"/>
      <c r="Y27" s="93" t="n"/>
      <c r="Z27" s="93" t="n"/>
    </row>
    <row r="28" ht="18.75" customHeight="1" s="220">
      <c r="A28" s="26" t="n">
        <v>27</v>
      </c>
      <c r="B28" s="26" t="n">
        <v>6.94</v>
      </c>
      <c r="C28" s="26">
        <f>B28*(25/100)</f>
        <v/>
      </c>
      <c r="D28" s="26">
        <f>C28+B28</f>
        <v/>
      </c>
      <c r="E28" s="26" t="n"/>
      <c r="F28" s="26" t="n"/>
      <c r="G28" s="26" t="n"/>
      <c r="H28" s="26" t="n">
        <v>0.54</v>
      </c>
      <c r="I28" s="26" t="n"/>
      <c r="J28" s="26" t="n"/>
      <c r="K28" s="26" t="n"/>
      <c r="L28" s="174">
        <f>E28*Prices!B$2</f>
        <v/>
      </c>
      <c r="M28" s="174">
        <f>F28*Prices!C$2</f>
        <v/>
      </c>
      <c r="N28" s="174">
        <f>G28*Prices!D$2</f>
        <v/>
      </c>
      <c r="O28" s="174">
        <f>H28*Prices!E$2</f>
        <v/>
      </c>
      <c r="P28" s="174">
        <f>I28*2000+J28*4000+K28*650</f>
        <v/>
      </c>
      <c r="Q28" s="174">
        <f>D28*Prices!A$2</f>
        <v/>
      </c>
      <c r="R28" s="175">
        <f>L28+M28+N28+O28</f>
        <v/>
      </c>
      <c r="S28" s="174">
        <f>R28+Q28+P28</f>
        <v/>
      </c>
      <c r="T28" s="26" t="n">
        <v>27</v>
      </c>
      <c r="U28" s="26" t="inlineStr">
        <is>
          <t>Available</t>
        </is>
      </c>
      <c r="V28" s="93" t="inlineStr">
        <is>
          <t>A</t>
        </is>
      </c>
      <c r="W28" s="93" t="n"/>
      <c r="X28" s="93" t="n"/>
      <c r="Y28" s="93" t="n"/>
      <c r="Z28" s="93" t="n"/>
    </row>
    <row r="29" ht="18.75" customHeight="1" s="220">
      <c r="A29" s="26" t="n">
        <v>28</v>
      </c>
      <c r="B29" s="26" t="n">
        <v>6.1</v>
      </c>
      <c r="C29" s="26">
        <f>B29*(25/100)</f>
        <v/>
      </c>
      <c r="D29" s="26">
        <f>C29+B29</f>
        <v/>
      </c>
      <c r="E29" s="26" t="n">
        <v>0.3</v>
      </c>
      <c r="F29" s="26" t="n"/>
      <c r="G29" s="26" t="n"/>
      <c r="H29" s="26" t="n"/>
      <c r="I29" s="26" t="n"/>
      <c r="J29" s="26" t="n"/>
      <c r="K29" s="26" t="n"/>
      <c r="L29" s="174">
        <f>E29*Prices!B$2</f>
        <v/>
      </c>
      <c r="M29" s="174">
        <f>F29*Prices!C$2</f>
        <v/>
      </c>
      <c r="N29" s="174">
        <f>G29*Prices!D$2</f>
        <v/>
      </c>
      <c r="O29" s="174">
        <f>H29*Prices!E$2</f>
        <v/>
      </c>
      <c r="P29" s="174">
        <f>I29*2000+J29*4000+K29*650</f>
        <v/>
      </c>
      <c r="Q29" s="174">
        <f>D29*Prices!A$2</f>
        <v/>
      </c>
      <c r="R29" s="175">
        <f>L29+M29+N29+O29</f>
        <v/>
      </c>
      <c r="S29" s="174">
        <f>R29+Q29+P29</f>
        <v/>
      </c>
      <c r="T29" s="26" t="n">
        <v>28</v>
      </c>
      <c r="U29" s="26" t="inlineStr">
        <is>
          <t>Sold</t>
        </is>
      </c>
      <c r="V29" s="93" t="n"/>
      <c r="W29" s="93" t="n"/>
      <c r="X29" s="93" t="n"/>
      <c r="Y29" s="93" t="n"/>
      <c r="Z29" s="93" t="n"/>
    </row>
    <row r="30" ht="18.75" customHeight="1" s="220">
      <c r="A30" s="26" t="n">
        <v>29</v>
      </c>
      <c r="B30" s="26" t="n">
        <v>4.556</v>
      </c>
      <c r="C30" s="26">
        <f>B30*(25/100)</f>
        <v/>
      </c>
      <c r="D30" s="26">
        <f>C30+B30</f>
        <v/>
      </c>
      <c r="E30" s="26" t="n">
        <v>0.58</v>
      </c>
      <c r="F30" s="26" t="n"/>
      <c r="G30" s="26" t="n"/>
      <c r="H30" s="26" t="n"/>
      <c r="I30" s="26" t="n"/>
      <c r="J30" s="26" t="n"/>
      <c r="K30" s="26" t="n"/>
      <c r="L30" s="174">
        <f>E30*Prices!B$2</f>
        <v/>
      </c>
      <c r="M30" s="174">
        <f>F30*Prices!C$2</f>
        <v/>
      </c>
      <c r="N30" s="174">
        <f>G30*Prices!D$2</f>
        <v/>
      </c>
      <c r="O30" s="174">
        <f>H30*Prices!E$2</f>
        <v/>
      </c>
      <c r="P30" s="174">
        <f>I30*2000+J30*4000+K30*650</f>
        <v/>
      </c>
      <c r="Q30" s="174">
        <f>D30*Prices!A$2</f>
        <v/>
      </c>
      <c r="R30" s="175">
        <f>L30+M30+N30+O30</f>
        <v/>
      </c>
      <c r="S30" s="174">
        <f>R30+Q30+P30</f>
        <v/>
      </c>
      <c r="T30" s="26" t="n">
        <v>29</v>
      </c>
      <c r="U30" s="26" t="inlineStr">
        <is>
          <t>Sold</t>
        </is>
      </c>
      <c r="V30" s="93" t="n"/>
      <c r="W30" s="93" t="n"/>
      <c r="X30" s="93" t="n"/>
      <c r="Y30" s="93" t="n"/>
      <c r="Z30" s="93" t="n"/>
    </row>
    <row r="31" ht="18.75" customHeight="1" s="220">
      <c r="A31" s="26" t="n">
        <v>30</v>
      </c>
      <c r="B31" s="26" t="n">
        <v>4.218</v>
      </c>
      <c r="C31" s="26">
        <f>B31*(25/100)</f>
        <v/>
      </c>
      <c r="D31" s="26">
        <f>C31+B31</f>
        <v/>
      </c>
      <c r="E31" s="26" t="n">
        <v>0.42</v>
      </c>
      <c r="F31" s="26" t="n"/>
      <c r="G31" s="26" t="n"/>
      <c r="H31" s="26" t="n"/>
      <c r="I31" s="26" t="n"/>
      <c r="J31" s="26" t="n"/>
      <c r="K31" s="26" t="n"/>
      <c r="L31" s="174">
        <f>E31*Prices!B$2</f>
        <v/>
      </c>
      <c r="M31" s="174">
        <f>F31*Prices!C$2</f>
        <v/>
      </c>
      <c r="N31" s="174">
        <f>G31*Prices!D$2</f>
        <v/>
      </c>
      <c r="O31" s="174">
        <f>H31*Prices!E$2</f>
        <v/>
      </c>
      <c r="P31" s="174">
        <f>I31*2000+J31*4000+K31*650</f>
        <v/>
      </c>
      <c r="Q31" s="174">
        <f>D31*Prices!A$2</f>
        <v/>
      </c>
      <c r="R31" s="175">
        <f>L31+M31+N31+O31</f>
        <v/>
      </c>
      <c r="S31" s="174">
        <f>R31+Q31+P31</f>
        <v/>
      </c>
      <c r="T31" s="26" t="n">
        <v>30</v>
      </c>
      <c r="U31" s="26" t="inlineStr">
        <is>
          <t>Available</t>
        </is>
      </c>
      <c r="V31" s="93" t="inlineStr">
        <is>
          <t>A</t>
        </is>
      </c>
      <c r="W31" s="93" t="n"/>
      <c r="X31" s="93" t="n"/>
      <c r="Y31" s="93" t="n"/>
      <c r="Z31" s="93" t="n"/>
    </row>
    <row r="32" ht="18.75" customHeight="1" s="220">
      <c r="A32" s="26" t="n">
        <v>31</v>
      </c>
      <c r="B32" s="26" t="n">
        <v>4.428</v>
      </c>
      <c r="C32" s="26">
        <f>B32*(25/100)</f>
        <v/>
      </c>
      <c r="D32" s="26">
        <f>C32+B32</f>
        <v/>
      </c>
      <c r="E32" s="26" t="n">
        <v>0.57</v>
      </c>
      <c r="F32" s="26" t="n"/>
      <c r="G32" s="26" t="n"/>
      <c r="H32" s="26" t="n"/>
      <c r="I32" s="26" t="n"/>
      <c r="J32" s="26" t="n"/>
      <c r="K32" s="26" t="n"/>
      <c r="L32" s="174">
        <f>E32*Prices!B$2</f>
        <v/>
      </c>
      <c r="M32" s="174">
        <f>F32*Prices!C$2</f>
        <v/>
      </c>
      <c r="N32" s="174">
        <f>G32*Prices!D$2</f>
        <v/>
      </c>
      <c r="O32" s="174">
        <f>H32*Prices!E$2</f>
        <v/>
      </c>
      <c r="P32" s="174">
        <f>I32*2000+J32*4000+K32*650</f>
        <v/>
      </c>
      <c r="Q32" s="174">
        <f>D32*Prices!A$2</f>
        <v/>
      </c>
      <c r="R32" s="175">
        <f>L32+M32+N32+O32</f>
        <v/>
      </c>
      <c r="S32" s="174">
        <f>R32+Q32+P32</f>
        <v/>
      </c>
      <c r="T32" s="26" t="n">
        <v>31</v>
      </c>
      <c r="U32" s="26" t="inlineStr">
        <is>
          <t>Sold</t>
        </is>
      </c>
      <c r="V32" s="93" t="n"/>
      <c r="W32" s="93" t="n"/>
      <c r="X32" s="93" t="n"/>
      <c r="Y32" s="93" t="n"/>
      <c r="Z32" s="93" t="n"/>
    </row>
    <row r="33" ht="18.75" customHeight="1" s="220">
      <c r="A33" s="26" t="n">
        <v>32</v>
      </c>
      <c r="B33" s="26" t="n">
        <v>4.928</v>
      </c>
      <c r="C33" s="26">
        <f>B33*(25/100)</f>
        <v/>
      </c>
      <c r="D33" s="26">
        <f>C33+B33</f>
        <v/>
      </c>
      <c r="E33" s="26" t="n">
        <v>0.67</v>
      </c>
      <c r="F33" s="26" t="n"/>
      <c r="G33" s="26" t="n"/>
      <c r="H33" s="26" t="n"/>
      <c r="I33" s="26" t="n"/>
      <c r="J33" s="26" t="n"/>
      <c r="K33" s="26" t="n"/>
      <c r="L33" s="174">
        <f>E33*Prices!B$2</f>
        <v/>
      </c>
      <c r="M33" s="174">
        <f>F33*Prices!C$2</f>
        <v/>
      </c>
      <c r="N33" s="174">
        <f>G33*Prices!D$2</f>
        <v/>
      </c>
      <c r="O33" s="174">
        <f>H33*Prices!E$2</f>
        <v/>
      </c>
      <c r="P33" s="174">
        <f>I33*2000+J33*4000+K33*650</f>
        <v/>
      </c>
      <c r="Q33" s="174">
        <f>D33*Prices!A$2</f>
        <v/>
      </c>
      <c r="R33" s="175">
        <f>L33+M33+N33+O33</f>
        <v/>
      </c>
      <c r="S33" s="174">
        <f>R33+Q33+P33</f>
        <v/>
      </c>
      <c r="T33" s="26" t="n">
        <v>32</v>
      </c>
      <c r="U33" s="26" t="inlineStr">
        <is>
          <t>Sold</t>
        </is>
      </c>
      <c r="V33" s="93" t="n"/>
      <c r="W33" s="93" t="n"/>
      <c r="X33" s="93" t="n"/>
      <c r="Y33" s="93" t="n"/>
      <c r="Z33" s="93" t="n"/>
    </row>
    <row r="34" ht="18.75" customHeight="1" s="220">
      <c r="A34" s="26" t="n">
        <v>33</v>
      </c>
      <c r="B34" s="26" t="n">
        <v>4.62</v>
      </c>
      <c r="C34" s="26">
        <f>B34*(25/100)</f>
        <v/>
      </c>
      <c r="D34" s="26">
        <f>C34+B34</f>
        <v/>
      </c>
      <c r="E34" s="26" t="n">
        <v>0.5600000000000001</v>
      </c>
      <c r="F34" s="26" t="n"/>
      <c r="G34" s="26" t="n"/>
      <c r="H34" s="26" t="n"/>
      <c r="I34" s="26" t="n"/>
      <c r="J34" s="26" t="n"/>
      <c r="K34" s="26" t="n"/>
      <c r="L34" s="174">
        <f>E34*Prices!B$2</f>
        <v/>
      </c>
      <c r="M34" s="174">
        <f>F34*Prices!C$2</f>
        <v/>
      </c>
      <c r="N34" s="174">
        <f>G34*Prices!D$2</f>
        <v/>
      </c>
      <c r="O34" s="174">
        <f>H34*Prices!E$2</f>
        <v/>
      </c>
      <c r="P34" s="174">
        <f>I34*2000+J34*4000+K34*650</f>
        <v/>
      </c>
      <c r="Q34" s="174">
        <f>D34*Prices!A$2</f>
        <v/>
      </c>
      <c r="R34" s="175">
        <f>L34+M34+N34+O34</f>
        <v/>
      </c>
      <c r="S34" s="174">
        <f>R34+Q34+P34</f>
        <v/>
      </c>
      <c r="T34" s="26" t="n">
        <v>33</v>
      </c>
      <c r="U34" s="26" t="inlineStr">
        <is>
          <t>Available</t>
        </is>
      </c>
      <c r="V34" s="93" t="inlineStr">
        <is>
          <t>A</t>
        </is>
      </c>
      <c r="W34" s="93" t="n"/>
      <c r="X34" s="93" t="n"/>
      <c r="Y34" s="93" t="n"/>
      <c r="Z34" s="93" t="n"/>
    </row>
    <row r="35" ht="18.75" customHeight="1" s="220">
      <c r="A35" s="26" t="n">
        <v>34</v>
      </c>
      <c r="B35" s="26" t="n">
        <v>5.448</v>
      </c>
      <c r="C35" s="26">
        <f>B35*(25/100)</f>
        <v/>
      </c>
      <c r="D35" s="26">
        <f>C35+B35</f>
        <v/>
      </c>
      <c r="E35" s="26" t="n">
        <v>0.57</v>
      </c>
      <c r="F35" s="26" t="n"/>
      <c r="G35" s="26" t="n"/>
      <c r="H35" s="26" t="n"/>
      <c r="I35" s="26" t="n"/>
      <c r="J35" s="26" t="n"/>
      <c r="K35" s="26" t="n"/>
      <c r="L35" s="174">
        <f>E35*Prices!B$2</f>
        <v/>
      </c>
      <c r="M35" s="174">
        <f>F35*Prices!C$2</f>
        <v/>
      </c>
      <c r="N35" s="174">
        <f>G35*Prices!D$2</f>
        <v/>
      </c>
      <c r="O35" s="174">
        <f>H35*Prices!E$2</f>
        <v/>
      </c>
      <c r="P35" s="174">
        <f>I35*2000+J35*4000+K35*650</f>
        <v/>
      </c>
      <c r="Q35" s="174">
        <f>D35*Prices!A$2</f>
        <v/>
      </c>
      <c r="R35" s="175">
        <f>L35+M35+N35+O35</f>
        <v/>
      </c>
      <c r="S35" s="174">
        <f>R35+Q35+P35</f>
        <v/>
      </c>
      <c r="T35" s="26" t="n">
        <v>34</v>
      </c>
      <c r="U35" s="26" t="inlineStr">
        <is>
          <t>Sold</t>
        </is>
      </c>
      <c r="V35" s="93" t="n"/>
      <c r="W35" s="93" t="n"/>
      <c r="X35" s="93" t="n"/>
      <c r="Y35" s="93" t="n"/>
      <c r="Z35" s="93" t="n"/>
    </row>
    <row r="36" ht="18.75" customHeight="1" s="220">
      <c r="A36" s="26" t="n">
        <v>35</v>
      </c>
      <c r="B36" s="26" t="n">
        <v>5.298</v>
      </c>
      <c r="C36" s="26">
        <f>B36*(25/100)</f>
        <v/>
      </c>
      <c r="D36" s="26">
        <f>C36+B36</f>
        <v/>
      </c>
      <c r="E36" s="26" t="n">
        <v>0.72</v>
      </c>
      <c r="F36" s="26" t="n"/>
      <c r="G36" s="26" t="n"/>
      <c r="H36" s="26" t="n"/>
      <c r="I36" s="26" t="n"/>
      <c r="J36" s="26" t="n"/>
      <c r="K36" s="26" t="n"/>
      <c r="L36" s="174">
        <f>E36*Prices!B$2</f>
        <v/>
      </c>
      <c r="M36" s="174">
        <f>F36*Prices!C$2</f>
        <v/>
      </c>
      <c r="N36" s="174">
        <f>G36*Prices!D$2</f>
        <v/>
      </c>
      <c r="O36" s="174">
        <f>H36*Prices!E$2</f>
        <v/>
      </c>
      <c r="P36" s="174">
        <f>I36*2000+J36*4000+K36*650</f>
        <v/>
      </c>
      <c r="Q36" s="174">
        <f>D36*Prices!A$2</f>
        <v/>
      </c>
      <c r="R36" s="175">
        <f>L36+M36+N36+O36</f>
        <v/>
      </c>
      <c r="S36" s="174">
        <f>R36+Q36+P36</f>
        <v/>
      </c>
      <c r="T36" s="26" t="n">
        <v>35</v>
      </c>
      <c r="U36" s="26" t="inlineStr">
        <is>
          <t>Available</t>
        </is>
      </c>
      <c r="V36" s="93" t="inlineStr">
        <is>
          <t>A</t>
        </is>
      </c>
      <c r="W36" s="93" t="n"/>
      <c r="X36" s="93" t="n"/>
      <c r="Y36" s="93" t="n"/>
      <c r="Z36" s="93" t="n"/>
    </row>
    <row r="37" ht="18.75" customHeight="1" s="220">
      <c r="A37" s="26" t="n">
        <v>36</v>
      </c>
      <c r="B37" s="26" t="n">
        <v>5.208</v>
      </c>
      <c r="C37" s="26">
        <f>B37*(25/100)</f>
        <v/>
      </c>
      <c r="D37" s="26">
        <f>C37+B37</f>
        <v/>
      </c>
      <c r="E37" s="26" t="n">
        <v>0.57</v>
      </c>
      <c r="F37" s="26" t="n"/>
      <c r="G37" s="26" t="n"/>
      <c r="H37" s="26" t="n"/>
      <c r="I37" s="26" t="n"/>
      <c r="J37" s="26" t="n"/>
      <c r="K37" s="26" t="n"/>
      <c r="L37" s="174">
        <f>E37*Prices!B$2</f>
        <v/>
      </c>
      <c r="M37" s="174">
        <f>F37*Prices!C$2</f>
        <v/>
      </c>
      <c r="N37" s="174">
        <f>G37*Prices!D$2</f>
        <v/>
      </c>
      <c r="O37" s="174">
        <f>H37*Prices!E$2</f>
        <v/>
      </c>
      <c r="P37" s="174">
        <f>I37*2000+J37*4000+K37*650</f>
        <v/>
      </c>
      <c r="Q37" s="174">
        <f>D37*Prices!A$2</f>
        <v/>
      </c>
      <c r="R37" s="175">
        <f>L37+M37+N37+O37</f>
        <v/>
      </c>
      <c r="S37" s="174">
        <f>R37+Q37+P37</f>
        <v/>
      </c>
      <c r="T37" s="26" t="n">
        <v>36</v>
      </c>
      <c r="U37" s="26" t="inlineStr">
        <is>
          <t>Sold</t>
        </is>
      </c>
      <c r="V37" s="93" t="n"/>
      <c r="W37" s="93" t="n"/>
      <c r="X37" s="93" t="n"/>
      <c r="Y37" s="93" t="n"/>
      <c r="Z37" s="93" t="n"/>
    </row>
    <row r="38" ht="18.75" customHeight="1" s="220">
      <c r="A38" s="26" t="n">
        <v>37</v>
      </c>
      <c r="B38" s="26" t="n">
        <v>4.738</v>
      </c>
      <c r="C38" s="26">
        <f>B38*(25/100)</f>
        <v/>
      </c>
      <c r="D38" s="26">
        <f>C38+B38</f>
        <v/>
      </c>
      <c r="E38" s="26" t="n">
        <v>0.52</v>
      </c>
      <c r="F38" s="26" t="n"/>
      <c r="G38" s="26" t="n"/>
      <c r="H38" s="26" t="n"/>
      <c r="I38" s="26" t="n"/>
      <c r="J38" s="26" t="n"/>
      <c r="K38" s="26" t="n"/>
      <c r="L38" s="174">
        <f>E38*Prices!B$2</f>
        <v/>
      </c>
      <c r="M38" s="174">
        <f>F38*Prices!C$2</f>
        <v/>
      </c>
      <c r="N38" s="174">
        <f>G38*Prices!D$2</f>
        <v/>
      </c>
      <c r="O38" s="174">
        <f>H38*Prices!E$2</f>
        <v/>
      </c>
      <c r="P38" s="174">
        <f>I38*2000+J38*4000+K38*650</f>
        <v/>
      </c>
      <c r="Q38" s="174">
        <f>D38*Prices!A$2</f>
        <v/>
      </c>
      <c r="R38" s="175">
        <f>L38+M38+N38+O38</f>
        <v/>
      </c>
      <c r="S38" s="174">
        <f>R38+Q38+P38</f>
        <v/>
      </c>
      <c r="T38" s="26" t="n">
        <v>37</v>
      </c>
      <c r="U38" s="26" t="inlineStr">
        <is>
          <t>Sold</t>
        </is>
      </c>
      <c r="V38" s="93" t="n"/>
      <c r="W38" s="93" t="n"/>
      <c r="X38" s="93" t="n"/>
      <c r="Y38" s="93" t="n"/>
      <c r="Z38" s="93" t="n"/>
    </row>
    <row r="39" ht="18.75" customHeight="1" s="220">
      <c r="A39" s="26" t="n">
        <v>38</v>
      </c>
      <c r="B39" s="26" t="n">
        <v>5.168</v>
      </c>
      <c r="C39" s="26">
        <f>B39*(25/100)</f>
        <v/>
      </c>
      <c r="D39" s="26">
        <f>C39+B39</f>
        <v/>
      </c>
      <c r="E39" s="26" t="n">
        <v>0.62</v>
      </c>
      <c r="F39" s="26" t="n"/>
      <c r="G39" s="26" t="n"/>
      <c r="H39" s="26" t="n"/>
      <c r="I39" s="26" t="n"/>
      <c r="J39" s="26" t="n"/>
      <c r="K39" s="26" t="n"/>
      <c r="L39" s="174">
        <f>E39*Prices!B$2</f>
        <v/>
      </c>
      <c r="M39" s="174">
        <f>F39*Prices!C$2</f>
        <v/>
      </c>
      <c r="N39" s="174">
        <f>G39*Prices!D$2</f>
        <v/>
      </c>
      <c r="O39" s="174">
        <f>H39*Prices!E$2</f>
        <v/>
      </c>
      <c r="P39" s="174">
        <f>I39*2000+J39*4000+K39*650</f>
        <v/>
      </c>
      <c r="Q39" s="174">
        <f>D39*Prices!A$2</f>
        <v/>
      </c>
      <c r="R39" s="175">
        <f>L39+M39+N39+O39</f>
        <v/>
      </c>
      <c r="S39" s="174">
        <f>R39+Q39+P39</f>
        <v/>
      </c>
      <c r="T39" s="26" t="n">
        <v>38</v>
      </c>
      <c r="U39" s="26" t="inlineStr">
        <is>
          <t>Sold</t>
        </is>
      </c>
      <c r="V39" s="93" t="n"/>
      <c r="W39" s="93" t="n"/>
      <c r="X39" s="93" t="n"/>
      <c r="Y39" s="93" t="n"/>
      <c r="Z39" s="93" t="n"/>
    </row>
    <row r="40" ht="18.75" customHeight="1" s="220">
      <c r="A40" s="26" t="n">
        <v>39</v>
      </c>
      <c r="B40" s="26" t="n">
        <v>3.692</v>
      </c>
      <c r="C40" s="26">
        <f>B40*(25/100)</f>
        <v/>
      </c>
      <c r="D40" s="26">
        <f>C40+B40</f>
        <v/>
      </c>
      <c r="E40" s="26" t="n"/>
      <c r="F40" s="26" t="n"/>
      <c r="G40" s="26" t="n">
        <v>0.6899999999999999</v>
      </c>
      <c r="H40" s="26" t="n"/>
      <c r="I40" s="26" t="n"/>
      <c r="J40" s="26" t="n"/>
      <c r="K40" s="26" t="n"/>
      <c r="L40" s="174">
        <f>E40*Prices!B$2</f>
        <v/>
      </c>
      <c r="M40" s="174">
        <f>F40*Prices!C$2</f>
        <v/>
      </c>
      <c r="N40" s="174">
        <f>G40*Prices!D$2</f>
        <v/>
      </c>
      <c r="O40" s="174">
        <f>H40*Prices!E$2</f>
        <v/>
      </c>
      <c r="P40" s="174">
        <f>I40*2000+J40*4000+K40*650</f>
        <v/>
      </c>
      <c r="Q40" s="174">
        <f>D40*Prices!A$2</f>
        <v/>
      </c>
      <c r="R40" s="175">
        <f>L40+M40+N40+O40</f>
        <v/>
      </c>
      <c r="S40" s="174">
        <f>R40+Q40+P40</f>
        <v/>
      </c>
      <c r="T40" s="26" t="n">
        <v>39</v>
      </c>
      <c r="U40" s="26" t="inlineStr">
        <is>
          <t>Available</t>
        </is>
      </c>
      <c r="V40" s="93" t="inlineStr">
        <is>
          <t>A</t>
        </is>
      </c>
      <c r="W40" s="93" t="n"/>
      <c r="X40" s="93" t="n"/>
      <c r="Y40" s="93" t="n"/>
      <c r="Z40" s="93" t="n"/>
    </row>
    <row r="41" ht="18.75" customHeight="1" s="220">
      <c r="A41" s="26" t="n">
        <v>40</v>
      </c>
      <c r="B41" s="26" t="n">
        <v>3.98</v>
      </c>
      <c r="C41" s="26">
        <f>B41*(25/100)</f>
        <v/>
      </c>
      <c r="D41" s="26">
        <f>C41+B41</f>
        <v/>
      </c>
      <c r="E41" s="26" t="n"/>
      <c r="F41" s="26" t="n"/>
      <c r="G41" s="26" t="n">
        <v>0.85</v>
      </c>
      <c r="H41" s="26" t="n"/>
      <c r="I41" s="26" t="n"/>
      <c r="J41" s="26" t="n"/>
      <c r="K41" s="26" t="n"/>
      <c r="L41" s="174">
        <f>E41*Prices!B$2</f>
        <v/>
      </c>
      <c r="M41" s="174">
        <f>F41*Prices!C$2</f>
        <v/>
      </c>
      <c r="N41" s="174">
        <f>G41*Prices!D$2</f>
        <v/>
      </c>
      <c r="O41" s="174">
        <f>H41*Prices!E$2</f>
        <v/>
      </c>
      <c r="P41" s="174">
        <f>I41*2000+J41*4000+K41*650</f>
        <v/>
      </c>
      <c r="Q41" s="174">
        <f>D41*Prices!A$2</f>
        <v/>
      </c>
      <c r="R41" s="175">
        <f>L41+M41+N41+O41</f>
        <v/>
      </c>
      <c r="S41" s="174">
        <f>R41+Q41+P41</f>
        <v/>
      </c>
      <c r="T41" s="26" t="n">
        <v>40</v>
      </c>
      <c r="U41" s="26" t="inlineStr">
        <is>
          <t>Sold</t>
        </is>
      </c>
      <c r="V41" s="93" t="n"/>
      <c r="W41" s="93" t="n"/>
      <c r="X41" s="93" t="n"/>
      <c r="Y41" s="93" t="n"/>
      <c r="Z41" s="93" t="n"/>
    </row>
    <row r="42" ht="18.75" customHeight="1" s="220">
      <c r="A42" s="26" t="n">
        <v>41</v>
      </c>
      <c r="B42" s="26" t="n">
        <v>7.936</v>
      </c>
      <c r="C42" s="26">
        <f>B42*(25/100)</f>
        <v/>
      </c>
      <c r="D42" s="26">
        <f>C42+B42</f>
        <v/>
      </c>
      <c r="E42" s="26" t="n"/>
      <c r="F42" s="26" t="n">
        <v>0.52</v>
      </c>
      <c r="G42" s="26" t="n"/>
      <c r="H42" s="26" t="n"/>
      <c r="I42" s="26" t="n"/>
      <c r="J42" s="26" t="n"/>
      <c r="K42" s="26" t="n"/>
      <c r="L42" s="174">
        <f>E42*Prices!B$2</f>
        <v/>
      </c>
      <c r="M42" s="174">
        <f>F42*Prices!C$2</f>
        <v/>
      </c>
      <c r="N42" s="174">
        <f>G42*Prices!D$2</f>
        <v/>
      </c>
      <c r="O42" s="174">
        <f>H42*Prices!E$2</f>
        <v/>
      </c>
      <c r="P42" s="174">
        <f>I42*2000+J42*4000+K42*650</f>
        <v/>
      </c>
      <c r="Q42" s="174">
        <f>D42*Prices!A$2</f>
        <v/>
      </c>
      <c r="R42" s="175">
        <f>L42+M42+N42+O42</f>
        <v/>
      </c>
      <c r="S42" s="174">
        <f>R42+Q42+P42</f>
        <v/>
      </c>
      <c r="T42" s="26" t="n">
        <v>41</v>
      </c>
      <c r="U42" s="26" t="inlineStr">
        <is>
          <t>Sold</t>
        </is>
      </c>
      <c r="V42" s="93" t="n"/>
      <c r="W42" s="93" t="n"/>
      <c r="X42" s="93" t="n"/>
      <c r="Y42" s="93" t="n"/>
      <c r="Z42" s="93" t="n"/>
    </row>
    <row r="43" ht="18.75" customHeight="1" s="220">
      <c r="A43" s="26" t="n">
        <v>42</v>
      </c>
      <c r="B43" s="26" t="n">
        <v>8.105</v>
      </c>
      <c r="C43" s="26">
        <f>B43*(25/100)</f>
        <v/>
      </c>
      <c r="D43" s="26">
        <f>C43+B43</f>
        <v/>
      </c>
      <c r="E43" s="26" t="n">
        <v>0.73</v>
      </c>
      <c r="F43" s="26" t="n"/>
      <c r="G43" s="26" t="n"/>
      <c r="H43" s="26" t="n"/>
      <c r="I43" s="26" t="n"/>
      <c r="J43" s="26" t="n"/>
      <c r="K43" s="26" t="n"/>
      <c r="L43" s="174">
        <f>E43*Prices!B$2</f>
        <v/>
      </c>
      <c r="M43" s="174">
        <f>F43*Prices!C$2</f>
        <v/>
      </c>
      <c r="N43" s="174">
        <f>G43*Prices!D$2</f>
        <v/>
      </c>
      <c r="O43" s="174">
        <f>H43*Prices!E$2</f>
        <v/>
      </c>
      <c r="P43" s="174">
        <f>I43*2000+J43*4000+K43*650</f>
        <v/>
      </c>
      <c r="Q43" s="174">
        <f>D43*Prices!A$2</f>
        <v/>
      </c>
      <c r="R43" s="175">
        <f>L43+M43+N43+O43</f>
        <v/>
      </c>
      <c r="S43" s="174">
        <f>R43+Q43+P43</f>
        <v/>
      </c>
      <c r="T43" s="26" t="n">
        <v>42</v>
      </c>
      <c r="U43" s="26" t="inlineStr">
        <is>
          <t>Sold</t>
        </is>
      </c>
      <c r="V43" s="93" t="n"/>
      <c r="W43" s="93" t="n"/>
      <c r="X43" s="93" t="n"/>
      <c r="Y43" s="93" t="n"/>
      <c r="Z43" s="93" t="n"/>
    </row>
    <row r="44" ht="18.75" customHeight="1" s="220">
      <c r="A44" s="26" t="n">
        <v>43</v>
      </c>
      <c r="B44" s="26" t="n">
        <v>5.866</v>
      </c>
      <c r="C44" s="26">
        <f>B44*(25/100)</f>
        <v/>
      </c>
      <c r="D44" s="26">
        <f>C44+B44</f>
        <v/>
      </c>
      <c r="E44" s="26" t="n">
        <v>0.57</v>
      </c>
      <c r="F44" s="26" t="n"/>
      <c r="G44" s="26" t="n"/>
      <c r="H44" s="26" t="n"/>
      <c r="I44" s="26" t="n"/>
      <c r="J44" s="26" t="n"/>
      <c r="K44" s="26" t="n"/>
      <c r="L44" s="174">
        <f>E44*Prices!B$2</f>
        <v/>
      </c>
      <c r="M44" s="174">
        <f>F44*Prices!C$2</f>
        <v/>
      </c>
      <c r="N44" s="174">
        <f>G44*Prices!D$2</f>
        <v/>
      </c>
      <c r="O44" s="174">
        <f>H44*Prices!E$2</f>
        <v/>
      </c>
      <c r="P44" s="174">
        <f>I44*2000+J44*4000+K44*650</f>
        <v/>
      </c>
      <c r="Q44" s="174">
        <f>D44*Prices!A$2</f>
        <v/>
      </c>
      <c r="R44" s="175">
        <f>L44+M44+N44+O44</f>
        <v/>
      </c>
      <c r="S44" s="174">
        <f>R44+Q44+P44</f>
        <v/>
      </c>
      <c r="T44" s="26" t="n">
        <v>43</v>
      </c>
      <c r="U44" s="26" t="inlineStr">
        <is>
          <t>Sold</t>
        </is>
      </c>
      <c r="V44" s="93" t="n"/>
      <c r="W44" s="93" t="n"/>
      <c r="X44" s="93" t="n"/>
      <c r="Y44" s="93" t="n"/>
      <c r="Z44" s="93" t="n"/>
    </row>
    <row r="45" ht="18.75" customHeight="1" s="220">
      <c r="A45" s="26" t="n">
        <v>44</v>
      </c>
      <c r="B45" s="26" t="n">
        <v>4.262</v>
      </c>
      <c r="C45" s="26">
        <f>B45*(25/100)</f>
        <v/>
      </c>
      <c r="D45" s="26">
        <f>C45+B45</f>
        <v/>
      </c>
      <c r="E45" s="26" t="n"/>
      <c r="F45" s="26" t="n"/>
      <c r="G45" s="26" t="n"/>
      <c r="H45" s="26" t="n">
        <v>0.89</v>
      </c>
      <c r="I45" s="26" t="n"/>
      <c r="J45" s="26" t="n"/>
      <c r="K45" s="26" t="n"/>
      <c r="L45" s="174">
        <f>E45*Prices!B$2</f>
        <v/>
      </c>
      <c r="M45" s="174">
        <f>F45*Prices!C$2</f>
        <v/>
      </c>
      <c r="N45" s="174">
        <f>G45*Prices!D$2</f>
        <v/>
      </c>
      <c r="O45" s="174">
        <f>H45*180000</f>
        <v/>
      </c>
      <c r="P45" s="174">
        <f>I45*2000+J45*4000+K45*650</f>
        <v/>
      </c>
      <c r="Q45" s="174">
        <f>D45*Prices!A$2</f>
        <v/>
      </c>
      <c r="R45" s="175">
        <f>L45+M45+N45+O45</f>
        <v/>
      </c>
      <c r="S45" s="174">
        <f>R45+Q45+P45</f>
        <v/>
      </c>
      <c r="T45" s="26" t="n">
        <v>44</v>
      </c>
      <c r="U45" s="26" t="inlineStr">
        <is>
          <t>Sold</t>
        </is>
      </c>
      <c r="V45" s="93" t="n"/>
      <c r="W45" s="93" t="n"/>
      <c r="X45" s="93" t="n"/>
      <c r="Y45" s="93" t="n"/>
      <c r="Z45" s="93" t="n"/>
    </row>
    <row r="46" ht="18.75" customHeight="1" s="220">
      <c r="A46" s="26" t="n">
        <v>45</v>
      </c>
      <c r="B46" s="26" t="n">
        <v>4.242</v>
      </c>
      <c r="C46" s="26">
        <f>B46*(25/100)</f>
        <v/>
      </c>
      <c r="D46" s="26">
        <f>C46+B46</f>
        <v/>
      </c>
      <c r="E46" s="26" t="n">
        <v>0.29</v>
      </c>
      <c r="F46" s="26" t="n"/>
      <c r="G46" s="26" t="n"/>
      <c r="H46" s="26" t="n"/>
      <c r="I46" s="26" t="n"/>
      <c r="J46" s="26" t="n"/>
      <c r="K46" s="26" t="n"/>
      <c r="L46" s="174">
        <f>E46*Prices!B$2</f>
        <v/>
      </c>
      <c r="M46" s="174">
        <f>F46*Prices!C$2</f>
        <v/>
      </c>
      <c r="N46" s="174">
        <f>G46*Prices!D$2</f>
        <v/>
      </c>
      <c r="O46" s="174">
        <f>H46*180000</f>
        <v/>
      </c>
      <c r="P46" s="174">
        <f>I46*2000+J46*4000+K46*650</f>
        <v/>
      </c>
      <c r="Q46" s="174">
        <f>D46*Prices!A$2</f>
        <v/>
      </c>
      <c r="R46" s="175">
        <f>L46+M46+N46+O46</f>
        <v/>
      </c>
      <c r="S46" s="174">
        <f>R46+Q46+P46</f>
        <v/>
      </c>
      <c r="T46" s="26" t="n">
        <v>45</v>
      </c>
      <c r="U46" s="26" t="inlineStr">
        <is>
          <t>Sold</t>
        </is>
      </c>
      <c r="V46" s="93" t="n"/>
      <c r="W46" s="93" t="n"/>
      <c r="X46" s="93" t="n"/>
      <c r="Y46" s="93" t="n"/>
      <c r="Z46" s="93" t="n"/>
    </row>
    <row r="47" ht="18.75" customHeight="1" s="220">
      <c r="A47" s="26" t="n">
        <v>46</v>
      </c>
      <c r="B47" s="26" t="n">
        <v>5.865</v>
      </c>
      <c r="C47" s="26">
        <f>B47*(25/100)</f>
        <v/>
      </c>
      <c r="D47" s="26">
        <f>C47+B47</f>
        <v/>
      </c>
      <c r="E47" s="26" t="n"/>
      <c r="F47" s="26" t="n">
        <v>0.79</v>
      </c>
      <c r="G47" s="26" t="n"/>
      <c r="H47" s="26" t="n"/>
      <c r="I47" s="26" t="n"/>
      <c r="J47" s="26" t="n"/>
      <c r="K47" s="26" t="n"/>
      <c r="L47" s="174">
        <f>E47*Prices!B$2</f>
        <v/>
      </c>
      <c r="M47" s="174">
        <f>F47*Prices!C$2</f>
        <v/>
      </c>
      <c r="N47" s="174">
        <f>G47*Prices!D$2</f>
        <v/>
      </c>
      <c r="O47" s="174">
        <f>H47*180000</f>
        <v/>
      </c>
      <c r="P47" s="174">
        <f>I47*2000+J47*4000+K47*650</f>
        <v/>
      </c>
      <c r="Q47" s="174">
        <f>D47*Prices!A$2</f>
        <v/>
      </c>
      <c r="R47" s="175">
        <f>L47+M47+N47+O47</f>
        <v/>
      </c>
      <c r="S47" s="174">
        <f>R47+Q47+P47</f>
        <v/>
      </c>
      <c r="T47" s="26" t="n">
        <v>46</v>
      </c>
      <c r="U47" s="26" t="inlineStr">
        <is>
          <t>Available</t>
        </is>
      </c>
      <c r="V47" s="93" t="inlineStr">
        <is>
          <t>A</t>
        </is>
      </c>
      <c r="W47" s="93" t="n"/>
      <c r="X47" s="93" t="n"/>
      <c r="Y47" s="93" t="n"/>
      <c r="Z47" s="93" t="n"/>
    </row>
    <row r="48" ht="18.75" customHeight="1" s="220">
      <c r="A48" s="26" t="n">
        <v>47</v>
      </c>
      <c r="B48" s="26" t="n">
        <v>4.86</v>
      </c>
      <c r="C48" s="26">
        <f>B48*(25/100)</f>
        <v/>
      </c>
      <c r="D48" s="26">
        <f>C48+B48</f>
        <v/>
      </c>
      <c r="E48" s="26" t="n">
        <v>0.75</v>
      </c>
      <c r="F48" s="26" t="n"/>
      <c r="G48" s="26" t="n"/>
      <c r="H48" s="26" t="n"/>
      <c r="I48" s="26" t="n"/>
      <c r="J48" s="26" t="n"/>
      <c r="K48" s="26" t="n"/>
      <c r="L48" s="174">
        <f>E48*Prices!B$2</f>
        <v/>
      </c>
      <c r="M48" s="174">
        <f>F48*Prices!C$2</f>
        <v/>
      </c>
      <c r="N48" s="174">
        <f>G48*Prices!D$2</f>
        <v/>
      </c>
      <c r="O48" s="174">
        <f>H48*180000</f>
        <v/>
      </c>
      <c r="P48" s="174">
        <f>I48*2000+J48*4000+K48*650</f>
        <v/>
      </c>
      <c r="Q48" s="174">
        <f>D48*Prices!A$2</f>
        <v/>
      </c>
      <c r="R48" s="175">
        <f>L48+M48+N48+O48</f>
        <v/>
      </c>
      <c r="S48" s="174">
        <f>R48+Q48+P48</f>
        <v/>
      </c>
      <c r="T48" s="26" t="n">
        <v>47</v>
      </c>
      <c r="U48" s="26" t="inlineStr">
        <is>
          <t>Available</t>
        </is>
      </c>
      <c r="V48" s="93" t="inlineStr">
        <is>
          <t>A</t>
        </is>
      </c>
      <c r="W48" s="93" t="n"/>
      <c r="X48" s="93" t="n"/>
      <c r="Y48" s="93" t="n"/>
      <c r="Z48" s="93" t="n"/>
    </row>
    <row r="49" ht="18.75" customHeight="1" s="220">
      <c r="A49" s="26" t="n">
        <v>48</v>
      </c>
      <c r="B49" s="26" t="n">
        <v>7.45</v>
      </c>
      <c r="C49" s="26">
        <f>B49*(25/100)</f>
        <v/>
      </c>
      <c r="D49" s="26">
        <f>C49+B49</f>
        <v/>
      </c>
      <c r="E49" s="26" t="n">
        <v>0.75</v>
      </c>
      <c r="F49" s="26" t="n"/>
      <c r="G49" s="26" t="n"/>
      <c r="H49" s="26" t="n"/>
      <c r="I49" s="26" t="n"/>
      <c r="J49" s="26" t="n"/>
      <c r="K49" s="26" t="n"/>
      <c r="L49" s="174">
        <f>E49*Prices!B$2</f>
        <v/>
      </c>
      <c r="M49" s="174">
        <f>F49*Prices!C$2</f>
        <v/>
      </c>
      <c r="N49" s="174">
        <f>G49*Prices!D$2</f>
        <v/>
      </c>
      <c r="O49" s="174">
        <f>H49*180000</f>
        <v/>
      </c>
      <c r="P49" s="174">
        <f>I49*2000+J49*4000+K49*650</f>
        <v/>
      </c>
      <c r="Q49" s="174">
        <f>D49*Prices!A$2</f>
        <v/>
      </c>
      <c r="R49" s="175">
        <f>L49+M49+N49+O49</f>
        <v/>
      </c>
      <c r="S49" s="174">
        <f>R49+Q49+P49</f>
        <v/>
      </c>
      <c r="T49" s="26" t="n">
        <v>48</v>
      </c>
      <c r="U49" s="26" t="inlineStr">
        <is>
          <t>Available</t>
        </is>
      </c>
      <c r="V49" s="93" t="inlineStr">
        <is>
          <t>A</t>
        </is>
      </c>
      <c r="W49" s="93" t="n"/>
      <c r="X49" s="93" t="n"/>
      <c r="Y49" s="93" t="n"/>
      <c r="Z49" s="93" t="n"/>
    </row>
    <row r="50" ht="18.75" customHeight="1" s="220">
      <c r="A50" s="26" t="n">
        <v>49</v>
      </c>
      <c r="B50" s="26" t="n">
        <v>5.61</v>
      </c>
      <c r="C50" s="26">
        <f>B50*(25/100)</f>
        <v/>
      </c>
      <c r="D50" s="26">
        <f>C50+B50</f>
        <v/>
      </c>
      <c r="E50" s="26" t="n">
        <v>0.5</v>
      </c>
      <c r="F50" s="26" t="n"/>
      <c r="G50" s="26" t="n"/>
      <c r="H50" s="26" t="n"/>
      <c r="I50" s="26" t="n"/>
      <c r="J50" s="26" t="n"/>
      <c r="K50" s="26" t="n"/>
      <c r="L50" s="174">
        <f>E50*Prices!B$2</f>
        <v/>
      </c>
      <c r="M50" s="174">
        <f>F50*Prices!C$2</f>
        <v/>
      </c>
      <c r="N50" s="174">
        <f>G50*Prices!D$2</f>
        <v/>
      </c>
      <c r="O50" s="174">
        <f>H50*180000</f>
        <v/>
      </c>
      <c r="P50" s="174">
        <f>I50*2000+J50*4000+K50*650</f>
        <v/>
      </c>
      <c r="Q50" s="174">
        <f>D50*Prices!A$2</f>
        <v/>
      </c>
      <c r="R50" s="175">
        <f>L50+M50+N50+O50</f>
        <v/>
      </c>
      <c r="S50" s="174">
        <f>R50+Q50+P50</f>
        <v/>
      </c>
      <c r="T50" s="26" t="n">
        <v>49</v>
      </c>
      <c r="U50" s="26" t="inlineStr">
        <is>
          <t>Available</t>
        </is>
      </c>
      <c r="V50" s="93" t="inlineStr">
        <is>
          <t>A</t>
        </is>
      </c>
      <c r="W50" s="93" t="n"/>
      <c r="X50" s="93" t="n"/>
      <c r="Y50" s="93" t="n"/>
      <c r="Z50" s="93" t="n"/>
    </row>
    <row r="51" ht="18.75" customHeight="1" s="220">
      <c r="A51" s="26" t="n">
        <v>50</v>
      </c>
      <c r="B51" s="26" t="n">
        <v>3.624</v>
      </c>
      <c r="C51" s="26">
        <f>B51*(25/100)</f>
        <v/>
      </c>
      <c r="D51" s="26">
        <f>C51+B51</f>
        <v/>
      </c>
      <c r="E51" s="26" t="n">
        <v>0.83</v>
      </c>
      <c r="F51" s="26" t="n"/>
      <c r="G51" s="26" t="n"/>
      <c r="H51" s="26" t="n"/>
      <c r="I51" s="26" t="n"/>
      <c r="J51" s="26" t="n"/>
      <c r="K51" s="26" t="n"/>
      <c r="L51" s="174">
        <f>E51*Prices!B$2</f>
        <v/>
      </c>
      <c r="M51" s="174">
        <f>F51*Prices!C$2</f>
        <v/>
      </c>
      <c r="N51" s="174">
        <f>G51*Prices!D$2</f>
        <v/>
      </c>
      <c r="O51" s="174">
        <f>H51*180000</f>
        <v/>
      </c>
      <c r="P51" s="174">
        <f>I51*2000+J51*4000+K51*650</f>
        <v/>
      </c>
      <c r="Q51" s="174">
        <f>D51*Prices!A$2</f>
        <v/>
      </c>
      <c r="R51" s="175">
        <f>L51+M51+N51+O51</f>
        <v/>
      </c>
      <c r="S51" s="174">
        <f>R51+Q51+P51</f>
        <v/>
      </c>
      <c r="T51" s="26" t="n">
        <v>50</v>
      </c>
      <c r="U51" s="26" t="inlineStr">
        <is>
          <t>Sold</t>
        </is>
      </c>
      <c r="V51" s="93" t="n"/>
      <c r="W51" s="93" t="n"/>
      <c r="X51" s="93" t="n"/>
      <c r="Y51" s="93" t="n"/>
      <c r="Z51" s="93" t="n"/>
    </row>
    <row r="52" ht="18.75" customHeight="1" s="220">
      <c r="A52" s="26" t="n">
        <v>51</v>
      </c>
      <c r="B52" s="26" t="n">
        <v>7.23</v>
      </c>
      <c r="C52" s="26">
        <f>B52*(25/100)</f>
        <v/>
      </c>
      <c r="D52" s="26">
        <f>C52+B52</f>
        <v/>
      </c>
      <c r="E52" s="26" t="n">
        <v>0.23</v>
      </c>
      <c r="F52" s="26" t="n"/>
      <c r="G52" s="26" t="n"/>
      <c r="H52" s="26" t="n"/>
      <c r="I52" s="26" t="n"/>
      <c r="J52" s="26" t="n"/>
      <c r="K52" s="26" t="n"/>
      <c r="L52" s="174">
        <f>E52*Prices!B$2</f>
        <v/>
      </c>
      <c r="M52" s="174">
        <f>F52*Prices!C$2</f>
        <v/>
      </c>
      <c r="N52" s="174">
        <f>G52*Prices!D$2</f>
        <v/>
      </c>
      <c r="O52" s="174">
        <f>H52*180000</f>
        <v/>
      </c>
      <c r="P52" s="174">
        <f>I52*2000+J52*4000+K52*650</f>
        <v/>
      </c>
      <c r="Q52" s="174">
        <f>D52*(Prices!A$2+2200)</f>
        <v/>
      </c>
      <c r="R52" s="175">
        <f>L52+M52+N52+O52</f>
        <v/>
      </c>
      <c r="S52" s="174">
        <f>R52+Q52+P52</f>
        <v/>
      </c>
      <c r="T52" s="26" t="n">
        <v>51</v>
      </c>
      <c r="U52" s="26" t="inlineStr">
        <is>
          <t>Available</t>
        </is>
      </c>
      <c r="V52" s="93" t="inlineStr">
        <is>
          <t>A</t>
        </is>
      </c>
      <c r="W52" s="93" t="n"/>
      <c r="X52" s="93" t="n"/>
      <c r="Y52" s="93" t="n"/>
      <c r="Z52" s="93" t="n"/>
    </row>
    <row r="53" ht="18.75" customHeight="1" s="220">
      <c r="A53" s="26" t="n">
        <v>52</v>
      </c>
      <c r="B53" s="26" t="n">
        <v>2.33</v>
      </c>
      <c r="C53" s="26">
        <f>B53*(25/100)</f>
        <v/>
      </c>
      <c r="D53" s="26">
        <f>C53+B53</f>
        <v/>
      </c>
      <c r="E53" s="26" t="n">
        <v>0.45</v>
      </c>
      <c r="F53" s="26" t="n"/>
      <c r="G53" s="26" t="n"/>
      <c r="H53" s="26" t="n"/>
      <c r="I53" s="26" t="n"/>
      <c r="J53" s="26" t="n"/>
      <c r="K53" s="26" t="n"/>
      <c r="L53" s="174">
        <f>E53*Prices!B$2</f>
        <v/>
      </c>
      <c r="M53" s="174">
        <f>F53*Prices!C$2</f>
        <v/>
      </c>
      <c r="N53" s="174">
        <f>G53*Prices!D$2</f>
        <v/>
      </c>
      <c r="O53" s="174">
        <f>H53*180000</f>
        <v/>
      </c>
      <c r="P53" s="174">
        <f>I53*2000+J53*4000+K53*650</f>
        <v/>
      </c>
      <c r="Q53" s="174">
        <f>D53*Prices!A$2</f>
        <v/>
      </c>
      <c r="R53" s="175">
        <f>L53+M53+N53+O53</f>
        <v/>
      </c>
      <c r="S53" s="174">
        <f>R53+Q53+P53</f>
        <v/>
      </c>
      <c r="T53" s="26" t="n">
        <v>52</v>
      </c>
      <c r="U53" s="26" t="inlineStr">
        <is>
          <t>Sold</t>
        </is>
      </c>
      <c r="V53" s="93" t="n"/>
      <c r="W53" s="93" t="n"/>
      <c r="X53" s="93" t="n"/>
      <c r="Y53" s="93" t="n"/>
      <c r="Z53" s="93" t="n"/>
    </row>
    <row r="54" ht="18.75" customHeight="1" s="220">
      <c r="A54" s="26" t="n">
        <v>53</v>
      </c>
      <c r="B54" s="26" t="n">
        <v>4.68</v>
      </c>
      <c r="C54" s="26">
        <f>B54*(25/100)</f>
        <v/>
      </c>
      <c r="D54" s="26">
        <f>C54+B54</f>
        <v/>
      </c>
      <c r="E54" s="26" t="n">
        <v>0.3</v>
      </c>
      <c r="F54" s="26" t="n"/>
      <c r="G54" s="26" t="n"/>
      <c r="H54" s="26" t="n"/>
      <c r="I54" s="26" t="n"/>
      <c r="J54" s="26" t="n"/>
      <c r="K54" s="26" t="n"/>
      <c r="L54" s="174">
        <f>E54*Prices!B$2</f>
        <v/>
      </c>
      <c r="M54" s="174">
        <f>F54*Prices!C$2</f>
        <v/>
      </c>
      <c r="N54" s="174">
        <f>G54*Prices!D$2</f>
        <v/>
      </c>
      <c r="O54" s="174">
        <f>H54*180000</f>
        <v/>
      </c>
      <c r="P54" s="174">
        <f>I54*2000+J54*4000+K54*650</f>
        <v/>
      </c>
      <c r="Q54" s="174">
        <f>D54*Prices!A$2</f>
        <v/>
      </c>
      <c r="R54" s="175">
        <f>L54+M54+N54+O54</f>
        <v/>
      </c>
      <c r="S54" s="174">
        <f>R54+Q54+P54</f>
        <v/>
      </c>
      <c r="T54" s="26" t="n">
        <v>53</v>
      </c>
      <c r="U54" s="26" t="inlineStr">
        <is>
          <t>Available</t>
        </is>
      </c>
      <c r="V54" s="93" t="inlineStr">
        <is>
          <t>A</t>
        </is>
      </c>
      <c r="W54" s="93" t="n"/>
      <c r="X54" s="93" t="n"/>
      <c r="Y54" s="93" t="n"/>
      <c r="Z54" s="93" t="n"/>
    </row>
    <row r="55" ht="18.75" customHeight="1" s="220">
      <c r="A55" s="26" t="n">
        <v>54</v>
      </c>
      <c r="B55" s="26" t="n">
        <v>3.69</v>
      </c>
      <c r="C55" s="26">
        <f>B55*(25/100)</f>
        <v/>
      </c>
      <c r="D55" s="26">
        <f>C55+B55</f>
        <v/>
      </c>
      <c r="E55" s="26" t="n">
        <v>0.35</v>
      </c>
      <c r="F55" s="26" t="n"/>
      <c r="G55" s="26" t="n"/>
      <c r="H55" s="26" t="n"/>
      <c r="I55" s="26" t="n"/>
      <c r="J55" s="26" t="n"/>
      <c r="K55" s="26" t="n"/>
      <c r="L55" s="174">
        <f>E55*Prices!B$2</f>
        <v/>
      </c>
      <c r="M55" s="174">
        <f>F55*Prices!C$2</f>
        <v/>
      </c>
      <c r="N55" s="174">
        <f>G55*Prices!D$2</f>
        <v/>
      </c>
      <c r="O55" s="174">
        <f>H55*180000</f>
        <v/>
      </c>
      <c r="P55" s="174">
        <f>I55*2000+J55*4000+K55*650</f>
        <v/>
      </c>
      <c r="Q55" s="174">
        <f>D55*Prices!A$2</f>
        <v/>
      </c>
      <c r="R55" s="175">
        <f>L55+M55+N55+O55</f>
        <v/>
      </c>
      <c r="S55" s="174">
        <f>R55+Q55+P55</f>
        <v/>
      </c>
      <c r="T55" s="26" t="n">
        <v>54</v>
      </c>
      <c r="U55" s="26" t="inlineStr">
        <is>
          <t>Available</t>
        </is>
      </c>
      <c r="V55" s="93" t="inlineStr">
        <is>
          <t>A</t>
        </is>
      </c>
      <c r="W55" s="93" t="n"/>
      <c r="X55" s="93" t="n"/>
      <c r="Y55" s="93" t="n"/>
      <c r="Z55" s="93" t="n"/>
    </row>
    <row r="56" ht="18.75" customHeight="1" s="220">
      <c r="A56" s="26" t="n">
        <v>55</v>
      </c>
      <c r="B56" s="26" t="n">
        <v>4.65</v>
      </c>
      <c r="C56" s="26">
        <f>B56*(25/100)</f>
        <v/>
      </c>
      <c r="D56" s="26">
        <f>C56+B56</f>
        <v/>
      </c>
      <c r="E56" s="26" t="n">
        <v>0.4</v>
      </c>
      <c r="F56" s="26" t="n"/>
      <c r="G56" s="26" t="n"/>
      <c r="H56" s="26" t="n"/>
      <c r="I56" s="26" t="n"/>
      <c r="J56" s="26" t="n"/>
      <c r="K56" s="26" t="n"/>
      <c r="L56" s="174">
        <f>E56*Prices!B$2</f>
        <v/>
      </c>
      <c r="M56" s="174">
        <f>F56*Prices!C$2</f>
        <v/>
      </c>
      <c r="N56" s="174">
        <f>G56*Prices!D$2</f>
        <v/>
      </c>
      <c r="O56" s="174">
        <f>H56*180000</f>
        <v/>
      </c>
      <c r="P56" s="174">
        <f>I56*2000+J56*4000+K56*650</f>
        <v/>
      </c>
      <c r="Q56" s="174">
        <f>D56*Prices!A$2</f>
        <v/>
      </c>
      <c r="R56" s="175">
        <f>L56+M56+N56+O56</f>
        <v/>
      </c>
      <c r="S56" s="174">
        <f>R56+Q56+P56</f>
        <v/>
      </c>
      <c r="T56" s="26" t="n">
        <v>55</v>
      </c>
      <c r="U56" s="26" t="inlineStr">
        <is>
          <t>Available</t>
        </is>
      </c>
      <c r="V56" s="93" t="inlineStr">
        <is>
          <t>A</t>
        </is>
      </c>
      <c r="W56" s="93" t="n"/>
      <c r="X56" s="93" t="n"/>
      <c r="Y56" s="93" t="n"/>
      <c r="Z56" s="93" t="n"/>
    </row>
    <row r="57" ht="18.75" customHeight="1" s="220">
      <c r="A57" s="26" t="n">
        <v>56</v>
      </c>
      <c r="B57" s="26" t="n">
        <v>3.936</v>
      </c>
      <c r="C57" s="26">
        <f>B57*(25/100)</f>
        <v/>
      </c>
      <c r="D57" s="26">
        <f>C57+B57</f>
        <v/>
      </c>
      <c r="E57" s="26" t="n">
        <v>0.47</v>
      </c>
      <c r="F57" s="26" t="n"/>
      <c r="G57" s="26" t="n"/>
      <c r="H57" s="26" t="n"/>
      <c r="I57" s="26" t="n"/>
      <c r="J57" s="26" t="n"/>
      <c r="K57" s="26" t="n"/>
      <c r="L57" s="174">
        <f>E57*Prices!B$2</f>
        <v/>
      </c>
      <c r="M57" s="174">
        <f>F57*Prices!C$2</f>
        <v/>
      </c>
      <c r="N57" s="174">
        <f>G57*Prices!D$2</f>
        <v/>
      </c>
      <c r="O57" s="174">
        <f>H57*180000</f>
        <v/>
      </c>
      <c r="P57" s="174">
        <f>I57*2000+J57*4000+K57*650</f>
        <v/>
      </c>
      <c r="Q57" s="174">
        <f>D57*Prices!A$2</f>
        <v/>
      </c>
      <c r="R57" s="175">
        <f>L57+M57+N57+O57</f>
        <v/>
      </c>
      <c r="S57" s="174">
        <f>R57+Q57+P57</f>
        <v/>
      </c>
      <c r="T57" s="26" t="n">
        <v>56</v>
      </c>
      <c r="U57" s="26" t="inlineStr">
        <is>
          <t>Available</t>
        </is>
      </c>
      <c r="V57" s="93" t="inlineStr">
        <is>
          <t>A</t>
        </is>
      </c>
      <c r="W57" s="93" t="n"/>
      <c r="X57" s="93" t="n"/>
      <c r="Y57" s="93" t="n"/>
      <c r="Z57" s="93" t="n"/>
    </row>
    <row r="58" ht="18.75" customHeight="1" s="220">
      <c r="A58" s="26" t="n">
        <v>57</v>
      </c>
      <c r="B58" s="26" t="n">
        <v>6.254</v>
      </c>
      <c r="C58" s="26">
        <f>B58*(25/100)</f>
        <v/>
      </c>
      <c r="D58" s="26">
        <f>C58+B58</f>
        <v/>
      </c>
      <c r="E58" s="26" t="n"/>
      <c r="F58" s="26" t="n"/>
      <c r="G58" s="26" t="n"/>
      <c r="H58" s="26" t="n">
        <v>0.38</v>
      </c>
      <c r="I58" s="26" t="n"/>
      <c r="J58" s="26" t="n"/>
      <c r="K58" s="26" t="n"/>
      <c r="L58" s="174">
        <f>E58*Prices!B$2</f>
        <v/>
      </c>
      <c r="M58" s="174">
        <f>F58*Prices!C$2</f>
        <v/>
      </c>
      <c r="N58" s="174">
        <f>G58*Prices!D$2</f>
        <v/>
      </c>
      <c r="O58" s="174">
        <f>H58*270000</f>
        <v/>
      </c>
      <c r="P58" s="174">
        <f>I58*2000+J58*4000+K58*650</f>
        <v/>
      </c>
      <c r="Q58" s="174">
        <f>D58*Prices!A$2</f>
        <v/>
      </c>
      <c r="R58" s="175">
        <f>L58+M58+N58+O58</f>
        <v/>
      </c>
      <c r="S58" s="174">
        <f>R58+Q58+P58</f>
        <v/>
      </c>
      <c r="T58" s="26" t="n">
        <v>57</v>
      </c>
      <c r="U58" s="26" t="inlineStr">
        <is>
          <t>Sold</t>
        </is>
      </c>
      <c r="V58" s="93" t="n"/>
      <c r="W58" s="93" t="n"/>
      <c r="X58" s="93" t="n"/>
      <c r="Y58" s="93" t="n"/>
      <c r="Z58" s="93" t="n"/>
    </row>
    <row r="59" ht="18.75" customHeight="1" s="220">
      <c r="A59" s="26" t="n">
        <v>58</v>
      </c>
      <c r="B59" s="26" t="n">
        <v>9.348000000000001</v>
      </c>
      <c r="C59" s="26">
        <f>B59*(25/100)</f>
        <v/>
      </c>
      <c r="D59" s="26">
        <f>C59+B59</f>
        <v/>
      </c>
      <c r="E59" s="26" t="n">
        <v>1.16</v>
      </c>
      <c r="F59" s="26" t="n"/>
      <c r="G59" s="26" t="n"/>
      <c r="H59" s="26" t="n"/>
      <c r="I59" s="26" t="n"/>
      <c r="J59" s="26" t="n"/>
      <c r="K59" s="26" t="n"/>
      <c r="L59" s="174">
        <f>E59*Prices!B$2</f>
        <v/>
      </c>
      <c r="M59" s="174">
        <f>F59*Prices!C$2</f>
        <v/>
      </c>
      <c r="N59" s="174">
        <f>G59*Prices!D$2</f>
        <v/>
      </c>
      <c r="O59" s="174">
        <f>H59*270000</f>
        <v/>
      </c>
      <c r="P59" s="174">
        <f>I59*2000+J59*4000+K59*650</f>
        <v/>
      </c>
      <c r="Q59" s="174">
        <f>D59*(Prices!A$2+2200)</f>
        <v/>
      </c>
      <c r="R59" s="175">
        <f>L59+M59+N59+O59</f>
        <v/>
      </c>
      <c r="S59" s="174">
        <f>R59+Q59+P59</f>
        <v/>
      </c>
      <c r="T59" s="26" t="n">
        <v>58</v>
      </c>
      <c r="U59" s="26" t="inlineStr">
        <is>
          <t>Available</t>
        </is>
      </c>
      <c r="V59" s="93" t="inlineStr">
        <is>
          <t>A</t>
        </is>
      </c>
      <c r="W59" s="93" t="n"/>
      <c r="X59" s="93" t="n"/>
      <c r="Y59" s="93" t="n"/>
      <c r="Z59" s="93" t="n"/>
    </row>
    <row r="60" ht="18.75" customHeight="1" s="220">
      <c r="A60" s="26" t="n">
        <v>59</v>
      </c>
      <c r="B60" s="26" t="n">
        <v>4.258</v>
      </c>
      <c r="C60" s="26">
        <f>B60*(25/100)</f>
        <v/>
      </c>
      <c r="D60" s="26">
        <f>C60+B60</f>
        <v/>
      </c>
      <c r="E60" s="26" t="n">
        <v>0.41</v>
      </c>
      <c r="F60" s="26" t="n"/>
      <c r="G60" s="26" t="n"/>
      <c r="H60" s="26" t="n"/>
      <c r="I60" s="26" t="n"/>
      <c r="J60" s="26" t="n"/>
      <c r="K60" s="26" t="n"/>
      <c r="L60" s="174">
        <f>E60*Prices!B$2</f>
        <v/>
      </c>
      <c r="M60" s="174">
        <f>F60*Prices!C$2</f>
        <v/>
      </c>
      <c r="N60" s="174">
        <f>G60*Prices!D$2</f>
        <v/>
      </c>
      <c r="O60" s="174">
        <f>H60*270000</f>
        <v/>
      </c>
      <c r="P60" s="174">
        <f>I60*2000+J60*4000+K60*650</f>
        <v/>
      </c>
      <c r="Q60" s="174">
        <f>D60*Prices!A$2</f>
        <v/>
      </c>
      <c r="R60" s="175">
        <f>L60+M60+N60+O60</f>
        <v/>
      </c>
      <c r="S60" s="174">
        <f>R60+Q60+P60</f>
        <v/>
      </c>
      <c r="T60" s="26" t="n">
        <v>59</v>
      </c>
      <c r="U60" s="26" t="inlineStr">
        <is>
          <t>Sold</t>
        </is>
      </c>
      <c r="V60" s="93" t="n"/>
      <c r="W60" s="93" t="n"/>
      <c r="X60" s="93" t="n"/>
      <c r="Y60" s="93" t="n"/>
      <c r="Z60" s="93" t="n"/>
    </row>
    <row r="61" ht="18.75" customHeight="1" s="220">
      <c r="A61" s="26" t="n">
        <v>60</v>
      </c>
      <c r="B61" s="26" t="n">
        <v>3.708</v>
      </c>
      <c r="C61" s="26">
        <f>B61*(25/100)</f>
        <v/>
      </c>
      <c r="D61" s="26">
        <f>C61+B61</f>
        <v/>
      </c>
      <c r="E61" s="26" t="n">
        <v>0.26</v>
      </c>
      <c r="F61" s="26" t="n"/>
      <c r="G61" s="26" t="n"/>
      <c r="H61" s="26" t="n"/>
      <c r="I61" s="26" t="n"/>
      <c r="J61" s="26" t="n"/>
      <c r="K61" s="26" t="n"/>
      <c r="L61" s="174">
        <f>E61*Prices!B$2</f>
        <v/>
      </c>
      <c r="M61" s="174">
        <f>F61*Prices!C$2</f>
        <v/>
      </c>
      <c r="N61" s="174">
        <f>G61*Prices!D$2</f>
        <v/>
      </c>
      <c r="O61" s="174">
        <f>H61*270000</f>
        <v/>
      </c>
      <c r="P61" s="174">
        <f>I61*2000+J61*4000+K61*650</f>
        <v/>
      </c>
      <c r="Q61" s="174">
        <f>D61*Prices!A$2</f>
        <v/>
      </c>
      <c r="R61" s="175">
        <f>L61+M61+N61+O61</f>
        <v/>
      </c>
      <c r="S61" s="174">
        <f>R61+Q61+P61</f>
        <v/>
      </c>
      <c r="T61" s="26" t="n">
        <v>60</v>
      </c>
      <c r="U61" s="26" t="inlineStr">
        <is>
          <t>Sold</t>
        </is>
      </c>
      <c r="V61" s="93" t="n"/>
      <c r="W61" s="93" t="n"/>
      <c r="X61" s="93" t="n"/>
      <c r="Y61" s="93" t="n"/>
      <c r="Z61" s="93" t="n"/>
    </row>
    <row r="62" ht="18.75" customHeight="1" s="220">
      <c r="A62" s="26" t="n">
        <v>61</v>
      </c>
      <c r="B62" s="26" t="n">
        <v>4.43</v>
      </c>
      <c r="C62" s="26">
        <f>B62*(25/100)</f>
        <v/>
      </c>
      <c r="D62" s="26">
        <f>C62+B62</f>
        <v/>
      </c>
      <c r="E62" s="26" t="n">
        <v>0.25</v>
      </c>
      <c r="F62" s="26" t="n"/>
      <c r="G62" s="26" t="n"/>
      <c r="H62" s="26" t="n"/>
      <c r="I62" s="26" t="n"/>
      <c r="J62" s="26" t="n"/>
      <c r="K62" s="26" t="n"/>
      <c r="L62" s="174">
        <f>E62*Prices!B$2</f>
        <v/>
      </c>
      <c r="M62" s="174">
        <f>F62*Prices!C$2</f>
        <v/>
      </c>
      <c r="N62" s="174">
        <f>G62*Prices!D$2</f>
        <v/>
      </c>
      <c r="O62" s="174">
        <f>H62*270000</f>
        <v/>
      </c>
      <c r="P62" s="174">
        <f>I62*2000+J62*4000+K62*650</f>
        <v/>
      </c>
      <c r="Q62" s="174">
        <f>D62*Prices!A$2</f>
        <v/>
      </c>
      <c r="R62" s="175">
        <f>L62+M62+N62+O62</f>
        <v/>
      </c>
      <c r="S62" s="174">
        <f>R62+Q62+P62</f>
        <v/>
      </c>
      <c r="T62" s="26" t="n">
        <v>61</v>
      </c>
      <c r="U62" s="26" t="inlineStr">
        <is>
          <t>Sold</t>
        </is>
      </c>
      <c r="V62" s="93" t="n"/>
      <c r="W62" s="93" t="n"/>
      <c r="X62" s="93" t="n"/>
      <c r="Y62" s="93" t="n"/>
      <c r="Z62" s="93" t="n"/>
    </row>
    <row r="63" ht="18.75" customHeight="1" s="220">
      <c r="A63" s="26" t="n">
        <v>62</v>
      </c>
      <c r="B63" s="26" t="n">
        <v>3.842</v>
      </c>
      <c r="C63" s="26">
        <f>B63*(25/100)</f>
        <v/>
      </c>
      <c r="D63" s="26">
        <f>C63+B63</f>
        <v/>
      </c>
      <c r="E63" s="26" t="n">
        <v>0.24</v>
      </c>
      <c r="F63" s="26" t="n"/>
      <c r="G63" s="26" t="n"/>
      <c r="H63" s="26" t="n"/>
      <c r="I63" s="26" t="n"/>
      <c r="J63" s="26" t="n"/>
      <c r="K63" s="26" t="n"/>
      <c r="L63" s="174">
        <f>E63*Prices!B$2</f>
        <v/>
      </c>
      <c r="M63" s="174">
        <f>F63*Prices!C$2</f>
        <v/>
      </c>
      <c r="N63" s="174">
        <f>G63*Prices!D$2</f>
        <v/>
      </c>
      <c r="O63" s="174">
        <f>H63*270000</f>
        <v/>
      </c>
      <c r="P63" s="174">
        <f>I63*2000+J63*4000+K63*650</f>
        <v/>
      </c>
      <c r="Q63" s="174">
        <f>D63*Prices!A$2</f>
        <v/>
      </c>
      <c r="R63" s="175">
        <f>L63+M63+N63+O63</f>
        <v/>
      </c>
      <c r="S63" s="174">
        <f>R63+Q63+P63</f>
        <v/>
      </c>
      <c r="T63" s="26" t="n">
        <v>62</v>
      </c>
      <c r="U63" s="26" t="inlineStr">
        <is>
          <t>Available</t>
        </is>
      </c>
      <c r="V63" s="93" t="inlineStr">
        <is>
          <t>A</t>
        </is>
      </c>
      <c r="W63" s="93" t="n"/>
      <c r="X63" s="93" t="n"/>
      <c r="Y63" s="93" t="n"/>
      <c r="Z63" s="93" t="n"/>
    </row>
    <row r="64" ht="18.75" customHeight="1" s="220">
      <c r="A64" s="26" t="n">
        <v>63</v>
      </c>
      <c r="B64" s="26" t="n">
        <v>4.706</v>
      </c>
      <c r="C64" s="26">
        <f>B64*(25/100)</f>
        <v/>
      </c>
      <c r="D64" s="26">
        <f>C64+B64</f>
        <v/>
      </c>
      <c r="E64" s="26" t="n">
        <v>0.37</v>
      </c>
      <c r="F64" s="26" t="n"/>
      <c r="G64" s="26" t="n"/>
      <c r="H64" s="26" t="n"/>
      <c r="I64" s="26" t="n"/>
      <c r="J64" s="26" t="n"/>
      <c r="K64" s="26" t="n"/>
      <c r="L64" s="174">
        <f>E64*Prices!B$2</f>
        <v/>
      </c>
      <c r="M64" s="174">
        <f>F64*Prices!C$2</f>
        <v/>
      </c>
      <c r="N64" s="174">
        <f>G64*Prices!D$2</f>
        <v/>
      </c>
      <c r="O64" s="174">
        <f>H64*270000</f>
        <v/>
      </c>
      <c r="P64" s="174">
        <f>I64*2000+J64*4000+K64*650</f>
        <v/>
      </c>
      <c r="Q64" s="174">
        <f>D64*Prices!A$2</f>
        <v/>
      </c>
      <c r="R64" s="175">
        <f>L64+M64+N64+O64</f>
        <v/>
      </c>
      <c r="S64" s="174">
        <f>R64+Q64+P64</f>
        <v/>
      </c>
      <c r="T64" s="26" t="n">
        <v>63</v>
      </c>
      <c r="U64" s="26" t="inlineStr">
        <is>
          <t>Available</t>
        </is>
      </c>
      <c r="V64" s="93" t="inlineStr">
        <is>
          <t>A</t>
        </is>
      </c>
      <c r="W64" s="93" t="n"/>
      <c r="X64" s="93" t="n"/>
      <c r="Y64" s="93" t="n"/>
      <c r="Z64" s="93" t="n"/>
    </row>
    <row r="65" ht="18.75" customHeight="1" s="220">
      <c r="A65" s="26" t="n">
        <v>64</v>
      </c>
      <c r="B65" s="26" t="n">
        <v>3.408</v>
      </c>
      <c r="C65" s="26">
        <f>B65*(25/100)</f>
        <v/>
      </c>
      <c r="D65" s="26">
        <f>C65+B65</f>
        <v/>
      </c>
      <c r="E65" s="26" t="n">
        <v>0.41</v>
      </c>
      <c r="F65" s="26" t="n"/>
      <c r="G65" s="26" t="n"/>
      <c r="H65" s="26" t="n"/>
      <c r="I65" s="26" t="n"/>
      <c r="J65" s="26" t="n"/>
      <c r="K65" s="26" t="n"/>
      <c r="L65" s="174">
        <f>E65*Prices!B$2</f>
        <v/>
      </c>
      <c r="M65" s="174">
        <f>F65*Prices!C$2</f>
        <v/>
      </c>
      <c r="N65" s="174">
        <f>G65*Prices!D$2</f>
        <v/>
      </c>
      <c r="O65" s="174">
        <f>H65*270000</f>
        <v/>
      </c>
      <c r="P65" s="174">
        <f>I65*2000+J65*4000+K65*650</f>
        <v/>
      </c>
      <c r="Q65" s="174">
        <f>D65*Prices!A$2</f>
        <v/>
      </c>
      <c r="R65" s="175">
        <f>L65+M65+N65+O65</f>
        <v/>
      </c>
      <c r="S65" s="174">
        <f>R65+Q65+P65</f>
        <v/>
      </c>
      <c r="T65" s="26" t="n">
        <v>64</v>
      </c>
      <c r="U65" s="26" t="inlineStr">
        <is>
          <t>Available</t>
        </is>
      </c>
      <c r="V65" s="93" t="inlineStr">
        <is>
          <t>A</t>
        </is>
      </c>
      <c r="W65" s="93" t="n"/>
      <c r="X65" s="93" t="n"/>
      <c r="Y65" s="93" t="n"/>
      <c r="Z65" s="93" t="n"/>
    </row>
    <row r="66" ht="18.75" customHeight="1" s="220">
      <c r="A66" s="26" t="n">
        <v>65</v>
      </c>
      <c r="B66" s="26" t="n">
        <v>3.668</v>
      </c>
      <c r="C66" s="26">
        <f>B66*(25/100)</f>
        <v/>
      </c>
      <c r="D66" s="26">
        <f>C66+B66</f>
        <v/>
      </c>
      <c r="E66" s="26" t="n">
        <v>0.31</v>
      </c>
      <c r="F66" s="26" t="n"/>
      <c r="G66" s="26" t="n"/>
      <c r="H66" s="26" t="n"/>
      <c r="I66" s="26" t="n"/>
      <c r="J66" s="26" t="n"/>
      <c r="K66" s="26" t="n"/>
      <c r="L66" s="174">
        <f>E66*Prices!B$2</f>
        <v/>
      </c>
      <c r="M66" s="174">
        <f>F66*Prices!C$2</f>
        <v/>
      </c>
      <c r="N66" s="174">
        <f>G66*Prices!D$2</f>
        <v/>
      </c>
      <c r="O66" s="174">
        <f>H66*270000</f>
        <v/>
      </c>
      <c r="P66" s="174">
        <f>I66*2000+J66*4000+K66*650</f>
        <v/>
      </c>
      <c r="Q66" s="174">
        <f>D66*Prices!A$2</f>
        <v/>
      </c>
      <c r="R66" s="175">
        <f>L66+M66+N66+O66</f>
        <v/>
      </c>
      <c r="S66" s="174">
        <f>R66+Q66+P66</f>
        <v/>
      </c>
      <c r="T66" s="26" t="n">
        <v>65</v>
      </c>
      <c r="U66" s="26" t="inlineStr">
        <is>
          <t>Available</t>
        </is>
      </c>
      <c r="V66" s="93" t="inlineStr">
        <is>
          <t>A</t>
        </is>
      </c>
      <c r="W66" s="93" t="n"/>
      <c r="X66" s="93" t="n"/>
      <c r="Y66" s="93" t="n"/>
      <c r="Z66" s="93" t="n"/>
    </row>
    <row r="67" ht="18.75" customHeight="1" s="220">
      <c r="A67" s="26" t="n">
        <v>66</v>
      </c>
      <c r="B67" s="26" t="n">
        <v>7.818</v>
      </c>
      <c r="C67" s="26">
        <f>B67*(25/100)</f>
        <v/>
      </c>
      <c r="D67" s="26">
        <f>C67+B67</f>
        <v/>
      </c>
      <c r="E67" s="93" t="n"/>
      <c r="F67" s="93" t="n"/>
      <c r="G67" s="93" t="n"/>
      <c r="H67" s="93" t="n">
        <v>1.06</v>
      </c>
      <c r="I67" s="93" t="n"/>
      <c r="J67" s="93" t="n"/>
      <c r="K67" s="93" t="n"/>
      <c r="L67" s="174">
        <f>E67*Prices!B$2</f>
        <v/>
      </c>
      <c r="M67" s="174">
        <f>F67*Prices!C$2</f>
        <v/>
      </c>
      <c r="N67" s="174">
        <f>G67*Prices!D$2</f>
        <v/>
      </c>
      <c r="O67" s="174">
        <f>H67*675000</f>
        <v/>
      </c>
      <c r="P67" s="174">
        <f>I67*2000+J67*4000+K67*650</f>
        <v/>
      </c>
      <c r="Q67" s="174">
        <f>D67*Prices!A$2</f>
        <v/>
      </c>
      <c r="R67" s="175">
        <f>L67+M67+N67+O67</f>
        <v/>
      </c>
      <c r="S67" s="174">
        <f>R67+Q67+P67</f>
        <v/>
      </c>
      <c r="T67" s="26" t="n">
        <v>66</v>
      </c>
      <c r="U67" s="26" t="inlineStr">
        <is>
          <t>Available</t>
        </is>
      </c>
      <c r="V67" s="93" t="inlineStr">
        <is>
          <t>A</t>
        </is>
      </c>
      <c r="W67" s="93" t="n"/>
      <c r="X67" s="93" t="n"/>
      <c r="Y67" s="93" t="n"/>
      <c r="Z67" s="93" t="n"/>
    </row>
    <row r="68" ht="18.75" customHeight="1" s="220">
      <c r="A68" s="26" t="n">
        <v>67</v>
      </c>
      <c r="B68" s="26" t="n">
        <v>4.256</v>
      </c>
      <c r="C68" s="26">
        <f>B68*(25/100)</f>
        <v/>
      </c>
      <c r="D68" s="26">
        <f>C68+B68</f>
        <v/>
      </c>
      <c r="E68" s="26" t="n">
        <v>0.32</v>
      </c>
      <c r="F68" s="93" t="n"/>
      <c r="G68" s="93" t="n"/>
      <c r="H68" s="93" t="n"/>
      <c r="I68" s="93" t="n"/>
      <c r="J68" s="93" t="n"/>
      <c r="K68" s="93" t="n"/>
      <c r="L68" s="174">
        <f>E68*Prices!B$2</f>
        <v/>
      </c>
      <c r="M68" s="174">
        <f>F68*Prices!C$2</f>
        <v/>
      </c>
      <c r="N68" s="174">
        <f>G68*Prices!D$2</f>
        <v/>
      </c>
      <c r="O68" s="174">
        <f>H68*600000</f>
        <v/>
      </c>
      <c r="P68" s="174">
        <f>I68*2000+J68*4000+K68*650</f>
        <v/>
      </c>
      <c r="Q68" s="174">
        <f>D68*Prices!A$2</f>
        <v/>
      </c>
      <c r="R68" s="175">
        <f>L68+M68+N68+O68</f>
        <v/>
      </c>
      <c r="S68" s="174">
        <f>R68+Q68+P68</f>
        <v/>
      </c>
      <c r="T68" s="26" t="n">
        <v>67</v>
      </c>
      <c r="U68" s="26" t="inlineStr">
        <is>
          <t>Sold</t>
        </is>
      </c>
      <c r="V68" s="93" t="n"/>
      <c r="W68" s="93" t="n"/>
      <c r="X68" s="93" t="n"/>
      <c r="Y68" s="93" t="n"/>
      <c r="Z68" s="93" t="n"/>
    </row>
    <row r="69" ht="18.75" customHeight="1" s="220">
      <c r="A69" s="26" t="n">
        <v>68</v>
      </c>
      <c r="B69" s="93" t="n">
        <v>3.524</v>
      </c>
      <c r="C69" s="93">
        <f>B69*(25/100)</f>
        <v/>
      </c>
      <c r="D69" s="93">
        <f>C69+B69</f>
        <v/>
      </c>
      <c r="E69" s="93" t="n">
        <v>0.18</v>
      </c>
      <c r="F69" s="93" t="n"/>
      <c r="G69" s="93" t="n"/>
      <c r="H69" s="93" t="n"/>
      <c r="I69" s="93" t="n"/>
      <c r="J69" s="93" t="n"/>
      <c r="K69" s="93" t="n"/>
      <c r="L69" s="174">
        <f>E69*Prices!B$2</f>
        <v/>
      </c>
      <c r="M69" s="174">
        <f>F69*Prices!C$2</f>
        <v/>
      </c>
      <c r="N69" s="174">
        <f>G69*Prices!D$2</f>
        <v/>
      </c>
      <c r="O69" s="174">
        <f>H69*600000</f>
        <v/>
      </c>
      <c r="P69" s="174">
        <f>I69*2000+J69*4000+K69*650</f>
        <v/>
      </c>
      <c r="Q69" s="174">
        <f>D69*Prices!A$2</f>
        <v/>
      </c>
      <c r="R69" s="175">
        <f>L69+M69+N69+O69</f>
        <v/>
      </c>
      <c r="S69" s="174">
        <f>R69+Q69+P69</f>
        <v/>
      </c>
      <c r="T69" s="26" t="n">
        <v>68</v>
      </c>
      <c r="U69" s="26" t="inlineStr">
        <is>
          <t>Sold</t>
        </is>
      </c>
      <c r="V69" s="93" t="n"/>
      <c r="W69" s="93" t="n"/>
      <c r="X69" s="93" t="n"/>
      <c r="Y69" s="93" t="n"/>
      <c r="Z69" s="93" t="n"/>
    </row>
    <row r="70" ht="18.75" customHeight="1" s="220">
      <c r="A70" s="93" t="n">
        <v>69</v>
      </c>
      <c r="B70" s="93" t="n">
        <v>3.252</v>
      </c>
      <c r="C70" s="93">
        <f>B70*(25/100)</f>
        <v/>
      </c>
      <c r="D70" s="93">
        <f>C70+B70</f>
        <v/>
      </c>
      <c r="E70" s="93" t="n">
        <v>0.34</v>
      </c>
      <c r="F70" s="93" t="n"/>
      <c r="G70" s="93" t="n"/>
      <c r="H70" s="93" t="n"/>
      <c r="I70" s="93" t="n"/>
      <c r="J70" s="93" t="n"/>
      <c r="K70" s="93" t="n"/>
      <c r="L70" s="174">
        <f>E70*Prices!B$2</f>
        <v/>
      </c>
      <c r="M70" s="174">
        <f>F70*Prices!C$2</f>
        <v/>
      </c>
      <c r="N70" s="174">
        <f>G70*Prices!D$2</f>
        <v/>
      </c>
      <c r="O70" s="174">
        <f>H70*600000</f>
        <v/>
      </c>
      <c r="P70" s="174">
        <f>I70*2000+J70*4000+K70*650</f>
        <v/>
      </c>
      <c r="Q70" s="174">
        <f>D70*Prices!A$2</f>
        <v/>
      </c>
      <c r="R70" s="175">
        <f>L70+M70+N70+O70</f>
        <v/>
      </c>
      <c r="S70" s="174">
        <f>R70+Q70+P70</f>
        <v/>
      </c>
      <c r="T70" s="93" t="n">
        <v>69</v>
      </c>
      <c r="U70" s="26" t="inlineStr">
        <is>
          <t>Sold</t>
        </is>
      </c>
      <c r="V70" s="93" t="n"/>
      <c r="W70" s="93" t="n"/>
      <c r="X70" s="93" t="n"/>
      <c r="Y70" s="93" t="n"/>
      <c r="Z70" s="93" t="n"/>
    </row>
    <row r="71" ht="18.75" customHeight="1" s="220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18.75" customHeight="1" s="220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18.75" customHeight="1" s="220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18.75" customHeight="1" s="220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18.75" customHeight="1" s="220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18.75" customHeight="1" s="220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18.75" customHeight="1" s="220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18.75" customHeight="1" s="220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18.75" customHeight="1" s="220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18.75" customHeight="1" s="22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18.75" customHeight="1" s="220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18.75" customHeight="1" s="220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18.75" customHeight="1" s="220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18.75" customHeight="1" s="220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18.75" customHeight="1" s="220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18.75" customHeight="1" s="220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18.75" customHeight="1" s="220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18.75" customHeight="1" s="220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18.75" customHeight="1" s="220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18.75" customHeight="1" s="22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18.75" customHeight="1" s="220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18.75" customHeight="1" s="220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18.75" customHeight="1" s="220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18.75" customHeight="1" s="220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18.75" customHeight="1" s="220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18.75" customHeight="1" s="220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18.75" customHeight="1" s="220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18.75" customHeight="1" s="220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18.75" customHeight="1" s="220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18.75" customHeight="1" s="220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18.75" customHeight="1" s="220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18.75" customHeight="1" s="220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18.75" customHeight="1" s="220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18.75" customHeight="1" s="220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18.75" customHeight="1" s="220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18.75" customHeight="1" s="220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18.75" customHeight="1" s="220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18.75" customHeight="1" s="220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18.75" customHeight="1" s="220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18.75" customHeight="1" s="220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18.75" customHeight="1" s="220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18.75" customHeight="1" s="220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18.75" customHeight="1" s="220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18.75" customHeight="1" s="220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18.75" customHeight="1" s="220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18.75" customHeight="1" s="220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18.75" customHeight="1" s="220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18.75" customHeight="1" s="220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18.75" customHeight="1" s="220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18.75" customHeight="1" s="220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18.75" customHeight="1" s="220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18.75" customHeight="1" s="220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18.75" customHeight="1" s="220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18.75" customHeight="1" s="220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18.75" customHeight="1" s="220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18.75" customHeight="1" s="220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18.75" customHeight="1" s="220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18.75" customHeight="1" s="220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18.75" customHeight="1" s="220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18.75" customHeight="1" s="220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18.75" customHeight="1" s="220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18.75" customHeight="1" s="220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18.75" customHeight="1" s="220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18.75" customHeight="1" s="220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18.75" customHeight="1" s="220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18.75" customHeight="1" s="220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18.75" customHeight="1" s="220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18.75" customHeight="1" s="220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18.75" customHeight="1" s="220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18.75" customHeight="1" s="220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18.75" customHeight="1" s="220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18.75" customHeight="1" s="220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18.75" customHeight="1" s="220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18.75" customHeight="1" s="220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18.75" customHeight="1" s="220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18.75" customHeight="1" s="220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18.75" customHeight="1" s="220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18.75" customHeight="1" s="220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18.75" customHeight="1" s="220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18.75" customHeight="1" s="220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18.75" customHeight="1" s="220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18.75" customHeight="1" s="220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18.75" customHeight="1" s="220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18.75" customHeight="1" s="220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18.75" customHeight="1" s="220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18.75" customHeight="1" s="220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18.75" customHeight="1" s="220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18.75" customHeight="1" s="220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18.75" customHeight="1" s="220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18.75" customHeight="1" s="220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18.75" customHeight="1" s="220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18.75" customHeight="1" s="220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18.75" customHeight="1" s="220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18.75" customHeight="1" s="220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18.75" customHeight="1" s="220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18.75" customHeight="1" s="220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18.75" customHeight="1" s="220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18.75" customHeight="1" s="220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18.75" customHeight="1" s="220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18.75" customHeight="1" s="220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18.75" customHeight="1" s="220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18.75" customHeight="1" s="220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18.75" customHeight="1" s="220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18.75" customHeight="1" s="220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18.75" customHeight="1" s="220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18.75" customHeight="1" s="220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18.75" customHeight="1" s="220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18.75" customHeight="1" s="220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18.75" customHeight="1" s="220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18.75" customHeight="1" s="220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18.75" customHeight="1" s="220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18.75" customHeight="1" s="220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18.75" customHeight="1" s="220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18.75" customHeight="1" s="220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18.75" customHeight="1" s="220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18.75" customHeight="1" s="220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18.75" customHeight="1" s="220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18.75" customHeight="1" s="220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18.75" customHeight="1" s="220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18.75" customHeight="1" s="220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18.75" customHeight="1" s="220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18.75" customHeight="1" s="220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18.75" customHeight="1" s="220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18.75" customHeight="1" s="220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18.75" customHeight="1" s="220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18.75" customHeight="1" s="220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18.75" customHeight="1" s="220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18.75" customHeight="1" s="220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18.75" customHeight="1" s="220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18.75" customHeight="1" s="220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18.75" customHeight="1" s="220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18.75" customHeight="1" s="220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18.75" customHeight="1" s="220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18.75" customHeight="1" s="220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18.75" customHeight="1" s="220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18.75" customHeight="1" s="220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18.75" customHeight="1" s="220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18.75" customHeight="1" s="220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18.75" customHeight="1" s="220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18.75" customHeight="1" s="220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18.75" customHeight="1" s="220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18.75" customHeight="1" s="220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18.75" customHeight="1" s="220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18.75" customHeight="1" s="220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18.75" customHeight="1" s="220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18.75" customHeight="1" s="220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18.75" customHeight="1" s="220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18.75" customHeight="1" s="220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18.75" customHeight="1" s="220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18.75" customHeight="1" s="220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18.75" customHeight="1" s="220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18.75" customHeight="1" s="220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18.75" customHeight="1" s="220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18.75" customHeight="1" s="220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18.75" customHeight="1" s="220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18.75" customHeight="1" s="220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18.75" customHeight="1" s="220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18.75" customHeight="1" s="220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18.75" customHeight="1" s="220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18.75" customHeight="1" s="220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18.75" customHeight="1" s="220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18.75" customHeight="1" s="220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18.75" customHeight="1" s="220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18.75" customHeight="1" s="220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18.75" customHeight="1" s="220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18.75" customHeight="1" s="220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18.75" customHeight="1" s="220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18.75" customHeight="1" s="220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18.75" customHeight="1" s="220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18.75" customHeight="1" s="220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18.75" customHeight="1" s="220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18.75" customHeight="1" s="220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18.75" customHeight="1" s="220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18.75" customHeight="1" s="220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18.75" customHeight="1" s="220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18.75" customHeight="1" s="220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18.75" customHeight="1" s="220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18.75" customHeight="1" s="220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18.75" customHeight="1" s="220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18.75" customHeight="1" s="220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18.75" customHeight="1" s="220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18.75" customHeight="1" s="220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18.75" customHeight="1" s="220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18.75" customHeight="1" s="220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18.75" customHeight="1" s="220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18.75" customHeight="1" s="220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18.75" customHeight="1" s="220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18.75" customHeight="1" s="220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18.75" customHeight="1" s="220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18.75" customHeight="1" s="220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18.75" customHeight="1" s="220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18.75" customHeight="1" s="220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18.75" customHeight="1" s="220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18.75" customHeight="1" s="220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18.75" customHeight="1" s="220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18.75" customHeight="1" s="220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18.75" customHeight="1" s="220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18.75" customHeight="1" s="220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18.75" customHeight="1" s="220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18.75" customHeight="1" s="220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18.75" customHeight="1" s="220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18.75" customHeight="1" s="220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18.75" customHeight="1" s="220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18.75" customHeight="1" s="220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18.75" customHeight="1" s="220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18.75" customHeight="1" s="220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18.75" customHeight="1" s="220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18.75" customHeight="1" s="220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18.75" customHeight="1" s="220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18.75" customHeight="1" s="220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18.75" customHeight="1" s="220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18.75" customHeight="1" s="220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18.75" customHeight="1" s="220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18.75" customHeight="1" s="220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18.75" customHeight="1" s="220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18.75" customHeight="1" s="220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18.75" customHeight="1" s="220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18.75" customHeight="1" s="220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18.75" customHeight="1" s="220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18.75" customHeight="1" s="220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18.75" customHeight="1" s="220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18.75" customHeight="1" s="220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18.75" customHeight="1" s="220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18.75" customHeight="1" s="220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18.75" customHeight="1" s="220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18.75" customHeight="1" s="220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18.75" customHeight="1" s="220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18.75" customHeight="1" s="220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18.75" customHeight="1" s="220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18.75" customHeight="1" s="220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18.75" customHeight="1" s="220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18.75" customHeight="1" s="220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18.75" customHeight="1" s="220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18.75" customHeight="1" s="220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18.75" customHeight="1" s="220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18.75" customHeight="1" s="220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18.75" customHeight="1" s="220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18.75" customHeight="1" s="220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18.75" customHeight="1" s="220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18.75" customHeight="1" s="220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18.75" customHeight="1" s="220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18.75" customHeight="1" s="220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18.75" customHeight="1" s="220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18.75" customHeight="1" s="220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18.75" customHeight="1" s="220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18.75" customHeight="1" s="220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18.75" customHeight="1" s="220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18.75" customHeight="1" s="220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18.75" customHeight="1" s="220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18.75" customHeight="1" s="220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18.75" customHeight="1" s="220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18.75" customHeight="1" s="220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18.75" customHeight="1" s="220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18.75" customHeight="1" s="220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18.75" customHeight="1" s="220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18.75" customHeight="1" s="220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18.75" customHeight="1" s="220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18.75" customHeight="1" s="220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18.75" customHeight="1" s="220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18.75" customHeight="1" s="220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18.75" customHeight="1" s="220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18.75" customHeight="1" s="220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18.75" customHeight="1" s="220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18.75" customHeight="1" s="220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18.75" customHeight="1" s="220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18.75" customHeight="1" s="220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18.75" customHeight="1" s="220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18.75" customHeight="1" s="220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18.75" customHeight="1" s="220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18.75" customHeight="1" s="220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18.75" customHeight="1" s="220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18.75" customHeight="1" s="220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18.75" customHeight="1" s="220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18.75" customHeight="1" s="220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18.75" customHeight="1" s="220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18.75" customHeight="1" s="220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18.75" customHeight="1" s="220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18.75" customHeight="1" s="220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18.75" customHeight="1" s="220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18.75" customHeight="1" s="220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18.75" customHeight="1" s="220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18.75" customHeight="1" s="220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18.75" customHeight="1" s="220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18.75" customHeight="1" s="220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18.75" customHeight="1" s="220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18.75" customHeight="1" s="220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18.75" customHeight="1" s="220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18.75" customHeight="1" s="220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18.75" customHeight="1" s="220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18.75" customHeight="1" s="220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18.75" customHeight="1" s="220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18.75" customHeight="1" s="220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18.75" customHeight="1" s="220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18.75" customHeight="1" s="220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18.75" customHeight="1" s="220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18.75" customHeight="1" s="220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18.75" customHeight="1" s="220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18.75" customHeight="1" s="220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18.75" customHeight="1" s="220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18.75" customHeight="1" s="220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18.75" customHeight="1" s="220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18.75" customHeight="1" s="220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18.75" customHeight="1" s="220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18.75" customHeight="1" s="220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18.75" customHeight="1" s="220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18.75" customHeight="1" s="220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18.75" customHeight="1" s="220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18.75" customHeight="1" s="220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18.75" customHeight="1" s="220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18.75" customHeight="1" s="220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18.75" customHeight="1" s="220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18.75" customHeight="1" s="220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18.75" customHeight="1" s="220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18.75" customHeight="1" s="220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18.75" customHeight="1" s="220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18.75" customHeight="1" s="220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18.75" customHeight="1" s="220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18.75" customHeight="1" s="220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18.75" customHeight="1" s="220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18.75" customHeight="1" s="220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18.75" customHeight="1" s="220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18.75" customHeight="1" s="220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18.75" customHeight="1" s="220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18.75" customHeight="1" s="220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18.75" customHeight="1" s="220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18.75" customHeight="1" s="220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18.75" customHeight="1" s="220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18.75" customHeight="1" s="220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18.75" customHeight="1" s="220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18.75" customHeight="1" s="220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18.75" customHeight="1" s="220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18.75" customHeight="1" s="220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18.75" customHeight="1" s="220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18.75" customHeight="1" s="220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18.75" customHeight="1" s="220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18.75" customHeight="1" s="220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18.75" customHeight="1" s="220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18.75" customHeight="1" s="220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18.75" customHeight="1" s="220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18.75" customHeight="1" s="220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18.75" customHeight="1" s="220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18.75" customHeight="1" s="220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18.75" customHeight="1" s="220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18.75" customHeight="1" s="220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18.75" customHeight="1" s="220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18.75" customHeight="1" s="220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18.75" customHeight="1" s="220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18.75" customHeight="1" s="220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18.75" customHeight="1" s="220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18.75" customHeight="1" s="220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18.75" customHeight="1" s="220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18.75" customHeight="1" s="220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18.75" customHeight="1" s="220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18.75" customHeight="1" s="220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18.75" customHeight="1" s="220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18.75" customHeight="1" s="220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18.75" customHeight="1" s="220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18.75" customHeight="1" s="220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18.75" customHeight="1" s="220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18.75" customHeight="1" s="220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18.75" customHeight="1" s="220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18.75" customHeight="1" s="220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18.75" customHeight="1" s="220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18.75" customHeight="1" s="220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18.75" customHeight="1" s="220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18.75" customHeight="1" s="220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18.75" customHeight="1" s="220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18.75" customHeight="1" s="220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18.75" customHeight="1" s="220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18.75" customHeight="1" s="220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18.75" customHeight="1" s="220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18.75" customHeight="1" s="220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18.75" customHeight="1" s="220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18.75" customHeight="1" s="220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18.75" customHeight="1" s="220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18.75" customHeight="1" s="220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18.75" customHeight="1" s="220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18.75" customHeight="1" s="220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18.75" customHeight="1" s="220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18.75" customHeight="1" s="220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18.75" customHeight="1" s="220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18.75" customHeight="1" s="220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18.75" customHeight="1" s="220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18.75" customHeight="1" s="220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18.75" customHeight="1" s="220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18.75" customHeight="1" s="220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18.75" customHeight="1" s="220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18.75" customHeight="1" s="220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18.75" customHeight="1" s="220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18.75" customHeight="1" s="220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18.75" customHeight="1" s="220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18.75" customHeight="1" s="220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18.75" customHeight="1" s="220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18.75" customHeight="1" s="220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18.75" customHeight="1" s="220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18.75" customHeight="1" s="220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18.75" customHeight="1" s="220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18.75" customHeight="1" s="220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18.75" customHeight="1" s="220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18.75" customHeight="1" s="220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18.75" customHeight="1" s="220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18.75" customHeight="1" s="220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18.75" customHeight="1" s="220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18.75" customHeight="1" s="220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18.75" customHeight="1" s="220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18.75" customHeight="1" s="220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18.75" customHeight="1" s="220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18.75" customHeight="1" s="220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18.75" customHeight="1" s="220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18.75" customHeight="1" s="220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18.75" customHeight="1" s="220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18.75" customHeight="1" s="220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18.75" customHeight="1" s="220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18.75" customHeight="1" s="220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18.75" customHeight="1" s="220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18.75" customHeight="1" s="220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18.75" customHeight="1" s="220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18.75" customHeight="1" s="220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18.75" customHeight="1" s="220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18.75" customHeight="1" s="220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18.75" customHeight="1" s="220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18.75" customHeight="1" s="220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18.75" customHeight="1" s="220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18.75" customHeight="1" s="220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18.75" customHeight="1" s="220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18.75" customHeight="1" s="220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18.75" customHeight="1" s="220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18.75" customHeight="1" s="220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18.75" customHeight="1" s="220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18.75" customHeight="1" s="220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18.75" customHeight="1" s="220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18.75" customHeight="1" s="220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18.75" customHeight="1" s="220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18.75" customHeight="1" s="220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18.75" customHeight="1" s="220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18.75" customHeight="1" s="220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18.75" customHeight="1" s="220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18.75" customHeight="1" s="220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18.75" customHeight="1" s="220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18.75" customHeight="1" s="220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18.75" customHeight="1" s="220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18.75" customHeight="1" s="220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18.75" customHeight="1" s="220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18.75" customHeight="1" s="220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18.75" customHeight="1" s="220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18.75" customHeight="1" s="220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18.75" customHeight="1" s="220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18.75" customHeight="1" s="220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18.75" customHeight="1" s="220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18.75" customHeight="1" s="220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18.75" customHeight="1" s="220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18.75" customHeight="1" s="220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18.75" customHeight="1" s="220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18.75" customHeight="1" s="220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18.75" customHeight="1" s="220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18.75" customHeight="1" s="220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18.75" customHeight="1" s="220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18.75" customHeight="1" s="220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18.75" customHeight="1" s="220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18.75" customHeight="1" s="220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18.75" customHeight="1" s="220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18.75" customHeight="1" s="220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18.75" customHeight="1" s="220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18.75" customHeight="1" s="220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18.75" customHeight="1" s="220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18.75" customHeight="1" s="220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18.75" customHeight="1" s="220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18.75" customHeight="1" s="220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18.75" customHeight="1" s="220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18.75" customHeight="1" s="220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18.75" customHeight="1" s="220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18.75" customHeight="1" s="220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18.75" customHeight="1" s="220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18.75" customHeight="1" s="220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18.75" customHeight="1" s="220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18.75" customHeight="1" s="220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18.75" customHeight="1" s="220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18.75" customHeight="1" s="220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18.75" customHeight="1" s="220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18.75" customHeight="1" s="220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18.75" customHeight="1" s="220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18.75" customHeight="1" s="220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18.75" customHeight="1" s="220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18.75" customHeight="1" s="220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18.75" customHeight="1" s="220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18.75" customHeight="1" s="220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18.75" customHeight="1" s="220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18.75" customHeight="1" s="220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18.75" customHeight="1" s="220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18.75" customHeight="1" s="220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18.75" customHeight="1" s="220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18.75" customHeight="1" s="220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18.75" customHeight="1" s="220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18.75" customHeight="1" s="220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18.75" customHeight="1" s="220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18.75" customHeight="1" s="220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18.75" customHeight="1" s="220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18.75" customHeight="1" s="220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18.75" customHeight="1" s="220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18.75" customHeight="1" s="220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18.75" customHeight="1" s="220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18.75" customHeight="1" s="220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18.75" customHeight="1" s="220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18.75" customHeight="1" s="220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18.75" customHeight="1" s="220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18.75" customHeight="1" s="220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18.75" customHeight="1" s="220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18.75" customHeight="1" s="220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18.75" customHeight="1" s="220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18.75" customHeight="1" s="220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18.75" customHeight="1" s="220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18.75" customHeight="1" s="220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18.75" customHeight="1" s="220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18.75" customHeight="1" s="220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18.75" customHeight="1" s="220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18.75" customHeight="1" s="220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18.75" customHeight="1" s="220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18.75" customHeight="1" s="220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18.75" customHeight="1" s="220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18.75" customHeight="1" s="220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18.75" customHeight="1" s="220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18.75" customHeight="1" s="220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18.75" customHeight="1" s="220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18.75" customHeight="1" s="220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18.75" customHeight="1" s="220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18.75" customHeight="1" s="220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18.75" customHeight="1" s="220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18.75" customHeight="1" s="220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18.75" customHeight="1" s="220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18.75" customHeight="1" s="220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18.75" customHeight="1" s="220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18.75" customHeight="1" s="220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18.75" customHeight="1" s="220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18.75" customHeight="1" s="220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18.75" customHeight="1" s="220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18.75" customHeight="1" s="220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18.75" customHeight="1" s="220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18.75" customHeight="1" s="220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18.75" customHeight="1" s="220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18.75" customHeight="1" s="220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18.75" customHeight="1" s="220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18.75" customHeight="1" s="220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18.75" customHeight="1" s="220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18.75" customHeight="1" s="220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18.75" customHeight="1" s="220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18.75" customHeight="1" s="220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18.75" customHeight="1" s="220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18.75" customHeight="1" s="220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18.75" customHeight="1" s="220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18.75" customHeight="1" s="220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18.75" customHeight="1" s="220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18.75" customHeight="1" s="220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18.75" customHeight="1" s="220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18.75" customHeight="1" s="220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18.75" customHeight="1" s="220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18.75" customHeight="1" s="220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18.75" customHeight="1" s="220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18.75" customHeight="1" s="220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18.75" customHeight="1" s="220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18.75" customHeight="1" s="220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18.75" customHeight="1" s="220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18.75" customHeight="1" s="220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18.75" customHeight="1" s="220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18.75" customHeight="1" s="220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18.75" customHeight="1" s="220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18.75" customHeight="1" s="220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18.75" customHeight="1" s="220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18.75" customHeight="1" s="220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18.75" customHeight="1" s="220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18.75" customHeight="1" s="220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18.75" customHeight="1" s="220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18.75" customHeight="1" s="220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18.75" customHeight="1" s="220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18.75" customHeight="1" s="220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18.75" customHeight="1" s="220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18.75" customHeight="1" s="220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18.75" customHeight="1" s="220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18.75" customHeight="1" s="220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18.75" customHeight="1" s="220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18.75" customHeight="1" s="220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18.75" customHeight="1" s="220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18.75" customHeight="1" s="220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18.75" customHeight="1" s="220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18.75" customHeight="1" s="220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18.75" customHeight="1" s="220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18.75" customHeight="1" s="220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18.75" customHeight="1" s="220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18.75" customHeight="1" s="220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18.75" customHeight="1" s="220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18.75" customHeight="1" s="220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18.75" customHeight="1" s="220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18.75" customHeight="1" s="220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18.75" customHeight="1" s="220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18.75" customHeight="1" s="220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18.75" customHeight="1" s="220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18.75" customHeight="1" s="220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18.75" customHeight="1" s="220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18.75" customHeight="1" s="220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18.75" customHeight="1" s="220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18.75" customHeight="1" s="220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18.75" customHeight="1" s="220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18.75" customHeight="1" s="220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18.75" customHeight="1" s="220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18.75" customHeight="1" s="220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18.75" customHeight="1" s="220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18.75" customHeight="1" s="220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18.75" customHeight="1" s="220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18.75" customHeight="1" s="220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18.75" customHeight="1" s="220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18.75" customHeight="1" s="220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18.75" customHeight="1" s="220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18.75" customHeight="1" s="220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18.75" customHeight="1" s="220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18.75" customHeight="1" s="220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18.75" customHeight="1" s="220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18.75" customHeight="1" s="220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18.75" customHeight="1" s="220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18.75" customHeight="1" s="220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18.75" customHeight="1" s="220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18.75" customHeight="1" s="220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18.75" customHeight="1" s="220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18.75" customHeight="1" s="220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18.75" customHeight="1" s="220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18.75" customHeight="1" s="220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18.75" customHeight="1" s="220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18.75" customHeight="1" s="220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18.75" customHeight="1" s="220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18.75" customHeight="1" s="220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18.75" customHeight="1" s="220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18.75" customHeight="1" s="220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18.75" customHeight="1" s="220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18.75" customHeight="1" s="220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18.75" customHeight="1" s="220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18.75" customHeight="1" s="220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18.75" customHeight="1" s="220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18.75" customHeight="1" s="220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18.75" customHeight="1" s="220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18.75" customHeight="1" s="220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18.75" customHeight="1" s="220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18.75" customHeight="1" s="220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18.75" customHeight="1" s="220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18.75" customHeight="1" s="220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18.75" customHeight="1" s="220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18.75" customHeight="1" s="220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18.75" customHeight="1" s="220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18.75" customHeight="1" s="220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18.75" customHeight="1" s="220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18.75" customHeight="1" s="220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18.75" customHeight="1" s="220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18.75" customHeight="1" s="220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18.75" customHeight="1" s="220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18.75" customHeight="1" s="220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18.75" customHeight="1" s="220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18.75" customHeight="1" s="220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18.75" customHeight="1" s="220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18.75" customHeight="1" s="220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18.75" customHeight="1" s="220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18.75" customHeight="1" s="220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18.75" customHeight="1" s="220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18.75" customHeight="1" s="220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18.75" customHeight="1" s="220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18.75" customHeight="1" s="220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18.75" customHeight="1" s="220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18.75" customHeight="1" s="220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18.75" customHeight="1" s="220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18.75" customHeight="1" s="220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18.75" customHeight="1" s="220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18.75" customHeight="1" s="220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18.75" customHeight="1" s="220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18.75" customHeight="1" s="220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18.75" customHeight="1" s="220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18.75" customHeight="1" s="220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18.75" customHeight="1" s="220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18.75" customHeight="1" s="220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18.75" customHeight="1" s="220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18.75" customHeight="1" s="220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18.75" customHeight="1" s="220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18.75" customHeight="1" s="220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18.75" customHeight="1" s="220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18.75" customHeight="1" s="220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18.75" customHeight="1" s="220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18.75" customHeight="1" s="220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18.75" customHeight="1" s="220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18.75" customHeight="1" s="220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18.75" customHeight="1" s="220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18.75" customHeight="1" s="220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18.75" customHeight="1" s="220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18.75" customHeight="1" s="220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18.75" customHeight="1" s="220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18.75" customHeight="1" s="220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18.75" customHeight="1" s="220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18.75" customHeight="1" s="220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18.75" customHeight="1" s="220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18.75" customHeight="1" s="220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18.75" customHeight="1" s="220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18.75" customHeight="1" s="220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18.75" customHeight="1" s="220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18.75" customHeight="1" s="220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18.75" customHeight="1" s="220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18.75" customHeight="1" s="220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18.75" customHeight="1" s="220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18.75" customHeight="1" s="220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18.75" customHeight="1" s="220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18.75" customHeight="1" s="220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18.75" customHeight="1" s="220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18.75" customHeight="1" s="220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18.75" customHeight="1" s="220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18.75" customHeight="1" s="220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18.75" customHeight="1" s="220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18.75" customHeight="1" s="220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18.75" customHeight="1" s="220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18.75" customHeight="1" s="220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18.75" customHeight="1" s="220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18.75" customHeight="1" s="220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18.75" customHeight="1" s="220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18.75" customHeight="1" s="220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18.75" customHeight="1" s="220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18.75" customHeight="1" s="220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18.75" customHeight="1" s="220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18.75" customHeight="1" s="220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18.75" customHeight="1" s="220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18.75" customHeight="1" s="220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18.75" customHeight="1" s="220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18.75" customHeight="1" s="220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18.75" customHeight="1" s="220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18.75" customHeight="1" s="220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18.75" customHeight="1" s="220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18.75" customHeight="1" s="220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18.75" customHeight="1" s="220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18.75" customHeight="1" s="220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18.75" customHeight="1" s="220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18.75" customHeight="1" s="220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18.75" customHeight="1" s="220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18.75" customHeight="1" s="220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18.75" customHeight="1" s="220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18.75" customHeight="1" s="220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18.75" customHeight="1" s="220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18.75" customHeight="1" s="220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18.75" customHeight="1" s="220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18.75" customHeight="1" s="220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18.75" customHeight="1" s="220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18.75" customHeight="1" s="220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18.75" customHeight="1" s="220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18.75" customHeight="1" s="220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18.75" customHeight="1" s="220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18.75" customHeight="1" s="220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18.75" customHeight="1" s="220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18.75" customHeight="1" s="220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18.75" customHeight="1" s="220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18.75" customHeight="1" s="220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18.75" customHeight="1" s="220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18.75" customHeight="1" s="220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18.75" customHeight="1" s="220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18.75" customHeight="1" s="220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18.75" customHeight="1" s="220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18.75" customHeight="1" s="220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18.75" customHeight="1" s="220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18.75" customHeight="1" s="220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18.75" customHeight="1" s="220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18.75" customHeight="1" s="220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18.75" customHeight="1" s="220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18.75" customHeight="1" s="220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18.75" customHeight="1" s="220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18.75" customHeight="1" s="220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18.75" customHeight="1" s="220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18.75" customHeight="1" s="220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18.75" customHeight="1" s="220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18.75" customHeight="1" s="220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18.75" customHeight="1" s="220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18.75" customHeight="1" s="220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18.75" customHeight="1" s="220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18.75" customHeight="1" s="220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18.75" customHeight="1" s="220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18.75" customHeight="1" s="220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18.75" customHeight="1" s="220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18.75" customHeight="1" s="220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18.75" customHeight="1" s="220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18.75" customHeight="1" s="220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18.75" customHeight="1" s="220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18.75" customHeight="1" s="220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18.75" customHeight="1" s="220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18.75" customHeight="1" s="220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18.75" customHeight="1" s="220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18.75" customHeight="1" s="220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18.75" customHeight="1" s="220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18.75" customHeight="1" s="220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18.75" customHeight="1" s="220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18.75" customHeight="1" s="220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18.75" customHeight="1" s="220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18.75" customHeight="1" s="220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18.75" customHeight="1" s="220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18.75" customHeight="1" s="220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18.75" customHeight="1" s="220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18.75" customHeight="1" s="220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18.75" customHeight="1" s="220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18.75" customHeight="1" s="220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18.75" customHeight="1" s="220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18.75" customHeight="1" s="220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18.75" customHeight="1" s="220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18.75" customHeight="1" s="220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18.75" customHeight="1" s="220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18.75" customHeight="1" s="220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18.75" customHeight="1" s="220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18.75" customHeight="1" s="220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18.75" customHeight="1" s="220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18.75" customHeight="1" s="220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18.75" customHeight="1" s="220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18.75" customHeight="1" s="220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18.75" customHeight="1" s="220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18.75" customHeight="1" s="220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18.75" customHeight="1" s="220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18.75" customHeight="1" s="220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18.75" customHeight="1" s="220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18.75" customHeight="1" s="220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18.75" customHeight="1" s="220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18.75" customHeight="1" s="220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18.75" customHeight="1" s="220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18.75" customHeight="1" s="220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18.75" customHeight="1" s="220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18.75" customHeight="1" s="220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18.75" customHeight="1" s="220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18.75" customHeight="1" s="220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18.75" customHeight="1" s="220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18.75" customHeight="1" s="220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18.75" customHeight="1" s="220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18.75" customHeight="1" s="220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18.75" customHeight="1" s="220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18.75" customHeight="1" s="220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18.75" customHeight="1" s="220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18.75" customHeight="1" s="220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18.75" customHeight="1" s="220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18.75" customHeight="1" s="220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18.75" customHeight="1" s="220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18.75" customHeight="1" s="220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18.75" customHeight="1" s="220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18.75" customHeight="1" s="220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18.75" customHeight="1" s="220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18.75" customHeight="1" s="220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18.75" customHeight="1" s="220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18.75" customHeight="1" s="220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18.75" customHeight="1" s="220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18.75" customHeight="1" s="220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18.75" customHeight="1" s="220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18.75" customHeight="1" s="220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18.75" customHeight="1" s="220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18.75" customHeight="1" s="220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18.75" customHeight="1" s="220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18.75" customHeight="1" s="220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18.75" customHeight="1" s="220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18.75" customHeight="1" s="220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18.75" customHeight="1" s="220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18.75" customHeight="1" s="220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18.75" customHeight="1" s="220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18.75" customHeight="1" s="220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18.75" customHeight="1" s="220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18.75" customHeight="1" s="220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18.75" customHeight="1" s="220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18.75" customHeight="1" s="220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18.75" customHeight="1" s="220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18.75" customHeight="1" s="220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18.75" customHeight="1" s="220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18.75" customHeight="1" s="220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18.75" customHeight="1" s="220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18.75" customHeight="1" s="220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18.75" customHeight="1" s="220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18.75" customHeight="1" s="220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18.75" customHeight="1" s="220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18.75" customHeight="1" s="220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18.75" customHeight="1" s="220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18.75" customHeight="1" s="220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18.75" customHeight="1" s="220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18.75" customHeight="1" s="220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18.75" customHeight="1" s="220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18.75" customHeight="1" s="220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18.75" customHeight="1" s="220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18.75" customHeight="1" s="220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18.75" customHeight="1" s="220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18.75" customHeight="1" s="220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18.75" customHeight="1" s="220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18.75" customHeight="1" s="220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18.75" customHeight="1" s="220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18.75" customHeight="1" s="220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18.75" customHeight="1" s="220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18.75" customHeight="1" s="220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18.75" customHeight="1" s="220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18.75" customHeight="1" s="220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18.75" customHeight="1" s="220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18.75" customHeight="1" s="220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18.75" customHeight="1" s="220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18.75" customHeight="1" s="220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18.75" customHeight="1" s="220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18.75" customHeight="1" s="220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18.75" customHeight="1" s="220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18.75" customHeight="1" s="220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18.75" customHeight="1" s="220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18.75" customHeight="1" s="220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18.75" customHeight="1" s="220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18.75" customHeight="1" s="220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18.75" customHeight="1" s="220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18.75" customHeight="1" s="220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18.75" customHeight="1" s="220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18.75" customHeight="1" s="220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18.75" customHeight="1" s="220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18.75" customHeight="1" s="220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18.75" customHeight="1" s="220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18.75" customHeight="1" s="220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18.75" customHeight="1" s="220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18.75" customHeight="1" s="220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18.75" customHeight="1" s="220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18.75" customHeight="1" s="220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18.75" customHeight="1" s="220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18.75" customHeight="1" s="220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18.75" customHeight="1" s="220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18.75" customHeight="1" s="220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18.75" customHeight="1" s="220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18.75" customHeight="1" s="220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18.75" customHeight="1" s="220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18.75" customHeight="1" s="220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18.75" customHeight="1" s="220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18.75" customHeight="1" s="220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18.75" customHeight="1" s="220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18.75" customHeight="1" s="220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18.75" customHeight="1" s="220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18.75" customHeight="1" s="220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18.75" customHeight="1" s="220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18.75" customHeight="1" s="220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18.75" customHeight="1" s="220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18.75" customHeight="1" s="220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18.75" customHeight="1" s="220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18.75" customHeight="1" s="220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conditionalFormatting sqref="U2:U70">
    <cfRule type="containsText" priority="1" operator="containsText" dxfId="4" text="Available">
      <formula>NOT(ISERROR(SEARCH(("Available"),(U2))))</formula>
    </cfRule>
    <cfRule type="containsText" priority="2" operator="containsText" dxfId="5" text="Sold">
      <formula>NOT(ISERROR(SEARCH(("Sold"),(U2))))</formula>
    </cfRule>
    <cfRule type="containsText" priority="3" operator="containsText" dxfId="6" text="Return">
      <formula>NOT(ISERROR(SEARCH(("Return"),(U2))))</formula>
    </cfRule>
  </conditionalFormatting>
  <pageMargins left="0.25" right="0.25" top="0.75" bottom="0.75" header="0" footer="0"/>
  <pageSetup orientation="landscape" paperSize="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5.57" customWidth="1" style="220" min="1" max="1"/>
    <col width="15.57" customWidth="1" style="220" min="2" max="2"/>
    <col width="15.14" customWidth="1" style="220" min="3" max="3"/>
    <col width="16.86" customWidth="1" style="220" min="4" max="4"/>
    <col width="14.29" customWidth="1" style="220" min="5" max="5"/>
    <col width="15" customWidth="1" style="220" min="6" max="6"/>
    <col width="14.29" customWidth="1" style="220" min="7" max="7"/>
    <col width="11.57" customWidth="1" style="220" min="8" max="8"/>
    <col width="7.43" customWidth="1" style="220" min="9" max="9"/>
    <col width="9.859999999999999" customWidth="1" style="220" min="10" max="10"/>
    <col width="8.140000000000001" customWidth="1" style="220" min="11" max="11"/>
    <col width="13.86" customWidth="1" style="220" min="12" max="15"/>
    <col width="12" customWidth="1" style="220" min="16" max="16"/>
    <col width="14" customWidth="1" style="220" min="17" max="17"/>
    <col width="17.57" customWidth="1" style="220" min="18" max="18"/>
    <col width="14.57" customWidth="1" style="220" min="19" max="19"/>
    <col width="5.57" customWidth="1" style="220" min="20" max="20"/>
    <col width="15.14" customWidth="1" style="220" min="21" max="21"/>
    <col width="8.710000000000001" customWidth="1" style="220" min="22" max="26"/>
  </cols>
  <sheetData>
    <row r="1">
      <c r="A1" s="171" t="inlineStr">
        <is>
          <t>Sn</t>
        </is>
      </c>
      <c r="B1" s="171" t="inlineStr">
        <is>
          <t>Net Weightt</t>
        </is>
      </c>
      <c r="C1" s="171" t="inlineStr">
        <is>
          <t>Wstg + MC</t>
        </is>
      </c>
      <c r="D1" s="171" t="inlineStr">
        <is>
          <t>Gross weight</t>
        </is>
      </c>
      <c r="E1" s="171" t="inlineStr">
        <is>
          <t>Dmd &lt;0.06</t>
        </is>
      </c>
      <c r="F1" s="171" t="inlineStr">
        <is>
          <t>Dmd &lt; 0.12</t>
        </is>
      </c>
      <c r="G1" s="171" t="inlineStr">
        <is>
          <t>Dmd &lt;0.17</t>
        </is>
      </c>
      <c r="H1" s="171" t="inlineStr">
        <is>
          <t>Dmd Big</t>
        </is>
      </c>
      <c r="I1" s="171" t="inlineStr">
        <is>
          <t>Ruby</t>
        </is>
      </c>
      <c r="J1" s="171" t="inlineStr">
        <is>
          <t>Emreld</t>
        </is>
      </c>
      <c r="K1" s="171" t="inlineStr">
        <is>
          <t>Muga</t>
        </is>
      </c>
      <c r="L1" s="171" t="inlineStr">
        <is>
          <t>Dmd Price</t>
        </is>
      </c>
      <c r="M1" s="171" t="inlineStr">
        <is>
          <t>Dmd Price</t>
        </is>
      </c>
      <c r="N1" s="171" t="inlineStr">
        <is>
          <t>Dmd Price</t>
        </is>
      </c>
      <c r="O1" s="171" t="inlineStr">
        <is>
          <t>Dmd Price</t>
        </is>
      </c>
      <c r="P1" s="171" t="inlineStr">
        <is>
          <t>Stn Price</t>
        </is>
      </c>
      <c r="Q1" s="172" t="inlineStr">
        <is>
          <t>Gold Price</t>
        </is>
      </c>
      <c r="R1" s="171" t="inlineStr">
        <is>
          <t>Ttl dmd Price</t>
        </is>
      </c>
      <c r="S1" s="172" t="inlineStr">
        <is>
          <t>Total Price</t>
        </is>
      </c>
      <c r="T1" s="171" t="inlineStr">
        <is>
          <t>Sn</t>
        </is>
      </c>
      <c r="U1" s="26" t="n"/>
      <c r="V1" s="93" t="n"/>
      <c r="W1" s="93" t="n"/>
      <c r="X1" s="93" t="n"/>
      <c r="Y1" s="93" t="n"/>
      <c r="Z1" s="93" t="n"/>
    </row>
    <row r="2">
      <c r="A2" s="196" t="n">
        <v>1</v>
      </c>
      <c r="B2" s="196" t="n">
        <v>6.558</v>
      </c>
      <c r="C2" s="196">
        <f>B2*(25/100)</f>
        <v/>
      </c>
      <c r="D2" s="196">
        <f>C2+B2</f>
        <v/>
      </c>
      <c r="E2" s="196" t="n">
        <v>0.96</v>
      </c>
      <c r="F2" s="196" t="n"/>
      <c r="G2" s="196" t="n"/>
      <c r="H2" s="196" t="n"/>
      <c r="I2" s="196" t="n"/>
      <c r="J2" s="196" t="n"/>
      <c r="K2" s="196" t="n">
        <v>6.1</v>
      </c>
      <c r="L2" s="197">
        <f>E2*Prices!B$2</f>
        <v/>
      </c>
      <c r="M2" s="197">
        <f>F2*Prices!C$2</f>
        <v/>
      </c>
      <c r="N2" s="197">
        <f>G2*Prices!D$2</f>
        <v/>
      </c>
      <c r="O2" s="197">
        <f>H2*Prices!E$2</f>
        <v/>
      </c>
      <c r="P2" s="197">
        <f>I2*2000+J2*10000+K2*1800</f>
        <v/>
      </c>
      <c r="Q2" s="197">
        <f>D2*Prices!A$2</f>
        <v/>
      </c>
      <c r="R2" s="198">
        <f>L2+M2+N2+O2</f>
        <v/>
      </c>
      <c r="S2" s="197">
        <f>R2+Q2+P2</f>
        <v/>
      </c>
      <c r="T2" s="196" t="n">
        <v>1</v>
      </c>
      <c r="U2" s="196" t="inlineStr">
        <is>
          <t>Return</t>
        </is>
      </c>
      <c r="V2" s="192" t="n"/>
      <c r="W2" s="192" t="n"/>
      <c r="X2" s="192" t="n"/>
      <c r="Y2" s="192" t="n"/>
      <c r="Z2" s="192" t="n"/>
    </row>
    <row r="3">
      <c r="A3" s="196" t="n">
        <v>2</v>
      </c>
      <c r="B3" s="196" t="n">
        <v>5.89</v>
      </c>
      <c r="C3" s="196">
        <f>B3*(25/100)</f>
        <v/>
      </c>
      <c r="D3" s="196">
        <f>C3+B3</f>
        <v/>
      </c>
      <c r="E3" s="196" t="n">
        <v>0.84</v>
      </c>
      <c r="F3" s="196" t="n"/>
      <c r="G3" s="196" t="n"/>
      <c r="H3" s="196" t="n"/>
      <c r="I3" s="196" t="n"/>
      <c r="J3" s="196" t="n"/>
      <c r="K3" s="196" t="n">
        <v>4.19</v>
      </c>
      <c r="L3" s="174">
        <f>E3*Prices!B$2</f>
        <v/>
      </c>
      <c r="M3" s="174">
        <f>F3*Prices!C$2</f>
        <v/>
      </c>
      <c r="N3" s="174">
        <f>G3*Prices!D$2</f>
        <v/>
      </c>
      <c r="O3" s="174">
        <f>H3*Prices!E$2</f>
        <v/>
      </c>
      <c r="P3" s="174">
        <f>I3*2000+J3*10000+K3*1800</f>
        <v/>
      </c>
      <c r="Q3" s="174">
        <f>D3*Prices!A$2</f>
        <v/>
      </c>
      <c r="R3" s="198">
        <f>L3+M3+N3+O3</f>
        <v/>
      </c>
      <c r="S3" s="197">
        <f>R3+Q3+P3</f>
        <v/>
      </c>
      <c r="T3" s="196" t="n">
        <v>2</v>
      </c>
      <c r="U3" s="26" t="inlineStr">
        <is>
          <t>Return</t>
        </is>
      </c>
      <c r="V3" s="93" t="n"/>
      <c r="W3" s="93" t="n"/>
      <c r="X3" s="93" t="n"/>
      <c r="Y3" s="93" t="n"/>
      <c r="Z3" s="93" t="n"/>
    </row>
    <row r="4">
      <c r="A4" s="26" t="n">
        <v>3</v>
      </c>
      <c r="B4" s="26" t="n">
        <v>2.902</v>
      </c>
      <c r="C4" s="26">
        <f>B4*(25/100)</f>
        <v/>
      </c>
      <c r="D4" s="26">
        <f>C4+B4</f>
        <v/>
      </c>
      <c r="E4" s="26" t="n">
        <v>0.64</v>
      </c>
      <c r="F4" s="26" t="n"/>
      <c r="G4" s="26" t="n"/>
      <c r="H4" s="26" t="n"/>
      <c r="I4" s="26" t="n"/>
      <c r="J4" s="26" t="n"/>
      <c r="K4" s="26" t="n"/>
      <c r="L4" s="174">
        <f>E4*Prices!B$2</f>
        <v/>
      </c>
      <c r="M4" s="174">
        <f>F4*Prices!C$2</f>
        <v/>
      </c>
      <c r="N4" s="174">
        <f>G4*Prices!D$2</f>
        <v/>
      </c>
      <c r="O4" s="174">
        <f>H4*Prices!E$2</f>
        <v/>
      </c>
      <c r="P4" s="174">
        <f>I4*2000+J4*10000+K4*1800</f>
        <v/>
      </c>
      <c r="Q4" s="174">
        <f>D4*Prices!A$2</f>
        <v/>
      </c>
      <c r="R4" s="175">
        <f>L4+M4+N4+O4</f>
        <v/>
      </c>
      <c r="S4" s="174">
        <f>R4+Q4+P4</f>
        <v/>
      </c>
      <c r="T4" s="26" t="n">
        <v>3</v>
      </c>
      <c r="U4" s="26" t="inlineStr">
        <is>
          <t>Available</t>
        </is>
      </c>
      <c r="V4" s="93" t="inlineStr">
        <is>
          <t>A</t>
        </is>
      </c>
      <c r="W4" s="93" t="n"/>
      <c r="X4" s="93" t="n"/>
      <c r="Y4" s="93" t="n"/>
      <c r="Z4" s="93" t="n"/>
    </row>
    <row r="5">
      <c r="A5" s="26" t="n">
        <v>4</v>
      </c>
      <c r="B5" s="26" t="n">
        <v>3.04</v>
      </c>
      <c r="C5" s="26">
        <f>B5*(25/100)</f>
        <v/>
      </c>
      <c r="D5" s="26">
        <f>C5+B5</f>
        <v/>
      </c>
      <c r="E5" s="26" t="n"/>
      <c r="F5" s="26" t="n">
        <v>0.95</v>
      </c>
      <c r="G5" s="26" t="n"/>
      <c r="H5" s="26" t="n"/>
      <c r="I5" s="26" t="n"/>
      <c r="J5" s="26" t="n"/>
      <c r="K5" s="26" t="n"/>
      <c r="L5" s="174">
        <f>E5*Prices!B$2</f>
        <v/>
      </c>
      <c r="M5" s="174">
        <f>F5*Prices!C$2</f>
        <v/>
      </c>
      <c r="N5" s="174">
        <f>G5*Prices!D$2</f>
        <v/>
      </c>
      <c r="O5" s="174">
        <f>H5*Prices!E$2</f>
        <v/>
      </c>
      <c r="P5" s="174">
        <f>I5*2000+J5*10000+K5*1800</f>
        <v/>
      </c>
      <c r="Q5" s="174">
        <f>D5*Prices!A$2</f>
        <v/>
      </c>
      <c r="R5" s="175">
        <f>L5+M5+N5+O5</f>
        <v/>
      </c>
      <c r="S5" s="174">
        <f>R5+Q5+P5</f>
        <v/>
      </c>
      <c r="T5" s="26" t="n">
        <v>4</v>
      </c>
      <c r="U5" s="26" t="inlineStr">
        <is>
          <t>Available</t>
        </is>
      </c>
      <c r="V5" s="93" t="inlineStr">
        <is>
          <t>A</t>
        </is>
      </c>
      <c r="W5" s="93" t="n"/>
      <c r="X5" s="93" t="n"/>
      <c r="Y5" s="93" t="n"/>
      <c r="Z5" s="93" t="n"/>
    </row>
    <row r="6">
      <c r="A6" s="26" t="n">
        <v>5</v>
      </c>
      <c r="B6" s="26" t="n">
        <v>3.936</v>
      </c>
      <c r="C6" s="26">
        <f>B6*(25/100)</f>
        <v/>
      </c>
      <c r="D6" s="26">
        <f>C6+B6</f>
        <v/>
      </c>
      <c r="E6" s="26" t="n">
        <v>0.65</v>
      </c>
      <c r="F6" s="26" t="n"/>
      <c r="G6" s="26" t="n">
        <v>0.32</v>
      </c>
      <c r="H6" s="26" t="n"/>
      <c r="I6" s="26" t="n"/>
      <c r="J6" s="26" t="n"/>
      <c r="K6" s="26" t="n"/>
      <c r="L6" s="174">
        <f>E6*Prices!B$2</f>
        <v/>
      </c>
      <c r="M6" s="174">
        <f>F6*Prices!C$2</f>
        <v/>
      </c>
      <c r="N6" s="174">
        <f>G6*Prices!D$2</f>
        <v/>
      </c>
      <c r="O6" s="174">
        <f>H6*Prices!E$2</f>
        <v/>
      </c>
      <c r="P6" s="174">
        <f>I6*2000+J6*10000+K6*1800</f>
        <v/>
      </c>
      <c r="Q6" s="174">
        <f>D6*Prices!A$2</f>
        <v/>
      </c>
      <c r="R6" s="175">
        <f>L6+M6+N6+O6</f>
        <v/>
      </c>
      <c r="S6" s="174">
        <f>R6+Q6+P6</f>
        <v/>
      </c>
      <c r="T6" s="26" t="n">
        <v>5</v>
      </c>
      <c r="U6" s="26" t="inlineStr">
        <is>
          <t>Available</t>
        </is>
      </c>
      <c r="V6" s="93" t="inlineStr">
        <is>
          <t>A</t>
        </is>
      </c>
      <c r="W6" s="93" t="n"/>
      <c r="X6" s="93" t="n"/>
      <c r="Y6" s="93" t="n"/>
      <c r="Z6" s="93" t="n"/>
    </row>
    <row r="7">
      <c r="A7" s="26" t="n">
        <v>6</v>
      </c>
      <c r="B7" s="26" t="n">
        <v>5.382</v>
      </c>
      <c r="C7" s="26">
        <f>B7*(25/100)</f>
        <v/>
      </c>
      <c r="D7" s="26">
        <f>C7+B7</f>
        <v/>
      </c>
      <c r="E7" s="26">
        <f>0.4+0.29</f>
        <v/>
      </c>
      <c r="F7" s="26" t="n"/>
      <c r="G7" s="26" t="n"/>
      <c r="H7" s="26" t="n"/>
      <c r="I7" s="26" t="n"/>
      <c r="J7" s="26" t="n"/>
      <c r="K7" s="26" t="n"/>
      <c r="L7" s="174">
        <f>E7*Prices!B$2</f>
        <v/>
      </c>
      <c r="M7" s="174">
        <f>F7*Prices!C$2</f>
        <v/>
      </c>
      <c r="N7" s="174">
        <f>G7*Prices!D$2</f>
        <v/>
      </c>
      <c r="O7" s="174">
        <f>H7*Prices!E$2</f>
        <v/>
      </c>
      <c r="P7" s="174">
        <f>I7*2000+J7*10000+K7*1800</f>
        <v/>
      </c>
      <c r="Q7" s="174">
        <f>D7*Prices!A$2</f>
        <v/>
      </c>
      <c r="R7" s="175">
        <f>L7+M7+N7+O7</f>
        <v/>
      </c>
      <c r="S7" s="174">
        <f>R7+Q7+P7</f>
        <v/>
      </c>
      <c r="T7" s="26" t="n">
        <v>6</v>
      </c>
      <c r="U7" s="26" t="inlineStr">
        <is>
          <t>Sold</t>
        </is>
      </c>
      <c r="V7" s="93" t="n"/>
      <c r="W7" s="93" t="n"/>
      <c r="X7" s="93" t="n"/>
      <c r="Y7" s="93" t="n"/>
      <c r="Z7" s="93" t="n"/>
    </row>
    <row r="8">
      <c r="A8" s="26" t="n">
        <v>7</v>
      </c>
      <c r="B8" s="26" t="n">
        <v>3.078</v>
      </c>
      <c r="C8" s="26">
        <f>B8*(25/100)</f>
        <v/>
      </c>
      <c r="D8" s="26">
        <f>C8+B8</f>
        <v/>
      </c>
      <c r="E8" s="26" t="n">
        <v>0.5600000000000001</v>
      </c>
      <c r="F8" s="26" t="n"/>
      <c r="G8" s="26" t="n"/>
      <c r="H8" s="26" t="n"/>
      <c r="I8" s="26" t="n"/>
      <c r="J8" s="26" t="n"/>
      <c r="K8" s="26" t="n"/>
      <c r="L8" s="174">
        <f>E8*Prices!B$2</f>
        <v/>
      </c>
      <c r="M8" s="174">
        <f>F8*Prices!C$2</f>
        <v/>
      </c>
      <c r="N8" s="174">
        <f>G8*Prices!D$2</f>
        <v/>
      </c>
      <c r="O8" s="174">
        <f>H8*Prices!E$2</f>
        <v/>
      </c>
      <c r="P8" s="174">
        <f>I8*2000+J8*10000+K8*1800</f>
        <v/>
      </c>
      <c r="Q8" s="174">
        <f>D8*Prices!A$2</f>
        <v/>
      </c>
      <c r="R8" s="175">
        <f>L8+M8+N8+O8</f>
        <v/>
      </c>
      <c r="S8" s="174">
        <f>R8+Q8+P8</f>
        <v/>
      </c>
      <c r="T8" s="26" t="n">
        <v>7</v>
      </c>
      <c r="U8" s="26" t="inlineStr">
        <is>
          <t>Sold</t>
        </is>
      </c>
      <c r="V8" s="93" t="n"/>
      <c r="W8" s="93" t="n"/>
      <c r="X8" s="93" t="n"/>
      <c r="Y8" s="93" t="n"/>
      <c r="Z8" s="93" t="n"/>
    </row>
    <row r="9">
      <c r="A9" s="26" t="n">
        <v>8</v>
      </c>
      <c r="B9" s="26" t="n">
        <v>3.996</v>
      </c>
      <c r="C9" s="26">
        <f>B9*(25/100)</f>
        <v/>
      </c>
      <c r="D9" s="26">
        <f>C9+B9</f>
        <v/>
      </c>
      <c r="E9" s="26">
        <f>0.66+0.21</f>
        <v/>
      </c>
      <c r="F9" s="26" t="n"/>
      <c r="G9" s="26" t="n"/>
      <c r="H9" s="26" t="n"/>
      <c r="I9" s="26" t="n"/>
      <c r="J9" s="26" t="n"/>
      <c r="K9" s="26" t="n"/>
      <c r="L9" s="174">
        <f>E9*Prices!B$2</f>
        <v/>
      </c>
      <c r="M9" s="174">
        <f>F9*Prices!C$2</f>
        <v/>
      </c>
      <c r="N9" s="174">
        <f>G9*Prices!D$2</f>
        <v/>
      </c>
      <c r="O9" s="174">
        <f>H9*Prices!E$2</f>
        <v/>
      </c>
      <c r="P9" s="174">
        <f>I9*2000+J9*10000+K9*1800</f>
        <v/>
      </c>
      <c r="Q9" s="174">
        <f>D9*Prices!A$2</f>
        <v/>
      </c>
      <c r="R9" s="175">
        <f>L9+M9+N9+O9</f>
        <v/>
      </c>
      <c r="S9" s="174">
        <f>R9+Q9+P9</f>
        <v/>
      </c>
      <c r="T9" s="26" t="n">
        <v>8</v>
      </c>
      <c r="U9" s="26" t="inlineStr">
        <is>
          <t>Sold</t>
        </is>
      </c>
      <c r="V9" s="93" t="n"/>
      <c r="W9" s="93" t="n"/>
      <c r="X9" s="93" t="n"/>
      <c r="Y9" s="93" t="n"/>
      <c r="Z9" s="93" t="n"/>
    </row>
    <row r="10">
      <c r="A10" s="26" t="n">
        <v>9</v>
      </c>
      <c r="B10" s="26" t="n">
        <v>2.502</v>
      </c>
      <c r="C10" s="26">
        <f>B10*(25/100)</f>
        <v/>
      </c>
      <c r="D10" s="26">
        <f>C10+B10</f>
        <v/>
      </c>
      <c r="E10" s="26" t="n">
        <v>0.44</v>
      </c>
      <c r="F10" s="26" t="n"/>
      <c r="G10" s="26" t="n"/>
      <c r="H10" s="26" t="n"/>
      <c r="I10" s="26" t="n"/>
      <c r="J10" s="26" t="n"/>
      <c r="K10" s="26" t="n"/>
      <c r="L10" s="174">
        <f>E10*Prices!B$2</f>
        <v/>
      </c>
      <c r="M10" s="174">
        <f>F10*Prices!C$2</f>
        <v/>
      </c>
      <c r="N10" s="174">
        <f>G10*Prices!D$2</f>
        <v/>
      </c>
      <c r="O10" s="174">
        <f>H10*Prices!E$2</f>
        <v/>
      </c>
      <c r="P10" s="174">
        <f>I10*2000+J10*10000+K10*1800</f>
        <v/>
      </c>
      <c r="Q10" s="174">
        <f>D10*Prices!A$2</f>
        <v/>
      </c>
      <c r="R10" s="175">
        <f>L10+M10+N10+O10</f>
        <v/>
      </c>
      <c r="S10" s="174">
        <f>R10+Q10+P10</f>
        <v/>
      </c>
      <c r="T10" s="26" t="n">
        <v>9</v>
      </c>
      <c r="U10" s="26" t="inlineStr">
        <is>
          <t>Sold</t>
        </is>
      </c>
      <c r="V10" s="93" t="n"/>
      <c r="W10" s="93" t="n"/>
      <c r="X10" s="93" t="n"/>
      <c r="Y10" s="93" t="n"/>
      <c r="Z10" s="93" t="n"/>
    </row>
    <row r="11">
      <c r="A11" s="26" t="n">
        <v>10</v>
      </c>
      <c r="B11" s="26" t="n">
        <v>1.908</v>
      </c>
      <c r="C11" s="26">
        <f>B11*(25/100)</f>
        <v/>
      </c>
      <c r="D11" s="26">
        <f>C11+B11</f>
        <v/>
      </c>
      <c r="E11" s="26" t="n">
        <v>0.36</v>
      </c>
      <c r="F11" s="26" t="n"/>
      <c r="G11" s="26" t="n"/>
      <c r="H11" s="26" t="n"/>
      <c r="I11" s="26" t="n"/>
      <c r="J11" s="26" t="n"/>
      <c r="K11" s="26" t="n"/>
      <c r="L11" s="174">
        <f>E11*Prices!B$2</f>
        <v/>
      </c>
      <c r="M11" s="174">
        <f>F11*Prices!C$2</f>
        <v/>
      </c>
      <c r="N11" s="174">
        <f>G11*Prices!D$2</f>
        <v/>
      </c>
      <c r="O11" s="174">
        <f>H11*Prices!E$2</f>
        <v/>
      </c>
      <c r="P11" s="174">
        <f>I11*2000+J11*10000+K11*1800</f>
        <v/>
      </c>
      <c r="Q11" s="174">
        <f>D11*Prices!A$2</f>
        <v/>
      </c>
      <c r="R11" s="175">
        <f>L11+M11+N11+O11</f>
        <v/>
      </c>
      <c r="S11" s="174">
        <f>R11+Q11+P11</f>
        <v/>
      </c>
      <c r="T11" s="26" t="n">
        <v>10</v>
      </c>
      <c r="U11" s="26" t="inlineStr">
        <is>
          <t>Available</t>
        </is>
      </c>
      <c r="V11" s="93" t="inlineStr">
        <is>
          <t>A</t>
        </is>
      </c>
      <c r="W11" s="93" t="n"/>
      <c r="X11" s="93" t="n"/>
      <c r="Y11" s="93" t="n"/>
      <c r="Z11" s="93" t="n"/>
    </row>
    <row r="12">
      <c r="A12" s="26" t="n">
        <v>11</v>
      </c>
      <c r="B12" s="26" t="n">
        <v>2.306</v>
      </c>
      <c r="C12" s="26">
        <f>B12*(25/100)</f>
        <v/>
      </c>
      <c r="D12" s="26">
        <f>C12+B12</f>
        <v/>
      </c>
      <c r="E12" s="26" t="n">
        <v>0.27</v>
      </c>
      <c r="F12" s="26" t="n"/>
      <c r="G12" s="26" t="n"/>
      <c r="H12" s="26" t="n"/>
      <c r="I12" s="26" t="n"/>
      <c r="J12" s="26" t="n"/>
      <c r="K12" s="26" t="n"/>
      <c r="L12" s="174">
        <f>E12*Prices!B$2</f>
        <v/>
      </c>
      <c r="M12" s="174">
        <f>F12*Prices!C$2</f>
        <v/>
      </c>
      <c r="N12" s="174">
        <f>G12*Prices!D$2</f>
        <v/>
      </c>
      <c r="O12" s="174">
        <f>H12*Prices!E$2</f>
        <v/>
      </c>
      <c r="P12" s="174">
        <f>I12*2000+J12*10000+K12*1800</f>
        <v/>
      </c>
      <c r="Q12" s="174">
        <f>D12*Prices!A$2</f>
        <v/>
      </c>
      <c r="R12" s="175">
        <f>L12+M12+N12+O12</f>
        <v/>
      </c>
      <c r="S12" s="174">
        <f>R12+Q12+P12</f>
        <v/>
      </c>
      <c r="T12" s="26" t="n">
        <v>11</v>
      </c>
      <c r="U12" s="26" t="inlineStr">
        <is>
          <t>Sold</t>
        </is>
      </c>
      <c r="V12" s="93" t="n"/>
      <c r="W12" s="93" t="n"/>
      <c r="X12" s="93" t="n"/>
      <c r="Y12" s="93" t="n"/>
      <c r="Z12" s="93" t="n"/>
    </row>
    <row r="13">
      <c r="A13" s="196" t="n">
        <v>12</v>
      </c>
      <c r="B13" s="196" t="n">
        <v>4.23</v>
      </c>
      <c r="C13" s="196">
        <f>B13*(25/100)</f>
        <v/>
      </c>
      <c r="D13" s="196">
        <f>C13+B13</f>
        <v/>
      </c>
      <c r="E13" s="196" t="n">
        <v>0.6</v>
      </c>
      <c r="F13" s="196" t="n"/>
      <c r="G13" s="196" t="n"/>
      <c r="H13" s="196" t="n"/>
      <c r="I13" s="196" t="n"/>
      <c r="J13" s="196" t="n"/>
      <c r="K13" s="196" t="n"/>
      <c r="L13" s="197">
        <f>E13*Prices!B$2</f>
        <v/>
      </c>
      <c r="M13" s="197">
        <f>F13*Prices!C$2</f>
        <v/>
      </c>
      <c r="N13" s="197">
        <f>G13*Prices!D$2</f>
        <v/>
      </c>
      <c r="O13" s="197">
        <f>H13*Prices!E$2</f>
        <v/>
      </c>
      <c r="P13" s="197">
        <f>I13*2000+J13*10000+K13*1800</f>
        <v/>
      </c>
      <c r="Q13" s="197">
        <f>D13*Prices!A$2</f>
        <v/>
      </c>
      <c r="R13" s="198">
        <f>L13+M13+N13+O13</f>
        <v/>
      </c>
      <c r="S13" s="197">
        <f>R13+Q13+P13</f>
        <v/>
      </c>
      <c r="T13" s="196" t="n">
        <v>12</v>
      </c>
      <c r="U13" s="196" t="inlineStr">
        <is>
          <t>Return</t>
        </is>
      </c>
      <c r="V13" s="192" t="n"/>
      <c r="W13" s="192" t="n"/>
      <c r="X13" s="192" t="n"/>
      <c r="Y13" s="192" t="n"/>
      <c r="Z13" s="192" t="n"/>
    </row>
    <row r="14">
      <c r="A14" s="26" t="n">
        <v>13</v>
      </c>
      <c r="B14" s="26" t="n">
        <v>4.4</v>
      </c>
      <c r="C14" s="26">
        <f>B14*(25/100)</f>
        <v/>
      </c>
      <c r="D14" s="26">
        <f>C14+B14</f>
        <v/>
      </c>
      <c r="E14" s="26" t="n">
        <v>0.75</v>
      </c>
      <c r="F14" s="26" t="n"/>
      <c r="G14" s="26" t="n"/>
      <c r="H14" s="26" t="n"/>
      <c r="I14" s="26" t="n"/>
      <c r="J14" s="26" t="n"/>
      <c r="K14" s="26" t="n"/>
      <c r="L14" s="174">
        <f>E14*Prices!B$2</f>
        <v/>
      </c>
      <c r="M14" s="174">
        <f>F14*Prices!C$2</f>
        <v/>
      </c>
      <c r="N14" s="174">
        <f>G14*Prices!D$2</f>
        <v/>
      </c>
      <c r="O14" s="174">
        <f>H14*Prices!E$2</f>
        <v/>
      </c>
      <c r="P14" s="174">
        <f>I14*2000+J14*10000+K14*1800</f>
        <v/>
      </c>
      <c r="Q14" s="174">
        <f>D14*Prices!A$2</f>
        <v/>
      </c>
      <c r="R14" s="175">
        <f>L14+M14+N14+O14</f>
        <v/>
      </c>
      <c r="S14" s="174">
        <f>R14+Q14+P14</f>
        <v/>
      </c>
      <c r="T14" s="26" t="n">
        <v>13</v>
      </c>
      <c r="U14" s="26" t="inlineStr">
        <is>
          <t>Available</t>
        </is>
      </c>
      <c r="V14" s="93" t="inlineStr">
        <is>
          <t>A</t>
        </is>
      </c>
      <c r="W14" s="93" t="n"/>
      <c r="X14" s="93" t="n"/>
      <c r="Y14" s="93" t="n"/>
      <c r="Z14" s="93" t="n"/>
    </row>
    <row r="15">
      <c r="A15" s="196" t="n">
        <v>14</v>
      </c>
      <c r="B15" s="196" t="n">
        <v>4.932</v>
      </c>
      <c r="C15" s="196">
        <f>B15*(25/100)</f>
        <v/>
      </c>
      <c r="D15" s="196">
        <f>C15+B15</f>
        <v/>
      </c>
      <c r="E15" s="196" t="n">
        <v>0.6899999999999999</v>
      </c>
      <c r="F15" s="196" t="n"/>
      <c r="G15" s="196" t="n"/>
      <c r="H15" s="196" t="n"/>
      <c r="I15" s="196" t="n"/>
      <c r="J15" s="196" t="n"/>
      <c r="K15" s="196" t="n"/>
      <c r="L15" s="197">
        <f>E15*Prices!B$2</f>
        <v/>
      </c>
      <c r="M15" s="197">
        <f>F15*Prices!C$2</f>
        <v/>
      </c>
      <c r="N15" s="197">
        <f>G15*Prices!D$2</f>
        <v/>
      </c>
      <c r="O15" s="197">
        <f>H15*Prices!E$2</f>
        <v/>
      </c>
      <c r="P15" s="197">
        <f>I15*2000+J15*10000+K15*1800</f>
        <v/>
      </c>
      <c r="Q15" s="197">
        <f>D15*Prices!A$2</f>
        <v/>
      </c>
      <c r="R15" s="198">
        <f>L15+M15+N15+O15</f>
        <v/>
      </c>
      <c r="S15" s="197">
        <f>R15+Q15+P15</f>
        <v/>
      </c>
      <c r="T15" s="196" t="n">
        <v>14</v>
      </c>
      <c r="U15" s="196" t="inlineStr">
        <is>
          <t>Return</t>
        </is>
      </c>
      <c r="V15" s="192" t="n"/>
      <c r="W15" s="192" t="n"/>
      <c r="X15" s="192" t="n"/>
      <c r="Y15" s="192" t="n"/>
      <c r="Z15" s="192" t="n"/>
    </row>
    <row r="16">
      <c r="A16" s="26" t="n">
        <v>15</v>
      </c>
      <c r="B16" s="26" t="n">
        <v>3.97</v>
      </c>
      <c r="C16" s="26">
        <f>B16*(25/100)</f>
        <v/>
      </c>
      <c r="D16" s="26">
        <f>C16+B16</f>
        <v/>
      </c>
      <c r="E16" s="26" t="n">
        <v>1.35</v>
      </c>
      <c r="F16" s="26" t="n"/>
      <c r="G16" s="26" t="n"/>
      <c r="H16" s="26" t="n"/>
      <c r="I16" s="26" t="n"/>
      <c r="J16" s="26" t="n"/>
      <c r="K16" s="26" t="n"/>
      <c r="L16" s="174">
        <f>E16*Prices!B$2</f>
        <v/>
      </c>
      <c r="M16" s="174">
        <f>F16*Prices!C$2</f>
        <v/>
      </c>
      <c r="N16" s="174">
        <f>G16*Prices!D$2</f>
        <v/>
      </c>
      <c r="O16" s="174">
        <f>H16*Prices!E$2</f>
        <v/>
      </c>
      <c r="P16" s="174">
        <f>I16*2000+J16*10000+K16*1800</f>
        <v/>
      </c>
      <c r="Q16" s="174">
        <f>D16*Prices!A$2</f>
        <v/>
      </c>
      <c r="R16" s="175">
        <f>L16+M16+N16+O16</f>
        <v/>
      </c>
      <c r="S16" s="174">
        <f>R16+Q16+P16</f>
        <v/>
      </c>
      <c r="T16" s="26" t="n">
        <v>15</v>
      </c>
      <c r="U16" s="26" t="inlineStr">
        <is>
          <t>Available</t>
        </is>
      </c>
      <c r="V16" s="93" t="inlineStr">
        <is>
          <t>A</t>
        </is>
      </c>
      <c r="W16" s="93" t="n"/>
      <c r="X16" s="93" t="n"/>
      <c r="Y16" s="93" t="n"/>
      <c r="Z16" s="93" t="n"/>
    </row>
    <row r="17">
      <c r="A17" s="26" t="n">
        <v>16</v>
      </c>
      <c r="B17" s="26" t="n">
        <v>2.866</v>
      </c>
      <c r="C17" s="26">
        <f>B17*(25/100)</f>
        <v/>
      </c>
      <c r="D17" s="26">
        <f>C17+B17</f>
        <v/>
      </c>
      <c r="E17" s="26" t="n">
        <v>0.67</v>
      </c>
      <c r="F17" s="26" t="n"/>
      <c r="G17" s="26" t="n"/>
      <c r="H17" s="26" t="n"/>
      <c r="I17" s="26" t="n"/>
      <c r="J17" s="26" t="n"/>
      <c r="K17" s="26" t="n"/>
      <c r="L17" s="174">
        <f>E17*Prices!B$2</f>
        <v/>
      </c>
      <c r="M17" s="174">
        <f>F17*Prices!C$2</f>
        <v/>
      </c>
      <c r="N17" s="174">
        <f>G17*Prices!D$2</f>
        <v/>
      </c>
      <c r="O17" s="174">
        <f>H17*Prices!E$2</f>
        <v/>
      </c>
      <c r="P17" s="174">
        <f>I17*2000+J17*10000+K17*1800</f>
        <v/>
      </c>
      <c r="Q17" s="174">
        <f>D17*Prices!A$2</f>
        <v/>
      </c>
      <c r="R17" s="175">
        <f>L17+M17+N17+O17</f>
        <v/>
      </c>
      <c r="S17" s="174">
        <f>R17+Q17+P17</f>
        <v/>
      </c>
      <c r="T17" s="26" t="n">
        <v>16</v>
      </c>
      <c r="U17" s="26" t="inlineStr">
        <is>
          <t>Sold</t>
        </is>
      </c>
      <c r="V17" s="93" t="n"/>
      <c r="W17" s="93" t="n"/>
      <c r="X17" s="93" t="n"/>
      <c r="Y17" s="93" t="n"/>
      <c r="Z17" s="93" t="n"/>
    </row>
    <row r="18">
      <c r="A18" s="26" t="n">
        <v>17</v>
      </c>
      <c r="B18" s="26" t="n">
        <v>1.548</v>
      </c>
      <c r="C18" s="26">
        <f>B18*(25/100)</f>
        <v/>
      </c>
      <c r="D18" s="26">
        <f>C18+B18</f>
        <v/>
      </c>
      <c r="E18" s="26" t="n">
        <v>0.21</v>
      </c>
      <c r="F18" s="26" t="n"/>
      <c r="G18" s="26" t="n"/>
      <c r="H18" s="26" t="n"/>
      <c r="I18" s="26" t="n"/>
      <c r="J18" s="26" t="n"/>
      <c r="K18" s="26" t="n"/>
      <c r="L18" s="174">
        <f>E18*Prices!B$2</f>
        <v/>
      </c>
      <c r="M18" s="174">
        <f>F18*Prices!C$2</f>
        <v/>
      </c>
      <c r="N18" s="174">
        <f>G18*Prices!D$2</f>
        <v/>
      </c>
      <c r="O18" s="174">
        <f>H18*Prices!E$2</f>
        <v/>
      </c>
      <c r="P18" s="174">
        <f>I18*2000+J18*10000+K18*1800</f>
        <v/>
      </c>
      <c r="Q18" s="174">
        <f>D18*Prices!A$2</f>
        <v/>
      </c>
      <c r="R18" s="175">
        <f>L18+M18+N18+O18</f>
        <v/>
      </c>
      <c r="S18" s="174">
        <f>R18+Q18+P18</f>
        <v/>
      </c>
      <c r="T18" s="26" t="n">
        <v>17</v>
      </c>
      <c r="U18" s="26" t="inlineStr">
        <is>
          <t>Available</t>
        </is>
      </c>
      <c r="V18" s="93" t="inlineStr">
        <is>
          <t>A</t>
        </is>
      </c>
      <c r="W18" s="93" t="n"/>
      <c r="X18" s="93" t="n"/>
      <c r="Y18" s="93" t="n"/>
      <c r="Z18" s="93" t="n"/>
    </row>
    <row r="19">
      <c r="A19" s="26" t="n">
        <v>18</v>
      </c>
      <c r="B19" s="26" t="n">
        <v>4.62</v>
      </c>
      <c r="C19" s="26">
        <f>B19*(25/100)</f>
        <v/>
      </c>
      <c r="D19" s="26">
        <f>C19+B19</f>
        <v/>
      </c>
      <c r="E19" s="26" t="n">
        <v>1.12</v>
      </c>
      <c r="F19" s="26" t="n"/>
      <c r="G19" s="26" t="n"/>
      <c r="H19" s="26" t="n"/>
      <c r="I19" s="26" t="n"/>
      <c r="J19" s="26" t="n"/>
      <c r="K19" s="26" t="n"/>
      <c r="L19" s="174">
        <f>E19*Prices!B$2</f>
        <v/>
      </c>
      <c r="M19" s="174">
        <f>F19*Prices!C$2</f>
        <v/>
      </c>
      <c r="N19" s="174">
        <f>G19*Prices!D$2</f>
        <v/>
      </c>
      <c r="O19" s="174">
        <f>H19*Prices!E$2</f>
        <v/>
      </c>
      <c r="P19" s="174">
        <f>I19*2000+J19*10000+K19*1800</f>
        <v/>
      </c>
      <c r="Q19" s="174">
        <f>D19*Prices!A$2</f>
        <v/>
      </c>
      <c r="R19" s="175">
        <f>L19+M19+N19+O19</f>
        <v/>
      </c>
      <c r="S19" s="174">
        <f>R19+Q19+P19</f>
        <v/>
      </c>
      <c r="T19" s="26" t="n">
        <v>18</v>
      </c>
      <c r="U19" s="26" t="inlineStr">
        <is>
          <t>Sold</t>
        </is>
      </c>
      <c r="V19" s="93" t="n"/>
      <c r="W19" s="93" t="n"/>
      <c r="X19" s="93" t="n"/>
      <c r="Y19" s="93" t="n"/>
      <c r="Z19" s="93" t="n"/>
    </row>
    <row r="20">
      <c r="A20" s="26" t="n">
        <v>19</v>
      </c>
      <c r="B20" s="26" t="n">
        <v>4.136</v>
      </c>
      <c r="C20" s="26">
        <f>B20*(25/100)</f>
        <v/>
      </c>
      <c r="D20" s="26">
        <f>C20+B20</f>
        <v/>
      </c>
      <c r="E20" s="26" t="n">
        <v>0.42</v>
      </c>
      <c r="F20" s="26" t="n"/>
      <c r="G20" s="26" t="n"/>
      <c r="H20" s="26" t="n"/>
      <c r="I20" s="26" t="n"/>
      <c r="J20" s="26" t="n"/>
      <c r="K20" s="26" t="n"/>
      <c r="L20" s="174">
        <f>E20*Prices!B$2</f>
        <v/>
      </c>
      <c r="M20" s="174">
        <f>F20*Prices!C$2</f>
        <v/>
      </c>
      <c r="N20" s="174">
        <f>G20*Prices!D$2</f>
        <v/>
      </c>
      <c r="O20" s="174">
        <f>H20*Prices!E$2</f>
        <v/>
      </c>
      <c r="P20" s="174">
        <f>I20*2000+J20*10000+K20*1800</f>
        <v/>
      </c>
      <c r="Q20" s="174">
        <f>D20*Prices!A$2</f>
        <v/>
      </c>
      <c r="R20" s="175">
        <f>L20+M20+N20+O20</f>
        <v/>
      </c>
      <c r="S20" s="174">
        <f>R20+Q20+P20</f>
        <v/>
      </c>
      <c r="T20" s="26" t="n">
        <v>19</v>
      </c>
      <c r="U20" s="26" t="inlineStr">
        <is>
          <t>Sold</t>
        </is>
      </c>
      <c r="V20" s="93" t="n"/>
      <c r="W20" s="93" t="n"/>
      <c r="X20" s="93" t="n"/>
      <c r="Y20" s="93" t="n"/>
      <c r="Z20" s="93" t="n"/>
    </row>
    <row r="21">
      <c r="A21" s="26" t="n">
        <v>20</v>
      </c>
      <c r="B21" s="26" t="n">
        <v>6.37</v>
      </c>
      <c r="C21" s="26">
        <f>B21*(25/100)</f>
        <v/>
      </c>
      <c r="D21" s="26">
        <f>C21+B21</f>
        <v/>
      </c>
      <c r="E21" s="26" t="n">
        <v>1.27</v>
      </c>
      <c r="F21" s="26" t="n"/>
      <c r="G21" s="26" t="n"/>
      <c r="H21" s="26" t="n"/>
      <c r="I21" s="26" t="n"/>
      <c r="J21" s="26" t="n">
        <v>4.86</v>
      </c>
      <c r="K21" s="26" t="n"/>
      <c r="L21" s="174">
        <f>E21*Prices!B$2</f>
        <v/>
      </c>
      <c r="M21" s="174">
        <f>F21*Prices!C$2</f>
        <v/>
      </c>
      <c r="N21" s="174">
        <f>G21*Prices!D$2</f>
        <v/>
      </c>
      <c r="O21" s="174">
        <f>H21*Prices!E$2</f>
        <v/>
      </c>
      <c r="P21" s="174">
        <f>I21*2000+J21*10000+K21*1800</f>
        <v/>
      </c>
      <c r="Q21" s="174">
        <f>D21*Prices!A$2</f>
        <v/>
      </c>
      <c r="R21" s="175">
        <f>L21+M21+N21+O21</f>
        <v/>
      </c>
      <c r="S21" s="174">
        <f>R21+Q21+P21</f>
        <v/>
      </c>
      <c r="T21" s="26" t="n">
        <v>20</v>
      </c>
      <c r="U21" s="26" t="inlineStr">
        <is>
          <t>Available</t>
        </is>
      </c>
      <c r="V21" s="93" t="inlineStr">
        <is>
          <t>A</t>
        </is>
      </c>
      <c r="W21" s="93" t="n"/>
      <c r="X21" s="93" t="n"/>
      <c r="Y21" s="93" t="n"/>
      <c r="Z21" s="93" t="n"/>
    </row>
    <row r="22">
      <c r="A22" s="26" t="n">
        <v>21</v>
      </c>
      <c r="B22" s="26" t="n">
        <v>4.1</v>
      </c>
      <c r="C22" s="26">
        <f>B22*(25/100)</f>
        <v/>
      </c>
      <c r="D22" s="26">
        <f>C22+B22</f>
        <v/>
      </c>
      <c r="E22" s="26" t="n">
        <v>1.15</v>
      </c>
      <c r="F22" s="26" t="n"/>
      <c r="G22" s="26" t="n"/>
      <c r="H22" s="26" t="n"/>
      <c r="I22" s="26" t="n"/>
      <c r="J22" s="26" t="n">
        <v>2.29</v>
      </c>
      <c r="K22" s="26" t="n"/>
      <c r="L22" s="174">
        <f>E22*Prices!B$2</f>
        <v/>
      </c>
      <c r="M22" s="174">
        <f>F22*Prices!C$2</f>
        <v/>
      </c>
      <c r="N22" s="174">
        <f>G22*Prices!D$2</f>
        <v/>
      </c>
      <c r="O22" s="174">
        <f>H22*Prices!E$2</f>
        <v/>
      </c>
      <c r="P22" s="174">
        <f>I22*2000+J22*10000+K22*1800</f>
        <v/>
      </c>
      <c r="Q22" s="174">
        <f>D22*Prices!A$2</f>
        <v/>
      </c>
      <c r="R22" s="175">
        <f>L22+M22+N22+O22</f>
        <v/>
      </c>
      <c r="S22" s="174">
        <f>R22+Q22+P22</f>
        <v/>
      </c>
      <c r="T22" s="26" t="n">
        <v>21</v>
      </c>
      <c r="U22" s="26" t="inlineStr">
        <is>
          <t>Available</t>
        </is>
      </c>
      <c r="V22" s="93" t="inlineStr">
        <is>
          <t>A</t>
        </is>
      </c>
      <c r="W22" s="93" t="n"/>
      <c r="X22" s="93" t="n"/>
      <c r="Y22" s="93" t="n"/>
      <c r="Z22" s="93" t="n"/>
    </row>
    <row r="23">
      <c r="A23" s="26" t="n">
        <v>22</v>
      </c>
      <c r="B23" s="26" t="n">
        <v>4.836</v>
      </c>
      <c r="C23" s="26">
        <f>B23*(25/100)</f>
        <v/>
      </c>
      <c r="D23" s="26">
        <f>C23+B23</f>
        <v/>
      </c>
      <c r="E23" s="26" t="n">
        <v>1.13</v>
      </c>
      <c r="F23" s="26" t="n"/>
      <c r="G23" s="26" t="n"/>
      <c r="H23" s="26" t="n"/>
      <c r="I23" s="26" t="n"/>
      <c r="J23" s="26" t="n">
        <v>1.39</v>
      </c>
      <c r="K23" s="26" t="n"/>
      <c r="L23" s="174">
        <f>E23*Prices!B$2</f>
        <v/>
      </c>
      <c r="M23" s="174">
        <f>F23*Prices!C$2</f>
        <v/>
      </c>
      <c r="N23" s="174">
        <f>G23*Prices!D$2</f>
        <v/>
      </c>
      <c r="O23" s="174">
        <f>H23*Prices!E$2</f>
        <v/>
      </c>
      <c r="P23" s="174">
        <f>I23*2000+J23*10000+K23*1800</f>
        <v/>
      </c>
      <c r="Q23" s="174">
        <f>D23*Prices!A$2</f>
        <v/>
      </c>
      <c r="R23" s="175">
        <f>L23+M23+N23+O23</f>
        <v/>
      </c>
      <c r="S23" s="174">
        <f>R23+Q23+P23</f>
        <v/>
      </c>
      <c r="T23" s="26" t="n">
        <v>22</v>
      </c>
      <c r="U23" s="26" t="inlineStr">
        <is>
          <t>Available</t>
        </is>
      </c>
      <c r="V23" s="93" t="inlineStr">
        <is>
          <t>A</t>
        </is>
      </c>
      <c r="W23" s="93" t="n"/>
      <c r="X23" s="93" t="n"/>
      <c r="Y23" s="93" t="n"/>
      <c r="Z23" s="93" t="n"/>
    </row>
    <row r="24">
      <c r="A24" s="26" t="n">
        <v>23</v>
      </c>
      <c r="B24" s="26" t="n">
        <v>4.21</v>
      </c>
      <c r="C24" s="26">
        <f>B24*(25/100)</f>
        <v/>
      </c>
      <c r="D24" s="26">
        <f>C24+B24</f>
        <v/>
      </c>
      <c r="E24" s="26" t="n">
        <v>0.83</v>
      </c>
      <c r="F24" s="26" t="n"/>
      <c r="G24" s="26" t="n"/>
      <c r="H24" s="26" t="n"/>
      <c r="I24" s="26" t="n">
        <v>1.92</v>
      </c>
      <c r="J24" s="26" t="n"/>
      <c r="K24" s="26" t="n"/>
      <c r="L24" s="174">
        <f>E24*Prices!B$2</f>
        <v/>
      </c>
      <c r="M24" s="174">
        <f>F24*Prices!C$2</f>
        <v/>
      </c>
      <c r="N24" s="174">
        <f>G24*Prices!D$2</f>
        <v/>
      </c>
      <c r="O24" s="174">
        <f>H24*Prices!E$2</f>
        <v/>
      </c>
      <c r="P24" s="174">
        <f>I24*2000+J24*10000+K24*1800</f>
        <v/>
      </c>
      <c r="Q24" s="174">
        <f>D24*Prices!A$2</f>
        <v/>
      </c>
      <c r="R24" s="175">
        <f>L24+M24+N24+O24</f>
        <v/>
      </c>
      <c r="S24" s="174">
        <f>R24+Q24+P24</f>
        <v/>
      </c>
      <c r="T24" s="26" t="n">
        <v>23</v>
      </c>
      <c r="U24" s="26" t="inlineStr">
        <is>
          <t>Available</t>
        </is>
      </c>
      <c r="V24" s="93" t="inlineStr">
        <is>
          <t>A</t>
        </is>
      </c>
      <c r="W24" s="93" t="n"/>
      <c r="X24" s="93" t="n"/>
      <c r="Y24" s="93" t="n"/>
      <c r="Z24" s="93" t="n"/>
    </row>
    <row r="25">
      <c r="A25" s="26" t="n">
        <v>24</v>
      </c>
      <c r="B25" s="26" t="n">
        <v>3.318</v>
      </c>
      <c r="C25" s="26">
        <f>B25*(25/100)</f>
        <v/>
      </c>
      <c r="D25" s="26">
        <f>C25+B25</f>
        <v/>
      </c>
      <c r="E25" s="26" t="n">
        <v>0.53</v>
      </c>
      <c r="F25" s="26" t="n"/>
      <c r="G25" s="26" t="n"/>
      <c r="H25" s="26" t="n"/>
      <c r="I25" s="26" t="n">
        <v>2.53</v>
      </c>
      <c r="J25" s="26" t="n"/>
      <c r="K25" s="26" t="n"/>
      <c r="L25" s="174">
        <f>E25*Prices!B$2</f>
        <v/>
      </c>
      <c r="M25" s="174">
        <f>F25*Prices!C$2</f>
        <v/>
      </c>
      <c r="N25" s="174">
        <f>G25*Prices!D$2</f>
        <v/>
      </c>
      <c r="O25" s="174">
        <f>H25*Prices!E$2</f>
        <v/>
      </c>
      <c r="P25" s="174">
        <f>I25*2000+J25*10000+K25*1800</f>
        <v/>
      </c>
      <c r="Q25" s="174">
        <f>D25*Prices!A$2</f>
        <v/>
      </c>
      <c r="R25" s="175">
        <f>L25+M25+N25+O25</f>
        <v/>
      </c>
      <c r="S25" s="174">
        <f>R25+Q25+P25</f>
        <v/>
      </c>
      <c r="T25" s="26" t="n">
        <v>24</v>
      </c>
      <c r="U25" s="26" t="inlineStr">
        <is>
          <t>Sold</t>
        </is>
      </c>
      <c r="V25" s="93" t="n"/>
      <c r="W25" s="93" t="n"/>
      <c r="X25" s="93" t="n"/>
      <c r="Y25" s="93" t="n"/>
      <c r="Z25" s="93" t="n"/>
    </row>
    <row r="26">
      <c r="A26" s="26" t="n">
        <v>25</v>
      </c>
      <c r="B26" s="26" t="n">
        <v>3.408</v>
      </c>
      <c r="C26" s="26">
        <f>B26*(25/100)</f>
        <v/>
      </c>
      <c r="D26" s="26">
        <f>C26+B26</f>
        <v/>
      </c>
      <c r="E26" s="26" t="n"/>
      <c r="F26" s="26" t="n">
        <v>0.66</v>
      </c>
      <c r="G26" s="26" t="n"/>
      <c r="H26" s="26" t="n"/>
      <c r="I26" s="26" t="n"/>
      <c r="J26" s="26" t="n"/>
      <c r="K26" s="26" t="n"/>
      <c r="L26" s="174">
        <f>E26*Prices!B$2</f>
        <v/>
      </c>
      <c r="M26" s="174">
        <f>F26*Prices!C$2</f>
        <v/>
      </c>
      <c r="N26" s="174">
        <f>G26*Prices!D$2</f>
        <v/>
      </c>
      <c r="O26" s="174">
        <f>H26*Prices!E$2</f>
        <v/>
      </c>
      <c r="P26" s="174">
        <f>I26*2000+J26*10000+K26*1800</f>
        <v/>
      </c>
      <c r="Q26" s="174">
        <f>D26*Prices!A$2</f>
        <v/>
      </c>
      <c r="R26" s="175">
        <f>L26+M26+N26+O26</f>
        <v/>
      </c>
      <c r="S26" s="174">
        <f>R26+Q26+P26</f>
        <v/>
      </c>
      <c r="T26" s="26" t="n">
        <v>25</v>
      </c>
      <c r="U26" s="26" t="inlineStr">
        <is>
          <t>Available</t>
        </is>
      </c>
      <c r="V26" s="93" t="inlineStr">
        <is>
          <t>A</t>
        </is>
      </c>
      <c r="W26" s="93" t="n"/>
      <c r="X26" s="93" t="n"/>
      <c r="Y26" s="93" t="n"/>
      <c r="Z26" s="93" t="n"/>
    </row>
    <row r="27">
      <c r="A27" s="26" t="n">
        <v>26</v>
      </c>
      <c r="B27" s="26" t="n">
        <v>5.762</v>
      </c>
      <c r="C27" s="26">
        <f>B27*(25/100)</f>
        <v/>
      </c>
      <c r="D27" s="26">
        <f>C27+B27</f>
        <v/>
      </c>
      <c r="E27" s="26" t="n">
        <v>1.54</v>
      </c>
      <c r="F27" s="26" t="n"/>
      <c r="G27" s="26" t="n"/>
      <c r="H27" s="26" t="n"/>
      <c r="I27" s="26" t="n"/>
      <c r="J27" s="26" t="n"/>
      <c r="K27" s="26" t="n"/>
      <c r="L27" s="174">
        <f>E27*Prices!B$2</f>
        <v/>
      </c>
      <c r="M27" s="174">
        <f>F27*Prices!C$2</f>
        <v/>
      </c>
      <c r="N27" s="174">
        <f>G27*Prices!D$2</f>
        <v/>
      </c>
      <c r="O27" s="174">
        <f>H27*Prices!E$2</f>
        <v/>
      </c>
      <c r="P27" s="174">
        <f>I27*2000+J27*10000+K27*1800</f>
        <v/>
      </c>
      <c r="Q27" s="174">
        <f>D27*Prices!A$2</f>
        <v/>
      </c>
      <c r="R27" s="175">
        <f>L27+M27+N27+O27</f>
        <v/>
      </c>
      <c r="S27" s="174">
        <f>R27+Q27+P27</f>
        <v/>
      </c>
      <c r="T27" s="26" t="n">
        <v>26</v>
      </c>
      <c r="U27" s="26" t="inlineStr">
        <is>
          <t>Sold</t>
        </is>
      </c>
      <c r="V27" s="93" t="n"/>
      <c r="W27" s="93" t="n"/>
      <c r="X27" s="93" t="n"/>
      <c r="Y27" s="93" t="n"/>
      <c r="Z27" s="93" t="n"/>
    </row>
    <row r="28">
      <c r="A28" s="26" t="n">
        <v>27</v>
      </c>
      <c r="B28" s="26" t="n">
        <v>7.34</v>
      </c>
      <c r="C28" s="26">
        <f>B28*(25/100)</f>
        <v/>
      </c>
      <c r="D28" s="26">
        <f>C28+B28</f>
        <v/>
      </c>
      <c r="E28" s="26" t="n">
        <v>2.55</v>
      </c>
      <c r="F28" s="26" t="n"/>
      <c r="G28" s="26" t="n"/>
      <c r="H28" s="26" t="n"/>
      <c r="I28" s="26" t="n"/>
      <c r="J28" s="26" t="n"/>
      <c r="K28" s="26" t="n"/>
      <c r="L28" s="174">
        <f>E28*Prices!B$2</f>
        <v/>
      </c>
      <c r="M28" s="174">
        <f>F28*Prices!C$2</f>
        <v/>
      </c>
      <c r="N28" s="174">
        <f>G28*Prices!D$2</f>
        <v/>
      </c>
      <c r="O28" s="174">
        <f>H28*Prices!E$2</f>
        <v/>
      </c>
      <c r="P28" s="174">
        <f>I28*2000+J28*10000+K28*1800</f>
        <v/>
      </c>
      <c r="Q28" s="174">
        <f>D28*Prices!A$2</f>
        <v/>
      </c>
      <c r="R28" s="175">
        <f>L28+M28+N28+O28</f>
        <v/>
      </c>
      <c r="S28" s="174">
        <f>R28+Q28+P28</f>
        <v/>
      </c>
      <c r="T28" s="26" t="n">
        <v>27</v>
      </c>
      <c r="U28" s="26" t="inlineStr">
        <is>
          <t>Sold</t>
        </is>
      </c>
      <c r="V28" s="93" t="n"/>
      <c r="W28" s="93" t="n"/>
      <c r="X28" s="93" t="n"/>
      <c r="Y28" s="93" t="n"/>
      <c r="Z28" s="93" t="n"/>
    </row>
    <row r="29">
      <c r="A29" s="26" t="n">
        <v>28</v>
      </c>
      <c r="B29" s="26" t="n">
        <v>2.966</v>
      </c>
      <c r="C29" s="26">
        <f>B29*(25/100)</f>
        <v/>
      </c>
      <c r="D29" s="26">
        <f>C29+B29</f>
        <v/>
      </c>
      <c r="E29" s="26" t="n">
        <v>0.72</v>
      </c>
      <c r="F29" s="26" t="n"/>
      <c r="G29" s="26" t="n"/>
      <c r="H29" s="26" t="n"/>
      <c r="I29" s="26" t="n"/>
      <c r="J29" s="26" t="n"/>
      <c r="K29" s="26" t="n"/>
      <c r="L29" s="174">
        <f>E29*Prices!B$2</f>
        <v/>
      </c>
      <c r="M29" s="174">
        <f>F29*Prices!C$2</f>
        <v/>
      </c>
      <c r="N29" s="174">
        <f>G29*Prices!D$2</f>
        <v/>
      </c>
      <c r="O29" s="174">
        <f>H29*Prices!E$2</f>
        <v/>
      </c>
      <c r="P29" s="174">
        <f>I29*2000+J29*10000+K29*1800</f>
        <v/>
      </c>
      <c r="Q29" s="174">
        <f>D29*Prices!A$2</f>
        <v/>
      </c>
      <c r="R29" s="175">
        <f>L29+M29+N29+O29</f>
        <v/>
      </c>
      <c r="S29" s="174">
        <f>R29+Q29+P29</f>
        <v/>
      </c>
      <c r="T29" s="26" t="n">
        <v>28</v>
      </c>
      <c r="U29" s="26" t="inlineStr">
        <is>
          <t>Sold</t>
        </is>
      </c>
      <c r="V29" s="93" t="n"/>
      <c r="W29" s="93" t="n"/>
      <c r="X29" s="93" t="n"/>
      <c r="Y29" s="93" t="n"/>
      <c r="Z29" s="93" t="n"/>
    </row>
    <row r="30">
      <c r="A30" s="26" t="n">
        <v>29</v>
      </c>
      <c r="B30" s="26" t="n">
        <v>4.518</v>
      </c>
      <c r="C30" s="26">
        <f>B30*(25/100)</f>
        <v/>
      </c>
      <c r="D30" s="26">
        <f>C30+B30</f>
        <v/>
      </c>
      <c r="E30" s="26" t="n">
        <v>1.58</v>
      </c>
      <c r="F30" s="26" t="n"/>
      <c r="G30" s="26" t="n">
        <v>0.33</v>
      </c>
      <c r="H30" s="26" t="n"/>
      <c r="I30" s="26" t="n"/>
      <c r="J30" s="26" t="n"/>
      <c r="K30" s="26" t="n"/>
      <c r="L30" s="174">
        <f>E30*Prices!B$2</f>
        <v/>
      </c>
      <c r="M30" s="174">
        <f>F30*Prices!C$2</f>
        <v/>
      </c>
      <c r="N30" s="174">
        <f>G30*Prices!D$2</f>
        <v/>
      </c>
      <c r="O30" s="174">
        <f>H30*Prices!E$2</f>
        <v/>
      </c>
      <c r="P30" s="174">
        <f>I30*2000+J30*10000+K30*1800</f>
        <v/>
      </c>
      <c r="Q30" s="174">
        <f>D30*Prices!A$2</f>
        <v/>
      </c>
      <c r="R30" s="175">
        <f>L30+M30+N30+O30</f>
        <v/>
      </c>
      <c r="S30" s="174">
        <f>R30+Q30+P30</f>
        <v/>
      </c>
      <c r="T30" s="26" t="n">
        <v>29</v>
      </c>
      <c r="U30" s="26" t="inlineStr">
        <is>
          <t>Sold</t>
        </is>
      </c>
      <c r="V30" s="93" t="n"/>
      <c r="W30" s="93" t="n"/>
      <c r="X30" s="93" t="n"/>
      <c r="Y30" s="93" t="n"/>
      <c r="Z30" s="93" t="n"/>
    </row>
    <row r="31">
      <c r="A31" s="26" t="n">
        <v>30</v>
      </c>
      <c r="B31" s="26" t="n">
        <v>3.662</v>
      </c>
      <c r="C31" s="26">
        <f>B31*(25/100)</f>
        <v/>
      </c>
      <c r="D31" s="26">
        <f>C31+B31</f>
        <v/>
      </c>
      <c r="E31" s="26" t="n">
        <v>1.64</v>
      </c>
      <c r="F31" s="26" t="n"/>
      <c r="G31" s="26" t="n"/>
      <c r="H31" s="26" t="n"/>
      <c r="I31" s="26" t="n"/>
      <c r="J31" s="26" t="n"/>
      <c r="K31" s="26" t="n"/>
      <c r="L31" s="174">
        <f>E31*Prices!B$2</f>
        <v/>
      </c>
      <c r="M31" s="174">
        <f>F31*Prices!C$2</f>
        <v/>
      </c>
      <c r="N31" s="174">
        <f>G31*Prices!D$2</f>
        <v/>
      </c>
      <c r="O31" s="174">
        <f>H31*Prices!E$2</f>
        <v/>
      </c>
      <c r="P31" s="174">
        <f>I31*2000+J31*10000+K31*1800</f>
        <v/>
      </c>
      <c r="Q31" s="174">
        <f>D31*Prices!A$2</f>
        <v/>
      </c>
      <c r="R31" s="175">
        <f>L31+M31+N31+O31</f>
        <v/>
      </c>
      <c r="S31" s="174">
        <f>R31+Q31+P31</f>
        <v/>
      </c>
      <c r="T31" s="26" t="n">
        <v>30</v>
      </c>
      <c r="U31" s="26" t="inlineStr">
        <is>
          <t>Sold</t>
        </is>
      </c>
      <c r="V31" s="93" t="n"/>
      <c r="W31" s="93" t="n"/>
      <c r="X31" s="93" t="n"/>
      <c r="Y31" s="93" t="n"/>
      <c r="Z31" s="93" t="n"/>
    </row>
    <row r="32">
      <c r="A32" s="26" t="n">
        <v>31</v>
      </c>
      <c r="B32" s="26" t="n">
        <v>6.38</v>
      </c>
      <c r="C32" s="26">
        <f>B32*(25/100)</f>
        <v/>
      </c>
      <c r="D32" s="26">
        <f>C32+B32</f>
        <v/>
      </c>
      <c r="E32" s="26" t="n">
        <v>1.55</v>
      </c>
      <c r="F32" s="26" t="n"/>
      <c r="G32" s="26" t="n"/>
      <c r="H32" s="26" t="n"/>
      <c r="I32" s="26" t="n"/>
      <c r="J32" s="26" t="n"/>
      <c r="K32" s="26" t="n"/>
      <c r="L32" s="174">
        <f>E32*Prices!B$2</f>
        <v/>
      </c>
      <c r="M32" s="174">
        <f>F32*Prices!C$2</f>
        <v/>
      </c>
      <c r="N32" s="174">
        <f>G32*Prices!D$2</f>
        <v/>
      </c>
      <c r="O32" s="174">
        <f>H32*Prices!E$2</f>
        <v/>
      </c>
      <c r="P32" s="174">
        <f>I32*2000+J32*10000+K32*1800</f>
        <v/>
      </c>
      <c r="Q32" s="174">
        <f>D32*Prices!A$2</f>
        <v/>
      </c>
      <c r="R32" s="175">
        <f>L32+M32+N32+O32</f>
        <v/>
      </c>
      <c r="S32" s="174">
        <f>R32+Q32+P32</f>
        <v/>
      </c>
      <c r="T32" s="26" t="n">
        <v>31</v>
      </c>
      <c r="U32" s="26" t="inlineStr">
        <is>
          <t>Sold</t>
        </is>
      </c>
      <c r="V32" s="93" t="n"/>
      <c r="W32" s="93" t="n"/>
      <c r="X32" s="93" t="n"/>
      <c r="Y32" s="93" t="n"/>
      <c r="Z32" s="93" t="n"/>
    </row>
    <row r="33">
      <c r="A33" s="26" t="n">
        <v>32</v>
      </c>
      <c r="B33" s="26" t="n">
        <v>5.57</v>
      </c>
      <c r="C33" s="26">
        <f>B33*(25/100)</f>
        <v/>
      </c>
      <c r="D33" s="26">
        <f>C33+B33</f>
        <v/>
      </c>
      <c r="E33" s="26" t="n">
        <v>0.82</v>
      </c>
      <c r="F33" s="26" t="n"/>
      <c r="G33" s="26" t="n"/>
      <c r="H33" s="26" t="n"/>
      <c r="I33" s="26" t="n"/>
      <c r="J33" s="26" t="n"/>
      <c r="K33" s="26" t="n"/>
      <c r="L33" s="174">
        <f>E33*Prices!B$2</f>
        <v/>
      </c>
      <c r="M33" s="174">
        <f>F33*Prices!C$2</f>
        <v/>
      </c>
      <c r="N33" s="174">
        <f>G33*Prices!D$2</f>
        <v/>
      </c>
      <c r="O33" s="174">
        <f>H33*Prices!E$2</f>
        <v/>
      </c>
      <c r="P33" s="174">
        <f>I33*2000+J33*10000+K33*1800</f>
        <v/>
      </c>
      <c r="Q33" s="174">
        <f>D33*Prices!A$2</f>
        <v/>
      </c>
      <c r="R33" s="175">
        <f>L33+M33+N33+O33</f>
        <v/>
      </c>
      <c r="S33" s="174">
        <f>R33+Q33+P33</f>
        <v/>
      </c>
      <c r="T33" s="26" t="n">
        <v>32</v>
      </c>
      <c r="U33" s="26" t="inlineStr">
        <is>
          <t>Sold</t>
        </is>
      </c>
      <c r="V33" s="93" t="n"/>
      <c r="W33" s="93" t="n"/>
      <c r="X33" s="93" t="n"/>
      <c r="Y33" s="93" t="n"/>
      <c r="Z33" s="93" t="n"/>
    </row>
    <row r="34">
      <c r="A34" s="26" t="n">
        <v>33</v>
      </c>
      <c r="B34" s="26" t="n">
        <v>5.05</v>
      </c>
      <c r="C34" s="26">
        <f>B34*(25/100)</f>
        <v/>
      </c>
      <c r="D34" s="26">
        <f>C34+B34</f>
        <v/>
      </c>
      <c r="E34" s="26" t="n">
        <v>0.42</v>
      </c>
      <c r="F34" s="26" t="n"/>
      <c r="G34" s="26" t="n"/>
      <c r="H34" s="26" t="n"/>
      <c r="I34" s="26" t="n"/>
      <c r="J34" s="26" t="n"/>
      <c r="K34" s="26" t="n"/>
      <c r="L34" s="174">
        <f>E34*Prices!B$2</f>
        <v/>
      </c>
      <c r="M34" s="174">
        <f>F34*Prices!C$2</f>
        <v/>
      </c>
      <c r="N34" s="174">
        <f>G34*Prices!D$2</f>
        <v/>
      </c>
      <c r="O34" s="174">
        <f>H34*Prices!E$2</f>
        <v/>
      </c>
      <c r="P34" s="174">
        <f>I34*2000+J34*10000+K34*1800</f>
        <v/>
      </c>
      <c r="Q34" s="174">
        <f>D34*Prices!A$2</f>
        <v/>
      </c>
      <c r="R34" s="175">
        <f>L34+M34+N34+O34</f>
        <v/>
      </c>
      <c r="S34" s="174">
        <f>R34+Q34+P34</f>
        <v/>
      </c>
      <c r="T34" s="26" t="n">
        <v>33</v>
      </c>
      <c r="U34" s="26" t="inlineStr">
        <is>
          <t>Sold</t>
        </is>
      </c>
      <c r="V34" s="93" t="n"/>
      <c r="W34" s="93" t="n"/>
      <c r="X34" s="93" t="n"/>
      <c r="Y34" s="93" t="n"/>
      <c r="Z34" s="93" t="n"/>
    </row>
    <row r="35">
      <c r="A35" s="26" t="n">
        <v>34</v>
      </c>
      <c r="B35" s="26" t="n">
        <v>3.78</v>
      </c>
      <c r="C35" s="26">
        <f>B35*(25/100)</f>
        <v/>
      </c>
      <c r="D35" s="26">
        <f>C35+B35</f>
        <v/>
      </c>
      <c r="E35" s="26" t="n">
        <v>0.6</v>
      </c>
      <c r="F35" s="26" t="n"/>
      <c r="G35" s="26" t="n"/>
      <c r="H35" s="26" t="n"/>
      <c r="I35" s="26" t="n"/>
      <c r="J35" s="26" t="n"/>
      <c r="K35" s="26" t="n"/>
      <c r="L35" s="174">
        <f>E35*Prices!B$2</f>
        <v/>
      </c>
      <c r="M35" s="174">
        <f>F35*Prices!C$2</f>
        <v/>
      </c>
      <c r="N35" s="174">
        <f>G35*Prices!D$2</f>
        <v/>
      </c>
      <c r="O35" s="174">
        <f>H35*Prices!E$2</f>
        <v/>
      </c>
      <c r="P35" s="174">
        <f>I35*2000+J35*10000+K35*1800</f>
        <v/>
      </c>
      <c r="Q35" s="174">
        <f>D35*Prices!A$2</f>
        <v/>
      </c>
      <c r="R35" s="175">
        <f>L35+M35+N35+O35</f>
        <v/>
      </c>
      <c r="S35" s="174">
        <f>R35+Q35+P35</f>
        <v/>
      </c>
      <c r="T35" s="26" t="n">
        <v>34</v>
      </c>
      <c r="U35" s="26" t="inlineStr">
        <is>
          <t>Available</t>
        </is>
      </c>
      <c r="V35" s="93" t="inlineStr">
        <is>
          <t>A</t>
        </is>
      </c>
      <c r="W35" s="93" t="n"/>
      <c r="X35" s="93" t="n"/>
      <c r="Y35" s="93" t="n"/>
      <c r="Z35" s="93" t="n"/>
    </row>
    <row r="36">
      <c r="A36" s="26" t="n">
        <v>35</v>
      </c>
      <c r="B36" s="26" t="n">
        <v>5.34</v>
      </c>
      <c r="C36" s="26">
        <f>B36*(25/100)</f>
        <v/>
      </c>
      <c r="D36" s="26">
        <f>C36+B36</f>
        <v/>
      </c>
      <c r="E36" s="26" t="n">
        <v>1.36</v>
      </c>
      <c r="F36" s="26" t="n"/>
      <c r="G36" s="26" t="n"/>
      <c r="H36" s="26" t="n"/>
      <c r="I36" s="26" t="n"/>
      <c r="J36" s="26" t="n"/>
      <c r="K36" s="26" t="n"/>
      <c r="L36" s="174">
        <f>E36*Prices!B$2</f>
        <v/>
      </c>
      <c r="M36" s="174">
        <f>F36*Prices!C$2</f>
        <v/>
      </c>
      <c r="N36" s="174">
        <f>G36*Prices!D$2</f>
        <v/>
      </c>
      <c r="O36" s="174">
        <f>H36*Prices!E$2</f>
        <v/>
      </c>
      <c r="P36" s="174">
        <f>I36*2000+J36*10000+K36*1800</f>
        <v/>
      </c>
      <c r="Q36" s="174">
        <f>D36*Prices!A$2</f>
        <v/>
      </c>
      <c r="R36" s="175">
        <f>L36+M36+N36+O36</f>
        <v/>
      </c>
      <c r="S36" s="174">
        <f>R36+Q36+P36</f>
        <v/>
      </c>
      <c r="T36" s="26" t="n">
        <v>35</v>
      </c>
      <c r="U36" s="26" t="inlineStr">
        <is>
          <t>Available</t>
        </is>
      </c>
      <c r="V36" s="93" t="inlineStr">
        <is>
          <t>A</t>
        </is>
      </c>
      <c r="W36" s="93" t="n"/>
      <c r="X36" s="93" t="n"/>
      <c r="Y36" s="93" t="n"/>
      <c r="Z36" s="93" t="n"/>
    </row>
    <row r="37">
      <c r="A37" s="26" t="n">
        <v>36</v>
      </c>
      <c r="B37" s="26" t="n">
        <v>2.412</v>
      </c>
      <c r="C37" s="26">
        <f>B37*(25/100)</f>
        <v/>
      </c>
      <c r="D37" s="26">
        <f>C37+B37</f>
        <v/>
      </c>
      <c r="E37" s="26" t="n">
        <v>0.64</v>
      </c>
      <c r="F37" s="26" t="n"/>
      <c r="G37" s="26" t="n"/>
      <c r="H37" s="26" t="n"/>
      <c r="I37" s="26" t="n"/>
      <c r="J37" s="26" t="n"/>
      <c r="K37" s="26" t="n"/>
      <c r="L37" s="174">
        <f>E37*Prices!B$2</f>
        <v/>
      </c>
      <c r="M37" s="174">
        <f>F37*Prices!C$2</f>
        <v/>
      </c>
      <c r="N37" s="174">
        <f>G37*Prices!D$2</f>
        <v/>
      </c>
      <c r="O37" s="174">
        <f>H37*Prices!E$2</f>
        <v/>
      </c>
      <c r="P37" s="174">
        <f>I37*2000+J37*10000+K37*1800</f>
        <v/>
      </c>
      <c r="Q37" s="174">
        <f>D37*Prices!A$2</f>
        <v/>
      </c>
      <c r="R37" s="175">
        <f>L37+M37+N37+O37</f>
        <v/>
      </c>
      <c r="S37" s="174">
        <f>R37+Q37+P37</f>
        <v/>
      </c>
      <c r="T37" s="26" t="n">
        <v>36</v>
      </c>
      <c r="U37" s="26" t="inlineStr">
        <is>
          <t>Sold</t>
        </is>
      </c>
      <c r="V37" s="93" t="n"/>
      <c r="W37" s="93" t="n"/>
      <c r="X37" s="93" t="n"/>
      <c r="Y37" s="93" t="n"/>
      <c r="Z37" s="93" t="n"/>
    </row>
    <row r="38">
      <c r="A38" s="26" t="n">
        <v>37</v>
      </c>
      <c r="B38" s="26" t="n">
        <v>8.460000000000001</v>
      </c>
      <c r="C38" s="26">
        <f>B38*(25/100)</f>
        <v/>
      </c>
      <c r="D38" s="26">
        <f>C38+B38</f>
        <v/>
      </c>
      <c r="E38" s="26">
        <f>1.3+0.56</f>
        <v/>
      </c>
      <c r="F38" s="26" t="n"/>
      <c r="G38" s="26" t="n"/>
      <c r="H38" s="26" t="n"/>
      <c r="I38" s="26" t="n"/>
      <c r="J38" s="26" t="n"/>
      <c r="K38" s="26" t="n"/>
      <c r="L38" s="174">
        <f>E38*Prices!B$2</f>
        <v/>
      </c>
      <c r="M38" s="174">
        <f>F38*Prices!C$2</f>
        <v/>
      </c>
      <c r="N38" s="174">
        <f>G38*Prices!D$2</f>
        <v/>
      </c>
      <c r="O38" s="174">
        <f>H38*Prices!E$2</f>
        <v/>
      </c>
      <c r="P38" s="174">
        <f>I38*2000+J38*10000+K38*1800</f>
        <v/>
      </c>
      <c r="Q38" s="174">
        <f>D38*Prices!A$2</f>
        <v/>
      </c>
      <c r="R38" s="175">
        <f>L38+M38+N38+O38</f>
        <v/>
      </c>
      <c r="S38" s="174">
        <f>R38+Q38+P38</f>
        <v/>
      </c>
      <c r="T38" s="26" t="n">
        <v>37</v>
      </c>
      <c r="U38" s="26" t="inlineStr">
        <is>
          <t>Available</t>
        </is>
      </c>
      <c r="V38" s="93" t="inlineStr">
        <is>
          <t>A</t>
        </is>
      </c>
      <c r="W38" s="93" t="n"/>
      <c r="X38" s="93" t="n"/>
      <c r="Y38" s="93" t="n"/>
      <c r="Z38" s="93" t="n"/>
    </row>
    <row r="39">
      <c r="A39" s="26" t="n">
        <v>38</v>
      </c>
      <c r="B39" s="26" t="n">
        <v>6.22</v>
      </c>
      <c r="C39" s="26">
        <f>B39*(25/100)</f>
        <v/>
      </c>
      <c r="D39" s="26">
        <f>C39+B39</f>
        <v/>
      </c>
      <c r="E39" s="26" t="n">
        <v>0.97</v>
      </c>
      <c r="F39" s="26" t="n"/>
      <c r="G39" s="26" t="n"/>
      <c r="H39" s="26" t="n"/>
      <c r="I39" s="26" t="n"/>
      <c r="J39" s="26" t="n"/>
      <c r="K39" s="26" t="n"/>
      <c r="L39" s="174">
        <f>E39*Prices!B$2</f>
        <v/>
      </c>
      <c r="M39" s="174">
        <f>F39*Prices!C$2</f>
        <v/>
      </c>
      <c r="N39" s="174">
        <f>G39*Prices!D$2</f>
        <v/>
      </c>
      <c r="O39" s="174">
        <f>H39*Prices!E$2</f>
        <v/>
      </c>
      <c r="P39" s="174">
        <f>I39*2000+J39*10000+K39*1800</f>
        <v/>
      </c>
      <c r="Q39" s="174">
        <f>D39*Prices!A$2</f>
        <v/>
      </c>
      <c r="R39" s="175">
        <f>L39+M39+N39+O39</f>
        <v/>
      </c>
      <c r="S39" s="174">
        <f>R39+Q39+P39</f>
        <v/>
      </c>
      <c r="T39" s="26" t="n">
        <v>38</v>
      </c>
      <c r="U39" s="26" t="inlineStr">
        <is>
          <t>Sold</t>
        </is>
      </c>
      <c r="V39" s="93" t="n"/>
      <c r="W39" s="93" t="n"/>
      <c r="X39" s="93" t="n"/>
      <c r="Y39" s="93" t="n"/>
      <c r="Z39" s="93" t="n"/>
    </row>
    <row r="40">
      <c r="A40" s="26" t="n">
        <v>39</v>
      </c>
      <c r="B40" s="26" t="n">
        <v>4.09</v>
      </c>
      <c r="C40" s="26">
        <f>B40*(25/100)</f>
        <v/>
      </c>
      <c r="D40" s="26">
        <f>C40+B40</f>
        <v/>
      </c>
      <c r="E40" s="26" t="n">
        <v>0.7</v>
      </c>
      <c r="F40" s="26" t="n"/>
      <c r="G40" s="26" t="n"/>
      <c r="H40" s="26" t="n"/>
      <c r="I40" s="26" t="n"/>
      <c r="J40" s="26" t="n"/>
      <c r="K40" s="26" t="n"/>
      <c r="L40" s="174">
        <f>E40*Prices!B$2</f>
        <v/>
      </c>
      <c r="M40" s="174">
        <f>F40*Prices!C$2</f>
        <v/>
      </c>
      <c r="N40" s="174">
        <f>G40*Prices!D$2</f>
        <v/>
      </c>
      <c r="O40" s="174">
        <f>H40*Prices!E$2</f>
        <v/>
      </c>
      <c r="P40" s="174">
        <f>I40*2000+J40*10000+K40*1800</f>
        <v/>
      </c>
      <c r="Q40" s="174">
        <f>D40*Prices!A$2</f>
        <v/>
      </c>
      <c r="R40" s="175">
        <f>L40+M40+N40+O40</f>
        <v/>
      </c>
      <c r="S40" s="174">
        <f>R40+Q40+P40</f>
        <v/>
      </c>
      <c r="T40" s="26" t="n">
        <v>39</v>
      </c>
      <c r="U40" s="26" t="inlineStr">
        <is>
          <t>Sold</t>
        </is>
      </c>
      <c r="V40" s="93" t="n"/>
      <c r="W40" s="93" t="n"/>
      <c r="X40" s="93" t="n"/>
      <c r="Y40" s="93" t="n"/>
      <c r="Z40" s="93" t="n"/>
    </row>
    <row r="41">
      <c r="A41" s="26" t="n">
        <v>40</v>
      </c>
      <c r="B41" s="26" t="n">
        <v>4.632</v>
      </c>
      <c r="C41" s="26">
        <f>B41*(25/100)</f>
        <v/>
      </c>
      <c r="D41" s="26">
        <f>C41+B41</f>
        <v/>
      </c>
      <c r="E41" s="26" t="n">
        <v>1.48</v>
      </c>
      <c r="F41" s="26" t="n"/>
      <c r="G41" s="26" t="n">
        <v>0.31</v>
      </c>
      <c r="H41" s="26" t="n"/>
      <c r="I41" s="26" t="n"/>
      <c r="J41" s="26" t="n"/>
      <c r="K41" s="26" t="n"/>
      <c r="L41" s="174">
        <f>E41*Prices!B$2</f>
        <v/>
      </c>
      <c r="M41" s="174">
        <f>F41*Prices!C$2</f>
        <v/>
      </c>
      <c r="N41" s="174">
        <f>G41*Prices!D$2</f>
        <v/>
      </c>
      <c r="O41" s="174">
        <f>H41*Prices!E$2</f>
        <v/>
      </c>
      <c r="P41" s="174">
        <f>I41*2000+J41*10000+K41*1800</f>
        <v/>
      </c>
      <c r="Q41" s="174">
        <f>D41*Prices!A$2</f>
        <v/>
      </c>
      <c r="R41" s="175">
        <f>L41+M41+N41+O41</f>
        <v/>
      </c>
      <c r="S41" s="174">
        <f>R41+Q41+P41</f>
        <v/>
      </c>
      <c r="T41" s="26" t="n">
        <v>40</v>
      </c>
      <c r="U41" s="26" t="inlineStr">
        <is>
          <t>Sold</t>
        </is>
      </c>
      <c r="V41" s="93" t="n"/>
      <c r="W41" s="93" t="n"/>
      <c r="X41" s="93" t="n"/>
      <c r="Y41" s="93" t="n"/>
      <c r="Z41" s="93" t="n"/>
    </row>
    <row r="42">
      <c r="A42" s="26" t="n">
        <v>41</v>
      </c>
      <c r="B42" s="26" t="n">
        <v>3.588</v>
      </c>
      <c r="C42" s="26">
        <f>B42*(25/100)</f>
        <v/>
      </c>
      <c r="D42" s="26">
        <f>C42+B42</f>
        <v/>
      </c>
      <c r="E42" s="26">
        <f>0.66+0.2</f>
        <v/>
      </c>
      <c r="F42" s="26" t="n"/>
      <c r="G42" s="26" t="n"/>
      <c r="H42" s="26" t="n"/>
      <c r="I42" s="26" t="n"/>
      <c r="J42" s="26" t="n"/>
      <c r="K42" s="26" t="n"/>
      <c r="L42" s="174">
        <f>E42*Prices!B$2</f>
        <v/>
      </c>
      <c r="M42" s="174">
        <f>F42*Prices!C$2</f>
        <v/>
      </c>
      <c r="N42" s="174">
        <f>G42*Prices!D$2</f>
        <v/>
      </c>
      <c r="O42" s="174">
        <f>H42*Prices!E$2</f>
        <v/>
      </c>
      <c r="P42" s="174">
        <f>I42*2000+J42*10000+K42*1800</f>
        <v/>
      </c>
      <c r="Q42" s="174">
        <f>D42*Prices!A$2</f>
        <v/>
      </c>
      <c r="R42" s="175">
        <f>L42+M42+N42+O42</f>
        <v/>
      </c>
      <c r="S42" s="174">
        <f>R42+Q42+P42</f>
        <v/>
      </c>
      <c r="T42" s="26" t="n">
        <v>41</v>
      </c>
      <c r="U42" s="26" t="inlineStr">
        <is>
          <t>Sold</t>
        </is>
      </c>
      <c r="V42" s="93" t="n"/>
      <c r="W42" s="93" t="n"/>
      <c r="X42" s="93" t="n"/>
      <c r="Y42" s="93" t="n"/>
      <c r="Z42" s="93" t="n"/>
    </row>
    <row r="43">
      <c r="A43" s="26" t="n">
        <v>42</v>
      </c>
      <c r="B43" s="26" t="n">
        <v>6.412</v>
      </c>
      <c r="C43" s="26">
        <f>B43*(25/100)</f>
        <v/>
      </c>
      <c r="D43" s="26">
        <f>C43+B43</f>
        <v/>
      </c>
      <c r="E43" s="26">
        <f>0.86+0.38</f>
        <v/>
      </c>
      <c r="F43" s="26" t="n"/>
      <c r="G43" s="26" t="n"/>
      <c r="H43" s="26" t="n"/>
      <c r="I43" s="26" t="n"/>
      <c r="J43" s="26" t="n"/>
      <c r="K43" s="26" t="n"/>
      <c r="L43" s="174">
        <f>E43*Prices!B$2</f>
        <v/>
      </c>
      <c r="M43" s="174">
        <f>F43*Prices!C$2</f>
        <v/>
      </c>
      <c r="N43" s="174">
        <f>G43*Prices!D$2</f>
        <v/>
      </c>
      <c r="O43" s="174">
        <f>H43*Prices!E$2</f>
        <v/>
      </c>
      <c r="P43" s="174">
        <f>I43*2000+J43*10000+K43*1800</f>
        <v/>
      </c>
      <c r="Q43" s="174">
        <f>D43*Prices!A$2</f>
        <v/>
      </c>
      <c r="R43" s="175">
        <f>L43+M43+N43+O43</f>
        <v/>
      </c>
      <c r="S43" s="174">
        <f>R43+Q43+P43</f>
        <v/>
      </c>
      <c r="T43" s="26" t="n">
        <v>42</v>
      </c>
      <c r="U43" s="26" t="inlineStr">
        <is>
          <t>Available</t>
        </is>
      </c>
      <c r="V43" s="93" t="inlineStr">
        <is>
          <t>A</t>
        </is>
      </c>
      <c r="W43" s="93" t="n"/>
      <c r="X43" s="93" t="n"/>
      <c r="Y43" s="93" t="n"/>
      <c r="Z43" s="93" t="n"/>
    </row>
    <row r="44">
      <c r="A44" s="26" t="n">
        <v>43</v>
      </c>
      <c r="B44" s="26" t="n">
        <v>1.942</v>
      </c>
      <c r="C44" s="26">
        <f>B44*(25/100)</f>
        <v/>
      </c>
      <c r="D44" s="26">
        <f>C44+B44</f>
        <v/>
      </c>
      <c r="E44" s="26" t="n">
        <v>0.24</v>
      </c>
      <c r="F44" s="26" t="n"/>
      <c r="G44" s="26" t="n"/>
      <c r="H44" s="26" t="n"/>
      <c r="I44" s="26" t="n"/>
      <c r="J44" s="26" t="n"/>
      <c r="K44" s="26" t="n"/>
      <c r="L44" s="174">
        <f>E44*Prices!B$2</f>
        <v/>
      </c>
      <c r="M44" s="174">
        <f>F44*Prices!C$2</f>
        <v/>
      </c>
      <c r="N44" s="174">
        <f>G44*Prices!D$2</f>
        <v/>
      </c>
      <c r="O44" s="174">
        <f>H44*Prices!E$2</f>
        <v/>
      </c>
      <c r="P44" s="174">
        <f>I44*2000+J44*10000+K44*1800</f>
        <v/>
      </c>
      <c r="Q44" s="174">
        <f>D44*Prices!A$2</f>
        <v/>
      </c>
      <c r="R44" s="175">
        <f>L44+M44+N44+O44</f>
        <v/>
      </c>
      <c r="S44" s="174">
        <f>R44+Q44+P44</f>
        <v/>
      </c>
      <c r="T44" s="26" t="n">
        <v>43</v>
      </c>
      <c r="U44" s="26" t="inlineStr">
        <is>
          <t>Sold</t>
        </is>
      </c>
      <c r="V44" s="93" t="n"/>
      <c r="W44" s="93" t="n"/>
      <c r="X44" s="93" t="n"/>
      <c r="Y44" s="93" t="n"/>
      <c r="Z44" s="93" t="n"/>
    </row>
    <row r="45">
      <c r="A45" s="26" t="n">
        <v>44</v>
      </c>
      <c r="B45" s="26" t="n">
        <v>1.96</v>
      </c>
      <c r="C45" s="26">
        <f>B45*(25/100)</f>
        <v/>
      </c>
      <c r="D45" s="26">
        <f>C45+B45</f>
        <v/>
      </c>
      <c r="E45" s="26" t="n"/>
      <c r="F45" s="26" t="n">
        <v>0.93</v>
      </c>
      <c r="G45" s="26" t="n"/>
      <c r="H45" s="26" t="n"/>
      <c r="I45" s="26" t="n"/>
      <c r="J45" s="26" t="n"/>
      <c r="K45" s="26" t="n"/>
      <c r="L45" s="174">
        <f>E45*Prices!B$2</f>
        <v/>
      </c>
      <c r="M45" s="174">
        <f>F45*Prices!C$2</f>
        <v/>
      </c>
      <c r="N45" s="174">
        <f>G45*Prices!D$2</f>
        <v/>
      </c>
      <c r="O45" s="174">
        <f>H45*Prices!E$2</f>
        <v/>
      </c>
      <c r="P45" s="174">
        <f>I45*2000+J45*10000+K45*1800</f>
        <v/>
      </c>
      <c r="Q45" s="174">
        <f>D45*Prices!A$2</f>
        <v/>
      </c>
      <c r="R45" s="175">
        <f>L45+M45+N45+O45</f>
        <v/>
      </c>
      <c r="S45" s="174">
        <f>R45+Q45+P45</f>
        <v/>
      </c>
      <c r="T45" s="26" t="n">
        <v>44</v>
      </c>
      <c r="U45" s="26" t="inlineStr">
        <is>
          <t>Sold</t>
        </is>
      </c>
      <c r="V45" s="93" t="n"/>
      <c r="W45" s="93" t="n"/>
      <c r="X45" s="93" t="n"/>
      <c r="Y45" s="93" t="n"/>
      <c r="Z45" s="93" t="n"/>
    </row>
    <row r="46">
      <c r="A46" s="26" t="n">
        <v>45</v>
      </c>
      <c r="B46" s="26" t="n">
        <v>1.348</v>
      </c>
      <c r="C46" s="26">
        <f>B46*(25/100)</f>
        <v/>
      </c>
      <c r="D46" s="26">
        <f>C46+B46</f>
        <v/>
      </c>
      <c r="E46" s="26" t="n">
        <v>0.26</v>
      </c>
      <c r="F46" s="26" t="n"/>
      <c r="G46" s="26" t="n"/>
      <c r="H46" s="26" t="n"/>
      <c r="I46" s="26" t="n"/>
      <c r="J46" s="26" t="n"/>
      <c r="K46" s="26" t="n"/>
      <c r="L46" s="174">
        <f>E46*Prices!B$2</f>
        <v/>
      </c>
      <c r="M46" s="174">
        <f>F46*Prices!C$2</f>
        <v/>
      </c>
      <c r="N46" s="174">
        <f>G46*Prices!D$2</f>
        <v/>
      </c>
      <c r="O46" s="174">
        <f>H46*Prices!E$2</f>
        <v/>
      </c>
      <c r="P46" s="174">
        <f>I46*2000+J46*10000+K46*1800</f>
        <v/>
      </c>
      <c r="Q46" s="174">
        <f>D46*Prices!A$2</f>
        <v/>
      </c>
      <c r="R46" s="175">
        <f>L46+M46+N46+O46</f>
        <v/>
      </c>
      <c r="S46" s="174">
        <f>R46+Q46+P46</f>
        <v/>
      </c>
      <c r="T46" s="26" t="n">
        <v>45</v>
      </c>
      <c r="U46" s="26" t="inlineStr">
        <is>
          <t>Sold</t>
        </is>
      </c>
      <c r="V46" s="93" t="n"/>
      <c r="W46" s="93" t="n"/>
      <c r="X46" s="93" t="n"/>
      <c r="Y46" s="93" t="n"/>
      <c r="Z46" s="93" t="n"/>
    </row>
    <row r="47">
      <c r="A47" s="26" t="n">
        <v>46</v>
      </c>
      <c r="B47" s="26" t="n">
        <v>1.702</v>
      </c>
      <c r="C47" s="26">
        <f>B47*(25/100)</f>
        <v/>
      </c>
      <c r="D47" s="26">
        <f>C47+B47</f>
        <v/>
      </c>
      <c r="E47" s="26" t="n">
        <v>0.34</v>
      </c>
      <c r="F47" s="26" t="n"/>
      <c r="G47" s="26" t="n"/>
      <c r="H47" s="26" t="n"/>
      <c r="I47" s="26" t="n"/>
      <c r="J47" s="26" t="n"/>
      <c r="K47" s="26" t="n"/>
      <c r="L47" s="174">
        <f>E47*Prices!B$2</f>
        <v/>
      </c>
      <c r="M47" s="174">
        <f>F47*Prices!C$2</f>
        <v/>
      </c>
      <c r="N47" s="174">
        <f>G47*Prices!D$2</f>
        <v/>
      </c>
      <c r="O47" s="174">
        <f>H47*Prices!E$2</f>
        <v/>
      </c>
      <c r="P47" s="174">
        <f>I47*2000+J47*10000+K47*1800</f>
        <v/>
      </c>
      <c r="Q47" s="174">
        <f>D47*Prices!A$2</f>
        <v/>
      </c>
      <c r="R47" s="175">
        <f>L47+M47+N47+O47</f>
        <v/>
      </c>
      <c r="S47" s="174">
        <f>R47+Q47+P47</f>
        <v/>
      </c>
      <c r="T47" s="26" t="n">
        <v>46</v>
      </c>
      <c r="U47" s="26" t="inlineStr">
        <is>
          <t>Sold</t>
        </is>
      </c>
      <c r="V47" s="93" t="n"/>
      <c r="W47" s="93" t="n"/>
      <c r="X47" s="93" t="n"/>
      <c r="Y47" s="93" t="n"/>
      <c r="Z47" s="93" t="n"/>
    </row>
    <row r="48">
      <c r="A48" s="26" t="n">
        <v>47</v>
      </c>
      <c r="B48" s="26" t="n">
        <v>2.8</v>
      </c>
      <c r="C48" s="26">
        <f>B48*(25/100)</f>
        <v/>
      </c>
      <c r="D48" s="26">
        <f>C48+B48</f>
        <v/>
      </c>
      <c r="E48" s="26" t="n">
        <v>0.55</v>
      </c>
      <c r="F48" s="26" t="n">
        <v>0.15</v>
      </c>
      <c r="G48" s="26" t="n"/>
      <c r="H48" s="26" t="n"/>
      <c r="I48" s="26" t="n"/>
      <c r="J48" s="26" t="n"/>
      <c r="K48" s="26" t="n"/>
      <c r="L48" s="174">
        <f>E48*Prices!B$2</f>
        <v/>
      </c>
      <c r="M48" s="174">
        <f>F48*Prices!C$2</f>
        <v/>
      </c>
      <c r="N48" s="174">
        <f>G48*Prices!D$2</f>
        <v/>
      </c>
      <c r="O48" s="174">
        <f>H48*Prices!E$2</f>
        <v/>
      </c>
      <c r="P48" s="174">
        <f>I48*2000+J48*10000+K48*1800</f>
        <v/>
      </c>
      <c r="Q48" s="174">
        <f>D48*Prices!A$2</f>
        <v/>
      </c>
      <c r="R48" s="175">
        <f>L48+M48+N48+O48</f>
        <v/>
      </c>
      <c r="S48" s="174">
        <f>R48+Q48+P48</f>
        <v/>
      </c>
      <c r="T48" s="26" t="n">
        <v>47</v>
      </c>
      <c r="U48" s="26" t="inlineStr">
        <is>
          <t>Sold</t>
        </is>
      </c>
      <c r="V48" s="93" t="n"/>
      <c r="W48" s="93" t="n"/>
      <c r="X48" s="93" t="n"/>
      <c r="Y48" s="93" t="n"/>
      <c r="Z48" s="93" t="n"/>
    </row>
    <row r="49">
      <c r="A49" s="26" t="n">
        <v>48</v>
      </c>
      <c r="B49" s="26" t="n">
        <v>2.288</v>
      </c>
      <c r="C49" s="26">
        <f>B49*(25/100)</f>
        <v/>
      </c>
      <c r="D49" s="26">
        <f>C49+B49</f>
        <v/>
      </c>
      <c r="E49" s="26" t="n">
        <v>0.31</v>
      </c>
      <c r="F49" s="26" t="n"/>
      <c r="G49" s="26" t="n"/>
      <c r="H49" s="26" t="n"/>
      <c r="I49" s="26" t="n"/>
      <c r="J49" s="26" t="n"/>
      <c r="K49" s="26" t="n"/>
      <c r="L49" s="174">
        <f>E49*Prices!B$2</f>
        <v/>
      </c>
      <c r="M49" s="174">
        <f>F49*Prices!C$2</f>
        <v/>
      </c>
      <c r="N49" s="174">
        <f>G49*Prices!D$2</f>
        <v/>
      </c>
      <c r="O49" s="174">
        <f>H49*Prices!E$2</f>
        <v/>
      </c>
      <c r="P49" s="174">
        <f>I49*2000+J49*10000+K49*1800</f>
        <v/>
      </c>
      <c r="Q49" s="174">
        <f>D49*Prices!A$2</f>
        <v/>
      </c>
      <c r="R49" s="175">
        <f>L49+M49+N49+O49</f>
        <v/>
      </c>
      <c r="S49" s="174">
        <f>R49+Q49+P49</f>
        <v/>
      </c>
      <c r="T49" s="26" t="n">
        <v>48</v>
      </c>
      <c r="U49" s="26" t="inlineStr">
        <is>
          <t>Sold</t>
        </is>
      </c>
      <c r="V49" s="93" t="n"/>
      <c r="W49" s="93" t="n"/>
      <c r="X49" s="93" t="n"/>
      <c r="Y49" s="93" t="n"/>
      <c r="Z49" s="93" t="n"/>
    </row>
    <row r="50">
      <c r="A50" s="26" t="n">
        <v>49</v>
      </c>
      <c r="B50" s="26" t="n">
        <v>1.386</v>
      </c>
      <c r="C50" s="26">
        <f>B50*(25/100)</f>
        <v/>
      </c>
      <c r="D50" s="26">
        <f>C50+B50</f>
        <v/>
      </c>
      <c r="E50" s="26" t="n">
        <v>0.22</v>
      </c>
      <c r="F50" s="26" t="n"/>
      <c r="G50" s="26" t="n"/>
      <c r="H50" s="26" t="n"/>
      <c r="I50" s="26" t="n"/>
      <c r="J50" s="26" t="n"/>
      <c r="K50" s="26" t="n"/>
      <c r="L50" s="174">
        <f>E50*Prices!B$2</f>
        <v/>
      </c>
      <c r="M50" s="174">
        <f>F50*Prices!C$2</f>
        <v/>
      </c>
      <c r="N50" s="174">
        <f>G50*Prices!D$2</f>
        <v/>
      </c>
      <c r="O50" s="174">
        <f>H50*Prices!E$2</f>
        <v/>
      </c>
      <c r="P50" s="174">
        <f>I50*2000+J50*10000+K50*1800</f>
        <v/>
      </c>
      <c r="Q50" s="174">
        <f>D50*Prices!A$2</f>
        <v/>
      </c>
      <c r="R50" s="175">
        <f>L50+M50+N50+O50</f>
        <v/>
      </c>
      <c r="S50" s="174">
        <f>R50+Q50+P50</f>
        <v/>
      </c>
      <c r="T50" s="26" t="n">
        <v>49</v>
      </c>
      <c r="U50" s="26" t="inlineStr">
        <is>
          <t>Sold</t>
        </is>
      </c>
      <c r="V50" s="93" t="n"/>
      <c r="W50" s="93" t="n"/>
      <c r="X50" s="93" t="n"/>
      <c r="Y50" s="93" t="n"/>
      <c r="Z50" s="93" t="n"/>
    </row>
    <row r="51">
      <c r="A51" s="26" t="n">
        <v>50</v>
      </c>
      <c r="B51" s="26" t="n">
        <v>2.646</v>
      </c>
      <c r="C51" s="26">
        <f>B51*(25/100)</f>
        <v/>
      </c>
      <c r="D51" s="26">
        <f>C51+B51</f>
        <v/>
      </c>
      <c r="E51" s="26" t="n">
        <v>0.22</v>
      </c>
      <c r="F51" s="26" t="n"/>
      <c r="G51" s="26" t="n"/>
      <c r="H51" s="26" t="n"/>
      <c r="I51" s="26" t="n"/>
      <c r="J51" s="26" t="n"/>
      <c r="K51" s="26" t="n"/>
      <c r="L51" s="174">
        <f>E51*Prices!B$2</f>
        <v/>
      </c>
      <c r="M51" s="174">
        <f>F51*Prices!C$2</f>
        <v/>
      </c>
      <c r="N51" s="174">
        <f>G51*Prices!D$2</f>
        <v/>
      </c>
      <c r="O51" s="174">
        <f>H51*Prices!E$2</f>
        <v/>
      </c>
      <c r="P51" s="174">
        <f>I51*2000+J51*10000+K51*1800</f>
        <v/>
      </c>
      <c r="Q51" s="174">
        <f>D51*Prices!A$2</f>
        <v/>
      </c>
      <c r="R51" s="175">
        <f>L51+M51+N51+O51</f>
        <v/>
      </c>
      <c r="S51" s="174">
        <f>R51+Q51+P51</f>
        <v/>
      </c>
      <c r="T51" s="26" t="n">
        <v>50</v>
      </c>
      <c r="U51" s="26" t="inlineStr">
        <is>
          <t>sold</t>
        </is>
      </c>
      <c r="V51" s="93" t="n"/>
      <c r="W51" s="93" t="n"/>
      <c r="X51" s="93" t="n"/>
      <c r="Y51" s="93" t="n"/>
      <c r="Z51" s="93" t="n"/>
    </row>
    <row r="52">
      <c r="A52" s="26" t="n">
        <v>51</v>
      </c>
      <c r="B52" s="26" t="n">
        <v>3.486</v>
      </c>
      <c r="C52" s="26">
        <f>B52*(25/100)</f>
        <v/>
      </c>
      <c r="D52" s="26">
        <f>C52+B52</f>
        <v/>
      </c>
      <c r="E52" s="26" t="n">
        <v>0.67</v>
      </c>
      <c r="F52" s="26" t="n"/>
      <c r="G52" s="26" t="n"/>
      <c r="H52" s="26" t="n"/>
      <c r="I52" s="26" t="n"/>
      <c r="J52" s="26" t="n"/>
      <c r="K52" s="26" t="n"/>
      <c r="L52" s="174">
        <f>E52*Prices!B$2</f>
        <v/>
      </c>
      <c r="M52" s="174">
        <f>F52*Prices!C$2</f>
        <v/>
      </c>
      <c r="N52" s="174">
        <f>G52*Prices!D$2</f>
        <v/>
      </c>
      <c r="O52" s="174">
        <f>H52*Prices!E$2</f>
        <v/>
      </c>
      <c r="P52" s="174">
        <f>I52*2000+J52*10000+K52*1800</f>
        <v/>
      </c>
      <c r="Q52" s="174">
        <f>D52*Prices!A$2</f>
        <v/>
      </c>
      <c r="R52" s="175">
        <f>L52+M52+N52+O52</f>
        <v/>
      </c>
      <c r="S52" s="174">
        <f>R52+Q52+P52</f>
        <v/>
      </c>
      <c r="T52" s="26" t="n">
        <v>51</v>
      </c>
      <c r="U52" s="26" t="inlineStr">
        <is>
          <t>Available</t>
        </is>
      </c>
      <c r="V52" s="93" t="inlineStr">
        <is>
          <t>A</t>
        </is>
      </c>
      <c r="W52" s="93" t="n"/>
      <c r="X52" s="93" t="n"/>
      <c r="Y52" s="93" t="n"/>
      <c r="Z52" s="93" t="n"/>
    </row>
    <row r="53">
      <c r="A53" s="26" t="n">
        <v>52</v>
      </c>
      <c r="B53" s="26" t="n">
        <v>5.48</v>
      </c>
      <c r="C53" s="26">
        <f>B53*(25/100)</f>
        <v/>
      </c>
      <c r="D53" s="26">
        <f>C53+B53</f>
        <v/>
      </c>
      <c r="E53" s="26">
        <f>1.06+0.42</f>
        <v/>
      </c>
      <c r="F53" s="26" t="n"/>
      <c r="G53" s="26" t="n"/>
      <c r="H53" s="26" t="n"/>
      <c r="I53" s="26" t="n"/>
      <c r="J53" s="26" t="n"/>
      <c r="K53" s="26" t="n"/>
      <c r="L53" s="174">
        <f>E53*Prices!B$2</f>
        <v/>
      </c>
      <c r="M53" s="174">
        <f>F53*Prices!C$2</f>
        <v/>
      </c>
      <c r="N53" s="174">
        <f>G53*Prices!D$2</f>
        <v/>
      </c>
      <c r="O53" s="174">
        <f>H53*Prices!E$2</f>
        <v/>
      </c>
      <c r="P53" s="174">
        <f>I53*2000+J53*10000+K53*1800</f>
        <v/>
      </c>
      <c r="Q53" s="174">
        <f>D53*Prices!A$2</f>
        <v/>
      </c>
      <c r="R53" s="175">
        <f>L53+M53+N53+O53</f>
        <v/>
      </c>
      <c r="S53" s="174">
        <f>R53+Q53+P53</f>
        <v/>
      </c>
      <c r="T53" s="26" t="n">
        <v>52</v>
      </c>
      <c r="U53" s="26" t="inlineStr">
        <is>
          <t>Available</t>
        </is>
      </c>
      <c r="V53" s="93" t="inlineStr">
        <is>
          <t>A</t>
        </is>
      </c>
      <c r="W53" s="93" t="n"/>
      <c r="X53" s="93" t="n"/>
      <c r="Y53" s="93" t="n"/>
      <c r="Z53" s="93" t="n"/>
    </row>
    <row r="54">
      <c r="A54" s="196" t="n">
        <v>53</v>
      </c>
      <c r="B54" s="196" t="n">
        <v>5.66</v>
      </c>
      <c r="C54" s="196">
        <f>B54*(25/100)</f>
        <v/>
      </c>
      <c r="D54" s="196">
        <f>C54+B54</f>
        <v/>
      </c>
      <c r="E54" s="196">
        <f>0.4+0.42</f>
        <v/>
      </c>
      <c r="F54" s="196" t="n"/>
      <c r="G54" s="196" t="n"/>
      <c r="H54" s="196" t="n"/>
      <c r="I54" s="196" t="n"/>
      <c r="J54" s="196" t="n"/>
      <c r="K54" s="196" t="n">
        <v>4.38</v>
      </c>
      <c r="L54" s="174">
        <f>E54*Prices!B$2</f>
        <v/>
      </c>
      <c r="M54" s="174">
        <f>F54*Prices!C$2</f>
        <v/>
      </c>
      <c r="N54" s="174">
        <f>G54*Prices!D$2</f>
        <v/>
      </c>
      <c r="O54" s="174">
        <f>H54*Prices!E$2</f>
        <v/>
      </c>
      <c r="P54" s="174">
        <f>I54*2000+J54*10000+K54*1800</f>
        <v/>
      </c>
      <c r="Q54" s="174">
        <f>D54*Prices!A$2</f>
        <v/>
      </c>
      <c r="R54" s="198">
        <f>L54+M54+N54+O54</f>
        <v/>
      </c>
      <c r="S54" s="197">
        <f>R54+Q54+P54</f>
        <v/>
      </c>
      <c r="T54" s="196" t="n">
        <v>53</v>
      </c>
      <c r="U54" s="26" t="inlineStr">
        <is>
          <t>Return</t>
        </is>
      </c>
      <c r="V54" s="93" t="n"/>
      <c r="W54" s="93" t="n"/>
      <c r="X54" s="93" t="n"/>
      <c r="Y54" s="93" t="n"/>
      <c r="Z54" s="93" t="n"/>
    </row>
    <row r="55">
      <c r="A55" s="26" t="n">
        <v>54</v>
      </c>
      <c r="B55" s="26" t="n">
        <v>8.606</v>
      </c>
      <c r="C55" s="26">
        <f>B55*(25/100)</f>
        <v/>
      </c>
      <c r="D55" s="26">
        <f>C55+B55</f>
        <v/>
      </c>
      <c r="E55" s="26" t="n">
        <v>1.34</v>
      </c>
      <c r="F55" s="26" t="n"/>
      <c r="G55" s="26" t="n"/>
      <c r="H55" s="26" t="n"/>
      <c r="I55" s="26" t="n"/>
      <c r="J55" s="26" t="n"/>
      <c r="K55" s="26" t="n">
        <v>0.38</v>
      </c>
      <c r="L55" s="174">
        <f>E55*Prices!B$2</f>
        <v/>
      </c>
      <c r="M55" s="174">
        <f>F55*Prices!C$2</f>
        <v/>
      </c>
      <c r="N55" s="174">
        <f>G55*Prices!D$2</f>
        <v/>
      </c>
      <c r="O55" s="174">
        <f>H55*Prices!E$2</f>
        <v/>
      </c>
      <c r="P55" s="174">
        <f>I55*2000+J55*10000+K55*1800</f>
        <v/>
      </c>
      <c r="Q55" s="174">
        <f>D55*Prices!A$2</f>
        <v/>
      </c>
      <c r="R55" s="175">
        <f>L55+M55+N55+O55</f>
        <v/>
      </c>
      <c r="S55" s="174">
        <f>R55+Q55+P55</f>
        <v/>
      </c>
      <c r="T55" s="26" t="n">
        <v>54</v>
      </c>
      <c r="U55" s="26" t="inlineStr">
        <is>
          <t>Available</t>
        </is>
      </c>
      <c r="V55" s="93" t="inlineStr">
        <is>
          <t>A</t>
        </is>
      </c>
      <c r="W55" s="93" t="n"/>
      <c r="X55" s="93" t="n"/>
      <c r="Y55" s="93" t="n"/>
      <c r="Z55" s="93" t="n"/>
    </row>
    <row r="56">
      <c r="A56" s="26" t="n">
        <v>55</v>
      </c>
      <c r="B56" s="26" t="n">
        <v>3.66</v>
      </c>
      <c r="C56" s="26">
        <f>B56*(25/100)</f>
        <v/>
      </c>
      <c r="D56" s="26">
        <f>C56+B56</f>
        <v/>
      </c>
      <c r="E56" s="26" t="n">
        <v>0.43</v>
      </c>
      <c r="F56" s="26" t="n"/>
      <c r="G56" s="26" t="n"/>
      <c r="H56" s="26" t="n"/>
      <c r="I56" s="26" t="n"/>
      <c r="J56" s="26" t="n"/>
      <c r="K56" s="26" t="n">
        <v>3.62</v>
      </c>
      <c r="L56" s="174">
        <f>E56*Prices!B$2</f>
        <v/>
      </c>
      <c r="M56" s="174">
        <f>F56*Prices!C$2</f>
        <v/>
      </c>
      <c r="N56" s="174">
        <f>G56*Prices!D$2</f>
        <v/>
      </c>
      <c r="O56" s="174">
        <f>H56*Prices!E$2</f>
        <v/>
      </c>
      <c r="P56" s="174">
        <f>I56*2000+J56*10000+K56*1800</f>
        <v/>
      </c>
      <c r="Q56" s="174">
        <f>D56*Prices!A$2</f>
        <v/>
      </c>
      <c r="R56" s="175">
        <f>L56+M56+N56+O56</f>
        <v/>
      </c>
      <c r="S56" s="174">
        <f>R56+Q56+P56</f>
        <v/>
      </c>
      <c r="T56" s="26" t="n">
        <v>55</v>
      </c>
      <c r="U56" s="26" t="inlineStr">
        <is>
          <t>Available</t>
        </is>
      </c>
      <c r="V56" s="93" t="inlineStr">
        <is>
          <t>A</t>
        </is>
      </c>
      <c r="W56" s="93" t="n"/>
      <c r="X56" s="93" t="n"/>
      <c r="Y56" s="93" t="n"/>
      <c r="Z56" s="93" t="n"/>
    </row>
    <row r="57">
      <c r="A57" s="26" t="n">
        <v>56</v>
      </c>
      <c r="B57" s="26" t="n">
        <v>7.382</v>
      </c>
      <c r="C57" s="26">
        <f>B57*(25/100)</f>
        <v/>
      </c>
      <c r="D57" s="26">
        <f>C57+B57</f>
        <v/>
      </c>
      <c r="E57" s="26" t="n">
        <v>1.26</v>
      </c>
      <c r="F57" s="26" t="n"/>
      <c r="G57" s="26" t="n"/>
      <c r="H57" s="26" t="n"/>
      <c r="I57" s="26" t="n"/>
      <c r="J57" s="26" t="n"/>
      <c r="K57" s="26" t="n"/>
      <c r="L57" s="174">
        <f>E57*Prices!B$2</f>
        <v/>
      </c>
      <c r="M57" s="174">
        <f>F57*Prices!C$2</f>
        <v/>
      </c>
      <c r="N57" s="174">
        <f>G57*Prices!D$2</f>
        <v/>
      </c>
      <c r="O57" s="174">
        <f>H57*Prices!E$2</f>
        <v/>
      </c>
      <c r="P57" s="174">
        <f>I57*2000+J57*10000+K57*1800</f>
        <v/>
      </c>
      <c r="Q57" s="174">
        <f>D57*Prices!A$2</f>
        <v/>
      </c>
      <c r="R57" s="175">
        <f>L57+M57+N57+O57</f>
        <v/>
      </c>
      <c r="S57" s="174">
        <f>R57+Q57+P57</f>
        <v/>
      </c>
      <c r="T57" s="26" t="n">
        <v>56</v>
      </c>
      <c r="U57" s="26" t="inlineStr">
        <is>
          <t>Sold</t>
        </is>
      </c>
      <c r="V57" s="93" t="n"/>
      <c r="W57" s="93" t="n"/>
      <c r="X57" s="93" t="n"/>
      <c r="Y57" s="93" t="n"/>
      <c r="Z57" s="93" t="n"/>
    </row>
    <row r="58">
      <c r="A58" s="26" t="n">
        <v>57</v>
      </c>
      <c r="B58" s="26" t="n">
        <v>6.514</v>
      </c>
      <c r="C58" s="26">
        <f>B58*(25/100)</f>
        <v/>
      </c>
      <c r="D58" s="26">
        <f>C58+B58</f>
        <v/>
      </c>
      <c r="E58" s="26" t="n">
        <v>1.33</v>
      </c>
      <c r="F58" s="26" t="n"/>
      <c r="G58" s="26" t="n"/>
      <c r="H58" s="26" t="n"/>
      <c r="I58" s="26" t="n"/>
      <c r="J58" s="26" t="n"/>
      <c r="K58" s="26" t="n">
        <v>6.95</v>
      </c>
      <c r="L58" s="174">
        <f>E58*Prices!B$2</f>
        <v/>
      </c>
      <c r="M58" s="174">
        <f>F58*Prices!C$2</f>
        <v/>
      </c>
      <c r="N58" s="174">
        <f>G58*Prices!D$2</f>
        <v/>
      </c>
      <c r="O58" s="174">
        <f>H58*Prices!E$2</f>
        <v/>
      </c>
      <c r="P58" s="174">
        <f>I58*2000+J58*10000+K58*6000</f>
        <v/>
      </c>
      <c r="Q58" s="174">
        <f>D58*Prices!A$2</f>
        <v/>
      </c>
      <c r="R58" s="175">
        <f>L58+M58+N58+O58</f>
        <v/>
      </c>
      <c r="S58" s="174">
        <f>R58+Q58+P58</f>
        <v/>
      </c>
      <c r="T58" s="26" t="n">
        <v>57</v>
      </c>
      <c r="U58" s="26" t="inlineStr">
        <is>
          <t>Available</t>
        </is>
      </c>
      <c r="V58" s="93" t="inlineStr">
        <is>
          <t>A</t>
        </is>
      </c>
      <c r="W58" s="93" t="n"/>
      <c r="X58" s="93" t="n"/>
      <c r="Y58" s="93" t="n"/>
      <c r="Z58" s="93" t="n"/>
    </row>
    <row r="59">
      <c r="A59" s="26" t="n">
        <v>58</v>
      </c>
      <c r="B59" s="26" t="n">
        <v>2.97</v>
      </c>
      <c r="C59" s="26">
        <f>B59*(25/100)</f>
        <v/>
      </c>
      <c r="D59" s="26">
        <f>C59+B59</f>
        <v/>
      </c>
      <c r="E59" s="26" t="n">
        <v>0.88</v>
      </c>
      <c r="F59" s="26" t="n"/>
      <c r="G59" s="26" t="n"/>
      <c r="H59" s="26" t="n"/>
      <c r="I59" s="26" t="n"/>
      <c r="J59" s="26" t="n">
        <v>0.8100000000000001</v>
      </c>
      <c r="K59" s="26" t="n"/>
      <c r="L59" s="174">
        <f>E59*Prices!B$2</f>
        <v/>
      </c>
      <c r="M59" s="174">
        <f>F59*Prices!C$2</f>
        <v/>
      </c>
      <c r="N59" s="174">
        <f>G59*Prices!D$2</f>
        <v/>
      </c>
      <c r="O59" s="174">
        <f>H59*Prices!E$2</f>
        <v/>
      </c>
      <c r="P59" s="174">
        <f>I59*2000+J59*10000+K59*1800</f>
        <v/>
      </c>
      <c r="Q59" s="174">
        <f>D59*Prices!A$2</f>
        <v/>
      </c>
      <c r="R59" s="175">
        <f>L59+M59+N59+O59</f>
        <v/>
      </c>
      <c r="S59" s="174">
        <f>R59+Q59+P59</f>
        <v/>
      </c>
      <c r="T59" s="26" t="n">
        <v>58</v>
      </c>
      <c r="U59" s="26" t="inlineStr">
        <is>
          <t>Sold</t>
        </is>
      </c>
      <c r="V59" s="93" t="n"/>
      <c r="W59" s="93" t="n"/>
      <c r="X59" s="93" t="n"/>
      <c r="Y59" s="93" t="n"/>
      <c r="Z59" s="93" t="n"/>
    </row>
    <row r="60">
      <c r="A60" s="26" t="n">
        <v>59</v>
      </c>
      <c r="B60" s="26" t="n">
        <v>3.974</v>
      </c>
      <c r="C60" s="26">
        <f>B60*(25/100)</f>
        <v/>
      </c>
      <c r="D60" s="26">
        <f>C60+B60</f>
        <v/>
      </c>
      <c r="E60" s="26" t="n">
        <v>0.46</v>
      </c>
      <c r="F60" s="26" t="n"/>
      <c r="G60" s="26" t="n"/>
      <c r="H60" s="26" t="n"/>
      <c r="I60" s="26" t="n"/>
      <c r="J60" s="26" t="n"/>
      <c r="K60" s="26" t="n"/>
      <c r="L60" s="174">
        <f>E60*Prices!B$2</f>
        <v/>
      </c>
      <c r="M60" s="174">
        <f>F60*Prices!C$2</f>
        <v/>
      </c>
      <c r="N60" s="174">
        <f>G60*Prices!D$2</f>
        <v/>
      </c>
      <c r="O60" s="174">
        <f>H60*Prices!E$2</f>
        <v/>
      </c>
      <c r="P60" s="174">
        <f>I60*2000+J60*10000+K60*1800</f>
        <v/>
      </c>
      <c r="Q60" s="174">
        <f>D60*Prices!A$2</f>
        <v/>
      </c>
      <c r="R60" s="175">
        <f>L60+M60+N60+O60</f>
        <v/>
      </c>
      <c r="S60" s="174">
        <f>R60+Q60+P60</f>
        <v/>
      </c>
      <c r="T60" s="26" t="n">
        <v>59</v>
      </c>
      <c r="U60" s="26" t="inlineStr">
        <is>
          <t>Sold</t>
        </is>
      </c>
      <c r="V60" s="93" t="n"/>
      <c r="W60" s="93" t="n"/>
      <c r="X60" s="93" t="n"/>
      <c r="Y60" s="93" t="n"/>
      <c r="Z60" s="93" t="n"/>
    </row>
    <row r="61">
      <c r="A61" s="26" t="n">
        <v>60</v>
      </c>
      <c r="B61" s="26" t="n">
        <v>13.774</v>
      </c>
      <c r="C61" s="26">
        <f>B61*(25/100)</f>
        <v/>
      </c>
      <c r="D61" s="26">
        <f>C61+B61</f>
        <v/>
      </c>
      <c r="E61" s="26" t="n">
        <v>2.33</v>
      </c>
      <c r="F61" s="26" t="n"/>
      <c r="G61" s="26" t="n"/>
      <c r="H61" s="26" t="n"/>
      <c r="I61" s="26" t="n">
        <v>5.85</v>
      </c>
      <c r="J61" s="26" t="n"/>
      <c r="K61" s="26" t="n"/>
      <c r="L61" s="174">
        <f>E61*Prices!B$2</f>
        <v/>
      </c>
      <c r="M61" s="174">
        <f>F61*Prices!C$2</f>
        <v/>
      </c>
      <c r="N61" s="174">
        <f>G61*Prices!D$2</f>
        <v/>
      </c>
      <c r="O61" s="174">
        <f>H61*Prices!E$2</f>
        <v/>
      </c>
      <c r="P61" s="174">
        <f>I61*2000+J61*10000+K61*1800</f>
        <v/>
      </c>
      <c r="Q61" s="174">
        <f>D61*Prices!A$2</f>
        <v/>
      </c>
      <c r="R61" s="175">
        <f>L61+M61+N61+O61</f>
        <v/>
      </c>
      <c r="S61" s="174">
        <f>R61+Q61+P61</f>
        <v/>
      </c>
      <c r="T61" s="26" t="n">
        <v>60</v>
      </c>
      <c r="U61" s="26" t="inlineStr">
        <is>
          <t>Available</t>
        </is>
      </c>
      <c r="V61" s="93" t="inlineStr">
        <is>
          <t>A</t>
        </is>
      </c>
      <c r="W61" s="93" t="n"/>
      <c r="X61" s="93" t="n"/>
      <c r="Y61" s="93" t="n"/>
      <c r="Z61" s="93" t="n"/>
    </row>
    <row r="62">
      <c r="A62" s="26" t="n">
        <v>61</v>
      </c>
      <c r="B62" s="26" t="n">
        <v>3.5</v>
      </c>
      <c r="C62" s="26">
        <f>B62*(25/100)</f>
        <v/>
      </c>
      <c r="D62" s="26">
        <f>C62+B62</f>
        <v/>
      </c>
      <c r="E62" s="26" t="n">
        <v>0.6</v>
      </c>
      <c r="F62" s="26" t="n"/>
      <c r="G62" s="26" t="n"/>
      <c r="H62" s="26" t="n"/>
      <c r="I62" s="26" t="n"/>
      <c r="J62" s="26" t="n"/>
      <c r="K62" s="26" t="n"/>
      <c r="L62" s="174">
        <f>E62*Prices!B$2</f>
        <v/>
      </c>
      <c r="M62" s="174">
        <f>F62*Prices!C$2</f>
        <v/>
      </c>
      <c r="N62" s="174">
        <f>G62*Prices!D$2</f>
        <v/>
      </c>
      <c r="O62" s="174">
        <f>H62*Prices!E$2</f>
        <v/>
      </c>
      <c r="P62" s="174">
        <f>I62*2000+J62*10000+K62*1800</f>
        <v/>
      </c>
      <c r="Q62" s="174">
        <f>D62*Prices!A$2</f>
        <v/>
      </c>
      <c r="R62" s="175">
        <f>L62+M62+N62+O62</f>
        <v/>
      </c>
      <c r="S62" s="174">
        <f>R62+Q62+P62</f>
        <v/>
      </c>
      <c r="T62" s="26" t="n">
        <v>61</v>
      </c>
      <c r="U62" s="26" t="inlineStr">
        <is>
          <t>Sold</t>
        </is>
      </c>
      <c r="V62" s="93" t="n"/>
      <c r="W62" s="93" t="n"/>
      <c r="X62" s="93" t="n"/>
      <c r="Y62" s="93" t="n"/>
      <c r="Z62" s="93" t="n"/>
    </row>
    <row r="63">
      <c r="A63" s="26" t="n">
        <v>62</v>
      </c>
      <c r="B63" s="26" t="n">
        <v>8.794</v>
      </c>
      <c r="C63" s="26">
        <f>B63*(25/100)</f>
        <v/>
      </c>
      <c r="D63" s="26">
        <f>C63+B63</f>
        <v/>
      </c>
      <c r="E63" s="26" t="n">
        <v>1.21</v>
      </c>
      <c r="F63" s="26" t="n"/>
      <c r="G63" s="26" t="n"/>
      <c r="H63" s="26" t="n"/>
      <c r="I63" s="26" t="n"/>
      <c r="J63" s="26" t="n"/>
      <c r="K63" s="26" t="n">
        <v>4.02</v>
      </c>
      <c r="L63" s="174">
        <f>E63*Prices!B$2</f>
        <v/>
      </c>
      <c r="M63" s="174">
        <f>F63*Prices!C$2</f>
        <v/>
      </c>
      <c r="N63" s="174">
        <f>G63*Prices!D$2</f>
        <v/>
      </c>
      <c r="O63" s="174">
        <f>H63*Prices!E$2</f>
        <v/>
      </c>
      <c r="P63" s="174">
        <f>I63*2000+J63*10000+K63*1800</f>
        <v/>
      </c>
      <c r="Q63" s="174">
        <f>D63*Prices!A$2</f>
        <v/>
      </c>
      <c r="R63" s="175">
        <f>L63+M63+N63+O63</f>
        <v/>
      </c>
      <c r="S63" s="174">
        <f>R63+Q63+P63</f>
        <v/>
      </c>
      <c r="T63" s="26" t="n">
        <v>62</v>
      </c>
      <c r="U63" s="26" t="inlineStr">
        <is>
          <t>Sold</t>
        </is>
      </c>
      <c r="V63" s="93" t="n"/>
      <c r="W63" s="93" t="n"/>
      <c r="X63" s="93" t="n"/>
      <c r="Y63" s="93" t="n"/>
      <c r="Z63" s="93" t="n"/>
    </row>
    <row r="64">
      <c r="A64" s="26" t="n">
        <v>63</v>
      </c>
      <c r="B64" s="26" t="n">
        <v>3.878</v>
      </c>
      <c r="C64" s="26">
        <f>B64*(25/100)</f>
        <v/>
      </c>
      <c r="D64" s="26">
        <f>C64+B64</f>
        <v/>
      </c>
      <c r="E64" s="26" t="n"/>
      <c r="F64" s="26" t="n">
        <v>0.51</v>
      </c>
      <c r="G64" s="26" t="n"/>
      <c r="H64" s="26" t="n"/>
      <c r="I64" s="26" t="n"/>
      <c r="J64" s="26" t="n"/>
      <c r="K64" s="26" t="n"/>
      <c r="L64" s="174">
        <f>E64*Prices!B$2</f>
        <v/>
      </c>
      <c r="M64" s="174">
        <f>F64*Prices!C$2</f>
        <v/>
      </c>
      <c r="N64" s="174">
        <f>G64*Prices!D$2</f>
        <v/>
      </c>
      <c r="O64" s="174">
        <f>H64*Prices!E$2</f>
        <v/>
      </c>
      <c r="P64" s="174">
        <f>I64*2000+J64*10000+K64*1800</f>
        <v/>
      </c>
      <c r="Q64" s="174">
        <f>D64*Prices!A$2</f>
        <v/>
      </c>
      <c r="R64" s="175">
        <f>L64+M64+N64+O64</f>
        <v/>
      </c>
      <c r="S64" s="174">
        <f>R64+Q64+P64</f>
        <v/>
      </c>
      <c r="T64" s="26" t="n">
        <v>63</v>
      </c>
      <c r="U64" s="26" t="inlineStr">
        <is>
          <t>Available</t>
        </is>
      </c>
      <c r="V64" s="93" t="inlineStr">
        <is>
          <t>A</t>
        </is>
      </c>
      <c r="W64" s="93" t="n"/>
      <c r="X64" s="93" t="n"/>
      <c r="Y64" s="93" t="n"/>
      <c r="Z64" s="93" t="n"/>
    </row>
    <row r="65">
      <c r="A65" s="26" t="n">
        <v>64</v>
      </c>
      <c r="B65" s="26" t="n">
        <v>4.696</v>
      </c>
      <c r="C65" s="26">
        <f>B65*(25/100)</f>
        <v/>
      </c>
      <c r="D65" s="26">
        <f>C65+B65</f>
        <v/>
      </c>
      <c r="E65" s="26" t="n">
        <v>0.82</v>
      </c>
      <c r="F65" s="26" t="n"/>
      <c r="G65" s="26" t="n"/>
      <c r="H65" s="26" t="n"/>
      <c r="I65" s="26" t="n"/>
      <c r="J65" s="26" t="n"/>
      <c r="K65" s="26" t="n"/>
      <c r="L65" s="174">
        <f>E65*Prices!B$2</f>
        <v/>
      </c>
      <c r="M65" s="174">
        <f>F65*Prices!C$2</f>
        <v/>
      </c>
      <c r="N65" s="174">
        <f>G65*Prices!D$2</f>
        <v/>
      </c>
      <c r="O65" s="174">
        <f>H65*Prices!E$2</f>
        <v/>
      </c>
      <c r="P65" s="174">
        <f>I65*2000+J65*10000+K65*1800</f>
        <v/>
      </c>
      <c r="Q65" s="174">
        <f>D65*Prices!A$2</f>
        <v/>
      </c>
      <c r="R65" s="175">
        <f>L65+M65+N65+O65</f>
        <v/>
      </c>
      <c r="S65" s="174">
        <f>R65+Q65+P65</f>
        <v/>
      </c>
      <c r="T65" s="26" t="n">
        <v>64</v>
      </c>
      <c r="U65" s="93" t="inlineStr">
        <is>
          <t>Sold</t>
        </is>
      </c>
      <c r="V65" s="93" t="n"/>
      <c r="W65" s="93" t="n"/>
      <c r="X65" s="93" t="n"/>
      <c r="Y65" s="93" t="n"/>
      <c r="Z65" s="93" t="n"/>
    </row>
    <row r="66">
      <c r="A66" s="26" t="n">
        <v>65</v>
      </c>
      <c r="B66" s="26" t="n">
        <v>2.984</v>
      </c>
      <c r="C66" s="26">
        <f>B66*(25/100)</f>
        <v/>
      </c>
      <c r="D66" s="26">
        <f>C66+B66</f>
        <v/>
      </c>
      <c r="E66" s="26" t="n"/>
      <c r="F66" s="26" t="n">
        <v>1.23</v>
      </c>
      <c r="G66" s="26" t="n"/>
      <c r="H66" s="26" t="n"/>
      <c r="I66" s="26" t="n"/>
      <c r="J66" s="26" t="n"/>
      <c r="K66" s="26" t="n"/>
      <c r="L66" s="174">
        <f>E66*Prices!B$2</f>
        <v/>
      </c>
      <c r="M66" s="174">
        <f>F66*Prices!C$2</f>
        <v/>
      </c>
      <c r="N66" s="174">
        <f>G66*Prices!D$2</f>
        <v/>
      </c>
      <c r="O66" s="174">
        <f>H66*Prices!E$2</f>
        <v/>
      </c>
      <c r="P66" s="174">
        <f>I66*2000+J66*10000+K66*1800</f>
        <v/>
      </c>
      <c r="Q66" s="174">
        <f>D66*Prices!A$2</f>
        <v/>
      </c>
      <c r="R66" s="175">
        <f>L66+M66+N66+O66</f>
        <v/>
      </c>
      <c r="S66" s="174">
        <f>R66+Q66+P66</f>
        <v/>
      </c>
      <c r="T66" s="26" t="n">
        <v>65</v>
      </c>
      <c r="U66" s="26" t="inlineStr">
        <is>
          <t>Available</t>
        </is>
      </c>
      <c r="V66" s="93" t="inlineStr">
        <is>
          <t>A</t>
        </is>
      </c>
      <c r="W66" s="93" t="n"/>
      <c r="X66" s="93" t="n"/>
      <c r="Y66" s="93" t="n"/>
      <c r="Z66" s="93" t="n"/>
    </row>
    <row r="67">
      <c r="A67" s="26" t="n">
        <v>66</v>
      </c>
      <c r="B67" s="26" t="n">
        <v>4.258</v>
      </c>
      <c r="C67" s="26">
        <f>B67*(25/100)</f>
        <v/>
      </c>
      <c r="D67" s="26">
        <f>C67+B67</f>
        <v/>
      </c>
      <c r="E67" s="26" t="n">
        <v>0.96</v>
      </c>
      <c r="F67" s="26" t="n"/>
      <c r="G67" s="26" t="n"/>
      <c r="H67" s="26" t="n"/>
      <c r="I67" s="26" t="n"/>
      <c r="J67" s="26" t="n"/>
      <c r="K67" s="26" t="n"/>
      <c r="L67" s="174">
        <f>E67*Prices!B$2</f>
        <v/>
      </c>
      <c r="M67" s="174">
        <f>F67*Prices!C$2</f>
        <v/>
      </c>
      <c r="N67" s="174">
        <f>G67*Prices!D$2</f>
        <v/>
      </c>
      <c r="O67" s="174">
        <f>H67*Prices!E$2</f>
        <v/>
      </c>
      <c r="P67" s="174">
        <f>I67*2000+J67*10000+K67*1800</f>
        <v/>
      </c>
      <c r="Q67" s="174">
        <f>D67*Prices!A$2</f>
        <v/>
      </c>
      <c r="R67" s="175">
        <f>L67+M67+N67+O67</f>
        <v/>
      </c>
      <c r="S67" s="174">
        <f>R67+Q67+P67</f>
        <v/>
      </c>
      <c r="T67" s="26" t="n">
        <v>66</v>
      </c>
      <c r="U67" s="26" t="inlineStr">
        <is>
          <t>Sold</t>
        </is>
      </c>
      <c r="V67" s="93" t="n"/>
      <c r="W67" s="93" t="n"/>
      <c r="X67" s="93" t="n"/>
      <c r="Y67" s="93" t="n"/>
      <c r="Z67" s="93" t="n"/>
    </row>
    <row r="68">
      <c r="A68" s="26" t="n">
        <v>67</v>
      </c>
      <c r="B68" s="26" t="n">
        <v>5.204</v>
      </c>
      <c r="C68" s="26">
        <f>B68*(25/100)</f>
        <v/>
      </c>
      <c r="D68" s="26">
        <f>C68+B68</f>
        <v/>
      </c>
      <c r="E68" s="26" t="n">
        <v>1.03</v>
      </c>
      <c r="F68" s="26" t="n"/>
      <c r="G68" s="26" t="n"/>
      <c r="H68" s="26" t="n"/>
      <c r="I68" s="26" t="n"/>
      <c r="J68" s="26" t="n"/>
      <c r="K68" s="26" t="n"/>
      <c r="L68" s="174">
        <f>E68*Prices!B$2</f>
        <v/>
      </c>
      <c r="M68" s="174">
        <f>F68*Prices!C$2</f>
        <v/>
      </c>
      <c r="N68" s="174">
        <f>G68*Prices!D$2</f>
        <v/>
      </c>
      <c r="O68" s="174">
        <f>H68*Prices!E$2</f>
        <v/>
      </c>
      <c r="P68" s="174">
        <f>I68*2000+J68*10000+K68*1800</f>
        <v/>
      </c>
      <c r="Q68" s="174">
        <f>D68*Prices!A$2</f>
        <v/>
      </c>
      <c r="R68" s="175">
        <f>L68+M68+N68+O68</f>
        <v/>
      </c>
      <c r="S68" s="174">
        <f>R68+Q68+P68</f>
        <v/>
      </c>
      <c r="T68" s="26" t="n">
        <v>67</v>
      </c>
      <c r="U68" s="26" t="inlineStr">
        <is>
          <t>Sold</t>
        </is>
      </c>
      <c r="V68" s="93" t="n"/>
      <c r="W68" s="93" t="n"/>
      <c r="X68" s="93" t="n"/>
      <c r="Y68" s="93" t="n"/>
      <c r="Z68" s="93" t="n"/>
    </row>
    <row r="69">
      <c r="A69" s="26" t="n">
        <v>68</v>
      </c>
      <c r="B69" s="26" t="n">
        <v>2.318</v>
      </c>
      <c r="C69" s="26">
        <f>B69*(25/100)</f>
        <v/>
      </c>
      <c r="D69" s="26">
        <f>C69+B69</f>
        <v/>
      </c>
      <c r="E69" s="26" t="n">
        <v>0.39</v>
      </c>
      <c r="F69" s="26" t="n"/>
      <c r="G69" s="26" t="n"/>
      <c r="H69" s="26" t="n"/>
      <c r="I69" s="26" t="n">
        <v>1.32</v>
      </c>
      <c r="J69" s="26" t="n"/>
      <c r="K69" s="26" t="n"/>
      <c r="L69" s="174">
        <f>E69*Prices!B$2</f>
        <v/>
      </c>
      <c r="M69" s="174">
        <f>F69*Prices!C$2</f>
        <v/>
      </c>
      <c r="N69" s="174">
        <f>G69*Prices!D$2</f>
        <v/>
      </c>
      <c r="O69" s="174">
        <f>H69*Prices!E$2</f>
        <v/>
      </c>
      <c r="P69" s="174">
        <f>I69*2000+J69*10000+K69*1800</f>
        <v/>
      </c>
      <c r="Q69" s="174">
        <f>D69*Prices!A$2</f>
        <v/>
      </c>
      <c r="R69" s="175">
        <f>L69+M69+N69+O69</f>
        <v/>
      </c>
      <c r="S69" s="174">
        <f>R69+Q69+P69</f>
        <v/>
      </c>
      <c r="T69" s="26" t="n">
        <v>68</v>
      </c>
      <c r="U69" s="26" t="inlineStr">
        <is>
          <t>Available</t>
        </is>
      </c>
      <c r="V69" s="93" t="inlineStr">
        <is>
          <t>A</t>
        </is>
      </c>
      <c r="W69" s="93" t="n"/>
      <c r="X69" s="93" t="n"/>
      <c r="Y69" s="93" t="n"/>
      <c r="Z69" s="93" t="n"/>
    </row>
    <row r="70">
      <c r="A70" s="26" t="n">
        <v>69</v>
      </c>
      <c r="B70" s="26" t="n">
        <v>4.66</v>
      </c>
      <c r="C70" s="26">
        <f>B70*(25/100)</f>
        <v/>
      </c>
      <c r="D70" s="26">
        <f>C70+B70</f>
        <v/>
      </c>
      <c r="E70" s="26" t="n">
        <v>0.85</v>
      </c>
      <c r="F70" s="26" t="n"/>
      <c r="G70" s="26" t="n"/>
      <c r="H70" s="26" t="n"/>
      <c r="I70" s="26" t="n"/>
      <c r="J70" s="26" t="n"/>
      <c r="K70" s="26" t="n"/>
      <c r="L70" s="174">
        <f>E70*Prices!B$2</f>
        <v/>
      </c>
      <c r="M70" s="174">
        <f>F70*Prices!C$2</f>
        <v/>
      </c>
      <c r="N70" s="174">
        <f>G70*Prices!D$2</f>
        <v/>
      </c>
      <c r="O70" s="174">
        <f>H70*Prices!E$2</f>
        <v/>
      </c>
      <c r="P70" s="174">
        <f>I70*2000+J70*10000+K70*1800</f>
        <v/>
      </c>
      <c r="Q70" s="174">
        <f>D70*Prices!A$2</f>
        <v/>
      </c>
      <c r="R70" s="175">
        <f>L70+M70+N70+O70</f>
        <v/>
      </c>
      <c r="S70" s="174">
        <f>R70+Q70+P70</f>
        <v/>
      </c>
      <c r="T70" s="26" t="n">
        <v>69</v>
      </c>
      <c r="U70" s="26" t="inlineStr">
        <is>
          <t>Available</t>
        </is>
      </c>
      <c r="V70" s="93" t="inlineStr">
        <is>
          <t>A</t>
        </is>
      </c>
      <c r="W70" s="93" t="n"/>
      <c r="X70" s="93" t="n"/>
      <c r="Y70" s="93" t="n"/>
      <c r="Z70" s="93" t="n"/>
    </row>
    <row r="71">
      <c r="A71" s="26" t="n">
        <v>70</v>
      </c>
      <c r="B71" s="26" t="n">
        <v>3.618</v>
      </c>
      <c r="C71" s="26">
        <f>B71*(25/100)</f>
        <v/>
      </c>
      <c r="D71" s="26">
        <f>C71+B71</f>
        <v/>
      </c>
      <c r="E71" s="26" t="n">
        <v>1.01</v>
      </c>
      <c r="F71" s="26" t="n"/>
      <c r="G71" s="26" t="n"/>
      <c r="H71" s="26" t="n"/>
      <c r="I71" s="26" t="n"/>
      <c r="J71" s="26" t="n"/>
      <c r="K71" s="26" t="n">
        <v>2.05</v>
      </c>
      <c r="L71" s="174">
        <f>E71*Prices!B$2</f>
        <v/>
      </c>
      <c r="M71" s="174">
        <f>F71*Prices!C$2</f>
        <v/>
      </c>
      <c r="N71" s="174">
        <f>G71*Prices!D$2</f>
        <v/>
      </c>
      <c r="O71" s="174">
        <f>H71*Prices!E$2</f>
        <v/>
      </c>
      <c r="P71" s="174">
        <f>I71*2000+J71*10000+K71*1800</f>
        <v/>
      </c>
      <c r="Q71" s="174">
        <f>D71*Prices!A$2</f>
        <v/>
      </c>
      <c r="R71" s="175">
        <f>L71+M71+N71+O71</f>
        <v/>
      </c>
      <c r="S71" s="174">
        <f>R71+Q71+P71</f>
        <v/>
      </c>
      <c r="T71" s="26" t="n">
        <v>70</v>
      </c>
      <c r="U71" s="26" t="inlineStr">
        <is>
          <t>Sold</t>
        </is>
      </c>
      <c r="V71" s="93" t="n"/>
      <c r="W71" s="93" t="n"/>
      <c r="X71" s="93" t="n"/>
      <c r="Y71" s="93" t="n"/>
      <c r="Z71" s="93" t="n"/>
    </row>
    <row r="72">
      <c r="A72" s="26" t="n">
        <v>71</v>
      </c>
      <c r="B72" s="26" t="n">
        <v>5.906</v>
      </c>
      <c r="C72" s="26">
        <f>B72*(25/100)</f>
        <v/>
      </c>
      <c r="D72" s="26">
        <f>C72+B72</f>
        <v/>
      </c>
      <c r="E72" s="26" t="n">
        <v>0.35</v>
      </c>
      <c r="F72" s="26" t="n"/>
      <c r="G72" s="26" t="n"/>
      <c r="H72" s="26" t="n"/>
      <c r="I72" s="26" t="n"/>
      <c r="J72" s="26" t="n"/>
      <c r="K72" s="26" t="n"/>
      <c r="L72" s="174">
        <f>E72*Prices!B$2</f>
        <v/>
      </c>
      <c r="M72" s="174">
        <f>F72*Prices!C$2</f>
        <v/>
      </c>
      <c r="N72" s="174">
        <f>G72*Prices!D$2</f>
        <v/>
      </c>
      <c r="O72" s="174">
        <f>H72*Prices!E$2</f>
        <v/>
      </c>
      <c r="P72" s="174">
        <f>I72*2000+J72*10000+K72*1800</f>
        <v/>
      </c>
      <c r="Q72" s="174">
        <f>D72*Prices!A$2</f>
        <v/>
      </c>
      <c r="R72" s="175">
        <f>L72+M72+N72+O72</f>
        <v/>
      </c>
      <c r="S72" s="174">
        <f>R72+Q72+P72</f>
        <v/>
      </c>
      <c r="T72" s="26" t="n">
        <v>71</v>
      </c>
      <c r="U72" s="26" t="inlineStr">
        <is>
          <t>Available</t>
        </is>
      </c>
      <c r="V72" s="93" t="inlineStr">
        <is>
          <t>A</t>
        </is>
      </c>
      <c r="W72" s="93" t="n"/>
      <c r="X72" s="93" t="n"/>
      <c r="Y72" s="93" t="n"/>
      <c r="Z72" s="93" t="n"/>
    </row>
    <row r="73">
      <c r="A73" s="26" t="n">
        <v>72</v>
      </c>
      <c r="B73" s="26" t="n">
        <v>4.562</v>
      </c>
      <c r="C73" s="26">
        <f>B73*(25/100)</f>
        <v/>
      </c>
      <c r="D73" s="26">
        <f>C73+B73</f>
        <v/>
      </c>
      <c r="E73" s="26" t="n">
        <v>1.17</v>
      </c>
      <c r="F73" s="26" t="n"/>
      <c r="G73" s="26" t="n"/>
      <c r="H73" s="26" t="n"/>
      <c r="I73" s="26" t="n"/>
      <c r="J73" s="26" t="n"/>
      <c r="K73" s="26" t="n">
        <v>6.12</v>
      </c>
      <c r="L73" s="174">
        <f>E73*Prices!B$2</f>
        <v/>
      </c>
      <c r="M73" s="174">
        <f>F73*Prices!C$2</f>
        <v/>
      </c>
      <c r="N73" s="174">
        <f>G73*Prices!D$2</f>
        <v/>
      </c>
      <c r="O73" s="174">
        <f>H73*Prices!E$2</f>
        <v/>
      </c>
      <c r="P73" s="174">
        <f>I73*2000+J73*10000+K73*500</f>
        <v/>
      </c>
      <c r="Q73" s="174">
        <f>D73*Prices!A$2</f>
        <v/>
      </c>
      <c r="R73" s="175">
        <f>L73+M73+N73+O73</f>
        <v/>
      </c>
      <c r="S73" s="174">
        <f>R73+Q73+P73</f>
        <v/>
      </c>
      <c r="T73" s="26" t="n">
        <v>72</v>
      </c>
      <c r="U73" s="26" t="inlineStr">
        <is>
          <t>Available</t>
        </is>
      </c>
      <c r="V73" s="93" t="inlineStr">
        <is>
          <t>A</t>
        </is>
      </c>
      <c r="W73" s="93" t="n"/>
      <c r="X73" s="93" t="n"/>
      <c r="Y73" s="93" t="n"/>
      <c r="Z73" s="93" t="n"/>
    </row>
    <row r="74">
      <c r="A74" s="26" t="n">
        <v>73</v>
      </c>
      <c r="B74" s="26" t="n">
        <v>6.608</v>
      </c>
      <c r="C74" s="26">
        <f>B74*(25/100)</f>
        <v/>
      </c>
      <c r="D74" s="26">
        <f>C74+B74</f>
        <v/>
      </c>
      <c r="E74" s="26" t="n">
        <v>1.76</v>
      </c>
      <c r="F74" s="26" t="n"/>
      <c r="G74" s="26" t="n"/>
      <c r="H74" s="26" t="n"/>
      <c r="I74" s="26" t="n"/>
      <c r="J74" s="26" t="n"/>
      <c r="K74" s="26" t="n"/>
      <c r="L74" s="174">
        <f>E74*Prices!B$2</f>
        <v/>
      </c>
      <c r="M74" s="174">
        <f>F74*Prices!C$2</f>
        <v/>
      </c>
      <c r="N74" s="174">
        <f>G74*Prices!D$2</f>
        <v/>
      </c>
      <c r="O74" s="174">
        <f>H74*Prices!E$2</f>
        <v/>
      </c>
      <c r="P74" s="174">
        <f>I74*2000+J74*10000+K74*1800</f>
        <v/>
      </c>
      <c r="Q74" s="174">
        <f>D74*Prices!A$2</f>
        <v/>
      </c>
      <c r="R74" s="175">
        <f>L74+M74+N74+O74</f>
        <v/>
      </c>
      <c r="S74" s="174">
        <f>R74+Q74+P74</f>
        <v/>
      </c>
      <c r="T74" s="26" t="n">
        <v>73</v>
      </c>
      <c r="U74" s="26" t="inlineStr">
        <is>
          <t>Sold</t>
        </is>
      </c>
      <c r="V74" s="93" t="n"/>
      <c r="W74" s="93" t="n"/>
      <c r="X74" s="93" t="n"/>
      <c r="Y74" s="93" t="n"/>
      <c r="Z74" s="93" t="n"/>
    </row>
    <row r="75">
      <c r="A75" s="26" t="n">
        <v>74</v>
      </c>
      <c r="B75" s="26" t="n">
        <v>3.966</v>
      </c>
      <c r="C75" s="26">
        <f>B75*(25/100)</f>
        <v/>
      </c>
      <c r="D75" s="26">
        <f>C75+B75</f>
        <v/>
      </c>
      <c r="E75" s="26" t="n">
        <v>0.92</v>
      </c>
      <c r="F75" s="26" t="n"/>
      <c r="G75" s="26" t="n"/>
      <c r="H75" s="26" t="n"/>
      <c r="I75" s="26" t="n"/>
      <c r="J75" s="26" t="n"/>
      <c r="K75" s="26" t="n"/>
      <c r="L75" s="174">
        <f>E75*Prices!B$2</f>
        <v/>
      </c>
      <c r="M75" s="174">
        <f>F75*Prices!C$2</f>
        <v/>
      </c>
      <c r="N75" s="174">
        <f>G75*Prices!D$2</f>
        <v/>
      </c>
      <c r="O75" s="174">
        <f>H75*Prices!E$2</f>
        <v/>
      </c>
      <c r="P75" s="174">
        <f>I75*2000+J75*10000+K75*1800</f>
        <v/>
      </c>
      <c r="Q75" s="174">
        <f>D75*Prices!A$2</f>
        <v/>
      </c>
      <c r="R75" s="175">
        <f>L75+M75+N75+O75</f>
        <v/>
      </c>
      <c r="S75" s="174">
        <f>R75+Q75+P75</f>
        <v/>
      </c>
      <c r="T75" s="26" t="n">
        <v>74</v>
      </c>
      <c r="U75" s="26" t="inlineStr">
        <is>
          <t>Available</t>
        </is>
      </c>
      <c r="V75" s="93" t="inlineStr">
        <is>
          <t>A</t>
        </is>
      </c>
      <c r="W75" s="93" t="n"/>
      <c r="X75" s="93" t="n"/>
      <c r="Y75" s="93" t="n"/>
      <c r="Z75" s="93" t="n"/>
    </row>
    <row r="76">
      <c r="A76" s="26" t="n">
        <v>75</v>
      </c>
      <c r="B76" s="26" t="n">
        <v>4.556</v>
      </c>
      <c r="C76" s="26">
        <f>B76*(25/100)</f>
        <v/>
      </c>
      <c r="D76" s="26">
        <f>C76+B76</f>
        <v/>
      </c>
      <c r="E76" s="26" t="n">
        <v>0.72</v>
      </c>
      <c r="F76" s="26" t="n"/>
      <c r="G76" s="26" t="n"/>
      <c r="H76" s="26" t="n"/>
      <c r="I76" s="26" t="n"/>
      <c r="J76" s="26" t="n"/>
      <c r="K76" s="26" t="n"/>
      <c r="L76" s="174">
        <f>E76*Prices!B$2</f>
        <v/>
      </c>
      <c r="M76" s="174">
        <f>F76*Prices!C$2</f>
        <v/>
      </c>
      <c r="N76" s="174">
        <f>G76*Prices!D$2</f>
        <v/>
      </c>
      <c r="O76" s="174">
        <f>H76*Prices!E$2</f>
        <v/>
      </c>
      <c r="P76" s="174">
        <f>I76*2000+J76*10000+K76*1800</f>
        <v/>
      </c>
      <c r="Q76" s="174">
        <f>D76*Prices!A$2</f>
        <v/>
      </c>
      <c r="R76" s="175">
        <f>L76+M76+N76+O76</f>
        <v/>
      </c>
      <c r="S76" s="174">
        <f>R76+Q76+P76</f>
        <v/>
      </c>
      <c r="T76" s="26" t="n">
        <v>75</v>
      </c>
      <c r="U76" s="26" t="inlineStr">
        <is>
          <t>Sold</t>
        </is>
      </c>
      <c r="V76" s="93" t="n"/>
      <c r="W76" s="93" t="n"/>
      <c r="X76" s="93" t="n"/>
      <c r="Y76" s="93" t="n"/>
      <c r="Z76" s="93" t="n"/>
    </row>
    <row r="77">
      <c r="A77" s="26" t="n">
        <v>76</v>
      </c>
      <c r="B77" s="26" t="n">
        <v>4.12</v>
      </c>
      <c r="C77" s="26">
        <f>B77*(25/100)</f>
        <v/>
      </c>
      <c r="D77" s="26">
        <f>C77+B77</f>
        <v/>
      </c>
      <c r="E77" s="26" t="n">
        <v>0.66</v>
      </c>
      <c r="F77" s="26" t="n">
        <v>0.19</v>
      </c>
      <c r="G77" s="26" t="n"/>
      <c r="H77" s="26" t="n"/>
      <c r="I77" s="26" t="n"/>
      <c r="J77" s="26" t="n"/>
      <c r="K77" s="26" t="n"/>
      <c r="L77" s="174">
        <f>E77*Prices!B$2</f>
        <v/>
      </c>
      <c r="M77" s="174">
        <f>F77*Prices!C$2</f>
        <v/>
      </c>
      <c r="N77" s="174">
        <f>G77*Prices!D$2</f>
        <v/>
      </c>
      <c r="O77" s="174">
        <f>H77*Prices!E$2</f>
        <v/>
      </c>
      <c r="P77" s="174">
        <f>I77*2000+J77*10000+K77*1800</f>
        <v/>
      </c>
      <c r="Q77" s="174">
        <f>D77*Prices!A$2</f>
        <v/>
      </c>
      <c r="R77" s="175">
        <f>L77+M77+N77+O77</f>
        <v/>
      </c>
      <c r="S77" s="174">
        <f>R77+Q77+P77</f>
        <v/>
      </c>
      <c r="T77" s="26" t="n">
        <v>76</v>
      </c>
      <c r="U77" s="26" t="inlineStr">
        <is>
          <t>Available</t>
        </is>
      </c>
      <c r="V77" s="93" t="inlineStr">
        <is>
          <t>A</t>
        </is>
      </c>
      <c r="W77" s="93" t="n"/>
      <c r="X77" s="93" t="n"/>
      <c r="Y77" s="93" t="n"/>
      <c r="Z77" s="93" t="n"/>
    </row>
    <row r="78">
      <c r="A78" s="26" t="n">
        <v>77</v>
      </c>
      <c r="B78" s="26" t="n">
        <v>12.49</v>
      </c>
      <c r="C78" s="26">
        <f>B78*(25/100)</f>
        <v/>
      </c>
      <c r="D78" s="26">
        <f>C78+B78</f>
        <v/>
      </c>
      <c r="E78" s="26" t="n">
        <v>2.9</v>
      </c>
      <c r="F78" s="26" t="n"/>
      <c r="G78" s="26" t="n"/>
      <c r="H78" s="26" t="n"/>
      <c r="I78" s="26" t="n"/>
      <c r="J78" s="26" t="n">
        <v>10.9</v>
      </c>
      <c r="K78" s="26" t="n"/>
      <c r="L78" s="174">
        <f>E78*Prices!B$2</f>
        <v/>
      </c>
      <c r="M78" s="174">
        <f>F78*Prices!C$2</f>
        <v/>
      </c>
      <c r="N78" s="174">
        <f>G78*Prices!D$2</f>
        <v/>
      </c>
      <c r="O78" s="174">
        <f>H78*Prices!E$2</f>
        <v/>
      </c>
      <c r="P78" s="174">
        <f>I78*2000+J78*10000+K78*1800</f>
        <v/>
      </c>
      <c r="Q78" s="174">
        <f>D78*Prices!A$2</f>
        <v/>
      </c>
      <c r="R78" s="175">
        <f>L78+M78+N78+O78</f>
        <v/>
      </c>
      <c r="S78" s="174">
        <f>R78+Q78+P78</f>
        <v/>
      </c>
      <c r="T78" s="26" t="n">
        <v>77</v>
      </c>
      <c r="U78" s="26" t="inlineStr">
        <is>
          <t>Available</t>
        </is>
      </c>
      <c r="V78" s="93" t="inlineStr">
        <is>
          <t>A</t>
        </is>
      </c>
      <c r="W78" s="93" t="n"/>
      <c r="X78" s="93" t="n"/>
      <c r="Y78" s="93" t="n"/>
      <c r="Z78" s="93" t="n"/>
    </row>
    <row r="79">
      <c r="A79" s="26" t="n">
        <v>78</v>
      </c>
      <c r="B79" s="26" t="n">
        <v>2.83</v>
      </c>
      <c r="C79" s="26">
        <f>B79*(25/100)</f>
        <v/>
      </c>
      <c r="D79" s="26">
        <f>C79+B79</f>
        <v/>
      </c>
      <c r="E79" s="26" t="n"/>
      <c r="F79" s="26" t="n">
        <v>1.5</v>
      </c>
      <c r="G79" s="26" t="n"/>
      <c r="H79" s="26" t="n"/>
      <c r="I79" s="26" t="n"/>
      <c r="J79" s="26" t="n"/>
      <c r="K79" s="26" t="n"/>
      <c r="L79" s="174">
        <f>E79*Prices!B$2</f>
        <v/>
      </c>
      <c r="M79" s="174">
        <f>F79*Prices!C$2</f>
        <v/>
      </c>
      <c r="N79" s="174">
        <f>G79*Prices!D$2</f>
        <v/>
      </c>
      <c r="O79" s="174">
        <f>H79*Prices!E$2</f>
        <v/>
      </c>
      <c r="P79" s="174">
        <f>I79*2000+J79*10000+K79*1800</f>
        <v/>
      </c>
      <c r="Q79" s="174">
        <f>D79*Prices!A$2</f>
        <v/>
      </c>
      <c r="R79" s="175">
        <f>L79+M79+N79+O79</f>
        <v/>
      </c>
      <c r="S79" s="174">
        <f>R79+Q79+P79</f>
        <v/>
      </c>
      <c r="T79" s="26" t="n">
        <v>78</v>
      </c>
      <c r="U79" s="26" t="inlineStr">
        <is>
          <t>Sold</t>
        </is>
      </c>
      <c r="V79" s="93" t="n"/>
      <c r="W79" s="93" t="n"/>
      <c r="X79" s="93" t="n"/>
      <c r="Y79" s="93" t="n"/>
      <c r="Z79" s="93" t="n"/>
    </row>
    <row r="80">
      <c r="A80" s="26" t="n">
        <v>79</v>
      </c>
      <c r="B80" s="26" t="n">
        <v>3.426</v>
      </c>
      <c r="C80" s="26">
        <f>B80*(25/100)</f>
        <v/>
      </c>
      <c r="D80" s="26">
        <f>C80+B80</f>
        <v/>
      </c>
      <c r="E80" s="26" t="n">
        <v>0.74</v>
      </c>
      <c r="F80" s="26" t="n"/>
      <c r="G80" s="26" t="n"/>
      <c r="H80" s="26" t="n"/>
      <c r="I80" s="26" t="n"/>
      <c r="J80" s="26" t="n"/>
      <c r="K80" s="26" t="n">
        <v>2.08</v>
      </c>
      <c r="L80" s="174">
        <f>E80*Prices!B$2</f>
        <v/>
      </c>
      <c r="M80" s="174">
        <f>F80*Prices!C$2</f>
        <v/>
      </c>
      <c r="N80" s="174">
        <f>G80*Prices!D$2</f>
        <v/>
      </c>
      <c r="O80" s="174">
        <f>H80*Prices!E$2</f>
        <v/>
      </c>
      <c r="P80" s="174">
        <f>I80*2000+J80*10000+K80*1800</f>
        <v/>
      </c>
      <c r="Q80" s="174">
        <f>D80*Prices!A$2</f>
        <v/>
      </c>
      <c r="R80" s="175">
        <f>L80+M80+N80+O80</f>
        <v/>
      </c>
      <c r="S80" s="174">
        <f>R80+Q80+P80</f>
        <v/>
      </c>
      <c r="T80" s="26" t="n">
        <v>79</v>
      </c>
      <c r="U80" s="26" t="inlineStr">
        <is>
          <t>Sold</t>
        </is>
      </c>
      <c r="V80" s="93" t="n"/>
      <c r="W80" s="93" t="n"/>
      <c r="X80" s="93" t="n"/>
      <c r="Y80" s="93" t="n"/>
      <c r="Z80" s="93" t="n"/>
    </row>
    <row r="81">
      <c r="A81" s="26" t="n">
        <v>80</v>
      </c>
      <c r="B81" s="26" t="n">
        <v>3.966</v>
      </c>
      <c r="C81" s="26">
        <f>B81*(25/100)</f>
        <v/>
      </c>
      <c r="D81" s="26">
        <f>C81+B81</f>
        <v/>
      </c>
      <c r="E81" s="26" t="n">
        <v>0.97</v>
      </c>
      <c r="F81" s="26" t="n"/>
      <c r="G81" s="26" t="n"/>
      <c r="H81" s="26" t="n"/>
      <c r="I81" s="26" t="n"/>
      <c r="J81" s="26" t="n"/>
      <c r="K81" s="26" t="n">
        <v>1.95</v>
      </c>
      <c r="L81" s="174">
        <f>E81*Prices!B$2</f>
        <v/>
      </c>
      <c r="M81" s="174">
        <f>F81*Prices!C$2</f>
        <v/>
      </c>
      <c r="N81" s="174">
        <f>G81*Prices!D$2</f>
        <v/>
      </c>
      <c r="O81" s="174">
        <f>H81*Prices!E$2</f>
        <v/>
      </c>
      <c r="P81" s="174">
        <f>I81*2000+J81*10000+K81*1800</f>
        <v/>
      </c>
      <c r="Q81" s="174">
        <f>D81*Prices!A$2</f>
        <v/>
      </c>
      <c r="R81" s="175">
        <f>L81+M81+N81+O81</f>
        <v/>
      </c>
      <c r="S81" s="174">
        <f>R81+Q81+P81</f>
        <v/>
      </c>
      <c r="T81" s="26" t="n">
        <v>80</v>
      </c>
      <c r="U81" s="26" t="inlineStr">
        <is>
          <t>Available</t>
        </is>
      </c>
      <c r="V81" s="93" t="inlineStr">
        <is>
          <t>A</t>
        </is>
      </c>
      <c r="W81" s="93" t="n"/>
      <c r="X81" s="93" t="n"/>
      <c r="Y81" s="93" t="n"/>
      <c r="Z81" s="93" t="n"/>
    </row>
    <row r="82">
      <c r="A82" s="26" t="n">
        <v>81</v>
      </c>
      <c r="B82" s="26" t="n">
        <v>3.978</v>
      </c>
      <c r="C82" s="26">
        <f>B82*(25/100)</f>
        <v/>
      </c>
      <c r="D82" s="26">
        <f>C82+B82</f>
        <v/>
      </c>
      <c r="E82" s="26" t="n">
        <v>1.16</v>
      </c>
      <c r="F82" s="26" t="n"/>
      <c r="G82" s="26" t="n"/>
      <c r="H82" s="26" t="n"/>
      <c r="I82" s="26" t="n"/>
      <c r="J82" s="26" t="n"/>
      <c r="K82" s="26" t="n"/>
      <c r="L82" s="174">
        <f>E82*Prices!B$2</f>
        <v/>
      </c>
      <c r="M82" s="174">
        <f>F82*Prices!C$2</f>
        <v/>
      </c>
      <c r="N82" s="174">
        <f>G82*Prices!D$2</f>
        <v/>
      </c>
      <c r="O82" s="174">
        <f>H82*Prices!E$2</f>
        <v/>
      </c>
      <c r="P82" s="174">
        <f>I82*2000+J82*10000+K82*1800</f>
        <v/>
      </c>
      <c r="Q82" s="174">
        <f>D82*Prices!A$2</f>
        <v/>
      </c>
      <c r="R82" s="175">
        <f>L82+M82+N82+O82</f>
        <v/>
      </c>
      <c r="S82" s="174">
        <f>R82+Q82+P82</f>
        <v/>
      </c>
      <c r="T82" s="26" t="n">
        <v>81</v>
      </c>
      <c r="U82" s="26" t="inlineStr">
        <is>
          <t>Sold</t>
        </is>
      </c>
      <c r="V82" s="93" t="n"/>
      <c r="W82" s="93" t="n"/>
      <c r="X82" s="93" t="n"/>
      <c r="Y82" s="93" t="n"/>
      <c r="Z82" s="93" t="n"/>
    </row>
    <row r="83">
      <c r="A83" s="26" t="n">
        <v>82</v>
      </c>
      <c r="B83" s="26" t="n">
        <v>7.068</v>
      </c>
      <c r="C83" s="26">
        <f>B83*(25/100)</f>
        <v/>
      </c>
      <c r="D83" s="26">
        <f>C83+B83</f>
        <v/>
      </c>
      <c r="E83" s="26" t="n"/>
      <c r="F83" s="26" t="n">
        <v>1.83</v>
      </c>
      <c r="G83" s="26" t="n"/>
      <c r="H83" s="26" t="n"/>
      <c r="I83" s="26" t="n">
        <v>7.33</v>
      </c>
      <c r="J83" s="26" t="n"/>
      <c r="K83" s="26" t="n"/>
      <c r="L83" s="174">
        <f>E83*Prices!B$2</f>
        <v/>
      </c>
      <c r="M83" s="174">
        <f>F83*Prices!C$2</f>
        <v/>
      </c>
      <c r="N83" s="174">
        <f>G83*Prices!D$2</f>
        <v/>
      </c>
      <c r="O83" s="174">
        <f>H83*Prices!E$2</f>
        <v/>
      </c>
      <c r="P83" s="174">
        <f>I83*2000+J83*10000+K83*1800</f>
        <v/>
      </c>
      <c r="Q83" s="174">
        <f>D83*Prices!A$2</f>
        <v/>
      </c>
      <c r="R83" s="175">
        <f>L83+M83+N83+O83</f>
        <v/>
      </c>
      <c r="S83" s="174">
        <f>R83+Q83+P83</f>
        <v/>
      </c>
      <c r="T83" s="26" t="n">
        <v>82</v>
      </c>
      <c r="U83" s="26" t="inlineStr">
        <is>
          <t>Available</t>
        </is>
      </c>
      <c r="V83" s="93" t="inlineStr">
        <is>
          <t>A</t>
        </is>
      </c>
      <c r="W83" s="93" t="n"/>
      <c r="X83" s="93" t="n"/>
      <c r="Y83" s="93" t="n"/>
      <c r="Z83" s="93" t="n"/>
    </row>
    <row r="84">
      <c r="A84" s="26" t="n">
        <v>83</v>
      </c>
      <c r="B84" s="26" t="n">
        <v>3.754</v>
      </c>
      <c r="C84" s="26">
        <f>B84*(25/100)</f>
        <v/>
      </c>
      <c r="D84" s="26">
        <f>C84+B84</f>
        <v/>
      </c>
      <c r="E84" s="26" t="n">
        <v>0.8100000000000001</v>
      </c>
      <c r="F84" s="26" t="n"/>
      <c r="G84" s="26" t="n"/>
      <c r="H84" s="26" t="n"/>
      <c r="I84" s="26" t="n"/>
      <c r="J84" s="26" t="n"/>
      <c r="K84" s="26" t="n">
        <v>4.92</v>
      </c>
      <c r="L84" s="174">
        <f>E84*Prices!B$2</f>
        <v/>
      </c>
      <c r="M84" s="174">
        <f>F84*Prices!C$2</f>
        <v/>
      </c>
      <c r="N84" s="174">
        <f>G84*Prices!D$2</f>
        <v/>
      </c>
      <c r="O84" s="174">
        <f>H84*Prices!E$2</f>
        <v/>
      </c>
      <c r="P84" s="174">
        <f>I84*2000+J84*10000+K84*1800</f>
        <v/>
      </c>
      <c r="Q84" s="174">
        <f>D84*Prices!A$2</f>
        <v/>
      </c>
      <c r="R84" s="175">
        <f>L84+M84+N84+O84</f>
        <v/>
      </c>
      <c r="S84" s="174">
        <f>R84+Q84+P84</f>
        <v/>
      </c>
      <c r="T84" s="26" t="n">
        <v>83</v>
      </c>
      <c r="U84" s="26" t="inlineStr">
        <is>
          <t>Available</t>
        </is>
      </c>
      <c r="V84" s="93" t="inlineStr">
        <is>
          <t>A</t>
        </is>
      </c>
      <c r="W84" s="93" t="n"/>
      <c r="X84" s="93" t="n"/>
      <c r="Y84" s="93" t="n"/>
      <c r="Z84" s="93" t="n"/>
    </row>
    <row r="85">
      <c r="A85" s="26" t="n">
        <v>84</v>
      </c>
      <c r="B85" s="26" t="n">
        <v>5.42</v>
      </c>
      <c r="C85" s="26">
        <f>B85*(25/100)</f>
        <v/>
      </c>
      <c r="D85" s="26">
        <f>C85+B85</f>
        <v/>
      </c>
      <c r="E85" s="26" t="n">
        <v>1.64</v>
      </c>
      <c r="F85" s="26" t="n"/>
      <c r="G85" s="26" t="n"/>
      <c r="H85" s="26" t="n"/>
      <c r="I85" s="26" t="n"/>
      <c r="J85" s="26" t="n"/>
      <c r="K85" s="26" t="n"/>
      <c r="L85" s="174">
        <f>E85*Prices!B$2</f>
        <v/>
      </c>
      <c r="M85" s="174">
        <f>F85*Prices!C$2</f>
        <v/>
      </c>
      <c r="N85" s="174">
        <f>G85*Prices!D$2</f>
        <v/>
      </c>
      <c r="O85" s="174">
        <f>H85*Prices!E$2</f>
        <v/>
      </c>
      <c r="P85" s="174">
        <f>I85*2000+J85*10000+K85*1800</f>
        <v/>
      </c>
      <c r="Q85" s="174">
        <f>D85*Prices!A$2</f>
        <v/>
      </c>
      <c r="R85" s="175">
        <f>L85+M85+N85+O85</f>
        <v/>
      </c>
      <c r="S85" s="174">
        <f>R85+Q85+P85</f>
        <v/>
      </c>
      <c r="T85" s="26" t="n">
        <v>84</v>
      </c>
      <c r="U85" s="26" t="inlineStr">
        <is>
          <t>Available</t>
        </is>
      </c>
      <c r="V85" s="93" t="inlineStr">
        <is>
          <t>A</t>
        </is>
      </c>
      <c r="W85" s="93" t="n"/>
      <c r="X85" s="93" t="n"/>
      <c r="Y85" s="93" t="n"/>
      <c r="Z85" s="93" t="n"/>
    </row>
    <row r="86">
      <c r="A86" s="26" t="n">
        <v>85</v>
      </c>
      <c r="B86" s="26" t="n">
        <v>6.718</v>
      </c>
      <c r="C86" s="26">
        <f>B86*(25/100)</f>
        <v/>
      </c>
      <c r="D86" s="26">
        <f>C86+B86</f>
        <v/>
      </c>
      <c r="E86" s="26" t="n">
        <v>2.47</v>
      </c>
      <c r="F86" s="26" t="n"/>
      <c r="G86" s="26" t="n"/>
      <c r="H86" s="26" t="n"/>
      <c r="I86" s="26" t="n"/>
      <c r="J86" s="26" t="n">
        <v>2.89</v>
      </c>
      <c r="K86" s="26" t="n"/>
      <c r="L86" s="174">
        <f>E86*Prices!B$2</f>
        <v/>
      </c>
      <c r="M86" s="174">
        <f>F86*Prices!C$2</f>
        <v/>
      </c>
      <c r="N86" s="174">
        <f>G86*Prices!D$2</f>
        <v/>
      </c>
      <c r="O86" s="174">
        <f>H86*Prices!E$2</f>
        <v/>
      </c>
      <c r="P86" s="174">
        <f>I86*2000+J86*10000+K86*1800</f>
        <v/>
      </c>
      <c r="Q86" s="174">
        <f>D86*Prices!A$2</f>
        <v/>
      </c>
      <c r="R86" s="175">
        <f>L86+M86+N86+O86</f>
        <v/>
      </c>
      <c r="S86" s="174">
        <f>R86+Q86+P86</f>
        <v/>
      </c>
      <c r="T86" s="26" t="n">
        <v>85</v>
      </c>
      <c r="U86" s="26" t="inlineStr">
        <is>
          <t>Available</t>
        </is>
      </c>
      <c r="V86" s="93" t="inlineStr">
        <is>
          <t>A</t>
        </is>
      </c>
      <c r="W86" s="93" t="n"/>
      <c r="X86" s="93" t="n"/>
      <c r="Y86" s="93" t="n"/>
      <c r="Z86" s="93" t="n"/>
    </row>
    <row r="87">
      <c r="A87" s="26" t="n">
        <v>86</v>
      </c>
      <c r="B87" s="26" t="n">
        <v>2.784</v>
      </c>
      <c r="C87" s="26">
        <f>B87*(25/100)</f>
        <v/>
      </c>
      <c r="D87" s="26">
        <f>C87+B87</f>
        <v/>
      </c>
      <c r="E87" s="26" t="n">
        <v>0.48</v>
      </c>
      <c r="F87" s="26" t="n"/>
      <c r="G87" s="26" t="n"/>
      <c r="H87" s="26" t="n"/>
      <c r="I87" s="26" t="n"/>
      <c r="J87" s="26" t="n"/>
      <c r="K87" s="26" t="n"/>
      <c r="L87" s="174">
        <f>E87*Prices!B$2</f>
        <v/>
      </c>
      <c r="M87" s="174">
        <f>F87*Prices!C$2</f>
        <v/>
      </c>
      <c r="N87" s="174">
        <f>G87*Prices!D$2</f>
        <v/>
      </c>
      <c r="O87" s="174">
        <f>H87*Prices!E$2</f>
        <v/>
      </c>
      <c r="P87" s="174">
        <f>I87*2000+J87*10000+K87*1800</f>
        <v/>
      </c>
      <c r="Q87" s="174">
        <f>D87*Prices!A$2</f>
        <v/>
      </c>
      <c r="R87" s="175">
        <f>L87+M87+N87+O87</f>
        <v/>
      </c>
      <c r="S87" s="174">
        <f>R87+Q87+P87</f>
        <v/>
      </c>
      <c r="T87" s="26" t="n">
        <v>86</v>
      </c>
      <c r="U87" s="26" t="inlineStr">
        <is>
          <t>Sold</t>
        </is>
      </c>
      <c r="V87" s="93" t="n"/>
      <c r="W87" s="93" t="n"/>
      <c r="X87" s="93" t="n"/>
      <c r="Y87" s="93" t="n"/>
      <c r="Z87" s="93" t="n"/>
    </row>
    <row r="88">
      <c r="A88" s="26" t="n">
        <v>87</v>
      </c>
      <c r="B88" s="26" t="n">
        <v>4.128</v>
      </c>
      <c r="C88" s="26">
        <f>B88*(25/100)</f>
        <v/>
      </c>
      <c r="D88" s="26">
        <f>C88+B88</f>
        <v/>
      </c>
      <c r="E88" s="26" t="n">
        <v>2.26</v>
      </c>
      <c r="F88" s="26" t="n"/>
      <c r="G88" s="26" t="n"/>
      <c r="H88" s="26" t="n"/>
      <c r="I88" s="26" t="n"/>
      <c r="J88" s="26" t="n"/>
      <c r="K88" s="26" t="n"/>
      <c r="L88" s="174">
        <f>E88*Prices!B$2</f>
        <v/>
      </c>
      <c r="M88" s="174">
        <f>F88*Prices!C$2</f>
        <v/>
      </c>
      <c r="N88" s="174">
        <f>G88*Prices!D$2</f>
        <v/>
      </c>
      <c r="O88" s="174">
        <f>H88*Prices!E$2</f>
        <v/>
      </c>
      <c r="P88" s="174">
        <f>I88*2000+J88*10000+K88*1800</f>
        <v/>
      </c>
      <c r="Q88" s="174">
        <f>D88*Prices!A$2</f>
        <v/>
      </c>
      <c r="R88" s="175">
        <f>L88+M88+N88+O88</f>
        <v/>
      </c>
      <c r="S88" s="174">
        <f>R88+Q88+P88</f>
        <v/>
      </c>
      <c r="T88" s="26" t="n">
        <v>87</v>
      </c>
      <c r="U88" s="26" t="inlineStr">
        <is>
          <t>Available</t>
        </is>
      </c>
      <c r="V88" s="93" t="inlineStr">
        <is>
          <t>A</t>
        </is>
      </c>
      <c r="W88" s="93" t="n"/>
      <c r="X88" s="93" t="n"/>
      <c r="Y88" s="93" t="n"/>
      <c r="Z88" s="93" t="n"/>
    </row>
    <row r="89">
      <c r="A89" s="26" t="n">
        <v>88</v>
      </c>
      <c r="B89" s="26" t="n">
        <v>4.39</v>
      </c>
      <c r="C89" s="26">
        <f>B89*(25/100)</f>
        <v/>
      </c>
      <c r="D89" s="26">
        <f>C89+B89</f>
        <v/>
      </c>
      <c r="E89" s="26" t="n"/>
      <c r="F89" s="26" t="n">
        <v>1.17</v>
      </c>
      <c r="G89" s="26" t="n"/>
      <c r="H89" s="26" t="n"/>
      <c r="I89" s="26" t="n"/>
      <c r="J89" s="26" t="n"/>
      <c r="K89" s="26" t="n"/>
      <c r="L89" s="174">
        <f>E89*Prices!B$2</f>
        <v/>
      </c>
      <c r="M89" s="174">
        <f>F89*Prices!C$2</f>
        <v/>
      </c>
      <c r="N89" s="174">
        <f>G89*Prices!D$2</f>
        <v/>
      </c>
      <c r="O89" s="174">
        <f>H89*Prices!E$2</f>
        <v/>
      </c>
      <c r="P89" s="174">
        <f>I89*2000+J89*10000+K89*1800</f>
        <v/>
      </c>
      <c r="Q89" s="174">
        <f>D89*Prices!A$2</f>
        <v/>
      </c>
      <c r="R89" s="175">
        <f>L89+M89+N89+O89</f>
        <v/>
      </c>
      <c r="S89" s="174">
        <f>R89+Q89+P89</f>
        <v/>
      </c>
      <c r="T89" s="26" t="n">
        <v>88</v>
      </c>
      <c r="U89" s="26" t="inlineStr">
        <is>
          <t>Available</t>
        </is>
      </c>
      <c r="V89" s="93" t="inlineStr">
        <is>
          <t>A</t>
        </is>
      </c>
      <c r="W89" s="93" t="n"/>
      <c r="X89" s="93" t="n"/>
      <c r="Y89" s="93" t="n"/>
      <c r="Z89" s="93" t="n"/>
    </row>
    <row r="90">
      <c r="A90" s="26" t="n">
        <v>89</v>
      </c>
      <c r="B90" s="26" t="n">
        <v>6.526</v>
      </c>
      <c r="C90" s="26">
        <f>B90*(25/100)</f>
        <v/>
      </c>
      <c r="D90" s="26">
        <f>C90+B90</f>
        <v/>
      </c>
      <c r="E90" s="26" t="n"/>
      <c r="F90" s="26" t="n">
        <v>1.69</v>
      </c>
      <c r="G90" s="26" t="n"/>
      <c r="H90" s="26" t="n"/>
      <c r="I90" s="26" t="n">
        <v>4.43</v>
      </c>
      <c r="J90" s="26" t="n"/>
      <c r="K90" s="26" t="n"/>
      <c r="L90" s="174">
        <f>E90*Prices!B$2</f>
        <v/>
      </c>
      <c r="M90" s="174">
        <f>F90*Prices!C$2</f>
        <v/>
      </c>
      <c r="N90" s="174">
        <f>G90*Prices!D$2</f>
        <v/>
      </c>
      <c r="O90" s="174">
        <f>H90*Prices!E$2</f>
        <v/>
      </c>
      <c r="P90" s="174">
        <f>I90*2000+J90*10000+K90*1800</f>
        <v/>
      </c>
      <c r="Q90" s="174">
        <f>D90*Prices!A$2</f>
        <v/>
      </c>
      <c r="R90" s="175">
        <f>L90+M90+N90+O90</f>
        <v/>
      </c>
      <c r="S90" s="174">
        <f>R90+Q90+P90</f>
        <v/>
      </c>
      <c r="T90" s="26" t="n">
        <v>89</v>
      </c>
      <c r="U90" s="26" t="inlineStr">
        <is>
          <t>Available</t>
        </is>
      </c>
      <c r="V90" s="93" t="inlineStr">
        <is>
          <t>A</t>
        </is>
      </c>
      <c r="W90" s="93" t="n"/>
      <c r="X90" s="93" t="n"/>
      <c r="Y90" s="93" t="n"/>
      <c r="Z90" s="93" t="n"/>
    </row>
    <row r="91">
      <c r="A91" s="26" t="n">
        <v>90</v>
      </c>
      <c r="B91" s="26" t="n">
        <v>6.02</v>
      </c>
      <c r="C91" s="26">
        <f>B91*(25/100)</f>
        <v/>
      </c>
      <c r="D91" s="26">
        <f>C91+B91</f>
        <v/>
      </c>
      <c r="E91" s="26" t="n">
        <v>0.92</v>
      </c>
      <c r="F91" s="26" t="n"/>
      <c r="G91" s="26" t="n"/>
      <c r="H91" s="26" t="n"/>
      <c r="I91" s="26" t="n"/>
      <c r="J91" s="26" t="n"/>
      <c r="K91" s="26" t="n">
        <v>7.69</v>
      </c>
      <c r="L91" s="174">
        <f>E91*Prices!B$2</f>
        <v/>
      </c>
      <c r="M91" s="174">
        <f>F91*Prices!C$2</f>
        <v/>
      </c>
      <c r="N91" s="174">
        <f>G91*Prices!D$2</f>
        <v/>
      </c>
      <c r="O91" s="174">
        <f>H91*Prices!E$2</f>
        <v/>
      </c>
      <c r="P91" s="174">
        <f>I91*2000+J91*10000+K91*1800</f>
        <v/>
      </c>
      <c r="Q91" s="174">
        <f>D91*Prices!A$2</f>
        <v/>
      </c>
      <c r="R91" s="175">
        <f>L91+M91+N91+O91</f>
        <v/>
      </c>
      <c r="S91" s="174">
        <f>R91+Q91+P91</f>
        <v/>
      </c>
      <c r="T91" s="26" t="n">
        <v>90</v>
      </c>
      <c r="U91" s="26" t="inlineStr">
        <is>
          <t>Available</t>
        </is>
      </c>
      <c r="V91" s="93" t="inlineStr">
        <is>
          <t>A</t>
        </is>
      </c>
      <c r="W91" s="93" t="n"/>
      <c r="X91" s="93" t="n"/>
      <c r="Y91" s="93" t="n"/>
      <c r="Z91" s="93" t="n"/>
    </row>
    <row r="92">
      <c r="A92" s="26" t="n">
        <v>91</v>
      </c>
      <c r="B92" s="26" t="n">
        <v>4.866</v>
      </c>
      <c r="C92" s="26">
        <f>B92*(25/100)</f>
        <v/>
      </c>
      <c r="D92" s="26">
        <f>C92+B92</f>
        <v/>
      </c>
      <c r="E92" s="26" t="n">
        <v>1.17</v>
      </c>
      <c r="F92" s="26" t="n"/>
      <c r="G92" s="26" t="n"/>
      <c r="H92" s="26" t="n"/>
      <c r="I92" s="26" t="n"/>
      <c r="J92" s="26" t="n"/>
      <c r="K92" s="26" t="n"/>
      <c r="L92" s="174">
        <f>E92*Prices!B$2</f>
        <v/>
      </c>
      <c r="M92" s="174">
        <f>F92*Prices!C$2</f>
        <v/>
      </c>
      <c r="N92" s="174">
        <f>G92*Prices!D$2</f>
        <v/>
      </c>
      <c r="O92" s="174">
        <f>H92*Prices!E$2</f>
        <v/>
      </c>
      <c r="P92" s="174">
        <f>I92*2000+J92*10000+K92*1800</f>
        <v/>
      </c>
      <c r="Q92" s="174">
        <f>D92*Prices!A$2</f>
        <v/>
      </c>
      <c r="R92" s="175">
        <f>L92+M92+N92+O92</f>
        <v/>
      </c>
      <c r="S92" s="174">
        <f>R92+Q92+P92</f>
        <v/>
      </c>
      <c r="T92" s="26" t="n">
        <v>91</v>
      </c>
      <c r="U92" s="26" t="inlineStr">
        <is>
          <t>Sold</t>
        </is>
      </c>
      <c r="V92" s="93" t="n"/>
      <c r="W92" s="93" t="n"/>
      <c r="X92" s="93" t="n"/>
      <c r="Y92" s="93" t="n"/>
      <c r="Z92" s="93" t="n"/>
    </row>
    <row r="93">
      <c r="A93" s="26" t="n">
        <v>92</v>
      </c>
      <c r="B93" s="26" t="n">
        <v>3.714</v>
      </c>
      <c r="C93" s="26">
        <f>B93*(25/100)</f>
        <v/>
      </c>
      <c r="D93" s="26">
        <f>C93+B93</f>
        <v/>
      </c>
      <c r="E93" s="26" t="n">
        <v>1.28</v>
      </c>
      <c r="F93" s="26" t="n"/>
      <c r="G93" s="26" t="n"/>
      <c r="H93" s="26" t="n"/>
      <c r="I93" s="26" t="n"/>
      <c r="J93" s="26" t="n"/>
      <c r="K93" s="26" t="n"/>
      <c r="L93" s="174">
        <f>E93*Prices!B$2</f>
        <v/>
      </c>
      <c r="M93" s="174">
        <f>F93*Prices!C$2</f>
        <v/>
      </c>
      <c r="N93" s="174">
        <f>G93*Prices!D$2</f>
        <v/>
      </c>
      <c r="O93" s="174">
        <f>H93*Prices!E$2</f>
        <v/>
      </c>
      <c r="P93" s="174">
        <f>I93*2000+J93*10000+K93*1800</f>
        <v/>
      </c>
      <c r="Q93" s="174">
        <f>D93*Prices!A$2</f>
        <v/>
      </c>
      <c r="R93" s="175">
        <f>L93+M93+N93+O93</f>
        <v/>
      </c>
      <c r="S93" s="174">
        <f>R93+Q93+P93</f>
        <v/>
      </c>
      <c r="T93" s="26" t="n">
        <v>92</v>
      </c>
      <c r="U93" s="26" t="inlineStr">
        <is>
          <t>Sold</t>
        </is>
      </c>
      <c r="V93" s="93" t="n"/>
      <c r="W93" s="93" t="n"/>
      <c r="X93" s="93" t="n"/>
      <c r="Y93" s="93" t="n"/>
      <c r="Z93" s="93" t="n"/>
    </row>
    <row r="94">
      <c r="A94" s="26" t="n">
        <v>93</v>
      </c>
      <c r="B94" s="26" t="n">
        <v>8.210000000000001</v>
      </c>
      <c r="C94" s="26">
        <f>B94*(25/100)</f>
        <v/>
      </c>
      <c r="D94" s="26">
        <f>C94+B94</f>
        <v/>
      </c>
      <c r="E94" s="26" t="n">
        <v>0.95</v>
      </c>
      <c r="F94" s="26" t="n"/>
      <c r="G94" s="26" t="n"/>
      <c r="H94" s="26" t="n"/>
      <c r="I94" s="26" t="n"/>
      <c r="J94" s="26" t="n"/>
      <c r="K94" s="26" t="n"/>
      <c r="L94" s="174">
        <f>E94*Prices!B$2</f>
        <v/>
      </c>
      <c r="M94" s="174">
        <f>F94*Prices!C$2</f>
        <v/>
      </c>
      <c r="N94" s="174">
        <f>G94*Prices!D$2</f>
        <v/>
      </c>
      <c r="O94" s="174">
        <f>H94*Prices!E$2</f>
        <v/>
      </c>
      <c r="P94" s="174">
        <f>I94*2000+J94*10000+K94*1800</f>
        <v/>
      </c>
      <c r="Q94" s="174">
        <f>D94*Prices!A$2</f>
        <v/>
      </c>
      <c r="R94" s="175">
        <f>L94+M94+N94+O94</f>
        <v/>
      </c>
      <c r="S94" s="174">
        <f>R94+Q94+P94</f>
        <v/>
      </c>
      <c r="T94" s="26" t="n">
        <v>93</v>
      </c>
      <c r="U94" s="26" t="inlineStr">
        <is>
          <t>Available</t>
        </is>
      </c>
      <c r="V94" s="93" t="inlineStr">
        <is>
          <t>A</t>
        </is>
      </c>
      <c r="W94" s="93" t="n"/>
      <c r="X94" s="93" t="n"/>
      <c r="Y94" s="93" t="n"/>
      <c r="Z94" s="93" t="n"/>
    </row>
    <row r="95">
      <c r="A95" s="26" t="n">
        <v>94</v>
      </c>
      <c r="B95" s="26" t="n">
        <v>8.56</v>
      </c>
      <c r="C95" s="26">
        <f>B95*(25/100)</f>
        <v/>
      </c>
      <c r="D95" s="26">
        <f>C95+B95</f>
        <v/>
      </c>
      <c r="E95" s="26">
        <f>1.43+0.38</f>
        <v/>
      </c>
      <c r="F95" s="26" t="n"/>
      <c r="G95" s="26" t="n"/>
      <c r="H95" s="26" t="n"/>
      <c r="I95" s="26" t="n"/>
      <c r="J95" s="26" t="n"/>
      <c r="K95" s="26" t="n">
        <v>13.12</v>
      </c>
      <c r="L95" s="174">
        <f>E95*Prices!B$2</f>
        <v/>
      </c>
      <c r="M95" s="174">
        <f>F95*Prices!C$2</f>
        <v/>
      </c>
      <c r="N95" s="174">
        <f>G95*Prices!D$2</f>
        <v/>
      </c>
      <c r="O95" s="174">
        <f>H95*Prices!E$2</f>
        <v/>
      </c>
      <c r="P95" s="174">
        <f>I95*2000+J95*10000+K95*500</f>
        <v/>
      </c>
      <c r="Q95" s="174">
        <f>D95*Prices!A$2</f>
        <v/>
      </c>
      <c r="R95" s="175">
        <f>L95+M95+N95+O95</f>
        <v/>
      </c>
      <c r="S95" s="174">
        <f>R95+Q95+P95</f>
        <v/>
      </c>
      <c r="T95" s="26" t="n">
        <v>94</v>
      </c>
      <c r="U95" s="26" t="inlineStr">
        <is>
          <t>Available</t>
        </is>
      </c>
      <c r="V95" s="93" t="inlineStr">
        <is>
          <t>A</t>
        </is>
      </c>
      <c r="W95" s="93" t="n"/>
      <c r="X95" s="93" t="n"/>
      <c r="Y95" s="93" t="n"/>
      <c r="Z95" s="93" t="n"/>
    </row>
    <row r="96">
      <c r="A96" s="26" t="n">
        <v>95</v>
      </c>
      <c r="B96" s="26" t="n">
        <v>10.478</v>
      </c>
      <c r="C96" s="26">
        <f>B96*(25/100)</f>
        <v/>
      </c>
      <c r="D96" s="26">
        <f>C96+B96</f>
        <v/>
      </c>
      <c r="E96" s="26" t="n">
        <v>1.99</v>
      </c>
      <c r="F96" s="26" t="n"/>
      <c r="G96" s="26" t="n"/>
      <c r="H96" s="26" t="n"/>
      <c r="I96" s="26" t="n"/>
      <c r="J96" s="26" t="n"/>
      <c r="K96" s="26" t="n">
        <v>5.4</v>
      </c>
      <c r="L96" s="174">
        <f>E96*Prices!B$2</f>
        <v/>
      </c>
      <c r="M96" s="174">
        <f>F96*Prices!C$2</f>
        <v/>
      </c>
      <c r="N96" s="174">
        <f>G96*Prices!D$2</f>
        <v/>
      </c>
      <c r="O96" s="174">
        <f>H96*Prices!E$2</f>
        <v/>
      </c>
      <c r="P96" s="174">
        <f>I96*2000+J96*10000+K96*1800</f>
        <v/>
      </c>
      <c r="Q96" s="174">
        <f>D96*Prices!A$2</f>
        <v/>
      </c>
      <c r="R96" s="175">
        <f>L96+M96+N96+O96</f>
        <v/>
      </c>
      <c r="S96" s="174">
        <f>R96+Q96+P96</f>
        <v/>
      </c>
      <c r="T96" s="26" t="n">
        <v>95</v>
      </c>
      <c r="U96" s="26" t="inlineStr">
        <is>
          <t>Available</t>
        </is>
      </c>
      <c r="V96" s="93" t="inlineStr">
        <is>
          <t>A</t>
        </is>
      </c>
      <c r="W96" s="93" t="n"/>
      <c r="X96" s="93" t="n"/>
      <c r="Y96" s="93" t="n"/>
      <c r="Z96" s="93" t="n"/>
    </row>
    <row r="97">
      <c r="A97" s="26" t="n">
        <v>96</v>
      </c>
      <c r="B97" s="26" t="n">
        <v>3.51</v>
      </c>
      <c r="C97" s="26">
        <f>B97*(25/100)</f>
        <v/>
      </c>
      <c r="D97" s="26">
        <f>C97+B97</f>
        <v/>
      </c>
      <c r="E97" s="26" t="n">
        <v>0.8</v>
      </c>
      <c r="F97" s="26" t="n"/>
      <c r="G97" s="26" t="n"/>
      <c r="H97" s="26" t="n"/>
      <c r="I97" s="26" t="n"/>
      <c r="J97" s="26" t="n"/>
      <c r="K97" s="26" t="n"/>
      <c r="L97" s="174">
        <f>E97*Prices!B$2</f>
        <v/>
      </c>
      <c r="M97" s="174">
        <f>F97*Prices!C$2</f>
        <v/>
      </c>
      <c r="N97" s="174">
        <f>G97*Prices!D$2</f>
        <v/>
      </c>
      <c r="O97" s="174">
        <f>H97*Prices!E$2</f>
        <v/>
      </c>
      <c r="P97" s="174">
        <f>I97*2000+J97*10000+K97*1800</f>
        <v/>
      </c>
      <c r="Q97" s="174">
        <f>D97*Prices!A$2</f>
        <v/>
      </c>
      <c r="R97" s="175">
        <f>L97+M97+N97+O97</f>
        <v/>
      </c>
      <c r="S97" s="174">
        <f>R97+Q97+P97</f>
        <v/>
      </c>
      <c r="T97" s="26" t="n">
        <v>96</v>
      </c>
      <c r="U97" s="26" t="inlineStr">
        <is>
          <t>Sold</t>
        </is>
      </c>
      <c r="V97" s="93" t="n"/>
      <c r="W97" s="93" t="n"/>
      <c r="X97" s="93" t="n"/>
      <c r="Y97" s="93" t="n"/>
      <c r="Z97" s="93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174">
        <f>E98*Prices!B$2</f>
        <v/>
      </c>
      <c r="M98" s="174">
        <f>F98*Prices!C$2</f>
        <v/>
      </c>
      <c r="N98" s="174">
        <f>G98*Prices!D$2</f>
        <v/>
      </c>
      <c r="O98" s="174">
        <f>H98*Prices!E$2</f>
        <v/>
      </c>
      <c r="P98" s="174">
        <f>I98*2000+J98*10000+K98*1800</f>
        <v/>
      </c>
      <c r="Q98" s="174">
        <f>D98*Prices!A$2</f>
        <v/>
      </c>
      <c r="R98" s="175" t="n"/>
      <c r="S98" s="174" t="n"/>
      <c r="T98" s="26" t="n"/>
      <c r="U98" s="26" t="n"/>
      <c r="V98" s="93" t="n"/>
      <c r="W98" s="93" t="n"/>
      <c r="X98" s="93" t="n"/>
      <c r="Y98" s="93" t="n"/>
      <c r="Z98" s="93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174">
        <f>E99*Prices!B$2</f>
        <v/>
      </c>
      <c r="M99" s="174">
        <f>F99*Prices!C$2</f>
        <v/>
      </c>
      <c r="N99" s="174">
        <f>G99*Prices!D$2</f>
        <v/>
      </c>
      <c r="O99" s="174">
        <f>H99*Prices!E$2</f>
        <v/>
      </c>
      <c r="P99" s="174">
        <f>I99*2000+J99*10000+K99*1800</f>
        <v/>
      </c>
      <c r="Q99" s="174">
        <f>D99*Prices!A$2</f>
        <v/>
      </c>
      <c r="R99" s="175" t="n"/>
      <c r="S99" s="174" t="n"/>
      <c r="T99" s="26" t="n"/>
      <c r="U99" s="26" t="n"/>
      <c r="V99" s="93" t="n"/>
      <c r="W99" s="93" t="n"/>
      <c r="X99" s="93" t="n"/>
      <c r="Y99" s="93" t="n"/>
      <c r="Z99" s="93" t="n"/>
    </row>
    <row r="100">
      <c r="A100" s="26" t="n">
        <v>99</v>
      </c>
      <c r="B100" s="26" t="n">
        <v>1.606</v>
      </c>
      <c r="C100" s="26">
        <f>B100*(25/100)</f>
        <v/>
      </c>
      <c r="D100" s="26">
        <f>C100+B100</f>
        <v/>
      </c>
      <c r="E100" s="26" t="n">
        <v>0.32</v>
      </c>
      <c r="F100" s="26" t="n"/>
      <c r="G100" s="26" t="n"/>
      <c r="H100" s="26" t="n"/>
      <c r="I100" s="26" t="n"/>
      <c r="J100" s="26" t="n"/>
      <c r="K100" s="26" t="n"/>
      <c r="L100" s="174">
        <f>E100*Prices!B$2</f>
        <v/>
      </c>
      <c r="M100" s="174">
        <f>F100*Prices!C$2</f>
        <v/>
      </c>
      <c r="N100" s="174">
        <f>G100*Prices!D$2</f>
        <v/>
      </c>
      <c r="O100" s="174">
        <f>H100*Prices!E$2</f>
        <v/>
      </c>
      <c r="P100" s="174">
        <f>I100*2000+J100*10000+K100*1800</f>
        <v/>
      </c>
      <c r="Q100" s="174">
        <f>D100*Prices!A$2</f>
        <v/>
      </c>
      <c r="R100" s="175">
        <f>L100+M100+N100+O100</f>
        <v/>
      </c>
      <c r="S100" s="174">
        <f>R100+Q100+P100</f>
        <v/>
      </c>
      <c r="T100" s="26" t="n">
        <v>99</v>
      </c>
      <c r="U100" s="26" t="inlineStr">
        <is>
          <t>Sold</t>
        </is>
      </c>
      <c r="V100" s="93" t="n"/>
      <c r="W100" s="93" t="n"/>
      <c r="X100" s="93" t="n"/>
      <c r="Y100" s="93" t="n"/>
      <c r="Z100" s="93" t="n"/>
    </row>
    <row r="101">
      <c r="A101" s="26" t="n">
        <v>100</v>
      </c>
      <c r="B101" s="26" t="n">
        <v>1.952</v>
      </c>
      <c r="C101" s="26">
        <f>B101*(25/100)</f>
        <v/>
      </c>
      <c r="D101" s="26">
        <f>C101+B101</f>
        <v/>
      </c>
      <c r="E101" s="26" t="n">
        <v>0.4</v>
      </c>
      <c r="F101" s="26" t="n">
        <v>0.14</v>
      </c>
      <c r="G101" s="26" t="n"/>
      <c r="H101" s="26" t="n"/>
      <c r="I101" s="26" t="n"/>
      <c r="J101" s="26" t="n"/>
      <c r="K101" s="26" t="n"/>
      <c r="L101" s="174">
        <f>E101*Prices!B$2</f>
        <v/>
      </c>
      <c r="M101" s="174">
        <f>F101*Prices!C$2</f>
        <v/>
      </c>
      <c r="N101" s="174">
        <f>G101*Prices!D$2</f>
        <v/>
      </c>
      <c r="O101" s="174">
        <f>H101*Prices!E$2</f>
        <v/>
      </c>
      <c r="P101" s="174">
        <f>I101*2000+J101*10000+K101*1800</f>
        <v/>
      </c>
      <c r="Q101" s="174">
        <f>D101*Prices!A$2</f>
        <v/>
      </c>
      <c r="R101" s="175">
        <f>L101+M101+N101+O101</f>
        <v/>
      </c>
      <c r="S101" s="174">
        <f>R101+Q101+P101</f>
        <v/>
      </c>
      <c r="T101" s="26" t="n">
        <v>100</v>
      </c>
      <c r="U101" s="26" t="inlineStr">
        <is>
          <t>Sold</t>
        </is>
      </c>
      <c r="V101" s="93" t="n"/>
      <c r="W101" s="93" t="n"/>
      <c r="X101" s="93" t="n"/>
      <c r="Y101" s="93" t="n"/>
      <c r="Z101" s="93" t="n"/>
    </row>
    <row r="102">
      <c r="A102" s="26" t="n">
        <v>101</v>
      </c>
      <c r="B102" s="26" t="n">
        <v>9.84</v>
      </c>
      <c r="C102" s="26">
        <f>B102*(25/100)</f>
        <v/>
      </c>
      <c r="D102" s="26">
        <f>C102+B102</f>
        <v/>
      </c>
      <c r="E102" s="26" t="n">
        <v>2.03</v>
      </c>
      <c r="F102" s="26" t="n"/>
      <c r="G102" s="26" t="n"/>
      <c r="H102" s="26" t="n"/>
      <c r="I102" s="26" t="n"/>
      <c r="J102" s="26" t="n"/>
      <c r="K102" s="26" t="n">
        <v>2.62</v>
      </c>
      <c r="L102" s="174">
        <f>E102*Prices!B$2</f>
        <v/>
      </c>
      <c r="M102" s="174">
        <f>F102*Prices!C$2</f>
        <v/>
      </c>
      <c r="N102" s="174">
        <f>G102*Prices!D$2</f>
        <v/>
      </c>
      <c r="O102" s="174">
        <f>H102*Prices!E$2</f>
        <v/>
      </c>
      <c r="P102" s="174">
        <f>I102*2000+J102*10000+K102*1800</f>
        <v/>
      </c>
      <c r="Q102" s="174">
        <f>D102*Prices!A$2</f>
        <v/>
      </c>
      <c r="R102" s="175">
        <f>L102+M102+N102+O102</f>
        <v/>
      </c>
      <c r="S102" s="174">
        <f>R102+Q102+P102</f>
        <v/>
      </c>
      <c r="T102" s="26" t="n">
        <v>101</v>
      </c>
      <c r="U102" s="26" t="inlineStr">
        <is>
          <t>Available</t>
        </is>
      </c>
      <c r="V102" s="93" t="inlineStr">
        <is>
          <t>A</t>
        </is>
      </c>
      <c r="W102" s="93" t="n"/>
      <c r="X102" s="93" t="n"/>
      <c r="Y102" s="93" t="n"/>
      <c r="Z102" s="93" t="n"/>
    </row>
    <row r="103">
      <c r="A103" s="26" t="n">
        <v>102</v>
      </c>
      <c r="B103" s="26" t="n">
        <v>5.592</v>
      </c>
      <c r="C103" s="26">
        <f>B103*(25/100)</f>
        <v/>
      </c>
      <c r="D103" s="26">
        <f>C103+B103</f>
        <v/>
      </c>
      <c r="E103" s="26" t="n">
        <v>1.33</v>
      </c>
      <c r="F103" s="26" t="n"/>
      <c r="G103" s="26" t="n"/>
      <c r="H103" s="26" t="n"/>
      <c r="I103" s="26" t="n"/>
      <c r="J103" s="26" t="n"/>
      <c r="K103" s="26" t="n">
        <v>0.8100000000000001</v>
      </c>
      <c r="L103" s="174">
        <f>E103*Prices!B$2</f>
        <v/>
      </c>
      <c r="M103" s="174">
        <f>F103*Prices!C$2</f>
        <v/>
      </c>
      <c r="N103" s="174">
        <f>G103*Prices!D$2</f>
        <v/>
      </c>
      <c r="O103" s="174">
        <f>H103*Prices!E$2</f>
        <v/>
      </c>
      <c r="P103" s="174">
        <f>I103*2000+J103*10000+K103*1800</f>
        <v/>
      </c>
      <c r="Q103" s="174">
        <f>D103*Prices!A$2</f>
        <v/>
      </c>
      <c r="R103" s="175">
        <f>L103+M103+N103+O103</f>
        <v/>
      </c>
      <c r="S103" s="174">
        <f>R103+Q103+P103</f>
        <v/>
      </c>
      <c r="T103" s="26" t="n">
        <v>102</v>
      </c>
      <c r="U103" s="26" t="inlineStr">
        <is>
          <t>Available</t>
        </is>
      </c>
      <c r="V103" s="93" t="inlineStr">
        <is>
          <t>A</t>
        </is>
      </c>
      <c r="W103" s="93" t="n"/>
      <c r="X103" s="93" t="n"/>
      <c r="Y103" s="93" t="n"/>
      <c r="Z103" s="93" t="n"/>
    </row>
    <row r="104">
      <c r="A104" s="26" t="n">
        <v>103</v>
      </c>
      <c r="B104" s="26" t="n">
        <v>4.6</v>
      </c>
      <c r="C104" s="26">
        <f>B104*(25/100)</f>
        <v/>
      </c>
      <c r="D104" s="26">
        <f>C104+B104</f>
        <v/>
      </c>
      <c r="E104" s="26" t="n">
        <v>0.95</v>
      </c>
      <c r="F104" s="26" t="n"/>
      <c r="G104" s="26" t="n"/>
      <c r="H104" s="26" t="n"/>
      <c r="I104" s="26" t="n"/>
      <c r="J104" s="26" t="n"/>
      <c r="K104" s="26" t="n"/>
      <c r="L104" s="174">
        <f>E104*Prices!B$2</f>
        <v/>
      </c>
      <c r="M104" s="174">
        <f>F104*Prices!C$2</f>
        <v/>
      </c>
      <c r="N104" s="174">
        <f>G104*Prices!D$2</f>
        <v/>
      </c>
      <c r="O104" s="174">
        <f>H104*Prices!E$2</f>
        <v/>
      </c>
      <c r="P104" s="174">
        <f>I104*2000+J104*10000+K104*1800</f>
        <v/>
      </c>
      <c r="Q104" s="174">
        <f>D104*Prices!A$2</f>
        <v/>
      </c>
      <c r="R104" s="175">
        <f>L104+M104+N104+O104</f>
        <v/>
      </c>
      <c r="S104" s="174">
        <f>R104+Q104+P104</f>
        <v/>
      </c>
      <c r="T104" s="26" t="n">
        <v>103</v>
      </c>
      <c r="U104" s="26" t="inlineStr">
        <is>
          <t>Available</t>
        </is>
      </c>
      <c r="V104" s="93" t="inlineStr">
        <is>
          <t>A</t>
        </is>
      </c>
      <c r="W104" s="93" t="n"/>
      <c r="X104" s="93" t="n"/>
      <c r="Y104" s="93" t="n"/>
      <c r="Z104" s="93" t="n"/>
    </row>
    <row r="105">
      <c r="A105" s="26" t="n">
        <v>104</v>
      </c>
      <c r="B105" s="26" t="n">
        <v>6.45</v>
      </c>
      <c r="C105" s="26">
        <f>B105*(25/100)</f>
        <v/>
      </c>
      <c r="D105" s="26">
        <f>C105+B105</f>
        <v/>
      </c>
      <c r="E105" s="26" t="n">
        <v>1.25</v>
      </c>
      <c r="F105" s="26" t="n"/>
      <c r="G105" s="26" t="n"/>
      <c r="H105" s="26" t="n"/>
      <c r="I105" s="26" t="n"/>
      <c r="J105" s="26" t="n"/>
      <c r="K105" s="26" t="n"/>
      <c r="L105" s="174">
        <f>E105*Prices!B$2</f>
        <v/>
      </c>
      <c r="M105" s="174">
        <f>F105*Prices!C$2</f>
        <v/>
      </c>
      <c r="N105" s="174">
        <f>G105*Prices!D$2</f>
        <v/>
      </c>
      <c r="O105" s="174">
        <f>H105*Prices!E$2</f>
        <v/>
      </c>
      <c r="P105" s="174">
        <f>I105*2000+J105*10000+K105*1800</f>
        <v/>
      </c>
      <c r="Q105" s="174">
        <f>D105*Prices!A$2</f>
        <v/>
      </c>
      <c r="R105" s="175">
        <f>L105+M105+N105+O105</f>
        <v/>
      </c>
      <c r="S105" s="174">
        <f>R105+Q105+P105</f>
        <v/>
      </c>
      <c r="T105" s="26" t="n">
        <v>104</v>
      </c>
      <c r="U105" s="26" t="inlineStr">
        <is>
          <t>Available</t>
        </is>
      </c>
      <c r="V105" s="93" t="inlineStr">
        <is>
          <t>A</t>
        </is>
      </c>
      <c r="W105" s="93" t="n"/>
      <c r="X105" s="93" t="n"/>
      <c r="Y105" s="93" t="n"/>
      <c r="Z105" s="93" t="n"/>
    </row>
    <row r="106">
      <c r="A106" s="26" t="n">
        <v>105</v>
      </c>
      <c r="B106" s="26" t="n">
        <v>5.454</v>
      </c>
      <c r="C106" s="26">
        <f>B106*(25/100)</f>
        <v/>
      </c>
      <c r="D106" s="26">
        <f>C106+B106</f>
        <v/>
      </c>
      <c r="E106" s="26" t="n">
        <v>1.28</v>
      </c>
      <c r="F106" s="26" t="n"/>
      <c r="G106" s="26" t="n"/>
      <c r="H106" s="26" t="n"/>
      <c r="I106" s="26" t="n"/>
      <c r="J106" s="26" t="n"/>
      <c r="K106" s="26" t="n"/>
      <c r="L106" s="174">
        <f>E106*Prices!B$2</f>
        <v/>
      </c>
      <c r="M106" s="174">
        <f>F106*Prices!C$2</f>
        <v/>
      </c>
      <c r="N106" s="174">
        <f>G106*Prices!D$2</f>
        <v/>
      </c>
      <c r="O106" s="174">
        <f>H106*Prices!E$2</f>
        <v/>
      </c>
      <c r="P106" s="174">
        <f>I106*2000+J106*10000+K106*1800</f>
        <v/>
      </c>
      <c r="Q106" s="174">
        <f>D106*Prices!A$2</f>
        <v/>
      </c>
      <c r="R106" s="175">
        <f>L106+M106+N106+O106</f>
        <v/>
      </c>
      <c r="S106" s="174">
        <f>R106+Q106+P106</f>
        <v/>
      </c>
      <c r="T106" s="26" t="n">
        <v>105</v>
      </c>
      <c r="U106" s="26" t="inlineStr">
        <is>
          <t>Available</t>
        </is>
      </c>
      <c r="V106" s="93" t="inlineStr">
        <is>
          <t>A</t>
        </is>
      </c>
      <c r="W106" s="93" t="n"/>
      <c r="X106" s="93" t="n"/>
      <c r="Y106" s="93" t="n"/>
      <c r="Z106" s="93" t="n"/>
    </row>
    <row r="107">
      <c r="A107" s="26" t="n">
        <v>106</v>
      </c>
      <c r="B107" s="26" t="n">
        <v>7.164</v>
      </c>
      <c r="C107" s="26">
        <f>B107*(25/100)</f>
        <v/>
      </c>
      <c r="D107" s="26">
        <f>C107+B107</f>
        <v/>
      </c>
      <c r="E107" s="26" t="n">
        <v>1.63</v>
      </c>
      <c r="F107" s="26" t="n"/>
      <c r="G107" s="26" t="n"/>
      <c r="H107" s="26" t="n"/>
      <c r="I107" s="26" t="n"/>
      <c r="J107" s="26" t="n"/>
      <c r="K107" s="26" t="n">
        <v>1.9</v>
      </c>
      <c r="L107" s="174">
        <f>E107*Prices!B$2</f>
        <v/>
      </c>
      <c r="M107" s="174">
        <f>F107*Prices!C$2</f>
        <v/>
      </c>
      <c r="N107" s="174">
        <f>G107*Prices!D$2</f>
        <v/>
      </c>
      <c r="O107" s="174">
        <f>H107*Prices!E$2</f>
        <v/>
      </c>
      <c r="P107" s="174">
        <f>I107*2000+J107*10000+K107*1800</f>
        <v/>
      </c>
      <c r="Q107" s="174">
        <f>D107*Prices!A$2</f>
        <v/>
      </c>
      <c r="R107" s="175">
        <f>L107+M107+N107+O107</f>
        <v/>
      </c>
      <c r="S107" s="174">
        <f>R107+Q107+P107</f>
        <v/>
      </c>
      <c r="T107" s="26" t="n">
        <v>106</v>
      </c>
      <c r="U107" s="26" t="inlineStr">
        <is>
          <t>Available</t>
        </is>
      </c>
      <c r="V107" s="93" t="inlineStr">
        <is>
          <t>A</t>
        </is>
      </c>
      <c r="W107" s="93" t="n"/>
      <c r="X107" s="93" t="n"/>
      <c r="Y107" s="93" t="n"/>
      <c r="Z107" s="93" t="n"/>
    </row>
    <row r="108">
      <c r="A108" s="26" t="n">
        <v>107</v>
      </c>
      <c r="B108" s="26" t="n">
        <v>5.196</v>
      </c>
      <c r="C108" s="26">
        <f>B108*(25/100)</f>
        <v/>
      </c>
      <c r="D108" s="26">
        <f>C108+B108</f>
        <v/>
      </c>
      <c r="E108" s="26">
        <f>0.92+0.5</f>
        <v/>
      </c>
      <c r="F108" s="26" t="n"/>
      <c r="G108" s="26" t="n"/>
      <c r="H108" s="26" t="n"/>
      <c r="I108" s="26" t="n"/>
      <c r="J108" s="26" t="n"/>
      <c r="K108" s="26" t="n"/>
      <c r="L108" s="174">
        <f>E108*Prices!B$2</f>
        <v/>
      </c>
      <c r="M108" s="174">
        <f>F108*Prices!C$2</f>
        <v/>
      </c>
      <c r="N108" s="174">
        <f>G108*Prices!D$2</f>
        <v/>
      </c>
      <c r="O108" s="174">
        <f>H108*Prices!E$2</f>
        <v/>
      </c>
      <c r="P108" s="174">
        <f>I108*2000+J108*10000+K108*1800</f>
        <v/>
      </c>
      <c r="Q108" s="174">
        <f>D108*Prices!A$2</f>
        <v/>
      </c>
      <c r="R108" s="175">
        <f>L108+M108+N108+O108</f>
        <v/>
      </c>
      <c r="S108" s="174">
        <f>R108+Q108+P108</f>
        <v/>
      </c>
      <c r="T108" s="26" t="n">
        <v>107</v>
      </c>
      <c r="U108" s="26" t="inlineStr">
        <is>
          <t>Available</t>
        </is>
      </c>
      <c r="V108" s="93" t="inlineStr">
        <is>
          <t>A</t>
        </is>
      </c>
      <c r="W108" s="93" t="n"/>
      <c r="X108" s="93" t="n"/>
      <c r="Y108" s="93" t="n"/>
      <c r="Z108" s="93" t="n"/>
    </row>
    <row r="109">
      <c r="A109" s="26" t="n">
        <v>108</v>
      </c>
      <c r="B109" s="26" t="n">
        <v>1.434</v>
      </c>
      <c r="C109" s="26">
        <f>B109*(25/100)</f>
        <v/>
      </c>
      <c r="D109" s="26">
        <f>C109+B109</f>
        <v/>
      </c>
      <c r="E109" s="26" t="n">
        <v>0.18</v>
      </c>
      <c r="F109" s="26" t="n"/>
      <c r="G109" s="26" t="n"/>
      <c r="H109" s="26" t="n"/>
      <c r="I109" s="26" t="n"/>
      <c r="J109" s="26" t="n"/>
      <c r="K109" s="26" t="n"/>
      <c r="L109" s="174">
        <f>E109*Prices!B$2</f>
        <v/>
      </c>
      <c r="M109" s="174">
        <f>F109*Prices!C$2</f>
        <v/>
      </c>
      <c r="N109" s="174">
        <f>G109*Prices!D$2</f>
        <v/>
      </c>
      <c r="O109" s="174">
        <f>H109*Prices!E$2</f>
        <v/>
      </c>
      <c r="P109" s="174">
        <f>I109*2000+J109*10000+K109*1800</f>
        <v/>
      </c>
      <c r="Q109" s="174">
        <f>D109*Prices!A$2</f>
        <v/>
      </c>
      <c r="R109" s="175">
        <f>L109+M109+N109+O109</f>
        <v/>
      </c>
      <c r="S109" s="174">
        <f>R109+Q109+P109</f>
        <v/>
      </c>
      <c r="T109" s="26" t="n">
        <v>108</v>
      </c>
      <c r="U109" s="26" t="inlineStr">
        <is>
          <t>Sold</t>
        </is>
      </c>
      <c r="V109" s="93" t="n"/>
      <c r="W109" s="93" t="n"/>
      <c r="X109" s="93" t="n"/>
      <c r="Y109" s="93" t="n"/>
      <c r="Z109" s="93" t="n"/>
    </row>
    <row r="110">
      <c r="A110" s="26" t="n">
        <v>109</v>
      </c>
      <c r="B110" s="26" t="n">
        <v>1.278</v>
      </c>
      <c r="C110" s="26">
        <f>B110*(25/100)</f>
        <v/>
      </c>
      <c r="D110" s="26">
        <f>C110+B110</f>
        <v/>
      </c>
      <c r="E110" s="26" t="n">
        <v>0.16</v>
      </c>
      <c r="F110" s="26" t="n"/>
      <c r="G110" s="26" t="n"/>
      <c r="H110" s="26" t="n"/>
      <c r="I110" s="26" t="n"/>
      <c r="J110" s="26" t="n"/>
      <c r="K110" s="26" t="n"/>
      <c r="L110" s="174">
        <f>E110*Prices!B$2</f>
        <v/>
      </c>
      <c r="M110" s="174">
        <f>F110*Prices!C$2</f>
        <v/>
      </c>
      <c r="N110" s="174">
        <f>G110*Prices!D$2</f>
        <v/>
      </c>
      <c r="O110" s="174">
        <f>H110*Prices!E$2</f>
        <v/>
      </c>
      <c r="P110" s="174">
        <f>I110*2000+J110*10000+K110*1800</f>
        <v/>
      </c>
      <c r="Q110" s="174">
        <f>D110*Prices!A$2</f>
        <v/>
      </c>
      <c r="R110" s="175">
        <f>L110+M110+N110+O110</f>
        <v/>
      </c>
      <c r="S110" s="174">
        <f>R110+Q110+P110</f>
        <v/>
      </c>
      <c r="T110" s="26" t="n">
        <v>109</v>
      </c>
      <c r="U110" s="26" t="inlineStr">
        <is>
          <t>Available</t>
        </is>
      </c>
      <c r="V110" s="93" t="n"/>
      <c r="W110" s="93" t="n"/>
      <c r="X110" s="93" t="n"/>
      <c r="Y110" s="93" t="n"/>
      <c r="Z110" s="93" t="n"/>
    </row>
    <row r="111">
      <c r="A111" s="26" t="n">
        <v>110</v>
      </c>
      <c r="B111" s="26" t="n">
        <v>5.806</v>
      </c>
      <c r="C111" s="26">
        <f>B111*(25/100)</f>
        <v/>
      </c>
      <c r="D111" s="26">
        <f>C111+B111</f>
        <v/>
      </c>
      <c r="E111" s="26" t="n">
        <v>0.93</v>
      </c>
      <c r="F111" s="26" t="n"/>
      <c r="G111" s="26" t="n">
        <v>0.54</v>
      </c>
      <c r="H111" s="26" t="n"/>
      <c r="I111" s="26" t="n"/>
      <c r="J111" s="26" t="n"/>
      <c r="K111" s="26" t="n"/>
      <c r="L111" s="174">
        <f>E111*Prices!B$2</f>
        <v/>
      </c>
      <c r="M111" s="174">
        <f>F111*Prices!C$2</f>
        <v/>
      </c>
      <c r="N111" s="174">
        <f>G111*Prices!D$2</f>
        <v/>
      </c>
      <c r="O111" s="174">
        <f>H111*Prices!E$2</f>
        <v/>
      </c>
      <c r="P111" s="174">
        <f>I111*2000+J111*10000+K111*1800</f>
        <v/>
      </c>
      <c r="Q111" s="174">
        <f>D111*Prices!A$2</f>
        <v/>
      </c>
      <c r="R111" s="175">
        <f>L111+M111+N111+O111</f>
        <v/>
      </c>
      <c r="S111" s="174">
        <f>R111+Q111+P111</f>
        <v/>
      </c>
      <c r="T111" s="26" t="n">
        <v>110</v>
      </c>
      <c r="U111" s="93" t="inlineStr">
        <is>
          <t>Sold</t>
        </is>
      </c>
      <c r="V111" s="93" t="n"/>
      <c r="W111" s="93" t="n"/>
      <c r="X111" s="93" t="n"/>
      <c r="Y111" s="93" t="n"/>
      <c r="Z111" s="93" t="n"/>
    </row>
    <row r="112">
      <c r="A112" s="26" t="n">
        <v>111</v>
      </c>
      <c r="B112" s="26" t="n">
        <v>5.072</v>
      </c>
      <c r="C112" s="26">
        <f>B112*(25/100)</f>
        <v/>
      </c>
      <c r="D112" s="26">
        <f>C112+B112</f>
        <v/>
      </c>
      <c r="E112" s="26" t="n">
        <v>0.64</v>
      </c>
      <c r="F112" s="26" t="n"/>
      <c r="G112" s="26" t="n"/>
      <c r="H112" s="26" t="n"/>
      <c r="I112" s="26" t="n"/>
      <c r="J112" s="26" t="n">
        <v>3.85</v>
      </c>
      <c r="K112" s="26" t="n"/>
      <c r="L112" s="174">
        <f>E112*Prices!B$2</f>
        <v/>
      </c>
      <c r="M112" s="174">
        <f>F112*Prices!C$2</f>
        <v/>
      </c>
      <c r="N112" s="174">
        <f>G112*Prices!D$2</f>
        <v/>
      </c>
      <c r="O112" s="174">
        <f>H112*Prices!E$2</f>
        <v/>
      </c>
      <c r="P112" s="174">
        <f>I112*2000+J112*10000+K112*1800</f>
        <v/>
      </c>
      <c r="Q112" s="174">
        <f>D112*Prices!A$2</f>
        <v/>
      </c>
      <c r="R112" s="175">
        <f>L112+M112+N112+O112</f>
        <v/>
      </c>
      <c r="S112" s="174">
        <f>R112+Q112+P112</f>
        <v/>
      </c>
      <c r="T112" s="26" t="n">
        <v>111</v>
      </c>
      <c r="U112" s="93" t="inlineStr">
        <is>
          <t>Sold</t>
        </is>
      </c>
      <c r="V112" s="93" t="n"/>
      <c r="W112" s="93" t="n"/>
      <c r="X112" s="93" t="n"/>
      <c r="Y112" s="93" t="n"/>
      <c r="Z112" s="93" t="n"/>
    </row>
    <row r="113">
      <c r="A113" s="26" t="n">
        <v>112</v>
      </c>
      <c r="B113" s="26" t="n">
        <v>6.516</v>
      </c>
      <c r="C113" s="26">
        <f>B113*(25/100)</f>
        <v/>
      </c>
      <c r="D113" s="26">
        <f>C113+B113</f>
        <v/>
      </c>
      <c r="E113" s="26" t="n">
        <v>1.2</v>
      </c>
      <c r="F113" s="26" t="n"/>
      <c r="G113" s="26" t="n"/>
      <c r="H113" s="26" t="n"/>
      <c r="I113" s="26" t="n"/>
      <c r="J113" s="26" t="n"/>
      <c r="K113" s="26" t="n">
        <v>4.17</v>
      </c>
      <c r="L113" s="174">
        <f>E113*Prices!B$2</f>
        <v/>
      </c>
      <c r="M113" s="174">
        <f>F113*Prices!C$2</f>
        <v/>
      </c>
      <c r="N113" s="174">
        <f>G113*Prices!D$2</f>
        <v/>
      </c>
      <c r="O113" s="174">
        <f>H113*Prices!E$2</f>
        <v/>
      </c>
      <c r="P113" s="174">
        <f>I113*2000+J113*10000+K113*1800</f>
        <v/>
      </c>
      <c r="Q113" s="174">
        <f>D113*Prices!A$2</f>
        <v/>
      </c>
      <c r="R113" s="175">
        <f>L113+M113+N113+O113</f>
        <v/>
      </c>
      <c r="S113" s="174">
        <f>R113+Q113+P113</f>
        <v/>
      </c>
      <c r="T113" s="26" t="n">
        <v>112</v>
      </c>
      <c r="U113" s="26" t="inlineStr">
        <is>
          <t>Sold</t>
        </is>
      </c>
      <c r="V113" s="93" t="n"/>
      <c r="W113" s="93" t="n"/>
      <c r="X113" s="93" t="n"/>
      <c r="Y113" s="93" t="n"/>
      <c r="Z113" s="93" t="n"/>
    </row>
    <row r="114">
      <c r="A114" s="26" t="n">
        <v>113</v>
      </c>
      <c r="B114" s="26" t="n">
        <v>8.48</v>
      </c>
      <c r="C114" s="26">
        <f>B114*(25/100)</f>
        <v/>
      </c>
      <c r="D114" s="26">
        <f>C114+B114</f>
        <v/>
      </c>
      <c r="E114" s="26" t="n">
        <v>1.88</v>
      </c>
      <c r="F114" s="26" t="n"/>
      <c r="G114" s="26" t="n"/>
      <c r="H114" s="26" t="n"/>
      <c r="I114" s="26" t="n"/>
      <c r="J114" s="26" t="n">
        <v>3.7</v>
      </c>
      <c r="K114" s="26" t="n"/>
      <c r="L114" s="174">
        <f>E114*Prices!B$2</f>
        <v/>
      </c>
      <c r="M114" s="174">
        <f>F114*Prices!C$2</f>
        <v/>
      </c>
      <c r="N114" s="174">
        <f>G114*Prices!D$2</f>
        <v/>
      </c>
      <c r="O114" s="174">
        <f>H114*Prices!E$2</f>
        <v/>
      </c>
      <c r="P114" s="174">
        <f>I114*2000+J114*10000+K114*1800</f>
        <v/>
      </c>
      <c r="Q114" s="174">
        <f>D114*Prices!A$2</f>
        <v/>
      </c>
      <c r="R114" s="175">
        <f>L114+M114+N114+O114</f>
        <v/>
      </c>
      <c r="S114" s="174">
        <f>R114+Q114+P114</f>
        <v/>
      </c>
      <c r="T114" s="26" t="n">
        <v>113</v>
      </c>
      <c r="U114" s="26" t="inlineStr">
        <is>
          <t>Available</t>
        </is>
      </c>
      <c r="V114" s="93" t="inlineStr">
        <is>
          <t>A</t>
        </is>
      </c>
      <c r="W114" s="93" t="n"/>
      <c r="X114" s="93" t="n"/>
      <c r="Y114" s="93" t="n"/>
      <c r="Z114" s="93" t="n"/>
    </row>
    <row r="115">
      <c r="A115" s="26" t="n">
        <v>114</v>
      </c>
      <c r="B115" s="26" t="n">
        <v>5.202</v>
      </c>
      <c r="C115" s="26">
        <f>B115*(25/100)</f>
        <v/>
      </c>
      <c r="D115" s="26">
        <f>C115+B115</f>
        <v/>
      </c>
      <c r="E115" s="26" t="n">
        <v>1.49</v>
      </c>
      <c r="F115" s="26" t="n"/>
      <c r="G115" s="26" t="n"/>
      <c r="H115" s="26" t="n"/>
      <c r="I115" s="26" t="n"/>
      <c r="J115" s="26" t="n"/>
      <c r="K115" s="26" t="n"/>
      <c r="L115" s="174">
        <f>E115*Prices!B$2</f>
        <v/>
      </c>
      <c r="M115" s="174">
        <f>F115*Prices!C$2</f>
        <v/>
      </c>
      <c r="N115" s="174">
        <f>G115*Prices!D$2</f>
        <v/>
      </c>
      <c r="O115" s="174">
        <f>H115*Prices!E$2</f>
        <v/>
      </c>
      <c r="P115" s="174">
        <f>I115*2000+J115*10000+K115*1800</f>
        <v/>
      </c>
      <c r="Q115" s="174">
        <f>D115*Prices!A$2</f>
        <v/>
      </c>
      <c r="R115" s="175">
        <f>L115+M115+N115+O115</f>
        <v/>
      </c>
      <c r="S115" s="174">
        <f>R115+Q115+P115</f>
        <v/>
      </c>
      <c r="T115" s="26" t="n">
        <v>114</v>
      </c>
      <c r="U115" s="26" t="inlineStr">
        <is>
          <t>Sold</t>
        </is>
      </c>
      <c r="V115" s="93" t="n"/>
      <c r="W115" s="93" t="n"/>
      <c r="X115" s="93" t="n"/>
      <c r="Y115" s="93" t="n"/>
      <c r="Z115" s="93" t="n"/>
    </row>
    <row r="116">
      <c r="A116" s="26" t="n">
        <v>115</v>
      </c>
      <c r="B116" s="26" t="n">
        <v>2.524</v>
      </c>
      <c r="C116" s="26">
        <f>B116*(25/100)</f>
        <v/>
      </c>
      <c r="D116" s="26">
        <f>C116+B116</f>
        <v/>
      </c>
      <c r="E116" s="26" t="n">
        <v>0.53</v>
      </c>
      <c r="F116" s="26" t="n"/>
      <c r="G116" s="26" t="n"/>
      <c r="H116" s="26" t="n"/>
      <c r="I116" s="26" t="n"/>
      <c r="J116" s="26" t="n"/>
      <c r="K116" s="26" t="n"/>
      <c r="L116" s="174">
        <f>E116*Prices!B$2</f>
        <v/>
      </c>
      <c r="M116" s="174">
        <f>F116*Prices!C$2</f>
        <v/>
      </c>
      <c r="N116" s="174">
        <f>G116*Prices!D$2</f>
        <v/>
      </c>
      <c r="O116" s="174">
        <f>H116*Prices!E$2</f>
        <v/>
      </c>
      <c r="P116" s="174">
        <f>I116*2000+J116*10000+K116*1800</f>
        <v/>
      </c>
      <c r="Q116" s="174">
        <f>D116*Prices!A$2</f>
        <v/>
      </c>
      <c r="R116" s="175">
        <f>L116+M116+N116+O116</f>
        <v/>
      </c>
      <c r="S116" s="174">
        <f>R116+Q116+P116</f>
        <v/>
      </c>
      <c r="T116" s="26" t="n">
        <v>115</v>
      </c>
      <c r="U116" s="26" t="inlineStr">
        <is>
          <t>Sold</t>
        </is>
      </c>
      <c r="V116" s="93" t="n"/>
      <c r="W116" s="93" t="n"/>
      <c r="X116" s="93" t="n"/>
      <c r="Y116" s="93" t="n"/>
      <c r="Z116" s="93" t="n"/>
    </row>
    <row r="117">
      <c r="A117" s="26" t="n">
        <v>116</v>
      </c>
      <c r="B117" s="26" t="n">
        <v>2.014</v>
      </c>
      <c r="C117" s="26">
        <f>B117*(25/100)</f>
        <v/>
      </c>
      <c r="D117" s="26">
        <f>C117+B117</f>
        <v/>
      </c>
      <c r="E117" s="26" t="n">
        <v>0.38</v>
      </c>
      <c r="F117" s="26" t="n"/>
      <c r="G117" s="26" t="n"/>
      <c r="H117" s="26" t="n"/>
      <c r="I117" s="26" t="n"/>
      <c r="J117" s="26" t="n"/>
      <c r="K117" s="26" t="n"/>
      <c r="L117" s="174">
        <f>E117*Prices!B$2</f>
        <v/>
      </c>
      <c r="M117" s="174">
        <f>F117*Prices!C$2</f>
        <v/>
      </c>
      <c r="N117" s="174">
        <f>G117*Prices!D$2</f>
        <v/>
      </c>
      <c r="O117" s="174">
        <f>H117*Prices!E$2</f>
        <v/>
      </c>
      <c r="P117" s="174">
        <f>I117*2000+J117*10000+K117*1800</f>
        <v/>
      </c>
      <c r="Q117" s="174">
        <f>D117*Prices!A$2</f>
        <v/>
      </c>
      <c r="R117" s="175">
        <f>L117+M117+N117+O117</f>
        <v/>
      </c>
      <c r="S117" s="174">
        <f>R117+Q117+P117</f>
        <v/>
      </c>
      <c r="T117" s="26" t="n">
        <v>116</v>
      </c>
      <c r="U117" s="26" t="inlineStr">
        <is>
          <t>Available</t>
        </is>
      </c>
      <c r="V117" s="93" t="n"/>
      <c r="W117" s="93" t="n"/>
      <c r="X117" s="93" t="n"/>
      <c r="Y117" s="93" t="n"/>
      <c r="Z117" s="93" t="n"/>
    </row>
    <row r="118">
      <c r="A118" s="26" t="n">
        <v>117</v>
      </c>
      <c r="B118" s="26" t="n">
        <v>2.236</v>
      </c>
      <c r="C118" s="26">
        <f>B118*(25/100)</f>
        <v/>
      </c>
      <c r="D118" s="26">
        <f>C118+B118</f>
        <v/>
      </c>
      <c r="E118" s="26" t="n">
        <v>0.52</v>
      </c>
      <c r="F118" s="26" t="n"/>
      <c r="G118" s="26" t="n"/>
      <c r="H118" s="26" t="n"/>
      <c r="I118" s="26" t="n"/>
      <c r="J118" s="26" t="n"/>
      <c r="K118" s="26" t="n"/>
      <c r="L118" s="174">
        <f>E118*Prices!B$2</f>
        <v/>
      </c>
      <c r="M118" s="174">
        <f>F118*Prices!C$2</f>
        <v/>
      </c>
      <c r="N118" s="174">
        <f>G118*Prices!D$2</f>
        <v/>
      </c>
      <c r="O118" s="174">
        <f>H118*Prices!E$2</f>
        <v/>
      </c>
      <c r="P118" s="174">
        <f>I118*2000+J118*10000+K118*1800</f>
        <v/>
      </c>
      <c r="Q118" s="174">
        <f>D118*Prices!A$2</f>
        <v/>
      </c>
      <c r="R118" s="175">
        <f>L118+M118+N118+O118</f>
        <v/>
      </c>
      <c r="S118" s="174">
        <f>R118+Q118+P118</f>
        <v/>
      </c>
      <c r="T118" s="26" t="n">
        <v>117</v>
      </c>
      <c r="U118" s="26" t="inlineStr">
        <is>
          <t>Sold</t>
        </is>
      </c>
      <c r="V118" s="93" t="n"/>
      <c r="W118" s="93" t="n"/>
      <c r="X118" s="93" t="n"/>
      <c r="Y118" s="93" t="n"/>
      <c r="Z118" s="93" t="n"/>
    </row>
    <row r="119">
      <c r="A119" s="26" t="n">
        <v>118</v>
      </c>
      <c r="B119" s="26" t="n">
        <v>5.806</v>
      </c>
      <c r="C119" s="26">
        <f>B119*(25/100)</f>
        <v/>
      </c>
      <c r="D119" s="26">
        <f>C119+B119</f>
        <v/>
      </c>
      <c r="E119" s="26" t="n">
        <v>1.13</v>
      </c>
      <c r="F119" s="26" t="n"/>
      <c r="G119" s="26" t="n"/>
      <c r="H119" s="26" t="n"/>
      <c r="I119" s="26" t="n"/>
      <c r="J119" s="26" t="n"/>
      <c r="K119" s="26" t="n">
        <v>7.74</v>
      </c>
      <c r="L119" s="174">
        <f>E119*Prices!B$2</f>
        <v/>
      </c>
      <c r="M119" s="174">
        <f>F119*Prices!C$2</f>
        <v/>
      </c>
      <c r="N119" s="174">
        <f>G119*Prices!D$2</f>
        <v/>
      </c>
      <c r="O119" s="174">
        <f>H119*Prices!E$2</f>
        <v/>
      </c>
      <c r="P119" s="174">
        <f>I119*2000+J119*10000+K119*1800</f>
        <v/>
      </c>
      <c r="Q119" s="174">
        <f>D119*Prices!A$2</f>
        <v/>
      </c>
      <c r="R119" s="175">
        <f>L119+M119+N119+O119</f>
        <v/>
      </c>
      <c r="S119" s="174">
        <f>R119+Q119+P119</f>
        <v/>
      </c>
      <c r="T119" s="26" t="n">
        <v>118</v>
      </c>
      <c r="U119" s="26" t="inlineStr">
        <is>
          <t>Sold</t>
        </is>
      </c>
      <c r="V119" s="93" t="n"/>
      <c r="W119" s="93" t="n"/>
      <c r="X119" s="93" t="n"/>
      <c r="Y119" s="93" t="n"/>
      <c r="Z119" s="93" t="n"/>
    </row>
    <row r="120">
      <c r="A120" s="26" t="n">
        <v>119</v>
      </c>
      <c r="B120" s="26" t="n">
        <v>1.246</v>
      </c>
      <c r="C120" s="26">
        <f>B120*(25/100)</f>
        <v/>
      </c>
      <c r="D120" s="26">
        <f>C120+B120</f>
        <v/>
      </c>
      <c r="E120" s="26" t="n">
        <v>0.27</v>
      </c>
      <c r="F120" s="26" t="n"/>
      <c r="G120" s="26" t="n"/>
      <c r="H120" s="26" t="n"/>
      <c r="I120" s="26" t="n"/>
      <c r="J120" s="26" t="n"/>
      <c r="K120" s="26" t="n"/>
      <c r="L120" s="174">
        <f>E120*Prices!B$2</f>
        <v/>
      </c>
      <c r="M120" s="174">
        <f>F120*Prices!C$2</f>
        <v/>
      </c>
      <c r="N120" s="174">
        <f>G120*Prices!D$2</f>
        <v/>
      </c>
      <c r="O120" s="174">
        <f>H120*Prices!E$2</f>
        <v/>
      </c>
      <c r="P120" s="174">
        <f>I120*2000+J120*10000+K120*1800</f>
        <v/>
      </c>
      <c r="Q120" s="174">
        <f>D120*Prices!A$2</f>
        <v/>
      </c>
      <c r="R120" s="175">
        <f>L120+M120+N120+O120</f>
        <v/>
      </c>
      <c r="S120" s="174">
        <f>R120+Q120+P120</f>
        <v/>
      </c>
      <c r="T120" s="26" t="n">
        <v>119</v>
      </c>
      <c r="U120" s="26" t="inlineStr">
        <is>
          <t>Sold</t>
        </is>
      </c>
      <c r="V120" s="93" t="n"/>
      <c r="W120" s="93" t="n"/>
      <c r="X120" s="93" t="n"/>
      <c r="Y120" s="93" t="n"/>
      <c r="Z120" s="93" t="n"/>
    </row>
    <row r="121">
      <c r="A121" s="26" t="n">
        <v>120</v>
      </c>
      <c r="B121" s="26" t="n">
        <v>1.274</v>
      </c>
      <c r="C121" s="26">
        <f>B121*(25/100)</f>
        <v/>
      </c>
      <c r="D121" s="26">
        <f>C121+B121</f>
        <v/>
      </c>
      <c r="E121" s="26" t="n">
        <v>0.18</v>
      </c>
      <c r="F121" s="26" t="n"/>
      <c r="G121" s="26" t="n"/>
      <c r="H121" s="26" t="n"/>
      <c r="I121" s="26" t="n"/>
      <c r="J121" s="26" t="n"/>
      <c r="K121" s="26" t="n"/>
      <c r="L121" s="174">
        <f>E121*Prices!B$2</f>
        <v/>
      </c>
      <c r="M121" s="174">
        <f>F121*Prices!C$2</f>
        <v/>
      </c>
      <c r="N121" s="174">
        <f>G121*Prices!D$2</f>
        <v/>
      </c>
      <c r="O121" s="174">
        <f>H121*Prices!E$2</f>
        <v/>
      </c>
      <c r="P121" s="174">
        <f>I121*2000+J121*10000+K121*1800</f>
        <v/>
      </c>
      <c r="Q121" s="174">
        <f>D121*Prices!A$2</f>
        <v/>
      </c>
      <c r="R121" s="175">
        <f>L121+M121+N121+O121</f>
        <v/>
      </c>
      <c r="S121" s="174">
        <f>R121+Q121+P121</f>
        <v/>
      </c>
      <c r="T121" s="26" t="n">
        <v>120</v>
      </c>
      <c r="U121" s="26" t="inlineStr">
        <is>
          <t>Sold</t>
        </is>
      </c>
      <c r="V121" s="93" t="n"/>
      <c r="W121" s="93" t="n"/>
      <c r="X121" s="93" t="n"/>
      <c r="Y121" s="93" t="n"/>
      <c r="Z121" s="93" t="n"/>
    </row>
    <row r="122">
      <c r="A122" s="26" t="n">
        <v>121</v>
      </c>
      <c r="B122" s="26" t="n">
        <v>2.186</v>
      </c>
      <c r="C122" s="26">
        <f>B122*(25/100)</f>
        <v/>
      </c>
      <c r="D122" s="26">
        <f>C122+B122</f>
        <v/>
      </c>
      <c r="E122" s="26" t="n">
        <v>0.42</v>
      </c>
      <c r="F122" s="26" t="n"/>
      <c r="G122" s="26" t="n"/>
      <c r="H122" s="26" t="n"/>
      <c r="I122" s="26" t="n"/>
      <c r="J122" s="26" t="n"/>
      <c r="K122" s="26" t="n"/>
      <c r="L122" s="174">
        <f>E122*Prices!B$2</f>
        <v/>
      </c>
      <c r="M122" s="174">
        <f>F122*Prices!C$2</f>
        <v/>
      </c>
      <c r="N122" s="174">
        <f>G122*Prices!D$2</f>
        <v/>
      </c>
      <c r="O122" s="174">
        <f>H122*Prices!E$2</f>
        <v/>
      </c>
      <c r="P122" s="174">
        <f>I122*2000+J122*10000+K122*1800</f>
        <v/>
      </c>
      <c r="Q122" s="174">
        <f>D122*Prices!A$2</f>
        <v/>
      </c>
      <c r="R122" s="175">
        <f>L122+M122+N122+O122</f>
        <v/>
      </c>
      <c r="S122" s="174">
        <f>R122+Q122+P122</f>
        <v/>
      </c>
      <c r="T122" s="26" t="n">
        <v>121</v>
      </c>
      <c r="U122" s="26" t="inlineStr">
        <is>
          <t>Available</t>
        </is>
      </c>
      <c r="V122" s="93" t="inlineStr">
        <is>
          <t>A</t>
        </is>
      </c>
      <c r="W122" s="93" t="n"/>
      <c r="X122" s="93" t="n"/>
      <c r="Y122" s="93" t="n"/>
      <c r="Z122" s="93" t="n"/>
    </row>
    <row r="123">
      <c r="A123" s="26" t="n">
        <v>122</v>
      </c>
      <c r="B123" s="26" t="n">
        <v>2.126</v>
      </c>
      <c r="C123" s="26">
        <f>B123*(25/100)</f>
        <v/>
      </c>
      <c r="D123" s="26">
        <f>C123+B123</f>
        <v/>
      </c>
      <c r="E123" s="26" t="n">
        <v>0.42</v>
      </c>
      <c r="F123" s="26" t="n"/>
      <c r="G123" s="26" t="n"/>
      <c r="H123" s="26" t="n"/>
      <c r="I123" s="26" t="n"/>
      <c r="J123" s="26" t="n"/>
      <c r="K123" s="26" t="n"/>
      <c r="L123" s="174">
        <f>E123*Prices!B$2</f>
        <v/>
      </c>
      <c r="M123" s="174">
        <f>F123*Prices!C$2</f>
        <v/>
      </c>
      <c r="N123" s="174">
        <f>G123*Prices!D$2</f>
        <v/>
      </c>
      <c r="O123" s="174">
        <f>H123*Prices!E$2</f>
        <v/>
      </c>
      <c r="P123" s="174">
        <f>I123*2000+J123*10000+K123*1800</f>
        <v/>
      </c>
      <c r="Q123" s="174">
        <f>D123*Prices!A$2</f>
        <v/>
      </c>
      <c r="R123" s="175">
        <f>L123+M123+N123+O123</f>
        <v/>
      </c>
      <c r="S123" s="174">
        <f>R123+Q123+P123</f>
        <v/>
      </c>
      <c r="T123" s="26" t="n">
        <v>122</v>
      </c>
      <c r="U123" s="26" t="inlineStr">
        <is>
          <t>Available</t>
        </is>
      </c>
      <c r="V123" s="93" t="n"/>
      <c r="W123" s="93" t="n"/>
      <c r="X123" s="93" t="n"/>
      <c r="Y123" s="93" t="n"/>
      <c r="Z123" s="93" t="n"/>
    </row>
    <row r="124">
      <c r="A124" s="26" t="n">
        <v>123</v>
      </c>
      <c r="B124" s="26" t="n">
        <v>2.226</v>
      </c>
      <c r="C124" s="26">
        <f>B124*(25/100)</f>
        <v/>
      </c>
      <c r="D124" s="26">
        <f>C124+B124</f>
        <v/>
      </c>
      <c r="E124" s="26" t="n">
        <v>0.42</v>
      </c>
      <c r="F124" s="26" t="n"/>
      <c r="G124" s="26" t="n"/>
      <c r="H124" s="26" t="n"/>
      <c r="I124" s="26" t="n"/>
      <c r="J124" s="26" t="n"/>
      <c r="K124" s="26" t="n"/>
      <c r="L124" s="174">
        <f>E124*Prices!B$2</f>
        <v/>
      </c>
      <c r="M124" s="174">
        <f>F124*Prices!C$2</f>
        <v/>
      </c>
      <c r="N124" s="174">
        <f>G124*Prices!D$2</f>
        <v/>
      </c>
      <c r="O124" s="174">
        <f>H124*Prices!E$2</f>
        <v/>
      </c>
      <c r="P124" s="174">
        <f>I124*2000+J124*10000+K124*1800</f>
        <v/>
      </c>
      <c r="Q124" s="174">
        <f>D124*Prices!A$2</f>
        <v/>
      </c>
      <c r="R124" s="175">
        <f>L124+M124+N124+O124</f>
        <v/>
      </c>
      <c r="S124" s="174">
        <f>R124+Q124+P124</f>
        <v/>
      </c>
      <c r="T124" s="26" t="n">
        <v>123</v>
      </c>
      <c r="U124" s="26" t="inlineStr">
        <is>
          <t>Sold</t>
        </is>
      </c>
      <c r="V124" s="93" t="n"/>
      <c r="W124" s="93" t="n"/>
      <c r="X124" s="93" t="n"/>
      <c r="Y124" s="93" t="n"/>
      <c r="Z124" s="93" t="n"/>
    </row>
    <row r="125">
      <c r="A125" s="26" t="n">
        <v>124</v>
      </c>
      <c r="B125" s="26" t="n">
        <v>1.674</v>
      </c>
      <c r="C125" s="26">
        <f>B125*(25/100)</f>
        <v/>
      </c>
      <c r="D125" s="26">
        <f>C125+B125</f>
        <v/>
      </c>
      <c r="E125" s="26" t="n">
        <v>0.23</v>
      </c>
      <c r="F125" s="26" t="n"/>
      <c r="G125" s="26" t="n"/>
      <c r="H125" s="26" t="n"/>
      <c r="I125" s="26" t="n"/>
      <c r="J125" s="26" t="n"/>
      <c r="K125" s="26" t="n"/>
      <c r="L125" s="174">
        <f>E125*Prices!B$2</f>
        <v/>
      </c>
      <c r="M125" s="174">
        <f>F125*Prices!C$2</f>
        <v/>
      </c>
      <c r="N125" s="174">
        <f>G125*Prices!D$2</f>
        <v/>
      </c>
      <c r="O125" s="174">
        <f>H125*Prices!E$2</f>
        <v/>
      </c>
      <c r="P125" s="174">
        <f>I125*2000+J125*10000+K125*1800</f>
        <v/>
      </c>
      <c r="Q125" s="174">
        <f>D125*Prices!A$2</f>
        <v/>
      </c>
      <c r="R125" s="175">
        <f>L125+M125+N125+O125</f>
        <v/>
      </c>
      <c r="S125" s="174">
        <f>R125+Q125+P125</f>
        <v/>
      </c>
      <c r="T125" s="26" t="n">
        <v>124</v>
      </c>
      <c r="U125" s="26" t="inlineStr">
        <is>
          <t>Sold</t>
        </is>
      </c>
      <c r="V125" s="93" t="n"/>
      <c r="W125" s="93" t="n"/>
      <c r="X125" s="93" t="n"/>
      <c r="Y125" s="93" t="n"/>
      <c r="Z125" s="93" t="n"/>
    </row>
    <row r="126">
      <c r="A126" s="26" t="n">
        <v>125</v>
      </c>
      <c r="B126" s="26" t="n">
        <v>1.682</v>
      </c>
      <c r="C126" s="26">
        <f>B126*(25/100)</f>
        <v/>
      </c>
      <c r="D126" s="26">
        <f>C126+B126</f>
        <v/>
      </c>
      <c r="E126" s="26" t="n">
        <v>0.6899999999999999</v>
      </c>
      <c r="F126" s="26" t="n"/>
      <c r="G126" s="26" t="n"/>
      <c r="H126" s="26" t="n"/>
      <c r="I126" s="26" t="n"/>
      <c r="J126" s="26" t="n"/>
      <c r="K126" s="26" t="n"/>
      <c r="L126" s="174">
        <f>E126*Prices!B$2</f>
        <v/>
      </c>
      <c r="M126" s="174">
        <f>F126*Prices!C$2</f>
        <v/>
      </c>
      <c r="N126" s="174">
        <f>G126*Prices!D$2</f>
        <v/>
      </c>
      <c r="O126" s="174">
        <f>H126*Prices!E$2</f>
        <v/>
      </c>
      <c r="P126" s="174">
        <f>I126*2000+J126*10000+K126*1800</f>
        <v/>
      </c>
      <c r="Q126" s="174">
        <f>D126*Prices!A$2</f>
        <v/>
      </c>
      <c r="R126" s="175">
        <f>L126+M126+N126+O126</f>
        <v/>
      </c>
      <c r="S126" s="174">
        <f>R126+Q126+P126</f>
        <v/>
      </c>
      <c r="T126" s="26" t="n">
        <v>125</v>
      </c>
      <c r="U126" s="26" t="inlineStr">
        <is>
          <t>Sold</t>
        </is>
      </c>
      <c r="V126" s="93" t="n"/>
      <c r="W126" s="93" t="n"/>
      <c r="X126" s="93" t="n"/>
      <c r="Y126" s="93" t="n"/>
      <c r="Z126" s="93" t="n"/>
    </row>
    <row r="127">
      <c r="A127" s="26" t="n">
        <v>126</v>
      </c>
      <c r="B127" s="26" t="n">
        <v>2.724</v>
      </c>
      <c r="C127" s="26">
        <f>B127*(25/100)</f>
        <v/>
      </c>
      <c r="D127" s="26">
        <f>C127+B127</f>
        <v/>
      </c>
      <c r="E127" s="26" t="n">
        <v>0.6</v>
      </c>
      <c r="F127" s="26" t="n"/>
      <c r="G127" s="26" t="n"/>
      <c r="H127" s="26" t="n"/>
      <c r="I127" s="26" t="n"/>
      <c r="J127" s="26" t="n">
        <v>2.33</v>
      </c>
      <c r="K127" s="26" t="n"/>
      <c r="L127" s="174">
        <f>E127*Prices!B$2</f>
        <v/>
      </c>
      <c r="M127" s="174">
        <f>F127*Prices!C$2</f>
        <v/>
      </c>
      <c r="N127" s="174">
        <f>G127*Prices!D$2</f>
        <v/>
      </c>
      <c r="O127" s="174">
        <f>H127*Prices!E$2</f>
        <v/>
      </c>
      <c r="P127" s="174">
        <f>I127*2000+J127*10000+K127*1800</f>
        <v/>
      </c>
      <c r="Q127" s="174">
        <f>D127*Prices!A$2</f>
        <v/>
      </c>
      <c r="R127" s="175">
        <f>L127+M127+N127+O127</f>
        <v/>
      </c>
      <c r="S127" s="174">
        <f>R127+Q127+P127</f>
        <v/>
      </c>
      <c r="T127" s="26" t="n">
        <v>126</v>
      </c>
      <c r="U127" s="26" t="inlineStr">
        <is>
          <t>Sold</t>
        </is>
      </c>
      <c r="V127" s="93" t="n"/>
      <c r="W127" s="93" t="n"/>
      <c r="X127" s="93" t="n"/>
      <c r="Y127" s="93" t="n"/>
      <c r="Z127" s="93" t="n"/>
    </row>
    <row r="128">
      <c r="A128" s="26" t="n">
        <v>127</v>
      </c>
      <c r="B128" s="26" t="n">
        <v>3.774</v>
      </c>
      <c r="C128" s="26">
        <f>B128*(25/100)</f>
        <v/>
      </c>
      <c r="D128" s="26">
        <f>C128+B128</f>
        <v/>
      </c>
      <c r="E128" s="26" t="n">
        <v>0.78</v>
      </c>
      <c r="F128" s="26" t="n"/>
      <c r="G128" s="26" t="n"/>
      <c r="H128" s="26" t="n"/>
      <c r="I128" s="26" t="n"/>
      <c r="J128" s="26" t="n"/>
      <c r="K128" s="26" t="n">
        <v>8.65</v>
      </c>
      <c r="L128" s="174">
        <f>E128*Prices!B$2</f>
        <v/>
      </c>
      <c r="M128" s="174">
        <f>F128*Prices!C$2</f>
        <v/>
      </c>
      <c r="N128" s="174">
        <f>G128*Prices!D$2</f>
        <v/>
      </c>
      <c r="O128" s="174">
        <f>H128*Prices!E$2</f>
        <v/>
      </c>
      <c r="P128" s="174">
        <f>I128*2000+J128*10000+K128*1800</f>
        <v/>
      </c>
      <c r="Q128" s="174">
        <f>D128*Prices!A$2</f>
        <v/>
      </c>
      <c r="R128" s="175">
        <f>L128+M128+N128+O128</f>
        <v/>
      </c>
      <c r="S128" s="174">
        <f>R128+Q128+P128</f>
        <v/>
      </c>
      <c r="T128" s="26" t="n">
        <v>127</v>
      </c>
      <c r="U128" s="26" t="inlineStr">
        <is>
          <t>Available</t>
        </is>
      </c>
      <c r="V128" s="93" t="inlineStr">
        <is>
          <t>A</t>
        </is>
      </c>
      <c r="W128" s="93" t="n"/>
      <c r="X128" s="93" t="n"/>
      <c r="Y128" s="93" t="n"/>
      <c r="Z128" s="93" t="n"/>
    </row>
    <row r="129">
      <c r="A129" s="26" t="n">
        <v>128</v>
      </c>
      <c r="B129" s="26" t="n">
        <v>17.408</v>
      </c>
      <c r="C129" s="26">
        <f>B129*(25/100)</f>
        <v/>
      </c>
      <c r="D129" s="26">
        <f>C129+B129</f>
        <v/>
      </c>
      <c r="E129" s="26" t="n">
        <v>5.64</v>
      </c>
      <c r="F129" s="26" t="n"/>
      <c r="G129" s="26" t="n"/>
      <c r="H129" s="26" t="n"/>
      <c r="I129" s="26" t="n">
        <v>0.97</v>
      </c>
      <c r="J129" s="26" t="n"/>
      <c r="K129" s="26" t="n"/>
      <c r="L129" s="174">
        <f>E129*Prices!B$2</f>
        <v/>
      </c>
      <c r="M129" s="174">
        <f>F129*Prices!C$2</f>
        <v/>
      </c>
      <c r="N129" s="174">
        <f>G129*Prices!D$2</f>
        <v/>
      </c>
      <c r="O129" s="174">
        <f>H129*Prices!E$2</f>
        <v/>
      </c>
      <c r="P129" s="174">
        <f>I129*2000+J129*10000+K129*1800</f>
        <v/>
      </c>
      <c r="Q129" s="174">
        <f>D129*Prices!A$2</f>
        <v/>
      </c>
      <c r="R129" s="175">
        <f>L129+M129+N129+O129</f>
        <v/>
      </c>
      <c r="S129" s="174">
        <f>R129+Q129+P129</f>
        <v/>
      </c>
      <c r="T129" s="26" t="n">
        <v>128</v>
      </c>
      <c r="U129" s="26" t="inlineStr">
        <is>
          <t>Available</t>
        </is>
      </c>
      <c r="V129" s="93" t="n"/>
      <c r="W129" s="93" t="n"/>
      <c r="X129" s="93" t="n"/>
      <c r="Y129" s="93" t="n"/>
      <c r="Z129" s="93" t="n"/>
    </row>
    <row r="130">
      <c r="A130" s="26" t="n">
        <v>129</v>
      </c>
      <c r="B130" s="26" t="n">
        <v>4.232</v>
      </c>
      <c r="C130" s="26">
        <f>B130*(25/100)</f>
        <v/>
      </c>
      <c r="D130" s="26">
        <f>C130+B130</f>
        <v/>
      </c>
      <c r="E130" s="26" t="n">
        <v>0.64</v>
      </c>
      <c r="F130" s="26" t="n"/>
      <c r="G130" s="26" t="n"/>
      <c r="H130" s="26" t="n"/>
      <c r="I130" s="26" t="n"/>
      <c r="J130" s="26" t="n"/>
      <c r="K130" s="26" t="n"/>
      <c r="L130" s="174">
        <f>E130*Prices!B$2</f>
        <v/>
      </c>
      <c r="M130" s="174">
        <f>F130*Prices!C$2</f>
        <v/>
      </c>
      <c r="N130" s="174">
        <f>G130*Prices!D$2</f>
        <v/>
      </c>
      <c r="O130" s="174">
        <f>H130*Prices!E$2</f>
        <v/>
      </c>
      <c r="P130" s="174">
        <f>I130*2000+J130*10000+K130*1800</f>
        <v/>
      </c>
      <c r="Q130" s="174">
        <f>D130*Prices!A$2</f>
        <v/>
      </c>
      <c r="R130" s="175">
        <f>L130+M130+N130+O130</f>
        <v/>
      </c>
      <c r="S130" s="174">
        <f>R130+Q130+P130</f>
        <v/>
      </c>
      <c r="T130" s="26" t="n">
        <v>129</v>
      </c>
      <c r="U130" s="26" t="inlineStr">
        <is>
          <t>Sold</t>
        </is>
      </c>
      <c r="V130" s="93" t="n"/>
      <c r="W130" s="93" t="n"/>
      <c r="X130" s="93" t="n"/>
      <c r="Y130" s="93" t="n"/>
      <c r="Z130" s="93" t="n"/>
    </row>
    <row r="131">
      <c r="A131" s="26" t="n">
        <v>130</v>
      </c>
      <c r="B131" s="26" t="n">
        <v>1.476</v>
      </c>
      <c r="C131" s="26">
        <f>B131*(25/100)</f>
        <v/>
      </c>
      <c r="D131" s="26">
        <f>C131+B131</f>
        <v/>
      </c>
      <c r="E131" s="26" t="n">
        <v>0.11</v>
      </c>
      <c r="F131" s="26" t="n"/>
      <c r="G131" s="26" t="n"/>
      <c r="H131" s="26" t="n"/>
      <c r="I131" s="26" t="n"/>
      <c r="J131" s="26" t="n">
        <v>0.5600000000000001</v>
      </c>
      <c r="K131" s="26" t="n"/>
      <c r="L131" s="174">
        <f>E131*Prices!B$2</f>
        <v/>
      </c>
      <c r="M131" s="174">
        <f>F131*Prices!C$2</f>
        <v/>
      </c>
      <c r="N131" s="174">
        <f>G131*Prices!D$2</f>
        <v/>
      </c>
      <c r="O131" s="174">
        <f>H131*Prices!E$2</f>
        <v/>
      </c>
      <c r="P131" s="174">
        <f>I131*2000+J131*7000+K131*1800</f>
        <v/>
      </c>
      <c r="Q131" s="174">
        <f>D131*Prices!A$2</f>
        <v/>
      </c>
      <c r="R131" s="175">
        <f>L131+M131+N131+O131</f>
        <v/>
      </c>
      <c r="S131" s="174">
        <f>R131+Q131+P131</f>
        <v/>
      </c>
      <c r="T131" s="26" t="n">
        <v>130</v>
      </c>
      <c r="U131" s="26" t="inlineStr">
        <is>
          <t>Sold</t>
        </is>
      </c>
      <c r="V131" s="93" t="n"/>
      <c r="W131" s="93" t="n"/>
      <c r="X131" s="93" t="n"/>
      <c r="Y131" s="93" t="n"/>
      <c r="Z131" s="93" t="n"/>
    </row>
    <row r="132">
      <c r="A132" s="26" t="n">
        <v>131</v>
      </c>
      <c r="B132" s="26" t="n">
        <v>1.816</v>
      </c>
      <c r="C132" s="26">
        <f>B132*(25/100)</f>
        <v/>
      </c>
      <c r="D132" s="26">
        <f>C132+B132</f>
        <v/>
      </c>
      <c r="E132" s="26" t="n">
        <v>0.13</v>
      </c>
      <c r="F132" s="26" t="n"/>
      <c r="G132" s="26" t="n"/>
      <c r="H132" s="26" t="n"/>
      <c r="I132" s="26" t="n"/>
      <c r="J132" s="26" t="n">
        <v>1.54</v>
      </c>
      <c r="K132" s="26" t="n"/>
      <c r="L132" s="174">
        <f>E132*Prices!B$2</f>
        <v/>
      </c>
      <c r="M132" s="174">
        <f>F132*Prices!C$2</f>
        <v/>
      </c>
      <c r="N132" s="174">
        <f>G132*Prices!D$2</f>
        <v/>
      </c>
      <c r="O132" s="174">
        <f>H132*Prices!E$2</f>
        <v/>
      </c>
      <c r="P132" s="174">
        <f>I132*2000+J132*7000+K132*1800</f>
        <v/>
      </c>
      <c r="Q132" s="174">
        <f>D132*Prices!A$2</f>
        <v/>
      </c>
      <c r="R132" s="175">
        <f>L132+M132+N132+O132</f>
        <v/>
      </c>
      <c r="S132" s="174">
        <f>R132+Q132+P132</f>
        <v/>
      </c>
      <c r="T132" s="26" t="n">
        <v>131</v>
      </c>
      <c r="U132" s="26" t="inlineStr">
        <is>
          <t>Available</t>
        </is>
      </c>
      <c r="V132" s="93" t="inlineStr">
        <is>
          <t>A</t>
        </is>
      </c>
      <c r="W132" s="93" t="n"/>
      <c r="X132" s="93" t="n"/>
      <c r="Y132" s="93" t="n"/>
      <c r="Z132" s="93" t="n"/>
    </row>
    <row r="133">
      <c r="A133" s="26" t="n">
        <v>132</v>
      </c>
      <c r="B133" s="26" t="n">
        <v>1.752</v>
      </c>
      <c r="C133" s="26">
        <f>B133*(25/100)</f>
        <v/>
      </c>
      <c r="D133" s="26">
        <f>C133+B133</f>
        <v/>
      </c>
      <c r="E133" s="26" t="n">
        <v>0.12</v>
      </c>
      <c r="F133" s="26" t="n"/>
      <c r="G133" s="26" t="n"/>
      <c r="H133" s="26" t="n"/>
      <c r="I133" s="26" t="n"/>
      <c r="J133" s="26" t="n">
        <v>1.02</v>
      </c>
      <c r="K133" s="26" t="n"/>
      <c r="L133" s="174">
        <f>E133*Prices!B$2</f>
        <v/>
      </c>
      <c r="M133" s="174">
        <f>F133*Prices!C$2</f>
        <v/>
      </c>
      <c r="N133" s="174">
        <f>G133*Prices!D$2</f>
        <v/>
      </c>
      <c r="O133" s="174">
        <f>H133*Prices!E$2</f>
        <v/>
      </c>
      <c r="P133" s="174">
        <f>I133*2000+J133*7000+K133*1800</f>
        <v/>
      </c>
      <c r="Q133" s="174">
        <f>D133*Prices!A$2</f>
        <v/>
      </c>
      <c r="R133" s="175">
        <f>L133+M133+N133+O133</f>
        <v/>
      </c>
      <c r="S133" s="174">
        <f>R133+Q133+P133</f>
        <v/>
      </c>
      <c r="T133" s="26" t="n">
        <v>132</v>
      </c>
      <c r="U133" s="26" t="inlineStr">
        <is>
          <t>Available</t>
        </is>
      </c>
      <c r="V133" s="93" t="inlineStr">
        <is>
          <t>A</t>
        </is>
      </c>
      <c r="W133" s="93" t="n"/>
      <c r="X133" s="93" t="n"/>
      <c r="Y133" s="93" t="n"/>
      <c r="Z133" s="93" t="n"/>
    </row>
    <row r="134">
      <c r="A134" s="26" t="n">
        <v>133</v>
      </c>
      <c r="B134" s="26" t="n">
        <v>1.314</v>
      </c>
      <c r="C134" s="26">
        <f>B134*(25/100)</f>
        <v/>
      </c>
      <c r="D134" s="26">
        <f>C134+B134</f>
        <v/>
      </c>
      <c r="E134" s="26" t="n">
        <v>0.08</v>
      </c>
      <c r="F134" s="26" t="n"/>
      <c r="G134" s="26" t="n"/>
      <c r="H134" s="26" t="n"/>
      <c r="I134" s="26" t="n"/>
      <c r="J134" s="26" t="n">
        <v>0.4</v>
      </c>
      <c r="K134" s="26" t="n"/>
      <c r="L134" s="174">
        <f>E134*Prices!B$2</f>
        <v/>
      </c>
      <c r="M134" s="174">
        <f>F134*Prices!C$2</f>
        <v/>
      </c>
      <c r="N134" s="174">
        <f>G134*Prices!D$2</f>
        <v/>
      </c>
      <c r="O134" s="174">
        <f>H134*Prices!E$2</f>
        <v/>
      </c>
      <c r="P134" s="174">
        <f>I134*2000+J134*7000+K134*1800</f>
        <v/>
      </c>
      <c r="Q134" s="174">
        <f>D134*Prices!A$2</f>
        <v/>
      </c>
      <c r="R134" s="175">
        <f>L134+M134+N134+O134</f>
        <v/>
      </c>
      <c r="S134" s="174">
        <f>R134+Q134+P134</f>
        <v/>
      </c>
      <c r="T134" s="26" t="n">
        <v>133</v>
      </c>
      <c r="U134" s="26" t="inlineStr">
        <is>
          <t>Available</t>
        </is>
      </c>
      <c r="V134" s="93" t="inlineStr">
        <is>
          <t>A</t>
        </is>
      </c>
      <c r="W134" s="93" t="n"/>
      <c r="X134" s="93" t="n"/>
      <c r="Y134" s="93" t="n"/>
      <c r="Z134" s="93" t="n"/>
    </row>
    <row r="135">
      <c r="A135" s="26" t="n">
        <v>134</v>
      </c>
      <c r="B135" s="26" t="n">
        <v>8.452</v>
      </c>
      <c r="C135" s="26">
        <f>B135*(25/100)</f>
        <v/>
      </c>
      <c r="D135" s="26">
        <f>C135+B135</f>
        <v/>
      </c>
      <c r="E135" s="26" t="n">
        <v>1.83</v>
      </c>
      <c r="F135" s="26" t="n">
        <v>0.36</v>
      </c>
      <c r="G135" s="26" t="n"/>
      <c r="H135" s="26" t="n"/>
      <c r="I135" s="26" t="n"/>
      <c r="J135" s="26" t="n"/>
      <c r="K135" s="26" t="n"/>
      <c r="L135" s="174">
        <f>E135*Prices!B$2</f>
        <v/>
      </c>
      <c r="M135" s="174">
        <f>F135*Prices!C$2</f>
        <v/>
      </c>
      <c r="N135" s="174">
        <f>G135*Prices!D$2</f>
        <v/>
      </c>
      <c r="O135" s="174">
        <f>H135*Prices!E$2</f>
        <v/>
      </c>
      <c r="P135" s="174">
        <f>I135*2000+J135*10000+K135*1800</f>
        <v/>
      </c>
      <c r="Q135" s="174">
        <f>D135*Prices!A$2</f>
        <v/>
      </c>
      <c r="R135" s="175">
        <f>L135+M135+N135+O135</f>
        <v/>
      </c>
      <c r="S135" s="174">
        <f>R135+Q135+P135</f>
        <v/>
      </c>
      <c r="T135" s="26" t="n">
        <v>134</v>
      </c>
      <c r="U135" s="26" t="inlineStr">
        <is>
          <t>Sold</t>
        </is>
      </c>
      <c r="V135" s="93" t="n"/>
      <c r="W135" s="93" t="n"/>
      <c r="X135" s="93" t="n"/>
      <c r="Y135" s="93" t="n"/>
      <c r="Z135" s="93" t="n"/>
    </row>
    <row r="136">
      <c r="A136" s="26" t="n">
        <v>135</v>
      </c>
      <c r="B136" s="26" t="n">
        <v>10.244</v>
      </c>
      <c r="C136" s="26">
        <f>B136*(25/100)</f>
        <v/>
      </c>
      <c r="D136" s="26">
        <f>C136+B136</f>
        <v/>
      </c>
      <c r="E136" s="26" t="n"/>
      <c r="F136" s="26" t="n"/>
      <c r="G136" s="26" t="n">
        <v>3.21</v>
      </c>
      <c r="H136" s="26" t="n"/>
      <c r="I136" s="26" t="n"/>
      <c r="J136" s="26" t="n"/>
      <c r="K136" s="26" t="n"/>
      <c r="L136" s="174">
        <f>E136*Prices!B$2</f>
        <v/>
      </c>
      <c r="M136" s="174">
        <f>F136*Prices!C$2</f>
        <v/>
      </c>
      <c r="N136" s="174">
        <f>G136*Prices!D$2</f>
        <v/>
      </c>
      <c r="O136" s="174">
        <f>H136*Prices!E$2</f>
        <v/>
      </c>
      <c r="P136" s="174">
        <f>I136*2000+J136*10000+K136*1800</f>
        <v/>
      </c>
      <c r="Q136" s="174">
        <f>D136*Prices!A$2</f>
        <v/>
      </c>
      <c r="R136" s="175">
        <f>L136+M136+N136+O136</f>
        <v/>
      </c>
      <c r="S136" s="174">
        <f>R136+Q136+P136</f>
        <v/>
      </c>
      <c r="T136" s="26" t="n">
        <v>135</v>
      </c>
      <c r="U136" s="26" t="inlineStr">
        <is>
          <t>Sold</t>
        </is>
      </c>
      <c r="V136" s="93" t="n"/>
      <c r="W136" s="93" t="n"/>
      <c r="X136" s="93" t="n"/>
      <c r="Y136" s="93" t="n"/>
      <c r="Z136" s="93" t="n"/>
    </row>
    <row r="137">
      <c r="A137" s="26" t="n">
        <v>136</v>
      </c>
      <c r="B137" s="26" t="n">
        <v>2.28</v>
      </c>
      <c r="C137" s="26">
        <f>B137*(25/100)</f>
        <v/>
      </c>
      <c r="D137" s="26">
        <f>C137+B137</f>
        <v/>
      </c>
      <c r="E137" s="26" t="n">
        <v>0.45</v>
      </c>
      <c r="F137" s="26" t="n"/>
      <c r="G137" s="26" t="n"/>
      <c r="H137" s="26" t="n"/>
      <c r="I137" s="26" t="n"/>
      <c r="J137" s="26" t="n">
        <v>1.3</v>
      </c>
      <c r="K137" s="26" t="n"/>
      <c r="L137" s="174">
        <f>E137*Prices!B$2</f>
        <v/>
      </c>
      <c r="M137" s="174">
        <f>F137*Prices!C$2</f>
        <v/>
      </c>
      <c r="N137" s="174">
        <f>G137*Prices!D$2</f>
        <v/>
      </c>
      <c r="O137" s="174">
        <f>H137*Prices!E$2</f>
        <v/>
      </c>
      <c r="P137" s="174">
        <f>I137*2000+J137*10000+K137*1800</f>
        <v/>
      </c>
      <c r="Q137" s="174">
        <f>D137*Prices!A$2</f>
        <v/>
      </c>
      <c r="R137" s="175">
        <f>L137+M137+N137+O137</f>
        <v/>
      </c>
      <c r="S137" s="174">
        <f>R137+Q137+P137</f>
        <v/>
      </c>
      <c r="T137" s="26" t="n">
        <v>136</v>
      </c>
      <c r="U137" s="26" t="inlineStr">
        <is>
          <t>Sold</t>
        </is>
      </c>
      <c r="V137" s="93" t="n"/>
      <c r="W137" s="93" t="n"/>
      <c r="X137" s="93" t="n"/>
      <c r="Y137" s="93" t="n"/>
      <c r="Z137" s="93" t="n"/>
    </row>
    <row r="138">
      <c r="A138" s="26" t="n">
        <v>137</v>
      </c>
      <c r="B138" s="26" t="n">
        <v>2.284</v>
      </c>
      <c r="C138" s="26">
        <f>B138*(25/100)</f>
        <v/>
      </c>
      <c r="D138" s="26">
        <f>C138+B138</f>
        <v/>
      </c>
      <c r="E138" s="26" t="n">
        <v>0.05</v>
      </c>
      <c r="F138" s="26" t="n">
        <v>0.83</v>
      </c>
      <c r="G138" s="26" t="n"/>
      <c r="H138" s="26" t="n"/>
      <c r="I138" s="26" t="n"/>
      <c r="J138" s="26" t="n"/>
      <c r="K138" s="26" t="n"/>
      <c r="L138" s="174">
        <f>E138*Prices!B$2</f>
        <v/>
      </c>
      <c r="M138" s="174">
        <f>F138*Prices!C$2</f>
        <v/>
      </c>
      <c r="N138" s="174">
        <f>G138*Prices!D$2</f>
        <v/>
      </c>
      <c r="O138" s="174">
        <f>H138*Prices!E$2</f>
        <v/>
      </c>
      <c r="P138" s="174">
        <f>I138*2000+J138*10000+K138*1800</f>
        <v/>
      </c>
      <c r="Q138" s="174">
        <f>D138*Prices!A$2</f>
        <v/>
      </c>
      <c r="R138" s="175">
        <f>L138+M138+N138+O138</f>
        <v/>
      </c>
      <c r="S138" s="174">
        <f>R138+Q138+P138</f>
        <v/>
      </c>
      <c r="T138" s="26" t="n">
        <v>137</v>
      </c>
      <c r="U138" s="26" t="inlineStr">
        <is>
          <t>Available 1/2</t>
        </is>
      </c>
      <c r="V138" s="93" t="inlineStr">
        <is>
          <t>A</t>
        </is>
      </c>
      <c r="W138" s="93" t="n"/>
      <c r="X138" s="93" t="n"/>
      <c r="Y138" s="93" t="n"/>
      <c r="Z138" s="93" t="n"/>
    </row>
    <row r="139">
      <c r="A139" s="26" t="n">
        <v>138</v>
      </c>
      <c r="B139" s="26" t="n">
        <v>3.718</v>
      </c>
      <c r="C139" s="26">
        <f>B139*(25/100)</f>
        <v/>
      </c>
      <c r="D139" s="26">
        <f>C139+B139</f>
        <v/>
      </c>
      <c r="E139" s="26" t="n">
        <v>0.71</v>
      </c>
      <c r="F139" s="26" t="n"/>
      <c r="G139" s="26" t="n"/>
      <c r="H139" s="26" t="n"/>
      <c r="I139" s="26" t="n"/>
      <c r="J139" s="26" t="n"/>
      <c r="K139" s="26" t="n"/>
      <c r="L139" s="174">
        <f>E139*Prices!B$2</f>
        <v/>
      </c>
      <c r="M139" s="174">
        <f>F139*Prices!C$2</f>
        <v/>
      </c>
      <c r="N139" s="174">
        <f>G139*Prices!D$2</f>
        <v/>
      </c>
      <c r="O139" s="174">
        <f>H139*Prices!E$2</f>
        <v/>
      </c>
      <c r="P139" s="174">
        <f>I139*2000+J139*10000+K139*1800</f>
        <v/>
      </c>
      <c r="Q139" s="174">
        <f>D139*Prices!A$2</f>
        <v/>
      </c>
      <c r="R139" s="175">
        <f>L139+M139+N139+O139</f>
        <v/>
      </c>
      <c r="S139" s="174">
        <f>R139+Q139+P139</f>
        <v/>
      </c>
      <c r="T139" s="26" t="n">
        <v>138</v>
      </c>
      <c r="U139" s="26" t="inlineStr">
        <is>
          <t>Sold</t>
        </is>
      </c>
      <c r="V139" s="93" t="n"/>
      <c r="W139" s="93" t="n"/>
      <c r="X139" s="93" t="n"/>
      <c r="Y139" s="93" t="n"/>
      <c r="Z139" s="93" t="n"/>
    </row>
    <row r="140">
      <c r="A140" s="26" t="n">
        <v>139</v>
      </c>
      <c r="B140" s="26" t="n">
        <v>0.914</v>
      </c>
      <c r="C140" s="26">
        <f>B140*(25/100)</f>
        <v/>
      </c>
      <c r="D140" s="26">
        <f>C140+B140</f>
        <v/>
      </c>
      <c r="E140" s="26" t="n">
        <v>0.18</v>
      </c>
      <c r="F140" s="26" t="n"/>
      <c r="G140" s="26" t="n"/>
      <c r="H140" s="26" t="n"/>
      <c r="I140" s="26" t="n"/>
      <c r="J140" s="26" t="n"/>
      <c r="K140" s="26" t="n"/>
      <c r="L140" s="174">
        <f>E140*Prices!B$2</f>
        <v/>
      </c>
      <c r="M140" s="174">
        <f>F140*Prices!C$2</f>
        <v/>
      </c>
      <c r="N140" s="174">
        <f>G140*Prices!D$2</f>
        <v/>
      </c>
      <c r="O140" s="174">
        <f>H140*Prices!E$2</f>
        <v/>
      </c>
      <c r="P140" s="174">
        <f>I140*2000+J140*10000+K140*1800</f>
        <v/>
      </c>
      <c r="Q140" s="174">
        <f>D140*Prices!A$2</f>
        <v/>
      </c>
      <c r="R140" s="175">
        <f>L140+M140+N140+O140</f>
        <v/>
      </c>
      <c r="S140" s="174">
        <f>R140+Q140+P140</f>
        <v/>
      </c>
      <c r="T140" s="26" t="n">
        <v>139</v>
      </c>
      <c r="U140" s="26" t="inlineStr">
        <is>
          <t>Available</t>
        </is>
      </c>
      <c r="V140" s="93" t="n"/>
      <c r="W140" s="93" t="n"/>
      <c r="X140" s="93" t="n"/>
      <c r="Y140" s="93" t="n"/>
      <c r="Z140" s="93" t="n"/>
    </row>
    <row r="141">
      <c r="A141" s="26" t="n">
        <v>140</v>
      </c>
      <c r="B141" s="26" t="n">
        <v>1.194</v>
      </c>
      <c r="C141" s="26">
        <f>B141*(25/100)</f>
        <v/>
      </c>
      <c r="D141" s="26">
        <f>C141+B141</f>
        <v/>
      </c>
      <c r="E141" s="26" t="n">
        <v>0.18</v>
      </c>
      <c r="F141" s="26" t="n"/>
      <c r="G141" s="26" t="n"/>
      <c r="H141" s="26" t="n"/>
      <c r="I141" s="26" t="n"/>
      <c r="J141" s="26" t="n"/>
      <c r="K141" s="26" t="n"/>
      <c r="L141" s="174">
        <f>E141*Prices!B$2</f>
        <v/>
      </c>
      <c r="M141" s="174">
        <f>F141*Prices!C$2</f>
        <v/>
      </c>
      <c r="N141" s="174">
        <f>G141*Prices!D$2</f>
        <v/>
      </c>
      <c r="O141" s="174">
        <f>H141*Prices!E$2</f>
        <v/>
      </c>
      <c r="P141" s="174">
        <f>I141*2000+J141*10000+K141*1800</f>
        <v/>
      </c>
      <c r="Q141" s="174">
        <f>D141*Prices!A$2</f>
        <v/>
      </c>
      <c r="R141" s="175">
        <f>L141+M141+N141+O141</f>
        <v/>
      </c>
      <c r="S141" s="174">
        <f>R141+Q141+P141</f>
        <v/>
      </c>
      <c r="T141" s="26" t="n">
        <v>140</v>
      </c>
      <c r="U141" s="26" t="inlineStr">
        <is>
          <t>Sold</t>
        </is>
      </c>
      <c r="V141" s="93" t="n"/>
      <c r="W141" s="93" t="n"/>
      <c r="X141" s="93" t="n"/>
      <c r="Y141" s="93" t="n"/>
      <c r="Z141" s="93" t="n"/>
    </row>
    <row r="142">
      <c r="A142" s="26" t="n">
        <v>141</v>
      </c>
      <c r="B142" s="26" t="n">
        <v>2.23</v>
      </c>
      <c r="C142" s="26">
        <f>B142*(25/100)</f>
        <v/>
      </c>
      <c r="D142" s="26">
        <f>C142+B142</f>
        <v/>
      </c>
      <c r="E142" s="26" t="n">
        <v>0.2</v>
      </c>
      <c r="F142" s="26" t="n"/>
      <c r="G142" s="26" t="n"/>
      <c r="H142" s="26" t="n"/>
      <c r="I142" s="26" t="n"/>
      <c r="J142" s="26" t="n"/>
      <c r="K142" s="26" t="n"/>
      <c r="L142" s="174">
        <f>E142*Prices!B$2</f>
        <v/>
      </c>
      <c r="M142" s="174">
        <f>F142*Prices!C$2</f>
        <v/>
      </c>
      <c r="N142" s="174">
        <f>G142*Prices!D$2</f>
        <v/>
      </c>
      <c r="O142" s="174">
        <f>H142*Prices!E$2</f>
        <v/>
      </c>
      <c r="P142" s="174">
        <f>I142*2000+J142*10000+K142*1800</f>
        <v/>
      </c>
      <c r="Q142" s="174">
        <f>D142*Prices!A$2</f>
        <v/>
      </c>
      <c r="R142" s="175">
        <f>L142+M142+N142+O142</f>
        <v/>
      </c>
      <c r="S142" s="174">
        <f>R142+Q142+P142</f>
        <v/>
      </c>
      <c r="T142" s="26" t="n">
        <v>141</v>
      </c>
      <c r="U142" s="26" t="inlineStr">
        <is>
          <t>Sold</t>
        </is>
      </c>
      <c r="V142" s="93" t="n"/>
      <c r="W142" s="93" t="n"/>
      <c r="X142" s="93" t="n"/>
      <c r="Y142" s="93" t="n"/>
      <c r="Z142" s="93" t="n"/>
    </row>
    <row r="143">
      <c r="A143" s="26" t="n">
        <v>142</v>
      </c>
      <c r="B143" s="26" t="n">
        <v>1.79</v>
      </c>
      <c r="C143" s="26">
        <f>B143*(25/100)</f>
        <v/>
      </c>
      <c r="D143" s="26">
        <f>C143+B143</f>
        <v/>
      </c>
      <c r="E143" s="26" t="n">
        <v>0.45</v>
      </c>
      <c r="F143" s="26" t="n"/>
      <c r="G143" s="26" t="n"/>
      <c r="H143" s="26" t="n"/>
      <c r="I143" s="26" t="n"/>
      <c r="J143" s="26" t="n"/>
      <c r="K143" s="26" t="n"/>
      <c r="L143" s="174">
        <f>E143*Prices!B$2</f>
        <v/>
      </c>
      <c r="M143" s="174">
        <f>F143*Prices!C$2</f>
        <v/>
      </c>
      <c r="N143" s="174">
        <f>G143*Prices!D$2</f>
        <v/>
      </c>
      <c r="O143" s="174">
        <f>H143*Prices!E$2</f>
        <v/>
      </c>
      <c r="P143" s="174">
        <f>I143*2000+J143*10000+K143*1800</f>
        <v/>
      </c>
      <c r="Q143" s="174">
        <f>D143*Prices!A$2</f>
        <v/>
      </c>
      <c r="R143" s="175">
        <f>L143+M143+N143+O143</f>
        <v/>
      </c>
      <c r="S143" s="174">
        <f>R143+Q143+P143</f>
        <v/>
      </c>
      <c r="T143" s="26" t="n">
        <v>142</v>
      </c>
      <c r="U143" s="26" t="inlineStr">
        <is>
          <t>Sold</t>
        </is>
      </c>
      <c r="V143" s="93" t="n"/>
      <c r="W143" s="93" t="n"/>
      <c r="X143" s="93" t="n"/>
      <c r="Y143" s="93" t="n"/>
      <c r="Z143" s="93" t="n"/>
    </row>
    <row r="144">
      <c r="A144" s="26" t="n">
        <v>143</v>
      </c>
      <c r="B144" s="26" t="n">
        <v>1.79</v>
      </c>
      <c r="C144" s="26">
        <f>B144*(25/100)</f>
        <v/>
      </c>
      <c r="D144" s="26">
        <f>C144+B144</f>
        <v/>
      </c>
      <c r="E144" s="26" t="n">
        <v>0.35</v>
      </c>
      <c r="F144" s="26" t="n"/>
      <c r="G144" s="26" t="n"/>
      <c r="H144" s="26" t="n"/>
      <c r="I144" s="26" t="n"/>
      <c r="J144" s="26" t="n"/>
      <c r="K144" s="26" t="n"/>
      <c r="L144" s="174">
        <f>E144*Prices!B$2</f>
        <v/>
      </c>
      <c r="M144" s="174">
        <f>F144*Prices!C$2</f>
        <v/>
      </c>
      <c r="N144" s="174">
        <f>G144*Prices!D$2</f>
        <v/>
      </c>
      <c r="O144" s="174">
        <f>H144*Prices!E$2</f>
        <v/>
      </c>
      <c r="P144" s="174">
        <f>I144*2000+J144*10000+K144*1800</f>
        <v/>
      </c>
      <c r="Q144" s="174">
        <f>D144*Prices!A$2</f>
        <v/>
      </c>
      <c r="R144" s="175">
        <f>L144+M144+N144+O144</f>
        <v/>
      </c>
      <c r="S144" s="174">
        <f>R144+Q144+P144</f>
        <v/>
      </c>
      <c r="T144" s="26" t="n">
        <v>143</v>
      </c>
      <c r="U144" s="26" t="inlineStr">
        <is>
          <t>Sold</t>
        </is>
      </c>
      <c r="V144" s="93" t="n"/>
      <c r="W144" s="93" t="n"/>
      <c r="X144" s="93" t="n"/>
      <c r="Y144" s="93" t="n"/>
      <c r="Z144" s="93" t="n"/>
    </row>
    <row r="145">
      <c r="A145" s="26" t="n">
        <v>144</v>
      </c>
      <c r="B145" s="26" t="n">
        <v>2.2</v>
      </c>
      <c r="C145" s="26">
        <f>B145*(25/100)</f>
        <v/>
      </c>
      <c r="D145" s="26">
        <f>C145+B145</f>
        <v/>
      </c>
      <c r="E145" s="26" t="n">
        <v>0.28</v>
      </c>
      <c r="F145" s="26" t="n"/>
      <c r="G145" s="26" t="n"/>
      <c r="H145" s="26" t="n"/>
      <c r="I145" s="26" t="n"/>
      <c r="J145" s="26" t="n"/>
      <c r="K145" s="26" t="n"/>
      <c r="L145" s="174">
        <f>E145*Prices!B$2</f>
        <v/>
      </c>
      <c r="M145" s="174">
        <f>F145*Prices!C$2</f>
        <v/>
      </c>
      <c r="N145" s="174">
        <f>G145*Prices!D$2</f>
        <v/>
      </c>
      <c r="O145" s="174">
        <f>H145*Prices!E$2</f>
        <v/>
      </c>
      <c r="P145" s="174">
        <f>I145*2000+J145*10000+K145*1800</f>
        <v/>
      </c>
      <c r="Q145" s="174">
        <f>D145*Prices!A$2</f>
        <v/>
      </c>
      <c r="R145" s="175">
        <f>L145+M145+N145+O145</f>
        <v/>
      </c>
      <c r="S145" s="174">
        <f>R145+Q145+P145</f>
        <v/>
      </c>
      <c r="T145" s="26" t="n">
        <v>144</v>
      </c>
      <c r="U145" s="26" t="inlineStr">
        <is>
          <t>Sold</t>
        </is>
      </c>
      <c r="V145" s="93" t="n"/>
      <c r="W145" s="93" t="n"/>
      <c r="X145" s="93" t="n"/>
      <c r="Y145" s="93" t="n"/>
      <c r="Z145" s="93" t="n"/>
    </row>
    <row r="146">
      <c r="A146" s="26" t="n">
        <v>145</v>
      </c>
      <c r="B146" s="26" t="n">
        <v>3.208</v>
      </c>
      <c r="C146" s="26">
        <f>B146*(25/100)</f>
        <v/>
      </c>
      <c r="D146" s="26">
        <f>C146+B146</f>
        <v/>
      </c>
      <c r="E146" s="26" t="n">
        <v>0.36</v>
      </c>
      <c r="F146" s="26" t="n"/>
      <c r="G146" s="26" t="n"/>
      <c r="H146" s="26" t="n"/>
      <c r="I146" s="26" t="n"/>
      <c r="J146" s="26" t="n"/>
      <c r="K146" s="26" t="n"/>
      <c r="L146" s="174">
        <f>E146*Prices!B$2</f>
        <v/>
      </c>
      <c r="M146" s="174">
        <f>F146*Prices!C$2</f>
        <v/>
      </c>
      <c r="N146" s="174">
        <f>G146*Prices!D$2</f>
        <v/>
      </c>
      <c r="O146" s="174">
        <f>H146*Prices!E$2</f>
        <v/>
      </c>
      <c r="P146" s="174">
        <f>I146*2000+J146*10000+K146*1800</f>
        <v/>
      </c>
      <c r="Q146" s="174">
        <f>D146*Prices!A$2</f>
        <v/>
      </c>
      <c r="R146" s="175">
        <f>L146+M146+N146+O146</f>
        <v/>
      </c>
      <c r="S146" s="174">
        <f>R146+Q146+P146</f>
        <v/>
      </c>
      <c r="T146" s="26" t="n">
        <v>145</v>
      </c>
      <c r="U146" s="26" t="inlineStr">
        <is>
          <t>Available</t>
        </is>
      </c>
      <c r="V146" s="93" t="inlineStr">
        <is>
          <t>A</t>
        </is>
      </c>
      <c r="W146" s="93" t="n"/>
      <c r="X146" s="93" t="n"/>
      <c r="Y146" s="93" t="n"/>
      <c r="Z146" s="93" t="n"/>
    </row>
    <row r="147">
      <c r="A147" s="26" t="n">
        <v>146</v>
      </c>
      <c r="B147" s="26" t="n">
        <v>3.428</v>
      </c>
      <c r="C147" s="26">
        <f>B147*(25/100)</f>
        <v/>
      </c>
      <c r="D147" s="26">
        <f>C147+B147</f>
        <v/>
      </c>
      <c r="E147" s="26" t="n">
        <v>0.51</v>
      </c>
      <c r="F147" s="26" t="n"/>
      <c r="G147" s="26" t="n"/>
      <c r="H147" s="26" t="n"/>
      <c r="I147" s="26" t="n"/>
      <c r="J147" s="26" t="n"/>
      <c r="K147" s="26" t="n"/>
      <c r="L147" s="174">
        <f>E147*Prices!B$2</f>
        <v/>
      </c>
      <c r="M147" s="174">
        <f>F147*Prices!C$2</f>
        <v/>
      </c>
      <c r="N147" s="174">
        <f>G147*Prices!D$2</f>
        <v/>
      </c>
      <c r="O147" s="174">
        <f>H147*Prices!E$2</f>
        <v/>
      </c>
      <c r="P147" s="174">
        <f>I147*2000+J147*10000+K147*1800</f>
        <v/>
      </c>
      <c r="Q147" s="174">
        <f>D147*Prices!A$2</f>
        <v/>
      </c>
      <c r="R147" s="175">
        <f>L147+M147+N147+O147</f>
        <v/>
      </c>
      <c r="S147" s="174">
        <f>R147+Q147+P147</f>
        <v/>
      </c>
      <c r="T147" s="26" t="n">
        <v>146</v>
      </c>
      <c r="U147" s="26" t="inlineStr">
        <is>
          <t>Sold</t>
        </is>
      </c>
      <c r="V147" s="93" t="n"/>
      <c r="W147" s="93" t="n"/>
      <c r="X147" s="93" t="n"/>
      <c r="Y147" s="93" t="n"/>
      <c r="Z147" s="93" t="n"/>
    </row>
    <row r="148">
      <c r="A148" s="26" t="n">
        <v>147</v>
      </c>
      <c r="B148" s="26" t="n">
        <v>3.594</v>
      </c>
      <c r="C148" s="26">
        <f>B148*(25/100)</f>
        <v/>
      </c>
      <c r="D148" s="26">
        <f>C148+B148</f>
        <v/>
      </c>
      <c r="E148" s="26" t="n">
        <v>0.58</v>
      </c>
      <c r="F148" s="26" t="n"/>
      <c r="G148" s="26" t="n"/>
      <c r="H148" s="26" t="n"/>
      <c r="I148" s="26" t="n"/>
      <c r="J148" s="26" t="n"/>
      <c r="K148" s="26" t="n"/>
      <c r="L148" s="174">
        <f>E148*Prices!B$2</f>
        <v/>
      </c>
      <c r="M148" s="174">
        <f>F148*Prices!C$2</f>
        <v/>
      </c>
      <c r="N148" s="174">
        <f>G148*Prices!D$2</f>
        <v/>
      </c>
      <c r="O148" s="174">
        <f>H148*Prices!E$2</f>
        <v/>
      </c>
      <c r="P148" s="174">
        <f>I148*2000+J148*10000+K148*1800</f>
        <v/>
      </c>
      <c r="Q148" s="174">
        <f>D148*Prices!A$2</f>
        <v/>
      </c>
      <c r="R148" s="175">
        <f>L148+M148+N148+O148</f>
        <v/>
      </c>
      <c r="S148" s="174">
        <f>R148+Q148+P148</f>
        <v/>
      </c>
      <c r="T148" s="26" t="n">
        <v>147</v>
      </c>
      <c r="U148" s="26" t="inlineStr">
        <is>
          <t>Available</t>
        </is>
      </c>
      <c r="V148" s="93" t="inlineStr">
        <is>
          <t>A</t>
        </is>
      </c>
      <c r="W148" s="93" t="n"/>
      <c r="X148" s="93" t="n"/>
      <c r="Y148" s="93" t="n"/>
      <c r="Z148" s="93" t="n"/>
    </row>
    <row r="149">
      <c r="A149" s="26" t="n">
        <v>148</v>
      </c>
      <c r="B149" s="26" t="n">
        <v>1.958</v>
      </c>
      <c r="C149" s="26">
        <f>B149*(25/100)</f>
        <v/>
      </c>
      <c r="D149" s="26">
        <f>C149+B149</f>
        <v/>
      </c>
      <c r="E149" s="26" t="n">
        <v>0.21</v>
      </c>
      <c r="F149" s="26" t="n"/>
      <c r="G149" s="26" t="n"/>
      <c r="H149" s="26" t="n"/>
      <c r="I149" s="26" t="n"/>
      <c r="J149" s="26" t="n"/>
      <c r="K149" s="26" t="n"/>
      <c r="L149" s="174">
        <f>E149*Prices!B$2</f>
        <v/>
      </c>
      <c r="M149" s="174">
        <f>F149*Prices!C$2</f>
        <v/>
      </c>
      <c r="N149" s="174">
        <f>G149*Prices!D$2</f>
        <v/>
      </c>
      <c r="O149" s="174">
        <f>H149*Prices!E$2</f>
        <v/>
      </c>
      <c r="P149" s="174">
        <f>I149*2000+J149*10000+K149*1800</f>
        <v/>
      </c>
      <c r="Q149" s="174">
        <f>D149*Prices!A$2</f>
        <v/>
      </c>
      <c r="R149" s="175">
        <f>L149+M149+N149+O149</f>
        <v/>
      </c>
      <c r="S149" s="174">
        <f>R149+Q149+P149</f>
        <v/>
      </c>
      <c r="T149" s="26" t="n">
        <v>148</v>
      </c>
      <c r="U149" s="26" t="inlineStr">
        <is>
          <t>Sold</t>
        </is>
      </c>
      <c r="V149" s="93" t="n"/>
      <c r="W149" s="93" t="n"/>
      <c r="X149" s="93" t="n"/>
      <c r="Y149" s="93" t="n"/>
      <c r="Z149" s="93" t="n"/>
    </row>
    <row r="150">
      <c r="A150" s="26" t="n">
        <v>149</v>
      </c>
      <c r="B150" s="26" t="n">
        <v>3.172</v>
      </c>
      <c r="C150" s="26">
        <f>B150*(25/100)</f>
        <v/>
      </c>
      <c r="D150" s="26">
        <f>C150+B150</f>
        <v/>
      </c>
      <c r="E150" s="26" t="n">
        <v>0.44</v>
      </c>
      <c r="F150" s="26" t="n"/>
      <c r="G150" s="26" t="n"/>
      <c r="H150" s="26" t="n"/>
      <c r="I150" s="26" t="n"/>
      <c r="J150" s="26" t="n"/>
      <c r="K150" s="26" t="n"/>
      <c r="L150" s="174">
        <f>E150*Prices!B$2</f>
        <v/>
      </c>
      <c r="M150" s="174">
        <f>F150*Prices!C$2</f>
        <v/>
      </c>
      <c r="N150" s="174">
        <f>G150*Prices!D$2</f>
        <v/>
      </c>
      <c r="O150" s="174">
        <f>H150*Prices!E$2</f>
        <v/>
      </c>
      <c r="P150" s="174">
        <f>I150*2000+J150*10000+K150*1800</f>
        <v/>
      </c>
      <c r="Q150" s="174">
        <f>D150*Prices!A$2</f>
        <v/>
      </c>
      <c r="R150" s="175">
        <f>L150+M150+N150+O150</f>
        <v/>
      </c>
      <c r="S150" s="174">
        <f>R150+Q150+P150</f>
        <v/>
      </c>
      <c r="T150" s="26" t="n">
        <v>149</v>
      </c>
      <c r="U150" s="26" t="inlineStr">
        <is>
          <t>Available</t>
        </is>
      </c>
      <c r="V150" s="93" t="inlineStr">
        <is>
          <t>A</t>
        </is>
      </c>
      <c r="W150" s="93" t="n"/>
      <c r="X150" s="93" t="n"/>
      <c r="Y150" s="93" t="n"/>
      <c r="Z150" s="93" t="n"/>
    </row>
    <row r="151">
      <c r="A151" s="26" t="n">
        <v>150</v>
      </c>
      <c r="B151" s="26" t="n">
        <v>2.4</v>
      </c>
      <c r="C151" s="26">
        <f>B151*(25/100)</f>
        <v/>
      </c>
      <c r="D151" s="26">
        <f>C151+B151</f>
        <v/>
      </c>
      <c r="E151" s="26" t="n">
        <v>0.3</v>
      </c>
      <c r="F151" s="26" t="n"/>
      <c r="G151" s="26" t="n"/>
      <c r="H151" s="26" t="n"/>
      <c r="I151" s="26" t="n"/>
      <c r="J151" s="26" t="n"/>
      <c r="K151" s="26" t="n"/>
      <c r="L151" s="174">
        <f>E151*Prices!B$2</f>
        <v/>
      </c>
      <c r="M151" s="174">
        <f>F151*Prices!C$2</f>
        <v/>
      </c>
      <c r="N151" s="174">
        <f>G151*Prices!D$2</f>
        <v/>
      </c>
      <c r="O151" s="174">
        <f>H151*Prices!E$2</f>
        <v/>
      </c>
      <c r="P151" s="174">
        <f>I151*2000+J151*10000+K151*1800</f>
        <v/>
      </c>
      <c r="Q151" s="174">
        <f>D151*Prices!A$2</f>
        <v/>
      </c>
      <c r="R151" s="175">
        <f>L151+M151+N151+O151</f>
        <v/>
      </c>
      <c r="S151" s="174">
        <f>R151+Q151+P151</f>
        <v/>
      </c>
      <c r="T151" s="26" t="n">
        <v>150</v>
      </c>
      <c r="U151" s="26" t="inlineStr">
        <is>
          <t>Sold</t>
        </is>
      </c>
      <c r="V151" s="93" t="n"/>
      <c r="W151" s="93" t="n"/>
      <c r="X151" s="93" t="n"/>
      <c r="Y151" s="93" t="n"/>
      <c r="Z151" s="93" t="n"/>
    </row>
    <row r="152">
      <c r="A152" s="26" t="n">
        <v>151</v>
      </c>
      <c r="B152" s="26" t="n">
        <v>2.17</v>
      </c>
      <c r="C152" s="26">
        <f>B152*(25/100)</f>
        <v/>
      </c>
      <c r="D152" s="26">
        <f>C152+B152</f>
        <v/>
      </c>
      <c r="E152" s="26" t="n">
        <v>0.3</v>
      </c>
      <c r="F152" s="26" t="n"/>
      <c r="G152" s="26" t="n"/>
      <c r="H152" s="26" t="n"/>
      <c r="I152" s="26" t="n"/>
      <c r="J152" s="26" t="n"/>
      <c r="K152" s="26" t="n"/>
      <c r="L152" s="174">
        <f>E152*Prices!B$2</f>
        <v/>
      </c>
      <c r="M152" s="174">
        <f>F152*Prices!C$2</f>
        <v/>
      </c>
      <c r="N152" s="174">
        <f>G152*Prices!D$2</f>
        <v/>
      </c>
      <c r="O152" s="174">
        <f>H152*Prices!E$2</f>
        <v/>
      </c>
      <c r="P152" s="174">
        <f>I152*2000+J152*10000+K152*1800</f>
        <v/>
      </c>
      <c r="Q152" s="174">
        <f>D152*Prices!A$2</f>
        <v/>
      </c>
      <c r="R152" s="175">
        <f>L152+M152+N152+O152</f>
        <v/>
      </c>
      <c r="S152" s="174">
        <f>R152+Q152+P152</f>
        <v/>
      </c>
      <c r="T152" s="26" t="n">
        <v>151</v>
      </c>
      <c r="U152" s="26" t="inlineStr">
        <is>
          <t>Sold</t>
        </is>
      </c>
      <c r="V152" s="93" t="n"/>
      <c r="W152" s="93" t="n"/>
      <c r="X152" s="93" t="n"/>
      <c r="Y152" s="93" t="n"/>
      <c r="Z152" s="93" t="n"/>
    </row>
    <row r="153">
      <c r="A153" s="26" t="n">
        <v>152</v>
      </c>
      <c r="B153" s="26" t="n">
        <v>2.534</v>
      </c>
      <c r="C153" s="26">
        <f>B153*(25/100)</f>
        <v/>
      </c>
      <c r="D153" s="26">
        <f>C153+B153</f>
        <v/>
      </c>
      <c r="E153" s="26" t="n">
        <v>0.33</v>
      </c>
      <c r="F153" s="26" t="n"/>
      <c r="G153" s="26" t="n"/>
      <c r="H153" s="26" t="n"/>
      <c r="I153" s="26" t="n"/>
      <c r="J153" s="26" t="n"/>
      <c r="K153" s="26" t="n"/>
      <c r="L153" s="174">
        <f>E153*Prices!B$2</f>
        <v/>
      </c>
      <c r="M153" s="174">
        <f>F153*Prices!C$2</f>
        <v/>
      </c>
      <c r="N153" s="174">
        <f>G153*Prices!D$2</f>
        <v/>
      </c>
      <c r="O153" s="174">
        <f>H153*Prices!E$2</f>
        <v/>
      </c>
      <c r="P153" s="174">
        <f>I153*2000+J153*10000+K153*1800</f>
        <v/>
      </c>
      <c r="Q153" s="174">
        <f>D153*Prices!A$2</f>
        <v/>
      </c>
      <c r="R153" s="175">
        <f>L153+M153+N153+O153</f>
        <v/>
      </c>
      <c r="S153" s="174">
        <f>R153+Q153+P153</f>
        <v/>
      </c>
      <c r="T153" s="26" t="n">
        <v>152</v>
      </c>
      <c r="U153" s="93" t="inlineStr">
        <is>
          <t>Sold</t>
        </is>
      </c>
      <c r="V153" s="93" t="n"/>
      <c r="W153" s="93" t="n"/>
      <c r="X153" s="93" t="n"/>
      <c r="Y153" s="93" t="n"/>
      <c r="Z153" s="93" t="n"/>
    </row>
    <row r="154">
      <c r="A154" s="26" t="n">
        <v>153</v>
      </c>
      <c r="B154" s="26" t="n">
        <v>3.014</v>
      </c>
      <c r="C154" s="26">
        <f>B154*(25/100)</f>
        <v/>
      </c>
      <c r="D154" s="26">
        <f>C154+B154</f>
        <v/>
      </c>
      <c r="E154" s="26" t="n">
        <v>0.43</v>
      </c>
      <c r="F154" s="26" t="n"/>
      <c r="G154" s="26" t="n"/>
      <c r="H154" s="26" t="n"/>
      <c r="I154" s="26" t="n"/>
      <c r="J154" s="26" t="n"/>
      <c r="K154" s="26" t="n"/>
      <c r="L154" s="174">
        <f>E154*Prices!B$2</f>
        <v/>
      </c>
      <c r="M154" s="174">
        <f>F154*Prices!C$2</f>
        <v/>
      </c>
      <c r="N154" s="174">
        <f>G154*Prices!D$2</f>
        <v/>
      </c>
      <c r="O154" s="174">
        <f>H154*Prices!E$2</f>
        <v/>
      </c>
      <c r="P154" s="174">
        <f>I154*2000+J154*10000+K154*1800</f>
        <v/>
      </c>
      <c r="Q154" s="174">
        <f>D154*Prices!A$2</f>
        <v/>
      </c>
      <c r="R154" s="175">
        <f>L154+M154+N154+O154</f>
        <v/>
      </c>
      <c r="S154" s="174">
        <f>R154+Q154+P154</f>
        <v/>
      </c>
      <c r="T154" s="26" t="n">
        <v>153</v>
      </c>
      <c r="U154" s="26" t="inlineStr">
        <is>
          <t>Sold</t>
        </is>
      </c>
      <c r="V154" s="93" t="n"/>
      <c r="W154" s="93" t="n"/>
      <c r="X154" s="93" t="n"/>
      <c r="Y154" s="93" t="n"/>
      <c r="Z154" s="93" t="n"/>
    </row>
    <row r="155">
      <c r="A155" s="26" t="n">
        <v>154</v>
      </c>
      <c r="B155" s="26" t="n">
        <v>1.674</v>
      </c>
      <c r="C155" s="26">
        <f>B155*(25/100)</f>
        <v/>
      </c>
      <c r="D155" s="26">
        <f>C155+B155</f>
        <v/>
      </c>
      <c r="E155" s="26" t="n">
        <v>0.48</v>
      </c>
      <c r="F155" s="26" t="n"/>
      <c r="G155" s="26" t="n"/>
      <c r="H155" s="26" t="n"/>
      <c r="I155" s="26" t="n"/>
      <c r="J155" s="26" t="n"/>
      <c r="K155" s="26" t="n"/>
      <c r="L155" s="174">
        <f>E155*Prices!B$2</f>
        <v/>
      </c>
      <c r="M155" s="174">
        <f>F155*Prices!C$2</f>
        <v/>
      </c>
      <c r="N155" s="174">
        <f>G155*Prices!D$2</f>
        <v/>
      </c>
      <c r="O155" s="174">
        <f>H155*Prices!E$2</f>
        <v/>
      </c>
      <c r="P155" s="174">
        <f>I155*2000+J155*10000+K155*1800</f>
        <v/>
      </c>
      <c r="Q155" s="174">
        <f>D155*Prices!A$2</f>
        <v/>
      </c>
      <c r="R155" s="175">
        <f>L155+M155+N155+O155</f>
        <v/>
      </c>
      <c r="S155" s="174">
        <f>R155+Q155+P155</f>
        <v/>
      </c>
      <c r="T155" s="26" t="n">
        <v>154</v>
      </c>
      <c r="U155" s="26" t="inlineStr">
        <is>
          <t>Available</t>
        </is>
      </c>
      <c r="V155" s="93" t="inlineStr">
        <is>
          <t>A</t>
        </is>
      </c>
      <c r="W155" s="93" t="n"/>
      <c r="X155" s="93" t="n"/>
      <c r="Y155" s="93" t="n"/>
      <c r="Z155" s="93" t="n"/>
    </row>
    <row r="156">
      <c r="A156" s="26" t="n">
        <v>155</v>
      </c>
      <c r="B156" s="26" t="n">
        <v>3.102</v>
      </c>
      <c r="C156" s="26">
        <f>B156*(25/100)</f>
        <v/>
      </c>
      <c r="D156" s="26">
        <f>C156+B156</f>
        <v/>
      </c>
      <c r="E156" s="26" t="n">
        <v>0.39</v>
      </c>
      <c r="F156" s="26" t="n"/>
      <c r="G156" s="26" t="n"/>
      <c r="H156" s="26" t="n"/>
      <c r="I156" s="26" t="n"/>
      <c r="J156" s="26" t="n"/>
      <c r="K156" s="26" t="n"/>
      <c r="L156" s="174">
        <f>E156*Prices!B$2</f>
        <v/>
      </c>
      <c r="M156" s="174">
        <f>F156*Prices!C$2</f>
        <v/>
      </c>
      <c r="N156" s="174">
        <f>G156*Prices!D$2</f>
        <v/>
      </c>
      <c r="O156" s="174">
        <f>H156*Prices!E$2</f>
        <v/>
      </c>
      <c r="P156" s="174">
        <f>I156*2000+J156*10000+K156*1800</f>
        <v/>
      </c>
      <c r="Q156" s="174">
        <f>D156*Prices!A$2</f>
        <v/>
      </c>
      <c r="R156" s="175">
        <f>L156+M156+N156+O156</f>
        <v/>
      </c>
      <c r="S156" s="174">
        <f>R156+Q156+P156</f>
        <v/>
      </c>
      <c r="T156" s="26" t="n">
        <v>155</v>
      </c>
      <c r="U156" s="26" t="inlineStr">
        <is>
          <t>Available</t>
        </is>
      </c>
      <c r="V156" s="93" t="inlineStr">
        <is>
          <t>A</t>
        </is>
      </c>
      <c r="W156" s="93" t="n"/>
      <c r="X156" s="93" t="n"/>
      <c r="Y156" s="93" t="n"/>
      <c r="Z156" s="93" t="n"/>
    </row>
    <row r="157">
      <c r="A157" s="26" t="n">
        <v>156</v>
      </c>
      <c r="B157" s="26" t="n">
        <v>2.828</v>
      </c>
      <c r="C157" s="26">
        <f>B157*(25/100)</f>
        <v/>
      </c>
      <c r="D157" s="26">
        <f>C157+B157</f>
        <v/>
      </c>
      <c r="E157" s="26" t="n">
        <v>0.46</v>
      </c>
      <c r="F157" s="26" t="n"/>
      <c r="G157" s="26" t="n"/>
      <c r="H157" s="26" t="n"/>
      <c r="I157" s="26" t="n"/>
      <c r="J157" s="26" t="n"/>
      <c r="K157" s="26" t="n"/>
      <c r="L157" s="174">
        <f>E157*Prices!B$2</f>
        <v/>
      </c>
      <c r="M157" s="174">
        <f>F157*Prices!C$2</f>
        <v/>
      </c>
      <c r="N157" s="174">
        <f>G157*Prices!D$2</f>
        <v/>
      </c>
      <c r="O157" s="174">
        <f>H157*Prices!E$2</f>
        <v/>
      </c>
      <c r="P157" s="174">
        <f>I157*2000+J157*10000+K157*1800</f>
        <v/>
      </c>
      <c r="Q157" s="174">
        <f>D157*Prices!A$2</f>
        <v/>
      </c>
      <c r="R157" s="175">
        <f>L157+M157+N157+O157</f>
        <v/>
      </c>
      <c r="S157" s="174">
        <f>R157+Q157+P157</f>
        <v/>
      </c>
      <c r="T157" s="26" t="n">
        <v>156</v>
      </c>
      <c r="U157" s="26" t="inlineStr">
        <is>
          <t>Sold</t>
        </is>
      </c>
      <c r="V157" s="93" t="n"/>
      <c r="W157" s="93" t="n"/>
      <c r="X157" s="93" t="n"/>
      <c r="Y157" s="93" t="n"/>
      <c r="Z157" s="93" t="n"/>
    </row>
    <row r="158">
      <c r="A158" s="26" t="n">
        <v>157</v>
      </c>
      <c r="B158" s="26" t="n">
        <v>2.408</v>
      </c>
      <c r="C158" s="26">
        <f>B158*(25/100)</f>
        <v/>
      </c>
      <c r="D158" s="26">
        <f>C158+B158</f>
        <v/>
      </c>
      <c r="E158" s="26" t="n">
        <v>0.41</v>
      </c>
      <c r="F158" s="26" t="n"/>
      <c r="G158" s="26" t="n"/>
      <c r="H158" s="26" t="n"/>
      <c r="I158" s="26" t="n"/>
      <c r="J158" s="26" t="n"/>
      <c r="K158" s="26" t="n"/>
      <c r="L158" s="174">
        <f>E158*Prices!B$2</f>
        <v/>
      </c>
      <c r="M158" s="174">
        <f>F158*Prices!C$2</f>
        <v/>
      </c>
      <c r="N158" s="174">
        <f>G158*Prices!D$2</f>
        <v/>
      </c>
      <c r="O158" s="174">
        <f>H158*Prices!E$2</f>
        <v/>
      </c>
      <c r="P158" s="174">
        <f>I158*2000+J158*10000+K158*1800</f>
        <v/>
      </c>
      <c r="Q158" s="174">
        <f>D158*Prices!A$2</f>
        <v/>
      </c>
      <c r="R158" s="175">
        <f>L158+M158+N158+O158</f>
        <v/>
      </c>
      <c r="S158" s="174">
        <f>R158+Q158+P158</f>
        <v/>
      </c>
      <c r="T158" s="26" t="n">
        <v>157</v>
      </c>
      <c r="U158" s="26" t="inlineStr">
        <is>
          <t>Available</t>
        </is>
      </c>
      <c r="V158" s="93" t="inlineStr">
        <is>
          <t>A</t>
        </is>
      </c>
      <c r="W158" s="93" t="n"/>
      <c r="X158" s="93" t="n"/>
      <c r="Y158" s="93" t="n"/>
      <c r="Z158" s="93" t="n"/>
    </row>
    <row r="159">
      <c r="A159" s="26" t="n">
        <v>158</v>
      </c>
      <c r="B159" s="26" t="n">
        <v>2.31</v>
      </c>
      <c r="C159" s="26">
        <f>B159*(25/100)</f>
        <v/>
      </c>
      <c r="D159" s="26">
        <f>C159+B159</f>
        <v/>
      </c>
      <c r="E159" s="26">
        <f>0.25+0.1</f>
        <v/>
      </c>
      <c r="F159" s="26" t="n"/>
      <c r="G159" s="26" t="n"/>
      <c r="H159" s="26" t="n"/>
      <c r="I159" s="26" t="n"/>
      <c r="J159" s="26" t="n"/>
      <c r="K159" s="26" t="n"/>
      <c r="L159" s="174">
        <f>E159*Prices!B$2</f>
        <v/>
      </c>
      <c r="M159" s="174">
        <f>F159*Prices!C$2</f>
        <v/>
      </c>
      <c r="N159" s="174">
        <f>G159*Prices!D$2</f>
        <v/>
      </c>
      <c r="O159" s="174">
        <f>H159*Prices!E$2</f>
        <v/>
      </c>
      <c r="P159" s="174">
        <f>I159*2000+J159*10000+K159*1800</f>
        <v/>
      </c>
      <c r="Q159" s="174">
        <f>D159*Prices!A$2</f>
        <v/>
      </c>
      <c r="R159" s="175">
        <f>L159+M159+N159+O159</f>
        <v/>
      </c>
      <c r="S159" s="174">
        <f>R159+Q159+P159</f>
        <v/>
      </c>
      <c r="T159" s="26" t="n">
        <v>158</v>
      </c>
      <c r="U159" s="26" t="inlineStr">
        <is>
          <t>Available</t>
        </is>
      </c>
      <c r="V159" s="93" t="inlineStr">
        <is>
          <t>A</t>
        </is>
      </c>
      <c r="W159" s="93" t="n"/>
      <c r="X159" s="93" t="n"/>
      <c r="Y159" s="93" t="n"/>
      <c r="Z159" s="93" t="n"/>
    </row>
    <row r="160">
      <c r="A160" s="26" t="n">
        <v>159</v>
      </c>
      <c r="B160" s="26" t="n">
        <v>2.524</v>
      </c>
      <c r="C160" s="26">
        <f>B160*(25/100)</f>
        <v/>
      </c>
      <c r="D160" s="26">
        <f>C160+B160</f>
        <v/>
      </c>
      <c r="E160" s="26" t="n">
        <v>0.53</v>
      </c>
      <c r="F160" s="26" t="n"/>
      <c r="G160" s="26" t="n"/>
      <c r="H160" s="26" t="n"/>
      <c r="I160" s="26" t="n"/>
      <c r="J160" s="26" t="n"/>
      <c r="K160" s="26" t="n"/>
      <c r="L160" s="174">
        <f>E160*Prices!B$2</f>
        <v/>
      </c>
      <c r="M160" s="174">
        <f>F160*Prices!C$2</f>
        <v/>
      </c>
      <c r="N160" s="174">
        <f>G160*Prices!D$2</f>
        <v/>
      </c>
      <c r="O160" s="174">
        <f>H160*Prices!E$2</f>
        <v/>
      </c>
      <c r="P160" s="174">
        <f>I160*2000+J160*10000+K160*1800</f>
        <v/>
      </c>
      <c r="Q160" s="174">
        <f>D160*Prices!A$2</f>
        <v/>
      </c>
      <c r="R160" s="175">
        <f>L160+M160+N160+O160</f>
        <v/>
      </c>
      <c r="S160" s="174">
        <f>R160+Q160+P160</f>
        <v/>
      </c>
      <c r="T160" s="26" t="n">
        <v>159</v>
      </c>
      <c r="U160" s="26" t="inlineStr">
        <is>
          <t>Available</t>
        </is>
      </c>
      <c r="V160" s="93" t="inlineStr">
        <is>
          <t>A</t>
        </is>
      </c>
      <c r="W160" s="93" t="n"/>
      <c r="X160" s="93" t="n"/>
      <c r="Y160" s="93" t="n"/>
      <c r="Z160" s="93" t="n"/>
    </row>
    <row r="161">
      <c r="A161" s="26" t="n">
        <v>160</v>
      </c>
      <c r="B161" s="26" t="n">
        <v>2.232</v>
      </c>
      <c r="C161" s="26">
        <f>B161*(25/100)</f>
        <v/>
      </c>
      <c r="D161" s="26">
        <f>C161+B161</f>
        <v/>
      </c>
      <c r="E161" s="26" t="n">
        <v>0.49</v>
      </c>
      <c r="F161" s="26" t="n"/>
      <c r="G161" s="26" t="n"/>
      <c r="H161" s="26" t="n"/>
      <c r="I161" s="26" t="n"/>
      <c r="J161" s="26" t="n"/>
      <c r="K161" s="26" t="n"/>
      <c r="L161" s="174">
        <f>E161*Prices!B$2</f>
        <v/>
      </c>
      <c r="M161" s="174">
        <f>F161*Prices!C$2</f>
        <v/>
      </c>
      <c r="N161" s="174">
        <f>G161*Prices!D$2</f>
        <v/>
      </c>
      <c r="O161" s="174">
        <f>H161*Prices!E$2</f>
        <v/>
      </c>
      <c r="P161" s="174">
        <f>I161*2000+J161*10000+K161*1800</f>
        <v/>
      </c>
      <c r="Q161" s="174">
        <f>D161*Prices!A$2</f>
        <v/>
      </c>
      <c r="R161" s="175">
        <f>L161+M161+N161+O161</f>
        <v/>
      </c>
      <c r="S161" s="174">
        <f>R161+Q161+P161</f>
        <v/>
      </c>
      <c r="T161" s="26" t="n">
        <v>160</v>
      </c>
      <c r="U161" s="26" t="inlineStr">
        <is>
          <t>Available</t>
        </is>
      </c>
      <c r="V161" s="93" t="inlineStr">
        <is>
          <t>A</t>
        </is>
      </c>
      <c r="W161" s="93" t="n"/>
      <c r="X161" s="93" t="n"/>
      <c r="Y161" s="93" t="n"/>
      <c r="Z161" s="93" t="n"/>
    </row>
    <row r="162">
      <c r="A162" s="26" t="n">
        <v>161</v>
      </c>
      <c r="B162" s="26" t="n">
        <v>1.812</v>
      </c>
      <c r="C162" s="26">
        <f>B162*(25/100)</f>
        <v/>
      </c>
      <c r="D162" s="26">
        <f>C162+B162</f>
        <v/>
      </c>
      <c r="E162" s="26" t="n">
        <v>0.21</v>
      </c>
      <c r="F162" s="26" t="n"/>
      <c r="G162" s="26" t="n"/>
      <c r="H162" s="26" t="n"/>
      <c r="I162" s="26" t="n"/>
      <c r="J162" s="26" t="n"/>
      <c r="K162" s="26" t="n">
        <v>5.58</v>
      </c>
      <c r="L162" s="174">
        <f>E162*Prices!B$2</f>
        <v/>
      </c>
      <c r="M162" s="174">
        <f>F162*Prices!C$2</f>
        <v/>
      </c>
      <c r="N162" s="174">
        <f>G162*Prices!D$2</f>
        <v/>
      </c>
      <c r="O162" s="174">
        <f>H162*Prices!E$2</f>
        <v/>
      </c>
      <c r="P162" s="174">
        <f>I162*2000+J162*10000+K162*250</f>
        <v/>
      </c>
      <c r="Q162" s="174">
        <f>D162*Prices!A$2</f>
        <v/>
      </c>
      <c r="R162" s="175">
        <f>L162+M162+N162+O162</f>
        <v/>
      </c>
      <c r="S162" s="174">
        <f>R162+Q162+P162</f>
        <v/>
      </c>
      <c r="T162" s="26" t="n">
        <v>161</v>
      </c>
      <c r="U162" s="26" t="inlineStr">
        <is>
          <t>Sold</t>
        </is>
      </c>
      <c r="V162" s="93" t="n"/>
      <c r="W162" s="93" t="n"/>
      <c r="X162" s="93" t="n"/>
      <c r="Y162" s="93" t="n"/>
      <c r="Z162" s="93" t="n"/>
    </row>
    <row r="163">
      <c r="A163" s="26" t="n">
        <v>162</v>
      </c>
      <c r="B163" s="26" t="n">
        <v>2.148</v>
      </c>
      <c r="C163" s="26">
        <f>B163*(25/100)</f>
        <v/>
      </c>
      <c r="D163" s="26">
        <f>C163+B163</f>
        <v/>
      </c>
      <c r="E163" s="26" t="n">
        <v>0.25</v>
      </c>
      <c r="F163" s="26" t="n"/>
      <c r="G163" s="26" t="n"/>
      <c r="H163" s="26" t="n"/>
      <c r="I163" s="26" t="n"/>
      <c r="J163" s="26" t="n"/>
      <c r="K163" s="26" t="n">
        <v>7.16</v>
      </c>
      <c r="L163" s="174">
        <f>E163*Prices!B$2</f>
        <v/>
      </c>
      <c r="M163" s="174">
        <f>F163*Prices!C$2</f>
        <v/>
      </c>
      <c r="N163" s="174">
        <f>G163*Prices!D$2</f>
        <v/>
      </c>
      <c r="O163" s="174">
        <f>H163*Prices!E$2</f>
        <v/>
      </c>
      <c r="P163" s="174">
        <f>I163*2000+J163*10000+K163*250</f>
        <v/>
      </c>
      <c r="Q163" s="174">
        <f>D163*Prices!A$2</f>
        <v/>
      </c>
      <c r="R163" s="175">
        <f>L163+M163+N163+O163</f>
        <v/>
      </c>
      <c r="S163" s="174">
        <f>R163+Q163+P163</f>
        <v/>
      </c>
      <c r="T163" s="26" t="n">
        <v>162</v>
      </c>
      <c r="U163" s="26" t="inlineStr">
        <is>
          <t>Sold</t>
        </is>
      </c>
      <c r="V163" s="93" t="n"/>
      <c r="W163" s="93" t="n"/>
      <c r="X163" s="93" t="n"/>
      <c r="Y163" s="93" t="n"/>
      <c r="Z163" s="93" t="n"/>
    </row>
    <row r="164">
      <c r="A164" s="26" t="n">
        <v>163</v>
      </c>
      <c r="B164" s="26" t="n">
        <v>2.754</v>
      </c>
      <c r="C164" s="26">
        <f>B164*(25/100)</f>
        <v/>
      </c>
      <c r="D164" s="26">
        <f>C164+B164</f>
        <v/>
      </c>
      <c r="E164" s="26" t="n">
        <v>0.53</v>
      </c>
      <c r="F164" s="26" t="n"/>
      <c r="G164" s="26" t="n"/>
      <c r="H164" s="26" t="n"/>
      <c r="I164" s="26" t="n"/>
      <c r="J164" s="26" t="n"/>
      <c r="K164" s="26" t="n">
        <v>1.75</v>
      </c>
      <c r="L164" s="174">
        <f>E164*Prices!B$2</f>
        <v/>
      </c>
      <c r="M164" s="174">
        <f>F164*Prices!C$2</f>
        <v/>
      </c>
      <c r="N164" s="174">
        <f>G164*Prices!D$2</f>
        <v/>
      </c>
      <c r="O164" s="174">
        <f>H164*Prices!E$2</f>
        <v/>
      </c>
      <c r="P164" s="174">
        <f>I164*2000+J164*10000+K164*3000</f>
        <v/>
      </c>
      <c r="Q164" s="174">
        <f>D164*Prices!A$2</f>
        <v/>
      </c>
      <c r="R164" s="175">
        <f>L164+M164+N164+O164</f>
        <v/>
      </c>
      <c r="S164" s="174">
        <f>R164+Q164+P164</f>
        <v/>
      </c>
      <c r="T164" s="26" t="n">
        <v>163</v>
      </c>
      <c r="U164" s="26" t="inlineStr">
        <is>
          <t>Sold</t>
        </is>
      </c>
      <c r="V164" s="93" t="n"/>
      <c r="W164" s="93" t="n"/>
      <c r="X164" s="93" t="n"/>
      <c r="Y164" s="93" t="n"/>
      <c r="Z164" s="93" t="n"/>
    </row>
    <row r="165">
      <c r="A165" s="26" t="n">
        <v>164</v>
      </c>
      <c r="B165" s="26" t="n">
        <v>1.832</v>
      </c>
      <c r="C165" s="26">
        <f>B165*(25/100)</f>
        <v/>
      </c>
      <c r="D165" s="26">
        <f>C165+B165</f>
        <v/>
      </c>
      <c r="E165" s="26" t="n">
        <v>0.45</v>
      </c>
      <c r="F165" s="26" t="n"/>
      <c r="G165" s="26" t="n"/>
      <c r="H165" s="26" t="n"/>
      <c r="I165" s="26" t="n"/>
      <c r="J165" s="26" t="n"/>
      <c r="K165" s="26" t="n">
        <v>1.14</v>
      </c>
      <c r="L165" s="174">
        <f>E165*Prices!B$2</f>
        <v/>
      </c>
      <c r="M165" s="174">
        <f>F165*Prices!C$2</f>
        <v/>
      </c>
      <c r="N165" s="174">
        <f>G165*Prices!D$2</f>
        <v/>
      </c>
      <c r="O165" s="174">
        <f>H165*Prices!E$2</f>
        <v/>
      </c>
      <c r="P165" s="174">
        <f>I165*2000+J165*10000+K165*1800</f>
        <v/>
      </c>
      <c r="Q165" s="174">
        <f>D165*Prices!A$2</f>
        <v/>
      </c>
      <c r="R165" s="175">
        <f>L165+M165+N165+O165</f>
        <v/>
      </c>
      <c r="S165" s="174">
        <f>R165+Q165+P165</f>
        <v/>
      </c>
      <c r="T165" s="26" t="n">
        <v>164</v>
      </c>
      <c r="U165" s="26" t="inlineStr">
        <is>
          <t>Available</t>
        </is>
      </c>
      <c r="V165" s="93" t="inlineStr">
        <is>
          <t>A</t>
        </is>
      </c>
      <c r="W165" s="93" t="n"/>
      <c r="X165" s="93" t="n"/>
      <c r="Y165" s="93" t="n"/>
      <c r="Z165" s="93" t="n"/>
    </row>
    <row r="166">
      <c r="A166" s="26" t="n">
        <v>165</v>
      </c>
      <c r="B166" s="26" t="n">
        <v>2.474</v>
      </c>
      <c r="C166" s="26">
        <f>B166*(25/100)</f>
        <v/>
      </c>
      <c r="D166" s="26">
        <f>C166+B166</f>
        <v/>
      </c>
      <c r="E166" s="26" t="n">
        <v>0.48</v>
      </c>
      <c r="F166" s="26" t="n"/>
      <c r="G166" s="26" t="n"/>
      <c r="H166" s="26" t="n"/>
      <c r="I166" s="26" t="n"/>
      <c r="J166" s="26" t="n"/>
      <c r="K166" s="26" t="n"/>
      <c r="L166" s="174">
        <f>E166*Prices!B$2</f>
        <v/>
      </c>
      <c r="M166" s="174">
        <f>F166*Prices!C$2</f>
        <v/>
      </c>
      <c r="N166" s="174">
        <f>G166*Prices!D$2</f>
        <v/>
      </c>
      <c r="O166" s="174">
        <f>H166*Prices!E$2</f>
        <v/>
      </c>
      <c r="P166" s="174">
        <f>I166*2000+J166*10000+K166*1800</f>
        <v/>
      </c>
      <c r="Q166" s="174">
        <f>D166*Prices!A$2</f>
        <v/>
      </c>
      <c r="R166" s="175">
        <f>L166+M166+N166+O166</f>
        <v/>
      </c>
      <c r="S166" s="174">
        <f>R166+Q166+P166</f>
        <v/>
      </c>
      <c r="T166" s="26" t="n">
        <v>165</v>
      </c>
      <c r="U166" s="26" t="inlineStr">
        <is>
          <t>Available</t>
        </is>
      </c>
      <c r="V166" s="93" t="inlineStr">
        <is>
          <t>A</t>
        </is>
      </c>
      <c r="W166" s="93" t="n"/>
      <c r="X166" s="93" t="n"/>
      <c r="Y166" s="93" t="n"/>
      <c r="Z166" s="93" t="n"/>
    </row>
    <row r="167">
      <c r="A167" s="26" t="n">
        <v>166</v>
      </c>
      <c r="B167" s="26" t="n">
        <v>2.364</v>
      </c>
      <c r="C167" s="26">
        <f>B167*(25/100)</f>
        <v/>
      </c>
      <c r="D167" s="26">
        <f>C167+B167</f>
        <v/>
      </c>
      <c r="E167" s="26" t="n">
        <v>0.73</v>
      </c>
      <c r="F167" s="26" t="n"/>
      <c r="G167" s="26" t="n"/>
      <c r="H167" s="26" t="n"/>
      <c r="I167" s="26" t="n"/>
      <c r="J167" s="26" t="n"/>
      <c r="K167" s="26" t="n"/>
      <c r="L167" s="174">
        <f>E167*Prices!B$2</f>
        <v/>
      </c>
      <c r="M167" s="174">
        <f>F167*Prices!C$2</f>
        <v/>
      </c>
      <c r="N167" s="174">
        <f>G167*Prices!D$2</f>
        <v/>
      </c>
      <c r="O167" s="174">
        <f>H167*Prices!E$2</f>
        <v/>
      </c>
      <c r="P167" s="174">
        <f>I167*2000+J167*10000+K167*1800</f>
        <v/>
      </c>
      <c r="Q167" s="174">
        <f>D167*Prices!A$2</f>
        <v/>
      </c>
      <c r="R167" s="175">
        <f>L167+M167+N167+O167</f>
        <v/>
      </c>
      <c r="S167" s="174">
        <f>R167+Q167+P167</f>
        <v/>
      </c>
      <c r="T167" s="26" t="n">
        <v>166</v>
      </c>
      <c r="U167" s="26" t="inlineStr">
        <is>
          <t>Available</t>
        </is>
      </c>
      <c r="V167" s="93" t="inlineStr">
        <is>
          <t>A</t>
        </is>
      </c>
      <c r="W167" s="93" t="n"/>
      <c r="X167" s="93" t="n"/>
      <c r="Y167" s="93" t="n"/>
      <c r="Z167" s="93" t="n"/>
    </row>
    <row r="168">
      <c r="A168" s="26" t="n">
        <v>167</v>
      </c>
      <c r="B168" s="26" t="n">
        <v>0.888</v>
      </c>
      <c r="C168" s="26">
        <f>B168*(25/100)</f>
        <v/>
      </c>
      <c r="D168" s="26">
        <f>C168+B168</f>
        <v/>
      </c>
      <c r="E168" s="26" t="n">
        <v>0.11</v>
      </c>
      <c r="F168" s="26" t="n"/>
      <c r="G168" s="26" t="n"/>
      <c r="H168" s="26" t="n"/>
      <c r="I168" s="26" t="n"/>
      <c r="J168" s="26" t="n"/>
      <c r="K168" s="26" t="n"/>
      <c r="L168" s="174">
        <f>E168*Prices!B$2</f>
        <v/>
      </c>
      <c r="M168" s="174">
        <f>F168*Prices!C$2</f>
        <v/>
      </c>
      <c r="N168" s="174">
        <f>G168*Prices!D$2</f>
        <v/>
      </c>
      <c r="O168" s="174">
        <f>H168*Prices!E$2</f>
        <v/>
      </c>
      <c r="P168" s="174">
        <f>I168*2000+J168*10000+K168*1800</f>
        <v/>
      </c>
      <c r="Q168" s="174">
        <f>D168*Prices!A$2</f>
        <v/>
      </c>
      <c r="R168" s="175">
        <f>L168+M168+N168+O168</f>
        <v/>
      </c>
      <c r="S168" s="174">
        <f>R168+Q168+P168</f>
        <v/>
      </c>
      <c r="T168" s="26" t="n">
        <v>167</v>
      </c>
      <c r="U168" s="26" t="inlineStr">
        <is>
          <t>Sold</t>
        </is>
      </c>
      <c r="V168" s="93" t="n"/>
      <c r="W168" s="93" t="n"/>
      <c r="X168" s="93" t="n"/>
      <c r="Y168" s="93" t="n"/>
      <c r="Z168" s="93" t="n"/>
    </row>
    <row r="169">
      <c r="A169" s="26" t="n">
        <v>168</v>
      </c>
      <c r="B169" s="26" t="n">
        <v>1.2</v>
      </c>
      <c r="C169" s="26">
        <f>B169*(25/100)</f>
        <v/>
      </c>
      <c r="D169" s="26">
        <f>C169+B169</f>
        <v/>
      </c>
      <c r="E169" s="26" t="n">
        <v>0.2</v>
      </c>
      <c r="F169" s="26" t="n"/>
      <c r="G169" s="26" t="n"/>
      <c r="H169" s="26" t="n"/>
      <c r="I169" s="26" t="n"/>
      <c r="J169" s="26" t="n"/>
      <c r="K169" s="26" t="n"/>
      <c r="L169" s="174">
        <f>E169*Prices!B$2</f>
        <v/>
      </c>
      <c r="M169" s="174">
        <f>F169*Prices!C$2</f>
        <v/>
      </c>
      <c r="N169" s="174">
        <f>G169*Prices!D$2</f>
        <v/>
      </c>
      <c r="O169" s="174">
        <f>H169*Prices!E$2</f>
        <v/>
      </c>
      <c r="P169" s="174">
        <f>I169*2000+J169*10000+K169*1800</f>
        <v/>
      </c>
      <c r="Q169" s="174">
        <f>D169*Prices!A$2</f>
        <v/>
      </c>
      <c r="R169" s="175">
        <f>L169+M169+N169+O169</f>
        <v/>
      </c>
      <c r="S169" s="174">
        <f>R169+Q169+P169</f>
        <v/>
      </c>
      <c r="T169" s="26" t="n">
        <v>168</v>
      </c>
      <c r="U169" s="26" t="inlineStr">
        <is>
          <t>Sold</t>
        </is>
      </c>
      <c r="V169" s="93" t="n"/>
      <c r="W169" s="93" t="n"/>
      <c r="X169" s="93" t="n"/>
      <c r="Y169" s="93" t="n"/>
      <c r="Z169" s="93" t="n"/>
    </row>
    <row r="170">
      <c r="A170" s="26" t="n">
        <v>169</v>
      </c>
      <c r="B170" s="26" t="n">
        <v>2.91</v>
      </c>
      <c r="C170" s="26">
        <f>B170*(25/100)</f>
        <v/>
      </c>
      <c r="D170" s="26">
        <f>C170+B170</f>
        <v/>
      </c>
      <c r="E170" s="26" t="n">
        <v>0.52</v>
      </c>
      <c r="F170" s="26" t="n"/>
      <c r="G170" s="26" t="n"/>
      <c r="H170" s="26" t="n"/>
      <c r="I170" s="26" t="n"/>
      <c r="J170" s="26" t="n">
        <v>2.33</v>
      </c>
      <c r="K170" s="26" t="n"/>
      <c r="L170" s="174">
        <f>E170*Prices!B$2</f>
        <v/>
      </c>
      <c r="M170" s="174">
        <f>F170*Prices!C$2</f>
        <v/>
      </c>
      <c r="N170" s="174">
        <f>G170*Prices!D$2</f>
        <v/>
      </c>
      <c r="O170" s="174">
        <f>H170*Prices!E$2</f>
        <v/>
      </c>
      <c r="P170" s="174">
        <f>I170*2000+J170*10000+K170*1800</f>
        <v/>
      </c>
      <c r="Q170" s="174">
        <f>D170*Prices!A$2</f>
        <v/>
      </c>
      <c r="R170" s="175">
        <f>L170+M170+N170+O170</f>
        <v/>
      </c>
      <c r="S170" s="174">
        <f>R170+Q170+P170</f>
        <v/>
      </c>
      <c r="T170" s="26" t="n">
        <v>169</v>
      </c>
      <c r="U170" s="26" t="inlineStr">
        <is>
          <t>Sold</t>
        </is>
      </c>
      <c r="V170" s="93" t="n"/>
      <c r="W170" s="93" t="n"/>
      <c r="X170" s="93" t="n"/>
      <c r="Y170" s="93" t="n"/>
      <c r="Z170" s="93" t="n"/>
    </row>
    <row r="171">
      <c r="A171" s="26" t="n">
        <v>170</v>
      </c>
      <c r="B171" s="26" t="n">
        <v>2.244</v>
      </c>
      <c r="C171" s="26">
        <f>B171*(25/100)</f>
        <v/>
      </c>
      <c r="D171" s="26">
        <f>C171+B171</f>
        <v/>
      </c>
      <c r="E171" s="26" t="n">
        <v>0.05</v>
      </c>
      <c r="F171" s="26" t="n">
        <v>0.83</v>
      </c>
      <c r="G171" s="93" t="n"/>
      <c r="H171" s="93" t="n"/>
      <c r="I171" s="93" t="n"/>
      <c r="J171" s="93" t="n"/>
      <c r="K171" s="93" t="n"/>
      <c r="L171" s="174">
        <f>E171*Prices!B$2</f>
        <v/>
      </c>
      <c r="M171" s="174">
        <f>F171*Prices!C$2</f>
        <v/>
      </c>
      <c r="N171" s="174">
        <f>G171*Prices!D$2</f>
        <v/>
      </c>
      <c r="O171" s="174">
        <f>H171*Prices!E$2</f>
        <v/>
      </c>
      <c r="P171" s="174">
        <f>I171*2000+J171*10000+K171*1800</f>
        <v/>
      </c>
      <c r="Q171" s="174">
        <f>D171*Prices!A$2</f>
        <v/>
      </c>
      <c r="R171" s="175">
        <f>L171+M171+N171+O171</f>
        <v/>
      </c>
      <c r="S171" s="174">
        <f>R171+Q171+P171</f>
        <v/>
      </c>
      <c r="T171" s="26" t="n">
        <v>170</v>
      </c>
      <c r="U171" s="26" t="inlineStr">
        <is>
          <t>Available</t>
        </is>
      </c>
      <c r="V171" s="93" t="inlineStr">
        <is>
          <t>A</t>
        </is>
      </c>
      <c r="W171" s="93" t="n"/>
      <c r="X171" s="93" t="n"/>
      <c r="Y171" s="93" t="n"/>
      <c r="Z171" s="93" t="n"/>
    </row>
    <row r="172">
      <c r="A172" s="26" t="n">
        <v>171</v>
      </c>
      <c r="B172" s="26" t="n">
        <v>6.07</v>
      </c>
      <c r="C172" s="26">
        <f>B172*(25/100)</f>
        <v/>
      </c>
      <c r="D172" s="26">
        <f>C172+B172</f>
        <v/>
      </c>
      <c r="E172" s="93" t="n"/>
      <c r="F172" s="93" t="n">
        <v>3.27</v>
      </c>
      <c r="G172" s="93" t="n"/>
      <c r="H172" s="93" t="n"/>
      <c r="I172" s="93" t="n"/>
      <c r="J172" s="93" t="n"/>
      <c r="K172" s="93" t="n"/>
      <c r="L172" s="174">
        <f>E172*Prices!B$2</f>
        <v/>
      </c>
      <c r="M172" s="174">
        <f>F172*Prices!C$2</f>
        <v/>
      </c>
      <c r="N172" s="174">
        <f>G172*Prices!D$2</f>
        <v/>
      </c>
      <c r="O172" s="174">
        <f>H172*Prices!E$2</f>
        <v/>
      </c>
      <c r="P172" s="174">
        <f>I172*2000+J172*10000+K172*1800</f>
        <v/>
      </c>
      <c r="Q172" s="174">
        <f>D172*Prices!A$2</f>
        <v/>
      </c>
      <c r="R172" s="175">
        <f>L172+M172+N172+O172</f>
        <v/>
      </c>
      <c r="S172" s="174">
        <f>R172+Q172+P172</f>
        <v/>
      </c>
      <c r="T172" s="26" t="n">
        <v>171</v>
      </c>
      <c r="U172" s="26" t="inlineStr">
        <is>
          <t>Available</t>
        </is>
      </c>
      <c r="V172" s="93" t="inlineStr">
        <is>
          <t>A</t>
        </is>
      </c>
      <c r="W172" s="93" t="n"/>
      <c r="X172" s="93" t="n"/>
      <c r="Y172" s="93" t="n"/>
      <c r="Z172" s="93" t="n"/>
    </row>
    <row r="173">
      <c r="A173" s="26" t="n">
        <v>172</v>
      </c>
      <c r="B173" s="26" t="n">
        <v>1.906</v>
      </c>
      <c r="C173" s="26">
        <f>B173*(25/100)</f>
        <v/>
      </c>
      <c r="D173" s="26">
        <f>C173+B173</f>
        <v/>
      </c>
      <c r="E173" s="26" t="n">
        <v>0.47</v>
      </c>
      <c r="F173" s="93" t="n"/>
      <c r="G173" s="93" t="n"/>
      <c r="H173" s="93" t="n"/>
      <c r="I173" s="93" t="n"/>
      <c r="J173" s="93" t="n"/>
      <c r="K173" s="93" t="n"/>
      <c r="L173" s="174">
        <f>E173*Prices!B$2</f>
        <v/>
      </c>
      <c r="M173" s="174">
        <f>F173*Prices!C$2</f>
        <v/>
      </c>
      <c r="N173" s="174">
        <f>G173*Prices!D$2</f>
        <v/>
      </c>
      <c r="O173" s="174">
        <f>H173*Prices!E$2</f>
        <v/>
      </c>
      <c r="P173" s="174">
        <f>I173*2000+J173*10000+K173*1800</f>
        <v/>
      </c>
      <c r="Q173" s="174">
        <f>D173*Prices!A$2</f>
        <v/>
      </c>
      <c r="R173" s="175">
        <f>L173+M173+N173+O173</f>
        <v/>
      </c>
      <c r="S173" s="174">
        <f>R173+Q173+P173</f>
        <v/>
      </c>
      <c r="T173" s="26" t="n">
        <v>172</v>
      </c>
      <c r="U173" s="26" t="inlineStr">
        <is>
          <t>Sold</t>
        </is>
      </c>
      <c r="V173" s="93" t="n"/>
      <c r="W173" s="93" t="n"/>
      <c r="X173" s="93" t="n"/>
      <c r="Y173" s="93" t="n"/>
      <c r="Z173" s="93" t="n"/>
    </row>
    <row r="174">
      <c r="A174" s="26" t="n">
        <v>173</v>
      </c>
      <c r="B174" s="26" t="n">
        <v>1.586</v>
      </c>
      <c r="C174" s="26">
        <f>B174*(25/100)</f>
        <v/>
      </c>
      <c r="D174" s="26">
        <f>C174+B174</f>
        <v/>
      </c>
      <c r="E174" s="26" t="n">
        <v>0.32</v>
      </c>
      <c r="F174" s="93" t="n"/>
      <c r="G174" s="93" t="n"/>
      <c r="H174" s="93" t="n"/>
      <c r="I174" s="93" t="n"/>
      <c r="J174" s="93" t="n"/>
      <c r="K174" s="93" t="n"/>
      <c r="L174" s="174">
        <f>E174*Prices!B$2</f>
        <v/>
      </c>
      <c r="M174" s="174">
        <f>F174*Prices!C$2</f>
        <v/>
      </c>
      <c r="N174" s="174">
        <f>G174*Prices!D$2</f>
        <v/>
      </c>
      <c r="O174" s="174">
        <f>H174*Prices!E$2</f>
        <v/>
      </c>
      <c r="P174" s="174">
        <f>I174*2000+J174*10000+K174*1800</f>
        <v/>
      </c>
      <c r="Q174" s="174">
        <f>D174*Prices!A$2</f>
        <v/>
      </c>
      <c r="R174" s="175">
        <f>L174+M174+N174+O174</f>
        <v/>
      </c>
      <c r="S174" s="174">
        <f>R174+Q174+P174</f>
        <v/>
      </c>
      <c r="T174" s="26" t="n">
        <v>173</v>
      </c>
      <c r="U174" s="26" t="inlineStr">
        <is>
          <t>Sold</t>
        </is>
      </c>
      <c r="V174" s="93" t="n"/>
      <c r="W174" s="93" t="n"/>
      <c r="X174" s="93" t="n"/>
      <c r="Y174" s="93" t="n"/>
      <c r="Z174" s="93" t="n"/>
    </row>
    <row r="175">
      <c r="A175" s="26" t="n">
        <v>174</v>
      </c>
      <c r="B175" s="26" t="n">
        <v>1.242</v>
      </c>
      <c r="C175" s="26">
        <f>B175*(25/100)</f>
        <v/>
      </c>
      <c r="D175" s="26">
        <f>C175+B175</f>
        <v/>
      </c>
      <c r="E175" s="26" t="n">
        <v>0.19</v>
      </c>
      <c r="F175" s="93" t="n"/>
      <c r="G175" s="93" t="n"/>
      <c r="H175" s="93" t="n"/>
      <c r="I175" s="93" t="n"/>
      <c r="J175" s="93" t="n"/>
      <c r="K175" s="93" t="n"/>
      <c r="L175" s="174">
        <f>E175*Prices!B$2</f>
        <v/>
      </c>
      <c r="M175" s="174">
        <f>F175*Prices!C$2</f>
        <v/>
      </c>
      <c r="N175" s="174">
        <f>G175*Prices!D$2</f>
        <v/>
      </c>
      <c r="O175" s="174">
        <f>H175*Prices!E$2</f>
        <v/>
      </c>
      <c r="P175" s="174">
        <f>I175*2000+J175*10000+K175*1800</f>
        <v/>
      </c>
      <c r="Q175" s="174">
        <f>D175*Prices!A$2</f>
        <v/>
      </c>
      <c r="R175" s="175">
        <f>L175+M175+N175+O175</f>
        <v/>
      </c>
      <c r="S175" s="174">
        <f>R175+Q175+P175</f>
        <v/>
      </c>
      <c r="T175" s="26" t="n">
        <v>174</v>
      </c>
      <c r="U175" s="26" t="inlineStr">
        <is>
          <t>Sold</t>
        </is>
      </c>
      <c r="V175" s="93" t="n"/>
      <c r="W175" s="93" t="n"/>
      <c r="X175" s="93" t="n"/>
      <c r="Y175" s="93" t="n"/>
      <c r="Z175" s="93" t="n"/>
    </row>
    <row r="176">
      <c r="A176" s="26" t="n">
        <v>175</v>
      </c>
      <c r="B176" s="26" t="n">
        <v>1.212</v>
      </c>
      <c r="C176" s="26">
        <f>B176*(25/100)</f>
        <v/>
      </c>
      <c r="D176" s="26">
        <f>C176+B176</f>
        <v/>
      </c>
      <c r="E176" s="26" t="n">
        <v>0.19</v>
      </c>
      <c r="F176" s="93" t="n"/>
      <c r="G176" s="93" t="n"/>
      <c r="H176" s="93" t="n"/>
      <c r="I176" s="93" t="n"/>
      <c r="J176" s="93" t="n"/>
      <c r="K176" s="93" t="n"/>
      <c r="L176" s="174">
        <f>E176*Prices!B$2</f>
        <v/>
      </c>
      <c r="M176" s="174">
        <f>F176*Prices!C$2</f>
        <v/>
      </c>
      <c r="N176" s="174">
        <f>G176*Prices!D$2</f>
        <v/>
      </c>
      <c r="O176" s="174">
        <f>H176*Prices!E$2</f>
        <v/>
      </c>
      <c r="P176" s="174">
        <f>I176*2000+J176*10000+K176*1800</f>
        <v/>
      </c>
      <c r="Q176" s="174">
        <f>D176*Prices!A$2</f>
        <v/>
      </c>
      <c r="R176" s="175">
        <f>L176+M176+N176+O176</f>
        <v/>
      </c>
      <c r="S176" s="174">
        <f>R176+Q176+P176</f>
        <v/>
      </c>
      <c r="T176" s="26" t="n">
        <v>175</v>
      </c>
      <c r="U176" s="26" t="inlineStr">
        <is>
          <t>Available</t>
        </is>
      </c>
      <c r="V176" s="93" t="inlineStr">
        <is>
          <t>A</t>
        </is>
      </c>
      <c r="W176" s="93" t="n"/>
      <c r="X176" s="93" t="n"/>
      <c r="Y176" s="93" t="n"/>
      <c r="Z176" s="93" t="n"/>
    </row>
    <row r="177">
      <c r="A177" s="26" t="n">
        <v>176</v>
      </c>
      <c r="B177" s="26" t="n">
        <v>3.932</v>
      </c>
      <c r="C177" s="26">
        <f>B177*(25/100)</f>
        <v/>
      </c>
      <c r="D177" s="26">
        <f>C177+B177</f>
        <v/>
      </c>
      <c r="E177" s="26" t="n">
        <v>0.54</v>
      </c>
      <c r="F177" s="93" t="n"/>
      <c r="G177" s="93" t="n"/>
      <c r="H177" s="93" t="n"/>
      <c r="I177" s="93" t="n"/>
      <c r="J177" s="93" t="n"/>
      <c r="K177" s="93" t="n"/>
      <c r="L177" s="174">
        <f>E177*Prices!B$2</f>
        <v/>
      </c>
      <c r="M177" s="174">
        <f>F177*Prices!C$2</f>
        <v/>
      </c>
      <c r="N177" s="174">
        <f>G177*Prices!D$2</f>
        <v/>
      </c>
      <c r="O177" s="174">
        <f>H177*Prices!E$2</f>
        <v/>
      </c>
      <c r="P177" s="174">
        <f>I177*2000+J177*10000+K177*1800</f>
        <v/>
      </c>
      <c r="Q177" s="174">
        <f>D177*Prices!A$2</f>
        <v/>
      </c>
      <c r="R177" s="175">
        <f>L177+M177+N177+O177</f>
        <v/>
      </c>
      <c r="S177" s="174">
        <f>R177+Q177+P177</f>
        <v/>
      </c>
      <c r="T177" s="26" t="n">
        <v>176</v>
      </c>
      <c r="U177" s="26" t="inlineStr">
        <is>
          <t>Available</t>
        </is>
      </c>
      <c r="V177" s="93" t="inlineStr">
        <is>
          <t>A</t>
        </is>
      </c>
      <c r="W177" s="93" t="n"/>
      <c r="X177" s="93" t="n"/>
      <c r="Y177" s="93" t="n"/>
      <c r="Z177" s="93" t="n"/>
    </row>
    <row r="178">
      <c r="A178" s="26" t="n">
        <v>177</v>
      </c>
      <c r="B178" s="26" t="n">
        <v>4.354</v>
      </c>
      <c r="C178" s="26">
        <f>B178*(25/100)</f>
        <v/>
      </c>
      <c r="D178" s="26">
        <f>C178+B178</f>
        <v/>
      </c>
      <c r="E178" s="26" t="n">
        <v>0.68</v>
      </c>
      <c r="F178" s="93" t="n"/>
      <c r="G178" s="93" t="n"/>
      <c r="H178" s="93" t="n"/>
      <c r="I178" s="93" t="n"/>
      <c r="J178" s="93" t="n"/>
      <c r="K178" s="93" t="n"/>
      <c r="L178" s="174">
        <f>E178*Prices!B$2</f>
        <v/>
      </c>
      <c r="M178" s="174">
        <f>F178*Prices!C$2</f>
        <v/>
      </c>
      <c r="N178" s="174">
        <f>G178*Prices!D$2</f>
        <v/>
      </c>
      <c r="O178" s="174">
        <f>H178*Prices!E$2</f>
        <v/>
      </c>
      <c r="P178" s="174">
        <f>I178*2000+J178*10000+K178*1800</f>
        <v/>
      </c>
      <c r="Q178" s="174">
        <f>D178*Prices!A$2</f>
        <v/>
      </c>
      <c r="R178" s="175">
        <f>L178+M178+N178+O178</f>
        <v/>
      </c>
      <c r="S178" s="174">
        <f>R178+Q178+P178</f>
        <v/>
      </c>
      <c r="T178" s="26" t="n">
        <v>177</v>
      </c>
      <c r="U178" s="26" t="inlineStr">
        <is>
          <t>Available</t>
        </is>
      </c>
      <c r="V178" s="93" t="inlineStr">
        <is>
          <t>A</t>
        </is>
      </c>
      <c r="W178" s="93" t="n"/>
      <c r="X178" s="93" t="n"/>
      <c r="Y178" s="93" t="n"/>
      <c r="Z178" s="93" t="n"/>
    </row>
    <row r="179">
      <c r="A179" s="26" t="n">
        <v>178</v>
      </c>
      <c r="B179" s="26" t="n">
        <v>2.854</v>
      </c>
      <c r="C179" s="26">
        <f>B179*(25/100)</f>
        <v/>
      </c>
      <c r="D179" s="26">
        <f>C179+B179</f>
        <v/>
      </c>
      <c r="E179" s="26" t="n">
        <v>0.43</v>
      </c>
      <c r="F179" s="93" t="n"/>
      <c r="G179" s="93" t="n"/>
      <c r="H179" s="93" t="n"/>
      <c r="I179" s="93" t="n"/>
      <c r="J179" s="93" t="n"/>
      <c r="K179" s="93" t="n"/>
      <c r="L179" s="174">
        <f>E179*Prices!B$2</f>
        <v/>
      </c>
      <c r="M179" s="174">
        <f>F179*Prices!C$2</f>
        <v/>
      </c>
      <c r="N179" s="174">
        <f>G179*Prices!D$2</f>
        <v/>
      </c>
      <c r="O179" s="174">
        <f>H179*Prices!E$2</f>
        <v/>
      </c>
      <c r="P179" s="174">
        <f>I179*2000+J179*10000+K179*1800</f>
        <v/>
      </c>
      <c r="Q179" s="174">
        <f>D179*Prices!A$2</f>
        <v/>
      </c>
      <c r="R179" s="175">
        <f>L179+M179+N179+O179</f>
        <v/>
      </c>
      <c r="S179" s="174">
        <f>R179+Q179+P179</f>
        <v/>
      </c>
      <c r="T179" s="26" t="n">
        <v>178</v>
      </c>
      <c r="U179" s="26" t="inlineStr">
        <is>
          <t>Sold</t>
        </is>
      </c>
      <c r="V179" s="93" t="n"/>
      <c r="W179" s="93" t="n"/>
      <c r="X179" s="93" t="n"/>
      <c r="Y179" s="93" t="n"/>
      <c r="Z179" s="93" t="n"/>
    </row>
    <row r="180">
      <c r="A180" s="26" t="n">
        <v>179</v>
      </c>
      <c r="B180" s="26" t="n">
        <v>5.93</v>
      </c>
      <c r="C180" s="26">
        <f>B180*(25/100)</f>
        <v/>
      </c>
      <c r="D180" s="26">
        <f>C180+B180</f>
        <v/>
      </c>
      <c r="E180" s="26" t="n">
        <v>1.9</v>
      </c>
      <c r="F180" s="93" t="n"/>
      <c r="G180" s="93" t="n"/>
      <c r="H180" s="93" t="n"/>
      <c r="I180" s="93" t="n"/>
      <c r="J180" s="93" t="n"/>
      <c r="K180" s="93" t="n"/>
      <c r="L180" s="174">
        <f>E180*Prices!B$2</f>
        <v/>
      </c>
      <c r="M180" s="174">
        <f>F180*Prices!C$2</f>
        <v/>
      </c>
      <c r="N180" s="174">
        <f>G180*Prices!D$2</f>
        <v/>
      </c>
      <c r="O180" s="174">
        <f>H180*Prices!E$2</f>
        <v/>
      </c>
      <c r="P180" s="174">
        <f>I180*2000+J180*10000+K180*1800</f>
        <v/>
      </c>
      <c r="Q180" s="174">
        <f>D180*Prices!A$2</f>
        <v/>
      </c>
      <c r="R180" s="175">
        <f>L180+M180+N180+O180</f>
        <v/>
      </c>
      <c r="S180" s="174">
        <f>R180+Q180+P180</f>
        <v/>
      </c>
      <c r="T180" s="26" t="n">
        <v>179</v>
      </c>
      <c r="U180" s="26" t="inlineStr">
        <is>
          <t>Sold</t>
        </is>
      </c>
      <c r="V180" s="93" t="n"/>
      <c r="W180" s="93" t="n"/>
      <c r="X180" s="93" t="n"/>
      <c r="Y180" s="93" t="n"/>
      <c r="Z180" s="93" t="n"/>
    </row>
    <row r="181">
      <c r="A181" s="26" t="n">
        <v>180</v>
      </c>
      <c r="B181" s="26" t="n">
        <v>7.67</v>
      </c>
      <c r="C181" s="26">
        <f>B181*(25/100)</f>
        <v/>
      </c>
      <c r="D181" s="26">
        <f>C181+B181</f>
        <v/>
      </c>
      <c r="E181" s="26" t="n">
        <v>2.55</v>
      </c>
      <c r="F181" s="93" t="n"/>
      <c r="G181" s="93" t="n"/>
      <c r="H181" s="93" t="n"/>
      <c r="I181" s="93" t="n"/>
      <c r="J181" s="93" t="n"/>
      <c r="K181" s="93" t="n">
        <v>25.6</v>
      </c>
      <c r="L181" s="174">
        <f>E181*Prices!B$2</f>
        <v/>
      </c>
      <c r="M181" s="174">
        <f>F181*Prices!C$2</f>
        <v/>
      </c>
      <c r="N181" s="174">
        <f>G181*Prices!D$2</f>
        <v/>
      </c>
      <c r="O181" s="174">
        <f>H181*Prices!E$2</f>
        <v/>
      </c>
      <c r="P181" s="174">
        <f>I181*2000+J181*10000+K181*150</f>
        <v/>
      </c>
      <c r="Q181" s="174">
        <f>D181*Prices!A$2</f>
        <v/>
      </c>
      <c r="R181" s="175">
        <f>L181+M181+N181+O181</f>
        <v/>
      </c>
      <c r="S181" s="174">
        <f>R181+Q181+P181</f>
        <v/>
      </c>
      <c r="T181" s="26" t="n">
        <v>180</v>
      </c>
      <c r="U181" s="26" t="inlineStr">
        <is>
          <t>Sold</t>
        </is>
      </c>
      <c r="V181" s="93" t="n"/>
      <c r="W181" s="93" t="n"/>
      <c r="X181" s="93" t="n"/>
      <c r="Y181" s="93" t="n"/>
      <c r="Z181" s="93" t="n"/>
    </row>
    <row r="182">
      <c r="A182" s="26" t="n">
        <v>181</v>
      </c>
      <c r="B182" s="26" t="n">
        <v>6.766</v>
      </c>
      <c r="C182" s="26">
        <f>B182*(25/100)</f>
        <v/>
      </c>
      <c r="D182" s="26">
        <f>C182+B182</f>
        <v/>
      </c>
      <c r="E182" s="26" t="n">
        <v>1.84</v>
      </c>
      <c r="F182" s="93" t="n"/>
      <c r="G182" s="93" t="n"/>
      <c r="H182" s="93" t="n"/>
      <c r="I182" s="93" t="n"/>
      <c r="J182" s="93" t="n"/>
      <c r="K182" s="93" t="n"/>
      <c r="L182" s="174">
        <f>E182*Prices!B$2</f>
        <v/>
      </c>
      <c r="M182" s="174">
        <f>F182*Prices!C$2</f>
        <v/>
      </c>
      <c r="N182" s="174">
        <f>G182*Prices!D$2</f>
        <v/>
      </c>
      <c r="O182" s="174">
        <f>H182*Prices!E$2</f>
        <v/>
      </c>
      <c r="P182" s="174">
        <f>I182*2000+J182*10000+K182*150</f>
        <v/>
      </c>
      <c r="Q182" s="174">
        <f>D182*Prices!A$2</f>
        <v/>
      </c>
      <c r="R182" s="175">
        <f>L182+M182+N182+O182</f>
        <v/>
      </c>
      <c r="S182" s="174">
        <f>R182+Q182+P182</f>
        <v/>
      </c>
      <c r="T182" s="26" t="n">
        <v>181</v>
      </c>
      <c r="U182" s="26" t="inlineStr">
        <is>
          <t>Sold</t>
        </is>
      </c>
      <c r="V182" s="93" t="n"/>
      <c r="W182" s="93" t="n"/>
      <c r="X182" s="93" t="n"/>
      <c r="Y182" s="93" t="n"/>
      <c r="Z182" s="93" t="n"/>
    </row>
    <row r="183">
      <c r="A183" s="26" t="n">
        <v>182</v>
      </c>
      <c r="B183" s="26" t="n">
        <v>1.756</v>
      </c>
      <c r="C183" s="26">
        <f>B183*(25/100)</f>
        <v/>
      </c>
      <c r="D183" s="26">
        <f>C183+B183</f>
        <v/>
      </c>
      <c r="E183" s="26" t="n">
        <v>0.42</v>
      </c>
      <c r="F183" s="93" t="n"/>
      <c r="G183" s="93" t="n"/>
      <c r="H183" s="93" t="n"/>
      <c r="I183" s="93" t="n"/>
      <c r="J183" s="93" t="n"/>
      <c r="K183" s="93" t="n"/>
      <c r="L183" s="174">
        <f>E183*Prices!B$2</f>
        <v/>
      </c>
      <c r="M183" s="174">
        <f>F183*Prices!C$2</f>
        <v/>
      </c>
      <c r="N183" s="174">
        <f>G183*Prices!D$2</f>
        <v/>
      </c>
      <c r="O183" s="174">
        <f>H183*Prices!E$2</f>
        <v/>
      </c>
      <c r="P183" s="174">
        <f>I183*2000+J183*10000+K183*150</f>
        <v/>
      </c>
      <c r="Q183" s="174">
        <f>D183*Prices!A$2</f>
        <v/>
      </c>
      <c r="R183" s="175">
        <f>L183+M183+N183+O183</f>
        <v/>
      </c>
      <c r="S183" s="174">
        <f>R183+Q183+P183</f>
        <v/>
      </c>
      <c r="T183" s="26" t="n">
        <v>182</v>
      </c>
      <c r="U183" s="26" t="inlineStr">
        <is>
          <t>Available</t>
        </is>
      </c>
      <c r="V183" s="93" t="inlineStr">
        <is>
          <t>A</t>
        </is>
      </c>
      <c r="W183" s="93" t="n"/>
      <c r="X183" s="93" t="n"/>
      <c r="Y183" s="93" t="n"/>
      <c r="Z183" s="93" t="n"/>
    </row>
    <row r="184">
      <c r="A184" s="26" t="n">
        <v>183</v>
      </c>
      <c r="B184" s="26" t="n">
        <v>2.372</v>
      </c>
      <c r="C184" s="26">
        <f>B184*(25/100)</f>
        <v/>
      </c>
      <c r="D184" s="26">
        <f>C184+B184</f>
        <v/>
      </c>
      <c r="E184" s="26" t="n">
        <v>0.59</v>
      </c>
      <c r="F184" s="93" t="n"/>
      <c r="G184" s="93" t="n"/>
      <c r="H184" s="93" t="n"/>
      <c r="I184" s="93" t="n"/>
      <c r="J184" s="93" t="n"/>
      <c r="K184" s="93" t="n"/>
      <c r="L184" s="174">
        <f>E184*Prices!B$2</f>
        <v/>
      </c>
      <c r="M184" s="174">
        <f>F184*Prices!C$2</f>
        <v/>
      </c>
      <c r="N184" s="174">
        <f>G184*Prices!D$2</f>
        <v/>
      </c>
      <c r="O184" s="174">
        <f>H184*Prices!E$2</f>
        <v/>
      </c>
      <c r="P184" s="174">
        <f>I184*2000+J184*10000+K184*150</f>
        <v/>
      </c>
      <c r="Q184" s="174">
        <f>D184*Prices!A$2</f>
        <v/>
      </c>
      <c r="R184" s="175">
        <f>L184+M184+N184+O184</f>
        <v/>
      </c>
      <c r="S184" s="174">
        <f>R184+Q184+P184</f>
        <v/>
      </c>
      <c r="T184" s="26" t="n">
        <v>183</v>
      </c>
      <c r="U184" s="26" t="inlineStr">
        <is>
          <t>Available</t>
        </is>
      </c>
      <c r="V184" s="93" t="inlineStr">
        <is>
          <t>A</t>
        </is>
      </c>
      <c r="W184" s="93" t="n"/>
      <c r="X184" s="93" t="n"/>
      <c r="Y184" s="93" t="n"/>
      <c r="Z184" s="93" t="n"/>
    </row>
    <row r="185">
      <c r="A185" s="26" t="n">
        <v>184</v>
      </c>
      <c r="B185" s="26" t="n">
        <v>0.586</v>
      </c>
      <c r="C185" s="26">
        <f>B185*(25/100)</f>
        <v/>
      </c>
      <c r="D185" s="26">
        <f>C185+B185</f>
        <v/>
      </c>
      <c r="E185" s="26" t="n">
        <v>0.22</v>
      </c>
      <c r="F185" s="93" t="n"/>
      <c r="G185" s="93" t="n"/>
      <c r="H185" s="93" t="n"/>
      <c r="I185" s="93" t="n"/>
      <c r="J185" s="93" t="n"/>
      <c r="K185" s="93" t="n"/>
      <c r="L185" s="174">
        <f>E185*Prices!B$2</f>
        <v/>
      </c>
      <c r="M185" s="174">
        <f>F185*Prices!C$2</f>
        <v/>
      </c>
      <c r="N185" s="174">
        <f>G185*Prices!D$2</f>
        <v/>
      </c>
      <c r="O185" s="174">
        <f>H185*Prices!E$2</f>
        <v/>
      </c>
      <c r="P185" s="174">
        <f>I185*2000+J185*10000+K185*150</f>
        <v/>
      </c>
      <c r="Q185" s="174">
        <f>D185*Prices!A$2</f>
        <v/>
      </c>
      <c r="R185" s="175">
        <f>L185+M185+N185+O185</f>
        <v/>
      </c>
      <c r="S185" s="174">
        <f>R185+Q185+P185</f>
        <v/>
      </c>
      <c r="T185" s="26" t="n">
        <v>184</v>
      </c>
      <c r="U185" s="26" t="inlineStr">
        <is>
          <t>Sold</t>
        </is>
      </c>
      <c r="V185" s="93" t="n"/>
      <c r="W185" s="93" t="n"/>
      <c r="X185" s="93" t="n"/>
      <c r="Y185" s="93" t="n"/>
      <c r="Z185" s="93" t="n"/>
    </row>
    <row r="186">
      <c r="A186" s="26" t="n">
        <v>185</v>
      </c>
      <c r="B186" s="26" t="n">
        <v>0.834</v>
      </c>
      <c r="C186" s="26">
        <f>B186*(25/100)</f>
        <v/>
      </c>
      <c r="D186" s="26">
        <f>C186+B186</f>
        <v/>
      </c>
      <c r="E186" s="26" t="n">
        <v>0.205</v>
      </c>
      <c r="F186" s="93" t="n"/>
      <c r="G186" s="93" t="n"/>
      <c r="H186" s="93" t="n"/>
      <c r="I186" s="93" t="n"/>
      <c r="J186" s="93" t="n"/>
      <c r="K186" s="93" t="n"/>
      <c r="L186" s="174">
        <f>E186*Prices!B$2</f>
        <v/>
      </c>
      <c r="M186" s="174">
        <f>F186*Prices!C$2</f>
        <v/>
      </c>
      <c r="N186" s="174">
        <f>G186*Prices!D$2</f>
        <v/>
      </c>
      <c r="O186" s="174">
        <f>H186*Prices!E$2</f>
        <v/>
      </c>
      <c r="P186" s="174">
        <f>I186*2000+J186*10000+K186*150</f>
        <v/>
      </c>
      <c r="Q186" s="174">
        <f>D186*Prices!A$2</f>
        <v/>
      </c>
      <c r="R186" s="175">
        <f>L186+M186+N186+O186</f>
        <v/>
      </c>
      <c r="S186" s="174">
        <f>R186+Q186+P186</f>
        <v/>
      </c>
      <c r="T186" s="26" t="n">
        <v>185</v>
      </c>
      <c r="U186" s="26" t="inlineStr">
        <is>
          <t>Sold</t>
        </is>
      </c>
      <c r="V186" s="93" t="n"/>
      <c r="W186" s="93" t="n"/>
      <c r="X186" s="93" t="n"/>
      <c r="Y186" s="93" t="n"/>
      <c r="Z186" s="93" t="n"/>
    </row>
    <row r="187">
      <c r="A187" s="26" t="n">
        <v>186</v>
      </c>
      <c r="B187" s="26" t="n">
        <v>1.434</v>
      </c>
      <c r="C187" s="26">
        <f>B187*(25/100)</f>
        <v/>
      </c>
      <c r="D187" s="26">
        <f>C187+B187</f>
        <v/>
      </c>
      <c r="E187" s="26" t="n">
        <v>0.28</v>
      </c>
      <c r="F187" s="93" t="n"/>
      <c r="G187" s="93" t="n"/>
      <c r="H187" s="93" t="n"/>
      <c r="I187" s="93" t="n"/>
      <c r="J187" s="93" t="n"/>
      <c r="K187" s="93" t="n"/>
      <c r="L187" s="174">
        <f>E187*Prices!B$2</f>
        <v/>
      </c>
      <c r="M187" s="174">
        <f>F187*Prices!C$2</f>
        <v/>
      </c>
      <c r="N187" s="174">
        <f>G187*Prices!D$2</f>
        <v/>
      </c>
      <c r="O187" s="174">
        <f>H187*Prices!E$2</f>
        <v/>
      </c>
      <c r="P187" s="174">
        <f>I187*2000+J187*10000+K187*150</f>
        <v/>
      </c>
      <c r="Q187" s="174">
        <f>D187*Prices!A$2</f>
        <v/>
      </c>
      <c r="R187" s="175">
        <f>L187+M187+N187+O187</f>
        <v/>
      </c>
      <c r="S187" s="174">
        <f>R187+Q187+P187</f>
        <v/>
      </c>
      <c r="T187" s="26" t="n">
        <v>186</v>
      </c>
      <c r="U187" s="26" t="inlineStr">
        <is>
          <t>Available</t>
        </is>
      </c>
      <c r="V187" s="93" t="inlineStr">
        <is>
          <t>A</t>
        </is>
      </c>
      <c r="W187" s="93" t="n"/>
      <c r="X187" s="93" t="n"/>
      <c r="Y187" s="93" t="n"/>
      <c r="Z187" s="93" t="n"/>
    </row>
    <row r="188">
      <c r="A188" s="26" t="n">
        <v>187</v>
      </c>
      <c r="B188" s="26" t="n">
        <v>1.806</v>
      </c>
      <c r="C188" s="26">
        <f>B188*(25/100)</f>
        <v/>
      </c>
      <c r="D188" s="26">
        <f>C188+B188</f>
        <v/>
      </c>
      <c r="E188" s="26" t="n">
        <v>0.37</v>
      </c>
      <c r="F188" s="93" t="n"/>
      <c r="G188" s="93" t="n"/>
      <c r="H188" s="93" t="n"/>
      <c r="I188" s="93" t="n"/>
      <c r="J188" s="93" t="n"/>
      <c r="K188" s="93" t="n"/>
      <c r="L188" s="174">
        <f>E188*Prices!B$2</f>
        <v/>
      </c>
      <c r="M188" s="174">
        <f>F188*Prices!C$2</f>
        <v/>
      </c>
      <c r="N188" s="174">
        <f>G188*Prices!D$2</f>
        <v/>
      </c>
      <c r="O188" s="174">
        <f>H188*Prices!E$2</f>
        <v/>
      </c>
      <c r="P188" s="174">
        <f>I188*2000+J188*10000+K188*150</f>
        <v/>
      </c>
      <c r="Q188" s="174">
        <f>D188*Prices!A$2</f>
        <v/>
      </c>
      <c r="R188" s="175">
        <f>L188+M188+N188+O188</f>
        <v/>
      </c>
      <c r="S188" s="174">
        <f>R188+Q188+P188</f>
        <v/>
      </c>
      <c r="T188" s="26" t="n">
        <v>187</v>
      </c>
      <c r="U188" s="26" t="inlineStr">
        <is>
          <t>Available</t>
        </is>
      </c>
      <c r="V188" s="93" t="inlineStr">
        <is>
          <t>A</t>
        </is>
      </c>
      <c r="W188" s="93" t="n"/>
      <c r="X188" s="93" t="n"/>
      <c r="Y188" s="93" t="n"/>
      <c r="Z188" s="93" t="n"/>
    </row>
    <row r="189">
      <c r="A189" s="26" t="n">
        <v>188</v>
      </c>
      <c r="B189" s="26" t="n">
        <v>1.594</v>
      </c>
      <c r="C189" s="26">
        <f>B189*(25/100)</f>
        <v/>
      </c>
      <c r="D189" s="26">
        <f>C189+B189</f>
        <v/>
      </c>
      <c r="E189" s="26" t="n">
        <v>0.28</v>
      </c>
      <c r="F189" s="93" t="n"/>
      <c r="G189" s="93" t="n"/>
      <c r="H189" s="93" t="n"/>
      <c r="I189" s="93" t="n"/>
      <c r="J189" s="93" t="n"/>
      <c r="K189" s="93" t="n"/>
      <c r="L189" s="174">
        <f>E189*Prices!B$2</f>
        <v/>
      </c>
      <c r="M189" s="174">
        <f>F189*Prices!C$2</f>
        <v/>
      </c>
      <c r="N189" s="174">
        <f>G189*Prices!D$2</f>
        <v/>
      </c>
      <c r="O189" s="174">
        <f>H189*Prices!E$2</f>
        <v/>
      </c>
      <c r="P189" s="174">
        <f>I189*2000+J189*10000+K189*150</f>
        <v/>
      </c>
      <c r="Q189" s="174">
        <f>D189*Prices!A$2</f>
        <v/>
      </c>
      <c r="R189" s="175">
        <f>L189+M189+N189+O189</f>
        <v/>
      </c>
      <c r="S189" s="174">
        <f>R189+Q189+P189</f>
        <v/>
      </c>
      <c r="T189" s="26" t="n">
        <v>188</v>
      </c>
      <c r="U189" s="26" t="inlineStr">
        <is>
          <t>Available</t>
        </is>
      </c>
      <c r="V189" s="93" t="inlineStr">
        <is>
          <t>A</t>
        </is>
      </c>
      <c r="W189" s="93" t="n"/>
      <c r="X189" s="93" t="n"/>
      <c r="Y189" s="93" t="n"/>
      <c r="Z189" s="93" t="n"/>
    </row>
    <row r="190">
      <c r="A190" s="26" t="n">
        <v>189</v>
      </c>
      <c r="B190" s="26" t="n">
        <v>1.674</v>
      </c>
      <c r="C190" s="26">
        <f>B190*(25/100)</f>
        <v/>
      </c>
      <c r="D190" s="26">
        <f>C190+B190</f>
        <v/>
      </c>
      <c r="E190" s="26" t="n">
        <v>0.33</v>
      </c>
      <c r="F190" s="93" t="n"/>
      <c r="G190" s="93" t="n"/>
      <c r="H190" s="93" t="n"/>
      <c r="I190" s="93" t="n"/>
      <c r="J190" s="93" t="n"/>
      <c r="K190" s="93" t="n"/>
      <c r="L190" s="174">
        <f>E190*Prices!B$2</f>
        <v/>
      </c>
      <c r="M190" s="174">
        <f>F190*Prices!C$2</f>
        <v/>
      </c>
      <c r="N190" s="174">
        <f>G190*Prices!D$2</f>
        <v/>
      </c>
      <c r="O190" s="174">
        <f>H190*Prices!E$2</f>
        <v/>
      </c>
      <c r="P190" s="174">
        <f>I190*2000+J190*10000+K190*150</f>
        <v/>
      </c>
      <c r="Q190" s="174">
        <f>D190*Prices!A$2</f>
        <v/>
      </c>
      <c r="R190" s="175">
        <f>L190+M190+N190+O190</f>
        <v/>
      </c>
      <c r="S190" s="174">
        <f>R190+Q190+P190</f>
        <v/>
      </c>
      <c r="T190" s="26" t="n">
        <v>189</v>
      </c>
      <c r="U190" s="26" t="inlineStr">
        <is>
          <t>Available</t>
        </is>
      </c>
      <c r="V190" s="93" t="inlineStr">
        <is>
          <t>A</t>
        </is>
      </c>
      <c r="W190" s="93" t="n"/>
      <c r="X190" s="93" t="n"/>
      <c r="Y190" s="93" t="n"/>
      <c r="Z190" s="93" t="n"/>
    </row>
    <row r="191">
      <c r="A191" s="26" t="n">
        <v>190</v>
      </c>
      <c r="B191" s="26" t="n">
        <v>1.16</v>
      </c>
      <c r="C191" s="26">
        <f>B191*(25/100)</f>
        <v/>
      </c>
      <c r="D191" s="26">
        <f>C191+B191</f>
        <v/>
      </c>
      <c r="E191" s="26" t="n">
        <v>0.2</v>
      </c>
      <c r="F191" s="93" t="n"/>
      <c r="G191" s="93" t="n"/>
      <c r="H191" s="93" t="n"/>
      <c r="I191" s="93" t="n"/>
      <c r="J191" s="93" t="n"/>
      <c r="K191" s="93" t="n"/>
      <c r="L191" s="174">
        <f>E191*Prices!B$2</f>
        <v/>
      </c>
      <c r="M191" s="174">
        <f>F191*Prices!C$2</f>
        <v/>
      </c>
      <c r="N191" s="174">
        <f>G191*Prices!D$2</f>
        <v/>
      </c>
      <c r="O191" s="174">
        <f>H191*Prices!E$2</f>
        <v/>
      </c>
      <c r="P191" s="174">
        <f>I191*2000+J191*10000+K191*150</f>
        <v/>
      </c>
      <c r="Q191" s="174">
        <f>D191*Prices!A$2</f>
        <v/>
      </c>
      <c r="R191" s="175">
        <f>L191+M191+N191+O191</f>
        <v/>
      </c>
      <c r="S191" s="174">
        <f>R191+Q191+P191</f>
        <v/>
      </c>
      <c r="T191" s="26" t="n">
        <v>190</v>
      </c>
      <c r="U191" s="26" t="inlineStr">
        <is>
          <t>Sold</t>
        </is>
      </c>
      <c r="V191" s="93" t="n"/>
      <c r="W191" s="93" t="n"/>
      <c r="X191" s="93" t="n"/>
      <c r="Y191" s="93" t="n"/>
      <c r="Z191" s="93" t="n"/>
    </row>
    <row r="192">
      <c r="A192" s="26" t="n">
        <v>191</v>
      </c>
      <c r="B192" s="26" t="n">
        <v>5.21</v>
      </c>
      <c r="C192" s="26">
        <f>B192*(25/100)</f>
        <v/>
      </c>
      <c r="D192" s="26">
        <f>C192+B192</f>
        <v/>
      </c>
      <c r="E192" s="26" t="n">
        <v>1.3</v>
      </c>
      <c r="F192" s="93" t="n"/>
      <c r="G192" s="93" t="n"/>
      <c r="H192" s="93" t="n"/>
      <c r="I192" s="93" t="n"/>
      <c r="J192" s="93" t="n"/>
      <c r="K192" s="93" t="n"/>
      <c r="L192" s="174">
        <f>E192*Prices!B$2</f>
        <v/>
      </c>
      <c r="M192" s="174">
        <f>F192*Prices!C$2</f>
        <v/>
      </c>
      <c r="N192" s="174">
        <f>G192*Prices!D$2</f>
        <v/>
      </c>
      <c r="O192" s="174">
        <f>H192*Prices!E$2</f>
        <v/>
      </c>
      <c r="P192" s="174">
        <f>I192*2000+J192*10000+K192*150</f>
        <v/>
      </c>
      <c r="Q192" s="174">
        <f>D192*Prices!A$2</f>
        <v/>
      </c>
      <c r="R192" s="175">
        <f>L192+M192+N192+O192</f>
        <v/>
      </c>
      <c r="S192" s="174">
        <f>R192+Q192+P192</f>
        <v/>
      </c>
      <c r="T192" s="26" t="n">
        <v>191</v>
      </c>
      <c r="U192" s="26" t="inlineStr">
        <is>
          <t>Available</t>
        </is>
      </c>
      <c r="V192" s="93" t="inlineStr">
        <is>
          <t>A</t>
        </is>
      </c>
      <c r="W192" s="93" t="n"/>
      <c r="X192" s="93" t="n"/>
      <c r="Y192" s="93" t="n"/>
      <c r="Z192" s="93" t="n"/>
    </row>
    <row r="193">
      <c r="A193" s="26" t="n">
        <v>192</v>
      </c>
      <c r="B193" s="26" t="n">
        <v>2.31</v>
      </c>
      <c r="C193" s="26">
        <f>B193*(25/100)</f>
        <v/>
      </c>
      <c r="D193" s="26">
        <f>C193+B193</f>
        <v/>
      </c>
      <c r="E193" s="26" t="n">
        <v>0.5</v>
      </c>
      <c r="F193" s="93" t="n"/>
      <c r="G193" s="93" t="n"/>
      <c r="H193" s="93" t="n"/>
      <c r="I193" s="93" t="n"/>
      <c r="J193" s="93" t="n"/>
      <c r="K193" s="93" t="n"/>
      <c r="L193" s="174">
        <f>E193*Prices!B$2</f>
        <v/>
      </c>
      <c r="M193" s="174">
        <f>F193*Prices!C$2</f>
        <v/>
      </c>
      <c r="N193" s="174">
        <f>G193*Prices!D$2</f>
        <v/>
      </c>
      <c r="O193" s="174">
        <f>H193*Prices!E$2</f>
        <v/>
      </c>
      <c r="P193" s="174">
        <f>I193*2000+J193*10000+K193*150</f>
        <v/>
      </c>
      <c r="Q193" s="174">
        <f>D193*Prices!A$2</f>
        <v/>
      </c>
      <c r="R193" s="175">
        <f>L193+M193+N193+O193</f>
        <v/>
      </c>
      <c r="S193" s="174">
        <f>R193+Q193+P193</f>
        <v/>
      </c>
      <c r="T193" s="26" t="n">
        <v>192</v>
      </c>
      <c r="U193" s="26" t="inlineStr">
        <is>
          <t>Sold</t>
        </is>
      </c>
      <c r="V193" s="93" t="n"/>
      <c r="W193" s="93" t="n"/>
      <c r="X193" s="93" t="n"/>
      <c r="Y193" s="93" t="n"/>
      <c r="Z193" s="93" t="n"/>
    </row>
    <row r="194">
      <c r="A194" s="26" t="n">
        <v>193</v>
      </c>
      <c r="B194" s="26" t="n">
        <v>5.364</v>
      </c>
      <c r="C194" s="26">
        <f>B194*(25/100)</f>
        <v/>
      </c>
      <c r="D194" s="26">
        <f>C194+B194</f>
        <v/>
      </c>
      <c r="E194" s="26" t="n">
        <v>1.26</v>
      </c>
      <c r="F194" s="93" t="n"/>
      <c r="G194" s="93" t="n"/>
      <c r="H194" s="93" t="n"/>
      <c r="I194" s="93" t="n"/>
      <c r="J194" s="93" t="n"/>
      <c r="K194" s="93" t="n"/>
      <c r="L194" s="174">
        <f>E194*Prices!B$2</f>
        <v/>
      </c>
      <c r="M194" s="174">
        <f>F194*Prices!C$2</f>
        <v/>
      </c>
      <c r="N194" s="174">
        <f>G194*Prices!D$2</f>
        <v/>
      </c>
      <c r="O194" s="174">
        <f>H194*Prices!E$2</f>
        <v/>
      </c>
      <c r="P194" s="174">
        <f>I194*2000+J194*10000+K194*150</f>
        <v/>
      </c>
      <c r="Q194" s="174">
        <f>D194*Prices!A$2</f>
        <v/>
      </c>
      <c r="R194" s="175">
        <f>L194+M194+N194+O194</f>
        <v/>
      </c>
      <c r="S194" s="174">
        <f>R194+Q194+P194</f>
        <v/>
      </c>
      <c r="T194" s="26" t="n">
        <v>193</v>
      </c>
      <c r="U194" s="26" t="inlineStr">
        <is>
          <t>Sold</t>
        </is>
      </c>
      <c r="V194" s="93" t="n"/>
      <c r="W194" s="93" t="n"/>
      <c r="X194" s="93" t="n"/>
      <c r="Y194" s="93" t="n"/>
      <c r="Z194" s="93" t="n"/>
    </row>
    <row r="195">
      <c r="A195" s="26" t="n">
        <v>194</v>
      </c>
      <c r="B195" s="26" t="n">
        <v>4.446</v>
      </c>
      <c r="C195" s="26">
        <f>B195*(25/100)</f>
        <v/>
      </c>
      <c r="D195" s="26">
        <f>C195+B195</f>
        <v/>
      </c>
      <c r="E195" s="26" t="n">
        <v>1.47</v>
      </c>
      <c r="F195" s="93" t="n"/>
      <c r="G195" s="93" t="n"/>
      <c r="H195" s="93" t="n"/>
      <c r="I195" s="93" t="n"/>
      <c r="J195" s="93" t="n"/>
      <c r="K195" s="93" t="n"/>
      <c r="L195" s="174">
        <f>E195*Prices!B$2</f>
        <v/>
      </c>
      <c r="M195" s="174">
        <f>F195*Prices!C$2</f>
        <v/>
      </c>
      <c r="N195" s="174">
        <f>G195*Prices!D$2</f>
        <v/>
      </c>
      <c r="O195" s="174">
        <f>H195*Prices!E$2</f>
        <v/>
      </c>
      <c r="P195" s="174">
        <f>I195*2000+J195*10000+K195*150</f>
        <v/>
      </c>
      <c r="Q195" s="174">
        <f>D195*Prices!A$2</f>
        <v/>
      </c>
      <c r="R195" s="175">
        <f>L195+M195+N195+O195</f>
        <v/>
      </c>
      <c r="S195" s="174">
        <f>R195+Q195+P195</f>
        <v/>
      </c>
      <c r="T195" s="26" t="n">
        <v>194</v>
      </c>
      <c r="U195" s="26" t="inlineStr">
        <is>
          <t>Sold</t>
        </is>
      </c>
      <c r="V195" s="93" t="n"/>
      <c r="W195" s="93" t="n"/>
      <c r="X195" s="93" t="n"/>
      <c r="Y195" s="93" t="n"/>
      <c r="Z195" s="93" t="n"/>
    </row>
    <row r="196" ht="15" customHeight="1" s="220">
      <c r="A196" s="26" t="n">
        <v>195</v>
      </c>
      <c r="B196" s="26" t="n">
        <v>1.894</v>
      </c>
      <c r="C196" s="26">
        <f>B196*(25/100)</f>
        <v/>
      </c>
      <c r="D196" s="26">
        <f>C196+B196</f>
        <v/>
      </c>
      <c r="E196" s="26" t="n">
        <v>0.33</v>
      </c>
      <c r="F196" s="93" t="n"/>
      <c r="G196" s="93" t="n"/>
      <c r="H196" s="93" t="n"/>
      <c r="I196" s="93" t="n"/>
      <c r="J196" s="93" t="n"/>
      <c r="K196" s="93" t="n"/>
      <c r="L196" s="174">
        <f>E196*Prices!B$2</f>
        <v/>
      </c>
      <c r="M196" s="174">
        <f>F196*Prices!C$2</f>
        <v/>
      </c>
      <c r="N196" s="174">
        <f>G196*Prices!D$2</f>
        <v/>
      </c>
      <c r="O196" s="174">
        <f>H196*Prices!E$2</f>
        <v/>
      </c>
      <c r="P196" s="174">
        <f>I196*2000+J196*10000+K196*150</f>
        <v/>
      </c>
      <c r="Q196" s="174">
        <f>D196*Prices!A$2</f>
        <v/>
      </c>
      <c r="R196" s="175">
        <f>L196+M196+N196+O196</f>
        <v/>
      </c>
      <c r="S196" s="174">
        <f>R196+Q196+P196</f>
        <v/>
      </c>
      <c r="T196" s="26" t="n">
        <v>195</v>
      </c>
      <c r="U196" s="26" t="inlineStr">
        <is>
          <t>Available</t>
        </is>
      </c>
      <c r="V196" s="93" t="n"/>
      <c r="W196" s="93" t="n"/>
      <c r="X196" s="93" t="n"/>
      <c r="Y196" s="93" t="n"/>
      <c r="Z196" s="93" t="n"/>
    </row>
    <row r="197">
      <c r="A197" s="26" t="n">
        <v>196</v>
      </c>
      <c r="B197" s="93" t="n">
        <v>7.98</v>
      </c>
      <c r="C197" s="93">
        <f>B197*(25/100)</f>
        <v/>
      </c>
      <c r="D197" s="93">
        <f>C197+B197</f>
        <v/>
      </c>
      <c r="E197" s="93" t="n">
        <v>1.34</v>
      </c>
      <c r="F197" s="93" t="n"/>
      <c r="G197" s="93" t="n"/>
      <c r="H197" s="93" t="n"/>
      <c r="I197" s="93" t="n"/>
      <c r="J197" s="93" t="n"/>
      <c r="K197" s="93">
        <f>0.48+6.05</f>
        <v/>
      </c>
      <c r="L197" s="174">
        <f>E197*Prices!B$2</f>
        <v/>
      </c>
      <c r="M197" s="174">
        <f>F197*Prices!C$2</f>
        <v/>
      </c>
      <c r="N197" s="174">
        <f>G197*Prices!D$2</f>
        <v/>
      </c>
      <c r="O197" s="174">
        <f>H197*Prices!E$2</f>
        <v/>
      </c>
      <c r="P197" s="174">
        <f>I197*2000+J197*10000+K197*150</f>
        <v/>
      </c>
      <c r="Q197" s="174">
        <f>D197*Prices!A$2</f>
        <v/>
      </c>
      <c r="R197" s="175">
        <f>L197+M197+N197+O197</f>
        <v/>
      </c>
      <c r="S197" s="174">
        <f>R197+Q197+P197</f>
        <v/>
      </c>
      <c r="T197" s="26" t="n">
        <v>196</v>
      </c>
      <c r="U197" s="26" t="inlineStr">
        <is>
          <t>Available</t>
        </is>
      </c>
      <c r="V197" s="93" t="inlineStr">
        <is>
          <t>A</t>
        </is>
      </c>
      <c r="W197" s="93" t="n"/>
      <c r="X197" s="93" t="n"/>
      <c r="Y197" s="93" t="n"/>
      <c r="Z197" s="93" t="n"/>
    </row>
    <row r="198">
      <c r="A198" s="26" t="n">
        <v>197</v>
      </c>
      <c r="B198" s="93" t="n">
        <v>2.87</v>
      </c>
      <c r="C198" s="93">
        <f>B198*(25/100)</f>
        <v/>
      </c>
      <c r="D198" s="93">
        <f>C198+B198</f>
        <v/>
      </c>
      <c r="E198" s="93" t="n">
        <v>0.54</v>
      </c>
      <c r="F198" s="93" t="n"/>
      <c r="G198" s="93" t="n"/>
      <c r="H198" s="93" t="n"/>
      <c r="I198" s="93" t="n">
        <v>2.01</v>
      </c>
      <c r="J198" s="93" t="n"/>
      <c r="K198" s="93" t="n"/>
      <c r="L198" s="174">
        <f>E198*Prices!B$2</f>
        <v/>
      </c>
      <c r="M198" s="174">
        <f>F198*Prices!C$2</f>
        <v/>
      </c>
      <c r="N198" s="174">
        <f>G198*Prices!D$2</f>
        <v/>
      </c>
      <c r="O198" s="174">
        <f>H198*Prices!E$2</f>
        <v/>
      </c>
      <c r="P198" s="174">
        <f>I198*4000+J198*10000+K198*150</f>
        <v/>
      </c>
      <c r="Q198" s="174">
        <f>D198*Prices!A$2</f>
        <v/>
      </c>
      <c r="R198" s="175">
        <f>L198+M198+N198+O198</f>
        <v/>
      </c>
      <c r="S198" s="174">
        <f>R198+Q198+P198</f>
        <v/>
      </c>
      <c r="T198" s="26" t="n">
        <v>197</v>
      </c>
      <c r="U198" s="26" t="inlineStr">
        <is>
          <t>Sold</t>
        </is>
      </c>
      <c r="V198" s="93" t="n"/>
      <c r="W198" s="93" t="n"/>
      <c r="X198" s="93" t="n"/>
      <c r="Y198" s="93" t="n"/>
      <c r="Z198" s="93" t="n"/>
    </row>
    <row r="199">
      <c r="A199" s="26" t="n">
        <v>198</v>
      </c>
      <c r="B199" s="93" t="n">
        <v>4.232</v>
      </c>
      <c r="C199" s="93">
        <f>B199*(25/100)</f>
        <v/>
      </c>
      <c r="D199" s="93">
        <f>C199+B199</f>
        <v/>
      </c>
      <c r="E199" s="93" t="n">
        <v>1.22</v>
      </c>
      <c r="F199" s="93" t="n"/>
      <c r="G199" s="93" t="n"/>
      <c r="H199" s="93" t="n"/>
      <c r="I199" s="93" t="n"/>
      <c r="J199" s="93" t="n"/>
      <c r="K199" s="93" t="n">
        <v>2.92</v>
      </c>
      <c r="L199" s="174">
        <f>E199*Prices!B$2</f>
        <v/>
      </c>
      <c r="M199" s="174">
        <f>F199*Prices!C$2</f>
        <v/>
      </c>
      <c r="N199" s="174">
        <f>G199*Prices!D$2</f>
        <v/>
      </c>
      <c r="O199" s="174">
        <f>H199*Prices!E$2</f>
        <v/>
      </c>
      <c r="P199" s="174">
        <f>I199*4000+J199*10000+K199*150</f>
        <v/>
      </c>
      <c r="Q199" s="174">
        <f>D199*Prices!A$2</f>
        <v/>
      </c>
      <c r="R199" s="175">
        <f>L199+M199+N199+O199</f>
        <v/>
      </c>
      <c r="S199" s="174">
        <f>R199+Q199+P199</f>
        <v/>
      </c>
      <c r="T199" s="26" t="n">
        <v>198</v>
      </c>
      <c r="U199" s="26" t="inlineStr">
        <is>
          <t>Available</t>
        </is>
      </c>
      <c r="V199" s="93" t="inlineStr">
        <is>
          <t>A</t>
        </is>
      </c>
      <c r="W199" s="93" t="n"/>
      <c r="X199" s="93" t="n"/>
      <c r="Y199" s="93" t="n"/>
      <c r="Z199" s="93" t="n"/>
    </row>
    <row r="200">
      <c r="A200" s="93" t="n">
        <v>199</v>
      </c>
      <c r="B200" s="93" t="n">
        <v>11.11</v>
      </c>
      <c r="C200" s="93">
        <f>B200*(25/100)</f>
        <v/>
      </c>
      <c r="D200" s="93">
        <f>C200+B200</f>
        <v/>
      </c>
      <c r="E200" s="93" t="n">
        <v>1.6</v>
      </c>
      <c r="F200" s="93" t="n"/>
      <c r="G200" s="93" t="n"/>
      <c r="H200" s="93" t="n"/>
      <c r="I200" s="93" t="n"/>
      <c r="J200" s="93" t="n"/>
      <c r="K200" s="93" t="n">
        <v>4</v>
      </c>
      <c r="L200" s="174">
        <f>E200*Prices!B$2</f>
        <v/>
      </c>
      <c r="M200" s="174">
        <f>F200*Prices!C$2</f>
        <v/>
      </c>
      <c r="N200" s="174">
        <f>G200*Prices!D$2</f>
        <v/>
      </c>
      <c r="O200" s="174">
        <f>H200*Prices!E$2</f>
        <v/>
      </c>
      <c r="P200" s="174">
        <f>I200*4000+J200*10000+K200*1000</f>
        <v/>
      </c>
      <c r="Q200" s="174">
        <f>D200*Prices!A$2</f>
        <v/>
      </c>
      <c r="R200" s="175">
        <f>L200+M200+N200+O200</f>
        <v/>
      </c>
      <c r="S200" s="174">
        <f>R200+Q200+P200</f>
        <v/>
      </c>
      <c r="T200" s="93" t="n">
        <v>199</v>
      </c>
      <c r="U200" s="26" t="inlineStr">
        <is>
          <t>Sold</t>
        </is>
      </c>
      <c r="V200" s="93" t="n"/>
      <c r="W200" s="93" t="n"/>
      <c r="X200" s="93" t="n"/>
      <c r="Y200" s="93" t="n"/>
      <c r="Z200" s="93" t="n"/>
    </row>
    <row r="201">
      <c r="A201" s="93" t="n">
        <v>200</v>
      </c>
      <c r="B201" s="93" t="n">
        <v>1.928</v>
      </c>
      <c r="C201" s="93">
        <f>B201*(25/100)</f>
        <v/>
      </c>
      <c r="D201" s="93">
        <f>C201+B201</f>
        <v/>
      </c>
      <c r="E201" s="93" t="n">
        <v>0.51</v>
      </c>
      <c r="F201" s="93" t="n"/>
      <c r="G201" s="93" t="n"/>
      <c r="H201" s="93" t="n"/>
      <c r="I201" s="93" t="n"/>
      <c r="J201" s="93" t="n"/>
      <c r="K201" s="93" t="n"/>
      <c r="L201" s="174">
        <f>E201*Prices!B$2</f>
        <v/>
      </c>
      <c r="M201" s="174">
        <f>F201*Prices!C$2</f>
        <v/>
      </c>
      <c r="N201" s="174">
        <f>G201*Prices!D$2</f>
        <v/>
      </c>
      <c r="O201" s="174">
        <f>H201*Prices!E$2</f>
        <v/>
      </c>
      <c r="P201" s="174">
        <f>I201*4000+J201*10000+K201*1000</f>
        <v/>
      </c>
      <c r="Q201" s="174">
        <f>D201*Prices!A$2</f>
        <v/>
      </c>
      <c r="R201" s="175">
        <f>L201+M201+N201+O201</f>
        <v/>
      </c>
      <c r="S201" s="174">
        <f>R201+Q201+P201</f>
        <v/>
      </c>
      <c r="T201" s="93" t="n">
        <v>200</v>
      </c>
      <c r="U201" s="26" t="inlineStr">
        <is>
          <t>Available</t>
        </is>
      </c>
      <c r="V201" s="93" t="inlineStr">
        <is>
          <t>A</t>
        </is>
      </c>
      <c r="W201" s="93" t="n"/>
      <c r="X201" s="93" t="n"/>
      <c r="Y201" s="93" t="n"/>
      <c r="Z201" s="93" t="n"/>
    </row>
    <row r="20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  <row r="1001" ht="15.75" customHeight="1" s="220">
      <c r="A1001" s="93" t="n"/>
      <c r="B1001" s="93" t="n"/>
      <c r="C1001" s="93" t="n"/>
      <c r="D1001" s="93" t="n"/>
      <c r="E1001" s="93" t="n"/>
      <c r="F1001" s="93" t="n"/>
      <c r="G1001" s="93" t="n"/>
      <c r="H1001" s="93" t="n"/>
      <c r="I1001" s="93" t="n"/>
      <c r="J1001" s="93" t="n"/>
      <c r="K1001" s="93" t="n"/>
      <c r="L1001" s="93" t="n"/>
      <c r="M1001" s="93" t="n"/>
      <c r="N1001" s="93" t="n"/>
      <c r="O1001" s="93" t="n"/>
      <c r="P1001" s="93" t="n"/>
      <c r="Q1001" s="93" t="n"/>
      <c r="R1001" s="93" t="n"/>
      <c r="S1001" s="93" t="n"/>
      <c r="T1001" s="93" t="n"/>
      <c r="U1001" s="93" t="n"/>
      <c r="V1001" s="93" t="n"/>
      <c r="W1001" s="93" t="n"/>
      <c r="X1001" s="93" t="n"/>
      <c r="Y1001" s="93" t="n"/>
      <c r="Z1001" s="93" t="n"/>
    </row>
  </sheetData>
  <conditionalFormatting sqref="U2:U201">
    <cfRule type="containsText" priority="1" operator="containsText" dxfId="4" text="Available">
      <formula>NOT(ISERROR(SEARCH(("Available"),(U2))))</formula>
    </cfRule>
    <cfRule type="containsText" priority="2" operator="containsText" dxfId="5" text="Sold">
      <formula>NOT(ISERROR(SEARCH(("Sold"),(U2))))</formula>
    </cfRule>
    <cfRule type="containsText" priority="3" operator="containsText" dxfId="6" text="Return">
      <formula>NOT(ISERROR(SEARCH(("Return"),(U2))))</formula>
    </cfRule>
  </conditionalFormatting>
  <pageMargins left="0.25" right="0.25" top="0.75" bottom="0.75" header="0" footer="0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5.57" customWidth="1" style="220" min="1" max="1"/>
    <col width="14.71" customWidth="1" style="220" min="2" max="2"/>
    <col width="15.14" customWidth="1" style="220" min="3" max="3"/>
    <col width="17.71" customWidth="1" style="220" min="4" max="4"/>
    <col width="14.29" customWidth="1" style="220" min="5" max="5"/>
    <col width="15" customWidth="1" style="220" min="6" max="6"/>
    <col width="14.29" customWidth="1" style="220" min="7" max="7"/>
    <col width="11.57" customWidth="1" style="220" min="8" max="8"/>
    <col width="7.43" customWidth="1" style="220" min="9" max="9"/>
    <col width="9.859999999999999" customWidth="1" style="220" min="10" max="10"/>
    <col width="8.140000000000001" customWidth="1" style="220" min="11" max="11"/>
    <col width="13.86" customWidth="1" style="220" min="12" max="15"/>
    <col width="12" customWidth="1" style="220" min="16" max="16"/>
    <col width="14" customWidth="1" style="220" min="17" max="17"/>
    <col width="17.57" customWidth="1" style="220" min="18" max="18"/>
    <col width="14.57" customWidth="1" style="220" min="19" max="19"/>
    <col width="5.57" customWidth="1" style="220" min="20" max="20"/>
    <col width="11" customWidth="1" style="220" min="21" max="21"/>
    <col width="8.710000000000001" customWidth="1" style="220" min="22" max="26"/>
  </cols>
  <sheetData>
    <row r="1">
      <c r="A1" s="171" t="inlineStr">
        <is>
          <t>Sn</t>
        </is>
      </c>
      <c r="B1" s="171" t="inlineStr">
        <is>
          <t>Net Weight</t>
        </is>
      </c>
      <c r="C1" s="171" t="inlineStr">
        <is>
          <t>Wstg + MC</t>
        </is>
      </c>
      <c r="D1" s="171" t="inlineStr">
        <is>
          <t>Gross Weight</t>
        </is>
      </c>
      <c r="E1" s="171" t="inlineStr">
        <is>
          <t>Dmd &lt;0.06</t>
        </is>
      </c>
      <c r="F1" s="171" t="inlineStr">
        <is>
          <t>Dmd &lt; 0.12</t>
        </is>
      </c>
      <c r="G1" s="171" t="inlineStr">
        <is>
          <t>Dmd &lt;0.17</t>
        </is>
      </c>
      <c r="H1" s="171" t="inlineStr">
        <is>
          <t>Dmd Big</t>
        </is>
      </c>
      <c r="I1" s="171" t="inlineStr">
        <is>
          <t>Ruby</t>
        </is>
      </c>
      <c r="J1" s="171" t="inlineStr">
        <is>
          <t>Emreld</t>
        </is>
      </c>
      <c r="K1" s="171" t="inlineStr">
        <is>
          <t>Muga</t>
        </is>
      </c>
      <c r="L1" s="171" t="inlineStr">
        <is>
          <t>Dmd Price</t>
        </is>
      </c>
      <c r="M1" s="171" t="inlineStr">
        <is>
          <t>Dmd Price</t>
        </is>
      </c>
      <c r="N1" s="171" t="inlineStr">
        <is>
          <t>Dmd Price</t>
        </is>
      </c>
      <c r="O1" s="171" t="inlineStr">
        <is>
          <t>Dmd Price</t>
        </is>
      </c>
      <c r="P1" s="171" t="inlineStr">
        <is>
          <t>Stn Price</t>
        </is>
      </c>
      <c r="Q1" s="172" t="inlineStr">
        <is>
          <t>Gold Price</t>
        </is>
      </c>
      <c r="R1" s="171" t="inlineStr">
        <is>
          <t>Ttl dmd Price</t>
        </is>
      </c>
      <c r="S1" s="172" t="inlineStr">
        <is>
          <t>Total Price</t>
        </is>
      </c>
      <c r="T1" s="171" t="inlineStr">
        <is>
          <t>Sn</t>
        </is>
      </c>
      <c r="U1" s="26" t="n"/>
      <c r="V1" s="93" t="n"/>
      <c r="W1" s="93" t="n"/>
      <c r="X1" s="93" t="n"/>
      <c r="Y1" s="93" t="n"/>
      <c r="Z1" s="93" t="n"/>
    </row>
    <row r="2">
      <c r="A2" s="26" t="n">
        <v>1</v>
      </c>
      <c r="B2" s="26" t="n">
        <v>3.168</v>
      </c>
      <c r="C2" s="26">
        <f>B2*(25/100)</f>
        <v/>
      </c>
      <c r="D2" s="26">
        <f>C2+B2</f>
        <v/>
      </c>
      <c r="E2" s="26" t="n">
        <v>0.5600000000000001</v>
      </c>
      <c r="F2" s="26" t="n"/>
      <c r="G2" s="26" t="n"/>
      <c r="H2" s="26" t="n"/>
      <c r="I2" s="26" t="n"/>
      <c r="J2" s="26" t="n"/>
      <c r="K2" s="26" t="n"/>
      <c r="L2" s="174">
        <f>E2*Prices!B$2</f>
        <v/>
      </c>
      <c r="M2" s="174">
        <f>F2*Prices!C$2</f>
        <v/>
      </c>
      <c r="N2" s="174">
        <f>G2*Prices!D$2</f>
        <v/>
      </c>
      <c r="O2" s="174">
        <f>H2*Prices!E$2</f>
        <v/>
      </c>
      <c r="P2" s="174">
        <f>I2*2000+J2*10000+K2*1800</f>
        <v/>
      </c>
      <c r="Q2" s="174">
        <f>D2*Prices!A$2</f>
        <v/>
      </c>
      <c r="R2" s="175">
        <f>L2+M2+N2+O2</f>
        <v/>
      </c>
      <c r="S2" s="174">
        <f>R2+Q2+P2</f>
        <v/>
      </c>
      <c r="T2" s="26" t="n">
        <v>1</v>
      </c>
      <c r="U2" s="26" t="inlineStr">
        <is>
          <t>Sold</t>
        </is>
      </c>
      <c r="V2" s="93" t="n"/>
      <c r="W2" s="93" t="n"/>
      <c r="X2" s="93" t="n"/>
      <c r="Y2" s="93" t="n"/>
      <c r="Z2" s="93" t="n"/>
    </row>
    <row r="3">
      <c r="A3" s="26" t="n">
        <v>2</v>
      </c>
      <c r="B3" s="26" t="n">
        <v>3.718</v>
      </c>
      <c r="C3" s="26">
        <f>B3*(25/100)</f>
        <v/>
      </c>
      <c r="D3" s="26">
        <f>C3+B3</f>
        <v/>
      </c>
      <c r="E3" s="26" t="n">
        <v>1.36</v>
      </c>
      <c r="F3" s="26" t="n"/>
      <c r="G3" s="26" t="n"/>
      <c r="H3" s="26" t="n"/>
      <c r="I3" s="26" t="n"/>
      <c r="J3" s="26" t="n"/>
      <c r="K3" s="26" t="n"/>
      <c r="L3" s="174">
        <f>E3*Prices!B$2</f>
        <v/>
      </c>
      <c r="M3" s="174">
        <f>F3*Prices!C$2</f>
        <v/>
      </c>
      <c r="N3" s="174">
        <f>G3*Prices!D$2</f>
        <v/>
      </c>
      <c r="O3" s="174">
        <f>H3*Prices!E$2</f>
        <v/>
      </c>
      <c r="P3" s="174">
        <f>I3*2000+J3*10000+K3*1800</f>
        <v/>
      </c>
      <c r="Q3" s="174">
        <f>D3*Prices!A$2</f>
        <v/>
      </c>
      <c r="R3" s="175">
        <f>L3+M3+N3+O3</f>
        <v/>
      </c>
      <c r="S3" s="174">
        <f>R3+Q3+P3</f>
        <v/>
      </c>
      <c r="T3" s="26" t="n">
        <v>2</v>
      </c>
      <c r="U3" s="26" t="inlineStr">
        <is>
          <t>Available</t>
        </is>
      </c>
      <c r="V3" s="93" t="inlineStr">
        <is>
          <t>A</t>
        </is>
      </c>
      <c r="W3" s="93" t="n"/>
      <c r="X3" s="93" t="n"/>
      <c r="Y3" s="93" t="n"/>
      <c r="Z3" s="93" t="n"/>
    </row>
    <row r="4">
      <c r="A4" s="26" t="n">
        <v>3</v>
      </c>
      <c r="B4" s="26" t="n">
        <v>2.968</v>
      </c>
      <c r="C4" s="26">
        <f>B4*(25/100)</f>
        <v/>
      </c>
      <c r="D4" s="26">
        <f>C4+B4</f>
        <v/>
      </c>
      <c r="E4" s="26" t="n"/>
      <c r="F4" s="26" t="n">
        <v>1.04</v>
      </c>
      <c r="G4" s="26" t="n"/>
      <c r="H4" s="26" t="n"/>
      <c r="I4" s="26" t="n"/>
      <c r="J4" s="26" t="n"/>
      <c r="K4" s="26" t="n">
        <v>2.52</v>
      </c>
      <c r="L4" s="174">
        <f>E4*Prices!B$2</f>
        <v/>
      </c>
      <c r="M4" s="174">
        <f>F4*Prices!C$2</f>
        <v/>
      </c>
      <c r="N4" s="174">
        <f>G4*Prices!D$2</f>
        <v/>
      </c>
      <c r="O4" s="174">
        <f>H4*Prices!E$2</f>
        <v/>
      </c>
      <c r="P4" s="174">
        <f>I4*2000+J4*10000+K4*500</f>
        <v/>
      </c>
      <c r="Q4" s="174">
        <f>D4*Prices!A$2</f>
        <v/>
      </c>
      <c r="R4" s="175">
        <f>L4+M4+N4+O4</f>
        <v/>
      </c>
      <c r="S4" s="174">
        <f>R4+Q4+P4</f>
        <v/>
      </c>
      <c r="T4" s="26" t="n">
        <v>3</v>
      </c>
      <c r="U4" s="26" t="inlineStr">
        <is>
          <t>Available</t>
        </is>
      </c>
      <c r="V4" s="93" t="n"/>
      <c r="W4" s="93" t="n"/>
      <c r="X4" s="93" t="n"/>
      <c r="Y4" s="93" t="n"/>
      <c r="Z4" s="93" t="n"/>
    </row>
    <row r="5">
      <c r="A5" s="26" t="n">
        <v>4</v>
      </c>
      <c r="B5" s="26" t="n">
        <v>5.27</v>
      </c>
      <c r="C5" s="26">
        <f>B5*(25/100)</f>
        <v/>
      </c>
      <c r="D5" s="26">
        <f>C5+B5</f>
        <v/>
      </c>
      <c r="E5" s="26" t="n">
        <v>0.39</v>
      </c>
      <c r="F5" s="26" t="n"/>
      <c r="G5" s="26" t="n"/>
      <c r="H5" s="26" t="n"/>
      <c r="I5" s="26" t="n"/>
      <c r="J5" s="26" t="n"/>
      <c r="K5" s="26" t="n"/>
      <c r="L5" s="174">
        <f>E5*Prices!B$2</f>
        <v/>
      </c>
      <c r="M5" s="174">
        <f>F5*Prices!C$2</f>
        <v/>
      </c>
      <c r="N5" s="174">
        <f>G5*Prices!D$2</f>
        <v/>
      </c>
      <c r="O5" s="174">
        <f>H5*Prices!E$2</f>
        <v/>
      </c>
      <c r="P5" s="174">
        <f>I5*2000+J5*10000+K5*1800</f>
        <v/>
      </c>
      <c r="Q5" s="174">
        <f>D5*Prices!A$2</f>
        <v/>
      </c>
      <c r="R5" s="175">
        <f>L5+M5+N5+O5</f>
        <v/>
      </c>
      <c r="S5" s="174">
        <f>R5+Q5+P5</f>
        <v/>
      </c>
      <c r="T5" s="26" t="n">
        <v>4</v>
      </c>
      <c r="U5" s="26" t="inlineStr">
        <is>
          <t>Available</t>
        </is>
      </c>
      <c r="V5" s="93" t="inlineStr">
        <is>
          <t>A</t>
        </is>
      </c>
      <c r="W5" s="93" t="n"/>
      <c r="X5" s="93" t="n"/>
      <c r="Y5" s="93" t="n"/>
      <c r="Z5" s="93" t="n"/>
    </row>
    <row r="6">
      <c r="A6" s="26" t="n">
        <v>5</v>
      </c>
      <c r="B6" s="26" t="n">
        <v>4.32</v>
      </c>
      <c r="C6" s="26">
        <f>B6*(25/100)</f>
        <v/>
      </c>
      <c r="D6" s="26">
        <f>C6+B6</f>
        <v/>
      </c>
      <c r="E6" s="26" t="n">
        <v>1.31</v>
      </c>
      <c r="F6" s="26" t="n"/>
      <c r="G6" s="26" t="n"/>
      <c r="H6" s="26" t="n"/>
      <c r="I6" s="26" t="n"/>
      <c r="J6" s="26" t="n"/>
      <c r="K6" s="26" t="n"/>
      <c r="L6" s="174">
        <f>E6*Prices!B$2</f>
        <v/>
      </c>
      <c r="M6" s="174">
        <f>F6*Prices!C$2</f>
        <v/>
      </c>
      <c r="N6" s="174">
        <f>G6*Prices!D$2</f>
        <v/>
      </c>
      <c r="O6" s="174">
        <f>H6*Prices!E$2</f>
        <v/>
      </c>
      <c r="P6" s="174">
        <f>I6*2000+J6*10000+K6*1800</f>
        <v/>
      </c>
      <c r="Q6" s="174">
        <f>D6*Prices!A$2</f>
        <v/>
      </c>
      <c r="R6" s="175">
        <f>L6+M6+N6+O6</f>
        <v/>
      </c>
      <c r="S6" s="174">
        <f>R6+Q6+P6</f>
        <v/>
      </c>
      <c r="T6" s="26" t="n">
        <v>5</v>
      </c>
      <c r="U6" s="26" t="inlineStr">
        <is>
          <t>Sold</t>
        </is>
      </c>
      <c r="V6" s="93" t="n"/>
      <c r="W6" s="93" t="n"/>
      <c r="X6" s="93" t="n"/>
      <c r="Y6" s="93" t="n"/>
      <c r="Z6" s="93" t="n"/>
    </row>
    <row r="7">
      <c r="A7" s="196" t="n">
        <v>6</v>
      </c>
      <c r="B7" s="196" t="n">
        <v>2.21</v>
      </c>
      <c r="C7" s="196">
        <f>B7*(25/100)</f>
        <v/>
      </c>
      <c r="D7" s="196">
        <f>C7+B7</f>
        <v/>
      </c>
      <c r="E7" s="196" t="n">
        <v>0.61</v>
      </c>
      <c r="F7" s="196" t="n"/>
      <c r="G7" s="196" t="n"/>
      <c r="H7" s="196" t="n"/>
      <c r="I7" s="196" t="n"/>
      <c r="J7" s="196" t="n"/>
      <c r="K7" s="196" t="n"/>
      <c r="L7" s="197">
        <f>E7*Prices!B$2</f>
        <v/>
      </c>
      <c r="M7" s="197">
        <f>F7*Prices!C$2</f>
        <v/>
      </c>
      <c r="N7" s="197">
        <f>G7*Prices!D$2</f>
        <v/>
      </c>
      <c r="O7" s="197">
        <f>H7*Prices!E$2</f>
        <v/>
      </c>
      <c r="P7" s="197">
        <f>I7*2000+J7*10000+K7*1800</f>
        <v/>
      </c>
      <c r="Q7" s="197">
        <f>D7*Prices!A$2</f>
        <v/>
      </c>
      <c r="R7" s="198">
        <f>L7+M7+N7+O7</f>
        <v/>
      </c>
      <c r="S7" s="197">
        <f>R7+Q7+P7</f>
        <v/>
      </c>
      <c r="T7" s="196" t="n">
        <v>6</v>
      </c>
      <c r="U7" s="196" t="inlineStr">
        <is>
          <t>Return</t>
        </is>
      </c>
      <c r="V7" s="192" t="n"/>
      <c r="W7" s="192" t="n"/>
      <c r="X7" s="192" t="n"/>
      <c r="Y7" s="192" t="n"/>
      <c r="Z7" s="192" t="n"/>
    </row>
    <row r="8">
      <c r="A8" s="26" t="n">
        <v>7</v>
      </c>
      <c r="B8" s="26" t="n">
        <v>4.28</v>
      </c>
      <c r="C8" s="26">
        <f>B8*(25/100)</f>
        <v/>
      </c>
      <c r="D8" s="26">
        <f>C8+B8</f>
        <v/>
      </c>
      <c r="E8" s="26" t="n"/>
      <c r="F8" s="26" t="n"/>
      <c r="G8" s="26" t="n">
        <v>1.34</v>
      </c>
      <c r="H8" s="26" t="n"/>
      <c r="I8" s="26" t="n"/>
      <c r="J8" s="26" t="n"/>
      <c r="K8" s="26" t="n">
        <v>2.54</v>
      </c>
      <c r="L8" s="174">
        <f>E8*Prices!B$2</f>
        <v/>
      </c>
      <c r="M8" s="174">
        <f>F8*Prices!C$2</f>
        <v/>
      </c>
      <c r="N8" s="174">
        <f>G8*Prices!D$2</f>
        <v/>
      </c>
      <c r="O8" s="174">
        <f>H8*Prices!E$2</f>
        <v/>
      </c>
      <c r="P8" s="174">
        <f>I8*2000+J8*10000+K8*500</f>
        <v/>
      </c>
      <c r="Q8" s="174">
        <f>D8*Prices!A$2</f>
        <v/>
      </c>
      <c r="R8" s="175">
        <f>L8+M8+N8+O8</f>
        <v/>
      </c>
      <c r="S8" s="174">
        <f>R8+Q8+P8</f>
        <v/>
      </c>
      <c r="T8" s="26" t="n">
        <v>7</v>
      </c>
      <c r="U8" s="26" t="inlineStr">
        <is>
          <t>Available</t>
        </is>
      </c>
      <c r="V8" s="93" t="inlineStr">
        <is>
          <t>A</t>
        </is>
      </c>
      <c r="W8" s="93" t="n"/>
      <c r="X8" s="93" t="n"/>
      <c r="Y8" s="93" t="n"/>
      <c r="Z8" s="93" t="n"/>
    </row>
    <row r="9">
      <c r="A9" s="26" t="n">
        <v>8</v>
      </c>
      <c r="B9" s="26" t="n">
        <v>1.98</v>
      </c>
      <c r="C9" s="26">
        <f>B9*(25/100)</f>
        <v/>
      </c>
      <c r="D9" s="26">
        <f>C9+B9</f>
        <v/>
      </c>
      <c r="E9" s="26" t="n">
        <v>0.31</v>
      </c>
      <c r="F9" s="26" t="n"/>
      <c r="G9" s="26" t="n"/>
      <c r="H9" s="26" t="n"/>
      <c r="I9" s="26" t="n"/>
      <c r="J9" s="26" t="n"/>
      <c r="K9" s="26" t="n">
        <v>2.17</v>
      </c>
      <c r="L9" s="174">
        <f>E9*Prices!B$2</f>
        <v/>
      </c>
      <c r="M9" s="174">
        <f>F9*Prices!C$2</f>
        <v/>
      </c>
      <c r="N9" s="174">
        <f>G9*Prices!D$2</f>
        <v/>
      </c>
      <c r="O9" s="174">
        <f>H9*Prices!E$2</f>
        <v/>
      </c>
      <c r="P9" s="174">
        <f>I9*2000+J9*10000+K9*500</f>
        <v/>
      </c>
      <c r="Q9" s="174">
        <f>D9*Prices!A$2</f>
        <v/>
      </c>
      <c r="R9" s="175">
        <f>L9+M9+N9+O9</f>
        <v/>
      </c>
      <c r="S9" s="174">
        <f>R9+Q9+P9</f>
        <v/>
      </c>
      <c r="T9" s="26" t="n">
        <v>8</v>
      </c>
      <c r="U9" s="26" t="inlineStr">
        <is>
          <t>Available</t>
        </is>
      </c>
      <c r="V9" s="93" t="inlineStr">
        <is>
          <t>A</t>
        </is>
      </c>
      <c r="W9" s="93" t="n"/>
      <c r="X9" s="93" t="n"/>
      <c r="Y9" s="93" t="n"/>
      <c r="Z9" s="93" t="n"/>
    </row>
    <row r="10">
      <c r="A10" s="26" t="n">
        <v>9</v>
      </c>
      <c r="B10" s="26" t="n">
        <v>5.49</v>
      </c>
      <c r="C10" s="26">
        <f>B10*(25/100)</f>
        <v/>
      </c>
      <c r="D10" s="26">
        <f>C10+B10</f>
        <v/>
      </c>
      <c r="E10" s="26" t="n">
        <v>0.59</v>
      </c>
      <c r="F10" s="26" t="n"/>
      <c r="G10" s="26" t="n"/>
      <c r="H10" s="26" t="n"/>
      <c r="I10" s="26" t="n"/>
      <c r="J10" s="26" t="n"/>
      <c r="K10" s="26" t="n"/>
      <c r="L10" s="174">
        <f>E10*Prices!B$2</f>
        <v/>
      </c>
      <c r="M10" s="174">
        <f>F10*Prices!C$2</f>
        <v/>
      </c>
      <c r="N10" s="174">
        <f>G10*Prices!D$2</f>
        <v/>
      </c>
      <c r="O10" s="174">
        <f>H10*Prices!E$2</f>
        <v/>
      </c>
      <c r="P10" s="174">
        <f>I10*2000+J10*10000+K10*1800</f>
        <v/>
      </c>
      <c r="Q10" s="174">
        <f>D10*Prices!A$2</f>
        <v/>
      </c>
      <c r="R10" s="175">
        <f>L10+M10+N10+O10</f>
        <v/>
      </c>
      <c r="S10" s="174">
        <f>R10+Q10+P10</f>
        <v/>
      </c>
      <c r="T10" s="26" t="n">
        <v>9</v>
      </c>
      <c r="U10" s="26" t="inlineStr">
        <is>
          <t>Sold</t>
        </is>
      </c>
      <c r="V10" s="93" t="n"/>
      <c r="W10" s="93" t="n"/>
      <c r="X10" s="93" t="n"/>
      <c r="Y10" s="93" t="n"/>
      <c r="Z10" s="93" t="n"/>
    </row>
    <row r="11">
      <c r="A11" s="26" t="n">
        <v>10</v>
      </c>
      <c r="B11" s="26" t="n">
        <v>8.81</v>
      </c>
      <c r="C11" s="26">
        <f>B11*(25/100)</f>
        <v/>
      </c>
      <c r="D11" s="26">
        <f>C11+B11</f>
        <v/>
      </c>
      <c r="E11" s="26" t="n">
        <v>2.23</v>
      </c>
      <c r="F11" s="26" t="n"/>
      <c r="G11" s="26" t="n"/>
      <c r="H11" s="26" t="n"/>
      <c r="I11" s="26" t="n"/>
      <c r="J11" s="26" t="n"/>
      <c r="K11" s="26" t="n"/>
      <c r="L11" s="174">
        <f>E11*Prices!B$2</f>
        <v/>
      </c>
      <c r="M11" s="174">
        <f>F11*Prices!C$2</f>
        <v/>
      </c>
      <c r="N11" s="174">
        <f>G11*Prices!D$2</f>
        <v/>
      </c>
      <c r="O11" s="174">
        <f>H11*Prices!E$2</f>
        <v/>
      </c>
      <c r="P11" s="174">
        <f>I11*2000+J11*10000+K11*1800</f>
        <v/>
      </c>
      <c r="Q11" s="174">
        <f>D11*Prices!A$2</f>
        <v/>
      </c>
      <c r="R11" s="175">
        <f>L11+M11+N11+O11</f>
        <v/>
      </c>
      <c r="S11" s="174">
        <f>R11+Q11+P11</f>
        <v/>
      </c>
      <c r="T11" s="26" t="n">
        <v>10</v>
      </c>
      <c r="U11" s="26" t="inlineStr">
        <is>
          <t>Available</t>
        </is>
      </c>
      <c r="V11" s="93" t="inlineStr">
        <is>
          <t>A</t>
        </is>
      </c>
      <c r="W11" s="93" t="n"/>
      <c r="X11" s="93" t="n"/>
      <c r="Y11" s="93" t="n"/>
      <c r="Z11" s="93" t="n"/>
    </row>
    <row r="12">
      <c r="A12" s="26" t="n">
        <v>11</v>
      </c>
      <c r="B12" s="26" t="n">
        <v>1.784</v>
      </c>
      <c r="C12" s="26">
        <f>B12*(25/100)</f>
        <v/>
      </c>
      <c r="D12" s="26">
        <f>C12+B12</f>
        <v/>
      </c>
      <c r="E12" s="26" t="n">
        <v>0.31</v>
      </c>
      <c r="F12" s="26" t="n"/>
      <c r="G12" s="26" t="n"/>
      <c r="H12" s="26" t="n"/>
      <c r="I12" s="26" t="n"/>
      <c r="J12" s="26" t="n"/>
      <c r="K12" s="26" t="n"/>
      <c r="L12" s="174">
        <f>E12*Prices!B$2</f>
        <v/>
      </c>
      <c r="M12" s="174">
        <f>F12*Prices!C$2</f>
        <v/>
      </c>
      <c r="N12" s="174">
        <f>G12*Prices!D$2</f>
        <v/>
      </c>
      <c r="O12" s="174">
        <f>H12*Prices!E$2</f>
        <v/>
      </c>
      <c r="P12" s="174">
        <f>I12*2000+J12*10000+K12*1800</f>
        <v/>
      </c>
      <c r="Q12" s="174">
        <f>D12*Prices!A$2</f>
        <v/>
      </c>
      <c r="R12" s="175">
        <f>L12+M12+N12+O12</f>
        <v/>
      </c>
      <c r="S12" s="174">
        <f>R12+Q12+P12</f>
        <v/>
      </c>
      <c r="T12" s="26" t="n">
        <v>11</v>
      </c>
      <c r="U12" s="26" t="inlineStr">
        <is>
          <t>Sold</t>
        </is>
      </c>
      <c r="V12" s="93" t="n"/>
      <c r="W12" s="93" t="n"/>
      <c r="X12" s="93" t="n"/>
      <c r="Y12" s="93" t="n"/>
      <c r="Z12" s="93" t="n"/>
    </row>
    <row r="13">
      <c r="A13" s="26" t="n">
        <v>12</v>
      </c>
      <c r="B13" s="26" t="n">
        <v>2.516</v>
      </c>
      <c r="C13" s="26">
        <f>B13*(25/100)</f>
        <v/>
      </c>
      <c r="D13" s="26">
        <f>C13+B13</f>
        <v/>
      </c>
      <c r="E13" s="26" t="n">
        <v>1.22</v>
      </c>
      <c r="F13" s="26" t="n"/>
      <c r="G13" s="26" t="n"/>
      <c r="H13" s="26" t="n"/>
      <c r="I13" s="26" t="n"/>
      <c r="J13" s="26" t="n"/>
      <c r="K13" s="26" t="n"/>
      <c r="L13" s="174">
        <f>E13*Prices!B$2</f>
        <v/>
      </c>
      <c r="M13" s="174">
        <f>F13*Prices!C$2</f>
        <v/>
      </c>
      <c r="N13" s="174">
        <f>G13*Prices!D$2</f>
        <v/>
      </c>
      <c r="O13" s="174">
        <f>H13*Prices!E$2</f>
        <v/>
      </c>
      <c r="P13" s="174">
        <f>I13*2000+J13*10000+K13*1800</f>
        <v/>
      </c>
      <c r="Q13" s="174">
        <f>D13*Prices!A$2</f>
        <v/>
      </c>
      <c r="R13" s="175">
        <f>L13+M13+N13+O13</f>
        <v/>
      </c>
      <c r="S13" s="174">
        <f>R13+Q13+P13</f>
        <v/>
      </c>
      <c r="T13" s="26" t="n">
        <v>12</v>
      </c>
      <c r="U13" s="26" t="inlineStr">
        <is>
          <t>Available</t>
        </is>
      </c>
      <c r="V13" s="93" t="inlineStr">
        <is>
          <t>A</t>
        </is>
      </c>
      <c r="W13" s="93" t="n"/>
      <c r="X13" s="93" t="n"/>
      <c r="Y13" s="93" t="n"/>
      <c r="Z13" s="93" t="n"/>
    </row>
    <row r="14">
      <c r="A14" s="26" t="n">
        <v>13</v>
      </c>
      <c r="B14" s="26" t="n">
        <v>2.76</v>
      </c>
      <c r="C14" s="26">
        <f>B14*(25/100)</f>
        <v/>
      </c>
      <c r="D14" s="26">
        <f>C14+B14</f>
        <v/>
      </c>
      <c r="E14" s="26" t="n">
        <v>0.25</v>
      </c>
      <c r="F14" s="26" t="n"/>
      <c r="G14" s="26" t="n"/>
      <c r="H14" s="26" t="n"/>
      <c r="I14" s="26" t="n"/>
      <c r="J14" s="26" t="n"/>
      <c r="K14" s="26" t="n"/>
      <c r="L14" s="174">
        <f>E14*Prices!B$2</f>
        <v/>
      </c>
      <c r="M14" s="174">
        <f>F14*Prices!C$2</f>
        <v/>
      </c>
      <c r="N14" s="174">
        <f>G14*Prices!D$2</f>
        <v/>
      </c>
      <c r="O14" s="174">
        <f>H14*Prices!E$2</f>
        <v/>
      </c>
      <c r="P14" s="174">
        <f>I14*2000+J14*10000+K14*1800</f>
        <v/>
      </c>
      <c r="Q14" s="174">
        <f>D14*Prices!A$2</f>
        <v/>
      </c>
      <c r="R14" s="175">
        <f>L14+M14+N14+O14</f>
        <v/>
      </c>
      <c r="S14" s="174">
        <f>R14+Q14+P14</f>
        <v/>
      </c>
      <c r="T14" s="26" t="n">
        <v>13</v>
      </c>
      <c r="U14" s="26" t="inlineStr">
        <is>
          <t>Available</t>
        </is>
      </c>
      <c r="V14" s="93" t="inlineStr">
        <is>
          <t>A</t>
        </is>
      </c>
      <c r="W14" s="93" t="n"/>
      <c r="X14" s="93" t="n"/>
      <c r="Y14" s="93" t="n"/>
      <c r="Z14" s="93" t="n"/>
    </row>
    <row r="15">
      <c r="A15" s="196" t="n">
        <v>14</v>
      </c>
      <c r="B15" s="196" t="n">
        <v>7.68</v>
      </c>
      <c r="C15" s="196">
        <f>B15*(25/100)</f>
        <v/>
      </c>
      <c r="D15" s="196">
        <f>C15+B15</f>
        <v/>
      </c>
      <c r="E15" s="196" t="n">
        <v>1.23</v>
      </c>
      <c r="F15" s="196" t="n"/>
      <c r="G15" s="196" t="n"/>
      <c r="H15" s="196" t="n"/>
      <c r="I15" s="196" t="n"/>
      <c r="J15" s="196" t="n"/>
      <c r="K15" s="196" t="n"/>
      <c r="L15" s="197">
        <f>E15*Prices!B$2</f>
        <v/>
      </c>
      <c r="M15" s="197">
        <f>F15*Prices!C$2</f>
        <v/>
      </c>
      <c r="N15" s="197">
        <f>G15*Prices!D$2</f>
        <v/>
      </c>
      <c r="O15" s="197">
        <f>H15*Prices!E$2</f>
        <v/>
      </c>
      <c r="P15" s="197">
        <f>I15*2000+J15*10000+K15*1800</f>
        <v/>
      </c>
      <c r="Q15" s="197">
        <f>D15*Prices!A$2</f>
        <v/>
      </c>
      <c r="R15" s="198">
        <f>L15+M15+N15+O15</f>
        <v/>
      </c>
      <c r="S15" s="197">
        <f>R15+Q15+P15</f>
        <v/>
      </c>
      <c r="T15" s="196" t="n">
        <v>14</v>
      </c>
      <c r="U15" s="196" t="inlineStr">
        <is>
          <t>Return</t>
        </is>
      </c>
      <c r="V15" s="192" t="n"/>
      <c r="W15" s="192" t="n"/>
      <c r="X15" s="192" t="n"/>
      <c r="Y15" s="192" t="n"/>
      <c r="Z15" s="192" t="n"/>
    </row>
    <row r="16">
      <c r="A16" s="26" t="n">
        <v>15</v>
      </c>
      <c r="B16" s="26" t="n">
        <v>1.62</v>
      </c>
      <c r="C16" s="26">
        <f>B16*(25/100)</f>
        <v/>
      </c>
      <c r="D16" s="26">
        <f>C16+B16</f>
        <v/>
      </c>
      <c r="E16" s="26" t="n">
        <v>0.36</v>
      </c>
      <c r="F16" s="26" t="n"/>
      <c r="G16" s="26" t="n"/>
      <c r="H16" s="26" t="n"/>
      <c r="I16" s="26" t="n"/>
      <c r="J16" s="26" t="n"/>
      <c r="K16" s="26" t="n"/>
      <c r="L16" s="174">
        <f>E16*Prices!B$2</f>
        <v/>
      </c>
      <c r="M16" s="174">
        <f>F16*Prices!C$2</f>
        <v/>
      </c>
      <c r="N16" s="174">
        <f>G16*Prices!D$2</f>
        <v/>
      </c>
      <c r="O16" s="174">
        <f>H16*Prices!E$2</f>
        <v/>
      </c>
      <c r="P16" s="174">
        <f>I16*2000+J16*10000+K16*1800</f>
        <v/>
      </c>
      <c r="Q16" s="174">
        <f>D16*Prices!A$2</f>
        <v/>
      </c>
      <c r="R16" s="175">
        <f>L16+M16+N16+O16</f>
        <v/>
      </c>
      <c r="S16" s="174">
        <f>R16+Q16+P16</f>
        <v/>
      </c>
      <c r="T16" s="26" t="n">
        <v>15</v>
      </c>
      <c r="U16" s="26" t="inlineStr">
        <is>
          <t>Sold</t>
        </is>
      </c>
      <c r="V16" s="93" t="n"/>
      <c r="W16" s="93" t="n"/>
      <c r="X16" s="93" t="n"/>
      <c r="Y16" s="93" t="n"/>
      <c r="Z16" s="93" t="n"/>
    </row>
    <row r="17">
      <c r="A17" s="26" t="n">
        <v>16</v>
      </c>
      <c r="B17" s="26" t="n">
        <v>5.232</v>
      </c>
      <c r="C17" s="26">
        <f>B17*(25/100)</f>
        <v/>
      </c>
      <c r="D17" s="26">
        <f>C17+B17</f>
        <v/>
      </c>
      <c r="E17" s="26" t="n">
        <v>0.24</v>
      </c>
      <c r="F17" s="26" t="n"/>
      <c r="G17" s="26" t="n"/>
      <c r="H17" s="26" t="n"/>
      <c r="I17" s="26" t="n"/>
      <c r="J17" s="26" t="n"/>
      <c r="K17" s="26" t="n"/>
      <c r="L17" s="174">
        <f>E17*Prices!B$2</f>
        <v/>
      </c>
      <c r="M17" s="174">
        <f>F17*Prices!C$2</f>
        <v/>
      </c>
      <c r="N17" s="174">
        <f>G17*Prices!D$2</f>
        <v/>
      </c>
      <c r="O17" s="174">
        <f>H17*Prices!E$2</f>
        <v/>
      </c>
      <c r="P17" s="174">
        <f>I17*2000+J17*10000+K17*1800</f>
        <v/>
      </c>
      <c r="Q17" s="174">
        <f>D17*Prices!A$2</f>
        <v/>
      </c>
      <c r="R17" s="175">
        <f>L17+M17+N17+O17</f>
        <v/>
      </c>
      <c r="S17" s="174">
        <f>R17+Q17+P17</f>
        <v/>
      </c>
      <c r="T17" s="26" t="n">
        <v>16</v>
      </c>
      <c r="U17" s="26" t="inlineStr">
        <is>
          <t>Available</t>
        </is>
      </c>
      <c r="V17" s="93" t="inlineStr">
        <is>
          <t>A</t>
        </is>
      </c>
      <c r="W17" s="93" t="n"/>
      <c r="X17" s="93" t="n"/>
      <c r="Y17" s="93" t="n"/>
      <c r="Z17" s="93" t="n"/>
    </row>
    <row r="18">
      <c r="A18" s="26" t="n">
        <v>17</v>
      </c>
      <c r="B18" s="26" t="n">
        <v>2.28</v>
      </c>
      <c r="C18" s="26">
        <f>B18*(25/100)</f>
        <v/>
      </c>
      <c r="D18" s="26">
        <f>C18+B18</f>
        <v/>
      </c>
      <c r="E18" s="26" t="n">
        <v>0.57</v>
      </c>
      <c r="F18" s="26" t="n"/>
      <c r="G18" s="26" t="n"/>
      <c r="H18" s="26" t="n"/>
      <c r="I18" s="26" t="n"/>
      <c r="J18" s="26" t="n"/>
      <c r="K18" s="26" t="n"/>
      <c r="L18" s="174">
        <f>E18*Prices!B$2</f>
        <v/>
      </c>
      <c r="M18" s="174">
        <f>F18*Prices!C$2</f>
        <v/>
      </c>
      <c r="N18" s="174">
        <f>G18*Prices!D$2</f>
        <v/>
      </c>
      <c r="O18" s="174">
        <f>H18*Prices!E$2</f>
        <v/>
      </c>
      <c r="P18" s="174">
        <f>I18*2000+J18*10000+K18*1800</f>
        <v/>
      </c>
      <c r="Q18" s="174">
        <f>D18*Prices!A$2</f>
        <v/>
      </c>
      <c r="R18" s="175">
        <f>L18+M18+N18+O18</f>
        <v/>
      </c>
      <c r="S18" s="174">
        <f>R18+Q18+P18</f>
        <v/>
      </c>
      <c r="T18" s="26" t="n">
        <v>17</v>
      </c>
      <c r="U18" s="26" t="inlineStr">
        <is>
          <t>Sold</t>
        </is>
      </c>
      <c r="V18" s="93" t="n"/>
      <c r="W18" s="93" t="n"/>
      <c r="X18" s="93" t="n"/>
      <c r="Y18" s="93" t="n"/>
      <c r="Z18" s="93" t="n"/>
    </row>
    <row r="19">
      <c r="A19" s="26" t="n">
        <v>18</v>
      </c>
      <c r="B19" s="26" t="n">
        <v>2.27</v>
      </c>
      <c r="C19" s="26">
        <f>B19*(25/100)</f>
        <v/>
      </c>
      <c r="D19" s="26">
        <f>C19+B19</f>
        <v/>
      </c>
      <c r="E19" s="26" t="n">
        <v>0.46</v>
      </c>
      <c r="F19" s="26" t="n"/>
      <c r="G19" s="26" t="n"/>
      <c r="H19" s="26" t="n"/>
      <c r="I19" s="26" t="n"/>
      <c r="J19" s="26" t="n"/>
      <c r="K19" s="26" t="n">
        <v>3.21</v>
      </c>
      <c r="L19" s="174">
        <f>E19*Prices!B$2</f>
        <v/>
      </c>
      <c r="M19" s="174">
        <f>F19*Prices!C$2</f>
        <v/>
      </c>
      <c r="N19" s="174">
        <f>G19*Prices!D$2</f>
        <v/>
      </c>
      <c r="O19" s="174">
        <f>H19*Prices!E$2</f>
        <v/>
      </c>
      <c r="P19" s="174">
        <f>I19*2000+J19*10000+K19*1800</f>
        <v/>
      </c>
      <c r="Q19" s="174">
        <f>D19*Prices!A$2</f>
        <v/>
      </c>
      <c r="R19" s="175">
        <f>L19+M19+N19+O19</f>
        <v/>
      </c>
      <c r="S19" s="174">
        <f>R19+Q19+P19</f>
        <v/>
      </c>
      <c r="T19" s="26" t="n">
        <v>18</v>
      </c>
      <c r="U19" s="26" t="inlineStr">
        <is>
          <t>Available</t>
        </is>
      </c>
      <c r="V19" s="93" t="inlineStr">
        <is>
          <t>A</t>
        </is>
      </c>
      <c r="W19" s="93" t="n"/>
      <c r="X19" s="93" t="n"/>
      <c r="Y19" s="93" t="n"/>
      <c r="Z19" s="93" t="n"/>
    </row>
    <row r="20">
      <c r="A20" s="26" t="n">
        <v>19</v>
      </c>
      <c r="B20" s="26" t="n">
        <v>2.38</v>
      </c>
      <c r="C20" s="26">
        <f>B20*(25/100)</f>
        <v/>
      </c>
      <c r="D20" s="26">
        <f>C20+B20</f>
        <v/>
      </c>
      <c r="E20" s="26" t="n">
        <v>0.35</v>
      </c>
      <c r="F20" s="26" t="n"/>
      <c r="G20" s="26" t="n"/>
      <c r="H20" s="26" t="n"/>
      <c r="I20" s="26" t="n"/>
      <c r="J20" s="26" t="n"/>
      <c r="K20" s="26" t="n">
        <v>4.83</v>
      </c>
      <c r="L20" s="174">
        <f>E20*Prices!B$2</f>
        <v/>
      </c>
      <c r="M20" s="174">
        <f>F20*Prices!C$2</f>
        <v/>
      </c>
      <c r="N20" s="174">
        <f>G20*Prices!D$2</f>
        <v/>
      </c>
      <c r="O20" s="174">
        <f>H20*Prices!E$2</f>
        <v/>
      </c>
      <c r="P20" s="174">
        <f>I20*2000+J20*10000+K20*1800</f>
        <v/>
      </c>
      <c r="Q20" s="174">
        <f>D20*Prices!A$2</f>
        <v/>
      </c>
      <c r="R20" s="175">
        <f>L20+M20+N20+O20</f>
        <v/>
      </c>
      <c r="S20" s="174">
        <f>R20+Q20+P20</f>
        <v/>
      </c>
      <c r="T20" s="26" t="n">
        <v>19</v>
      </c>
      <c r="U20" s="26" t="inlineStr">
        <is>
          <t>Available</t>
        </is>
      </c>
      <c r="V20" s="93" t="inlineStr">
        <is>
          <t>A</t>
        </is>
      </c>
      <c r="W20" s="93" t="n"/>
      <c r="X20" s="93" t="n"/>
      <c r="Y20" s="93" t="n"/>
      <c r="Z20" s="93" t="n"/>
    </row>
    <row r="21">
      <c r="A21" s="26" t="n">
        <v>20</v>
      </c>
      <c r="B21" s="26" t="n">
        <v>12.63</v>
      </c>
      <c r="C21" s="26">
        <f>B21*(25/100)</f>
        <v/>
      </c>
      <c r="D21" s="26">
        <f>C21+B21</f>
        <v/>
      </c>
      <c r="E21" s="26" t="n">
        <v>2.55</v>
      </c>
      <c r="F21" s="26" t="n"/>
      <c r="G21" s="26" t="n"/>
      <c r="H21" s="26" t="n"/>
      <c r="I21" s="26" t="n"/>
      <c r="J21" s="26" t="n"/>
      <c r="K21" s="26" t="n"/>
      <c r="L21" s="174">
        <f>E21*Prices!B$2</f>
        <v/>
      </c>
      <c r="M21" s="174">
        <f>F21*Prices!C$2</f>
        <v/>
      </c>
      <c r="N21" s="174">
        <f>G21*Prices!D$2</f>
        <v/>
      </c>
      <c r="O21" s="174">
        <f>H21*Prices!E$2</f>
        <v/>
      </c>
      <c r="P21" s="174">
        <f>I21*2000+J21*10000+K21*1800</f>
        <v/>
      </c>
      <c r="Q21" s="174">
        <f>D21*Prices!A$2</f>
        <v/>
      </c>
      <c r="R21" s="175">
        <f>L21+M21+N21+O21</f>
        <v/>
      </c>
      <c r="S21" s="174">
        <f>R21+Q21+P21</f>
        <v/>
      </c>
      <c r="T21" s="26" t="n">
        <v>20</v>
      </c>
      <c r="U21" s="26" t="inlineStr">
        <is>
          <t>Sold</t>
        </is>
      </c>
      <c r="V21" s="93" t="n"/>
      <c r="W21" s="93" t="n"/>
      <c r="X21" s="93" t="n"/>
      <c r="Y21" s="93" t="n"/>
      <c r="Z21" s="93" t="n"/>
    </row>
    <row r="22">
      <c r="A22" s="26" t="n">
        <v>21</v>
      </c>
      <c r="B22" s="26" t="n">
        <v>14.55</v>
      </c>
      <c r="C22" s="26">
        <f>B22*(25/100)</f>
        <v/>
      </c>
      <c r="D22" s="26">
        <f>C22+B22</f>
        <v/>
      </c>
      <c r="E22" s="26">
        <f>2.6+0.55</f>
        <v/>
      </c>
      <c r="F22" s="26" t="n"/>
      <c r="G22" s="26" t="n"/>
      <c r="H22" s="26" t="n"/>
      <c r="I22" s="26" t="n"/>
      <c r="J22" s="26" t="n"/>
      <c r="K22" s="26" t="n">
        <v>3.85</v>
      </c>
      <c r="L22" s="174">
        <f>E22*Prices!B$2</f>
        <v/>
      </c>
      <c r="M22" s="174">
        <f>F22*Prices!C$2</f>
        <v/>
      </c>
      <c r="N22" s="174">
        <f>G22*Prices!D$2</f>
        <v/>
      </c>
      <c r="O22" s="174">
        <f>H22*Prices!E$2</f>
        <v/>
      </c>
      <c r="P22" s="174">
        <f>I22*2000+J22*10000+K22*500</f>
        <v/>
      </c>
      <c r="Q22" s="174">
        <f>D22*Prices!A$2</f>
        <v/>
      </c>
      <c r="R22" s="175">
        <f>L22+M22+N22+O22</f>
        <v/>
      </c>
      <c r="S22" s="174">
        <f>R22+Q22+P22</f>
        <v/>
      </c>
      <c r="T22" s="26" t="n">
        <v>21</v>
      </c>
      <c r="U22" s="26" t="inlineStr">
        <is>
          <t>Available</t>
        </is>
      </c>
      <c r="V22" s="93" t="inlineStr">
        <is>
          <t>A</t>
        </is>
      </c>
      <c r="W22" s="93" t="n"/>
      <c r="X22" s="93" t="n"/>
      <c r="Y22" s="93" t="n"/>
      <c r="Z22" s="93" t="n"/>
    </row>
    <row r="23">
      <c r="A23" s="26" t="n">
        <v>22</v>
      </c>
      <c r="B23" s="26" t="n">
        <v>6.716</v>
      </c>
      <c r="C23" s="26">
        <f>B23*(25/100)</f>
        <v/>
      </c>
      <c r="D23" s="26">
        <f>C23+B23</f>
        <v/>
      </c>
      <c r="E23" s="26" t="n">
        <v>1.36</v>
      </c>
      <c r="F23" s="26" t="n"/>
      <c r="G23" s="26" t="n"/>
      <c r="H23" s="26" t="n"/>
      <c r="I23" s="26" t="n"/>
      <c r="J23" s="26" t="n"/>
      <c r="K23" s="26" t="n">
        <v>1.56</v>
      </c>
      <c r="L23" s="174">
        <f>E23*Prices!B$2</f>
        <v/>
      </c>
      <c r="M23" s="174">
        <f>F23*Prices!C$2</f>
        <v/>
      </c>
      <c r="N23" s="174">
        <f>G23*Prices!D$2</f>
        <v/>
      </c>
      <c r="O23" s="174">
        <f>H23*Prices!E$2</f>
        <v/>
      </c>
      <c r="P23" s="174">
        <f>I23*2000+J23*10000+K23*1800</f>
        <v/>
      </c>
      <c r="Q23" s="174">
        <f>D23*Prices!A$2</f>
        <v/>
      </c>
      <c r="R23" s="175">
        <f>L23+M23+N23+O23</f>
        <v/>
      </c>
      <c r="S23" s="174">
        <f>R23+Q23+P23</f>
        <v/>
      </c>
      <c r="T23" s="26" t="n">
        <v>22</v>
      </c>
      <c r="U23" s="26" t="inlineStr">
        <is>
          <t>Available</t>
        </is>
      </c>
      <c r="V23" s="93" t="inlineStr">
        <is>
          <t>A</t>
        </is>
      </c>
      <c r="W23" s="93" t="n"/>
      <c r="X23" s="93" t="n"/>
      <c r="Y23" s="93" t="n"/>
      <c r="Z23" s="93" t="n"/>
    </row>
    <row r="24">
      <c r="A24" s="26" t="n">
        <v>23</v>
      </c>
      <c r="B24" s="26" t="n">
        <v>5.14</v>
      </c>
      <c r="C24" s="26">
        <f>B24*(25/100)</f>
        <v/>
      </c>
      <c r="D24" s="26">
        <f>C24+B24</f>
        <v/>
      </c>
      <c r="E24" s="26">
        <f>0.86+0.34</f>
        <v/>
      </c>
      <c r="F24" s="26" t="n"/>
      <c r="G24" s="26" t="n"/>
      <c r="H24" s="26" t="n"/>
      <c r="I24" s="26" t="n"/>
      <c r="J24" s="26" t="n"/>
      <c r="K24" s="26" t="n"/>
      <c r="L24" s="174">
        <f>E24*Prices!B$2</f>
        <v/>
      </c>
      <c r="M24" s="174">
        <f>F24*Prices!C$2</f>
        <v/>
      </c>
      <c r="N24" s="174">
        <f>G24*Prices!D$2</f>
        <v/>
      </c>
      <c r="O24" s="174">
        <f>H24*Prices!E$2</f>
        <v/>
      </c>
      <c r="P24" s="174">
        <f>I24*2000+J24*10000+K24*1800</f>
        <v/>
      </c>
      <c r="Q24" s="174">
        <f>D24*Prices!A$2</f>
        <v/>
      </c>
      <c r="R24" s="175">
        <f>L24+M24+N24+O24</f>
        <v/>
      </c>
      <c r="S24" s="174">
        <f>R24+Q24+P24</f>
        <v/>
      </c>
      <c r="T24" s="26" t="n">
        <v>23</v>
      </c>
      <c r="U24" s="26" t="inlineStr">
        <is>
          <t>Available</t>
        </is>
      </c>
      <c r="V24" s="93" t="inlineStr">
        <is>
          <t>A</t>
        </is>
      </c>
      <c r="W24" s="93" t="n"/>
      <c r="X24" s="93" t="n"/>
      <c r="Y24" s="93" t="n"/>
      <c r="Z24" s="93" t="n"/>
    </row>
    <row r="25">
      <c r="A25" s="26" t="n">
        <v>24</v>
      </c>
      <c r="B25" s="26" t="n">
        <v>3.03</v>
      </c>
      <c r="C25" s="26">
        <f>B25*(25/100)</f>
        <v/>
      </c>
      <c r="D25" s="26">
        <f>C25+B25</f>
        <v/>
      </c>
      <c r="E25" s="26" t="n">
        <v>0.53</v>
      </c>
      <c r="F25" s="26" t="n"/>
      <c r="G25" s="26" t="n"/>
      <c r="H25" s="26" t="n"/>
      <c r="I25" s="26" t="n"/>
      <c r="J25" s="26" t="n"/>
      <c r="K25" s="26" t="n"/>
      <c r="L25" s="174">
        <f>E25*Prices!B$2</f>
        <v/>
      </c>
      <c r="M25" s="174">
        <f>F25*Prices!C$2</f>
        <v/>
      </c>
      <c r="N25" s="174">
        <f>G25*Prices!D$2</f>
        <v/>
      </c>
      <c r="O25" s="174">
        <f>H25*Prices!E$2</f>
        <v/>
      </c>
      <c r="P25" s="174">
        <f>I25*2000+J25*10000+K25*1800</f>
        <v/>
      </c>
      <c r="Q25" s="174">
        <f>D25*Prices!A$2</f>
        <v/>
      </c>
      <c r="R25" s="175">
        <f>L25+M25+N25+O25</f>
        <v/>
      </c>
      <c r="S25" s="174">
        <f>R25+Q25+P25</f>
        <v/>
      </c>
      <c r="T25" s="26" t="n">
        <v>24</v>
      </c>
      <c r="U25" s="26" t="inlineStr">
        <is>
          <t>Sold</t>
        </is>
      </c>
      <c r="V25" s="93" t="n"/>
      <c r="W25" s="93" t="n"/>
      <c r="X25" s="93" t="n"/>
      <c r="Y25" s="93" t="n"/>
      <c r="Z25" s="93" t="n"/>
    </row>
    <row r="26">
      <c r="A26" s="26" t="n">
        <v>25</v>
      </c>
      <c r="B26" s="26" t="n">
        <v>1.23</v>
      </c>
      <c r="C26" s="26">
        <f>B26*(25/100)</f>
        <v/>
      </c>
      <c r="D26" s="26">
        <f>C26+B26</f>
        <v/>
      </c>
      <c r="E26" s="26" t="n">
        <v>0.2</v>
      </c>
      <c r="F26" s="26" t="n"/>
      <c r="G26" s="26" t="n"/>
      <c r="H26" s="26" t="n"/>
      <c r="I26" s="26" t="n"/>
      <c r="J26" s="26" t="n"/>
      <c r="K26" s="26" t="n"/>
      <c r="L26" s="174">
        <f>E26*Prices!B$2</f>
        <v/>
      </c>
      <c r="M26" s="174">
        <f>F26*Prices!C$2</f>
        <v/>
      </c>
      <c r="N26" s="174">
        <f>G26*Prices!D$2</f>
        <v/>
      </c>
      <c r="O26" s="174">
        <f>H26*Prices!E$2</f>
        <v/>
      </c>
      <c r="P26" s="174">
        <f>I26*2000+J26*10000+K26*1800</f>
        <v/>
      </c>
      <c r="Q26" s="174">
        <f>D26*Prices!A$2</f>
        <v/>
      </c>
      <c r="R26" s="175">
        <f>L26+M26+N26+O26</f>
        <v/>
      </c>
      <c r="S26" s="174">
        <f>R26+Q26+P26</f>
        <v/>
      </c>
      <c r="T26" s="26" t="n">
        <v>25</v>
      </c>
      <c r="U26" s="26" t="inlineStr">
        <is>
          <t>Sold</t>
        </is>
      </c>
      <c r="V26" s="93" t="n"/>
      <c r="W26" s="93" t="n"/>
      <c r="X26" s="93" t="n"/>
      <c r="Y26" s="93" t="n"/>
      <c r="Z26" s="93" t="n"/>
    </row>
    <row r="27">
      <c r="A27" s="26" t="n">
        <v>26</v>
      </c>
      <c r="B27" s="26" t="n">
        <v>2.03</v>
      </c>
      <c r="C27" s="26">
        <f>B27*(25/100)</f>
        <v/>
      </c>
      <c r="D27" s="26">
        <f>C27+B27</f>
        <v/>
      </c>
      <c r="E27" s="26" t="n">
        <v>0.83</v>
      </c>
      <c r="F27" s="26" t="n"/>
      <c r="G27" s="26" t="n"/>
      <c r="H27" s="26" t="n"/>
      <c r="I27" s="26" t="n"/>
      <c r="J27" s="26" t="n"/>
      <c r="K27" s="26" t="n"/>
      <c r="L27" s="174">
        <f>E27*Prices!B$2</f>
        <v/>
      </c>
      <c r="M27" s="174">
        <f>F27*Prices!C$2</f>
        <v/>
      </c>
      <c r="N27" s="174">
        <f>G27*Prices!D$2</f>
        <v/>
      </c>
      <c r="O27" s="174">
        <f>H27*Prices!E$2</f>
        <v/>
      </c>
      <c r="P27" s="174">
        <f>I27*2000+J27*10000+K27*1800</f>
        <v/>
      </c>
      <c r="Q27" s="174">
        <f>D27*Prices!A$2</f>
        <v/>
      </c>
      <c r="R27" s="175">
        <f>L27+M27+N27+O27</f>
        <v/>
      </c>
      <c r="S27" s="174">
        <f>R27+Q27+P27</f>
        <v/>
      </c>
      <c r="T27" s="26" t="n">
        <v>26</v>
      </c>
      <c r="U27" s="26" t="inlineStr">
        <is>
          <t>Available</t>
        </is>
      </c>
      <c r="V27" s="93" t="inlineStr">
        <is>
          <t>A</t>
        </is>
      </c>
      <c r="W27" s="93" t="n"/>
      <c r="X27" s="93" t="n"/>
      <c r="Y27" s="93" t="n"/>
      <c r="Z27" s="93" t="n"/>
    </row>
    <row r="28">
      <c r="A28" s="26" t="n">
        <v>27</v>
      </c>
      <c r="B28" s="26" t="n">
        <v>2.64</v>
      </c>
      <c r="C28" s="26">
        <f>B28*(25/100)</f>
        <v/>
      </c>
      <c r="D28" s="26">
        <f>C28+B28</f>
        <v/>
      </c>
      <c r="E28" s="26" t="n">
        <v>0.28</v>
      </c>
      <c r="F28" s="26" t="n"/>
      <c r="G28" s="26" t="n"/>
      <c r="H28" s="26" t="n"/>
      <c r="I28" s="26" t="n"/>
      <c r="J28" s="26" t="n"/>
      <c r="K28" s="26" t="n"/>
      <c r="L28" s="174">
        <f>E28*Prices!B$2</f>
        <v/>
      </c>
      <c r="M28" s="174">
        <f>F28*Prices!C$2</f>
        <v/>
      </c>
      <c r="N28" s="174">
        <f>G28*Prices!D$2</f>
        <v/>
      </c>
      <c r="O28" s="174">
        <f>H28*Prices!E$2</f>
        <v/>
      </c>
      <c r="P28" s="174">
        <f>I28*2000+J28*10000+K28*1800</f>
        <v/>
      </c>
      <c r="Q28" s="174">
        <f>D28*Prices!A$2</f>
        <v/>
      </c>
      <c r="R28" s="175">
        <f>L28+M28+N28+O28</f>
        <v/>
      </c>
      <c r="S28" s="174">
        <f>R28+Q28+P28</f>
        <v/>
      </c>
      <c r="T28" s="26" t="n">
        <v>27</v>
      </c>
      <c r="U28" s="26" t="inlineStr">
        <is>
          <t>Sold</t>
        </is>
      </c>
      <c r="V28" s="93" t="n"/>
      <c r="W28" s="93" t="n"/>
      <c r="X28" s="93" t="n"/>
      <c r="Y28" s="93" t="n"/>
      <c r="Z28" s="93" t="n"/>
    </row>
    <row r="29">
      <c r="A29" s="26" t="n">
        <v>28</v>
      </c>
      <c r="B29" s="26" t="n">
        <v>2.194</v>
      </c>
      <c r="C29" s="26">
        <f>B29*(25/100)</f>
        <v/>
      </c>
      <c r="D29" s="26">
        <f>C29+B29</f>
        <v/>
      </c>
      <c r="E29" s="26" t="n">
        <v>0.5600000000000001</v>
      </c>
      <c r="F29" s="26" t="n"/>
      <c r="G29" s="26" t="n"/>
      <c r="H29" s="26" t="n"/>
      <c r="I29" s="26" t="n">
        <v>0.8</v>
      </c>
      <c r="J29" s="26" t="n"/>
      <c r="K29" s="26" t="n"/>
      <c r="L29" s="174">
        <f>E29*Prices!B$2</f>
        <v/>
      </c>
      <c r="M29" s="174">
        <f>F29*Prices!C$2</f>
        <v/>
      </c>
      <c r="N29" s="174">
        <f>G29*Prices!D$2</f>
        <v/>
      </c>
      <c r="O29" s="174">
        <f>H29*Prices!E$2</f>
        <v/>
      </c>
      <c r="P29" s="174">
        <f>I29*2000+J29*10000+K29*1800</f>
        <v/>
      </c>
      <c r="Q29" s="174">
        <f>D29*Prices!A$2</f>
        <v/>
      </c>
      <c r="R29" s="174">
        <f>L29+M29+N29+O29</f>
        <v/>
      </c>
      <c r="S29" s="174">
        <f>R29+Q29+P29</f>
        <v/>
      </c>
      <c r="T29" s="26" t="n">
        <v>28</v>
      </c>
      <c r="U29" s="26" t="inlineStr">
        <is>
          <t>Available</t>
        </is>
      </c>
      <c r="V29" s="93" t="inlineStr">
        <is>
          <t>A</t>
        </is>
      </c>
      <c r="W29" s="93" t="n"/>
      <c r="X29" s="93" t="n"/>
      <c r="Y29" s="93" t="n"/>
      <c r="Z29" s="93" t="n"/>
    </row>
    <row r="30">
      <c r="A30" s="26" t="n">
        <v>29</v>
      </c>
      <c r="B30" s="26" t="n">
        <v>6.23</v>
      </c>
      <c r="C30" s="26">
        <f>B30*(25/100)</f>
        <v/>
      </c>
      <c r="D30" s="26">
        <f>C30+B30</f>
        <v/>
      </c>
      <c r="E30" s="26" t="n">
        <v>1</v>
      </c>
      <c r="F30" s="26" t="n"/>
      <c r="G30" s="26" t="n"/>
      <c r="H30" s="26" t="n"/>
      <c r="I30" s="26" t="n"/>
      <c r="J30" s="26" t="n"/>
      <c r="K30" s="26" t="n">
        <v>8.25</v>
      </c>
      <c r="L30" s="174">
        <f>E30*Prices!B$2</f>
        <v/>
      </c>
      <c r="M30" s="174">
        <f>F30*Prices!C$2</f>
        <v/>
      </c>
      <c r="N30" s="174">
        <f>G30*Prices!D$2</f>
        <v/>
      </c>
      <c r="O30" s="174">
        <f>H30*Prices!E$2</f>
        <v/>
      </c>
      <c r="P30" s="174">
        <f>I30*2000+J30*10000+K30*1800</f>
        <v/>
      </c>
      <c r="Q30" s="174">
        <f>D30*Prices!A$2</f>
        <v/>
      </c>
      <c r="R30" s="174">
        <f>L30+M30+N30+O30</f>
        <v/>
      </c>
      <c r="S30" s="174">
        <f>R30+Q30+P30</f>
        <v/>
      </c>
      <c r="T30" s="26" t="n">
        <v>29</v>
      </c>
      <c r="U30" s="26" t="inlineStr">
        <is>
          <t>Sold</t>
        </is>
      </c>
      <c r="V30" s="93" t="n"/>
      <c r="W30" s="93" t="n"/>
      <c r="X30" s="93" t="n"/>
      <c r="Y30" s="93" t="n"/>
      <c r="Z30" s="93" t="n"/>
    </row>
    <row r="31">
      <c r="A31" s="26" t="n">
        <v>30</v>
      </c>
      <c r="B31" s="26" t="n">
        <v>10.906</v>
      </c>
      <c r="C31" s="26">
        <f>B31*(25/100)</f>
        <v/>
      </c>
      <c r="D31" s="26">
        <f>C31+B31</f>
        <v/>
      </c>
      <c r="E31" s="26" t="n">
        <v>2.63</v>
      </c>
      <c r="F31" s="26" t="n"/>
      <c r="G31" s="26" t="n"/>
      <c r="H31" s="26" t="n"/>
      <c r="I31" s="26" t="n"/>
      <c r="J31" s="26" t="n"/>
      <c r="K31" s="26" t="n">
        <v>20.29</v>
      </c>
      <c r="L31" s="174">
        <f>E31*Prices!B$2</f>
        <v/>
      </c>
      <c r="M31" s="174">
        <f>F31*Prices!C$2</f>
        <v/>
      </c>
      <c r="N31" s="174">
        <f>G31*Prices!D$2</f>
        <v/>
      </c>
      <c r="O31" s="174">
        <f>H31*Prices!E$2</f>
        <v/>
      </c>
      <c r="P31" s="174">
        <f>I31*2000+J31*10000+K31*1800</f>
        <v/>
      </c>
      <c r="Q31" s="174">
        <f>D31*Prices!A$2</f>
        <v/>
      </c>
      <c r="R31" s="174">
        <f>L31+M31+N31+O31</f>
        <v/>
      </c>
      <c r="S31" s="174">
        <f>R31+Q31+P31</f>
        <v/>
      </c>
      <c r="T31" s="26" t="n">
        <v>30</v>
      </c>
      <c r="U31" s="26" t="inlineStr">
        <is>
          <t>Sold</t>
        </is>
      </c>
      <c r="V31" s="93" t="n"/>
      <c r="W31" s="93" t="n"/>
      <c r="X31" s="93" t="n"/>
      <c r="Y31" s="93" t="n"/>
      <c r="Z31" s="93" t="n"/>
    </row>
    <row r="32">
      <c r="A32" s="26" t="n">
        <v>31</v>
      </c>
      <c r="B32" s="26" t="n">
        <v>10.96</v>
      </c>
      <c r="C32" s="26">
        <f>B32*(25/100)</f>
        <v/>
      </c>
      <c r="D32" s="26">
        <f>C32+B32</f>
        <v/>
      </c>
      <c r="E32" s="26" t="n">
        <v>1</v>
      </c>
      <c r="F32" s="26" t="n"/>
      <c r="G32" s="26" t="n"/>
      <c r="H32" s="26" t="n"/>
      <c r="I32" s="26" t="n"/>
      <c r="J32" s="26" t="n"/>
      <c r="K32" s="26" t="n"/>
      <c r="L32" s="174">
        <f>E32*Prices!B$2</f>
        <v/>
      </c>
      <c r="M32" s="174">
        <f>F32*Prices!C$2</f>
        <v/>
      </c>
      <c r="N32" s="174">
        <f>G32*Prices!D$2</f>
        <v/>
      </c>
      <c r="O32" s="174">
        <f>H32*Prices!E$2</f>
        <v/>
      </c>
      <c r="P32" s="174">
        <f>I32*2000+J32*10000+K32*1800</f>
        <v/>
      </c>
      <c r="Q32" s="174">
        <f>D32*Prices!A$2</f>
        <v/>
      </c>
      <c r="R32" s="174">
        <f>L32+M32+N32+O32</f>
        <v/>
      </c>
      <c r="S32" s="174">
        <f>R32+Q32+P32</f>
        <v/>
      </c>
      <c r="T32" s="26" t="n">
        <v>31</v>
      </c>
      <c r="U32" s="26" t="inlineStr">
        <is>
          <t>Sold</t>
        </is>
      </c>
      <c r="V32" s="93" t="n"/>
      <c r="W32" s="93" t="n"/>
      <c r="X32" s="93" t="n"/>
      <c r="Y32" s="93" t="n"/>
      <c r="Z32" s="93" t="n"/>
    </row>
    <row r="33">
      <c r="A33" s="26" t="n">
        <v>32</v>
      </c>
      <c r="B33" s="26" t="n">
        <v>5.49</v>
      </c>
      <c r="C33" s="26">
        <f>B33*(25/100)</f>
        <v/>
      </c>
      <c r="D33" s="26">
        <f>C33+B33</f>
        <v/>
      </c>
      <c r="E33" s="26" t="n">
        <v>1.85</v>
      </c>
      <c r="F33" s="26" t="n"/>
      <c r="G33" s="26" t="n"/>
      <c r="H33" s="26" t="n"/>
      <c r="I33" s="26" t="n"/>
      <c r="J33" s="26" t="n"/>
      <c r="K33" s="26" t="n">
        <v>4</v>
      </c>
      <c r="L33" s="174">
        <f>E33*Prices!B$2</f>
        <v/>
      </c>
      <c r="M33" s="174">
        <f>F33*Prices!C$2</f>
        <v/>
      </c>
      <c r="N33" s="174">
        <f>G33*Prices!D$2</f>
        <v/>
      </c>
      <c r="O33" s="174">
        <f>H33*Prices!E$2</f>
        <v/>
      </c>
      <c r="P33" s="174">
        <f>I33*2000+J33*10000+K33*1800</f>
        <v/>
      </c>
      <c r="Q33" s="174">
        <f>D33*Prices!A$2</f>
        <v/>
      </c>
      <c r="R33" s="174">
        <f>L33+M33+N33+O33</f>
        <v/>
      </c>
      <c r="S33" s="174">
        <f>R33+Q33+P33</f>
        <v/>
      </c>
      <c r="T33" s="26" t="n">
        <v>32</v>
      </c>
      <c r="U33" s="26" t="inlineStr">
        <is>
          <t>Available</t>
        </is>
      </c>
      <c r="V33" s="93" t="inlineStr">
        <is>
          <t>A</t>
        </is>
      </c>
      <c r="W33" s="93" t="n"/>
      <c r="X33" s="93" t="n"/>
      <c r="Y33" s="93" t="n"/>
      <c r="Z33" s="93" t="n"/>
    </row>
    <row r="34">
      <c r="A34" s="26" t="n">
        <v>33</v>
      </c>
      <c r="B34" s="26" t="n">
        <v>11.73</v>
      </c>
      <c r="C34" s="26">
        <f>B34*(25/100)</f>
        <v/>
      </c>
      <c r="D34" s="26">
        <f>C34+B34</f>
        <v/>
      </c>
      <c r="E34" s="26" t="n">
        <v>1.54</v>
      </c>
      <c r="F34" s="26" t="n"/>
      <c r="G34" s="26" t="n"/>
      <c r="H34" s="26" t="n"/>
      <c r="I34" s="26" t="n"/>
      <c r="J34" s="26" t="n"/>
      <c r="K34" s="26" t="n"/>
      <c r="L34" s="174">
        <f>E34*Prices!B$2</f>
        <v/>
      </c>
      <c r="M34" s="174">
        <f>F34*Prices!C$2</f>
        <v/>
      </c>
      <c r="N34" s="174">
        <f>G34*Prices!D$2</f>
        <v/>
      </c>
      <c r="O34" s="174">
        <f>H34*Prices!E$2</f>
        <v/>
      </c>
      <c r="P34" s="174">
        <f>I34*2000+J34*10000+K34*1800</f>
        <v/>
      </c>
      <c r="Q34" s="174">
        <f>D34*Prices!A$2</f>
        <v/>
      </c>
      <c r="R34" s="174">
        <f>L34+M34+N34+O34</f>
        <v/>
      </c>
      <c r="S34" s="174">
        <f>R34+Q34+P34</f>
        <v/>
      </c>
      <c r="T34" s="26" t="n">
        <v>33</v>
      </c>
      <c r="U34" s="26" t="inlineStr">
        <is>
          <t>Available</t>
        </is>
      </c>
      <c r="V34" s="93" t="inlineStr">
        <is>
          <t>A</t>
        </is>
      </c>
      <c r="W34" s="93" t="n"/>
      <c r="X34" s="93" t="n"/>
      <c r="Y34" s="93" t="n"/>
      <c r="Z34" s="93" t="n"/>
    </row>
    <row r="35">
      <c r="A35" s="26" t="n">
        <v>34</v>
      </c>
      <c r="B35" s="26" t="n">
        <v>17.217</v>
      </c>
      <c r="C35" s="26">
        <f>B35*(25/100)</f>
        <v/>
      </c>
      <c r="D35" s="26">
        <f>C35+B35</f>
        <v/>
      </c>
      <c r="E35" s="26" t="n">
        <v>3.54</v>
      </c>
      <c r="F35" s="26" t="n"/>
      <c r="G35" s="26" t="n"/>
      <c r="H35" s="26" t="n"/>
      <c r="I35" s="26" t="n"/>
      <c r="J35" s="26" t="n"/>
      <c r="K35" s="26" t="n">
        <v>11.27</v>
      </c>
      <c r="L35" s="174">
        <f>E35*Prices!B$2</f>
        <v/>
      </c>
      <c r="M35" s="174">
        <f>F35*Prices!C$2</f>
        <v/>
      </c>
      <c r="N35" s="174">
        <f>G35*Prices!D$2</f>
        <v/>
      </c>
      <c r="O35" s="174">
        <f>H35*Prices!E$2</f>
        <v/>
      </c>
      <c r="P35" s="174">
        <f>I35*2000+J35*10000+K35*500</f>
        <v/>
      </c>
      <c r="Q35" s="174">
        <f>D35*Prices!A$2</f>
        <v/>
      </c>
      <c r="R35" s="174">
        <f>L35+M35+N35+O35</f>
        <v/>
      </c>
      <c r="S35" s="174">
        <f>R35+Q35+P35</f>
        <v/>
      </c>
      <c r="T35" s="26" t="n">
        <v>34</v>
      </c>
      <c r="U35" s="26" t="inlineStr">
        <is>
          <t>Available</t>
        </is>
      </c>
      <c r="V35" s="93" t="inlineStr">
        <is>
          <t>A</t>
        </is>
      </c>
      <c r="W35" s="93" t="n"/>
      <c r="X35" s="93" t="n"/>
      <c r="Y35" s="93" t="n"/>
      <c r="Z35" s="93" t="n"/>
    </row>
    <row r="36">
      <c r="A36" s="26" t="n">
        <v>35</v>
      </c>
      <c r="B36" s="26" t="n">
        <v>3.464</v>
      </c>
      <c r="C36" s="26">
        <f>B36*(25/100)</f>
        <v/>
      </c>
      <c r="D36" s="26">
        <f>C36+B36</f>
        <v/>
      </c>
      <c r="E36" s="26" t="n">
        <v>1.23</v>
      </c>
      <c r="F36" s="26" t="n"/>
      <c r="G36" s="26" t="n"/>
      <c r="H36" s="26" t="n"/>
      <c r="I36" s="26" t="n"/>
      <c r="J36" s="26" t="n"/>
      <c r="K36" s="26" t="n">
        <v>1.4</v>
      </c>
      <c r="L36" s="174">
        <f>E36*Prices!B$2</f>
        <v/>
      </c>
      <c r="M36" s="174">
        <f>F36*Prices!C$2</f>
        <v/>
      </c>
      <c r="N36" s="174">
        <f>G36*Prices!D$2</f>
        <v/>
      </c>
      <c r="O36" s="174">
        <f>H36*Prices!E$2</f>
        <v/>
      </c>
      <c r="P36" s="174">
        <f>I36*2000+J36*10000+K36*1800</f>
        <v/>
      </c>
      <c r="Q36" s="174">
        <f>D36*Prices!A$2</f>
        <v/>
      </c>
      <c r="R36" s="174">
        <f>L36+M36+N36+O36</f>
        <v/>
      </c>
      <c r="S36" s="174">
        <f>R36+Q36+P36</f>
        <v/>
      </c>
      <c r="T36" s="26" t="n">
        <v>35</v>
      </c>
      <c r="U36" s="26" t="inlineStr">
        <is>
          <t>Available</t>
        </is>
      </c>
      <c r="V36" s="93" t="inlineStr">
        <is>
          <t>A</t>
        </is>
      </c>
      <c r="W36" s="93" t="n"/>
      <c r="X36" s="93" t="n"/>
      <c r="Y36" s="93" t="n"/>
      <c r="Z36" s="93" t="n"/>
    </row>
    <row r="37">
      <c r="A37" s="26" t="n">
        <v>36</v>
      </c>
      <c r="B37" s="26" t="n">
        <v>5.46</v>
      </c>
      <c r="C37" s="26">
        <f>B37*(25/100)</f>
        <v/>
      </c>
      <c r="D37" s="26">
        <f>C37+B37</f>
        <v/>
      </c>
      <c r="E37" s="26" t="n">
        <v>1.57</v>
      </c>
      <c r="F37" s="26" t="n"/>
      <c r="G37" s="26" t="n"/>
      <c r="H37" s="26" t="n"/>
      <c r="I37" s="26" t="n"/>
      <c r="J37" s="26" t="n"/>
      <c r="K37" s="26" t="n">
        <v>2.38</v>
      </c>
      <c r="L37" s="174">
        <f>E37*Prices!B$2</f>
        <v/>
      </c>
      <c r="M37" s="174">
        <f>F37*Prices!C$2</f>
        <v/>
      </c>
      <c r="N37" s="174">
        <f>G37*Prices!D$2</f>
        <v/>
      </c>
      <c r="O37" s="174">
        <f>H37*Prices!E$2</f>
        <v/>
      </c>
      <c r="P37" s="174">
        <f>I37*2000+J37*10000+K37*500</f>
        <v/>
      </c>
      <c r="Q37" s="174">
        <f>D37*Prices!A$2</f>
        <v/>
      </c>
      <c r="R37" s="174">
        <f>L37+M37+N37+O37</f>
        <v/>
      </c>
      <c r="S37" s="174">
        <f>R37+Q37+P37</f>
        <v/>
      </c>
      <c r="T37" s="26" t="n">
        <v>36</v>
      </c>
      <c r="U37" s="26" t="inlineStr">
        <is>
          <t>Available</t>
        </is>
      </c>
      <c r="V37" s="93" t="inlineStr">
        <is>
          <t>A</t>
        </is>
      </c>
      <c r="W37" s="93" t="n"/>
      <c r="X37" s="93" t="n"/>
      <c r="Y37" s="93" t="n"/>
      <c r="Z37" s="93" t="n"/>
    </row>
    <row r="38">
      <c r="A38" s="26" t="n">
        <v>37</v>
      </c>
      <c r="B38" s="26" t="n">
        <v>3.198</v>
      </c>
      <c r="C38" s="26">
        <f>B38*(25/100)</f>
        <v/>
      </c>
      <c r="D38" s="26">
        <f>C38+B38</f>
        <v/>
      </c>
      <c r="E38" s="26" t="n">
        <v>0.58</v>
      </c>
      <c r="F38" s="26" t="n"/>
      <c r="G38" s="26" t="n"/>
      <c r="H38" s="26" t="n"/>
      <c r="I38" s="26" t="n"/>
      <c r="J38" s="26" t="n"/>
      <c r="K38" s="26" t="n">
        <v>3.23</v>
      </c>
      <c r="L38" s="174">
        <f>E38*Prices!B$2</f>
        <v/>
      </c>
      <c r="M38" s="174">
        <f>F38*Prices!C$2</f>
        <v/>
      </c>
      <c r="N38" s="174">
        <f>G38*Prices!D$2</f>
        <v/>
      </c>
      <c r="O38" s="174">
        <f>H38*Prices!E$2</f>
        <v/>
      </c>
      <c r="P38" s="174">
        <f>I38*2000+J38*10000+K38*500</f>
        <v/>
      </c>
      <c r="Q38" s="174">
        <f>D38*Prices!A$2</f>
        <v/>
      </c>
      <c r="R38" s="174">
        <f>L38+M38+N38+O38</f>
        <v/>
      </c>
      <c r="S38" s="174">
        <f>R38+Q38+P38</f>
        <v/>
      </c>
      <c r="T38" s="26" t="n">
        <v>37</v>
      </c>
      <c r="U38" s="26" t="inlineStr">
        <is>
          <t>Available</t>
        </is>
      </c>
      <c r="V38" s="93" t="inlineStr">
        <is>
          <t>A</t>
        </is>
      </c>
      <c r="W38" s="93" t="n"/>
      <c r="X38" s="93" t="n"/>
      <c r="Y38" s="93" t="n"/>
      <c r="Z38" s="93" t="n"/>
    </row>
    <row r="39">
      <c r="A39" s="196" t="n">
        <v>38</v>
      </c>
      <c r="B39" s="196" t="n">
        <v>7.4</v>
      </c>
      <c r="C39" s="196">
        <f>B39*(25/100)</f>
        <v/>
      </c>
      <c r="D39" s="196">
        <f>C39+B39</f>
        <v/>
      </c>
      <c r="E39" s="196">
        <f>1.52+0.39</f>
        <v/>
      </c>
      <c r="F39" s="196" t="n"/>
      <c r="G39" s="196" t="n"/>
      <c r="H39" s="196" t="n"/>
      <c r="I39" s="196" t="n"/>
      <c r="J39" s="196" t="n"/>
      <c r="K39" s="196" t="n">
        <v>1.84</v>
      </c>
      <c r="L39" s="197">
        <f>E39*Prices!B$2</f>
        <v/>
      </c>
      <c r="M39" s="197">
        <f>F39*Prices!C$2</f>
        <v/>
      </c>
      <c r="N39" s="197">
        <f>G39*Prices!D$2</f>
        <v/>
      </c>
      <c r="O39" s="197">
        <f>H39*Prices!E$2</f>
        <v/>
      </c>
      <c r="P39" s="197">
        <f>I39*2000+J39*10000+K39*1800</f>
        <v/>
      </c>
      <c r="Q39" s="197">
        <f>D39*Prices!A$2</f>
        <v/>
      </c>
      <c r="R39" s="197">
        <f>L39+M39+N39+O39</f>
        <v/>
      </c>
      <c r="S39" s="197">
        <f>R39+Q39+P39</f>
        <v/>
      </c>
      <c r="T39" s="196" t="n">
        <v>38</v>
      </c>
      <c r="U39" s="196" t="inlineStr">
        <is>
          <t>Return</t>
        </is>
      </c>
      <c r="V39" s="192" t="n"/>
      <c r="W39" s="192" t="n"/>
      <c r="X39" s="192" t="n"/>
      <c r="Y39" s="192" t="n"/>
      <c r="Z39" s="192" t="n"/>
    </row>
    <row r="40">
      <c r="A40" s="196" t="n">
        <v>39</v>
      </c>
      <c r="B40" s="196" t="n">
        <v>3.45</v>
      </c>
      <c r="C40" s="196">
        <f>B40*(25/100)</f>
        <v/>
      </c>
      <c r="D40" s="196">
        <f>C40+B40</f>
        <v/>
      </c>
      <c r="E40" s="196" t="n">
        <v>0.93</v>
      </c>
      <c r="F40" s="196" t="n"/>
      <c r="G40" s="196" t="n"/>
      <c r="H40" s="196" t="n"/>
      <c r="I40" s="196" t="n"/>
      <c r="J40" s="196" t="n"/>
      <c r="K40" s="196" t="n"/>
      <c r="L40" s="197">
        <f>E40*Prices!B$2</f>
        <v/>
      </c>
      <c r="M40" s="197">
        <f>F40*Prices!C$2</f>
        <v/>
      </c>
      <c r="N40" s="197">
        <f>G40*Prices!D$2</f>
        <v/>
      </c>
      <c r="O40" s="197">
        <f>H40*Prices!E$2</f>
        <v/>
      </c>
      <c r="P40" s="197">
        <f>I40*2000+J40*10000+K40*1800</f>
        <v/>
      </c>
      <c r="Q40" s="197">
        <f>D40*Prices!A$2</f>
        <v/>
      </c>
      <c r="R40" s="197">
        <f>L40+M40+N40+O40</f>
        <v/>
      </c>
      <c r="S40" s="197">
        <f>R40+Q40+P40</f>
        <v/>
      </c>
      <c r="T40" s="196" t="n">
        <v>39</v>
      </c>
      <c r="U40" s="196" t="inlineStr">
        <is>
          <t>Return</t>
        </is>
      </c>
      <c r="V40" s="192" t="n"/>
      <c r="W40" s="192" t="n"/>
      <c r="X40" s="192" t="n"/>
      <c r="Y40" s="192" t="n"/>
      <c r="Z40" s="192" t="n"/>
    </row>
    <row r="41">
      <c r="A41" s="26" t="n">
        <v>40</v>
      </c>
      <c r="B41" s="26" t="n">
        <v>2.81</v>
      </c>
      <c r="C41" s="26">
        <f>B41*(25/100)</f>
        <v/>
      </c>
      <c r="D41" s="26">
        <f>C41+B41</f>
        <v/>
      </c>
      <c r="E41" s="26" t="n">
        <v>0.18</v>
      </c>
      <c r="F41" s="26" t="n"/>
      <c r="G41" s="26" t="n"/>
      <c r="H41" s="26" t="n"/>
      <c r="I41" s="26" t="n"/>
      <c r="J41" s="26" t="n"/>
      <c r="K41" s="26" t="n">
        <v>1.82</v>
      </c>
      <c r="L41" s="174">
        <f>E41*Prices!B$2</f>
        <v/>
      </c>
      <c r="M41" s="174">
        <f>F41*Prices!C$2</f>
        <v/>
      </c>
      <c r="N41" s="174">
        <f>G41*Prices!D$2</f>
        <v/>
      </c>
      <c r="O41" s="174">
        <f>H41*Prices!E$2</f>
        <v/>
      </c>
      <c r="P41" s="174">
        <f>I41*2000+J41*10000+K41*500</f>
        <v/>
      </c>
      <c r="Q41" s="174">
        <f>D41*Prices!A$2</f>
        <v/>
      </c>
      <c r="R41" s="174">
        <f>L41+M41+N41+O41</f>
        <v/>
      </c>
      <c r="S41" s="174">
        <f>R41+Q41+P41</f>
        <v/>
      </c>
      <c r="T41" s="26" t="n">
        <v>40</v>
      </c>
      <c r="U41" s="26" t="inlineStr">
        <is>
          <t>Available</t>
        </is>
      </c>
      <c r="V41" s="93" t="inlineStr">
        <is>
          <t>A</t>
        </is>
      </c>
      <c r="W41" s="93" t="n"/>
      <c r="X41" s="93" t="n"/>
      <c r="Y41" s="93" t="n"/>
      <c r="Z41" s="93" t="n"/>
    </row>
    <row r="42">
      <c r="A42" s="26" t="n">
        <v>41</v>
      </c>
      <c r="B42" s="26" t="n">
        <v>2.654</v>
      </c>
      <c r="C42" s="26">
        <f>B42*(25/100)</f>
        <v/>
      </c>
      <c r="D42" s="26">
        <f>C42+B42</f>
        <v/>
      </c>
      <c r="E42" s="26" t="n">
        <v>0.98</v>
      </c>
      <c r="F42" s="26" t="n"/>
      <c r="G42" s="26" t="n"/>
      <c r="H42" s="26" t="n"/>
      <c r="I42" s="26" t="n"/>
      <c r="J42" s="26" t="n"/>
      <c r="K42" s="26" t="n"/>
      <c r="L42" s="174">
        <f>E42*Prices!B$2</f>
        <v/>
      </c>
      <c r="M42" s="174">
        <f>F42*Prices!C$2</f>
        <v/>
      </c>
      <c r="N42" s="174">
        <f>G42*Prices!D$2</f>
        <v/>
      </c>
      <c r="O42" s="174">
        <f>H42*Prices!E$2</f>
        <v/>
      </c>
      <c r="P42" s="174">
        <f>I42*2000+J42*10000+K42*1800</f>
        <v/>
      </c>
      <c r="Q42" s="174">
        <f>D42*Prices!A$2</f>
        <v/>
      </c>
      <c r="R42" s="174">
        <f>L42+M42+N42+O42</f>
        <v/>
      </c>
      <c r="S42" s="174">
        <f>R42+Q42+P42</f>
        <v/>
      </c>
      <c r="T42" s="26" t="n">
        <v>41</v>
      </c>
      <c r="U42" s="26" t="inlineStr">
        <is>
          <t>Available</t>
        </is>
      </c>
      <c r="V42" s="93" t="inlineStr">
        <is>
          <t>A</t>
        </is>
      </c>
      <c r="W42" s="93" t="n"/>
      <c r="X42" s="93" t="n"/>
      <c r="Y42" s="93" t="n"/>
      <c r="Z42" s="93" t="n"/>
    </row>
    <row r="43">
      <c r="A43" s="26" t="n">
        <v>42</v>
      </c>
      <c r="B43" s="26" t="n">
        <v>1.258</v>
      </c>
      <c r="C43" s="26">
        <f>B43*(25/100)</f>
        <v/>
      </c>
      <c r="D43" s="26">
        <f>C43+B43</f>
        <v/>
      </c>
      <c r="E43" s="26" t="n">
        <v>0.59</v>
      </c>
      <c r="F43" s="26" t="n">
        <v>0.12</v>
      </c>
      <c r="G43" s="26" t="n"/>
      <c r="H43" s="26" t="n"/>
      <c r="I43" s="26" t="n"/>
      <c r="J43" s="26" t="n"/>
      <c r="K43" s="26" t="n"/>
      <c r="L43" s="174">
        <f>E43*Prices!B$2</f>
        <v/>
      </c>
      <c r="M43" s="174">
        <f>F43*Prices!C$2</f>
        <v/>
      </c>
      <c r="N43" s="174">
        <f>G43*Prices!D$2</f>
        <v/>
      </c>
      <c r="O43" s="174">
        <f>H43*Prices!E$2</f>
        <v/>
      </c>
      <c r="P43" s="174">
        <f>I43*2000+J43*10000+K43*1800</f>
        <v/>
      </c>
      <c r="Q43" s="174">
        <f>D43*Prices!A$2</f>
        <v/>
      </c>
      <c r="R43" s="174">
        <f>L43+M43+N43+O43</f>
        <v/>
      </c>
      <c r="S43" s="174">
        <f>R43+Q43+P43</f>
        <v/>
      </c>
      <c r="T43" s="26" t="n">
        <v>42</v>
      </c>
      <c r="U43" s="26" t="inlineStr">
        <is>
          <t>Sold</t>
        </is>
      </c>
      <c r="V43" s="93" t="n"/>
      <c r="W43" s="93" t="n"/>
      <c r="X43" s="93" t="n"/>
      <c r="Y43" s="93" t="n"/>
      <c r="Z43" s="93" t="n"/>
    </row>
    <row r="44">
      <c r="A44" s="26" t="n">
        <v>45</v>
      </c>
      <c r="B44" s="26" t="n">
        <v>6.582</v>
      </c>
      <c r="C44" s="26">
        <f>B44*(25/100)</f>
        <v/>
      </c>
      <c r="D44" s="26">
        <f>C44+B44</f>
        <v/>
      </c>
      <c r="E44" s="26" t="n">
        <v>1.26</v>
      </c>
      <c r="F44" s="26" t="n"/>
      <c r="G44" s="26" t="n"/>
      <c r="H44" s="26" t="n"/>
      <c r="I44" s="26" t="n"/>
      <c r="J44" s="26" t="n"/>
      <c r="K44" s="26" t="n">
        <v>4.88</v>
      </c>
      <c r="L44" s="174">
        <f>E44*Prices!B$2</f>
        <v/>
      </c>
      <c r="M44" s="174">
        <f>F44*Prices!C$2</f>
        <v/>
      </c>
      <c r="N44" s="174">
        <f>G44*Prices!D$2</f>
        <v/>
      </c>
      <c r="O44" s="174">
        <f>H44*Prices!E$2</f>
        <v/>
      </c>
      <c r="P44" s="174">
        <f>I44*2000+J44*10000+K44*1800</f>
        <v/>
      </c>
      <c r="Q44" s="174">
        <f>D44*Prices!A$2</f>
        <v/>
      </c>
      <c r="R44" s="174">
        <f>L44+M44+N44+O44</f>
        <v/>
      </c>
      <c r="S44" s="174">
        <f>R44+Q44+P44</f>
        <v/>
      </c>
      <c r="T44" s="26" t="n">
        <v>45</v>
      </c>
      <c r="U44" s="26" t="inlineStr">
        <is>
          <t>Available</t>
        </is>
      </c>
      <c r="V44" s="93" t="inlineStr">
        <is>
          <t>A</t>
        </is>
      </c>
      <c r="W44" s="93" t="n"/>
      <c r="X44" s="93" t="n"/>
      <c r="Y44" s="93" t="n"/>
      <c r="Z44" s="93" t="n"/>
    </row>
    <row r="45">
      <c r="A45" s="26" t="n">
        <v>46</v>
      </c>
      <c r="B45" s="26" t="n">
        <v>4.674</v>
      </c>
      <c r="C45" s="26">
        <f>B45*(25/100)</f>
        <v/>
      </c>
      <c r="D45" s="26">
        <f>C45+B45</f>
        <v/>
      </c>
      <c r="E45" s="26">
        <f>0.63+1.8</f>
        <v/>
      </c>
      <c r="F45" s="26" t="n"/>
      <c r="G45" s="26" t="n"/>
      <c r="H45" s="26" t="n"/>
      <c r="I45" s="26" t="n"/>
      <c r="J45" s="26" t="n"/>
      <c r="K45" s="26" t="n"/>
      <c r="L45" s="174">
        <f>E45*Prices!B$2</f>
        <v/>
      </c>
      <c r="M45" s="174">
        <f>F45*Prices!C$2</f>
        <v/>
      </c>
      <c r="N45" s="174">
        <f>G45*Prices!D$2</f>
        <v/>
      </c>
      <c r="O45" s="174">
        <f>H45*Prices!E$2</f>
        <v/>
      </c>
      <c r="P45" s="174">
        <f>I45*2000+J45*10000+K45*1800</f>
        <v/>
      </c>
      <c r="Q45" s="174">
        <f>D45*Prices!A$2</f>
        <v/>
      </c>
      <c r="R45" s="174">
        <f>L45+M45+N45+O45</f>
        <v/>
      </c>
      <c r="S45" s="174">
        <f>R45+Q45+P45</f>
        <v/>
      </c>
      <c r="T45" s="26" t="n">
        <v>46</v>
      </c>
      <c r="U45" s="26" t="inlineStr">
        <is>
          <t>Sold</t>
        </is>
      </c>
      <c r="V45" s="93" t="n"/>
      <c r="W45" s="93" t="n"/>
      <c r="X45" s="93" t="n"/>
      <c r="Y45" s="93" t="n"/>
      <c r="Z45" s="93" t="n"/>
    </row>
    <row r="46">
      <c r="A46" s="26" t="n">
        <v>47</v>
      </c>
      <c r="B46" s="26" t="n">
        <v>15.326</v>
      </c>
      <c r="C46" s="26">
        <f>B46*(25/100)</f>
        <v/>
      </c>
      <c r="D46" s="26">
        <f>C46+B46</f>
        <v/>
      </c>
      <c r="E46" s="26" t="n">
        <v>3.62</v>
      </c>
      <c r="F46" s="26" t="n"/>
      <c r="G46" s="26" t="n"/>
      <c r="H46" s="26" t="n"/>
      <c r="I46" s="26" t="n"/>
      <c r="J46" s="26" t="n"/>
      <c r="K46" s="26" t="n">
        <v>19.2</v>
      </c>
      <c r="L46" s="174">
        <f>E46*Prices!B$2</f>
        <v/>
      </c>
      <c r="M46" s="174">
        <f>F46*Prices!C$2</f>
        <v/>
      </c>
      <c r="N46" s="174">
        <f>G46*Prices!D$2</f>
        <v/>
      </c>
      <c r="O46" s="174">
        <f>H46*Prices!E$2</f>
        <v/>
      </c>
      <c r="P46" s="174">
        <f>I46*2000+J46*10000+K46*1800</f>
        <v/>
      </c>
      <c r="Q46" s="174">
        <f>D46*Prices!A$2</f>
        <v/>
      </c>
      <c r="R46" s="174">
        <f>L46+M46+N46+O46</f>
        <v/>
      </c>
      <c r="S46" s="174">
        <f>R46+Q46+P46</f>
        <v/>
      </c>
      <c r="T46" s="26" t="n">
        <v>47</v>
      </c>
      <c r="U46" s="93" t="inlineStr">
        <is>
          <t>Sold</t>
        </is>
      </c>
      <c r="V46" s="93" t="n"/>
      <c r="W46" s="93" t="n"/>
      <c r="X46" s="93" t="n"/>
      <c r="Y46" s="93" t="n"/>
      <c r="Z46" s="93" t="n"/>
    </row>
    <row r="47">
      <c r="A47" s="26" t="n">
        <v>48</v>
      </c>
      <c r="B47" s="26" t="n">
        <v>8.882</v>
      </c>
      <c r="C47" s="26">
        <f>B47*(25/100)</f>
        <v/>
      </c>
      <c r="D47" s="26">
        <f>C47+B47</f>
        <v/>
      </c>
      <c r="E47" s="26" t="n">
        <v>2.34</v>
      </c>
      <c r="F47" s="26" t="n"/>
      <c r="G47" s="26" t="n"/>
      <c r="H47" s="26" t="n"/>
      <c r="I47" s="26" t="n"/>
      <c r="J47" s="26" t="n"/>
      <c r="K47" s="26" t="n"/>
      <c r="L47" s="174">
        <f>E47*Prices!B$2</f>
        <v/>
      </c>
      <c r="M47" s="174">
        <f>F47*Prices!C$2</f>
        <v/>
      </c>
      <c r="N47" s="174">
        <f>G47*Prices!D$2</f>
        <v/>
      </c>
      <c r="O47" s="174">
        <f>H47*Prices!E$2</f>
        <v/>
      </c>
      <c r="P47" s="174">
        <f>I47*2000+J47*10000+K47*1800</f>
        <v/>
      </c>
      <c r="Q47" s="174">
        <f>D47*Prices!A$2</f>
        <v/>
      </c>
      <c r="R47" s="174">
        <f>L47+M47+N47+O47</f>
        <v/>
      </c>
      <c r="S47" s="174">
        <f>R47+Q47+P47</f>
        <v/>
      </c>
      <c r="T47" s="26" t="n">
        <v>48</v>
      </c>
      <c r="U47" s="26" t="inlineStr">
        <is>
          <t>Sold</t>
        </is>
      </c>
      <c r="V47" s="93" t="n"/>
      <c r="W47" s="93" t="n"/>
      <c r="X47" s="93" t="n"/>
      <c r="Y47" s="93" t="n"/>
      <c r="Z47" s="93" t="n"/>
    </row>
    <row r="48">
      <c r="A48" s="26" t="n">
        <v>49</v>
      </c>
      <c r="B48" s="26" t="n">
        <v>6.1</v>
      </c>
      <c r="C48" s="26">
        <f>B48*(25/100)</f>
        <v/>
      </c>
      <c r="D48" s="26">
        <f>C48+B48</f>
        <v/>
      </c>
      <c r="E48" s="26" t="n">
        <v>1.265</v>
      </c>
      <c r="F48" s="26" t="n"/>
      <c r="G48" s="26" t="n"/>
      <c r="H48" s="26" t="n"/>
      <c r="I48" s="26" t="n"/>
      <c r="J48" s="26" t="n"/>
      <c r="K48" s="26" t="n"/>
      <c r="L48" s="174">
        <f>E48*Prices!B$2</f>
        <v/>
      </c>
      <c r="M48" s="174">
        <f>F48*Prices!C$2</f>
        <v/>
      </c>
      <c r="N48" s="174">
        <f>G48*Prices!D$2</f>
        <v/>
      </c>
      <c r="O48" s="174">
        <f>H48*Prices!E$2</f>
        <v/>
      </c>
      <c r="P48" s="174">
        <f>I48*2000+J48*10000+K48*1800</f>
        <v/>
      </c>
      <c r="Q48" s="174">
        <f>D48*Prices!A$2</f>
        <v/>
      </c>
      <c r="R48" s="174">
        <f>L48+M48+N48+O48</f>
        <v/>
      </c>
      <c r="S48" s="174">
        <f>R48+Q48+P48</f>
        <v/>
      </c>
      <c r="T48" s="26" t="n">
        <v>49</v>
      </c>
      <c r="U48" s="26" t="inlineStr">
        <is>
          <t>Available</t>
        </is>
      </c>
      <c r="V48" s="93" t="inlineStr">
        <is>
          <t>A</t>
        </is>
      </c>
      <c r="W48" s="93" t="n"/>
      <c r="X48" s="93" t="n"/>
      <c r="Y48" s="93" t="n"/>
      <c r="Z48" s="93" t="n"/>
    </row>
    <row r="49">
      <c r="A49" s="26" t="n">
        <v>50</v>
      </c>
      <c r="B49" s="26" t="n">
        <v>2.176</v>
      </c>
      <c r="C49" s="26">
        <f>B49*(25/100)</f>
        <v/>
      </c>
      <c r="D49" s="26">
        <f>C49+B49</f>
        <v/>
      </c>
      <c r="E49" s="26" t="n">
        <v>0.25</v>
      </c>
      <c r="F49" s="26" t="n"/>
      <c r="G49" s="26" t="n"/>
      <c r="H49" s="26" t="n"/>
      <c r="I49" s="26" t="n"/>
      <c r="J49" s="26" t="n"/>
      <c r="K49" s="26" t="n">
        <v>2.32</v>
      </c>
      <c r="L49" s="174">
        <f>E49*Prices!B$2</f>
        <v/>
      </c>
      <c r="M49" s="174">
        <f>F49*Prices!C$2</f>
        <v/>
      </c>
      <c r="N49" s="174">
        <f>G49*Prices!D$2</f>
        <v/>
      </c>
      <c r="O49" s="174">
        <f>H49*Prices!E$2</f>
        <v/>
      </c>
      <c r="P49" s="174">
        <f>I49*2000+J49*10000+K49*1800</f>
        <v/>
      </c>
      <c r="Q49" s="174">
        <f>D49*Prices!A$2</f>
        <v/>
      </c>
      <c r="R49" s="174">
        <f>L49+M49+N49+O49</f>
        <v/>
      </c>
      <c r="S49" s="174">
        <f>R49+Q49+P49</f>
        <v/>
      </c>
      <c r="T49" s="26" t="n">
        <v>50</v>
      </c>
      <c r="U49" s="26" t="inlineStr">
        <is>
          <t>Sold</t>
        </is>
      </c>
      <c r="V49" s="93" t="n"/>
      <c r="W49" s="93" t="n"/>
      <c r="X49" s="93" t="n"/>
      <c r="Y49" s="93" t="n"/>
      <c r="Z49" s="93" t="n"/>
    </row>
    <row r="50">
      <c r="A50" s="26" t="n">
        <v>51</v>
      </c>
      <c r="B50" s="26" t="n">
        <v>1.616</v>
      </c>
      <c r="C50" s="26">
        <f>B50*(25/100)</f>
        <v/>
      </c>
      <c r="D50" s="26">
        <f>C50+B50</f>
        <v/>
      </c>
      <c r="E50" s="26" t="n">
        <v>0.29</v>
      </c>
      <c r="F50" s="26" t="n"/>
      <c r="G50" s="26" t="n"/>
      <c r="H50" s="26" t="n"/>
      <c r="I50" s="26" t="n"/>
      <c r="J50" s="26" t="n"/>
      <c r="K50" s="26" t="n">
        <v>1.68</v>
      </c>
      <c r="L50" s="174">
        <f>E50*Prices!B$2</f>
        <v/>
      </c>
      <c r="M50" s="174">
        <f>F50*Prices!C$2</f>
        <v/>
      </c>
      <c r="N50" s="174">
        <f>G50*Prices!D$2</f>
        <v/>
      </c>
      <c r="O50" s="174">
        <f>H50*Prices!E$2</f>
        <v/>
      </c>
      <c r="P50" s="174">
        <f>I50*2000+J50*10000+K50*1800</f>
        <v/>
      </c>
      <c r="Q50" s="174">
        <f>D50*Prices!A$2</f>
        <v/>
      </c>
      <c r="R50" s="174">
        <f>L50+M50+N50+O50</f>
        <v/>
      </c>
      <c r="S50" s="174">
        <f>R50+Q50+P50</f>
        <v/>
      </c>
      <c r="T50" s="26" t="n">
        <v>51</v>
      </c>
      <c r="U50" s="26" t="inlineStr">
        <is>
          <t>Sold</t>
        </is>
      </c>
      <c r="V50" s="93" t="n"/>
      <c r="W50" s="93" t="n"/>
      <c r="X50" s="93" t="n"/>
      <c r="Y50" s="93" t="n"/>
      <c r="Z50" s="93" t="n"/>
    </row>
    <row r="51">
      <c r="A51" s="26" t="n">
        <v>52</v>
      </c>
      <c r="B51" s="26" t="n">
        <v>4.596</v>
      </c>
      <c r="C51" s="26">
        <f>B51*(25/100)</f>
        <v/>
      </c>
      <c r="D51" s="26">
        <f>C51+B51</f>
        <v/>
      </c>
      <c r="E51" s="26" t="n">
        <v>0.22</v>
      </c>
      <c r="F51" s="26" t="n"/>
      <c r="G51" s="26" t="n"/>
      <c r="H51" s="26" t="n"/>
      <c r="I51" s="26" t="n"/>
      <c r="J51" s="26" t="n"/>
      <c r="K51" s="26" t="n"/>
      <c r="L51" s="174">
        <f>E51*Prices!B$2</f>
        <v/>
      </c>
      <c r="M51" s="174">
        <f>F51*Prices!C$2</f>
        <v/>
      </c>
      <c r="N51" s="174">
        <f>G51*Prices!D$2</f>
        <v/>
      </c>
      <c r="O51" s="174">
        <f>H51*Prices!E$2</f>
        <v/>
      </c>
      <c r="P51" s="174">
        <f>I51*2000+J51*10000+K51*1800</f>
        <v/>
      </c>
      <c r="Q51" s="174">
        <f>D51*Prices!A$2</f>
        <v/>
      </c>
      <c r="R51" s="174">
        <f>L51+M51+N51+O51</f>
        <v/>
      </c>
      <c r="S51" s="174">
        <f>R51+Q51+P51</f>
        <v/>
      </c>
      <c r="T51" s="26" t="n">
        <v>52</v>
      </c>
      <c r="U51" s="26" t="inlineStr">
        <is>
          <t>Sold</t>
        </is>
      </c>
      <c r="V51" s="93" t="n"/>
      <c r="W51" s="93" t="n"/>
      <c r="X51" s="93" t="n"/>
      <c r="Y51" s="93" t="n"/>
      <c r="Z51" s="93" t="n"/>
    </row>
    <row r="52">
      <c r="A52" s="26" t="n">
        <v>53</v>
      </c>
      <c r="B52" s="26" t="n">
        <v>3.246</v>
      </c>
      <c r="C52" s="26">
        <f>B52*(25/100)</f>
        <v/>
      </c>
      <c r="D52" s="26">
        <f>C52+B52</f>
        <v/>
      </c>
      <c r="E52" s="26">
        <f>0.19+0.58</f>
        <v/>
      </c>
      <c r="F52" s="26" t="n"/>
      <c r="G52" s="26" t="n"/>
      <c r="H52" s="26" t="n"/>
      <c r="I52" s="26" t="n"/>
      <c r="J52" s="26" t="n">
        <v>4.4</v>
      </c>
      <c r="K52" s="26" t="n"/>
      <c r="L52" s="174">
        <f>E52*Prices!B$2</f>
        <v/>
      </c>
      <c r="M52" s="174">
        <f>F52*Prices!C$2</f>
        <v/>
      </c>
      <c r="N52" s="174">
        <f>G52*Prices!D$2</f>
        <v/>
      </c>
      <c r="O52" s="174">
        <f>H52*Prices!E$2</f>
        <v/>
      </c>
      <c r="P52" s="174">
        <f>I52*2000+J52*10000+K52*1800</f>
        <v/>
      </c>
      <c r="Q52" s="174">
        <f>D52*Prices!A$2</f>
        <v/>
      </c>
      <c r="R52" s="174">
        <f>L52+M52+N52+O52</f>
        <v/>
      </c>
      <c r="S52" s="174">
        <f>R52+Q52+P52</f>
        <v/>
      </c>
      <c r="T52" s="26" t="n">
        <v>53</v>
      </c>
      <c r="U52" s="93" t="inlineStr">
        <is>
          <t>Sold</t>
        </is>
      </c>
      <c r="V52" s="93" t="n"/>
      <c r="W52" s="93" t="n"/>
      <c r="X52" s="93" t="n"/>
      <c r="Y52" s="93" t="n"/>
      <c r="Z52" s="93" t="n"/>
    </row>
    <row r="53">
      <c r="A53" s="26" t="n">
        <v>54</v>
      </c>
      <c r="B53" s="26" t="n">
        <v>2.458</v>
      </c>
      <c r="C53" s="26">
        <f>B53*(25/100)</f>
        <v/>
      </c>
      <c r="D53" s="26">
        <f>C53+B53</f>
        <v/>
      </c>
      <c r="E53" s="26" t="n">
        <v>0.49</v>
      </c>
      <c r="F53" s="26" t="n"/>
      <c r="G53" s="26" t="n">
        <v>0.37</v>
      </c>
      <c r="H53" s="26" t="n"/>
      <c r="I53" s="26" t="n"/>
      <c r="J53" s="26" t="n"/>
      <c r="K53" s="26" t="n"/>
      <c r="L53" s="174">
        <f>E53*Prices!B$2</f>
        <v/>
      </c>
      <c r="M53" s="174">
        <f>F53*Prices!C$2</f>
        <v/>
      </c>
      <c r="N53" s="174">
        <f>G53*Prices!D$2</f>
        <v/>
      </c>
      <c r="O53" s="174">
        <f>H53*Prices!E$2</f>
        <v/>
      </c>
      <c r="P53" s="174">
        <f>I53*2000+J53*10000+K53*1800</f>
        <v/>
      </c>
      <c r="Q53" s="174">
        <f>D53*Prices!A$2</f>
        <v/>
      </c>
      <c r="R53" s="174">
        <f>L53+M53+N53+O53</f>
        <v/>
      </c>
      <c r="S53" s="174">
        <f>R53+Q53+P53</f>
        <v/>
      </c>
      <c r="T53" s="26" t="n">
        <v>54</v>
      </c>
      <c r="U53" s="93" t="inlineStr">
        <is>
          <t>Sold</t>
        </is>
      </c>
      <c r="V53" s="93" t="n"/>
      <c r="W53" s="93" t="n"/>
      <c r="X53" s="93" t="n"/>
      <c r="Y53" s="93" t="n"/>
      <c r="Z53" s="93" t="n"/>
    </row>
    <row r="54">
      <c r="A54" s="26" t="n">
        <v>55</v>
      </c>
      <c r="B54" s="26" t="n">
        <v>1.568</v>
      </c>
      <c r="C54" s="26">
        <f>B54*(25/100)</f>
        <v/>
      </c>
      <c r="D54" s="26">
        <f>C54+B54</f>
        <v/>
      </c>
      <c r="E54" s="26" t="n">
        <v>0.16</v>
      </c>
      <c r="F54" s="26" t="n"/>
      <c r="G54" s="26" t="n"/>
      <c r="H54" s="26" t="n"/>
      <c r="I54" s="26" t="n">
        <v>0.8</v>
      </c>
      <c r="J54" s="26" t="n"/>
      <c r="K54" s="26" t="n"/>
      <c r="L54" s="174">
        <f>E54*Prices!B$2</f>
        <v/>
      </c>
      <c r="M54" s="174">
        <f>F54*Prices!C$2</f>
        <v/>
      </c>
      <c r="N54" s="174">
        <f>G54*Prices!D$2</f>
        <v/>
      </c>
      <c r="O54" s="174">
        <f>H54*Prices!E$2</f>
        <v/>
      </c>
      <c r="P54" s="174">
        <f>I54*2000+J54*10000+K54*1800</f>
        <v/>
      </c>
      <c r="Q54" s="174">
        <f>D54*Prices!A$2</f>
        <v/>
      </c>
      <c r="R54" s="174">
        <f>L54+M54+N54+O54</f>
        <v/>
      </c>
      <c r="S54" s="174">
        <f>R54+Q54+P54</f>
        <v/>
      </c>
      <c r="T54" s="26" t="n">
        <v>55</v>
      </c>
      <c r="U54" s="26" t="inlineStr">
        <is>
          <t>Available</t>
        </is>
      </c>
      <c r="V54" s="93" t="inlineStr">
        <is>
          <t>A</t>
        </is>
      </c>
      <c r="W54" s="93" t="n"/>
      <c r="X54" s="93" t="n"/>
      <c r="Y54" s="93" t="n"/>
      <c r="Z54" s="93" t="n"/>
    </row>
    <row r="55">
      <c r="A55" s="26" t="n">
        <v>56</v>
      </c>
      <c r="B55" s="26" t="n">
        <v>1.486</v>
      </c>
      <c r="C55" s="26">
        <f>B55*(25/100)</f>
        <v/>
      </c>
      <c r="D55" s="26">
        <f>C55+B55</f>
        <v/>
      </c>
      <c r="E55" s="26" t="n">
        <v>0.16</v>
      </c>
      <c r="F55" s="26" t="n"/>
      <c r="G55" s="26" t="n"/>
      <c r="H55" s="26" t="n"/>
      <c r="I55" s="26" t="n">
        <v>0.61</v>
      </c>
      <c r="J55" s="26" t="n"/>
      <c r="K55" s="26" t="n"/>
      <c r="L55" s="174">
        <f>E55*Prices!B$2</f>
        <v/>
      </c>
      <c r="M55" s="174">
        <f>F55*Prices!C$2</f>
        <v/>
      </c>
      <c r="N55" s="174">
        <f>G55*Prices!D$2</f>
        <v/>
      </c>
      <c r="O55" s="174">
        <f>H55*Prices!E$2</f>
        <v/>
      </c>
      <c r="P55" s="174">
        <f>I55*2000+J55*10000+K55*1800</f>
        <v/>
      </c>
      <c r="Q55" s="174">
        <f>D55*Prices!A$2</f>
        <v/>
      </c>
      <c r="R55" s="174">
        <f>L55+M55+N55+O55</f>
        <v/>
      </c>
      <c r="S55" s="174">
        <f>R55+Q55+P55</f>
        <v/>
      </c>
      <c r="T55" s="26" t="n">
        <v>56</v>
      </c>
      <c r="U55" s="26" t="inlineStr">
        <is>
          <t>Available</t>
        </is>
      </c>
      <c r="V55" s="93" t="inlineStr">
        <is>
          <t>A</t>
        </is>
      </c>
      <c r="W55" s="93" t="n"/>
      <c r="X55" s="93" t="n"/>
      <c r="Y55" s="93" t="n"/>
      <c r="Z55" s="93" t="n"/>
    </row>
    <row r="56">
      <c r="A56" s="26" t="n">
        <v>57</v>
      </c>
      <c r="B56" s="26" t="n">
        <v>1.606</v>
      </c>
      <c r="C56" s="26">
        <f>B56*(25/100)</f>
        <v/>
      </c>
      <c r="D56" s="26">
        <f>C56+B56</f>
        <v/>
      </c>
      <c r="E56" s="26" t="n">
        <v>0.16</v>
      </c>
      <c r="F56" s="26" t="n"/>
      <c r="G56" s="26" t="n"/>
      <c r="H56" s="26" t="n"/>
      <c r="I56" s="26" t="n">
        <v>0.66</v>
      </c>
      <c r="J56" s="26" t="n"/>
      <c r="K56" s="26" t="n"/>
      <c r="L56" s="174">
        <f>E56*Prices!B$2</f>
        <v/>
      </c>
      <c r="M56" s="174">
        <f>F56*Prices!C$2</f>
        <v/>
      </c>
      <c r="N56" s="174">
        <f>G56*Prices!D$2</f>
        <v/>
      </c>
      <c r="O56" s="174">
        <f>H56*Prices!E$2</f>
        <v/>
      </c>
      <c r="P56" s="174">
        <f>I56*2000+J56*10000+K56*1800</f>
        <v/>
      </c>
      <c r="Q56" s="174">
        <f>D56*Prices!A$2</f>
        <v/>
      </c>
      <c r="R56" s="174">
        <f>L56+M56+N56+O56</f>
        <v/>
      </c>
      <c r="S56" s="174">
        <f>R56+Q56+P56</f>
        <v/>
      </c>
      <c r="T56" s="26" t="n">
        <v>57</v>
      </c>
      <c r="U56" s="26" t="inlineStr">
        <is>
          <t>Sold</t>
        </is>
      </c>
      <c r="V56" s="93" t="n"/>
      <c r="W56" s="93" t="n"/>
      <c r="X56" s="93" t="n"/>
      <c r="Y56" s="93" t="n"/>
      <c r="Z56" s="93" t="n"/>
    </row>
    <row r="57">
      <c r="A57" s="26" t="n">
        <v>58</v>
      </c>
      <c r="B57" s="26" t="n">
        <v>1.534</v>
      </c>
      <c r="C57" s="26">
        <f>B57*(25/100)</f>
        <v/>
      </c>
      <c r="D57" s="26">
        <f>C57+B57</f>
        <v/>
      </c>
      <c r="E57" s="26" t="n">
        <v>0.16</v>
      </c>
      <c r="F57" s="26" t="n"/>
      <c r="G57" s="26" t="n"/>
      <c r="H57" s="26" t="n"/>
      <c r="I57" s="26" t="n">
        <v>0.77</v>
      </c>
      <c r="J57" s="26" t="n"/>
      <c r="K57" s="26" t="n"/>
      <c r="L57" s="174">
        <f>E57*Prices!B$2</f>
        <v/>
      </c>
      <c r="M57" s="174">
        <f>F57*Prices!C$2</f>
        <v/>
      </c>
      <c r="N57" s="174">
        <f>G57*Prices!D$2</f>
        <v/>
      </c>
      <c r="O57" s="174">
        <f>H57*Prices!E$2</f>
        <v/>
      </c>
      <c r="P57" s="174">
        <f>I57*2000+J57*10000+K57*1800</f>
        <v/>
      </c>
      <c r="Q57" s="174">
        <f>D57*Prices!A$2</f>
        <v/>
      </c>
      <c r="R57" s="174">
        <f>L57+M57+N57+O57</f>
        <v/>
      </c>
      <c r="S57" s="174">
        <f>R57+Q57+P57</f>
        <v/>
      </c>
      <c r="T57" s="26" t="n">
        <v>58</v>
      </c>
      <c r="U57" s="26" t="inlineStr">
        <is>
          <t>Sold</t>
        </is>
      </c>
      <c r="V57" s="93" t="n"/>
      <c r="W57" s="93" t="n"/>
      <c r="X57" s="93" t="n"/>
      <c r="Y57" s="93" t="n"/>
      <c r="Z57" s="93" t="n"/>
    </row>
    <row r="58">
      <c r="A58" s="26" t="n">
        <v>59</v>
      </c>
      <c r="B58" s="26" t="n">
        <v>1.476</v>
      </c>
      <c r="C58" s="26">
        <f>B58*(25/100)</f>
        <v/>
      </c>
      <c r="D58" s="26">
        <f>C58+B58</f>
        <v/>
      </c>
      <c r="E58" s="26" t="n">
        <v>0.16</v>
      </c>
      <c r="F58" s="26" t="n"/>
      <c r="G58" s="26" t="n"/>
      <c r="H58" s="26" t="n"/>
      <c r="I58" s="26" t="n">
        <v>0.76</v>
      </c>
      <c r="J58" s="26" t="n"/>
      <c r="K58" s="26" t="n"/>
      <c r="L58" s="174">
        <f>E58*Prices!B$2</f>
        <v/>
      </c>
      <c r="M58" s="174">
        <f>F58*Prices!C$2</f>
        <v/>
      </c>
      <c r="N58" s="174">
        <f>G58*Prices!D$2</f>
        <v/>
      </c>
      <c r="O58" s="174">
        <f>H58*Prices!E$2</f>
        <v/>
      </c>
      <c r="P58" s="174">
        <f>I58*2000+J58*10000+K58*1800</f>
        <v/>
      </c>
      <c r="Q58" s="174">
        <f>D58*Prices!A$2</f>
        <v/>
      </c>
      <c r="R58" s="174">
        <f>L58+M58+N58+O58</f>
        <v/>
      </c>
      <c r="S58" s="174">
        <f>R58+Q58+P58</f>
        <v/>
      </c>
      <c r="T58" s="26" t="n">
        <v>59</v>
      </c>
      <c r="U58" s="26" t="inlineStr">
        <is>
          <t>Sold</t>
        </is>
      </c>
      <c r="V58" s="93" t="n"/>
      <c r="W58" s="93" t="n"/>
      <c r="X58" s="93" t="n"/>
      <c r="Y58" s="93" t="n"/>
      <c r="Z58" s="93" t="n"/>
    </row>
    <row r="59">
      <c r="A59" s="26" t="n">
        <v>60</v>
      </c>
      <c r="B59" s="26" t="n">
        <v>7.802</v>
      </c>
      <c r="C59" s="26">
        <f>B59*(25/100)</f>
        <v/>
      </c>
      <c r="D59" s="26">
        <f>C59+B59</f>
        <v/>
      </c>
      <c r="E59" s="26" t="n">
        <v>2.22</v>
      </c>
      <c r="F59" s="26" t="n"/>
      <c r="G59" s="26" t="n"/>
      <c r="H59" s="26" t="n"/>
      <c r="I59" s="26" t="n"/>
      <c r="J59" s="26" t="n"/>
      <c r="K59" s="26" t="n">
        <v>17.17</v>
      </c>
      <c r="L59" s="174">
        <f>E59*Prices!B$2</f>
        <v/>
      </c>
      <c r="M59" s="174">
        <f>F59*Prices!C$2</f>
        <v/>
      </c>
      <c r="N59" s="174">
        <f>G59*Prices!D$2</f>
        <v/>
      </c>
      <c r="O59" s="174">
        <f>H59*Prices!E$2</f>
        <v/>
      </c>
      <c r="P59" s="174">
        <f>I59*2000+J59*10000+K59*1800</f>
        <v/>
      </c>
      <c r="Q59" s="174">
        <f>D59*Prices!A$2</f>
        <v/>
      </c>
      <c r="R59" s="174">
        <f>L59+M59+N59+O59</f>
        <v/>
      </c>
      <c r="S59" s="174">
        <f>R59+Q59+P59</f>
        <v/>
      </c>
      <c r="T59" s="26" t="n">
        <v>60</v>
      </c>
      <c r="U59" s="26" t="inlineStr">
        <is>
          <t>Sold</t>
        </is>
      </c>
      <c r="V59" s="93" t="n"/>
      <c r="W59" s="93" t="n"/>
      <c r="X59" s="93" t="n"/>
      <c r="Y59" s="93" t="n"/>
      <c r="Z59" s="93" t="n"/>
    </row>
    <row r="60">
      <c r="A60" s="26" t="n">
        <v>61</v>
      </c>
      <c r="B60" s="26" t="n">
        <v>1.622</v>
      </c>
      <c r="C60" s="26">
        <f>B60*(25/100)</f>
        <v/>
      </c>
      <c r="D60" s="26">
        <f>C60+B60</f>
        <v/>
      </c>
      <c r="E60" s="26" t="n">
        <v>0.12</v>
      </c>
      <c r="F60" s="26" t="n"/>
      <c r="G60" s="26" t="n"/>
      <c r="H60" s="26" t="n"/>
      <c r="I60" s="26" t="n">
        <v>0.62</v>
      </c>
      <c r="J60" s="26" t="n"/>
      <c r="K60" s="26" t="n"/>
      <c r="L60" s="174">
        <f>E60*Prices!B$2</f>
        <v/>
      </c>
      <c r="M60" s="174">
        <f>F60*Prices!C$2</f>
        <v/>
      </c>
      <c r="N60" s="174">
        <f>G60*Prices!D$2</f>
        <v/>
      </c>
      <c r="O60" s="174">
        <f>H60*Prices!E$2</f>
        <v/>
      </c>
      <c r="P60" s="174">
        <f>I60*2000+J60*10000+K60*1800</f>
        <v/>
      </c>
      <c r="Q60" s="174">
        <f>D60*Prices!A$2</f>
        <v/>
      </c>
      <c r="R60" s="174">
        <f>L60+M60+N60+O60</f>
        <v/>
      </c>
      <c r="S60" s="174">
        <f>R60+Q60+P60</f>
        <v/>
      </c>
      <c r="T60" s="26" t="n">
        <v>61</v>
      </c>
      <c r="U60" s="26" t="inlineStr">
        <is>
          <t>Sold</t>
        </is>
      </c>
      <c r="V60" s="93" t="n"/>
      <c r="W60" s="93" t="n"/>
      <c r="X60" s="93" t="n"/>
      <c r="Y60" s="93" t="n"/>
      <c r="Z60" s="93" t="n"/>
    </row>
    <row r="61">
      <c r="A61" s="26" t="n">
        <v>62</v>
      </c>
      <c r="B61" s="26" t="n">
        <v>1.694</v>
      </c>
      <c r="C61" s="26">
        <f>B61*(25/100)</f>
        <v/>
      </c>
      <c r="D61" s="26">
        <f>C61+B61</f>
        <v/>
      </c>
      <c r="E61" s="26" t="n">
        <v>0.25</v>
      </c>
      <c r="F61" s="26" t="n"/>
      <c r="G61" s="26" t="n"/>
      <c r="H61" s="26" t="n"/>
      <c r="I61" s="26" t="n">
        <v>0.93</v>
      </c>
      <c r="J61" s="26" t="n"/>
      <c r="K61" s="93" t="n"/>
      <c r="L61" s="174">
        <f>E61*Prices!B$2</f>
        <v/>
      </c>
      <c r="M61" s="174">
        <f>F61*Prices!C$2</f>
        <v/>
      </c>
      <c r="N61" s="174">
        <f>G61*Prices!D$2</f>
        <v/>
      </c>
      <c r="O61" s="174">
        <f>H61*Prices!E$2</f>
        <v/>
      </c>
      <c r="P61" s="174">
        <f>I61*2000+J61*10000+K61*1800</f>
        <v/>
      </c>
      <c r="Q61" s="174">
        <f>D61*Prices!A$2</f>
        <v/>
      </c>
      <c r="R61" s="174">
        <f>L61+M61+N61+O61</f>
        <v/>
      </c>
      <c r="S61" s="174">
        <f>R61+Q61+P61</f>
        <v/>
      </c>
      <c r="T61" s="26" t="n">
        <v>62</v>
      </c>
      <c r="U61" s="26" t="inlineStr">
        <is>
          <t>Sold</t>
        </is>
      </c>
      <c r="V61" s="93" t="n"/>
      <c r="W61" s="93" t="n"/>
      <c r="X61" s="93" t="n"/>
      <c r="Y61" s="93" t="n"/>
      <c r="Z61" s="93" t="n"/>
    </row>
    <row r="62">
      <c r="A62" s="26" t="n">
        <v>63</v>
      </c>
      <c r="B62" s="26" t="n">
        <v>2.096</v>
      </c>
      <c r="C62" s="26">
        <f>B62*(25/100)</f>
        <v/>
      </c>
      <c r="D62" s="26">
        <f>C62+B62</f>
        <v/>
      </c>
      <c r="E62" s="26" t="n">
        <v>0.31</v>
      </c>
      <c r="F62" s="26" t="n"/>
      <c r="G62" s="26" t="n"/>
      <c r="H62" s="26" t="n"/>
      <c r="I62" s="26" t="n">
        <v>1.66</v>
      </c>
      <c r="J62" s="26" t="n"/>
      <c r="K62" s="93" t="n"/>
      <c r="L62" s="174">
        <f>E62*Prices!B$2</f>
        <v/>
      </c>
      <c r="M62" s="174">
        <f>F62*Prices!C$2</f>
        <v/>
      </c>
      <c r="N62" s="174">
        <f>G62*Prices!D$2</f>
        <v/>
      </c>
      <c r="O62" s="174">
        <f>H62*Prices!E$2</f>
        <v/>
      </c>
      <c r="P62" s="174">
        <f>I62*2000+J62*10000+K62*1800</f>
        <v/>
      </c>
      <c r="Q62" s="174">
        <f>D62*Prices!A$2</f>
        <v/>
      </c>
      <c r="R62" s="174">
        <f>L62+M62+N62+O62</f>
        <v/>
      </c>
      <c r="S62" s="174">
        <f>R62+Q62+P62</f>
        <v/>
      </c>
      <c r="T62" s="26" t="n">
        <v>63</v>
      </c>
      <c r="U62" s="26" t="inlineStr">
        <is>
          <t>Sold</t>
        </is>
      </c>
      <c r="V62" s="93" t="n"/>
      <c r="W62" s="93" t="n"/>
      <c r="X62" s="93" t="n"/>
      <c r="Y62" s="93" t="n"/>
      <c r="Z62" s="93" t="n"/>
    </row>
    <row r="63">
      <c r="A63" s="26" t="n">
        <v>64</v>
      </c>
      <c r="B63" s="26" t="n">
        <v>1.492</v>
      </c>
      <c r="C63" s="26">
        <f>B63*(25/100)</f>
        <v/>
      </c>
      <c r="D63" s="26">
        <f>C63+B63</f>
        <v/>
      </c>
      <c r="E63" s="26" t="n">
        <v>0.22</v>
      </c>
      <c r="F63" s="26" t="n"/>
      <c r="G63" s="26" t="n"/>
      <c r="H63" s="26" t="n"/>
      <c r="I63" s="26" t="n"/>
      <c r="J63" s="26" t="n"/>
      <c r="K63" s="26" t="n">
        <v>0.67</v>
      </c>
      <c r="L63" s="174">
        <f>E63*Prices!B$2</f>
        <v/>
      </c>
      <c r="M63" s="174">
        <f>F63*Prices!C$2</f>
        <v/>
      </c>
      <c r="N63" s="174">
        <f>G63*Prices!D$2</f>
        <v/>
      </c>
      <c r="O63" s="174">
        <f>H63*Prices!E$2</f>
        <v/>
      </c>
      <c r="P63" s="174">
        <f>I63*2000+J63*10000+K63*1800</f>
        <v/>
      </c>
      <c r="Q63" s="174">
        <f>D63*Prices!A$2</f>
        <v/>
      </c>
      <c r="R63" s="174">
        <f>L63+M63+N63+O63</f>
        <v/>
      </c>
      <c r="S63" s="174">
        <f>R63+Q63+P63</f>
        <v/>
      </c>
      <c r="T63" s="26" t="n">
        <v>64</v>
      </c>
      <c r="U63" s="26" t="inlineStr">
        <is>
          <t>Sold</t>
        </is>
      </c>
      <c r="V63" s="93" t="n"/>
      <c r="W63" s="93" t="n"/>
      <c r="X63" s="93" t="n"/>
      <c r="Y63" s="93" t="n"/>
      <c r="Z63" s="93" t="n"/>
    </row>
    <row r="64">
      <c r="A64" s="26" t="n">
        <v>65</v>
      </c>
      <c r="B64" s="26" t="n">
        <v>2.05</v>
      </c>
      <c r="C64" s="26">
        <f>B64*(25/100)</f>
        <v/>
      </c>
      <c r="D64" s="26">
        <f>C64+B64</f>
        <v/>
      </c>
      <c r="E64" s="26" t="n">
        <v>0.1</v>
      </c>
      <c r="F64" s="26" t="n"/>
      <c r="G64" s="26" t="n"/>
      <c r="H64" s="26" t="n"/>
      <c r="I64" s="26" t="n"/>
      <c r="J64" s="26" t="n"/>
      <c r="K64" s="26" t="n"/>
      <c r="L64" s="174">
        <f>E64*Prices!B$2</f>
        <v/>
      </c>
      <c r="M64" s="174">
        <f>F64*Prices!C$2</f>
        <v/>
      </c>
      <c r="N64" s="174">
        <f>G64*Prices!D$2</f>
        <v/>
      </c>
      <c r="O64" s="174">
        <f>H64*Prices!E$2</f>
        <v/>
      </c>
      <c r="P64" s="174">
        <f>I64*2000+J64*10000+K64*1800</f>
        <v/>
      </c>
      <c r="Q64" s="174">
        <f>D64*Prices!A$2</f>
        <v/>
      </c>
      <c r="R64" s="174">
        <f>L64+M64+N64+O64</f>
        <v/>
      </c>
      <c r="S64" s="174">
        <f>R64+Q64+P64</f>
        <v/>
      </c>
      <c r="T64" s="26" t="n">
        <v>65</v>
      </c>
      <c r="U64" s="26" t="inlineStr">
        <is>
          <t>Available</t>
        </is>
      </c>
      <c r="V64" s="93" t="inlineStr">
        <is>
          <t>A</t>
        </is>
      </c>
      <c r="W64" s="93" t="n"/>
      <c r="X64" s="93" t="n"/>
      <c r="Y64" s="93" t="n"/>
      <c r="Z64" s="93" t="n"/>
    </row>
    <row r="65">
      <c r="A65" s="26" t="n">
        <v>66</v>
      </c>
      <c r="B65" s="26" t="n">
        <v>2.252</v>
      </c>
      <c r="C65" s="26">
        <f>B65*(25/100)</f>
        <v/>
      </c>
      <c r="D65" s="26">
        <f>C65+B65</f>
        <v/>
      </c>
      <c r="E65" s="26" t="n">
        <v>0.14</v>
      </c>
      <c r="F65" s="26" t="n"/>
      <c r="G65" s="26" t="n"/>
      <c r="H65" s="26" t="n"/>
      <c r="I65" s="26" t="n"/>
      <c r="J65" s="26" t="n"/>
      <c r="K65" s="26" t="n"/>
      <c r="L65" s="174">
        <f>E65*Prices!B$2</f>
        <v/>
      </c>
      <c r="M65" s="174">
        <f>F65*Prices!C$2</f>
        <v/>
      </c>
      <c r="N65" s="174">
        <f>G65*Prices!D$2</f>
        <v/>
      </c>
      <c r="O65" s="174">
        <f>H65*Prices!E$2</f>
        <v/>
      </c>
      <c r="P65" s="174">
        <f>I65*2000+J65*10000+K65*1800</f>
        <v/>
      </c>
      <c r="Q65" s="174">
        <f>D65*Prices!A$2</f>
        <v/>
      </c>
      <c r="R65" s="174">
        <f>L65+M65+N65+O65</f>
        <v/>
      </c>
      <c r="S65" s="174">
        <f>R65+Q65+P65</f>
        <v/>
      </c>
      <c r="T65" s="26" t="n">
        <v>66</v>
      </c>
      <c r="U65" s="26" t="inlineStr">
        <is>
          <t>Sold</t>
        </is>
      </c>
      <c r="V65" s="93" t="n"/>
      <c r="W65" s="93" t="n"/>
      <c r="X65" s="93" t="n"/>
      <c r="Y65" s="93" t="n"/>
      <c r="Z65" s="93" t="n"/>
    </row>
    <row r="66">
      <c r="A66" s="26" t="n">
        <v>67</v>
      </c>
      <c r="B66" s="26" t="n">
        <v>6.258</v>
      </c>
      <c r="C66" s="26">
        <f>B66*(25/100)</f>
        <v/>
      </c>
      <c r="D66" s="26">
        <f>C66+B66</f>
        <v/>
      </c>
      <c r="E66" s="26" t="n">
        <v>0.46</v>
      </c>
      <c r="F66" s="26" t="n"/>
      <c r="G66" s="26" t="n"/>
      <c r="H66" s="26" t="n"/>
      <c r="I66" s="26" t="n"/>
      <c r="J66" s="26" t="n"/>
      <c r="K66" s="26" t="n"/>
      <c r="L66" s="174">
        <f>E66*Prices!B$2</f>
        <v/>
      </c>
      <c r="M66" s="174">
        <f>F66*Prices!C$2</f>
        <v/>
      </c>
      <c r="N66" s="174">
        <f>G66*Prices!D$2</f>
        <v/>
      </c>
      <c r="O66" s="174">
        <f>H66*Prices!E$2</f>
        <v/>
      </c>
      <c r="P66" s="174">
        <f>I66*2000+J66*10000+K66*1800</f>
        <v/>
      </c>
      <c r="Q66" s="174">
        <f>D66*Prices!A$2</f>
        <v/>
      </c>
      <c r="R66" s="174">
        <f>L66+M66+N66+O66</f>
        <v/>
      </c>
      <c r="S66" s="174">
        <f>R66+Q66+P66</f>
        <v/>
      </c>
      <c r="T66" s="26" t="n">
        <v>67</v>
      </c>
      <c r="U66" s="26" t="inlineStr">
        <is>
          <t>Available</t>
        </is>
      </c>
      <c r="V66" s="93" t="inlineStr">
        <is>
          <t>A</t>
        </is>
      </c>
      <c r="W66" s="93" t="n"/>
      <c r="X66" s="93" t="n"/>
      <c r="Y66" s="93" t="n"/>
      <c r="Z66" s="93" t="n"/>
    </row>
    <row r="67">
      <c r="A67" s="26" t="n">
        <v>68</v>
      </c>
      <c r="B67" s="26" t="n">
        <v>1.588</v>
      </c>
      <c r="C67" s="26">
        <f>B67*(25/100)</f>
        <v/>
      </c>
      <c r="D67" s="26">
        <f>C67+B67</f>
        <v/>
      </c>
      <c r="E67" s="26" t="n">
        <v>0.34</v>
      </c>
      <c r="F67" s="26" t="n"/>
      <c r="G67" s="26" t="n"/>
      <c r="H67" s="26" t="n"/>
      <c r="I67" s="26" t="n"/>
      <c r="J67" s="26" t="n"/>
      <c r="K67" s="26" t="n">
        <v>4.47</v>
      </c>
      <c r="L67" s="174">
        <f>E67*Prices!B$2</f>
        <v/>
      </c>
      <c r="M67" s="174">
        <f>F67*Prices!C$2</f>
        <v/>
      </c>
      <c r="N67" s="174">
        <f>G67*Prices!D$2</f>
        <v/>
      </c>
      <c r="O67" s="174">
        <f>H67*Prices!E$2</f>
        <v/>
      </c>
      <c r="P67" s="174">
        <f>I67*2000+J67*10000+K67*1800</f>
        <v/>
      </c>
      <c r="Q67" s="174">
        <f>D67*Prices!A$2</f>
        <v/>
      </c>
      <c r="R67" s="174">
        <f>L67+M67+N67+O67</f>
        <v/>
      </c>
      <c r="S67" s="174">
        <f>R67+Q67+P67</f>
        <v/>
      </c>
      <c r="T67" s="26" t="n">
        <v>68</v>
      </c>
      <c r="U67" s="26" t="inlineStr">
        <is>
          <t>Available</t>
        </is>
      </c>
      <c r="V67" s="93" t="inlineStr">
        <is>
          <t>A</t>
        </is>
      </c>
      <c r="W67" s="93" t="n"/>
      <c r="X67" s="93" t="n"/>
      <c r="Y67" s="93" t="n"/>
      <c r="Z67" s="93" t="n"/>
    </row>
    <row r="68">
      <c r="A68" s="26" t="n">
        <v>69</v>
      </c>
      <c r="B68" s="26" t="n">
        <v>1.15</v>
      </c>
      <c r="C68" s="26">
        <f>B68*(25/100)</f>
        <v/>
      </c>
      <c r="D68" s="26">
        <f>C68+B68</f>
        <v/>
      </c>
      <c r="E68" s="26" t="n">
        <v>0.26</v>
      </c>
      <c r="F68" s="26" t="n"/>
      <c r="G68" s="26" t="n"/>
      <c r="H68" s="26" t="n"/>
      <c r="I68" s="26" t="n"/>
      <c r="J68" s="26" t="n">
        <v>0.9399999999999999</v>
      </c>
      <c r="K68" s="26" t="n"/>
      <c r="L68" s="174">
        <f>E68*Prices!B$2</f>
        <v/>
      </c>
      <c r="M68" s="174">
        <f>F68*Prices!C$2</f>
        <v/>
      </c>
      <c r="N68" s="174">
        <f>G68*Prices!D$2</f>
        <v/>
      </c>
      <c r="O68" s="174">
        <f>H68*Prices!E$2</f>
        <v/>
      </c>
      <c r="P68" s="174">
        <f>I68*2000+J68*8000+K68*1800</f>
        <v/>
      </c>
      <c r="Q68" s="174">
        <f>D68*Prices!A$2</f>
        <v/>
      </c>
      <c r="R68" s="174">
        <f>L68+M68+N68+O68</f>
        <v/>
      </c>
      <c r="S68" s="174">
        <f>R68+Q68+P68</f>
        <v/>
      </c>
      <c r="T68" s="26" t="n">
        <v>69</v>
      </c>
      <c r="U68" s="26" t="inlineStr">
        <is>
          <t>Available</t>
        </is>
      </c>
      <c r="V68" s="93" t="inlineStr">
        <is>
          <t>A</t>
        </is>
      </c>
      <c r="W68" s="93" t="n"/>
      <c r="X68" s="93" t="n"/>
      <c r="Y68" s="93" t="n"/>
      <c r="Z68" s="93" t="n"/>
    </row>
    <row r="69">
      <c r="A69" s="26" t="n">
        <v>70</v>
      </c>
      <c r="B69" s="26" t="n">
        <v>1.534</v>
      </c>
      <c r="C69" s="26">
        <f>B69*(25/100)</f>
        <v/>
      </c>
      <c r="D69" s="26">
        <f>C69+B69</f>
        <v/>
      </c>
      <c r="E69" s="26" t="n">
        <v>0.4</v>
      </c>
      <c r="F69" s="26" t="n"/>
      <c r="G69" s="26" t="n"/>
      <c r="H69" s="26" t="n"/>
      <c r="I69" s="26" t="n"/>
      <c r="J69" s="26" t="n">
        <v>2.48</v>
      </c>
      <c r="K69" s="26" t="n"/>
      <c r="L69" s="174">
        <f>E69*Prices!B$2</f>
        <v/>
      </c>
      <c r="M69" s="174">
        <f>F69*Prices!C$2</f>
        <v/>
      </c>
      <c r="N69" s="174">
        <f>G69*Prices!D$2</f>
        <v/>
      </c>
      <c r="O69" s="174">
        <f>H69*Prices!E$2</f>
        <v/>
      </c>
      <c r="P69" s="174">
        <f>I69*2000+J69*8000+K69*1800</f>
        <v/>
      </c>
      <c r="Q69" s="174">
        <f>D69*Prices!A$2</f>
        <v/>
      </c>
      <c r="R69" s="174">
        <f>L69+M69+N69+O69</f>
        <v/>
      </c>
      <c r="S69" s="174">
        <f>R69+Q69+P69</f>
        <v/>
      </c>
      <c r="T69" s="26" t="n">
        <v>70</v>
      </c>
      <c r="U69" s="26" t="inlineStr">
        <is>
          <t>Sold</t>
        </is>
      </c>
      <c r="V69" s="93" t="n"/>
      <c r="W69" s="93" t="n"/>
      <c r="X69" s="93" t="n"/>
      <c r="Y69" s="93" t="n"/>
      <c r="Z69" s="93" t="n"/>
    </row>
    <row r="70">
      <c r="A70" s="26" t="n">
        <v>71</v>
      </c>
      <c r="B70" s="26" t="n">
        <v>7.786</v>
      </c>
      <c r="C70" s="26">
        <f>B70*(25/100)</f>
        <v/>
      </c>
      <c r="D70" s="26">
        <f>C70+B70</f>
        <v/>
      </c>
      <c r="E70" s="26" t="n">
        <v>2.12</v>
      </c>
      <c r="F70" s="26" t="n"/>
      <c r="G70" s="26" t="n"/>
      <c r="H70" s="26" t="n"/>
      <c r="I70" s="26" t="n"/>
      <c r="J70" s="26" t="n">
        <v>2.8</v>
      </c>
      <c r="K70" s="26" t="n"/>
      <c r="L70" s="174">
        <f>E70*Prices!B$2</f>
        <v/>
      </c>
      <c r="M70" s="174">
        <f>F70*Prices!C$2</f>
        <v/>
      </c>
      <c r="N70" s="174">
        <f>G70*Prices!D$2</f>
        <v/>
      </c>
      <c r="O70" s="174">
        <f>H70*Prices!E$2</f>
        <v/>
      </c>
      <c r="P70" s="174">
        <f>I70*2000+J70*8000+K70*1800</f>
        <v/>
      </c>
      <c r="Q70" s="174">
        <f>D70*Prices!A$2</f>
        <v/>
      </c>
      <c r="R70" s="174">
        <f>L70+M70+N70+O70</f>
        <v/>
      </c>
      <c r="S70" s="174">
        <f>R70+Q70+P70</f>
        <v/>
      </c>
      <c r="T70" s="26" t="n">
        <v>71</v>
      </c>
      <c r="U70" s="26" t="inlineStr">
        <is>
          <t>Sold</t>
        </is>
      </c>
      <c r="V70" s="93" t="n"/>
      <c r="W70" s="93" t="n"/>
      <c r="X70" s="93" t="n"/>
      <c r="Y70" s="93" t="n"/>
      <c r="Z70" s="93" t="n"/>
    </row>
    <row r="71">
      <c r="A71" s="26" t="n">
        <v>72</v>
      </c>
      <c r="B71" s="26" t="n">
        <v>0.872</v>
      </c>
      <c r="C71" s="26">
        <f>B71*(25/100)</f>
        <v/>
      </c>
      <c r="D71" s="26">
        <f>C71+B71</f>
        <v/>
      </c>
      <c r="E71" s="26" t="n">
        <v>0.06</v>
      </c>
      <c r="F71" s="26" t="n"/>
      <c r="G71" s="26" t="n"/>
      <c r="H71" s="26" t="n"/>
      <c r="I71" s="26" t="n"/>
      <c r="J71" s="26" t="n">
        <v>0.38</v>
      </c>
      <c r="K71" s="26" t="n"/>
      <c r="L71" s="174">
        <f>E71*Prices!B$2</f>
        <v/>
      </c>
      <c r="M71" s="174">
        <f>F71*Prices!C$2</f>
        <v/>
      </c>
      <c r="N71" s="174">
        <f>G71*Prices!D$2</f>
        <v/>
      </c>
      <c r="O71" s="174">
        <f>H71*Prices!E$2</f>
        <v/>
      </c>
      <c r="P71" s="174">
        <f>I71*2000+J71*8000+K71*1800</f>
        <v/>
      </c>
      <c r="Q71" s="174">
        <f>D71*Prices!A$2</f>
        <v/>
      </c>
      <c r="R71" s="174">
        <f>L71+M71+N71+O71</f>
        <v/>
      </c>
      <c r="S71" s="174">
        <f>R71+Q71+P71</f>
        <v/>
      </c>
      <c r="T71" s="26" t="n">
        <v>72</v>
      </c>
      <c r="U71" s="26" t="inlineStr">
        <is>
          <t>Available</t>
        </is>
      </c>
      <c r="V71" s="93" t="inlineStr">
        <is>
          <t>A</t>
        </is>
      </c>
      <c r="W71" s="93" t="n"/>
      <c r="X71" s="93" t="n"/>
      <c r="Y71" s="93" t="n"/>
      <c r="Z71" s="93" t="n"/>
    </row>
    <row r="72">
      <c r="A72" s="26" t="n">
        <v>73</v>
      </c>
      <c r="B72" s="26" t="n">
        <v>0.952</v>
      </c>
      <c r="C72" s="26">
        <f>B72*(25/100)</f>
        <v/>
      </c>
      <c r="D72" s="26">
        <f>C72+B72</f>
        <v/>
      </c>
      <c r="E72" s="26" t="n">
        <v>0.06</v>
      </c>
      <c r="F72" s="26" t="n"/>
      <c r="G72" s="26" t="n"/>
      <c r="H72" s="26" t="n"/>
      <c r="I72" s="26" t="n"/>
      <c r="J72" s="26" t="n">
        <v>0.83</v>
      </c>
      <c r="K72" s="26" t="n"/>
      <c r="L72" s="174">
        <f>E72*Prices!B$2</f>
        <v/>
      </c>
      <c r="M72" s="174">
        <f>F72*Prices!C$2</f>
        <v/>
      </c>
      <c r="N72" s="174">
        <f>G72*Prices!D$2</f>
        <v/>
      </c>
      <c r="O72" s="174">
        <f>H72*Prices!E$2</f>
        <v/>
      </c>
      <c r="P72" s="174">
        <f>I72*2000+J72*8000+K72*1800</f>
        <v/>
      </c>
      <c r="Q72" s="174">
        <f>D72*Prices!A$2</f>
        <v/>
      </c>
      <c r="R72" s="174">
        <f>L72+M72+N72+O72</f>
        <v/>
      </c>
      <c r="S72" s="174">
        <f>R72+Q72+P72</f>
        <v/>
      </c>
      <c r="T72" s="26" t="n">
        <v>73</v>
      </c>
      <c r="U72" s="26" t="inlineStr">
        <is>
          <t>Sold</t>
        </is>
      </c>
      <c r="V72" s="93" t="n"/>
      <c r="W72" s="93" t="n"/>
      <c r="X72" s="93" t="n"/>
      <c r="Y72" s="93" t="n"/>
      <c r="Z72" s="93" t="n"/>
    </row>
    <row r="73">
      <c r="A73" s="26" t="n">
        <v>74</v>
      </c>
      <c r="B73" s="26" t="n">
        <v>14.604</v>
      </c>
      <c r="C73" s="26">
        <f>B73*(25/100)</f>
        <v/>
      </c>
      <c r="D73" s="26">
        <f>C73+B73</f>
        <v/>
      </c>
      <c r="E73" s="26" t="n">
        <v>4.29</v>
      </c>
      <c r="F73" s="26" t="n"/>
      <c r="G73" s="26" t="n"/>
      <c r="H73" s="26" t="n"/>
      <c r="I73" s="26" t="n"/>
      <c r="J73" s="26" t="n"/>
      <c r="K73" s="26" t="n"/>
      <c r="L73" s="174">
        <f>E73*Prices!B$2</f>
        <v/>
      </c>
      <c r="M73" s="174">
        <f>F73*Prices!C$2</f>
        <v/>
      </c>
      <c r="N73" s="174">
        <f>G73*Prices!D$2</f>
        <v/>
      </c>
      <c r="O73" s="174">
        <f>H73*Prices!E$2</f>
        <v/>
      </c>
      <c r="P73" s="174">
        <f>I73*2000+J73*10000+K73*1800</f>
        <v/>
      </c>
      <c r="Q73" s="174">
        <f>D73*Prices!A$2</f>
        <v/>
      </c>
      <c r="R73" s="174">
        <f>L73+M73+N73+O73</f>
        <v/>
      </c>
      <c r="S73" s="174">
        <f>R73+Q73+P73</f>
        <v/>
      </c>
      <c r="T73" s="26" t="n">
        <v>74</v>
      </c>
      <c r="U73" s="26" t="inlineStr">
        <is>
          <t>Available</t>
        </is>
      </c>
      <c r="V73" s="93" t="inlineStr">
        <is>
          <t>A</t>
        </is>
      </c>
      <c r="W73" s="93" t="n"/>
      <c r="X73" s="93" t="n"/>
      <c r="Y73" s="93" t="n"/>
      <c r="Z73" s="93" t="n"/>
    </row>
    <row r="74">
      <c r="A74" s="26" t="n">
        <v>75</v>
      </c>
      <c r="B74" s="26" t="n">
        <v>13.428</v>
      </c>
      <c r="C74" s="26">
        <f>B74*(25/100)</f>
        <v/>
      </c>
      <c r="D74" s="26">
        <f>C74+B74</f>
        <v/>
      </c>
      <c r="E74" s="26" t="n">
        <v>3.21</v>
      </c>
      <c r="F74" s="26" t="n"/>
      <c r="G74" s="26" t="n"/>
      <c r="H74" s="26" t="n"/>
      <c r="I74" s="26" t="n"/>
      <c r="J74" s="26" t="n"/>
      <c r="K74" s="26" t="n"/>
      <c r="L74" s="174">
        <f>E74*Prices!B$2</f>
        <v/>
      </c>
      <c r="M74" s="174">
        <f>F74*Prices!C$2</f>
        <v/>
      </c>
      <c r="N74" s="174">
        <f>G74*Prices!D$2</f>
        <v/>
      </c>
      <c r="O74" s="174">
        <f>H74*Prices!E$2</f>
        <v/>
      </c>
      <c r="P74" s="174">
        <f>I74*2000+J74*10000+K74*1800</f>
        <v/>
      </c>
      <c r="Q74" s="174">
        <f>D74*Prices!A$2</f>
        <v/>
      </c>
      <c r="R74" s="174">
        <f>L74+M74+N74+O74</f>
        <v/>
      </c>
      <c r="S74" s="174">
        <f>R74+Q74+P74</f>
        <v/>
      </c>
      <c r="T74" s="26" t="n">
        <v>75</v>
      </c>
      <c r="U74" s="26" t="inlineStr">
        <is>
          <t>Available</t>
        </is>
      </c>
      <c r="V74" s="93" t="inlineStr">
        <is>
          <t>A</t>
        </is>
      </c>
      <c r="W74" s="93" t="n"/>
      <c r="X74" s="93" t="n"/>
      <c r="Y74" s="93" t="n"/>
      <c r="Z74" s="93" t="n"/>
    </row>
    <row r="75">
      <c r="A75" s="26" t="n">
        <v>76</v>
      </c>
      <c r="B75" s="26" t="n">
        <v>14.282</v>
      </c>
      <c r="C75" s="26">
        <f>B75*(25/100)</f>
        <v/>
      </c>
      <c r="D75" s="26">
        <f>C75+B75</f>
        <v/>
      </c>
      <c r="E75" s="26" t="n">
        <v>3.14</v>
      </c>
      <c r="F75" s="26" t="n"/>
      <c r="G75" s="26" t="n"/>
      <c r="H75" s="26" t="n"/>
      <c r="I75" s="26" t="n">
        <v>0.95</v>
      </c>
      <c r="J75" s="26" t="n"/>
      <c r="K75" s="26" t="n"/>
      <c r="L75" s="174">
        <f>E75*Prices!B$2</f>
        <v/>
      </c>
      <c r="M75" s="174">
        <f>F75*Prices!C$2</f>
        <v/>
      </c>
      <c r="N75" s="174">
        <f>G75*Prices!D$2</f>
        <v/>
      </c>
      <c r="O75" s="174">
        <f>H75*Prices!E$2</f>
        <v/>
      </c>
      <c r="P75" s="174">
        <f>I75*2000+J75*10000+K75*1800</f>
        <v/>
      </c>
      <c r="Q75" s="174">
        <f>D75*Prices!A$2</f>
        <v/>
      </c>
      <c r="R75" s="174">
        <f>L75+M75+N75+O75</f>
        <v/>
      </c>
      <c r="S75" s="174">
        <f>R75+Q75+P75</f>
        <v/>
      </c>
      <c r="T75" s="26" t="n">
        <v>76</v>
      </c>
      <c r="U75" s="26" t="inlineStr">
        <is>
          <t>Sold</t>
        </is>
      </c>
      <c r="V75" s="93" t="n"/>
      <c r="W75" s="93" t="n"/>
      <c r="X75" s="93" t="n"/>
      <c r="Y75" s="93" t="n"/>
      <c r="Z75" s="93" t="n"/>
    </row>
    <row r="76">
      <c r="A76" s="26" t="n">
        <v>77</v>
      </c>
      <c r="B76" s="26" t="n">
        <v>3</v>
      </c>
      <c r="C76" s="26">
        <f>B76*(25/100)</f>
        <v/>
      </c>
      <c r="D76" s="26">
        <f>C76+B76</f>
        <v/>
      </c>
      <c r="E76" s="26" t="n">
        <v>0.25</v>
      </c>
      <c r="F76" s="26" t="n"/>
      <c r="G76" s="26" t="n"/>
      <c r="H76" s="26" t="n"/>
      <c r="I76" s="26" t="n"/>
      <c r="J76" s="26" t="n"/>
      <c r="K76" s="26" t="n"/>
      <c r="L76" s="174">
        <f>E76*Prices!B$2</f>
        <v/>
      </c>
      <c r="M76" s="174">
        <f>F76*Prices!C$2</f>
        <v/>
      </c>
      <c r="N76" s="174">
        <f>G76*Prices!D$2</f>
        <v/>
      </c>
      <c r="O76" s="174">
        <f>H76*Prices!E$2</f>
        <v/>
      </c>
      <c r="P76" s="174">
        <f>I76*2000+J76*10000+K76*1800</f>
        <v/>
      </c>
      <c r="Q76" s="174">
        <f>D76*Prices!A$2</f>
        <v/>
      </c>
      <c r="R76" s="174">
        <f>L76+M76+N76+O76</f>
        <v/>
      </c>
      <c r="S76" s="174">
        <f>R76+Q76+P76</f>
        <v/>
      </c>
      <c r="T76" s="26" t="n">
        <v>77</v>
      </c>
      <c r="U76" s="26" t="inlineStr">
        <is>
          <t>Sold</t>
        </is>
      </c>
      <c r="V76" s="93" t="n"/>
      <c r="W76" s="93" t="n"/>
      <c r="X76" s="93" t="n"/>
      <c r="Y76" s="93" t="n"/>
      <c r="Z76" s="93" t="n"/>
    </row>
    <row r="77">
      <c r="A77" s="26" t="n">
        <v>78</v>
      </c>
      <c r="B77" s="26" t="n">
        <v>1.982</v>
      </c>
      <c r="C77" s="26">
        <f>B77*(25/100)</f>
        <v/>
      </c>
      <c r="D77" s="26">
        <f>C77+B77</f>
        <v/>
      </c>
      <c r="E77" s="26" t="n">
        <v>0.59</v>
      </c>
      <c r="F77" s="26" t="n"/>
      <c r="G77" s="26" t="n"/>
      <c r="H77" s="26" t="n"/>
      <c r="I77" s="26" t="n"/>
      <c r="J77" s="26" t="n"/>
      <c r="K77" s="26" t="n"/>
      <c r="L77" s="174">
        <f>E77*Prices!B$2</f>
        <v/>
      </c>
      <c r="M77" s="174">
        <f>F77*Prices!C$2</f>
        <v/>
      </c>
      <c r="N77" s="174">
        <f>G77*Prices!D$2</f>
        <v/>
      </c>
      <c r="O77" s="174">
        <f>H77*Prices!E$2</f>
        <v/>
      </c>
      <c r="P77" s="174">
        <f>I77*2000+J77*10000+K77*1800</f>
        <v/>
      </c>
      <c r="Q77" s="174">
        <f>D77*Prices!A$2</f>
        <v/>
      </c>
      <c r="R77" s="174">
        <f>L77+M77+N77+O77</f>
        <v/>
      </c>
      <c r="S77" s="174">
        <f>R77+Q77+P77</f>
        <v/>
      </c>
      <c r="T77" s="26" t="n">
        <v>78</v>
      </c>
      <c r="U77" s="26" t="inlineStr">
        <is>
          <t>Sold</t>
        </is>
      </c>
      <c r="V77" s="93" t="n"/>
      <c r="W77" s="93" t="n"/>
      <c r="X77" s="93" t="n"/>
      <c r="Y77" s="93" t="n"/>
      <c r="Z77" s="93" t="n"/>
    </row>
    <row r="78">
      <c r="A78" s="26" t="n">
        <v>79</v>
      </c>
      <c r="B78" s="26" t="n">
        <v>2.846</v>
      </c>
      <c r="C78" s="26">
        <f>B78*(25/100)</f>
        <v/>
      </c>
      <c r="D78" s="26">
        <f>C78+B78</f>
        <v/>
      </c>
      <c r="E78" s="26" t="n">
        <v>1.01</v>
      </c>
      <c r="F78" s="26" t="n"/>
      <c r="G78" s="26" t="n"/>
      <c r="H78" s="26" t="n"/>
      <c r="I78" s="26" t="n"/>
      <c r="J78" s="26" t="n"/>
      <c r="K78" s="26" t="n"/>
      <c r="L78" s="174">
        <f>E78*Prices!B$2</f>
        <v/>
      </c>
      <c r="M78" s="174">
        <f>F78*Prices!C$2</f>
        <v/>
      </c>
      <c r="N78" s="174">
        <f>G78*Prices!D$2</f>
        <v/>
      </c>
      <c r="O78" s="174">
        <f>H78*Prices!E$2</f>
        <v/>
      </c>
      <c r="P78" s="174">
        <f>I78*2000+J78*10000+K78*1800</f>
        <v/>
      </c>
      <c r="Q78" s="174">
        <f>D78*Prices!A$2</f>
        <v/>
      </c>
      <c r="R78" s="174">
        <f>L78+M78+N78+O78</f>
        <v/>
      </c>
      <c r="S78" s="174">
        <f>R78+Q78+P78</f>
        <v/>
      </c>
      <c r="T78" s="26" t="n">
        <v>79</v>
      </c>
      <c r="U78" s="26" t="inlineStr">
        <is>
          <t>Available</t>
        </is>
      </c>
      <c r="V78" s="93" t="inlineStr">
        <is>
          <t>A</t>
        </is>
      </c>
      <c r="W78" s="93" t="n"/>
      <c r="X78" s="93" t="n"/>
      <c r="Y78" s="93" t="n"/>
      <c r="Z78" s="93" t="n"/>
    </row>
    <row r="79">
      <c r="A79" s="26" t="n">
        <v>80</v>
      </c>
      <c r="B79" s="26" t="n">
        <v>4.822</v>
      </c>
      <c r="C79" s="26">
        <f>B79*(25/100)</f>
        <v/>
      </c>
      <c r="D79" s="26">
        <f>C79+B79</f>
        <v/>
      </c>
      <c r="E79" s="26" t="n">
        <v>0.64</v>
      </c>
      <c r="F79" s="26" t="n"/>
      <c r="G79" s="26" t="n"/>
      <c r="H79" s="26" t="n"/>
      <c r="I79" s="26" t="n"/>
      <c r="J79" s="26" t="n"/>
      <c r="K79" s="26" t="n"/>
      <c r="L79" s="174">
        <f>E79*Prices!B$2</f>
        <v/>
      </c>
      <c r="M79" s="174">
        <f>F79*Prices!C$2</f>
        <v/>
      </c>
      <c r="N79" s="174">
        <f>G79*Prices!D$2</f>
        <v/>
      </c>
      <c r="O79" s="174">
        <f>H79*Prices!E$2</f>
        <v/>
      </c>
      <c r="P79" s="174">
        <f>I79*2000+J79*10000+K79*1800</f>
        <v/>
      </c>
      <c r="Q79" s="174">
        <f>D79*Prices!A$2</f>
        <v/>
      </c>
      <c r="R79" s="174">
        <f>L79+M79+N79+O79</f>
        <v/>
      </c>
      <c r="S79" s="174">
        <f>R79+Q79+P79</f>
        <v/>
      </c>
      <c r="T79" s="26" t="n">
        <v>80</v>
      </c>
      <c r="U79" s="26" t="inlineStr">
        <is>
          <t>Available</t>
        </is>
      </c>
      <c r="V79" s="93" t="inlineStr">
        <is>
          <t>A</t>
        </is>
      </c>
      <c r="W79" s="93" t="n"/>
      <c r="X79" s="93" t="n"/>
      <c r="Y79" s="93" t="n"/>
      <c r="Z79" s="93" t="n"/>
    </row>
    <row r="80">
      <c r="A80" s="26" t="n">
        <v>81</v>
      </c>
      <c r="B80" s="26" t="n">
        <v>3.13</v>
      </c>
      <c r="C80" s="26">
        <f>B80*(25/100)</f>
        <v/>
      </c>
      <c r="D80" s="26">
        <f>C80+B80</f>
        <v/>
      </c>
      <c r="E80" s="26" t="n">
        <v>0.57</v>
      </c>
      <c r="F80" s="26" t="n"/>
      <c r="G80" s="26" t="n"/>
      <c r="H80" s="26" t="n"/>
      <c r="I80" s="26" t="n"/>
      <c r="J80" s="26" t="n"/>
      <c r="K80" s="26" t="n">
        <v>2.18</v>
      </c>
      <c r="L80" s="174">
        <f>E80*Prices!B$2</f>
        <v/>
      </c>
      <c r="M80" s="174">
        <f>F80*Prices!C$2</f>
        <v/>
      </c>
      <c r="N80" s="174">
        <f>G80*Prices!D$2</f>
        <v/>
      </c>
      <c r="O80" s="174">
        <f>H80*Prices!E$2</f>
        <v/>
      </c>
      <c r="P80" s="174">
        <f>I80*2000+J80*10000+K80*1800</f>
        <v/>
      </c>
      <c r="Q80" s="174">
        <f>D80*Prices!A$2</f>
        <v/>
      </c>
      <c r="R80" s="174">
        <f>L80+M80+N80+O80</f>
        <v/>
      </c>
      <c r="S80" s="174">
        <f>R80+Q80+P80</f>
        <v/>
      </c>
      <c r="T80" s="26" t="n">
        <v>81</v>
      </c>
      <c r="U80" s="26" t="inlineStr">
        <is>
          <t>Available</t>
        </is>
      </c>
      <c r="V80" s="93" t="inlineStr">
        <is>
          <t>A</t>
        </is>
      </c>
      <c r="W80" s="93" t="n"/>
      <c r="X80" s="93" t="n"/>
      <c r="Y80" s="93" t="n"/>
      <c r="Z80" s="93" t="n"/>
    </row>
    <row r="81">
      <c r="A81" s="26" t="n">
        <v>82</v>
      </c>
      <c r="B81" s="26" t="n">
        <v>2.222</v>
      </c>
      <c r="C81" s="26">
        <f>B81*(25/100)</f>
        <v/>
      </c>
      <c r="D81" s="26">
        <f>C81+B81</f>
        <v/>
      </c>
      <c r="E81" s="26" t="n">
        <v>0.46</v>
      </c>
      <c r="F81" s="26" t="n"/>
      <c r="G81" s="26" t="n"/>
      <c r="H81" s="26" t="n"/>
      <c r="I81" s="26" t="n"/>
      <c r="J81" s="26" t="n"/>
      <c r="K81" s="26" t="n">
        <v>2.23</v>
      </c>
      <c r="L81" s="174">
        <f>E81*Prices!B$2</f>
        <v/>
      </c>
      <c r="M81" s="174">
        <f>F81*Prices!C$2</f>
        <v/>
      </c>
      <c r="N81" s="174">
        <f>G81*Prices!D$2</f>
        <v/>
      </c>
      <c r="O81" s="174">
        <f>H81*Prices!E$2</f>
        <v/>
      </c>
      <c r="P81" s="174">
        <f>I81*2000+J81*10000+K81*1800</f>
        <v/>
      </c>
      <c r="Q81" s="174">
        <f>D81*Prices!A$2</f>
        <v/>
      </c>
      <c r="R81" s="174">
        <f>L81+M81+N81+O81</f>
        <v/>
      </c>
      <c r="S81" s="174">
        <f>R81+Q81+P81</f>
        <v/>
      </c>
      <c r="T81" s="26" t="n">
        <v>82</v>
      </c>
      <c r="U81" s="26" t="inlineStr">
        <is>
          <t>Available</t>
        </is>
      </c>
      <c r="V81" s="93" t="inlineStr">
        <is>
          <t>A</t>
        </is>
      </c>
      <c r="W81" s="93" t="n"/>
      <c r="X81" s="93" t="n"/>
      <c r="Y81" s="93" t="n"/>
      <c r="Z81" s="93" t="n"/>
    </row>
    <row r="82">
      <c r="A82" s="26" t="n">
        <v>83</v>
      </c>
      <c r="B82" s="26" t="n">
        <v>2.284</v>
      </c>
      <c r="C82" s="26">
        <f>B82*(25/100)</f>
        <v/>
      </c>
      <c r="D82" s="26">
        <f>C82+B82</f>
        <v/>
      </c>
      <c r="E82" s="26" t="n">
        <v>0.6</v>
      </c>
      <c r="F82" s="26" t="n"/>
      <c r="G82" s="26" t="n"/>
      <c r="H82" s="26" t="n"/>
      <c r="I82" s="26" t="n"/>
      <c r="J82" s="26" t="n"/>
      <c r="K82" s="26" t="n">
        <v>1.43</v>
      </c>
      <c r="L82" s="174">
        <f>E82*Prices!B$2</f>
        <v/>
      </c>
      <c r="M82" s="174">
        <f>F82*Prices!C$2</f>
        <v/>
      </c>
      <c r="N82" s="174">
        <f>G82*Prices!D$2</f>
        <v/>
      </c>
      <c r="O82" s="174">
        <f>H82*Prices!E$2</f>
        <v/>
      </c>
      <c r="P82" s="174">
        <f>I82*2000+J82*10000+K82*1800</f>
        <v/>
      </c>
      <c r="Q82" s="174">
        <f>D82*Prices!A$2</f>
        <v/>
      </c>
      <c r="R82" s="174">
        <f>L82+M82+N82+O82</f>
        <v/>
      </c>
      <c r="S82" s="174">
        <f>R82+Q82+P82</f>
        <v/>
      </c>
      <c r="T82" s="26" t="n">
        <v>83</v>
      </c>
      <c r="U82" s="26" t="inlineStr">
        <is>
          <t>Available</t>
        </is>
      </c>
      <c r="V82" s="93" t="inlineStr">
        <is>
          <t>A</t>
        </is>
      </c>
      <c r="W82" s="93" t="n"/>
      <c r="X82" s="93" t="n"/>
      <c r="Y82" s="93" t="n"/>
      <c r="Z82" s="93" t="n"/>
    </row>
    <row r="83">
      <c r="A83" s="26" t="n">
        <v>84</v>
      </c>
      <c r="B83" s="26" t="n">
        <v>2.146</v>
      </c>
      <c r="C83" s="26">
        <f>B83*(25/100)</f>
        <v/>
      </c>
      <c r="D83" s="26">
        <f>C83+B83</f>
        <v/>
      </c>
      <c r="E83" s="26" t="n">
        <v>0.27</v>
      </c>
      <c r="F83" s="26" t="n"/>
      <c r="G83" s="26" t="n"/>
      <c r="H83" s="26" t="n"/>
      <c r="I83" s="26" t="n">
        <v>1.2</v>
      </c>
      <c r="J83" s="26" t="n"/>
      <c r="K83" s="26" t="n"/>
      <c r="L83" s="174">
        <f>E83*Prices!B$2</f>
        <v/>
      </c>
      <c r="M83" s="174">
        <f>F83*Prices!C$2</f>
        <v/>
      </c>
      <c r="N83" s="174">
        <f>G83*Prices!D$2</f>
        <v/>
      </c>
      <c r="O83" s="174">
        <f>H83*Prices!E$2</f>
        <v/>
      </c>
      <c r="P83" s="174">
        <f>I83*2000+J83*10000+K83*1800</f>
        <v/>
      </c>
      <c r="Q83" s="174">
        <f>D83*Prices!A$2</f>
        <v/>
      </c>
      <c r="R83" s="174">
        <f>L83+M83+N83+O83</f>
        <v/>
      </c>
      <c r="S83" s="174">
        <f>R83+Q83+P83</f>
        <v/>
      </c>
      <c r="T83" s="26" t="n">
        <v>84</v>
      </c>
      <c r="U83" s="93" t="inlineStr">
        <is>
          <t>Sold</t>
        </is>
      </c>
      <c r="V83" s="93" t="n"/>
      <c r="W83" s="93" t="n"/>
      <c r="X83" s="93" t="n"/>
      <c r="Y83" s="93" t="n"/>
      <c r="Z83" s="93" t="n"/>
    </row>
    <row r="84">
      <c r="A84" s="26" t="n">
        <v>85</v>
      </c>
      <c r="B84" s="26" t="n">
        <v>2.26</v>
      </c>
      <c r="C84" s="26">
        <f>B84*(25/100)</f>
        <v/>
      </c>
      <c r="D84" s="26">
        <f>C84+B84</f>
        <v/>
      </c>
      <c r="E84" s="26" t="n">
        <v>0.36</v>
      </c>
      <c r="F84" s="26" t="n"/>
      <c r="G84" s="26" t="n"/>
      <c r="H84" s="26" t="n"/>
      <c r="I84" s="26" t="n">
        <v>1.79</v>
      </c>
      <c r="J84" s="26" t="n"/>
      <c r="K84" s="26" t="n"/>
      <c r="L84" s="174">
        <f>E84*Prices!B$2</f>
        <v/>
      </c>
      <c r="M84" s="174">
        <f>F84*Prices!C$2</f>
        <v/>
      </c>
      <c r="N84" s="174">
        <f>G84*Prices!D$2</f>
        <v/>
      </c>
      <c r="O84" s="174">
        <f>H84*Prices!E$2</f>
        <v/>
      </c>
      <c r="P84" s="174">
        <f>I84*2000+J84*10000+K84*1800</f>
        <v/>
      </c>
      <c r="Q84" s="174">
        <f>D84*Prices!A$2</f>
        <v/>
      </c>
      <c r="R84" s="174">
        <f>L84+M84+N84+O84</f>
        <v/>
      </c>
      <c r="S84" s="174">
        <f>R84+Q84+P84</f>
        <v/>
      </c>
      <c r="T84" s="26" t="n">
        <v>85</v>
      </c>
      <c r="U84" s="26" t="inlineStr">
        <is>
          <t>Available</t>
        </is>
      </c>
      <c r="V84" s="93" t="inlineStr">
        <is>
          <t>A</t>
        </is>
      </c>
      <c r="W84" s="93" t="n"/>
      <c r="X84" s="93" t="n"/>
      <c r="Y84" s="93" t="n"/>
      <c r="Z84" s="93" t="n"/>
    </row>
    <row r="85">
      <c r="A85" s="26" t="n">
        <v>86</v>
      </c>
      <c r="B85" s="26" t="n">
        <v>2.02</v>
      </c>
      <c r="C85" s="26">
        <f>B85*(25/100)</f>
        <v/>
      </c>
      <c r="D85" s="26">
        <f>C85+B85</f>
        <v/>
      </c>
      <c r="E85" s="26" t="n">
        <v>0.4</v>
      </c>
      <c r="F85" s="26" t="n"/>
      <c r="G85" s="26" t="n"/>
      <c r="H85" s="26" t="n"/>
      <c r="I85" s="26" t="n">
        <v>1.75</v>
      </c>
      <c r="J85" s="26" t="n"/>
      <c r="K85" s="26" t="n"/>
      <c r="L85" s="174">
        <f>E85*Prices!B$2</f>
        <v/>
      </c>
      <c r="M85" s="174">
        <f>F85*Prices!C$2</f>
        <v/>
      </c>
      <c r="N85" s="174">
        <f>G85*Prices!D$2</f>
        <v/>
      </c>
      <c r="O85" s="174">
        <f>H85*Prices!E$2</f>
        <v/>
      </c>
      <c r="P85" s="174">
        <f>I85*2000+J85*10000+K85*1800</f>
        <v/>
      </c>
      <c r="Q85" s="174">
        <f>D85*Prices!A$2</f>
        <v/>
      </c>
      <c r="R85" s="174">
        <f>L85+M85+N85+O85</f>
        <v/>
      </c>
      <c r="S85" s="174">
        <f>R85+Q85+P85</f>
        <v/>
      </c>
      <c r="T85" s="26" t="n">
        <v>86</v>
      </c>
      <c r="U85" s="26" t="inlineStr">
        <is>
          <t>Available</t>
        </is>
      </c>
      <c r="V85" s="93" t="inlineStr">
        <is>
          <t>A</t>
        </is>
      </c>
      <c r="W85" s="93" t="n"/>
      <c r="X85" s="93" t="n"/>
      <c r="Y85" s="93" t="n"/>
      <c r="Z85" s="93" t="n"/>
    </row>
    <row r="86">
      <c r="A86" s="26" t="n">
        <v>87</v>
      </c>
      <c r="B86" s="26" t="n">
        <v>1.568</v>
      </c>
      <c r="C86" s="26">
        <f>B86*(25/100)</f>
        <v/>
      </c>
      <c r="D86" s="26">
        <f>C86+B86</f>
        <v/>
      </c>
      <c r="E86" s="26" t="n">
        <v>0.16</v>
      </c>
      <c r="F86" s="26" t="n"/>
      <c r="G86" s="26" t="n"/>
      <c r="H86" s="26" t="n"/>
      <c r="I86" s="26" t="n">
        <v>0.7</v>
      </c>
      <c r="J86" s="26" t="n"/>
      <c r="K86" s="26" t="n"/>
      <c r="L86" s="174">
        <f>E86*Prices!B$2</f>
        <v/>
      </c>
      <c r="M86" s="174">
        <f>F86*Prices!C$2</f>
        <v/>
      </c>
      <c r="N86" s="174">
        <f>G86*Prices!D$2</f>
        <v/>
      </c>
      <c r="O86" s="174">
        <f>H86*Prices!E$2</f>
        <v/>
      </c>
      <c r="P86" s="174">
        <f>I86*2000+J86*10000+K86*1800</f>
        <v/>
      </c>
      <c r="Q86" s="174">
        <f>D86*Prices!A$2</f>
        <v/>
      </c>
      <c r="R86" s="174">
        <f>L86+M86+N86+O86</f>
        <v/>
      </c>
      <c r="S86" s="174">
        <f>R86+Q86+P86</f>
        <v/>
      </c>
      <c r="T86" s="26" t="n">
        <v>87</v>
      </c>
      <c r="U86" s="26" t="inlineStr">
        <is>
          <t>Sold</t>
        </is>
      </c>
      <c r="V86" s="93" t="n"/>
      <c r="W86" s="93" t="n"/>
      <c r="X86" s="93" t="n"/>
      <c r="Y86" s="93" t="n"/>
      <c r="Z86" s="93" t="n"/>
    </row>
    <row r="87">
      <c r="A87" s="26" t="n">
        <v>88</v>
      </c>
      <c r="B87" s="26" t="n">
        <v>1.528</v>
      </c>
      <c r="C87" s="26">
        <f>B87*(25/100)</f>
        <v/>
      </c>
      <c r="D87" s="26">
        <f>C87+B87</f>
        <v/>
      </c>
      <c r="E87" s="26" t="n">
        <v>0.16</v>
      </c>
      <c r="F87" s="26" t="n"/>
      <c r="G87" s="26" t="n"/>
      <c r="H87" s="26" t="n"/>
      <c r="I87" s="26" t="n">
        <v>0.65</v>
      </c>
      <c r="J87" s="26" t="n"/>
      <c r="K87" s="26" t="n"/>
      <c r="L87" s="174">
        <f>E87*Prices!B$2</f>
        <v/>
      </c>
      <c r="M87" s="174">
        <f>F87*Prices!C$2</f>
        <v/>
      </c>
      <c r="N87" s="174">
        <f>G87*Prices!D$2</f>
        <v/>
      </c>
      <c r="O87" s="174">
        <f>H87*Prices!E$2</f>
        <v/>
      </c>
      <c r="P87" s="174">
        <f>I87*2000+J87*10000+K87*1800</f>
        <v/>
      </c>
      <c r="Q87" s="174">
        <f>D87*Prices!A$2</f>
        <v/>
      </c>
      <c r="R87" s="174">
        <f>L87+M87+N87+O87</f>
        <v/>
      </c>
      <c r="S87" s="174">
        <f>R87+Q87+P87</f>
        <v/>
      </c>
      <c r="T87" s="26" t="n">
        <v>88</v>
      </c>
      <c r="U87" s="26" t="inlineStr">
        <is>
          <t>Sold</t>
        </is>
      </c>
      <c r="V87" s="93" t="n"/>
      <c r="W87" s="93" t="n"/>
      <c r="X87" s="93" t="n"/>
      <c r="Y87" s="93" t="n"/>
      <c r="Z87" s="93" t="n"/>
    </row>
    <row r="88">
      <c r="A88" s="26" t="n">
        <v>89</v>
      </c>
      <c r="B88" s="26" t="n">
        <v>1.428</v>
      </c>
      <c r="C88" s="26">
        <f>B88*(25/100)</f>
        <v/>
      </c>
      <c r="D88" s="26">
        <f>C88+B88</f>
        <v/>
      </c>
      <c r="E88" s="26" t="n">
        <v>0.14</v>
      </c>
      <c r="F88" s="26" t="n"/>
      <c r="G88" s="26" t="n"/>
      <c r="H88" s="26" t="n"/>
      <c r="I88" s="26" t="n">
        <v>0.97</v>
      </c>
      <c r="J88" s="26" t="n"/>
      <c r="K88" s="26" t="n"/>
      <c r="L88" s="174">
        <f>E88*Prices!B$2</f>
        <v/>
      </c>
      <c r="M88" s="174">
        <f>F88*Prices!C$2</f>
        <v/>
      </c>
      <c r="N88" s="174">
        <f>G88*Prices!D$2</f>
        <v/>
      </c>
      <c r="O88" s="174">
        <f>H88*Prices!E$2</f>
        <v/>
      </c>
      <c r="P88" s="174">
        <f>I88*2000+J88*10000+K88*1800</f>
        <v/>
      </c>
      <c r="Q88" s="174">
        <f>D88*Prices!A$2</f>
        <v/>
      </c>
      <c r="R88" s="174">
        <f>L88+M88+N88+O88</f>
        <v/>
      </c>
      <c r="S88" s="174">
        <f>R88+Q88+P88</f>
        <v/>
      </c>
      <c r="T88" s="26" t="n">
        <v>89</v>
      </c>
      <c r="U88" s="26" t="inlineStr">
        <is>
          <t>Sold</t>
        </is>
      </c>
      <c r="V88" s="93" t="n"/>
      <c r="W88" s="93" t="n"/>
      <c r="X88" s="93" t="n"/>
      <c r="Y88" s="93" t="n"/>
      <c r="Z88" s="93" t="n"/>
    </row>
    <row r="89">
      <c r="A89" s="26" t="n">
        <v>90</v>
      </c>
      <c r="B89" s="26" t="n">
        <v>1.39</v>
      </c>
      <c r="C89" s="26">
        <f>B89*(25/100)</f>
        <v/>
      </c>
      <c r="D89" s="26">
        <f>C89+B89</f>
        <v/>
      </c>
      <c r="E89" s="26" t="n">
        <v>0.15</v>
      </c>
      <c r="F89" s="26" t="n"/>
      <c r="G89" s="26" t="n"/>
      <c r="H89" s="26" t="n"/>
      <c r="I89" s="26" t="n">
        <v>0.45</v>
      </c>
      <c r="J89" s="26" t="n"/>
      <c r="K89" s="26" t="n"/>
      <c r="L89" s="174">
        <f>E89*Prices!B$2</f>
        <v/>
      </c>
      <c r="M89" s="174">
        <f>F89*Prices!C$2</f>
        <v/>
      </c>
      <c r="N89" s="174">
        <f>G89*Prices!D$2</f>
        <v/>
      </c>
      <c r="O89" s="174">
        <f>H89*Prices!E$2</f>
        <v/>
      </c>
      <c r="P89" s="174">
        <f>I89*2000+J89*10000+K89*1800</f>
        <v/>
      </c>
      <c r="Q89" s="174">
        <f>D89*Prices!A$2</f>
        <v/>
      </c>
      <c r="R89" s="174">
        <f>L89+M89+N89+O89</f>
        <v/>
      </c>
      <c r="S89" s="174">
        <f>R89+Q89+P89</f>
        <v/>
      </c>
      <c r="T89" s="26" t="n">
        <v>90</v>
      </c>
      <c r="U89" s="26" t="inlineStr">
        <is>
          <t>Available</t>
        </is>
      </c>
      <c r="V89" s="93" t="inlineStr">
        <is>
          <t>A</t>
        </is>
      </c>
      <c r="W89" s="93" t="n"/>
      <c r="X89" s="93" t="n"/>
      <c r="Y89" s="93" t="n"/>
      <c r="Z89" s="93" t="n"/>
    </row>
    <row r="90">
      <c r="A90" s="26" t="n">
        <v>91</v>
      </c>
      <c r="B90" s="26" t="n">
        <v>1.452</v>
      </c>
      <c r="C90" s="26">
        <f>B90*(25/100)</f>
        <v/>
      </c>
      <c r="D90" s="26">
        <f>C90+B90</f>
        <v/>
      </c>
      <c r="E90" s="26" t="n">
        <v>0.14</v>
      </c>
      <c r="F90" s="26" t="n"/>
      <c r="G90" s="26" t="n"/>
      <c r="H90" s="26" t="n"/>
      <c r="I90" s="26" t="n">
        <v>1.25</v>
      </c>
      <c r="J90" s="26" t="n"/>
      <c r="K90" s="26" t="n"/>
      <c r="L90" s="174">
        <f>E90*Prices!B$2</f>
        <v/>
      </c>
      <c r="M90" s="174">
        <f>F90*Prices!C$2</f>
        <v/>
      </c>
      <c r="N90" s="174">
        <f>G90*Prices!D$2</f>
        <v/>
      </c>
      <c r="O90" s="174">
        <f>H90*Prices!E$2</f>
        <v/>
      </c>
      <c r="P90" s="174">
        <f>I90*2000+J90*10000+K90*1800</f>
        <v/>
      </c>
      <c r="Q90" s="174">
        <f>D90*Prices!A$2</f>
        <v/>
      </c>
      <c r="R90" s="174">
        <f>L90+M90+N90+O90</f>
        <v/>
      </c>
      <c r="S90" s="174">
        <f>R90+Q90+P90</f>
        <v/>
      </c>
      <c r="T90" s="26" t="n">
        <v>91</v>
      </c>
      <c r="U90" s="26" t="inlineStr">
        <is>
          <t>Sold</t>
        </is>
      </c>
      <c r="V90" s="93" t="n"/>
      <c r="W90" s="93" t="n"/>
      <c r="X90" s="93" t="n"/>
      <c r="Y90" s="93" t="n"/>
      <c r="Z90" s="93" t="n"/>
    </row>
    <row r="91">
      <c r="A91" s="26" t="n">
        <v>92</v>
      </c>
      <c r="B91" s="26" t="n">
        <v>1.558</v>
      </c>
      <c r="C91" s="26">
        <f>B91*(25/100)</f>
        <v/>
      </c>
      <c r="D91" s="26">
        <f>C91+B91</f>
        <v/>
      </c>
      <c r="E91" s="26" t="n">
        <v>0.36</v>
      </c>
      <c r="F91" s="26" t="n"/>
      <c r="G91" s="26" t="n"/>
      <c r="H91" s="26" t="n"/>
      <c r="I91" s="26" t="n"/>
      <c r="J91" s="26" t="n">
        <v>2.08</v>
      </c>
      <c r="K91" s="26" t="n"/>
      <c r="L91" s="174">
        <f>E91*Prices!B$2</f>
        <v/>
      </c>
      <c r="M91" s="174">
        <f>F91*Prices!C$2</f>
        <v/>
      </c>
      <c r="N91" s="174">
        <f>G91*Prices!D$2</f>
        <v/>
      </c>
      <c r="O91" s="174">
        <f>H91*Prices!E$2</f>
        <v/>
      </c>
      <c r="P91" s="174">
        <f>I91*2000+J91*10000+K91*1800</f>
        <v/>
      </c>
      <c r="Q91" s="174">
        <f>D91*Prices!A$2</f>
        <v/>
      </c>
      <c r="R91" s="174">
        <f>L91+M91+N91+O91</f>
        <v/>
      </c>
      <c r="S91" s="174">
        <f>R91+Q91+P91</f>
        <v/>
      </c>
      <c r="T91" s="26" t="n">
        <v>92</v>
      </c>
      <c r="U91" s="26" t="inlineStr">
        <is>
          <t>Available</t>
        </is>
      </c>
      <c r="V91" s="93" t="inlineStr">
        <is>
          <t>A</t>
        </is>
      </c>
      <c r="W91" s="93" t="n"/>
      <c r="X91" s="93" t="n"/>
      <c r="Y91" s="93" t="n"/>
      <c r="Z91" s="93" t="n"/>
    </row>
    <row r="92">
      <c r="A92" s="26" t="n">
        <v>93</v>
      </c>
      <c r="B92" s="26" t="n">
        <v>1.488</v>
      </c>
      <c r="C92" s="26">
        <f>B92*(25/100)</f>
        <v/>
      </c>
      <c r="D92" s="26">
        <f>C92+B92</f>
        <v/>
      </c>
      <c r="E92" s="26" t="n">
        <v>0.61</v>
      </c>
      <c r="F92" s="93" t="n"/>
      <c r="G92" s="93" t="n"/>
      <c r="H92" s="93" t="n"/>
      <c r="I92" s="93" t="n"/>
      <c r="J92" s="93" t="n"/>
      <c r="K92" s="93" t="n"/>
      <c r="L92" s="174">
        <f>E92*Prices!B$2</f>
        <v/>
      </c>
      <c r="M92" s="174">
        <f>F92*Prices!C$2</f>
        <v/>
      </c>
      <c r="N92" s="174">
        <f>G92*Prices!D$2</f>
        <v/>
      </c>
      <c r="O92" s="174">
        <f>H92*Prices!E$2</f>
        <v/>
      </c>
      <c r="P92" s="174">
        <f>I92*2000+J92*10000+K92*1800</f>
        <v/>
      </c>
      <c r="Q92" s="174">
        <f>D92*Prices!A$2</f>
        <v/>
      </c>
      <c r="R92" s="174">
        <f>L92+M92+N92+O92</f>
        <v/>
      </c>
      <c r="S92" s="174">
        <f>R92+Q92+P92</f>
        <v/>
      </c>
      <c r="T92" s="26" t="n">
        <v>93</v>
      </c>
      <c r="U92" s="26" t="inlineStr">
        <is>
          <t>Available</t>
        </is>
      </c>
      <c r="V92" s="93" t="inlineStr">
        <is>
          <t>A</t>
        </is>
      </c>
      <c r="W92" s="93" t="n"/>
      <c r="X92" s="93" t="n"/>
      <c r="Y92" s="93" t="n"/>
      <c r="Z92" s="93" t="n"/>
    </row>
    <row r="93">
      <c r="A93" s="26" t="n">
        <v>94</v>
      </c>
      <c r="B93" s="26" t="n">
        <v>2.052</v>
      </c>
      <c r="C93" s="26">
        <f>B93*(25/100)</f>
        <v/>
      </c>
      <c r="D93" s="26">
        <f>C93+B93</f>
        <v/>
      </c>
      <c r="E93" s="26" t="n">
        <v>0.74</v>
      </c>
      <c r="F93" s="93" t="n"/>
      <c r="G93" s="93" t="n"/>
      <c r="H93" s="93" t="n"/>
      <c r="I93" s="93" t="n"/>
      <c r="J93" s="93" t="n"/>
      <c r="K93" s="93" t="n"/>
      <c r="L93" s="174">
        <f>E93*Prices!B$2</f>
        <v/>
      </c>
      <c r="M93" s="174">
        <f>F93*Prices!C$2</f>
        <v/>
      </c>
      <c r="N93" s="174">
        <f>G93*Prices!D$2</f>
        <v/>
      </c>
      <c r="O93" s="174">
        <f>H93*Prices!E$2</f>
        <v/>
      </c>
      <c r="P93" s="174">
        <f>I93*2000+J93*10000+K93*1800</f>
        <v/>
      </c>
      <c r="Q93" s="174">
        <f>D93*Prices!A$2</f>
        <v/>
      </c>
      <c r="R93" s="174">
        <f>L93+M93+N93+O93</f>
        <v/>
      </c>
      <c r="S93" s="174">
        <f>R93+Q93+P93</f>
        <v/>
      </c>
      <c r="T93" s="26" t="n">
        <v>94</v>
      </c>
      <c r="U93" s="26" t="inlineStr">
        <is>
          <t>Sold</t>
        </is>
      </c>
      <c r="V93" s="93" t="n"/>
      <c r="W93" s="93" t="n"/>
      <c r="X93" s="93" t="n"/>
      <c r="Y93" s="93" t="n"/>
      <c r="Z93" s="93" t="n"/>
    </row>
    <row r="94">
      <c r="A94" s="26" t="n">
        <v>95</v>
      </c>
      <c r="B94" s="26" t="n">
        <v>1.772</v>
      </c>
      <c r="C94" s="26">
        <f>B94*(25/100)</f>
        <v/>
      </c>
      <c r="D94" s="26">
        <f>C94+B94</f>
        <v/>
      </c>
      <c r="E94" s="26" t="n">
        <v>1.14</v>
      </c>
      <c r="F94" s="93" t="n"/>
      <c r="G94" s="93" t="n"/>
      <c r="H94" s="93" t="n"/>
      <c r="I94" s="93" t="n"/>
      <c r="J94" s="93" t="n"/>
      <c r="K94" s="93" t="n"/>
      <c r="L94" s="174">
        <f>E94*Prices!B$2</f>
        <v/>
      </c>
      <c r="M94" s="174">
        <f>F94*Prices!C$2</f>
        <v/>
      </c>
      <c r="N94" s="174">
        <f>G94*Prices!D$2</f>
        <v/>
      </c>
      <c r="O94" s="174">
        <f>H94*Prices!E$2</f>
        <v/>
      </c>
      <c r="P94" s="174">
        <f>I94*2000+J94*10000+K94*1800</f>
        <v/>
      </c>
      <c r="Q94" s="174">
        <f>D94*Prices!A$2</f>
        <v/>
      </c>
      <c r="R94" s="174">
        <f>L94+M94+N94+O94</f>
        <v/>
      </c>
      <c r="S94" s="174">
        <f>R94+Q94+P94</f>
        <v/>
      </c>
      <c r="T94" s="26" t="n">
        <v>95</v>
      </c>
      <c r="U94" s="26" t="inlineStr">
        <is>
          <t>Sold</t>
        </is>
      </c>
      <c r="V94" s="93" t="n"/>
      <c r="W94" s="93" t="n"/>
      <c r="X94" s="93" t="n"/>
      <c r="Y94" s="93" t="n"/>
      <c r="Z94" s="93" t="n"/>
    </row>
    <row r="95">
      <c r="A95" s="26" t="n">
        <v>96</v>
      </c>
      <c r="B95" s="26" t="n">
        <v>2.568</v>
      </c>
      <c r="C95" s="26">
        <f>B95*(25/100)</f>
        <v/>
      </c>
      <c r="D95" s="26">
        <f>C95+B95</f>
        <v/>
      </c>
      <c r="E95" s="26" t="n">
        <v>0.66</v>
      </c>
      <c r="F95" s="93" t="n"/>
      <c r="G95" s="93" t="n"/>
      <c r="H95" s="93" t="n"/>
      <c r="I95" s="93" t="n"/>
      <c r="J95" s="93" t="n"/>
      <c r="K95" s="93" t="n"/>
      <c r="L95" s="174">
        <f>E95*Prices!B$2</f>
        <v/>
      </c>
      <c r="M95" s="174">
        <f>F95*Prices!C$2</f>
        <v/>
      </c>
      <c r="N95" s="174">
        <f>G95*Prices!D$2</f>
        <v/>
      </c>
      <c r="O95" s="174">
        <f>H95*Prices!E$2</f>
        <v/>
      </c>
      <c r="P95" s="174">
        <f>I95*2000+J95*10000+K95*1800</f>
        <v/>
      </c>
      <c r="Q95" s="174">
        <f>D95*Prices!A$2</f>
        <v/>
      </c>
      <c r="R95" s="174">
        <f>L95+M95+N95+O95</f>
        <v/>
      </c>
      <c r="S95" s="174">
        <f>R95+Q95+P95</f>
        <v/>
      </c>
      <c r="T95" s="26" t="n">
        <v>96</v>
      </c>
      <c r="U95" s="26" t="inlineStr">
        <is>
          <t>Available</t>
        </is>
      </c>
      <c r="V95" s="93" t="inlineStr">
        <is>
          <t>A</t>
        </is>
      </c>
      <c r="W95" s="93" t="n"/>
      <c r="X95" s="93" t="n"/>
      <c r="Y95" s="93" t="n"/>
      <c r="Z95" s="93" t="n"/>
    </row>
    <row r="96">
      <c r="A96" s="26" t="n">
        <v>97</v>
      </c>
      <c r="B96" s="26" t="n">
        <v>1.848</v>
      </c>
      <c r="C96" s="26">
        <f>B96*(25/100)</f>
        <v/>
      </c>
      <c r="D96" s="26">
        <f>C96+B96</f>
        <v/>
      </c>
      <c r="E96" s="26" t="n">
        <v>0.71</v>
      </c>
      <c r="F96" s="93" t="n"/>
      <c r="G96" s="93" t="n"/>
      <c r="H96" s="93" t="n"/>
      <c r="I96" s="93" t="n"/>
      <c r="J96" s="93" t="n"/>
      <c r="K96" s="93" t="n"/>
      <c r="L96" s="174">
        <f>E96*Prices!B$2</f>
        <v/>
      </c>
      <c r="M96" s="174">
        <f>F96*Prices!C$2</f>
        <v/>
      </c>
      <c r="N96" s="174">
        <f>G96*Prices!D$2</f>
        <v/>
      </c>
      <c r="O96" s="174">
        <f>H96*Prices!E$2</f>
        <v/>
      </c>
      <c r="P96" s="174">
        <f>I96*2000+J96*10000+K96*1800</f>
        <v/>
      </c>
      <c r="Q96" s="174">
        <f>D96*Prices!A$2</f>
        <v/>
      </c>
      <c r="R96" s="174">
        <f>L96+M96+N96+O96</f>
        <v/>
      </c>
      <c r="S96" s="174">
        <f>R96+Q96+P96</f>
        <v/>
      </c>
      <c r="T96" s="26" t="n">
        <v>97</v>
      </c>
      <c r="U96" s="26" t="inlineStr">
        <is>
          <t>Available</t>
        </is>
      </c>
      <c r="V96" s="93" t="inlineStr">
        <is>
          <t>A</t>
        </is>
      </c>
      <c r="W96" s="93" t="n"/>
      <c r="X96" s="93" t="n"/>
      <c r="Y96" s="93" t="n"/>
      <c r="Z96" s="93" t="n"/>
    </row>
    <row r="97">
      <c r="A97" s="26" t="n">
        <v>98</v>
      </c>
      <c r="B97" s="26" t="n">
        <v>2.086</v>
      </c>
      <c r="C97" s="26">
        <f>B97*(25/100)</f>
        <v/>
      </c>
      <c r="D97" s="26">
        <f>C97+B97</f>
        <v/>
      </c>
      <c r="E97" s="26" t="n">
        <v>0.77</v>
      </c>
      <c r="F97" s="93" t="n"/>
      <c r="G97" s="93" t="n"/>
      <c r="H97" s="93" t="n"/>
      <c r="I97" s="93" t="n"/>
      <c r="J97" s="93" t="n"/>
      <c r="K97" s="93" t="n"/>
      <c r="L97" s="174">
        <f>E97*Prices!B$2</f>
        <v/>
      </c>
      <c r="M97" s="174">
        <f>F97*Prices!C$2</f>
        <v/>
      </c>
      <c r="N97" s="174">
        <f>G97*Prices!D$2</f>
        <v/>
      </c>
      <c r="O97" s="174">
        <f>H97*Prices!E$2</f>
        <v/>
      </c>
      <c r="P97" s="174">
        <f>I97*2000+J97*10000+K97*1800</f>
        <v/>
      </c>
      <c r="Q97" s="174">
        <f>D97*Prices!A$2</f>
        <v/>
      </c>
      <c r="R97" s="174">
        <f>L97+M97+N97+O97</f>
        <v/>
      </c>
      <c r="S97" s="174">
        <f>R97+Q97+P97</f>
        <v/>
      </c>
      <c r="T97" s="26" t="n">
        <v>98</v>
      </c>
      <c r="U97" s="26" t="inlineStr">
        <is>
          <t>Available</t>
        </is>
      </c>
      <c r="V97" s="93" t="inlineStr">
        <is>
          <t>A</t>
        </is>
      </c>
      <c r="W97" s="93" t="n"/>
      <c r="X97" s="93" t="n"/>
      <c r="Y97" s="93" t="n"/>
      <c r="Z97" s="93" t="n"/>
    </row>
    <row r="98">
      <c r="A98" s="26" t="n">
        <v>99</v>
      </c>
      <c r="B98" s="26" t="n">
        <v>2.478</v>
      </c>
      <c r="C98" s="26">
        <f>B98*(25/100)</f>
        <v/>
      </c>
      <c r="D98" s="26">
        <f>C98+B98</f>
        <v/>
      </c>
      <c r="E98" s="26" t="n">
        <v>0.86</v>
      </c>
      <c r="F98" s="93" t="n"/>
      <c r="G98" s="93" t="n"/>
      <c r="H98" s="93" t="n"/>
      <c r="I98" s="93" t="n"/>
      <c r="J98" s="93" t="n"/>
      <c r="K98" s="93" t="n"/>
      <c r="L98" s="174">
        <f>E98*Prices!B$2</f>
        <v/>
      </c>
      <c r="M98" s="174">
        <f>F98*Prices!C$2</f>
        <v/>
      </c>
      <c r="N98" s="174">
        <f>G98*Prices!D$2</f>
        <v/>
      </c>
      <c r="O98" s="174">
        <f>H98*Prices!E$2</f>
        <v/>
      </c>
      <c r="P98" s="174">
        <f>I98*2000+J98*10000+K98*1800</f>
        <v/>
      </c>
      <c r="Q98" s="174">
        <f>D98*Prices!A$2</f>
        <v/>
      </c>
      <c r="R98" s="174">
        <f>L98+M98+N98+O98</f>
        <v/>
      </c>
      <c r="S98" s="174">
        <f>R98+Q98+P98</f>
        <v/>
      </c>
      <c r="T98" s="26" t="n">
        <v>99</v>
      </c>
      <c r="U98" s="26" t="inlineStr">
        <is>
          <t>Available</t>
        </is>
      </c>
      <c r="V98" s="93" t="inlineStr">
        <is>
          <t>A</t>
        </is>
      </c>
      <c r="W98" s="93" t="n"/>
      <c r="X98" s="93" t="n"/>
      <c r="Y98" s="93" t="n"/>
      <c r="Z98" s="93" t="n"/>
    </row>
    <row r="99">
      <c r="A99" s="26" t="n">
        <v>100</v>
      </c>
      <c r="B99" s="26" t="n">
        <v>2.772</v>
      </c>
      <c r="C99" s="26">
        <f>B99*(25/100)</f>
        <v/>
      </c>
      <c r="D99" s="26">
        <f>C99+B99</f>
        <v/>
      </c>
      <c r="E99" s="26" t="n">
        <v>0.45</v>
      </c>
      <c r="F99" s="93" t="n"/>
      <c r="G99" s="93" t="n"/>
      <c r="H99" s="93" t="n"/>
      <c r="I99" s="93" t="n">
        <v>1.99</v>
      </c>
      <c r="J99" s="93" t="n"/>
      <c r="K99" s="93" t="n"/>
      <c r="L99" s="174">
        <f>E99*Prices!B$2</f>
        <v/>
      </c>
      <c r="M99" s="174">
        <f>F99*Prices!C$2</f>
        <v/>
      </c>
      <c r="N99" s="174">
        <f>G99*Prices!D$2</f>
        <v/>
      </c>
      <c r="O99" s="174">
        <f>H99*Prices!E$2</f>
        <v/>
      </c>
      <c r="P99" s="174">
        <f>I99*4000+J99*10000+K99*1800</f>
        <v/>
      </c>
      <c r="Q99" s="174">
        <f>D99*Prices!A$2</f>
        <v/>
      </c>
      <c r="R99" s="174">
        <f>L99+M99+N99+O99</f>
        <v/>
      </c>
      <c r="S99" s="174">
        <f>R99+Q99+P99</f>
        <v/>
      </c>
      <c r="T99" s="26" t="n">
        <v>100</v>
      </c>
      <c r="U99" s="26" t="inlineStr">
        <is>
          <t>Available</t>
        </is>
      </c>
      <c r="V99" s="93" t="inlineStr">
        <is>
          <t>A</t>
        </is>
      </c>
      <c r="W99" s="93" t="n"/>
      <c r="X99" s="93" t="n"/>
      <c r="Y99" s="93" t="n"/>
      <c r="Z99" s="93" t="n"/>
    </row>
    <row r="100">
      <c r="A100" s="26" t="n">
        <v>101</v>
      </c>
      <c r="B100" s="26" t="n">
        <v>2.134</v>
      </c>
      <c r="C100" s="26">
        <f>B100*(25/100)</f>
        <v/>
      </c>
      <c r="D100" s="26">
        <f>C100+B100</f>
        <v/>
      </c>
      <c r="E100" s="26" t="n">
        <v>0.83</v>
      </c>
      <c r="F100" s="93" t="n"/>
      <c r="G100" s="93" t="n"/>
      <c r="H100" s="93" t="n"/>
      <c r="I100" s="93" t="n"/>
      <c r="J100" s="93" t="n"/>
      <c r="K100" s="93" t="n"/>
      <c r="L100" s="174">
        <f>E100*Prices!B$2</f>
        <v/>
      </c>
      <c r="M100" s="174">
        <f>F100*Prices!C$2</f>
        <v/>
      </c>
      <c r="N100" s="174">
        <f>G100*Prices!D$2</f>
        <v/>
      </c>
      <c r="O100" s="174">
        <f>H100*Prices!E$2</f>
        <v/>
      </c>
      <c r="P100" s="174">
        <f>I100*2000+J100*10000+K100*1800</f>
        <v/>
      </c>
      <c r="Q100" s="174">
        <f>D100*Prices!A$2</f>
        <v/>
      </c>
      <c r="R100" s="174">
        <f>L100+M100+N100+O100</f>
        <v/>
      </c>
      <c r="S100" s="174">
        <f>R100+Q100+P100</f>
        <v/>
      </c>
      <c r="T100" s="26" t="n">
        <v>101</v>
      </c>
      <c r="U100" s="26" t="inlineStr">
        <is>
          <t>Available</t>
        </is>
      </c>
      <c r="V100" s="93" t="inlineStr">
        <is>
          <t>A</t>
        </is>
      </c>
      <c r="W100" s="93" t="n"/>
      <c r="X100" s="93" t="n"/>
      <c r="Y100" s="93" t="n"/>
      <c r="Z100" s="93" t="n"/>
    </row>
    <row r="101">
      <c r="A101" s="26" t="n">
        <v>102</v>
      </c>
      <c r="B101" s="26" t="n">
        <v>1.438</v>
      </c>
      <c r="C101" s="26">
        <f>B101*(25/100)</f>
        <v/>
      </c>
      <c r="D101" s="26">
        <f>C101+B101</f>
        <v/>
      </c>
      <c r="E101" s="26" t="n">
        <v>0.16</v>
      </c>
      <c r="F101" s="93" t="n"/>
      <c r="G101" s="93" t="n">
        <v>0.13</v>
      </c>
      <c r="H101" s="93" t="n"/>
      <c r="I101" s="93" t="n"/>
      <c r="J101" s="93" t="n"/>
      <c r="K101" s="93" t="n">
        <v>8.119999999999999</v>
      </c>
      <c r="L101" s="174">
        <f>E101*Prices!B$2</f>
        <v/>
      </c>
      <c r="M101" s="174">
        <f>F101*Prices!C$2</f>
        <v/>
      </c>
      <c r="N101" s="174">
        <f>G101*Prices!D$2</f>
        <v/>
      </c>
      <c r="O101" s="174">
        <f>H101*Prices!E$2</f>
        <v/>
      </c>
      <c r="P101" s="174">
        <f>I101*2000+J101*10000+K101*1200</f>
        <v/>
      </c>
      <c r="Q101" s="174">
        <f>D101*Prices!A$2</f>
        <v/>
      </c>
      <c r="R101" s="174">
        <f>L101+M101+N101+O101</f>
        <v/>
      </c>
      <c r="S101" s="174">
        <f>R101+Q101+P101</f>
        <v/>
      </c>
      <c r="T101" s="26" t="n">
        <v>102</v>
      </c>
      <c r="U101" s="26" t="inlineStr">
        <is>
          <t>Available</t>
        </is>
      </c>
      <c r="V101" s="93" t="inlineStr">
        <is>
          <t>A</t>
        </is>
      </c>
      <c r="W101" s="93" t="n"/>
      <c r="X101" s="93" t="n"/>
      <c r="Y101" s="93" t="n"/>
      <c r="Z101" s="93" t="n"/>
    </row>
    <row r="102">
      <c r="A102" s="26" t="n">
        <v>103</v>
      </c>
      <c r="B102" s="26" t="n">
        <v>1.084</v>
      </c>
      <c r="C102" s="26">
        <f>B102*(25/100)</f>
        <v/>
      </c>
      <c r="D102" s="26">
        <f>C102+B102</f>
        <v/>
      </c>
      <c r="E102" s="26" t="n">
        <v>0.48</v>
      </c>
      <c r="F102" s="93" t="n"/>
      <c r="G102" s="93" t="n"/>
      <c r="H102" s="93" t="n"/>
      <c r="I102" s="93" t="n"/>
      <c r="J102" s="93" t="n"/>
      <c r="K102" s="93" t="n"/>
      <c r="L102" s="174">
        <f>E102*Prices!B$2</f>
        <v/>
      </c>
      <c r="M102" s="174">
        <f>F102*Prices!C$2</f>
        <v/>
      </c>
      <c r="N102" s="174">
        <f>G102*Prices!D$2</f>
        <v/>
      </c>
      <c r="O102" s="174">
        <f>H102*Prices!E$2</f>
        <v/>
      </c>
      <c r="P102" s="174">
        <f>I102*2000+J102*10000+K102*800</f>
        <v/>
      </c>
      <c r="Q102" s="174">
        <f>D102*Prices!A$2</f>
        <v/>
      </c>
      <c r="R102" s="174">
        <f>L102+M102+N102+O102</f>
        <v/>
      </c>
      <c r="S102" s="174">
        <f>R102+Q102+P102</f>
        <v/>
      </c>
      <c r="T102" s="26" t="n">
        <v>103</v>
      </c>
      <c r="U102" s="26" t="inlineStr">
        <is>
          <t>Available</t>
        </is>
      </c>
      <c r="V102" s="93" t="inlineStr">
        <is>
          <t>A</t>
        </is>
      </c>
      <c r="W102" s="93" t="n"/>
      <c r="X102" s="93" t="n"/>
      <c r="Y102" s="93" t="n"/>
      <c r="Z102" s="93" t="n"/>
    </row>
    <row r="103">
      <c r="A103" s="26" t="n">
        <v>104</v>
      </c>
      <c r="B103" s="26" t="n">
        <v>1.35</v>
      </c>
      <c r="C103" s="26">
        <f>B103*(25/100)</f>
        <v/>
      </c>
      <c r="D103" s="26">
        <f>C103+B103</f>
        <v/>
      </c>
      <c r="E103" s="26" t="n">
        <v>0.6</v>
      </c>
      <c r="F103" s="93" t="n"/>
      <c r="G103" s="93" t="n"/>
      <c r="H103" s="93" t="n"/>
      <c r="I103" s="93" t="n"/>
      <c r="J103" s="93" t="n"/>
      <c r="K103" s="93" t="n"/>
      <c r="L103" s="174">
        <f>E103*Prices!B$2</f>
        <v/>
      </c>
      <c r="M103" s="174">
        <f>F103*Prices!C$2</f>
        <v/>
      </c>
      <c r="N103" s="174">
        <f>G103*Prices!D$2</f>
        <v/>
      </c>
      <c r="O103" s="174">
        <f>H103*Prices!E$2</f>
        <v/>
      </c>
      <c r="P103" s="174">
        <f>I103*2000+J103*10000+K103*800</f>
        <v/>
      </c>
      <c r="Q103" s="174">
        <f>D103*Prices!A$2</f>
        <v/>
      </c>
      <c r="R103" s="174">
        <f>L103+M103+N103+O103</f>
        <v/>
      </c>
      <c r="S103" s="174">
        <f>R103+Q103+P103</f>
        <v/>
      </c>
      <c r="T103" s="26" t="n">
        <v>104</v>
      </c>
      <c r="U103" s="26" t="inlineStr">
        <is>
          <t>Sold</t>
        </is>
      </c>
      <c r="V103" s="93" t="n"/>
      <c r="W103" s="93" t="n"/>
      <c r="X103" s="93" t="n"/>
      <c r="Y103" s="93" t="n"/>
      <c r="Z103" s="93" t="n"/>
    </row>
    <row r="104">
      <c r="A104" s="26" t="n">
        <v>105</v>
      </c>
      <c r="B104" s="26" t="n">
        <v>1.4</v>
      </c>
      <c r="C104" s="26">
        <f>B104*(25/100)</f>
        <v/>
      </c>
      <c r="D104" s="26">
        <f>C104+B104</f>
        <v/>
      </c>
      <c r="E104" s="26" t="n">
        <v>0.7</v>
      </c>
      <c r="F104" s="93" t="n"/>
      <c r="G104" s="93" t="n"/>
      <c r="H104" s="93" t="n"/>
      <c r="I104" s="93" t="n"/>
      <c r="J104" s="93" t="n"/>
      <c r="K104" s="93" t="n"/>
      <c r="L104" s="174">
        <f>E104*Prices!B$2</f>
        <v/>
      </c>
      <c r="M104" s="174">
        <f>F104*Prices!C$2</f>
        <v/>
      </c>
      <c r="N104" s="174">
        <f>G104*Prices!D$2</f>
        <v/>
      </c>
      <c r="O104" s="174">
        <f>H104*Prices!E$2</f>
        <v/>
      </c>
      <c r="P104" s="174">
        <f>I104*2000+J104*10000+K104*800</f>
        <v/>
      </c>
      <c r="Q104" s="174">
        <f>D104*Prices!A$2</f>
        <v/>
      </c>
      <c r="R104" s="174">
        <f>L104+M104+N104+O104</f>
        <v/>
      </c>
      <c r="S104" s="174">
        <f>R104+Q104+P104</f>
        <v/>
      </c>
      <c r="T104" s="26" t="n">
        <v>105</v>
      </c>
      <c r="U104" s="26" t="inlineStr">
        <is>
          <t>Available</t>
        </is>
      </c>
      <c r="V104" s="93" t="inlineStr">
        <is>
          <t>A</t>
        </is>
      </c>
      <c r="W104" s="93" t="n"/>
      <c r="X104" s="93" t="n"/>
      <c r="Y104" s="93" t="n"/>
      <c r="Z104" s="93" t="n"/>
    </row>
    <row r="105">
      <c r="A105" s="26" t="n">
        <v>106</v>
      </c>
      <c r="B105" s="26" t="n">
        <v>4.166</v>
      </c>
      <c r="C105" s="26">
        <f>B105*(25/100)</f>
        <v/>
      </c>
      <c r="D105" s="26">
        <f>C105+B105</f>
        <v/>
      </c>
      <c r="E105" s="26" t="n">
        <v>1.32</v>
      </c>
      <c r="F105" s="93" t="n"/>
      <c r="G105" s="93" t="n"/>
      <c r="H105" s="93" t="n"/>
      <c r="I105" s="93" t="n"/>
      <c r="J105" s="93" t="n"/>
      <c r="K105" s="93" t="n"/>
      <c r="L105" s="174">
        <f>E105*Prices!B$2</f>
        <v/>
      </c>
      <c r="M105" s="174">
        <f>F105*Prices!C$2</f>
        <v/>
      </c>
      <c r="N105" s="174">
        <f>G105*Prices!D$2</f>
        <v/>
      </c>
      <c r="O105" s="174">
        <f>H105*Prices!E$2</f>
        <v/>
      </c>
      <c r="P105" s="174">
        <f>I105*2000+J105*10000+K105*800</f>
        <v/>
      </c>
      <c r="Q105" s="174">
        <f>D105*Prices!A$2</f>
        <v/>
      </c>
      <c r="R105" s="174">
        <f>L105+M105+N105+O105</f>
        <v/>
      </c>
      <c r="S105" s="174">
        <f>R105+Q105+P105</f>
        <v/>
      </c>
      <c r="T105" s="26" t="n">
        <v>106</v>
      </c>
      <c r="U105" s="26" t="inlineStr">
        <is>
          <t>Sold</t>
        </is>
      </c>
      <c r="V105" s="93" t="n"/>
      <c r="W105" s="93" t="n"/>
      <c r="X105" s="93" t="n"/>
      <c r="Y105" s="93" t="n"/>
      <c r="Z105" s="93" t="n"/>
    </row>
    <row r="106">
      <c r="A106" s="26" t="n">
        <v>107</v>
      </c>
      <c r="B106" s="26" t="n">
        <v>2.198</v>
      </c>
      <c r="C106" s="26">
        <f>B106*(25/100)</f>
        <v/>
      </c>
      <c r="D106" s="26">
        <f>C106+B106</f>
        <v/>
      </c>
      <c r="E106" s="26" t="n">
        <v>0.36</v>
      </c>
      <c r="F106" s="93" t="n"/>
      <c r="G106" s="93" t="n"/>
      <c r="H106" s="93" t="n"/>
      <c r="I106" s="93" t="n"/>
      <c r="J106" s="93" t="n"/>
      <c r="K106" s="93" t="n"/>
      <c r="L106" s="174">
        <f>E106*Prices!B$2</f>
        <v/>
      </c>
      <c r="M106" s="174">
        <f>F106*Prices!C$2</f>
        <v/>
      </c>
      <c r="N106" s="174">
        <f>G106*Prices!D$2</f>
        <v/>
      </c>
      <c r="O106" s="174">
        <f>H106*Prices!E$2</f>
        <v/>
      </c>
      <c r="P106" s="174">
        <f>I106*2000+J106*10000+K106*800</f>
        <v/>
      </c>
      <c r="Q106" s="174">
        <f>D106*Prices!A$2</f>
        <v/>
      </c>
      <c r="R106" s="174">
        <f>L106+M106+N106+O106</f>
        <v/>
      </c>
      <c r="S106" s="174">
        <f>R106+Q106+P106</f>
        <v/>
      </c>
      <c r="T106" s="26" t="n">
        <v>107</v>
      </c>
      <c r="U106" s="26" t="inlineStr">
        <is>
          <t>Sold</t>
        </is>
      </c>
      <c r="V106" s="93" t="n"/>
      <c r="W106" s="93" t="n"/>
      <c r="X106" s="93" t="n"/>
      <c r="Y106" s="93" t="n"/>
      <c r="Z106" s="93" t="n"/>
    </row>
    <row r="107" ht="15" customHeight="1" s="220">
      <c r="A107" s="26" t="n">
        <v>108</v>
      </c>
      <c r="B107" s="26" t="n">
        <v>1.534</v>
      </c>
      <c r="C107" s="26">
        <f>B107*(25/100)</f>
        <v/>
      </c>
      <c r="D107" s="26">
        <f>C107+B107</f>
        <v/>
      </c>
      <c r="E107" s="26" t="n">
        <v>0.58</v>
      </c>
      <c r="F107" s="93" t="n"/>
      <c r="G107" s="93" t="n"/>
      <c r="H107" s="93" t="n"/>
      <c r="I107" s="93" t="n"/>
      <c r="J107" s="93" t="n"/>
      <c r="K107" s="93" t="n"/>
      <c r="L107" s="174">
        <f>E107*Prices!B$2</f>
        <v/>
      </c>
      <c r="M107" s="174">
        <f>F107*Prices!C$2</f>
        <v/>
      </c>
      <c r="N107" s="174">
        <f>G107*Prices!D$2</f>
        <v/>
      </c>
      <c r="O107" s="174">
        <f>H107*Prices!E$2</f>
        <v/>
      </c>
      <c r="P107" s="174">
        <f>I107*2000+J107*10000+K107*800</f>
        <v/>
      </c>
      <c r="Q107" s="174">
        <f>D107*Prices!A$2</f>
        <v/>
      </c>
      <c r="R107" s="174">
        <f>L107+M107+N107+O107</f>
        <v/>
      </c>
      <c r="S107" s="174">
        <f>R107+Q107+P107</f>
        <v/>
      </c>
      <c r="T107" s="26" t="n">
        <v>108</v>
      </c>
      <c r="U107" s="26" t="inlineStr">
        <is>
          <t>Sold</t>
        </is>
      </c>
      <c r="V107" s="93" t="n"/>
      <c r="W107" s="93" t="n"/>
      <c r="X107" s="93" t="n"/>
      <c r="Y107" s="93" t="n"/>
      <c r="Z107" s="93" t="n"/>
    </row>
    <row r="108" ht="15" customHeight="1" s="220">
      <c r="A108" s="26" t="n">
        <v>109</v>
      </c>
      <c r="B108" s="26" t="n">
        <v>0.88</v>
      </c>
      <c r="C108" s="26">
        <f>B108*(25/100)</f>
        <v/>
      </c>
      <c r="D108" s="26">
        <f>C108+B108</f>
        <v/>
      </c>
      <c r="E108" s="26" t="n">
        <v>0.24</v>
      </c>
      <c r="F108" s="93" t="n"/>
      <c r="G108" s="93" t="n"/>
      <c r="H108" s="93" t="n"/>
      <c r="I108" s="93" t="n"/>
      <c r="J108" s="93" t="n"/>
      <c r="K108" s="93" t="n"/>
      <c r="L108" s="174">
        <f>E108*Prices!B$2</f>
        <v/>
      </c>
      <c r="M108" s="174">
        <f>F108*Prices!C$2</f>
        <v/>
      </c>
      <c r="N108" s="174">
        <f>G108*Prices!D$2</f>
        <v/>
      </c>
      <c r="O108" s="174">
        <f>H108*Prices!E$2</f>
        <v/>
      </c>
      <c r="P108" s="174">
        <f>I108*2000+J108*10000+K108*800</f>
        <v/>
      </c>
      <c r="Q108" s="174">
        <f>D108*Prices!A$2</f>
        <v/>
      </c>
      <c r="R108" s="174">
        <f>L108+M108+N108+O108</f>
        <v/>
      </c>
      <c r="S108" s="174">
        <f>R108+Q108+P108</f>
        <v/>
      </c>
      <c r="T108" s="26" t="n">
        <v>109</v>
      </c>
      <c r="U108" s="26" t="inlineStr">
        <is>
          <t>Sold</t>
        </is>
      </c>
      <c r="V108" s="93" t="n"/>
      <c r="W108" s="93" t="n"/>
      <c r="X108" s="93" t="n"/>
      <c r="Y108" s="93" t="n"/>
      <c r="Z108" s="93" t="n"/>
    </row>
    <row r="109">
      <c r="A109" s="26" t="n">
        <v>110</v>
      </c>
      <c r="B109" s="93" t="n">
        <v>11.11</v>
      </c>
      <c r="C109" s="26">
        <f>B109*(25/100)</f>
        <v/>
      </c>
      <c r="D109" s="26">
        <f>C109+B109</f>
        <v/>
      </c>
      <c r="E109" s="93" t="n">
        <v>3.16</v>
      </c>
      <c r="F109" s="93" t="n"/>
      <c r="G109" s="93" t="n"/>
      <c r="H109" s="93" t="n"/>
      <c r="I109" s="93" t="n"/>
      <c r="J109" s="93" t="n"/>
      <c r="K109" s="93">
        <f>0.9+6.46</f>
        <v/>
      </c>
      <c r="L109" s="174">
        <f>E109*Prices!B$2</f>
        <v/>
      </c>
      <c r="M109" s="174">
        <f>F109*Prices!C$2</f>
        <v/>
      </c>
      <c r="N109" s="174">
        <f>G109*Prices!D$2</f>
        <v/>
      </c>
      <c r="O109" s="174">
        <f>H109*Prices!E$2</f>
        <v/>
      </c>
      <c r="P109" s="174">
        <f>I109*2000+J109*10000+K109*800</f>
        <v/>
      </c>
      <c r="Q109" s="174">
        <f>D109*Prices!A$2</f>
        <v/>
      </c>
      <c r="R109" s="174">
        <f>L109+M109+N109+O109</f>
        <v/>
      </c>
      <c r="S109" s="174">
        <f>R109+Q109+P109</f>
        <v/>
      </c>
      <c r="T109" s="26" t="n">
        <v>110</v>
      </c>
      <c r="U109" s="26" t="inlineStr">
        <is>
          <t>Available</t>
        </is>
      </c>
      <c r="V109" s="93" t="inlineStr">
        <is>
          <t>A</t>
        </is>
      </c>
      <c r="W109" s="93" t="n"/>
      <c r="X109" s="93" t="n"/>
      <c r="Y109" s="93" t="n"/>
      <c r="Z109" s="93" t="n"/>
    </row>
    <row r="110">
      <c r="A110" s="93" t="n">
        <v>111</v>
      </c>
      <c r="B110" s="93" t="n">
        <v>1.95</v>
      </c>
      <c r="C110" s="93">
        <f>B110*(25/100)</f>
        <v/>
      </c>
      <c r="D110" s="93">
        <f>C110+B110</f>
        <v/>
      </c>
      <c r="E110" s="93" t="n">
        <v>0.22</v>
      </c>
      <c r="F110" s="93" t="n"/>
      <c r="G110" s="93" t="n"/>
      <c r="H110" s="93" t="n"/>
      <c r="I110" s="93" t="n"/>
      <c r="J110" s="93" t="n"/>
      <c r="K110" s="93" t="n"/>
      <c r="L110" s="174">
        <f>E110*Prices!B$2</f>
        <v/>
      </c>
      <c r="M110" s="174">
        <f>F110*Prices!C$2</f>
        <v/>
      </c>
      <c r="N110" s="174">
        <f>G110*Prices!D$2</f>
        <v/>
      </c>
      <c r="O110" s="174">
        <f>H110*Prices!E$2</f>
        <v/>
      </c>
      <c r="P110" s="174">
        <f>I110*2000+J110*10000+K110*800</f>
        <v/>
      </c>
      <c r="Q110" s="174">
        <f>D110*Prices!A$2</f>
        <v/>
      </c>
      <c r="R110" s="174">
        <f>L110+M110+N110+O110</f>
        <v/>
      </c>
      <c r="S110" s="174">
        <f>R110+Q110+P110</f>
        <v/>
      </c>
      <c r="T110" s="93" t="n">
        <v>111</v>
      </c>
      <c r="U110" s="26" t="inlineStr">
        <is>
          <t>Available</t>
        </is>
      </c>
      <c r="V110" s="93" t="inlineStr">
        <is>
          <t>A</t>
        </is>
      </c>
      <c r="W110" s="93" t="n"/>
      <c r="X110" s="93" t="n"/>
      <c r="Y110" s="93" t="n"/>
      <c r="Z110" s="93" t="n"/>
    </row>
    <row r="111">
      <c r="A111" s="93" t="n">
        <v>112</v>
      </c>
      <c r="B111" s="93" t="n">
        <v>4.398</v>
      </c>
      <c r="C111" s="93">
        <f>B111*(25/100)</f>
        <v/>
      </c>
      <c r="D111" s="93">
        <f>C111+B111</f>
        <v/>
      </c>
      <c r="E111" s="93" t="n">
        <v>1.16</v>
      </c>
      <c r="F111" s="93" t="n"/>
      <c r="G111" s="93" t="n"/>
      <c r="H111" s="93" t="n"/>
      <c r="I111" s="93" t="n"/>
      <c r="J111" s="93" t="n"/>
      <c r="K111" s="93" t="n"/>
      <c r="L111" s="174">
        <f>E111*Prices!B$2</f>
        <v/>
      </c>
      <c r="M111" s="174">
        <f>F111*Prices!C$2</f>
        <v/>
      </c>
      <c r="N111" s="174">
        <f>G111*Prices!D$2</f>
        <v/>
      </c>
      <c r="O111" s="174">
        <f>H111*Prices!E$2</f>
        <v/>
      </c>
      <c r="P111" s="174">
        <f>I111*2000+J111*10000+K111*800</f>
        <v/>
      </c>
      <c r="Q111" s="174">
        <f>D111*Prices!A$2</f>
        <v/>
      </c>
      <c r="R111" s="174">
        <f>L111+M111+N111+O111</f>
        <v/>
      </c>
      <c r="S111" s="174">
        <f>R111+Q111+P111</f>
        <v/>
      </c>
      <c r="T111" s="93" t="n">
        <v>112</v>
      </c>
      <c r="U111" s="26" t="inlineStr">
        <is>
          <t>Sold</t>
        </is>
      </c>
      <c r="V111" s="93" t="n"/>
      <c r="W111" s="93" t="n"/>
      <c r="X111" s="93" t="n"/>
      <c r="Y111" s="93" t="n"/>
      <c r="Z111" s="93" t="n"/>
    </row>
    <row r="112">
      <c r="A112" s="93" t="n">
        <v>113</v>
      </c>
      <c r="B112" s="93" t="n">
        <v>2.752</v>
      </c>
      <c r="C112" s="93">
        <f>B112*(25/100)</f>
        <v/>
      </c>
      <c r="D112" s="93">
        <f>C112+B112</f>
        <v/>
      </c>
      <c r="E112" s="93" t="n">
        <v>0.24</v>
      </c>
      <c r="F112" s="93" t="n"/>
      <c r="G112" s="93" t="n"/>
      <c r="H112" s="93" t="n"/>
      <c r="I112" s="93" t="n"/>
      <c r="J112" s="93" t="n"/>
      <c r="K112" s="93" t="n"/>
      <c r="L112" s="174">
        <f>E112*Prices!B$2</f>
        <v/>
      </c>
      <c r="M112" s="174">
        <f>F112*Prices!C$2</f>
        <v/>
      </c>
      <c r="N112" s="174">
        <f>G112*Prices!D$2</f>
        <v/>
      </c>
      <c r="O112" s="174">
        <f>H112*Prices!E$2</f>
        <v/>
      </c>
      <c r="P112" s="174">
        <f>I112*2000+J112*10000+K112*800</f>
        <v/>
      </c>
      <c r="Q112" s="174">
        <f>D112*Prices!A$2</f>
        <v/>
      </c>
      <c r="R112" s="174">
        <f>L112+M112+N112+O112</f>
        <v/>
      </c>
      <c r="S112" s="174">
        <f>R112+Q112+P112</f>
        <v/>
      </c>
      <c r="T112" s="93" t="n">
        <v>113</v>
      </c>
      <c r="U112" s="26" t="inlineStr">
        <is>
          <t>Sold</t>
        </is>
      </c>
      <c r="V112" s="93" t="n"/>
      <c r="W112" s="93" t="n"/>
      <c r="X112" s="93" t="n"/>
      <c r="Y112" s="93" t="n"/>
      <c r="Z112" s="93" t="n"/>
    </row>
    <row r="113">
      <c r="A113" s="93" t="n">
        <v>114</v>
      </c>
      <c r="B113" s="93" t="n">
        <v>1.488</v>
      </c>
      <c r="C113" s="93">
        <f>B113*(25/100)</f>
        <v/>
      </c>
      <c r="D113" s="93">
        <f>C113+B113</f>
        <v/>
      </c>
      <c r="E113" s="93" t="n">
        <v>0.06</v>
      </c>
      <c r="F113" s="93" t="n"/>
      <c r="G113" s="93" t="n"/>
      <c r="H113" s="93" t="n"/>
      <c r="I113" s="93" t="n"/>
      <c r="J113" s="93" t="n"/>
      <c r="K113" s="93" t="n"/>
      <c r="L113" s="174">
        <f>E113*Prices!B$2</f>
        <v/>
      </c>
      <c r="M113" s="174">
        <f>F113*Prices!C$2</f>
        <v/>
      </c>
      <c r="N113" s="174">
        <f>G113*Prices!D$2</f>
        <v/>
      </c>
      <c r="O113" s="174">
        <f>H113*Prices!E$2</f>
        <v/>
      </c>
      <c r="P113" s="174">
        <f>I113*2000+J113*10000+K113*800</f>
        <v/>
      </c>
      <c r="Q113" s="174">
        <f>D113*Prices!A$2</f>
        <v/>
      </c>
      <c r="R113" s="174">
        <f>L113+M113+N113+O113</f>
        <v/>
      </c>
      <c r="S113" s="174">
        <f>R113+Q113+P113</f>
        <v/>
      </c>
      <c r="T113" s="93" t="n">
        <v>114</v>
      </c>
      <c r="U113" s="26" t="inlineStr">
        <is>
          <t>Sold</t>
        </is>
      </c>
      <c r="V113" s="93" t="n"/>
      <c r="W113" s="93" t="n"/>
      <c r="X113" s="93" t="n"/>
      <c r="Y113" s="93" t="n"/>
      <c r="Z113" s="93" t="n"/>
    </row>
    <row r="114">
      <c r="A114" s="93" t="n">
        <v>115</v>
      </c>
      <c r="B114" s="93" t="n">
        <v>1.184</v>
      </c>
      <c r="C114" s="93">
        <f>B114*(25/100)</f>
        <v/>
      </c>
      <c r="D114" s="93">
        <f>C114+B114</f>
        <v/>
      </c>
      <c r="E114" s="93" t="n">
        <v>0.23</v>
      </c>
      <c r="F114" s="93" t="n"/>
      <c r="G114" s="93" t="n"/>
      <c r="H114" s="93" t="n"/>
      <c r="I114" s="93" t="n"/>
      <c r="J114" s="93" t="n"/>
      <c r="K114" s="93" t="n"/>
      <c r="L114" s="174">
        <f>E114*Prices!B$2</f>
        <v/>
      </c>
      <c r="M114" s="174">
        <f>F114*Prices!C$2</f>
        <v/>
      </c>
      <c r="N114" s="174">
        <f>G114*Prices!D$2</f>
        <v/>
      </c>
      <c r="O114" s="174">
        <f>H114*Prices!E$2</f>
        <v/>
      </c>
      <c r="P114" s="174">
        <f>I114*2000+J114*10000+K114*800</f>
        <v/>
      </c>
      <c r="Q114" s="174">
        <f>D114*Prices!A$2</f>
        <v/>
      </c>
      <c r="R114" s="174">
        <f>L114+M114+N114+O114</f>
        <v/>
      </c>
      <c r="S114" s="174">
        <f>R114+Q114+P114</f>
        <v/>
      </c>
      <c r="T114" s="93" t="n">
        <v>115</v>
      </c>
      <c r="U114" s="26" t="inlineStr">
        <is>
          <t>Sold</t>
        </is>
      </c>
      <c r="V114" s="93" t="n"/>
      <c r="W114" s="93" t="n"/>
      <c r="X114" s="93" t="n"/>
      <c r="Y114" s="93" t="n"/>
      <c r="Z114" s="93" t="n"/>
    </row>
    <row r="115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conditionalFormatting sqref="U2:U114">
    <cfRule type="containsText" priority="1" operator="containsText" dxfId="4" text="Available">
      <formula>NOT(ISERROR(SEARCH(("Available"),(U2))))</formula>
    </cfRule>
    <cfRule type="containsText" priority="2" operator="containsText" dxfId="5" text="Sold">
      <formula>NOT(ISERROR(SEARCH(("Sold"),(U2))))</formula>
    </cfRule>
    <cfRule type="containsText" priority="3" operator="containsText" dxfId="6" text="Return">
      <formula>NOT(ISERROR(SEARCH(("Return"),(U2))))</formula>
    </cfRule>
  </conditionalFormatting>
  <pageMargins left="0.25" right="0.25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4.71" customWidth="1" style="220" min="1" max="1"/>
    <col width="14.71" customWidth="1" style="220" min="2" max="2"/>
    <col width="15.14" customWidth="1" style="220" min="3" max="3"/>
    <col width="16.86" customWidth="1" style="220" min="4" max="4"/>
    <col width="14.29" customWidth="1" style="220" min="5" max="7"/>
    <col width="11.57" customWidth="1" style="220" min="8" max="8"/>
    <col width="7.43" customWidth="1" style="220" min="9" max="9"/>
    <col width="9.859999999999999" customWidth="1" style="220" min="10" max="10"/>
    <col width="8.140000000000001" customWidth="1" style="220" min="11" max="11"/>
    <col width="13.86" customWidth="1" style="220" min="12" max="15"/>
    <col width="12" customWidth="1" style="220" min="16" max="16"/>
    <col width="14" customWidth="1" style="220" min="17" max="17"/>
    <col width="17.57" customWidth="1" style="220" min="18" max="18"/>
    <col width="14.57" customWidth="1" style="220" min="19" max="19"/>
    <col width="4.29" customWidth="1" style="220" min="20" max="20"/>
    <col width="11" customWidth="1" style="220" min="21" max="21"/>
    <col width="8.710000000000001" customWidth="1" style="220" min="22" max="26"/>
  </cols>
  <sheetData>
    <row r="1">
      <c r="A1" s="171" t="inlineStr">
        <is>
          <t>Sn</t>
        </is>
      </c>
      <c r="B1" s="171" t="inlineStr">
        <is>
          <t>Net Weight</t>
        </is>
      </c>
      <c r="C1" s="171" t="inlineStr">
        <is>
          <t>Wstg + MC</t>
        </is>
      </c>
      <c r="D1" s="171" t="inlineStr">
        <is>
          <t>Gross weight</t>
        </is>
      </c>
      <c r="E1" s="171" t="inlineStr">
        <is>
          <t>Dmd &lt;0.06</t>
        </is>
      </c>
      <c r="F1" s="171" t="inlineStr">
        <is>
          <t>Dmd &lt;0.12</t>
        </is>
      </c>
      <c r="G1" s="171" t="inlineStr">
        <is>
          <t>Dmd &lt;0.17</t>
        </is>
      </c>
      <c r="H1" s="171" t="inlineStr">
        <is>
          <t>Dmd Big</t>
        </is>
      </c>
      <c r="I1" s="171" t="inlineStr">
        <is>
          <t>Ruby</t>
        </is>
      </c>
      <c r="J1" s="171" t="inlineStr">
        <is>
          <t>Emreld</t>
        </is>
      </c>
      <c r="K1" s="171" t="inlineStr">
        <is>
          <t>Muga</t>
        </is>
      </c>
      <c r="L1" s="172" t="inlineStr">
        <is>
          <t>Dmd Price</t>
        </is>
      </c>
      <c r="M1" s="171" t="inlineStr">
        <is>
          <t>Dmd Price</t>
        </is>
      </c>
      <c r="N1" s="171" t="inlineStr">
        <is>
          <t>Dmd Price</t>
        </is>
      </c>
      <c r="O1" s="171" t="inlineStr">
        <is>
          <t>Dmd Price</t>
        </is>
      </c>
      <c r="P1" s="171" t="inlineStr">
        <is>
          <t>Stn Price</t>
        </is>
      </c>
      <c r="Q1" s="171" t="inlineStr">
        <is>
          <t>Gold Price</t>
        </is>
      </c>
      <c r="R1" s="171" t="inlineStr">
        <is>
          <t>Ttl dmd Price</t>
        </is>
      </c>
      <c r="S1" s="172" t="inlineStr">
        <is>
          <t>Total Price</t>
        </is>
      </c>
      <c r="T1" s="171" t="inlineStr">
        <is>
          <t>Sn</t>
        </is>
      </c>
      <c r="U1" s="26" t="n"/>
      <c r="V1" s="12" t="n"/>
      <c r="W1" s="12" t="n"/>
      <c r="X1" s="12" t="n"/>
      <c r="Y1" s="12" t="n"/>
      <c r="Z1" s="12" t="n"/>
    </row>
    <row r="2">
      <c r="A2" s="26" t="inlineStr">
        <is>
          <t>r10</t>
        </is>
      </c>
      <c r="B2" s="26" t="n">
        <v>1.348</v>
      </c>
      <c r="C2" s="26">
        <f>B2*(25/100)</f>
        <v/>
      </c>
      <c r="D2" s="26">
        <f>C2+B2</f>
        <v/>
      </c>
      <c r="E2" s="26" t="n">
        <v>0.11</v>
      </c>
      <c r="F2" s="26" t="n"/>
      <c r="G2" s="26" t="n"/>
      <c r="H2" s="26" t="n"/>
      <c r="I2" s="26" t="n"/>
      <c r="J2" s="26" t="n"/>
      <c r="K2" s="26" t="n"/>
      <c r="L2" s="174">
        <f>E2*Prices!B$2</f>
        <v/>
      </c>
      <c r="M2" s="174">
        <f>F2*Prices!C$2</f>
        <v/>
      </c>
      <c r="N2" s="174">
        <f>G2*Prices!D$2</f>
        <v/>
      </c>
      <c r="O2" s="174">
        <f>H2*Prices!E$2</f>
        <v/>
      </c>
      <c r="P2" s="174">
        <f>I2*2000+J2*4000+K2*650</f>
        <v/>
      </c>
      <c r="Q2" s="174">
        <f>D2*Prices!A$2</f>
        <v/>
      </c>
      <c r="R2" s="175">
        <f>L2+M2+N2+O2</f>
        <v/>
      </c>
      <c r="S2" s="174">
        <f>R2+Q2+P2</f>
        <v/>
      </c>
      <c r="T2" s="26" t="n">
        <v>10</v>
      </c>
      <c r="U2" s="26" t="inlineStr">
        <is>
          <t>Sold</t>
        </is>
      </c>
      <c r="V2" s="12" t="n"/>
      <c r="W2" s="12" t="n"/>
      <c r="X2" s="12" t="n"/>
      <c r="Y2" s="12" t="n"/>
      <c r="Z2" s="12" t="n"/>
    </row>
    <row r="3">
      <c r="A3" s="26" t="inlineStr">
        <is>
          <t>e2</t>
        </is>
      </c>
      <c r="B3" s="26" t="n">
        <v>8.98</v>
      </c>
      <c r="C3" s="26">
        <f>B3*(25/100)</f>
        <v/>
      </c>
      <c r="D3" s="26">
        <f>C3+B3</f>
        <v/>
      </c>
      <c r="E3" s="26" t="n">
        <v>1.2</v>
      </c>
      <c r="F3" s="26" t="n"/>
      <c r="G3" s="26" t="n"/>
      <c r="H3" s="26" t="n"/>
      <c r="I3" s="26" t="n"/>
      <c r="J3" s="26" t="n"/>
      <c r="K3" s="26" t="n"/>
      <c r="L3" s="174">
        <f>E3*Prices!B$2</f>
        <v/>
      </c>
      <c r="M3" s="174">
        <f>F3*Prices!C$2</f>
        <v/>
      </c>
      <c r="N3" s="174">
        <f>G3*Prices!D$2</f>
        <v/>
      </c>
      <c r="O3" s="174">
        <f>H3*Prices!E$2</f>
        <v/>
      </c>
      <c r="P3" s="174">
        <f>I3*2000+J3*4000+K3*650</f>
        <v/>
      </c>
      <c r="Q3" s="174">
        <f>D3*Prices!A$2</f>
        <v/>
      </c>
      <c r="R3" s="175">
        <f>L3+M3+N3+O3</f>
        <v/>
      </c>
      <c r="S3" s="174">
        <f>R3+Q3+P3</f>
        <v/>
      </c>
      <c r="T3" s="26" t="inlineStr">
        <is>
          <t>e2</t>
        </is>
      </c>
      <c r="U3" s="26" t="inlineStr">
        <is>
          <t>Sold</t>
        </is>
      </c>
      <c r="V3" s="12" t="n"/>
      <c r="W3" s="12" t="n"/>
      <c r="X3" s="12" t="n"/>
      <c r="Y3" s="12" t="n"/>
      <c r="Z3" s="12" t="n"/>
    </row>
    <row r="4">
      <c r="A4" s="26" t="n">
        <v>1</v>
      </c>
      <c r="B4" s="26" t="n">
        <v>3.23</v>
      </c>
      <c r="C4" s="26">
        <f>B4*(25/100)</f>
        <v/>
      </c>
      <c r="D4" s="26">
        <f>C4+B4</f>
        <v/>
      </c>
      <c r="E4" s="26" t="n">
        <v>0.8100000000000001</v>
      </c>
      <c r="F4" s="26" t="n"/>
      <c r="G4" s="26" t="n"/>
      <c r="H4" s="26" t="n"/>
      <c r="I4" s="26" t="n"/>
      <c r="J4" s="26" t="n"/>
      <c r="K4" s="26" t="n"/>
      <c r="L4" s="174">
        <f>E4*Prices!B$2</f>
        <v/>
      </c>
      <c r="M4" s="174">
        <f>F4*Prices!C$2</f>
        <v/>
      </c>
      <c r="N4" s="174">
        <f>G4*Prices!D$2</f>
        <v/>
      </c>
      <c r="O4" s="174">
        <f>H4*Prices!E$2</f>
        <v/>
      </c>
      <c r="P4" s="174">
        <f>I4*2000+J4*4000+K4*650</f>
        <v/>
      </c>
      <c r="Q4" s="174">
        <f>D4*Prices!A$2</f>
        <v/>
      </c>
      <c r="R4" s="175">
        <f>L4+M4+N4+O4</f>
        <v/>
      </c>
      <c r="S4" s="174">
        <f>R4+Q4+P4</f>
        <v/>
      </c>
      <c r="T4" s="26" t="n">
        <v>1</v>
      </c>
      <c r="U4" s="93" t="inlineStr">
        <is>
          <t>Sold</t>
        </is>
      </c>
      <c r="V4" s="12" t="n"/>
      <c r="W4" s="12" t="n"/>
      <c r="X4" s="12" t="n"/>
      <c r="Y4" s="12" t="n"/>
      <c r="Z4" s="12" t="n"/>
    </row>
    <row r="5">
      <c r="A5" s="26" t="n">
        <v>2</v>
      </c>
      <c r="B5" s="26" t="n">
        <v>4.14</v>
      </c>
      <c r="C5" s="26">
        <f>B5*(25/100)</f>
        <v/>
      </c>
      <c r="D5" s="26">
        <f>C5+B5</f>
        <v/>
      </c>
      <c r="E5" s="26" t="n">
        <v>1</v>
      </c>
      <c r="F5" s="26" t="n"/>
      <c r="G5" s="26" t="n"/>
      <c r="H5" s="26" t="n"/>
      <c r="I5" s="26" t="n"/>
      <c r="J5" s="26" t="n"/>
      <c r="K5" s="26" t="n"/>
      <c r="L5" s="174">
        <f>E5*Prices!B$2</f>
        <v/>
      </c>
      <c r="M5" s="174">
        <f>F5*Prices!C$2</f>
        <v/>
      </c>
      <c r="N5" s="174">
        <f>G5*Prices!D$2</f>
        <v/>
      </c>
      <c r="O5" s="174">
        <f>H5*Prices!E$2</f>
        <v/>
      </c>
      <c r="P5" s="174">
        <f>I5*2000+J5*4000+K5*650</f>
        <v/>
      </c>
      <c r="Q5" s="174">
        <f>D5*Prices!A$2</f>
        <v/>
      </c>
      <c r="R5" s="175">
        <f>L5+M5+N5+O5</f>
        <v/>
      </c>
      <c r="S5" s="174">
        <f>R5+Q5+P5</f>
        <v/>
      </c>
      <c r="T5" s="26" t="n">
        <v>2</v>
      </c>
      <c r="U5" s="93" t="inlineStr">
        <is>
          <t>Sold</t>
        </is>
      </c>
      <c r="V5" s="12" t="n"/>
      <c r="W5" s="12" t="n"/>
      <c r="X5" s="12" t="n"/>
      <c r="Y5" s="12" t="n"/>
      <c r="Z5" s="12" t="n"/>
    </row>
    <row r="6">
      <c r="A6" s="26" t="n">
        <v>3</v>
      </c>
      <c r="B6" s="26" t="n">
        <v>2.59</v>
      </c>
      <c r="C6" s="26">
        <f>B6*(25/100)</f>
        <v/>
      </c>
      <c r="D6" s="26">
        <f>C6+B6</f>
        <v/>
      </c>
      <c r="E6" s="26" t="n">
        <v>0.5</v>
      </c>
      <c r="F6" s="26" t="n"/>
      <c r="G6" s="26" t="n"/>
      <c r="H6" s="26" t="n"/>
      <c r="I6" s="26" t="n"/>
      <c r="J6" s="26" t="n"/>
      <c r="K6" s="26" t="n"/>
      <c r="L6" s="174">
        <f>E6*Prices!B$2</f>
        <v/>
      </c>
      <c r="M6" s="174">
        <f>F6*Prices!C$2</f>
        <v/>
      </c>
      <c r="N6" s="174">
        <f>G6*Prices!D$2</f>
        <v/>
      </c>
      <c r="O6" s="174">
        <f>H6*Prices!E$2</f>
        <v/>
      </c>
      <c r="P6" s="174">
        <f>I6*2000+J6*4000+K6*650</f>
        <v/>
      </c>
      <c r="Q6" s="174">
        <f>D6*Prices!A$2</f>
        <v/>
      </c>
      <c r="R6" s="175">
        <f>L6+M6+N6+O6</f>
        <v/>
      </c>
      <c r="S6" s="174">
        <f>R6+Q6+P6</f>
        <v/>
      </c>
      <c r="T6" s="26" t="n">
        <v>3</v>
      </c>
      <c r="U6" s="26" t="inlineStr">
        <is>
          <t>Sold</t>
        </is>
      </c>
      <c r="V6" s="12" t="n"/>
      <c r="W6" s="12" t="n"/>
      <c r="X6" s="12" t="n"/>
      <c r="Y6" s="12" t="n"/>
      <c r="Z6" s="12" t="n"/>
    </row>
    <row r="7">
      <c r="A7" s="26" t="n">
        <v>4</v>
      </c>
      <c r="B7" s="26" t="n">
        <v>2.97</v>
      </c>
      <c r="C7" s="26">
        <f>B7*(25/100)</f>
        <v/>
      </c>
      <c r="D7" s="26">
        <f>C7+B7</f>
        <v/>
      </c>
      <c r="E7" s="26" t="n">
        <v>0.85</v>
      </c>
      <c r="F7" s="26" t="n"/>
      <c r="G7" s="26" t="n"/>
      <c r="H7" s="26" t="n"/>
      <c r="I7" s="26" t="n"/>
      <c r="J7" s="26" t="n"/>
      <c r="K7" s="26" t="n"/>
      <c r="L7" s="174">
        <f>E7*Prices!B$2</f>
        <v/>
      </c>
      <c r="M7" s="174">
        <f>F7*Prices!C$2</f>
        <v/>
      </c>
      <c r="N7" s="174">
        <f>G7*Prices!D$2</f>
        <v/>
      </c>
      <c r="O7" s="174">
        <f>H7*Prices!E$2</f>
        <v/>
      </c>
      <c r="P7" s="174">
        <f>I7*2000+J7*4000+K7*650</f>
        <v/>
      </c>
      <c r="Q7" s="174">
        <f>D7*Prices!A$2</f>
        <v/>
      </c>
      <c r="R7" s="175">
        <f>L7+M7+N7+O7</f>
        <v/>
      </c>
      <c r="S7" s="174">
        <f>R7+Q7+P7</f>
        <v/>
      </c>
      <c r="T7" s="26" t="n">
        <v>4</v>
      </c>
      <c r="U7" s="26" t="inlineStr">
        <is>
          <t>Available</t>
        </is>
      </c>
      <c r="V7" s="12" t="inlineStr">
        <is>
          <t>A</t>
        </is>
      </c>
      <c r="W7" s="12" t="n"/>
      <c r="X7" s="12" t="n"/>
      <c r="Y7" s="12" t="n"/>
      <c r="Z7" s="12" t="n"/>
    </row>
    <row r="8">
      <c r="A8" s="26" t="n">
        <v>5</v>
      </c>
      <c r="B8" s="26" t="n">
        <v>4.27</v>
      </c>
      <c r="C8" s="26">
        <f>B8*(25/100)</f>
        <v/>
      </c>
      <c r="D8" s="26">
        <f>C8+B8</f>
        <v/>
      </c>
      <c r="E8" s="26" t="n">
        <v>1.44</v>
      </c>
      <c r="F8" s="26" t="n"/>
      <c r="G8" s="26" t="n"/>
      <c r="H8" s="26" t="n"/>
      <c r="I8" s="26" t="n"/>
      <c r="J8" s="26" t="n"/>
      <c r="K8" s="26" t="n"/>
      <c r="L8" s="174">
        <f>E8*Prices!B$2</f>
        <v/>
      </c>
      <c r="M8" s="174">
        <f>F8*Prices!C$2</f>
        <v/>
      </c>
      <c r="N8" s="174">
        <f>G8*Prices!D$2</f>
        <v/>
      </c>
      <c r="O8" s="174">
        <f>H8*Prices!E$2</f>
        <v/>
      </c>
      <c r="P8" s="174">
        <f>I8*2000+J8*4000+K8*650</f>
        <v/>
      </c>
      <c r="Q8" s="174">
        <f>D8*Prices!A$2</f>
        <v/>
      </c>
      <c r="R8" s="175">
        <f>L8+M8+N8+O8</f>
        <v/>
      </c>
      <c r="S8" s="174">
        <f>R8+Q8+P8</f>
        <v/>
      </c>
      <c r="T8" s="26" t="n">
        <v>5</v>
      </c>
      <c r="U8" s="26" t="inlineStr">
        <is>
          <t>Sold</t>
        </is>
      </c>
      <c r="V8" s="12" t="n"/>
      <c r="W8" s="12" t="n"/>
      <c r="X8" s="12" t="n"/>
      <c r="Y8" s="12" t="n"/>
      <c r="Z8" s="12" t="n"/>
    </row>
    <row r="9">
      <c r="A9" s="26" t="n">
        <v>6</v>
      </c>
      <c r="B9" s="26" t="n">
        <v>2.96</v>
      </c>
      <c r="C9" s="26">
        <f>B9*(25/100)</f>
        <v/>
      </c>
      <c r="D9" s="26">
        <f>C9+B9</f>
        <v/>
      </c>
      <c r="E9" s="26" t="n">
        <v>0.4</v>
      </c>
      <c r="F9" s="26" t="n"/>
      <c r="G9" s="26" t="n"/>
      <c r="H9" s="26" t="n"/>
      <c r="I9" s="26" t="n"/>
      <c r="J9" s="26" t="n"/>
      <c r="K9" s="26" t="n"/>
      <c r="L9" s="174">
        <f>E9*Prices!B$2</f>
        <v/>
      </c>
      <c r="M9" s="174">
        <f>F9*Prices!C$2</f>
        <v/>
      </c>
      <c r="N9" s="174">
        <f>G9*Prices!D$2</f>
        <v/>
      </c>
      <c r="O9" s="174">
        <f>H9*Prices!E$2</f>
        <v/>
      </c>
      <c r="P9" s="174">
        <f>I9*2000+J9*4000+K9*650</f>
        <v/>
      </c>
      <c r="Q9" s="174">
        <f>D9*Prices!A$2</f>
        <v/>
      </c>
      <c r="R9" s="175">
        <f>L9+M9+N9+O9</f>
        <v/>
      </c>
      <c r="S9" s="174">
        <f>R9+Q9+P9</f>
        <v/>
      </c>
      <c r="T9" s="26" t="n">
        <v>6</v>
      </c>
      <c r="U9" s="26" t="inlineStr">
        <is>
          <t>Sold</t>
        </is>
      </c>
      <c r="V9" s="12" t="n"/>
      <c r="W9" s="12" t="n"/>
      <c r="X9" s="12" t="n"/>
      <c r="Y9" s="12" t="n"/>
      <c r="Z9" s="12" t="n"/>
    </row>
    <row r="10">
      <c r="A10" s="26" t="n">
        <v>7</v>
      </c>
      <c r="B10" s="26" t="n">
        <v>3.55</v>
      </c>
      <c r="C10" s="26">
        <f>B10*(25/100)</f>
        <v/>
      </c>
      <c r="D10" s="26">
        <f>C10+B10</f>
        <v/>
      </c>
      <c r="E10" s="26" t="n">
        <v>0.83</v>
      </c>
      <c r="F10" s="26" t="n"/>
      <c r="G10" s="26" t="n"/>
      <c r="H10" s="26" t="n"/>
      <c r="I10" s="26" t="n"/>
      <c r="J10" s="26" t="n"/>
      <c r="K10" s="26" t="n"/>
      <c r="L10" s="174">
        <f>E10*Prices!B$2</f>
        <v/>
      </c>
      <c r="M10" s="174">
        <f>F10*Prices!C$2</f>
        <v/>
      </c>
      <c r="N10" s="174">
        <f>G10*Prices!D$2</f>
        <v/>
      </c>
      <c r="O10" s="174">
        <f>H10*Prices!E$2</f>
        <v/>
      </c>
      <c r="P10" s="174">
        <f>I10*2000+J10*4000+K10*650</f>
        <v/>
      </c>
      <c r="Q10" s="174">
        <f>D10*Prices!A$2</f>
        <v/>
      </c>
      <c r="R10" s="175">
        <f>L10+M10+N10+O10</f>
        <v/>
      </c>
      <c r="S10" s="174">
        <f>R10+Q10+P10</f>
        <v/>
      </c>
      <c r="T10" s="26" t="n">
        <v>7</v>
      </c>
      <c r="U10" s="26" t="inlineStr">
        <is>
          <t>Available</t>
        </is>
      </c>
      <c r="V10" s="12" t="inlineStr">
        <is>
          <t>A</t>
        </is>
      </c>
      <c r="W10" s="12" t="n"/>
      <c r="X10" s="12" t="n"/>
      <c r="Y10" s="12" t="n"/>
      <c r="Z10" s="12" t="n"/>
    </row>
    <row r="11">
      <c r="A11" s="26" t="n">
        <v>8</v>
      </c>
      <c r="B11" s="26" t="n">
        <v>7.16</v>
      </c>
      <c r="C11" s="26">
        <f>B11*(25/100)</f>
        <v/>
      </c>
      <c r="D11" s="26">
        <f>C11+B11</f>
        <v/>
      </c>
      <c r="E11" s="26" t="n">
        <v>1.58</v>
      </c>
      <c r="F11" s="26" t="n"/>
      <c r="G11" s="26" t="n"/>
      <c r="H11" s="26" t="n"/>
      <c r="I11" s="26" t="n"/>
      <c r="J11" s="26" t="n"/>
      <c r="K11" s="26" t="n"/>
      <c r="L11" s="174">
        <f>E11*Prices!B$2</f>
        <v/>
      </c>
      <c r="M11" s="174">
        <f>F11*Prices!C$2</f>
        <v/>
      </c>
      <c r="N11" s="174">
        <f>G11*Prices!D$2</f>
        <v/>
      </c>
      <c r="O11" s="174">
        <f>H11*Prices!E$2</f>
        <v/>
      </c>
      <c r="P11" s="174">
        <f>I11*2000+J11*4000+K11*650</f>
        <v/>
      </c>
      <c r="Q11" s="174">
        <f>D11*Prices!A$2</f>
        <v/>
      </c>
      <c r="R11" s="175">
        <f>L11+M11+N11+O11</f>
        <v/>
      </c>
      <c r="S11" s="174">
        <f>R11+Q11+P11</f>
        <v/>
      </c>
      <c r="T11" s="26" t="n">
        <v>8</v>
      </c>
      <c r="U11" s="26" t="inlineStr">
        <is>
          <t>Available</t>
        </is>
      </c>
      <c r="V11" s="12" t="inlineStr">
        <is>
          <t>A</t>
        </is>
      </c>
      <c r="W11" s="12" t="n"/>
      <c r="X11" s="12" t="n"/>
      <c r="Y11" s="12" t="n"/>
      <c r="Z11" s="12" t="n"/>
    </row>
    <row r="12">
      <c r="A12" s="26" t="n">
        <v>9</v>
      </c>
      <c r="B12" s="26" t="n">
        <v>3.57</v>
      </c>
      <c r="C12" s="26">
        <f>B12*(25/100)</f>
        <v/>
      </c>
      <c r="D12" s="26">
        <f>C12+B12</f>
        <v/>
      </c>
      <c r="E12" s="26" t="n">
        <v>0.62</v>
      </c>
      <c r="F12" s="26" t="n"/>
      <c r="G12" s="26" t="n"/>
      <c r="H12" s="26" t="n"/>
      <c r="I12" s="26" t="n"/>
      <c r="J12" s="26" t="n"/>
      <c r="K12" s="26" t="n"/>
      <c r="L12" s="174">
        <f>E12*Prices!B$2</f>
        <v/>
      </c>
      <c r="M12" s="174">
        <f>F12*Prices!C$2</f>
        <v/>
      </c>
      <c r="N12" s="174">
        <f>G12*Prices!D$2</f>
        <v/>
      </c>
      <c r="O12" s="174">
        <f>H12*Prices!E$2</f>
        <v/>
      </c>
      <c r="P12" s="174">
        <f>I12*2000+J12*4000+K12*650</f>
        <v/>
      </c>
      <c r="Q12" s="174">
        <f>D12*Prices!A$2</f>
        <v/>
      </c>
      <c r="R12" s="175">
        <f>L12+M12+N12+O12</f>
        <v/>
      </c>
      <c r="S12" s="174">
        <f>R12+Q12+P12</f>
        <v/>
      </c>
      <c r="T12" s="26" t="n">
        <v>9</v>
      </c>
      <c r="U12" s="26" t="inlineStr">
        <is>
          <t>Sold</t>
        </is>
      </c>
      <c r="V12" s="12" t="n"/>
      <c r="W12" s="12" t="n"/>
      <c r="X12" s="12" t="n"/>
      <c r="Y12" s="12" t="n"/>
      <c r="Z12" s="12" t="n"/>
    </row>
    <row r="13">
      <c r="A13" s="26" t="n">
        <v>10</v>
      </c>
      <c r="B13" s="26" t="n">
        <v>2.9</v>
      </c>
      <c r="C13" s="26">
        <f>B13*(25/100)</f>
        <v/>
      </c>
      <c r="D13" s="26">
        <f>C13+B13</f>
        <v/>
      </c>
      <c r="E13" s="26" t="n">
        <v>0.3</v>
      </c>
      <c r="F13" s="26" t="n"/>
      <c r="G13" s="26" t="n"/>
      <c r="H13" s="26" t="n"/>
      <c r="I13" s="26" t="n"/>
      <c r="J13" s="26" t="n"/>
      <c r="K13" s="26" t="n"/>
      <c r="L13" s="174">
        <f>E13*Prices!B$2</f>
        <v/>
      </c>
      <c r="M13" s="174">
        <f>F13*Prices!C$2</f>
        <v/>
      </c>
      <c r="N13" s="174">
        <f>G13*Prices!D$2</f>
        <v/>
      </c>
      <c r="O13" s="174">
        <f>H13*Prices!E$2</f>
        <v/>
      </c>
      <c r="P13" s="174">
        <f>I13*2000+J13*4000+K13*650</f>
        <v/>
      </c>
      <c r="Q13" s="174">
        <f>D13*Prices!A$2</f>
        <v/>
      </c>
      <c r="R13" s="175">
        <f>L13+M13+N13+O13</f>
        <v/>
      </c>
      <c r="S13" s="174">
        <f>R13+Q13+P13</f>
        <v/>
      </c>
      <c r="T13" s="26" t="n">
        <v>10</v>
      </c>
      <c r="U13" s="93" t="inlineStr">
        <is>
          <t>Sold</t>
        </is>
      </c>
      <c r="V13" s="12" t="n"/>
      <c r="W13" s="12" t="n"/>
      <c r="X13" s="12" t="n"/>
      <c r="Y13" s="12" t="n"/>
      <c r="Z13" s="12" t="n"/>
    </row>
    <row r="14">
      <c r="A14" s="26" t="n">
        <v>11</v>
      </c>
      <c r="B14" s="26" t="n">
        <v>3.51</v>
      </c>
      <c r="C14" s="26">
        <f>B14*(25/100)</f>
        <v/>
      </c>
      <c r="D14" s="26">
        <f>C14+B14</f>
        <v/>
      </c>
      <c r="E14" s="26" t="n">
        <v>0.53</v>
      </c>
      <c r="F14" s="26" t="n"/>
      <c r="G14" s="26" t="n"/>
      <c r="H14" s="26" t="n"/>
      <c r="I14" s="26" t="n"/>
      <c r="J14" s="26" t="n"/>
      <c r="K14" s="26" t="n"/>
      <c r="L14" s="174">
        <f>E14*Prices!B$2</f>
        <v/>
      </c>
      <c r="M14" s="174">
        <f>F14*Prices!C$2</f>
        <v/>
      </c>
      <c r="N14" s="174">
        <f>G14*Prices!D$2</f>
        <v/>
      </c>
      <c r="O14" s="174">
        <f>H14*Prices!E$2</f>
        <v/>
      </c>
      <c r="P14" s="174">
        <f>I14*2000+J14*4000+K14*650</f>
        <v/>
      </c>
      <c r="Q14" s="174">
        <f>D14*Prices!A$2</f>
        <v/>
      </c>
      <c r="R14" s="175">
        <f>L14+M14+N14+O14</f>
        <v/>
      </c>
      <c r="S14" s="174">
        <f>R14+Q14+P14</f>
        <v/>
      </c>
      <c r="T14" s="26" t="n">
        <v>11</v>
      </c>
      <c r="U14" s="26" t="inlineStr">
        <is>
          <t>Available</t>
        </is>
      </c>
      <c r="V14" s="12" t="inlineStr">
        <is>
          <t>A</t>
        </is>
      </c>
      <c r="W14" s="12" t="n"/>
      <c r="X14" s="12" t="n"/>
      <c r="Y14" s="12" t="n"/>
      <c r="Z14" s="12" t="n"/>
    </row>
    <row r="15">
      <c r="A15" s="26" t="n">
        <v>12</v>
      </c>
      <c r="B15" s="26" t="n">
        <v>8.26</v>
      </c>
      <c r="C15" s="26">
        <f>B15*(25/100)</f>
        <v/>
      </c>
      <c r="D15" s="26">
        <f>C15+B15</f>
        <v/>
      </c>
      <c r="E15" s="26" t="n">
        <v>1.85</v>
      </c>
      <c r="F15" s="26" t="n"/>
      <c r="G15" s="26" t="n"/>
      <c r="H15" s="26" t="n"/>
      <c r="I15" s="26" t="n"/>
      <c r="J15" s="26" t="n"/>
      <c r="K15" s="26" t="n"/>
      <c r="L15" s="174">
        <f>E15*Prices!B$2</f>
        <v/>
      </c>
      <c r="M15" s="174">
        <f>F15*Prices!C$2</f>
        <v/>
      </c>
      <c r="N15" s="174">
        <f>G15*Prices!D$2</f>
        <v/>
      </c>
      <c r="O15" s="174">
        <f>H15*Prices!E$2</f>
        <v/>
      </c>
      <c r="P15" s="174">
        <f>I15*2000+J15*4000+K15*650</f>
        <v/>
      </c>
      <c r="Q15" s="174">
        <f>D15*Prices!A$2</f>
        <v/>
      </c>
      <c r="R15" s="175">
        <f>L15+M15+N15+O15</f>
        <v/>
      </c>
      <c r="S15" s="174">
        <f>R15+Q15+P15</f>
        <v/>
      </c>
      <c r="T15" s="26" t="n">
        <v>12</v>
      </c>
      <c r="U15" s="26" t="inlineStr">
        <is>
          <t>Sold</t>
        </is>
      </c>
      <c r="V15" s="12" t="n"/>
      <c r="W15" s="12" t="n"/>
      <c r="X15" s="12" t="n"/>
      <c r="Y15" s="12" t="n"/>
      <c r="Z15" s="12" t="n"/>
    </row>
    <row r="16">
      <c r="A16" s="26" t="n">
        <v>13</v>
      </c>
      <c r="B16" s="26" t="n">
        <v>16</v>
      </c>
      <c r="C16" s="26">
        <f>B16*(25/100)</f>
        <v/>
      </c>
      <c r="D16" s="26">
        <f>C16+B16</f>
        <v/>
      </c>
      <c r="E16" s="26" t="n">
        <v>2.68</v>
      </c>
      <c r="F16" s="26" t="n"/>
      <c r="G16" s="26" t="n"/>
      <c r="H16" s="26" t="n"/>
      <c r="I16" s="26" t="n"/>
      <c r="J16" s="26" t="n"/>
      <c r="K16" s="26" t="n"/>
      <c r="L16" s="174">
        <f>E16*Prices!B$2</f>
        <v/>
      </c>
      <c r="M16" s="174">
        <f>F16*Prices!C$2</f>
        <v/>
      </c>
      <c r="N16" s="174">
        <f>G16*Prices!D$2</f>
        <v/>
      </c>
      <c r="O16" s="174">
        <f>H16*Prices!E$2</f>
        <v/>
      </c>
      <c r="P16" s="174">
        <f>I16*2000+J16*4000+K16*650</f>
        <v/>
      </c>
      <c r="Q16" s="174">
        <f>D16*Prices!A$2</f>
        <v/>
      </c>
      <c r="R16" s="175">
        <f>L16+M16+N16+O16</f>
        <v/>
      </c>
      <c r="S16" s="174">
        <f>R16+Q16+P16</f>
        <v/>
      </c>
      <c r="T16" s="26" t="n">
        <v>13</v>
      </c>
      <c r="U16" s="26" t="inlineStr">
        <is>
          <t>Sold</t>
        </is>
      </c>
      <c r="V16" s="12" t="n"/>
      <c r="W16" s="12" t="n"/>
      <c r="X16" s="12" t="n"/>
      <c r="Y16" s="12" t="n"/>
      <c r="Z16" s="12" t="n"/>
    </row>
    <row r="17">
      <c r="A17" s="26" t="n">
        <v>14</v>
      </c>
      <c r="B17" s="26" t="n">
        <v>3.18</v>
      </c>
      <c r="C17" s="26">
        <f>B17*(25/100)</f>
        <v/>
      </c>
      <c r="D17" s="26">
        <f>C17+B17</f>
        <v/>
      </c>
      <c r="E17" s="26" t="n">
        <v>0.85</v>
      </c>
      <c r="F17" s="26" t="n"/>
      <c r="G17" s="26" t="n"/>
      <c r="H17" s="26" t="n"/>
      <c r="I17" s="26" t="n"/>
      <c r="J17" s="26" t="n"/>
      <c r="K17" s="26" t="n"/>
      <c r="L17" s="174">
        <f>E17*Prices!B$2</f>
        <v/>
      </c>
      <c r="M17" s="174">
        <f>F17*Prices!C$2</f>
        <v/>
      </c>
      <c r="N17" s="174">
        <f>G17*Prices!D$2</f>
        <v/>
      </c>
      <c r="O17" s="174">
        <f>H17*Prices!E$2</f>
        <v/>
      </c>
      <c r="P17" s="174">
        <f>I17*2000+J17*4000+K17*650</f>
        <v/>
      </c>
      <c r="Q17" s="174">
        <f>D17*Prices!A$2</f>
        <v/>
      </c>
      <c r="R17" s="175">
        <f>L17+M17+N17+O17</f>
        <v/>
      </c>
      <c r="S17" s="174">
        <f>R17+Q17+P17</f>
        <v/>
      </c>
      <c r="T17" s="26" t="n">
        <v>14</v>
      </c>
      <c r="U17" s="26" t="inlineStr">
        <is>
          <t>Available</t>
        </is>
      </c>
      <c r="V17" s="12" t="inlineStr">
        <is>
          <t>A</t>
        </is>
      </c>
      <c r="W17" s="12" t="n"/>
      <c r="X17" s="12" t="n"/>
      <c r="Y17" s="12" t="n"/>
      <c r="Z17" s="12" t="n"/>
    </row>
    <row r="18">
      <c r="A18" s="26" t="n">
        <v>15</v>
      </c>
      <c r="B18" s="26" t="n">
        <v>3.17</v>
      </c>
      <c r="C18" s="26">
        <f>B18*(25/100)</f>
        <v/>
      </c>
      <c r="D18" s="26">
        <f>C18+B18</f>
        <v/>
      </c>
      <c r="E18" s="26" t="n">
        <v>0.83</v>
      </c>
      <c r="F18" s="26" t="n"/>
      <c r="G18" s="26" t="n"/>
      <c r="H18" s="26" t="n"/>
      <c r="I18" s="26" t="n"/>
      <c r="J18" s="26" t="n"/>
      <c r="K18" s="26" t="n"/>
      <c r="L18" s="174">
        <f>E18*Prices!B$2</f>
        <v/>
      </c>
      <c r="M18" s="174">
        <f>F18*Prices!C$2</f>
        <v/>
      </c>
      <c r="N18" s="174">
        <f>G18*Prices!D$2</f>
        <v/>
      </c>
      <c r="O18" s="174">
        <f>H18*Prices!E$2</f>
        <v/>
      </c>
      <c r="P18" s="174">
        <f>I18*2000+J18*4000+K18*650</f>
        <v/>
      </c>
      <c r="Q18" s="174">
        <f>D18*Prices!A$2</f>
        <v/>
      </c>
      <c r="R18" s="175">
        <f>L18+M18+N18+O18</f>
        <v/>
      </c>
      <c r="S18" s="174">
        <f>R18+Q18+P18</f>
        <v/>
      </c>
      <c r="T18" s="26" t="n">
        <v>15</v>
      </c>
      <c r="U18" s="26" t="inlineStr">
        <is>
          <t>Available</t>
        </is>
      </c>
      <c r="V18" s="12" t="inlineStr">
        <is>
          <t>A</t>
        </is>
      </c>
      <c r="W18" s="12" t="n"/>
      <c r="X18" s="12" t="n"/>
      <c r="Y18" s="12" t="n"/>
      <c r="Z18" s="12" t="n"/>
    </row>
    <row r="19">
      <c r="A19" s="26" t="n">
        <v>16</v>
      </c>
      <c r="B19" s="26" t="n">
        <v>3.78</v>
      </c>
      <c r="C19" s="26">
        <f>B19*(25/100)</f>
        <v/>
      </c>
      <c r="D19" s="26">
        <f>C19+B19</f>
        <v/>
      </c>
      <c r="E19" s="26" t="n">
        <v>0.68</v>
      </c>
      <c r="F19" s="26" t="n"/>
      <c r="G19" s="26" t="n"/>
      <c r="H19" s="26" t="n"/>
      <c r="I19" s="26" t="n"/>
      <c r="J19" s="26" t="n"/>
      <c r="K19" s="26" t="n"/>
      <c r="L19" s="174">
        <f>E19*Prices!B$2</f>
        <v/>
      </c>
      <c r="M19" s="174">
        <f>F19*Prices!C$2</f>
        <v/>
      </c>
      <c r="N19" s="174">
        <f>G19*Prices!D$2</f>
        <v/>
      </c>
      <c r="O19" s="174">
        <f>H19*Prices!E$2</f>
        <v/>
      </c>
      <c r="P19" s="174">
        <f>I19*2000+J19*4000+K19*650</f>
        <v/>
      </c>
      <c r="Q19" s="174">
        <f>D19*Prices!A$2</f>
        <v/>
      </c>
      <c r="R19" s="175">
        <f>L19+M19+N19+O19</f>
        <v/>
      </c>
      <c r="S19" s="174">
        <f>R19+Q19+P19</f>
        <v/>
      </c>
      <c r="T19" s="26" t="n">
        <v>16</v>
      </c>
      <c r="U19" s="26" t="inlineStr">
        <is>
          <t>Available</t>
        </is>
      </c>
      <c r="V19" s="12" t="inlineStr">
        <is>
          <t>A</t>
        </is>
      </c>
      <c r="W19" s="12" t="n"/>
      <c r="X19" s="12" t="n"/>
      <c r="Y19" s="12" t="n"/>
      <c r="Z19" s="12" t="n"/>
    </row>
    <row r="20">
      <c r="A20" s="26" t="n">
        <v>17</v>
      </c>
      <c r="B20" s="26" t="n">
        <v>2.7</v>
      </c>
      <c r="C20" s="26">
        <f>B20*(25/100)</f>
        <v/>
      </c>
      <c r="D20" s="26">
        <f>C20+B20</f>
        <v/>
      </c>
      <c r="E20" s="26" t="n">
        <v>0.38</v>
      </c>
      <c r="F20" s="26" t="n"/>
      <c r="G20" s="26" t="n"/>
      <c r="H20" s="26" t="n"/>
      <c r="I20" s="26" t="n"/>
      <c r="J20" s="26" t="n"/>
      <c r="K20" s="26" t="n"/>
      <c r="L20" s="174">
        <f>E20*Prices!B$2</f>
        <v/>
      </c>
      <c r="M20" s="174">
        <f>F20*Prices!C$2</f>
        <v/>
      </c>
      <c r="N20" s="174">
        <f>G20*Prices!D$2</f>
        <v/>
      </c>
      <c r="O20" s="174">
        <f>H20*Prices!E$2</f>
        <v/>
      </c>
      <c r="P20" s="174">
        <f>I20*2000+J20*4000+K20*650</f>
        <v/>
      </c>
      <c r="Q20" s="174">
        <f>D20*Prices!A$2</f>
        <v/>
      </c>
      <c r="R20" s="175">
        <f>L20+M20+N20+O20</f>
        <v/>
      </c>
      <c r="S20" s="174">
        <f>R20+Q20+P20</f>
        <v/>
      </c>
      <c r="T20" s="26" t="n">
        <v>17</v>
      </c>
      <c r="U20" s="26" t="inlineStr">
        <is>
          <t>Available</t>
        </is>
      </c>
      <c r="V20" s="12" t="inlineStr">
        <is>
          <t>A</t>
        </is>
      </c>
      <c r="W20" s="12" t="n"/>
      <c r="X20" s="12" t="n"/>
      <c r="Y20" s="12" t="n"/>
      <c r="Z20" s="12" t="n"/>
    </row>
    <row r="21">
      <c r="A21" s="26" t="n">
        <v>18</v>
      </c>
      <c r="B21" s="26" t="n">
        <v>1.15</v>
      </c>
      <c r="C21" s="26">
        <f>B21*(25/100)</f>
        <v/>
      </c>
      <c r="D21" s="26">
        <f>C21+B21</f>
        <v/>
      </c>
      <c r="E21" s="26" t="n">
        <v>0.08</v>
      </c>
      <c r="F21" s="26" t="n"/>
      <c r="G21" s="26" t="n"/>
      <c r="H21" s="26" t="n"/>
      <c r="I21" s="26" t="n"/>
      <c r="J21" s="26" t="n"/>
      <c r="K21" s="26" t="n"/>
      <c r="L21" s="174">
        <f>E21*Prices!B$2</f>
        <v/>
      </c>
      <c r="M21" s="174">
        <f>F21*Prices!C$2</f>
        <v/>
      </c>
      <c r="N21" s="174">
        <f>G21*Prices!D$2</f>
        <v/>
      </c>
      <c r="O21" s="174">
        <f>H21*Prices!E$2</f>
        <v/>
      </c>
      <c r="P21" s="174">
        <f>I21*2000+J21*4000+K21*650</f>
        <v/>
      </c>
      <c r="Q21" s="174">
        <f>D21*Prices!A$2</f>
        <v/>
      </c>
      <c r="R21" s="175">
        <f>L21+M21+N21+O21</f>
        <v/>
      </c>
      <c r="S21" s="174">
        <f>R21+Q21+P21</f>
        <v/>
      </c>
      <c r="T21" s="26" t="n">
        <v>18</v>
      </c>
      <c r="U21" s="26" t="inlineStr">
        <is>
          <t>Available</t>
        </is>
      </c>
      <c r="V21" s="12" t="inlineStr">
        <is>
          <t>A</t>
        </is>
      </c>
      <c r="W21" s="12" t="n"/>
      <c r="X21" s="12" t="n"/>
      <c r="Y21" s="12" t="n"/>
      <c r="Z21" s="12" t="n"/>
    </row>
    <row r="22">
      <c r="A22" s="26" t="n">
        <v>19</v>
      </c>
      <c r="B22" s="26" t="n">
        <v>2.04</v>
      </c>
      <c r="C22" s="26">
        <f>B22*(25/100)</f>
        <v/>
      </c>
      <c r="D22" s="26">
        <f>C22+B22</f>
        <v/>
      </c>
      <c r="E22" s="26" t="n">
        <v>0.39</v>
      </c>
      <c r="F22" s="26" t="n"/>
      <c r="G22" s="26" t="n"/>
      <c r="H22" s="26" t="n"/>
      <c r="I22" s="26" t="n"/>
      <c r="J22" s="26" t="n"/>
      <c r="K22" s="26" t="n"/>
      <c r="L22" s="174">
        <f>E22*Prices!B$2</f>
        <v/>
      </c>
      <c r="M22" s="174">
        <f>F22*Prices!C$2</f>
        <v/>
      </c>
      <c r="N22" s="174">
        <f>G22*Prices!D$2</f>
        <v/>
      </c>
      <c r="O22" s="174">
        <f>H22*Prices!E$2</f>
        <v/>
      </c>
      <c r="P22" s="174">
        <f>I22*2000+J22*4000+K22*650</f>
        <v/>
      </c>
      <c r="Q22" s="174">
        <f>D22*Prices!A$2</f>
        <v/>
      </c>
      <c r="R22" s="175">
        <f>L22+M22+N22+O22</f>
        <v/>
      </c>
      <c r="S22" s="174">
        <f>R22+Q22+P22</f>
        <v/>
      </c>
      <c r="T22" s="26" t="n">
        <v>19</v>
      </c>
      <c r="U22" s="93" t="inlineStr">
        <is>
          <t>Sold</t>
        </is>
      </c>
      <c r="V22" s="12" t="n"/>
      <c r="W22" s="12" t="n"/>
      <c r="X22" s="12" t="n"/>
      <c r="Y22" s="12" t="n"/>
      <c r="Z22" s="12" t="n"/>
    </row>
    <row r="23">
      <c r="A23" s="26" t="n">
        <v>20</v>
      </c>
      <c r="B23" s="26" t="n">
        <v>2.68</v>
      </c>
      <c r="C23" s="26">
        <f>B23*(25/100)</f>
        <v/>
      </c>
      <c r="D23" s="26">
        <f>C23+B23</f>
        <v/>
      </c>
      <c r="E23" s="26" t="n">
        <v>0.33</v>
      </c>
      <c r="F23" s="26" t="n"/>
      <c r="G23" s="26" t="n"/>
      <c r="H23" s="26" t="n"/>
      <c r="I23" s="26" t="n"/>
      <c r="J23" s="26" t="n"/>
      <c r="K23" s="26" t="n"/>
      <c r="L23" s="174">
        <f>E23*Prices!B$2</f>
        <v/>
      </c>
      <c r="M23" s="174">
        <f>F23*Prices!C$2</f>
        <v/>
      </c>
      <c r="N23" s="174">
        <f>G23*Prices!D$2</f>
        <v/>
      </c>
      <c r="O23" s="174">
        <f>H23*Prices!E$2</f>
        <v/>
      </c>
      <c r="P23" s="174">
        <f>I23*2000+J23*4000+K23*650</f>
        <v/>
      </c>
      <c r="Q23" s="174">
        <f>D23*Prices!A$2</f>
        <v/>
      </c>
      <c r="R23" s="175">
        <f>L23+M23+N23+O23</f>
        <v/>
      </c>
      <c r="S23" s="174">
        <f>R23+Q23+P23</f>
        <v/>
      </c>
      <c r="T23" s="26" t="n">
        <v>20</v>
      </c>
      <c r="U23" s="26" t="inlineStr">
        <is>
          <t>Available</t>
        </is>
      </c>
      <c r="V23" s="12" t="n"/>
      <c r="W23" s="12" t="n"/>
      <c r="X23" s="12" t="n"/>
      <c r="Y23" s="12" t="n"/>
      <c r="Z23" s="12" t="n"/>
    </row>
    <row r="24">
      <c r="A24" s="26" t="n">
        <v>21</v>
      </c>
      <c r="B24" s="26" t="n">
        <v>1.55</v>
      </c>
      <c r="C24" s="26">
        <f>B24*(25/100)</f>
        <v/>
      </c>
      <c r="D24" s="26">
        <f>C24+B24</f>
        <v/>
      </c>
      <c r="E24" s="26" t="n">
        <v>0.37</v>
      </c>
      <c r="F24" s="26" t="n"/>
      <c r="G24" s="26" t="n"/>
      <c r="H24" s="26" t="n"/>
      <c r="I24" s="26" t="n"/>
      <c r="J24" s="26" t="n"/>
      <c r="K24" s="26" t="n"/>
      <c r="L24" s="174">
        <f>E24*Prices!B$2</f>
        <v/>
      </c>
      <c r="M24" s="174">
        <f>F24*Prices!C$2</f>
        <v/>
      </c>
      <c r="N24" s="174">
        <f>G24*Prices!D$2</f>
        <v/>
      </c>
      <c r="O24" s="174">
        <f>H24*Prices!E$2</f>
        <v/>
      </c>
      <c r="P24" s="174">
        <f>I24*2000+J24*4000+K24*650</f>
        <v/>
      </c>
      <c r="Q24" s="174">
        <f>D24*Prices!A$2</f>
        <v/>
      </c>
      <c r="R24" s="175">
        <f>L24+M24+N24+O24</f>
        <v/>
      </c>
      <c r="S24" s="174">
        <f>R24+Q24+P24</f>
        <v/>
      </c>
      <c r="T24" s="26" t="n">
        <v>21</v>
      </c>
      <c r="U24" s="26" t="inlineStr">
        <is>
          <t>Available</t>
        </is>
      </c>
      <c r="V24" s="12" t="inlineStr">
        <is>
          <t>A</t>
        </is>
      </c>
      <c r="W24" s="12" t="n"/>
      <c r="X24" s="12" t="n"/>
      <c r="Y24" s="12" t="n"/>
      <c r="Z24" s="12" t="n"/>
    </row>
    <row r="25">
      <c r="A25" s="26" t="n">
        <v>22</v>
      </c>
      <c r="B25" s="26" t="n">
        <v>0.8100000000000001</v>
      </c>
      <c r="C25" s="26">
        <f>B25*(25/100)</f>
        <v/>
      </c>
      <c r="D25" s="26">
        <f>C25+B25</f>
        <v/>
      </c>
      <c r="E25" s="26" t="n">
        <v>0.42</v>
      </c>
      <c r="F25" s="26" t="n"/>
      <c r="G25" s="26" t="n"/>
      <c r="H25" s="26" t="n"/>
      <c r="I25" s="26" t="n"/>
      <c r="J25" s="26" t="n"/>
      <c r="K25" s="26" t="n"/>
      <c r="L25" s="174">
        <f>E25*Prices!B$2</f>
        <v/>
      </c>
      <c r="M25" s="174">
        <f>F25*Prices!C$2</f>
        <v/>
      </c>
      <c r="N25" s="174">
        <f>G25*Prices!D$2</f>
        <v/>
      </c>
      <c r="O25" s="174">
        <f>H25*Prices!E$2</f>
        <v/>
      </c>
      <c r="P25" s="174">
        <f>I25*2000+J25*4000+K25*650</f>
        <v/>
      </c>
      <c r="Q25" s="174">
        <f>D25*Prices!A$2</f>
        <v/>
      </c>
      <c r="R25" s="175">
        <f>L25+M25+N25+O25</f>
        <v/>
      </c>
      <c r="S25" s="174">
        <f>R25+Q25+P25</f>
        <v/>
      </c>
      <c r="T25" s="26" t="n">
        <v>22</v>
      </c>
      <c r="U25" s="26" t="inlineStr">
        <is>
          <t>Available</t>
        </is>
      </c>
      <c r="V25" s="12" t="inlineStr">
        <is>
          <t>A</t>
        </is>
      </c>
      <c r="W25" s="12" t="n"/>
      <c r="X25" s="12" t="n"/>
      <c r="Y25" s="12" t="n"/>
      <c r="Z25" s="12" t="n"/>
    </row>
    <row r="26">
      <c r="A26" s="26" t="n">
        <v>23</v>
      </c>
      <c r="B26" s="26" t="n">
        <v>1.88</v>
      </c>
      <c r="C26" s="26">
        <f>B26*(25/100)</f>
        <v/>
      </c>
      <c r="D26" s="26">
        <f>C26+B26</f>
        <v/>
      </c>
      <c r="E26" s="26" t="n">
        <v>0.27</v>
      </c>
      <c r="F26" s="26" t="n"/>
      <c r="G26" s="26" t="n"/>
      <c r="H26" s="26" t="n"/>
      <c r="I26" s="26" t="n"/>
      <c r="J26" s="26" t="n"/>
      <c r="K26" s="26" t="n"/>
      <c r="L26" s="174">
        <f>E26*Prices!B$2</f>
        <v/>
      </c>
      <c r="M26" s="174">
        <f>F26*Prices!C$2</f>
        <v/>
      </c>
      <c r="N26" s="174">
        <f>G26*Prices!D$2</f>
        <v/>
      </c>
      <c r="O26" s="174">
        <f>H26*Prices!E$2</f>
        <v/>
      </c>
      <c r="P26" s="174">
        <f>I26*2000+J26*4000+K26*650</f>
        <v/>
      </c>
      <c r="Q26" s="174">
        <f>D26*Prices!A$2</f>
        <v/>
      </c>
      <c r="R26" s="175">
        <f>L26+M26+N26+O26</f>
        <v/>
      </c>
      <c r="S26" s="174">
        <f>R26+Q26+P26</f>
        <v/>
      </c>
      <c r="T26" s="26" t="n">
        <v>23</v>
      </c>
      <c r="U26" s="93" t="inlineStr">
        <is>
          <t>Sold</t>
        </is>
      </c>
      <c r="V26" s="12" t="n"/>
      <c r="W26" s="12" t="n"/>
      <c r="X26" s="12" t="n"/>
      <c r="Y26" s="12" t="n"/>
      <c r="Z26" s="12" t="n"/>
    </row>
    <row r="27">
      <c r="A27" s="26" t="n">
        <v>24</v>
      </c>
      <c r="B27" s="26" t="n">
        <v>0.54</v>
      </c>
      <c r="C27" s="26">
        <f>B27*(25/100)</f>
        <v/>
      </c>
      <c r="D27" s="26">
        <f>C27+B27</f>
        <v/>
      </c>
      <c r="E27" s="26" t="n">
        <v>0.11</v>
      </c>
      <c r="F27" s="26" t="n"/>
      <c r="G27" s="26" t="n"/>
      <c r="H27" s="26" t="n"/>
      <c r="I27" s="26" t="n"/>
      <c r="J27" s="26" t="n"/>
      <c r="K27" s="26" t="n"/>
      <c r="L27" s="174">
        <f>E27*Prices!B$2</f>
        <v/>
      </c>
      <c r="M27" s="174">
        <f>F27*Prices!C$2</f>
        <v/>
      </c>
      <c r="N27" s="174">
        <f>G27*Prices!D$2</f>
        <v/>
      </c>
      <c r="O27" s="174">
        <f>H27*Prices!E$2</f>
        <v/>
      </c>
      <c r="P27" s="174">
        <f>I27*2000+J27*4000+K27*650</f>
        <v/>
      </c>
      <c r="Q27" s="174">
        <f>D27*Prices!A$2</f>
        <v/>
      </c>
      <c r="R27" s="175">
        <f>L27+M27+N27+O27</f>
        <v/>
      </c>
      <c r="S27" s="174">
        <f>R27+Q27+P27</f>
        <v/>
      </c>
      <c r="T27" s="26" t="n">
        <v>24</v>
      </c>
      <c r="U27" s="93" t="inlineStr">
        <is>
          <t>Sold</t>
        </is>
      </c>
      <c r="V27" s="12" t="n"/>
      <c r="W27" s="12" t="n"/>
      <c r="X27" s="12" t="n"/>
      <c r="Y27" s="12" t="n"/>
      <c r="Z27" s="12" t="n"/>
    </row>
    <row r="28">
      <c r="A28" s="26" t="n">
        <v>25</v>
      </c>
      <c r="B28" s="26" t="n">
        <v>1.61</v>
      </c>
      <c r="C28" s="26">
        <f>B28*(25/100)</f>
        <v/>
      </c>
      <c r="D28" s="26">
        <f>C28+B28</f>
        <v/>
      </c>
      <c r="E28" s="26" t="n">
        <v>0.24</v>
      </c>
      <c r="F28" s="12" t="n"/>
      <c r="G28" s="12" t="n"/>
      <c r="H28" s="12" t="n"/>
      <c r="I28" s="12" t="n"/>
      <c r="J28" s="12" t="n"/>
      <c r="K28" s="12" t="n"/>
      <c r="L28" s="174">
        <f>E28*Prices!B$2</f>
        <v/>
      </c>
      <c r="M28" s="174">
        <f>F28*Prices!C$2</f>
        <v/>
      </c>
      <c r="N28" s="174">
        <f>G28*Prices!D$2</f>
        <v/>
      </c>
      <c r="O28" s="174">
        <f>H28*Prices!E$2</f>
        <v/>
      </c>
      <c r="P28" s="174">
        <f>I28*2000+J28*4000+K28*650</f>
        <v/>
      </c>
      <c r="Q28" s="174">
        <f>D28*Prices!A$2</f>
        <v/>
      </c>
      <c r="R28" s="175">
        <f>L28+M28+N28+O28</f>
        <v/>
      </c>
      <c r="S28" s="174">
        <f>R28+Q28+P28</f>
        <v/>
      </c>
      <c r="T28" s="26" t="n">
        <v>25</v>
      </c>
      <c r="U28" s="26" t="inlineStr">
        <is>
          <t>Sold</t>
        </is>
      </c>
      <c r="V28" s="12" t="n"/>
      <c r="W28" s="12" t="n"/>
      <c r="X28" s="12" t="n"/>
      <c r="Y28" s="12" t="n"/>
      <c r="Z28" s="12" t="n"/>
    </row>
    <row r="29">
      <c r="A29" s="26" t="n">
        <v>26</v>
      </c>
      <c r="B29" s="26" t="n">
        <v>1.25</v>
      </c>
      <c r="C29" s="26">
        <f>B29*(25/100)</f>
        <v/>
      </c>
      <c r="D29" s="26">
        <f>C29+B29</f>
        <v/>
      </c>
      <c r="E29" s="26" t="n">
        <v>0.2</v>
      </c>
      <c r="F29" s="12" t="n"/>
      <c r="G29" s="12" t="n"/>
      <c r="H29" s="12" t="n"/>
      <c r="I29" s="12" t="n"/>
      <c r="J29" s="12" t="n"/>
      <c r="K29" s="12" t="n"/>
      <c r="L29" s="174">
        <f>E29*Prices!B$2</f>
        <v/>
      </c>
      <c r="M29" s="174">
        <f>F29*Prices!C$2</f>
        <v/>
      </c>
      <c r="N29" s="174">
        <f>G29*Prices!D$2</f>
        <v/>
      </c>
      <c r="O29" s="174">
        <f>H29*Prices!E$2</f>
        <v/>
      </c>
      <c r="P29" s="174">
        <f>I29*2000+J29*4000+K29*650</f>
        <v/>
      </c>
      <c r="Q29" s="174">
        <f>D29*Prices!A$2</f>
        <v/>
      </c>
      <c r="R29" s="175">
        <f>L29+M29+N29+O29</f>
        <v/>
      </c>
      <c r="S29" s="174">
        <f>R29+Q29+P29</f>
        <v/>
      </c>
      <c r="T29" s="26" t="n">
        <v>26</v>
      </c>
      <c r="U29" s="26" t="inlineStr">
        <is>
          <t>Sold</t>
        </is>
      </c>
      <c r="V29" s="12" t="n"/>
      <c r="W29" s="12" t="n"/>
      <c r="X29" s="12" t="n"/>
      <c r="Y29" s="12" t="n"/>
      <c r="Z29" s="12" t="n"/>
    </row>
    <row r="30">
      <c r="A30" s="26" t="n">
        <v>27</v>
      </c>
      <c r="B30" s="26" t="n">
        <v>1.3</v>
      </c>
      <c r="C30" s="26">
        <f>B30*(25/100)</f>
        <v/>
      </c>
      <c r="D30" s="26">
        <f>C30+B30</f>
        <v/>
      </c>
      <c r="E30" s="26" t="n">
        <v>0.19</v>
      </c>
      <c r="F30" s="12" t="n"/>
      <c r="G30" s="12" t="n"/>
      <c r="H30" s="12" t="n"/>
      <c r="I30" s="12" t="n"/>
      <c r="J30" s="12" t="n"/>
      <c r="K30" s="12" t="n"/>
      <c r="L30" s="174">
        <f>E30*Prices!B$2</f>
        <v/>
      </c>
      <c r="M30" s="174">
        <f>F30*Prices!C$2</f>
        <v/>
      </c>
      <c r="N30" s="174">
        <f>G30*Prices!D$2</f>
        <v/>
      </c>
      <c r="O30" s="174">
        <f>H30*Prices!E$2</f>
        <v/>
      </c>
      <c r="P30" s="174">
        <f>I30*2000+J30*4000+K30*650</f>
        <v/>
      </c>
      <c r="Q30" s="174">
        <f>D30*Prices!A$2</f>
        <v/>
      </c>
      <c r="R30" s="175">
        <f>L30+M30+N30+O30</f>
        <v/>
      </c>
      <c r="S30" s="174">
        <f>R30+Q30+P30</f>
        <v/>
      </c>
      <c r="T30" s="26" t="n">
        <v>27</v>
      </c>
      <c r="U30" s="93" t="inlineStr">
        <is>
          <t>Sold</t>
        </is>
      </c>
      <c r="V30" s="12" t="n"/>
      <c r="W30" s="12" t="n"/>
      <c r="X30" s="12" t="n"/>
      <c r="Y30" s="12" t="n"/>
      <c r="Z30" s="12" t="n"/>
    </row>
    <row r="31">
      <c r="A31" s="26" t="n">
        <v>28</v>
      </c>
      <c r="B31" s="26" t="n">
        <v>1.09</v>
      </c>
      <c r="C31" s="26">
        <f>B31*(25/100)</f>
        <v/>
      </c>
      <c r="D31" s="26">
        <f>C31+B31</f>
        <v/>
      </c>
      <c r="E31" s="26" t="n">
        <v>0.21</v>
      </c>
      <c r="F31" s="12" t="n"/>
      <c r="G31" s="12" t="n"/>
      <c r="H31" s="12" t="n"/>
      <c r="I31" s="12" t="n"/>
      <c r="J31" s="12" t="n"/>
      <c r="K31" s="12" t="n"/>
      <c r="L31" s="174">
        <f>E31*Prices!B$2</f>
        <v/>
      </c>
      <c r="M31" s="174">
        <f>F31*Prices!C$2</f>
        <v/>
      </c>
      <c r="N31" s="174">
        <f>G31*Prices!D$2</f>
        <v/>
      </c>
      <c r="O31" s="174">
        <f>H31*Prices!E$2</f>
        <v/>
      </c>
      <c r="P31" s="174">
        <f>I31*2000+J31*4000+K31*650</f>
        <v/>
      </c>
      <c r="Q31" s="174">
        <f>D31*Prices!A$2</f>
        <v/>
      </c>
      <c r="R31" s="175">
        <f>L31+M31+N31+O31</f>
        <v/>
      </c>
      <c r="S31" s="174">
        <f>R31+Q31+P31</f>
        <v/>
      </c>
      <c r="T31" s="26" t="n">
        <v>28</v>
      </c>
      <c r="U31" s="26" t="inlineStr">
        <is>
          <t>Available</t>
        </is>
      </c>
      <c r="V31" s="12" t="inlineStr">
        <is>
          <t>A</t>
        </is>
      </c>
      <c r="W31" s="12" t="n"/>
      <c r="X31" s="12" t="n"/>
      <c r="Y31" s="12" t="n"/>
      <c r="Z31" s="12" t="n"/>
    </row>
    <row r="32">
      <c r="A32" s="26" t="n">
        <v>29</v>
      </c>
      <c r="B32" s="26" t="n">
        <v>1.15</v>
      </c>
      <c r="C32" s="26">
        <f>B32*(25/100)</f>
        <v/>
      </c>
      <c r="D32" s="26">
        <f>C32+B32</f>
        <v/>
      </c>
      <c r="E32" s="26" t="n">
        <v>0.17</v>
      </c>
      <c r="F32" s="12" t="n"/>
      <c r="G32" s="12" t="n"/>
      <c r="H32" s="12" t="n"/>
      <c r="I32" s="12" t="n"/>
      <c r="J32" s="12" t="n"/>
      <c r="K32" s="12" t="n"/>
      <c r="L32" s="174">
        <f>E32*Prices!B$2</f>
        <v/>
      </c>
      <c r="M32" s="174">
        <f>F32*Prices!C$2</f>
        <v/>
      </c>
      <c r="N32" s="174">
        <f>G32*Prices!D$2</f>
        <v/>
      </c>
      <c r="O32" s="174">
        <f>H32*Prices!E$2</f>
        <v/>
      </c>
      <c r="P32" s="174">
        <f>I32*2000+J32*4000+K32*650</f>
        <v/>
      </c>
      <c r="Q32" s="174">
        <f>D32*Prices!A$2</f>
        <v/>
      </c>
      <c r="R32" s="175">
        <f>L32+M32+N32+O32</f>
        <v/>
      </c>
      <c r="S32" s="174">
        <f>R32+Q32+P32</f>
        <v/>
      </c>
      <c r="T32" s="26" t="n">
        <v>29</v>
      </c>
      <c r="U32" s="26" t="inlineStr">
        <is>
          <t>Available</t>
        </is>
      </c>
      <c r="V32" s="12" t="inlineStr">
        <is>
          <t>A</t>
        </is>
      </c>
      <c r="W32" s="12" t="n"/>
      <c r="X32" s="12" t="n"/>
      <c r="Y32" s="12" t="n"/>
      <c r="Z32" s="12" t="n"/>
    </row>
    <row r="33">
      <c r="A33" s="26" t="n">
        <v>30</v>
      </c>
      <c r="B33" s="26" t="n">
        <v>15.85</v>
      </c>
      <c r="C33" s="26">
        <f>B33*(25/100)</f>
        <v/>
      </c>
      <c r="D33" s="26">
        <f>C33+B33</f>
        <v/>
      </c>
      <c r="E33" s="26" t="n">
        <v>2.9</v>
      </c>
      <c r="F33" s="12" t="n"/>
      <c r="G33" s="12" t="n"/>
      <c r="H33" s="12" t="n"/>
      <c r="I33" s="12" t="n"/>
      <c r="J33" s="12" t="n"/>
      <c r="K33" s="12" t="n"/>
      <c r="L33" s="174">
        <f>E33*Prices!B$2</f>
        <v/>
      </c>
      <c r="M33" s="174">
        <f>F33*Prices!C$2</f>
        <v/>
      </c>
      <c r="N33" s="174">
        <f>G33*Prices!D$2</f>
        <v/>
      </c>
      <c r="O33" s="174">
        <f>H33*Prices!E$2</f>
        <v/>
      </c>
      <c r="P33" s="174">
        <f>I33*2000+J33*4000+K33*650</f>
        <v/>
      </c>
      <c r="Q33" s="174">
        <f>D33*Prices!A$2</f>
        <v/>
      </c>
      <c r="R33" s="175">
        <f>L33+M33+N33+O33</f>
        <v/>
      </c>
      <c r="S33" s="174">
        <f>R33+Q33+P33</f>
        <v/>
      </c>
      <c r="T33" s="26" t="n">
        <v>30</v>
      </c>
      <c r="U33" s="26" t="inlineStr">
        <is>
          <t>Sold</t>
        </is>
      </c>
      <c r="V33" s="12" t="n"/>
      <c r="W33" s="12" t="n"/>
      <c r="X33" s="12" t="n"/>
      <c r="Y33" s="12" t="n"/>
      <c r="Z33" s="12" t="n"/>
    </row>
    <row r="34">
      <c r="A34" s="26" t="n">
        <v>31</v>
      </c>
      <c r="B34" s="26" t="n">
        <v>8.640000000000001</v>
      </c>
      <c r="C34" s="26">
        <f>B34*(25/100)</f>
        <v/>
      </c>
      <c r="D34" s="26">
        <f>C34+B34</f>
        <v/>
      </c>
      <c r="E34" s="26" t="n">
        <v>1.67</v>
      </c>
      <c r="F34" s="12" t="n"/>
      <c r="G34" s="12" t="n"/>
      <c r="H34" s="12" t="n"/>
      <c r="I34" s="12" t="n"/>
      <c r="J34" s="12" t="n"/>
      <c r="K34" s="12" t="n"/>
      <c r="L34" s="174">
        <f>E34*Prices!B$2</f>
        <v/>
      </c>
      <c r="M34" s="174">
        <f>F34*Prices!C$2</f>
        <v/>
      </c>
      <c r="N34" s="174">
        <f>G34*Prices!D$2</f>
        <v/>
      </c>
      <c r="O34" s="174">
        <f>H34*Prices!E$2</f>
        <v/>
      </c>
      <c r="P34" s="174">
        <f>I34*2000+J34*4000+K34*650</f>
        <v/>
      </c>
      <c r="Q34" s="174">
        <f>D34*Prices!A$2</f>
        <v/>
      </c>
      <c r="R34" s="175">
        <f>L34+M34+N34+O34</f>
        <v/>
      </c>
      <c r="S34" s="174">
        <f>R34+Q34+P34</f>
        <v/>
      </c>
      <c r="T34" s="26" t="n">
        <v>31</v>
      </c>
      <c r="U34" s="26" t="inlineStr">
        <is>
          <t>Available</t>
        </is>
      </c>
      <c r="V34" s="12" t="inlineStr">
        <is>
          <t>A</t>
        </is>
      </c>
      <c r="W34" s="12" t="n"/>
      <c r="X34" s="12" t="n"/>
      <c r="Y34" s="12" t="n"/>
      <c r="Z34" s="12" t="n"/>
    </row>
    <row r="35">
      <c r="A35" s="26" t="n">
        <v>32</v>
      </c>
      <c r="B35" s="26" t="n">
        <v>16.59</v>
      </c>
      <c r="C35" s="26">
        <f>B35*(25/100)</f>
        <v/>
      </c>
      <c r="D35" s="26">
        <f>C35+B35</f>
        <v/>
      </c>
      <c r="E35" s="26" t="n">
        <v>3.86</v>
      </c>
      <c r="F35" s="12" t="n"/>
      <c r="G35" s="12" t="n"/>
      <c r="H35" s="12" t="n"/>
      <c r="I35" s="12" t="n"/>
      <c r="J35" s="12" t="n"/>
      <c r="K35" s="12" t="n"/>
      <c r="L35" s="174">
        <f>E35*Prices!B$2</f>
        <v/>
      </c>
      <c r="M35" s="174">
        <f>F35*Prices!C$2</f>
        <v/>
      </c>
      <c r="N35" s="174">
        <f>G35*Prices!D$2</f>
        <v/>
      </c>
      <c r="O35" s="174">
        <f>H35*Prices!E$2</f>
        <v/>
      </c>
      <c r="P35" s="174">
        <f>I35*2000+J35*4000+K35*650</f>
        <v/>
      </c>
      <c r="Q35" s="174">
        <f>D35*Prices!A$2</f>
        <v/>
      </c>
      <c r="R35" s="175">
        <f>L35+M35+N35+O35</f>
        <v/>
      </c>
      <c r="S35" s="174">
        <f>R35+Q35+P35</f>
        <v/>
      </c>
      <c r="T35" s="26" t="n">
        <v>32</v>
      </c>
      <c r="U35" s="26" t="inlineStr">
        <is>
          <t>Sold</t>
        </is>
      </c>
      <c r="V35" s="12" t="n"/>
      <c r="W35" s="12" t="n"/>
      <c r="X35" s="12" t="n"/>
      <c r="Y35" s="12" t="n"/>
      <c r="Z35" s="12" t="n"/>
    </row>
    <row r="36">
      <c r="A36" s="26" t="n">
        <v>33</v>
      </c>
      <c r="B36" s="26" t="n">
        <v>4.35</v>
      </c>
      <c r="C36" s="26">
        <f>B36*(25/100)</f>
        <v/>
      </c>
      <c r="D36" s="26">
        <f>C36+B36</f>
        <v/>
      </c>
      <c r="E36" s="26" t="n">
        <v>1.18</v>
      </c>
      <c r="F36" s="12" t="n"/>
      <c r="G36" s="12" t="n"/>
      <c r="H36" s="12" t="n"/>
      <c r="I36" s="12" t="n"/>
      <c r="J36" s="12" t="n"/>
      <c r="K36" s="12" t="n"/>
      <c r="L36" s="174">
        <f>E36*Prices!B$2</f>
        <v/>
      </c>
      <c r="M36" s="174">
        <f>F36*Prices!C$2</f>
        <v/>
      </c>
      <c r="N36" s="174">
        <f>G36*Prices!D$2</f>
        <v/>
      </c>
      <c r="O36" s="174">
        <f>H36*Prices!E$2</f>
        <v/>
      </c>
      <c r="P36" s="174">
        <f>I36*2000+J36*4000+K36*650</f>
        <v/>
      </c>
      <c r="Q36" s="174">
        <f>D36*Prices!A$2</f>
        <v/>
      </c>
      <c r="R36" s="175">
        <f>L36+M36+N36+O36</f>
        <v/>
      </c>
      <c r="S36" s="174">
        <f>R36+Q36+P36</f>
        <v/>
      </c>
      <c r="T36" s="26" t="n">
        <v>33</v>
      </c>
      <c r="U36" s="26" t="inlineStr">
        <is>
          <t>Sold</t>
        </is>
      </c>
      <c r="V36" s="12" t="n"/>
      <c r="W36" s="12" t="n"/>
      <c r="X36" s="12" t="n"/>
      <c r="Y36" s="12" t="n"/>
      <c r="Z36" s="12" t="n"/>
    </row>
    <row r="37">
      <c r="A37" s="26" t="n">
        <v>34</v>
      </c>
      <c r="B37" s="26" t="n">
        <v>16.42</v>
      </c>
      <c r="C37" s="26">
        <f>B37*(25/100)</f>
        <v/>
      </c>
      <c r="D37" s="26">
        <f>C37+B37</f>
        <v/>
      </c>
      <c r="E37" s="26" t="n">
        <v>4.02</v>
      </c>
      <c r="F37" s="12" t="n"/>
      <c r="G37" s="12" t="n"/>
      <c r="H37" s="12" t="n"/>
      <c r="I37" s="12" t="n"/>
      <c r="J37" s="12" t="n">
        <v>3.7</v>
      </c>
      <c r="K37" s="12" t="n"/>
      <c r="L37" s="174">
        <f>E37*Prices!B$2</f>
        <v/>
      </c>
      <c r="M37" s="174">
        <f>F37*Prices!C$2</f>
        <v/>
      </c>
      <c r="N37" s="174">
        <f>G37*Prices!D$2</f>
        <v/>
      </c>
      <c r="O37" s="174">
        <f>H37*Prices!E$2</f>
        <v/>
      </c>
      <c r="P37" s="174">
        <f>I37*2000+J37*5000+K37*650</f>
        <v/>
      </c>
      <c r="Q37" s="174">
        <f>D37*Prices!A$2</f>
        <v/>
      </c>
      <c r="R37" s="175">
        <f>L37+M37+N37+O37</f>
        <v/>
      </c>
      <c r="S37" s="174">
        <f>R37+Q37+P37</f>
        <v/>
      </c>
      <c r="T37" s="26" t="n">
        <v>34</v>
      </c>
      <c r="U37" s="26" t="inlineStr">
        <is>
          <t>Available</t>
        </is>
      </c>
      <c r="V37" s="12" t="inlineStr">
        <is>
          <t>A</t>
        </is>
      </c>
      <c r="W37" s="12" t="n"/>
      <c r="X37" s="12" t="n"/>
      <c r="Y37" s="12" t="n"/>
      <c r="Z37" s="12" t="n"/>
    </row>
    <row r="38">
      <c r="A38" s="26" t="n">
        <v>35</v>
      </c>
      <c r="B38" s="26" t="n">
        <v>6.68</v>
      </c>
      <c r="C38" s="26">
        <f>B38*(25/100)</f>
        <v/>
      </c>
      <c r="D38" s="26">
        <f>C38+B38</f>
        <v/>
      </c>
      <c r="E38" s="26" t="n">
        <v>2.42</v>
      </c>
      <c r="F38" s="12" t="n"/>
      <c r="G38" s="12" t="n"/>
      <c r="H38" s="12" t="n"/>
      <c r="I38" s="12" t="n"/>
      <c r="J38" s="12" t="n">
        <v>5.18</v>
      </c>
      <c r="K38" s="12" t="n"/>
      <c r="L38" s="174">
        <f>E38*Prices!B$2</f>
        <v/>
      </c>
      <c r="M38" s="174">
        <f>F38*Prices!C$2</f>
        <v/>
      </c>
      <c r="N38" s="174">
        <f>G38*Prices!D$2</f>
        <v/>
      </c>
      <c r="O38" s="174">
        <f>H38*Prices!E$2</f>
        <v/>
      </c>
      <c r="P38" s="174">
        <f>I38*2000+J38*5000+K38*650</f>
        <v/>
      </c>
      <c r="Q38" s="174">
        <f>D38*Prices!A$2</f>
        <v/>
      </c>
      <c r="R38" s="175">
        <f>L38+M38+N38+O38</f>
        <v/>
      </c>
      <c r="S38" s="174">
        <f>R38+Q38+P38</f>
        <v/>
      </c>
      <c r="T38" s="26" t="n">
        <v>35</v>
      </c>
      <c r="U38" s="26" t="inlineStr">
        <is>
          <t>Available</t>
        </is>
      </c>
      <c r="V38" s="12" t="inlineStr">
        <is>
          <t>A</t>
        </is>
      </c>
      <c r="W38" s="12" t="n"/>
      <c r="X38" s="12" t="n"/>
      <c r="Y38" s="12" t="n"/>
      <c r="Z38" s="12" t="n"/>
    </row>
    <row r="39">
      <c r="A39" s="26" t="n">
        <v>36</v>
      </c>
      <c r="B39" s="26" t="n">
        <v>2.15</v>
      </c>
      <c r="C39" s="26">
        <f>B39*(25/100)</f>
        <v/>
      </c>
      <c r="D39" s="26">
        <f>C39+B39</f>
        <v/>
      </c>
      <c r="E39" s="26" t="n">
        <v>0.32</v>
      </c>
      <c r="F39" s="12" t="n"/>
      <c r="G39" s="12" t="n"/>
      <c r="H39" s="12" t="n"/>
      <c r="I39" s="12" t="n"/>
      <c r="J39" s="12" t="n"/>
      <c r="K39" s="12" t="n"/>
      <c r="L39" s="174">
        <f>E39*Prices!B$2</f>
        <v/>
      </c>
      <c r="M39" s="174">
        <f>F39*Prices!C$2</f>
        <v/>
      </c>
      <c r="N39" s="174">
        <f>G39*Prices!D$2</f>
        <v/>
      </c>
      <c r="O39" s="174">
        <f>H39*Prices!E$2</f>
        <v/>
      </c>
      <c r="P39" s="174">
        <f>I39*2000+J39*4000+K39*650</f>
        <v/>
      </c>
      <c r="Q39" s="174">
        <f>D39*Prices!A$2</f>
        <v/>
      </c>
      <c r="R39" s="175">
        <f>L39+M39+N39+O39</f>
        <v/>
      </c>
      <c r="S39" s="174">
        <f>R39+Q39+P39</f>
        <v/>
      </c>
      <c r="T39" s="26" t="n">
        <v>36</v>
      </c>
      <c r="U39" s="26" t="inlineStr">
        <is>
          <t>Sold</t>
        </is>
      </c>
      <c r="V39" s="12" t="n"/>
      <c r="W39" s="12" t="n"/>
      <c r="X39" s="12" t="n"/>
      <c r="Y39" s="12" t="n"/>
      <c r="Z39" s="12" t="n"/>
    </row>
    <row r="40">
      <c r="A40" s="26" t="n">
        <v>37</v>
      </c>
      <c r="B40" s="26" t="n">
        <v>19.89</v>
      </c>
      <c r="C40" s="26">
        <f>B40*(25/100)</f>
        <v/>
      </c>
      <c r="D40" s="26">
        <f>C40+B40</f>
        <v/>
      </c>
      <c r="E40" s="26" t="n">
        <v>4.34</v>
      </c>
      <c r="F40" s="12" t="n"/>
      <c r="G40" s="12" t="n"/>
      <c r="H40" s="12" t="n"/>
      <c r="I40" s="12" t="n"/>
      <c r="J40" s="12" t="n"/>
      <c r="K40" s="12" t="n"/>
      <c r="L40" s="174">
        <f>E40*Prices!B$2</f>
        <v/>
      </c>
      <c r="M40" s="174">
        <f>F40*Prices!C$2</f>
        <v/>
      </c>
      <c r="N40" s="174">
        <f>G40*Prices!D$2</f>
        <v/>
      </c>
      <c r="O40" s="174">
        <f>H40*Prices!E$2</f>
        <v/>
      </c>
      <c r="P40" s="174">
        <f>I40*2000+J40*4000+K40*650</f>
        <v/>
      </c>
      <c r="Q40" s="174">
        <f>D40*Prices!A$2</f>
        <v/>
      </c>
      <c r="R40" s="175">
        <f>L40+M40+N40+O40</f>
        <v/>
      </c>
      <c r="S40" s="174">
        <f>R40+Q40+P40</f>
        <v/>
      </c>
      <c r="T40" s="26" t="n">
        <v>37</v>
      </c>
      <c r="U40" s="26" t="inlineStr">
        <is>
          <t>Sold</t>
        </is>
      </c>
      <c r="V40" s="12" t="n"/>
      <c r="W40" s="12" t="n"/>
      <c r="X40" s="12" t="n"/>
      <c r="Y40" s="12" t="n"/>
      <c r="Z40" s="12" t="n"/>
    </row>
    <row r="41">
      <c r="A41" s="26" t="n">
        <v>38</v>
      </c>
      <c r="B41" s="26" t="n">
        <v>7.56</v>
      </c>
      <c r="C41" s="26">
        <f>B41*(25/100)</f>
        <v/>
      </c>
      <c r="D41" s="26">
        <f>C41+B41</f>
        <v/>
      </c>
      <c r="E41" s="26" t="n">
        <v>1.77</v>
      </c>
      <c r="F41" s="12" t="n"/>
      <c r="G41" s="12" t="n"/>
      <c r="H41" s="12" t="n"/>
      <c r="I41" s="12" t="n"/>
      <c r="J41" s="12" t="n"/>
      <c r="K41" s="12" t="n"/>
      <c r="L41" s="174">
        <f>E41*Prices!B$2</f>
        <v/>
      </c>
      <c r="M41" s="174">
        <f>F41*Prices!C$2</f>
        <v/>
      </c>
      <c r="N41" s="174">
        <f>G41*Prices!D$2</f>
        <v/>
      </c>
      <c r="O41" s="174">
        <f>H41*Prices!E$2</f>
        <v/>
      </c>
      <c r="P41" s="174">
        <f>I41*2000+J41*4000+K41*650</f>
        <v/>
      </c>
      <c r="Q41" s="174">
        <f>D41*Prices!A$2</f>
        <v/>
      </c>
      <c r="R41" s="175">
        <f>L41+M41+N41+O41</f>
        <v/>
      </c>
      <c r="S41" s="174">
        <f>R41+Q41+P41</f>
        <v/>
      </c>
      <c r="T41" s="26" t="n">
        <v>38</v>
      </c>
      <c r="U41" s="26" t="inlineStr">
        <is>
          <t>Sold</t>
        </is>
      </c>
      <c r="V41" s="12" t="n"/>
      <c r="W41" s="12" t="n"/>
      <c r="X41" s="12" t="n"/>
      <c r="Y41" s="12" t="n"/>
      <c r="Z41" s="12" t="n"/>
    </row>
    <row r="42">
      <c r="A42" s="26" t="n">
        <v>39</v>
      </c>
      <c r="B42" s="26" t="n">
        <v>17.24</v>
      </c>
      <c r="C42" s="26">
        <f>B42*(25/100)</f>
        <v/>
      </c>
      <c r="D42" s="26">
        <f>C42+B42</f>
        <v/>
      </c>
      <c r="E42" s="26" t="n">
        <v>4.2</v>
      </c>
      <c r="F42" s="12" t="n"/>
      <c r="G42" s="12" t="n"/>
      <c r="H42" s="12" t="n"/>
      <c r="I42" s="12" t="n"/>
      <c r="J42" s="12" t="n">
        <v>4.219</v>
      </c>
      <c r="K42" s="12" t="n"/>
      <c r="L42" s="174">
        <f>E42*Prices!B$2</f>
        <v/>
      </c>
      <c r="M42" s="174">
        <f>F42*Prices!C$2</f>
        <v/>
      </c>
      <c r="N42" s="174">
        <f>G42*Prices!D$2</f>
        <v/>
      </c>
      <c r="O42" s="174">
        <f>H42*Prices!E$2</f>
        <v/>
      </c>
      <c r="P42" s="174">
        <f>I42*2000+J42*5000+K42*650</f>
        <v/>
      </c>
      <c r="Q42" s="174">
        <f>D42*Prices!A$2</f>
        <v/>
      </c>
      <c r="R42" s="175">
        <f>L42+M42+N42+O42</f>
        <v/>
      </c>
      <c r="S42" s="174">
        <f>R42+Q42+P42</f>
        <v/>
      </c>
      <c r="T42" s="26" t="n">
        <v>39</v>
      </c>
      <c r="U42" s="26" t="inlineStr">
        <is>
          <t>Available</t>
        </is>
      </c>
      <c r="V42" s="12" t="inlineStr">
        <is>
          <t>A</t>
        </is>
      </c>
      <c r="W42" s="12" t="n"/>
      <c r="X42" s="12" t="n"/>
      <c r="Y42" s="12" t="n"/>
      <c r="Z42" s="12" t="n"/>
    </row>
    <row r="43">
      <c r="A43" s="26" t="n">
        <v>40</v>
      </c>
      <c r="B43" s="26" t="n">
        <v>5.94</v>
      </c>
      <c r="C43" s="26">
        <f>B43*(25/100)</f>
        <v/>
      </c>
      <c r="D43" s="26">
        <f>C43+B43</f>
        <v/>
      </c>
      <c r="E43" s="26" t="n">
        <v>1.12</v>
      </c>
      <c r="F43" s="12" t="n"/>
      <c r="G43" s="12" t="n"/>
      <c r="H43" s="12" t="n"/>
      <c r="I43" s="12" t="n"/>
      <c r="J43" s="12" t="n">
        <v>3.36</v>
      </c>
      <c r="K43" s="12" t="n"/>
      <c r="L43" s="174">
        <f>E43*Prices!B$2</f>
        <v/>
      </c>
      <c r="M43" s="174">
        <f>F43*Prices!C$2</f>
        <v/>
      </c>
      <c r="N43" s="174">
        <f>G43*Prices!D$2</f>
        <v/>
      </c>
      <c r="O43" s="174">
        <f>H43*Prices!E$2</f>
        <v/>
      </c>
      <c r="P43" s="174">
        <f>I43*2000+J43*5000+K43*650</f>
        <v/>
      </c>
      <c r="Q43" s="174">
        <f>D43*Prices!A$2</f>
        <v/>
      </c>
      <c r="R43" s="175">
        <f>L43+M43+N43+O43</f>
        <v/>
      </c>
      <c r="S43" s="174">
        <f>R43+Q43+P43</f>
        <v/>
      </c>
      <c r="T43" s="26" t="n">
        <v>40</v>
      </c>
      <c r="U43" s="26" t="inlineStr">
        <is>
          <t>Available</t>
        </is>
      </c>
      <c r="V43" s="12" t="inlineStr">
        <is>
          <t>A</t>
        </is>
      </c>
      <c r="W43" s="12" t="n"/>
      <c r="X43" s="12" t="n"/>
      <c r="Y43" s="12" t="n"/>
      <c r="Z43" s="12" t="n"/>
    </row>
    <row r="44" ht="15" customHeight="1" s="220">
      <c r="A44" s="26" t="n">
        <v>41</v>
      </c>
      <c r="B44" s="26" t="n">
        <v>22.63</v>
      </c>
      <c r="C44" s="26">
        <f>B44*(25/100)</f>
        <v/>
      </c>
      <c r="D44" s="26">
        <f>C44+B44</f>
        <v/>
      </c>
      <c r="E44" s="26" t="n">
        <v>3.97</v>
      </c>
      <c r="F44" s="12" t="n"/>
      <c r="G44" s="12" t="n"/>
      <c r="H44" s="12" t="n"/>
      <c r="I44" s="12" t="n"/>
      <c r="J44" s="12" t="n"/>
      <c r="K44" s="12" t="n">
        <v>12.58</v>
      </c>
      <c r="L44" s="174">
        <f>E44*Prices!B$2</f>
        <v/>
      </c>
      <c r="M44" s="174">
        <f>F44*Prices!C$2</f>
        <v/>
      </c>
      <c r="N44" s="174">
        <f>G44*Prices!D$2</f>
        <v/>
      </c>
      <c r="O44" s="174">
        <f>H44*Prices!E$2</f>
        <v/>
      </c>
      <c r="P44" s="174">
        <f>I44*2000+J44*4000+K44*2000</f>
        <v/>
      </c>
      <c r="Q44" s="174">
        <f>D44*Prices!A$2</f>
        <v/>
      </c>
      <c r="R44" s="175">
        <f>L44+M44+N44+O44</f>
        <v/>
      </c>
      <c r="S44" s="174">
        <f>R44+Q44+P44</f>
        <v/>
      </c>
      <c r="T44" s="26" t="n">
        <v>41</v>
      </c>
      <c r="U44" s="26" t="inlineStr">
        <is>
          <t>Available</t>
        </is>
      </c>
      <c r="V44" s="12" t="inlineStr">
        <is>
          <t>A</t>
        </is>
      </c>
      <c r="W44" s="12" t="n"/>
      <c r="X44" s="12" t="n"/>
      <c r="Y44" s="12" t="n"/>
      <c r="Z44" s="12" t="n"/>
    </row>
    <row r="45" ht="15" customHeight="1" s="220">
      <c r="A45" s="26" t="n">
        <v>42</v>
      </c>
      <c r="B45" s="26" t="n">
        <v>9.19</v>
      </c>
      <c r="C45" s="26">
        <f>B45*(25/100)</f>
        <v/>
      </c>
      <c r="D45" s="26">
        <f>C45+B45</f>
        <v/>
      </c>
      <c r="E45" s="26" t="n">
        <v>1.44</v>
      </c>
      <c r="F45" s="12" t="n"/>
      <c r="G45" s="12" t="n"/>
      <c r="H45" s="12" t="n"/>
      <c r="I45" s="12" t="n"/>
      <c r="J45" s="12" t="n"/>
      <c r="K45" s="12" t="n">
        <v>5.52</v>
      </c>
      <c r="L45" s="174">
        <f>E45*Prices!B$2</f>
        <v/>
      </c>
      <c r="M45" s="174">
        <f>F45*Prices!C$2</f>
        <v/>
      </c>
      <c r="N45" s="174">
        <f>G45*Prices!D$2</f>
        <v/>
      </c>
      <c r="O45" s="174">
        <f>H45*Prices!E$2</f>
        <v/>
      </c>
      <c r="P45" s="174">
        <f>I45*2000+J45*4000+K45*2000</f>
        <v/>
      </c>
      <c r="Q45" s="174">
        <f>D45*Prices!A$2</f>
        <v/>
      </c>
      <c r="R45" s="175">
        <f>L45+M45+N45+O45</f>
        <v/>
      </c>
      <c r="S45" s="174">
        <f>R45+Q45+P45</f>
        <v/>
      </c>
      <c r="T45" s="26" t="n">
        <v>42</v>
      </c>
      <c r="U45" s="26" t="inlineStr">
        <is>
          <t>Available</t>
        </is>
      </c>
      <c r="V45" s="12" t="inlineStr">
        <is>
          <t>A</t>
        </is>
      </c>
      <c r="W45" s="12" t="n"/>
      <c r="X45" s="12" t="n"/>
      <c r="Y45" s="12" t="n"/>
      <c r="Z45" s="12" t="n"/>
    </row>
    <row r="46" ht="15" customHeight="1" s="220">
      <c r="A46" s="26" t="n">
        <v>43</v>
      </c>
      <c r="B46" s="26" t="n">
        <v>31.08</v>
      </c>
      <c r="C46" s="26">
        <f>B46*(25/100)</f>
        <v/>
      </c>
      <c r="D46" s="26">
        <f>C46+B46</f>
        <v/>
      </c>
      <c r="E46" s="26" t="n">
        <v>4.15</v>
      </c>
      <c r="F46" s="12" t="n"/>
      <c r="G46" s="12" t="n"/>
      <c r="H46" s="12" t="n"/>
      <c r="I46" s="12" t="n"/>
      <c r="J46" s="12" t="n"/>
      <c r="K46" s="12" t="n"/>
      <c r="L46" s="174">
        <f>E46*Prices!B$2</f>
        <v/>
      </c>
      <c r="M46" s="174">
        <f>F46*Prices!C$2</f>
        <v/>
      </c>
      <c r="N46" s="174">
        <f>G46*Prices!D$2</f>
        <v/>
      </c>
      <c r="O46" s="174">
        <f>H46*Prices!E$2</f>
        <v/>
      </c>
      <c r="P46" s="174">
        <f>I46*2000+J46*4000+K46*300</f>
        <v/>
      </c>
      <c r="Q46" s="174">
        <f>D46*Prices!A$2</f>
        <v/>
      </c>
      <c r="R46" s="175">
        <f>L46+M46+N46+O46</f>
        <v/>
      </c>
      <c r="S46" s="174">
        <f>R46+Q46+P46</f>
        <v/>
      </c>
      <c r="T46" s="26" t="n">
        <v>43</v>
      </c>
      <c r="U46" s="26" t="inlineStr">
        <is>
          <t>Available</t>
        </is>
      </c>
      <c r="V46" s="12" t="inlineStr">
        <is>
          <t>A</t>
        </is>
      </c>
      <c r="W46" s="12" t="n"/>
      <c r="X46" s="12" t="n"/>
      <c r="Y46" s="12" t="n"/>
      <c r="Z46" s="12" t="n"/>
    </row>
    <row r="47" ht="15" customHeight="1" s="220">
      <c r="A47" s="26" t="n">
        <v>44</v>
      </c>
      <c r="B47" s="26" t="n">
        <v>9.252000000000001</v>
      </c>
      <c r="C47" s="26">
        <f>B47*(25/100)</f>
        <v/>
      </c>
      <c r="D47" s="26">
        <f>C47+B47</f>
        <v/>
      </c>
      <c r="E47" s="26" t="n">
        <v>1.24</v>
      </c>
      <c r="F47" s="12" t="n"/>
      <c r="G47" s="12" t="n"/>
      <c r="H47" s="12" t="n"/>
      <c r="I47" s="12" t="n"/>
      <c r="J47" s="12" t="n"/>
      <c r="K47" s="12" t="n"/>
      <c r="L47" s="174">
        <f>E47*Prices!B$2</f>
        <v/>
      </c>
      <c r="M47" s="174">
        <f>F47*Prices!C$2</f>
        <v/>
      </c>
      <c r="N47" s="174">
        <f>G47*Prices!D$2</f>
        <v/>
      </c>
      <c r="O47" s="174">
        <f>H47*Prices!E$2</f>
        <v/>
      </c>
      <c r="P47" s="174">
        <f>I47*2000+J47*4000+K47*300</f>
        <v/>
      </c>
      <c r="Q47" s="174">
        <f>D47*Prices!A$2</f>
        <v/>
      </c>
      <c r="R47" s="175">
        <f>L47+M47+N47+O47</f>
        <v/>
      </c>
      <c r="S47" s="174">
        <f>R47+Q47+P47</f>
        <v/>
      </c>
      <c r="T47" s="26" t="n">
        <v>44</v>
      </c>
      <c r="U47" s="26" t="inlineStr">
        <is>
          <t>Available</t>
        </is>
      </c>
      <c r="V47" s="12" t="inlineStr">
        <is>
          <t>A</t>
        </is>
      </c>
      <c r="W47" s="12" t="n"/>
      <c r="X47" s="12" t="n"/>
      <c r="Y47" s="12" t="n"/>
      <c r="Z47" s="12" t="n"/>
    </row>
    <row r="48">
      <c r="A48" s="26" t="n">
        <v>45</v>
      </c>
      <c r="B48" s="12" t="n">
        <v>10.21</v>
      </c>
      <c r="C48" s="12">
        <f>B48*(25/100)</f>
        <v/>
      </c>
      <c r="D48" s="12">
        <f>C48+B48</f>
        <v/>
      </c>
      <c r="E48" s="12" t="n">
        <v>1.33</v>
      </c>
      <c r="F48" s="12" t="n"/>
      <c r="G48" s="12" t="n"/>
      <c r="H48" s="12" t="n"/>
      <c r="I48" s="12" t="n"/>
      <c r="J48" s="12" t="n"/>
      <c r="K48" s="12" t="n">
        <v>9.199999999999999</v>
      </c>
      <c r="L48" s="174">
        <f>E48*Prices!B$2</f>
        <v/>
      </c>
      <c r="M48" s="174">
        <f>F48*Prices!C$2</f>
        <v/>
      </c>
      <c r="N48" s="174">
        <f>G48*Prices!D$2</f>
        <v/>
      </c>
      <c r="O48" s="174">
        <f>H48*Prices!E$2</f>
        <v/>
      </c>
      <c r="P48" s="174">
        <f>I48*2000+J48*4000+K48*300</f>
        <v/>
      </c>
      <c r="Q48" s="174">
        <f>D48*Prices!A$2</f>
        <v/>
      </c>
      <c r="R48" s="175">
        <f>L48+M48+N48+O48</f>
        <v/>
      </c>
      <c r="S48" s="174">
        <f>R48+Q48+P48</f>
        <v/>
      </c>
      <c r="T48" s="26" t="n">
        <v>45</v>
      </c>
      <c r="U48" s="26" t="inlineStr">
        <is>
          <t>Available</t>
        </is>
      </c>
      <c r="V48" s="12" t="inlineStr">
        <is>
          <t>A</t>
        </is>
      </c>
      <c r="W48" s="12" t="n"/>
      <c r="X48" s="12" t="n"/>
      <c r="Y48" s="12" t="n"/>
      <c r="Z48" s="12" t="n"/>
    </row>
    <row r="49">
      <c r="A49" s="26" t="n">
        <v>46</v>
      </c>
      <c r="B49" s="12" t="n">
        <v>5.506</v>
      </c>
      <c r="C49" s="12">
        <f>B49*(25/100)</f>
        <v/>
      </c>
      <c r="D49" s="12">
        <f>C49+B49</f>
        <v/>
      </c>
      <c r="E49" s="12" t="n">
        <v>1.07</v>
      </c>
      <c r="F49" s="12" t="n"/>
      <c r="G49" s="12" t="n"/>
      <c r="H49" s="12" t="n"/>
      <c r="I49" s="12" t="n"/>
      <c r="J49" s="12" t="n"/>
      <c r="K49" s="12" t="n">
        <v>4.15</v>
      </c>
      <c r="L49" s="174">
        <f>E49*Prices!B$2</f>
        <v/>
      </c>
      <c r="M49" s="174">
        <f>F49*Prices!C$2</f>
        <v/>
      </c>
      <c r="N49" s="174">
        <f>G49*Prices!D$2</f>
        <v/>
      </c>
      <c r="O49" s="174">
        <f>H49*Prices!E$2</f>
        <v/>
      </c>
      <c r="P49" s="174">
        <f>I49*2000+J49*4000+K49*300</f>
        <v/>
      </c>
      <c r="Q49" s="174">
        <f>D49*Prices!A$2</f>
        <v/>
      </c>
      <c r="R49" s="175">
        <f>L49+M49+N49+O49</f>
        <v/>
      </c>
      <c r="S49" s="174">
        <f>R49+Q49+P49</f>
        <v/>
      </c>
      <c r="T49" s="26" t="n">
        <v>46</v>
      </c>
      <c r="U49" s="26" t="inlineStr">
        <is>
          <t>Available</t>
        </is>
      </c>
      <c r="V49" s="12" t="inlineStr">
        <is>
          <t>A</t>
        </is>
      </c>
      <c r="W49" s="12" t="n"/>
      <c r="X49" s="12" t="n"/>
      <c r="Y49" s="12" t="n"/>
      <c r="Z49" s="12" t="n"/>
    </row>
    <row r="50">
      <c r="A50" s="26" t="n">
        <v>47</v>
      </c>
      <c r="B50" s="12" t="n">
        <v>16.02</v>
      </c>
      <c r="C50" s="12">
        <f>B50*(25/100)</f>
        <v/>
      </c>
      <c r="D50" s="12">
        <f>C50+B50</f>
        <v/>
      </c>
      <c r="E50" s="12" t="n">
        <v>3.54</v>
      </c>
      <c r="F50" s="12" t="n"/>
      <c r="G50" s="12" t="n"/>
      <c r="H50" s="12" t="n"/>
      <c r="I50" s="12" t="n"/>
      <c r="J50" s="12" t="n"/>
      <c r="K50" s="12" t="n"/>
      <c r="L50" s="174">
        <f>E50*Prices!B$2</f>
        <v/>
      </c>
      <c r="M50" s="174">
        <f>F50*Prices!C$2</f>
        <v/>
      </c>
      <c r="N50" s="174">
        <f>G50*Prices!D$2</f>
        <v/>
      </c>
      <c r="O50" s="174">
        <f>H50*Prices!E$2</f>
        <v/>
      </c>
      <c r="P50" s="174">
        <f>I50*2000+J50*4000+K50*300</f>
        <v/>
      </c>
      <c r="Q50" s="174">
        <f>D50*Prices!A$2</f>
        <v/>
      </c>
      <c r="R50" s="175">
        <f>L50+M50+N50+O50</f>
        <v/>
      </c>
      <c r="S50" s="174">
        <f>R50+Q50+P50</f>
        <v/>
      </c>
      <c r="T50" s="26" t="n">
        <v>47</v>
      </c>
      <c r="U50" s="26" t="inlineStr">
        <is>
          <t>Available</t>
        </is>
      </c>
      <c r="V50" s="12" t="inlineStr">
        <is>
          <t>A</t>
        </is>
      </c>
      <c r="W50" s="12" t="n"/>
      <c r="X50" s="12" t="n"/>
      <c r="Y50" s="12" t="n"/>
      <c r="Z50" s="12" t="n"/>
    </row>
    <row r="51">
      <c r="A51" s="26" t="n">
        <v>48</v>
      </c>
      <c r="B51" s="12" t="n">
        <v>5.44</v>
      </c>
      <c r="C51" s="12">
        <f>B51*(25/100)</f>
        <v/>
      </c>
      <c r="D51" s="12">
        <f>C51+B51</f>
        <v/>
      </c>
      <c r="E51" s="12" t="n">
        <v>0.89</v>
      </c>
      <c r="F51" s="12" t="n"/>
      <c r="G51" s="12" t="n"/>
      <c r="H51" s="12" t="n"/>
      <c r="I51" s="12" t="n"/>
      <c r="J51" s="12" t="n"/>
      <c r="K51" s="12" t="n"/>
      <c r="L51" s="174">
        <f>E51*Prices!B$2</f>
        <v/>
      </c>
      <c r="M51" s="174">
        <f>F51*Prices!C$2</f>
        <v/>
      </c>
      <c r="N51" s="174">
        <f>G51*Prices!D$2</f>
        <v/>
      </c>
      <c r="O51" s="174">
        <f>H51*Prices!E$2</f>
        <v/>
      </c>
      <c r="P51" s="174">
        <f>I51*2000+J51*4000+K51*300</f>
        <v/>
      </c>
      <c r="Q51" s="174">
        <f>D51*Prices!A$2</f>
        <v/>
      </c>
      <c r="R51" s="175">
        <f>L51+M51+N51+O51</f>
        <v/>
      </c>
      <c r="S51" s="174">
        <f>R51+Q51+P51</f>
        <v/>
      </c>
      <c r="T51" s="26" t="n">
        <v>48</v>
      </c>
      <c r="U51" s="26" t="inlineStr">
        <is>
          <t>Available</t>
        </is>
      </c>
      <c r="V51" s="12" t="inlineStr">
        <is>
          <t>A</t>
        </is>
      </c>
      <c r="W51" s="12" t="n"/>
      <c r="X51" s="12" t="n"/>
      <c r="Y51" s="12" t="n"/>
      <c r="Z51" s="12" t="n"/>
    </row>
    <row r="52">
      <c r="A52" s="26" t="n">
        <v>49</v>
      </c>
      <c r="B52" s="12" t="n">
        <v>9.298</v>
      </c>
      <c r="C52" s="12">
        <f>B52*(25/100)</f>
        <v/>
      </c>
      <c r="D52" s="12">
        <f>C52+B52</f>
        <v/>
      </c>
      <c r="E52" s="12" t="n">
        <v>1.41</v>
      </c>
      <c r="F52" s="12" t="n"/>
      <c r="G52" s="12" t="n"/>
      <c r="H52" s="12" t="n"/>
      <c r="I52" s="12" t="n"/>
      <c r="J52" s="12" t="n"/>
      <c r="K52" s="12" t="n"/>
      <c r="L52" s="174">
        <f>E52*Prices!B$2</f>
        <v/>
      </c>
      <c r="M52" s="174">
        <f>F52*Prices!C$2</f>
        <v/>
      </c>
      <c r="N52" s="174">
        <f>G52*Prices!D$2</f>
        <v/>
      </c>
      <c r="O52" s="174">
        <f>H52*Prices!E$2</f>
        <v/>
      </c>
      <c r="P52" s="174">
        <f>I52*2000+J52*4000+K52*300</f>
        <v/>
      </c>
      <c r="Q52" s="174">
        <f>D52*Prices!A$2</f>
        <v/>
      </c>
      <c r="R52" s="175">
        <f>L52+M52+N52+O52</f>
        <v/>
      </c>
      <c r="S52" s="174">
        <f>R52+Q52+P52</f>
        <v/>
      </c>
      <c r="T52" s="26" t="n">
        <v>49</v>
      </c>
      <c r="U52" s="26" t="inlineStr">
        <is>
          <t>Available</t>
        </is>
      </c>
      <c r="V52" s="12" t="inlineStr">
        <is>
          <t>A</t>
        </is>
      </c>
      <c r="W52" s="12" t="n"/>
      <c r="X52" s="12" t="n"/>
      <c r="Y52" s="12" t="n"/>
      <c r="Z52" s="12" t="n"/>
    </row>
    <row r="53">
      <c r="A53" s="26" t="n">
        <v>50</v>
      </c>
      <c r="B53" s="12" t="n"/>
      <c r="C53" s="12">
        <f>B53*(25/100)</f>
        <v/>
      </c>
      <c r="D53" s="12">
        <f>C53+B53</f>
        <v/>
      </c>
      <c r="E53" s="12" t="n"/>
      <c r="F53" s="12" t="n"/>
      <c r="G53" s="12" t="n"/>
      <c r="H53" s="12" t="n"/>
      <c r="I53" s="12" t="n"/>
      <c r="J53" s="12" t="n"/>
      <c r="K53" s="12" t="n"/>
      <c r="L53" s="174">
        <f>E53*Prices!B$2</f>
        <v/>
      </c>
      <c r="M53" s="174">
        <f>F53*Prices!C$2</f>
        <v/>
      </c>
      <c r="N53" s="174">
        <f>G53*Prices!D$2</f>
        <v/>
      </c>
      <c r="O53" s="174">
        <f>H53*Prices!E$2</f>
        <v/>
      </c>
      <c r="P53" s="174">
        <f>I53*2000+J53*4000+K53*300</f>
        <v/>
      </c>
      <c r="Q53" s="174">
        <f>D53*Prices!A$2</f>
        <v/>
      </c>
      <c r="R53" s="175">
        <f>L53+M53+N53+O53</f>
        <v/>
      </c>
      <c r="S53" s="174">
        <f>R53+Q53+P53</f>
        <v/>
      </c>
      <c r="T53" s="26" t="n">
        <v>50</v>
      </c>
      <c r="U53" s="26" t="n"/>
      <c r="V53" s="12" t="n"/>
      <c r="W53" s="12" t="n"/>
      <c r="X53" s="12" t="n"/>
      <c r="Y53" s="12" t="n"/>
      <c r="Z53" s="12" t="n"/>
    </row>
    <row r="54">
      <c r="A54" s="26" t="n">
        <v>51</v>
      </c>
      <c r="B54" s="12" t="n">
        <v>11.634</v>
      </c>
      <c r="C54" s="12">
        <f>B54*(25/100)</f>
        <v/>
      </c>
      <c r="D54" s="12">
        <f>C54+B54</f>
        <v/>
      </c>
      <c r="E54" s="12" t="n">
        <v>2.58</v>
      </c>
      <c r="F54" s="12" t="n"/>
      <c r="G54" s="12" t="n"/>
      <c r="H54" s="12" t="n"/>
      <c r="I54" s="12" t="n"/>
      <c r="J54" s="12" t="n"/>
      <c r="K54" s="12" t="n"/>
      <c r="L54" s="174">
        <f>E54*Prices!B$2</f>
        <v/>
      </c>
      <c r="M54" s="174">
        <f>F54*Prices!C$2</f>
        <v/>
      </c>
      <c r="N54" s="174">
        <f>G54*Prices!D$2</f>
        <v/>
      </c>
      <c r="O54" s="174">
        <f>H54*Prices!E$2</f>
        <v/>
      </c>
      <c r="P54" s="174">
        <f>I54*2000+J54*4000+K54*300</f>
        <v/>
      </c>
      <c r="Q54" s="174">
        <f>D54*Prices!A$2</f>
        <v/>
      </c>
      <c r="R54" s="175">
        <f>L54+M54+N54+O54</f>
        <v/>
      </c>
      <c r="S54" s="174">
        <f>R54+Q54+P54</f>
        <v/>
      </c>
      <c r="T54" s="26" t="n">
        <v>51</v>
      </c>
      <c r="U54" s="26" t="inlineStr">
        <is>
          <t>Available</t>
        </is>
      </c>
      <c r="V54" s="12" t="inlineStr">
        <is>
          <t>A</t>
        </is>
      </c>
      <c r="W54" s="12" t="n"/>
      <c r="X54" s="12" t="n"/>
      <c r="Y54" s="12" t="n"/>
      <c r="Z54" s="12" t="n"/>
    </row>
    <row r="55">
      <c r="A55" s="26" t="n">
        <v>52</v>
      </c>
      <c r="B55" s="12" t="n"/>
      <c r="C55" s="12">
        <f>B55*(25/100)</f>
        <v/>
      </c>
      <c r="D55" s="12">
        <f>C55+B55</f>
        <v/>
      </c>
      <c r="E55" s="12" t="n"/>
      <c r="F55" s="12" t="n"/>
      <c r="G55" s="12" t="n"/>
      <c r="H55" s="12" t="n"/>
      <c r="I55" s="12" t="n"/>
      <c r="J55" s="12" t="n"/>
      <c r="K55" s="12" t="n"/>
      <c r="L55" s="174">
        <f>E55*Prices!B$2</f>
        <v/>
      </c>
      <c r="M55" s="174">
        <f>F55*Prices!C$2</f>
        <v/>
      </c>
      <c r="N55" s="174">
        <f>G55*Prices!D$2</f>
        <v/>
      </c>
      <c r="O55" s="174">
        <f>H55*Prices!E$2</f>
        <v/>
      </c>
      <c r="P55" s="174">
        <f>I55*2000+J55*4000+K55*300</f>
        <v/>
      </c>
      <c r="Q55" s="174">
        <f>D55*Prices!A$2</f>
        <v/>
      </c>
      <c r="R55" s="175">
        <f>L55+M55+N55+O55</f>
        <v/>
      </c>
      <c r="S55" s="174">
        <f>R55+Q55+P55</f>
        <v/>
      </c>
      <c r="T55" s="26" t="n">
        <v>52</v>
      </c>
      <c r="U55" s="26" t="n"/>
      <c r="V55" s="12" t="n"/>
      <c r="W55" s="12" t="n"/>
      <c r="X55" s="12" t="n"/>
      <c r="Y55" s="12" t="n"/>
      <c r="Z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</row>
  </sheetData>
  <conditionalFormatting sqref="U2:U55">
    <cfRule type="containsText" priority="1" operator="containsText" dxfId="4" text="Available">
      <formula>NOT(ISERROR(SEARCH(("Available"),(U2))))</formula>
    </cfRule>
    <cfRule type="containsText" priority="2" operator="containsText" dxfId="5" text="Sold">
      <formula>NOT(ISERROR(SEARCH(("Sold"),(U2))))</formula>
    </cfRule>
    <cfRule type="containsText" priority="3" operator="containsText" dxfId="6" text="Return">
      <formula>NOT(ISERROR(SEARCH(("Return"),(U2))))</formula>
    </cfRule>
  </conditionalFormatting>
  <pageMargins left="0.7" right="0.7" top="0.75" bottom="0.75" header="0" footer="0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220" min="1" max="1"/>
    <col width="14.71" customWidth="1" style="220" min="2" max="2"/>
    <col width="15.14" customWidth="1" style="220" min="3" max="3"/>
    <col width="17.71" customWidth="1" style="220" min="4" max="4"/>
    <col width="14.29" customWidth="1" style="220" min="5" max="5"/>
    <col width="15" customWidth="1" style="220" min="6" max="6"/>
    <col width="14.29" customWidth="1" style="220" min="7" max="7"/>
    <col width="11.57" customWidth="1" style="220" min="8" max="8"/>
    <col width="7.43" customWidth="1" style="220" min="9" max="9"/>
    <col width="9.859999999999999" customWidth="1" style="220" min="10" max="10"/>
    <col width="8.140000000000001" customWidth="1" style="220" min="11" max="11"/>
    <col width="13.86" customWidth="1" style="220" min="12" max="15"/>
    <col width="12" customWidth="1" style="220" min="16" max="16"/>
    <col width="14" customWidth="1" style="220" min="17" max="17"/>
    <col width="17.57" customWidth="1" style="220" min="18" max="18"/>
    <col width="14.57" customWidth="1" style="220" min="19" max="19"/>
    <col width="9" customWidth="1" style="220" min="20" max="20"/>
    <col width="11" customWidth="1" style="220" min="21" max="21"/>
    <col width="8.710000000000001" customWidth="1" style="220" min="22" max="26"/>
  </cols>
  <sheetData>
    <row r="1" ht="15" customHeight="1" s="220">
      <c r="A1" s="171" t="inlineStr">
        <is>
          <t>Sn</t>
        </is>
      </c>
      <c r="B1" s="171" t="inlineStr">
        <is>
          <t>Net Weight</t>
        </is>
      </c>
      <c r="C1" s="171" t="inlineStr">
        <is>
          <t>Wstg + MC</t>
        </is>
      </c>
      <c r="D1" s="171" t="inlineStr">
        <is>
          <t>Gross Weight</t>
        </is>
      </c>
      <c r="E1" s="171" t="inlineStr">
        <is>
          <t>Dmd &lt;0.06</t>
        </is>
      </c>
      <c r="F1" s="171" t="inlineStr">
        <is>
          <t>Dmd &lt; 0.12</t>
        </is>
      </c>
      <c r="G1" s="171" t="inlineStr">
        <is>
          <t>Dmd &lt;0.17</t>
        </is>
      </c>
      <c r="H1" s="171" t="inlineStr">
        <is>
          <t>Dmd Big</t>
        </is>
      </c>
      <c r="I1" s="171" t="inlineStr">
        <is>
          <t>Ruby</t>
        </is>
      </c>
      <c r="J1" s="171" t="inlineStr">
        <is>
          <t>Emreld</t>
        </is>
      </c>
      <c r="K1" s="171" t="inlineStr">
        <is>
          <t>Muga</t>
        </is>
      </c>
      <c r="L1" s="171" t="inlineStr">
        <is>
          <t>Dmd Price</t>
        </is>
      </c>
      <c r="M1" s="171" t="inlineStr">
        <is>
          <t>Dmd Price</t>
        </is>
      </c>
      <c r="N1" s="171" t="inlineStr">
        <is>
          <t>Dmd Price</t>
        </is>
      </c>
      <c r="O1" s="171" t="inlineStr">
        <is>
          <t>Dmd Price</t>
        </is>
      </c>
      <c r="P1" s="171" t="inlineStr">
        <is>
          <t>Stn Price</t>
        </is>
      </c>
      <c r="Q1" s="172" t="inlineStr">
        <is>
          <t>Gold Price</t>
        </is>
      </c>
      <c r="R1" s="171" t="inlineStr">
        <is>
          <t>Ttl dmd Price</t>
        </is>
      </c>
      <c r="S1" s="172" t="inlineStr">
        <is>
          <t>Total Price</t>
        </is>
      </c>
      <c r="T1" s="171" t="inlineStr">
        <is>
          <t>Sn</t>
        </is>
      </c>
    </row>
    <row r="2">
      <c r="A2" s="26" t="n">
        <v>85370</v>
      </c>
      <c r="B2" s="26" t="n">
        <v>4.731</v>
      </c>
      <c r="C2" s="26">
        <f>B2*(25/100)</f>
        <v/>
      </c>
      <c r="D2" s="26">
        <f>C2+B2</f>
        <v/>
      </c>
      <c r="E2" s="26" t="n">
        <v>0.53</v>
      </c>
      <c r="F2" s="26" t="n"/>
      <c r="G2" s="26" t="n"/>
      <c r="H2" s="26" t="n"/>
      <c r="I2" s="26" t="n"/>
      <c r="J2" s="26" t="n"/>
      <c r="K2" s="26" t="n"/>
      <c r="L2" s="174">
        <f>E2*Prices!B$2</f>
        <v/>
      </c>
      <c r="M2" s="174">
        <f>F2*Prices!C$2</f>
        <v/>
      </c>
      <c r="N2" s="174">
        <f>G2*Prices!D$2</f>
        <v/>
      </c>
      <c r="O2" s="174">
        <f>H2*Prices!E$2</f>
        <v/>
      </c>
      <c r="P2" s="174">
        <f>I2*2000+J2*4000+K2*650</f>
        <v/>
      </c>
      <c r="Q2" s="174">
        <f>D2*Prices!A$2</f>
        <v/>
      </c>
      <c r="R2" s="175">
        <f>L2+M2+N2+O2</f>
        <v/>
      </c>
      <c r="S2" s="174">
        <f>R2+Q2+P2</f>
        <v/>
      </c>
      <c r="T2" s="26" t="n">
        <v>85370</v>
      </c>
      <c r="U2" s="26" t="inlineStr">
        <is>
          <t>Available</t>
        </is>
      </c>
    </row>
    <row r="3">
      <c r="A3" s="26" t="n">
        <v>85743</v>
      </c>
      <c r="B3" s="26" t="n">
        <v>4.512</v>
      </c>
      <c r="C3" s="26">
        <f>B3*(25/100)</f>
        <v/>
      </c>
      <c r="D3" s="26">
        <f>C3+B3</f>
        <v/>
      </c>
      <c r="E3" s="26" t="n">
        <v>0.41</v>
      </c>
      <c r="F3" s="26" t="n"/>
      <c r="G3" s="26" t="n"/>
      <c r="H3" s="26" t="n"/>
      <c r="I3" s="26" t="n"/>
      <c r="J3" s="26" t="n"/>
      <c r="K3" s="26" t="n"/>
      <c r="L3" s="174">
        <f>E3*Prices!B$2</f>
        <v/>
      </c>
      <c r="M3" s="174">
        <f>F3*Prices!C$2</f>
        <v/>
      </c>
      <c r="N3" s="174">
        <f>G3*Prices!D$2</f>
        <v/>
      </c>
      <c r="O3" s="174">
        <f>H3*Prices!E$2</f>
        <v/>
      </c>
      <c r="P3" s="174">
        <f>I3*2000+J3*4000+K3*650</f>
        <v/>
      </c>
      <c r="Q3" s="174">
        <f>D3*Prices!A$2</f>
        <v/>
      </c>
      <c r="R3" s="175">
        <f>L3+M3+N3+O3</f>
        <v/>
      </c>
      <c r="S3" s="174">
        <f>R3+Q3+P3</f>
        <v/>
      </c>
      <c r="T3" s="26" t="n">
        <v>85743</v>
      </c>
      <c r="U3" s="26" t="inlineStr">
        <is>
          <t>Sold</t>
        </is>
      </c>
    </row>
    <row r="4">
      <c r="A4" s="26" t="n">
        <v>85753</v>
      </c>
      <c r="B4" s="26" t="n">
        <v>4.538</v>
      </c>
      <c r="C4" s="26">
        <f>B4*(25/100)</f>
        <v/>
      </c>
      <c r="D4" s="26">
        <f>C4+B4</f>
        <v/>
      </c>
      <c r="E4" s="26" t="n">
        <v>0.25</v>
      </c>
      <c r="F4" s="26" t="n"/>
      <c r="G4" s="26" t="n"/>
      <c r="H4" s="26" t="n"/>
      <c r="I4" s="26" t="n"/>
      <c r="J4" s="26" t="n"/>
      <c r="K4" s="26" t="n"/>
      <c r="L4" s="174">
        <f>E4*Prices!B$2</f>
        <v/>
      </c>
      <c r="M4" s="174">
        <f>F4*Prices!C$2</f>
        <v/>
      </c>
      <c r="N4" s="174">
        <f>G4*Prices!D$2</f>
        <v/>
      </c>
      <c r="O4" s="174">
        <f>H4*Prices!E$2</f>
        <v/>
      </c>
      <c r="P4" s="174">
        <f>I4*2000+J4*4000+K4*650</f>
        <v/>
      </c>
      <c r="Q4" s="174">
        <f>D4*Prices!A$2</f>
        <v/>
      </c>
      <c r="R4" s="175">
        <f>L4+M4+N4+O4</f>
        <v/>
      </c>
      <c r="S4" s="174">
        <f>R4+Q4+P4</f>
        <v/>
      </c>
      <c r="T4" s="26" t="n">
        <v>85753</v>
      </c>
      <c r="U4" s="26" t="inlineStr">
        <is>
          <t>Available</t>
        </is>
      </c>
    </row>
    <row r="5">
      <c r="A5" s="26" t="n">
        <v>85720</v>
      </c>
      <c r="B5" s="26" t="n">
        <v>1.878</v>
      </c>
      <c r="C5" s="26">
        <f>B5*(25/100)</f>
        <v/>
      </c>
      <c r="D5" s="26">
        <f>C5+B5</f>
        <v/>
      </c>
      <c r="E5" s="26" t="n">
        <v>0.37</v>
      </c>
      <c r="F5" s="26" t="n"/>
      <c r="G5" s="26" t="n"/>
      <c r="H5" s="26" t="n"/>
      <c r="I5" s="26" t="n"/>
      <c r="J5" s="26" t="n"/>
      <c r="K5" s="26" t="n"/>
      <c r="L5" s="174">
        <f>E5*Prices!B$2</f>
        <v/>
      </c>
      <c r="M5" s="174">
        <f>F5*Prices!C$2</f>
        <v/>
      </c>
      <c r="N5" s="174">
        <f>G5*Prices!D$2</f>
        <v/>
      </c>
      <c r="O5" s="174">
        <f>H5*Prices!E$2</f>
        <v/>
      </c>
      <c r="P5" s="174">
        <f>I5*2000+J5*4000+K5*650</f>
        <v/>
      </c>
      <c r="Q5" s="174">
        <f>D5*Prices!A$2</f>
        <v/>
      </c>
      <c r="R5" s="175">
        <f>L5+M5+N5+O5</f>
        <v/>
      </c>
      <c r="S5" s="174">
        <f>R5+Q5+P5</f>
        <v/>
      </c>
      <c r="T5" s="26" t="n">
        <v>85720</v>
      </c>
      <c r="U5" s="93" t="inlineStr">
        <is>
          <t>Sold</t>
        </is>
      </c>
    </row>
    <row r="6">
      <c r="A6" s="26" t="n">
        <v>140782</v>
      </c>
      <c r="B6" s="26" t="n">
        <v>8.964</v>
      </c>
      <c r="C6" s="26">
        <f>B6*(25/100)</f>
        <v/>
      </c>
      <c r="D6" s="26">
        <f>C6+B6</f>
        <v/>
      </c>
      <c r="E6" s="26" t="n">
        <v>0.87</v>
      </c>
      <c r="F6" s="26" t="n"/>
      <c r="G6" s="26" t="n"/>
      <c r="H6" s="26" t="n"/>
      <c r="I6" s="26" t="n"/>
      <c r="J6" s="26" t="n"/>
      <c r="K6" s="26" t="n"/>
      <c r="L6" s="174">
        <f>E6*Prices!B$2</f>
        <v/>
      </c>
      <c r="M6" s="174">
        <f>F6*Prices!C$2</f>
        <v/>
      </c>
      <c r="N6" s="174">
        <f>G6*Prices!D$2</f>
        <v/>
      </c>
      <c r="O6" s="174">
        <f>H6*Prices!E$2</f>
        <v/>
      </c>
      <c r="P6" s="174">
        <f>I6*2000+J6*4000+K6*650</f>
        <v/>
      </c>
      <c r="Q6" s="174">
        <f>D6*Prices!A$2</f>
        <v/>
      </c>
      <c r="R6" s="175">
        <f>L6+M6+N6+O6</f>
        <v/>
      </c>
      <c r="S6" s="174">
        <f>R6+Q6+P6</f>
        <v/>
      </c>
      <c r="T6" s="26" t="n">
        <v>140782</v>
      </c>
      <c r="U6" s="26" t="inlineStr">
        <is>
          <t>Available</t>
        </is>
      </c>
    </row>
    <row r="7">
      <c r="A7" s="26" t="n">
        <v>140785</v>
      </c>
      <c r="B7" s="26" t="n">
        <v>1.3</v>
      </c>
      <c r="C7" s="26">
        <f>B7*(25/100)</f>
        <v/>
      </c>
      <c r="D7" s="26">
        <f>C7+B7</f>
        <v/>
      </c>
      <c r="E7" s="26" t="n">
        <v>0.12</v>
      </c>
      <c r="F7" s="26" t="n"/>
      <c r="G7" s="26" t="n"/>
      <c r="H7" s="26" t="n"/>
      <c r="I7" s="26" t="n"/>
      <c r="J7" s="26" t="n"/>
      <c r="K7" s="26" t="n"/>
      <c r="L7" s="174">
        <f>E7*Prices!B$2</f>
        <v/>
      </c>
      <c r="M7" s="174">
        <f>F7*Prices!C$2</f>
        <v/>
      </c>
      <c r="N7" s="174">
        <f>G7*Prices!D$2</f>
        <v/>
      </c>
      <c r="O7" s="174">
        <f>H7*Prices!E$2</f>
        <v/>
      </c>
      <c r="P7" s="174">
        <f>I7*2000+J7*4000+K7*650</f>
        <v/>
      </c>
      <c r="Q7" s="174">
        <f>D7*Prices!A$2</f>
        <v/>
      </c>
      <c r="R7" s="175">
        <f>L7+M7+N7+O7</f>
        <v/>
      </c>
      <c r="S7" s="174">
        <f>R7+Q7+P7</f>
        <v/>
      </c>
      <c r="T7" s="26" t="n">
        <v>140785</v>
      </c>
      <c r="U7" s="26" t="inlineStr">
        <is>
          <t>Available</t>
        </is>
      </c>
    </row>
    <row r="8">
      <c r="A8" s="26" t="n">
        <v>140818</v>
      </c>
      <c r="B8" s="26" t="n">
        <v>9.879</v>
      </c>
      <c r="C8" s="26">
        <f>B8*(25/100)</f>
        <v/>
      </c>
      <c r="D8" s="26">
        <f>C8+B8</f>
        <v/>
      </c>
      <c r="E8" s="26" t="n">
        <v>1.25</v>
      </c>
      <c r="J8" s="26" t="n"/>
      <c r="K8" s="26" t="n"/>
      <c r="L8" s="174">
        <f>E8*Prices!B$2</f>
        <v/>
      </c>
      <c r="M8" s="174">
        <f>F8*Prices!C$2</f>
        <v/>
      </c>
      <c r="N8" s="174">
        <f>G8*Prices!D$2</f>
        <v/>
      </c>
      <c r="O8" s="174">
        <f>H8*Prices!E$2</f>
        <v/>
      </c>
      <c r="P8" s="174">
        <f>I8*2000+J8*4000+K8*650</f>
        <v/>
      </c>
      <c r="Q8" s="174">
        <f>D8*Prices!A$2</f>
        <v/>
      </c>
      <c r="R8" s="175">
        <f>L8+M8+N8+O8</f>
        <v/>
      </c>
      <c r="S8" s="174">
        <f>R8+Q8+P8</f>
        <v/>
      </c>
      <c r="T8" s="26" t="n">
        <v>140818</v>
      </c>
      <c r="U8" s="93" t="inlineStr">
        <is>
          <t>Sold</t>
        </is>
      </c>
    </row>
    <row r="9">
      <c r="A9" s="26" t="n">
        <v>140819</v>
      </c>
      <c r="B9" s="26" t="n">
        <v>2.122</v>
      </c>
      <c r="C9" s="26">
        <f>B9*(25/100)</f>
        <v/>
      </c>
      <c r="D9" s="26">
        <f>C9+B9</f>
        <v/>
      </c>
      <c r="E9" s="26" t="n">
        <v>0.23</v>
      </c>
      <c r="J9" s="26" t="n"/>
      <c r="K9" s="26" t="n"/>
      <c r="L9" s="174">
        <f>E9*Prices!B$2</f>
        <v/>
      </c>
      <c r="M9" s="174">
        <f>F9*Prices!C$2</f>
        <v/>
      </c>
      <c r="N9" s="174">
        <f>G9*Prices!D$2</f>
        <v/>
      </c>
      <c r="O9" s="174">
        <f>H9*Prices!E$2</f>
        <v/>
      </c>
      <c r="P9" s="174">
        <f>I9*2000+J9*4000+K9*650</f>
        <v/>
      </c>
      <c r="Q9" s="174">
        <f>D9*Prices!A$2</f>
        <v/>
      </c>
      <c r="R9" s="175">
        <f>L9+M9+N9+O9</f>
        <v/>
      </c>
      <c r="S9" s="174">
        <f>R9+Q9+P9</f>
        <v/>
      </c>
      <c r="T9" s="26" t="n">
        <v>140819</v>
      </c>
      <c r="U9" s="26" t="inlineStr">
        <is>
          <t>Available</t>
        </is>
      </c>
    </row>
    <row r="10">
      <c r="L10" s="174">
        <f>E10*Prices!B$2</f>
        <v/>
      </c>
      <c r="M10" s="174">
        <f>F10*Prices!C$2</f>
        <v/>
      </c>
      <c r="N10" s="174">
        <f>G10*Prices!D$2</f>
        <v/>
      </c>
      <c r="O10" s="174">
        <f>H10*Prices!E$2</f>
        <v/>
      </c>
      <c r="P10" s="174">
        <f>I10*2000+J10*4000+K10*650</f>
        <v/>
      </c>
      <c r="Q10" s="174">
        <f>D10*Prices!A$2</f>
        <v/>
      </c>
      <c r="R10" s="175">
        <f>L10+M10+N10+O10</f>
        <v/>
      </c>
      <c r="S10" s="174">
        <f>R10+Q10+P10</f>
        <v/>
      </c>
    </row>
  </sheetData>
  <conditionalFormatting sqref="U2:U9">
    <cfRule type="containsText" priority="1" operator="containsText" dxfId="4" text="Available">
      <formula>NOT(ISERROR(SEARCH(("Available"),(U2))))</formula>
    </cfRule>
    <cfRule type="containsText" priority="2" operator="containsText" dxfId="5" text="Sold">
      <formula>NOT(ISERROR(SEARCH(("Sold"),(U2))))</formula>
    </cfRule>
    <cfRule type="containsText" priority="3" operator="containsText" dxfId="6" text="Return">
      <formula>NOT(ISERROR(SEARCH(("Return"),(U2))))</formula>
    </cfRule>
  </conditionalFormatting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ColWidth="14.43" defaultRowHeight="15" customHeight="1"/>
  <cols>
    <col width="4.29" customWidth="1" style="220" min="1" max="1"/>
    <col width="14.71" customWidth="1" style="220" min="2" max="2"/>
    <col width="15.14" customWidth="1" style="220" min="3" max="3"/>
    <col width="17.71" customWidth="1" style="220" min="4" max="4"/>
    <col width="14.29" customWidth="1" style="220" min="5" max="5"/>
    <col width="15" customWidth="1" style="220" min="6" max="6"/>
    <col width="14.29" customWidth="1" style="220" min="7" max="7"/>
    <col width="11.57" customWidth="1" style="220" min="8" max="8"/>
    <col width="7.43" customWidth="1" style="220" min="9" max="9"/>
    <col width="9.859999999999999" customWidth="1" style="220" min="10" max="10"/>
    <col width="8.140000000000001" customWidth="1" style="220" min="11" max="11"/>
    <col width="13.86" customWidth="1" style="220" min="12" max="15"/>
    <col width="12" customWidth="1" style="220" min="16" max="16"/>
    <col width="14" customWidth="1" style="220" min="17" max="17"/>
    <col width="17.57" customWidth="1" style="220" min="18" max="18"/>
    <col width="14.57" customWidth="1" style="220" min="19" max="19"/>
    <col width="4.29" customWidth="1" style="220" min="20" max="20"/>
    <col width="11" customWidth="1" style="220" min="21" max="21"/>
    <col width="15.29" customWidth="1" style="220" min="22" max="26"/>
  </cols>
  <sheetData>
    <row r="1">
      <c r="A1" s="201" t="inlineStr">
        <is>
          <t>Sn</t>
        </is>
      </c>
      <c r="B1" s="201" t="inlineStr">
        <is>
          <t>Net Weight</t>
        </is>
      </c>
      <c r="C1" s="201" t="inlineStr">
        <is>
          <t>Wstg + MC</t>
        </is>
      </c>
      <c r="D1" s="201" t="inlineStr">
        <is>
          <t>Gross Weight</t>
        </is>
      </c>
      <c r="E1" s="201" t="inlineStr">
        <is>
          <t>Dmd &lt;0.06</t>
        </is>
      </c>
      <c r="F1" s="201" t="inlineStr">
        <is>
          <t>Dmd &lt; 0.12</t>
        </is>
      </c>
      <c r="G1" s="201" t="inlineStr">
        <is>
          <t>Dmd &lt;0.17</t>
        </is>
      </c>
      <c r="H1" s="201" t="inlineStr">
        <is>
          <t>Dmd Big</t>
        </is>
      </c>
      <c r="I1" s="201" t="inlineStr">
        <is>
          <t>Ruby</t>
        </is>
      </c>
      <c r="J1" s="201" t="inlineStr">
        <is>
          <t>Emreld</t>
        </is>
      </c>
      <c r="K1" s="201" t="inlineStr">
        <is>
          <t>Muga</t>
        </is>
      </c>
      <c r="L1" s="201" t="inlineStr">
        <is>
          <t>Dmd Price</t>
        </is>
      </c>
      <c r="M1" s="201" t="inlineStr">
        <is>
          <t>Dmd Price</t>
        </is>
      </c>
      <c r="N1" s="201" t="inlineStr">
        <is>
          <t>Dmd Price</t>
        </is>
      </c>
      <c r="O1" s="201" t="inlineStr">
        <is>
          <t>Dmd Price</t>
        </is>
      </c>
      <c r="P1" s="201" t="inlineStr">
        <is>
          <t>Stn Price</t>
        </is>
      </c>
      <c r="Q1" s="202" t="inlineStr">
        <is>
          <t>Gold Price</t>
        </is>
      </c>
      <c r="R1" s="201" t="inlineStr">
        <is>
          <t>Ttl dmd Price</t>
        </is>
      </c>
      <c r="S1" s="202" t="inlineStr">
        <is>
          <t>Total Price</t>
        </is>
      </c>
      <c r="T1" s="201" t="inlineStr">
        <is>
          <t>Sn</t>
        </is>
      </c>
      <c r="U1" s="203" t="n"/>
    </row>
    <row r="2">
      <c r="A2" s="204" t="n">
        <v>1</v>
      </c>
      <c r="B2" s="204" t="n">
        <v>23.132</v>
      </c>
      <c r="C2" s="204">
        <f>B2*(25/100)</f>
        <v/>
      </c>
      <c r="D2" s="204">
        <f>C2+B2</f>
        <v/>
      </c>
      <c r="E2" s="204" t="n">
        <v>6.1</v>
      </c>
      <c r="F2" s="204" t="n"/>
      <c r="G2" s="204" t="n"/>
      <c r="H2" s="204" t="n"/>
      <c r="I2" s="204" t="n"/>
      <c r="J2" s="204" t="n"/>
      <c r="K2" s="204" t="n">
        <v>2.79</v>
      </c>
      <c r="L2" s="174">
        <f>E2*Prices!B$2</f>
        <v/>
      </c>
      <c r="M2" s="174">
        <f>F2*Prices!C$2</f>
        <v/>
      </c>
      <c r="N2" s="174">
        <f>G2*Prices!D$2</f>
        <v/>
      </c>
      <c r="O2" s="174">
        <f>H2*Prices!E$2</f>
        <v/>
      </c>
      <c r="P2" s="174">
        <f>I2*2000+J2*4000+K2*650</f>
        <v/>
      </c>
      <c r="Q2" s="174">
        <f>D2*Prices!A$2</f>
        <v/>
      </c>
      <c r="R2" s="205">
        <f>L2+M2+N2+O2</f>
        <v/>
      </c>
      <c r="S2" s="206">
        <f>R2+Q2+P2</f>
        <v/>
      </c>
      <c r="T2" s="204" t="n">
        <v>1</v>
      </c>
      <c r="U2" s="204" t="inlineStr">
        <is>
          <t>Available</t>
        </is>
      </c>
    </row>
  </sheetData>
  <conditionalFormatting sqref="U1:U6">
    <cfRule type="containsText" priority="1" operator="containsText" dxfId="4" text="Available">
      <formula>NOT(ISERROR(SEARCH(("Available"),(U1))))</formula>
    </cfRule>
  </conditionalFormatting>
  <conditionalFormatting sqref="U2:U6">
    <cfRule type="containsText" priority="2" operator="containsText" dxfId="5" text="Sold">
      <formula>NOT(ISERROR(SEARCH(("Sold"),(U2))))</formula>
    </cfRule>
    <cfRule type="containsText" priority="3" operator="containsText" dxfId="6" text="Return">
      <formula>NOT(ISERROR(SEARCH(("Return"),(U2))))</formula>
    </cfRule>
  </conditionalFormatting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ColWidth="14.43" defaultRowHeight="15" customHeight="1"/>
  <cols>
    <col width="5.14" customWidth="1" style="220" min="1" max="1"/>
    <col width="14.71" customWidth="1" style="220" min="2" max="2"/>
    <col width="15.14" customWidth="1" style="220" min="3" max="3"/>
    <col width="17.71" customWidth="1" style="220" min="4" max="4"/>
    <col width="14.29" customWidth="1" style="220" min="5" max="5"/>
    <col width="15" customWidth="1" style="220" min="6" max="6"/>
    <col width="14.29" customWidth="1" style="220" min="7" max="7"/>
    <col width="11.57" customWidth="1" style="220" min="8" max="8"/>
    <col width="7.43" customWidth="1" style="220" min="9" max="9"/>
    <col width="9.859999999999999" customWidth="1" style="220" min="10" max="10"/>
    <col width="8.140000000000001" customWidth="1" style="220" min="11" max="11"/>
    <col width="13.86" customWidth="1" style="220" min="12" max="15"/>
    <col width="12" customWidth="1" style="220" min="16" max="16"/>
    <col width="14" customWidth="1" style="220" min="17" max="17"/>
    <col width="17.57" customWidth="1" style="220" min="18" max="18"/>
    <col width="14.57" customWidth="1" style="220" min="19" max="19"/>
    <col width="13.71" customWidth="1" style="220" min="20" max="20"/>
    <col width="11" customWidth="1" style="220" min="21" max="21"/>
    <col width="9.289999999999999" customWidth="1" style="220" min="22" max="26"/>
  </cols>
  <sheetData>
    <row r="1" ht="15" customHeight="1" s="220">
      <c r="A1" s="171" t="inlineStr">
        <is>
          <t>Sn</t>
        </is>
      </c>
      <c r="B1" s="171" t="inlineStr">
        <is>
          <t>Net Weight</t>
        </is>
      </c>
      <c r="C1" s="171" t="inlineStr">
        <is>
          <t>Wstg + MC</t>
        </is>
      </c>
      <c r="D1" s="171" t="inlineStr">
        <is>
          <t>Gross Weight</t>
        </is>
      </c>
      <c r="E1" s="171" t="inlineStr">
        <is>
          <t>Dmd &lt;0.06</t>
        </is>
      </c>
      <c r="F1" s="171" t="inlineStr">
        <is>
          <t>Dmd &lt; 0.12</t>
        </is>
      </c>
      <c r="G1" s="171" t="inlineStr">
        <is>
          <t>Dmd &lt;0.17</t>
        </is>
      </c>
      <c r="H1" s="171" t="inlineStr">
        <is>
          <t>Dmd Big</t>
        </is>
      </c>
      <c r="I1" s="171" t="inlineStr">
        <is>
          <t>Ruby</t>
        </is>
      </c>
      <c r="J1" s="171" t="inlineStr">
        <is>
          <t>Emreld</t>
        </is>
      </c>
      <c r="K1" s="171" t="inlineStr">
        <is>
          <t>Muga</t>
        </is>
      </c>
      <c r="L1" s="171" t="inlineStr">
        <is>
          <t>Dmd Price</t>
        </is>
      </c>
      <c r="M1" s="171" t="inlineStr">
        <is>
          <t>Dmd Price</t>
        </is>
      </c>
      <c r="N1" s="171" t="inlineStr">
        <is>
          <t>Dmd Price</t>
        </is>
      </c>
      <c r="O1" s="171" t="inlineStr">
        <is>
          <t>Dmd Price</t>
        </is>
      </c>
      <c r="P1" s="171" t="inlineStr">
        <is>
          <t>Stn Price</t>
        </is>
      </c>
      <c r="Q1" s="172" t="inlineStr">
        <is>
          <t>Gold Price</t>
        </is>
      </c>
      <c r="R1" s="171" t="inlineStr">
        <is>
          <t>Ttl dmd Price</t>
        </is>
      </c>
      <c r="S1" s="172" t="inlineStr">
        <is>
          <t>Total Price</t>
        </is>
      </c>
      <c r="T1" s="171" t="inlineStr">
        <is>
          <t>Sn</t>
        </is>
      </c>
    </row>
    <row r="2">
      <c r="A2" s="26" t="n">
        <v>268</v>
      </c>
      <c r="B2" s="26" t="n">
        <v>33.17</v>
      </c>
      <c r="C2" s="26">
        <f>B2*0.25</f>
        <v/>
      </c>
      <c r="D2" s="26">
        <f>C2+B2</f>
        <v/>
      </c>
      <c r="E2" s="26" t="n">
        <v>4.59</v>
      </c>
      <c r="F2" s="26" t="n"/>
      <c r="G2" s="26" t="n"/>
      <c r="H2" s="26" t="n"/>
      <c r="I2" s="26" t="n"/>
      <c r="J2" s="26" t="n"/>
      <c r="K2" s="26" t="n"/>
      <c r="L2" s="174">
        <f>E2*Prices!B$2</f>
        <v/>
      </c>
      <c r="M2" s="174">
        <f>F2*Prices!C$2</f>
        <v/>
      </c>
      <c r="N2" s="174">
        <f>G2*Prices!D$2</f>
        <v/>
      </c>
      <c r="O2" s="174">
        <f>H2*Prices!E$2</f>
        <v/>
      </c>
      <c r="P2" s="174">
        <f>I2*2000+J2*4000+K2*650</f>
        <v/>
      </c>
      <c r="Q2" s="174">
        <f>D2*Prices!A$2</f>
        <v/>
      </c>
      <c r="R2" s="175">
        <f>L2+M2+N2+O2</f>
        <v/>
      </c>
      <c r="S2" s="174">
        <f>R2+Q2+P2</f>
        <v/>
      </c>
      <c r="T2" s="30" t="n">
        <v>268</v>
      </c>
      <c r="U2" s="26" t="inlineStr">
        <is>
          <t>Available</t>
        </is>
      </c>
    </row>
    <row r="3">
      <c r="A3" s="26" t="n">
        <v>462</v>
      </c>
      <c r="B3" s="26" t="n">
        <v>11</v>
      </c>
      <c r="C3" s="26">
        <f>B3*0.25</f>
        <v/>
      </c>
      <c r="D3" s="26">
        <f>C3+B3</f>
        <v/>
      </c>
      <c r="E3" s="26" t="n">
        <v>1.25</v>
      </c>
      <c r="F3" s="26" t="n"/>
      <c r="G3" s="26" t="n"/>
      <c r="H3" s="26" t="n"/>
      <c r="I3" s="26" t="n"/>
      <c r="J3" s="26" t="n"/>
      <c r="K3" s="26" t="n"/>
      <c r="L3" s="174">
        <f>E3*Prices!B$2</f>
        <v/>
      </c>
      <c r="M3" s="174">
        <f>F3*Prices!C$2</f>
        <v/>
      </c>
      <c r="N3" s="174">
        <f>G3*Prices!D$2</f>
        <v/>
      </c>
      <c r="O3" s="174">
        <f>H3*Prices!E$2</f>
        <v/>
      </c>
      <c r="P3" s="174">
        <f>I3*2000+J3*4000+K3*650</f>
        <v/>
      </c>
      <c r="Q3" s="174">
        <f>D3*Prices!A$2</f>
        <v/>
      </c>
      <c r="R3" s="175">
        <f>L3+M3+N3+O3</f>
        <v/>
      </c>
      <c r="S3" s="174">
        <f>R3+Q3+P3</f>
        <v/>
      </c>
      <c r="T3" s="30" t="n">
        <v>462</v>
      </c>
      <c r="U3" s="26" t="inlineStr">
        <is>
          <t>Sold</t>
        </is>
      </c>
    </row>
    <row r="31">
      <c r="C31" s="93" t="inlineStr">
        <is>
          <t> </t>
        </is>
      </c>
    </row>
  </sheetData>
  <conditionalFormatting sqref="T4:T5">
    <cfRule type="containsText" priority="1" operator="containsText" dxfId="4" text="Available">
      <formula>NOT(ISERROR(SEARCH(("Available"),(T4))))</formula>
    </cfRule>
    <cfRule type="containsText" priority="2" operator="containsText" dxfId="5" text="Sold">
      <formula>NOT(ISERROR(SEARCH(("Sold"),(T4))))</formula>
    </cfRule>
    <cfRule type="containsText" priority="3" operator="containsText" dxfId="6" text="Return">
      <formula>NOT(ISERROR(SEARCH(("Return"),(T4))))</formula>
    </cfRule>
  </conditionalFormatting>
  <conditionalFormatting sqref="U1:U3">
    <cfRule type="containsText" priority="4" operator="containsText" dxfId="4" text="Available">
      <formula>NOT(ISERROR(SEARCH(("Available"),(U1))))</formula>
    </cfRule>
  </conditionalFormatting>
  <conditionalFormatting sqref="U2:U3">
    <cfRule type="containsText" priority="5" operator="containsText" dxfId="5" text="Sold">
      <formula>NOT(ISERROR(SEARCH(("Sold"),(U2))))</formula>
    </cfRule>
    <cfRule type="containsText" priority="6" operator="containsText" dxfId="6" text="Return">
      <formula>NOT(ISERROR(SEARCH(("Return"),(U2))))</formula>
    </cfRule>
  </conditionalFormatting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M4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.29" customWidth="1" style="220" min="1" max="1"/>
    <col width="14.71" customWidth="1" style="220" min="2" max="2"/>
    <col width="15.14" customWidth="1" style="220" min="3" max="3"/>
    <col width="17.71" customWidth="1" style="220" min="4" max="4"/>
    <col width="14.29" customWidth="1" style="220" min="5" max="6"/>
    <col width="13.86" customWidth="1" style="220" min="7" max="8"/>
    <col width="14" customWidth="1" style="220" min="9" max="9"/>
    <col width="14.57" customWidth="1" style="220" min="10" max="10"/>
    <col width="4.29" customWidth="1" style="220" min="11" max="11"/>
    <col width="11" customWidth="1" style="220" min="12" max="12"/>
    <col width="2.57" customWidth="1" style="220" min="13" max="13"/>
    <col width="8.710000000000001" customWidth="1" style="220" min="14" max="17"/>
  </cols>
  <sheetData>
    <row r="1">
      <c r="A1" s="201" t="inlineStr">
        <is>
          <t>Sn</t>
        </is>
      </c>
      <c r="B1" s="201" t="inlineStr">
        <is>
          <t>Net Weight</t>
        </is>
      </c>
      <c r="C1" s="201" t="inlineStr">
        <is>
          <t>Wstg + MC</t>
        </is>
      </c>
      <c r="D1" s="201" t="inlineStr">
        <is>
          <t>Gross Weight</t>
        </is>
      </c>
      <c r="E1" s="201" t="inlineStr">
        <is>
          <t>Dmd &lt;0.06</t>
        </is>
      </c>
      <c r="F1" s="201" t="inlineStr">
        <is>
          <t>Dmd &gt;0.06</t>
        </is>
      </c>
      <c r="G1" s="201" t="inlineStr">
        <is>
          <t>Dmd Price</t>
        </is>
      </c>
      <c r="H1" s="201" t="inlineStr">
        <is>
          <t>Dmd Price</t>
        </is>
      </c>
      <c r="I1" s="202" t="inlineStr">
        <is>
          <t>Gold Price</t>
        </is>
      </c>
      <c r="J1" s="202" t="inlineStr">
        <is>
          <t>Total Price</t>
        </is>
      </c>
      <c r="K1" s="201" t="inlineStr">
        <is>
          <t>Sn</t>
        </is>
      </c>
      <c r="L1" s="207" t="n"/>
      <c r="M1" s="207" t="n"/>
    </row>
    <row r="2">
      <c r="A2" s="208" t="n">
        <v>1</v>
      </c>
      <c r="B2" s="26" t="n">
        <v>0.5</v>
      </c>
      <c r="C2" s="26">
        <f>B2*(25/100)</f>
        <v/>
      </c>
      <c r="D2" s="26">
        <f>C2+B2</f>
        <v/>
      </c>
      <c r="E2" s="26" t="n"/>
      <c r="F2" s="26" t="n">
        <v>0.4</v>
      </c>
      <c r="G2" s="174">
        <f>E2*225000</f>
        <v/>
      </c>
      <c r="H2" s="174">
        <f>F2*200000</f>
        <v/>
      </c>
      <c r="I2" s="209">
        <f>(D2*Prices!$A$2)+3000</f>
        <v/>
      </c>
      <c r="J2" s="209">
        <f>G2+I2+H2</f>
        <v/>
      </c>
      <c r="K2" s="208" t="n"/>
      <c r="L2" s="26" t="n"/>
      <c r="M2" s="207" t="n"/>
    </row>
    <row r="3">
      <c r="A3" s="208" t="n">
        <v>2</v>
      </c>
      <c r="B3" s="26" t="n">
        <v>0.39</v>
      </c>
      <c r="C3" s="26">
        <f>B3*(25/100)</f>
        <v/>
      </c>
      <c r="D3" s="26">
        <f>C3+B3</f>
        <v/>
      </c>
      <c r="E3" s="26" t="n"/>
      <c r="F3" s="26" t="n">
        <v>0.35</v>
      </c>
      <c r="G3" s="174">
        <f>E3*215000</f>
        <v/>
      </c>
      <c r="H3" s="174">
        <f>F3*185000</f>
        <v/>
      </c>
      <c r="I3" s="209">
        <f>(D3*Prices!$A$2)+3000</f>
        <v/>
      </c>
      <c r="J3" s="209">
        <f>G3+I3+H3</f>
        <v/>
      </c>
      <c r="K3" s="208" t="n"/>
      <c r="L3" s="26" t="n"/>
      <c r="M3" s="207" t="n"/>
    </row>
    <row r="4">
      <c r="A4" s="208" t="n">
        <v>3</v>
      </c>
      <c r="B4" s="26" t="n">
        <v>0.326</v>
      </c>
      <c r="C4" s="26">
        <f>B4*(25/100)</f>
        <v/>
      </c>
      <c r="D4" s="26">
        <f>C4+B4</f>
        <v/>
      </c>
      <c r="E4" s="26" t="n"/>
      <c r="F4" s="26" t="n">
        <v>0.32</v>
      </c>
      <c r="G4" s="174">
        <f>E4*215000</f>
        <v/>
      </c>
      <c r="H4" s="174">
        <f>F4*185000</f>
        <v/>
      </c>
      <c r="I4" s="209">
        <f>(D4*Prices!$A$2)+3000</f>
        <v/>
      </c>
      <c r="J4" s="209">
        <f>G4+I4+H4</f>
        <v/>
      </c>
      <c r="K4" s="208" t="n"/>
      <c r="L4" s="26" t="n"/>
      <c r="M4" s="207" t="n"/>
    </row>
    <row r="5">
      <c r="A5" s="208" t="n">
        <v>4</v>
      </c>
      <c r="B5" s="26" t="n">
        <v>0.37</v>
      </c>
      <c r="C5" s="26">
        <f>B5*(25/100)</f>
        <v/>
      </c>
      <c r="D5" s="26">
        <f>C5+B5</f>
        <v/>
      </c>
      <c r="E5" s="26" t="n"/>
      <c r="F5" s="26" t="n">
        <v>0.25</v>
      </c>
      <c r="G5" s="174">
        <f>E5*180000</f>
        <v/>
      </c>
      <c r="H5" s="174">
        <f>F5*165000</f>
        <v/>
      </c>
      <c r="I5" s="209">
        <f>(D5*Prices!$A$2)+3000</f>
        <v/>
      </c>
      <c r="J5" s="209">
        <f>G5+I5+H5</f>
        <v/>
      </c>
      <c r="K5" s="208" t="n"/>
      <c r="L5" s="26" t="n"/>
      <c r="M5" s="207" t="n"/>
    </row>
    <row r="6">
      <c r="A6" s="208" t="n">
        <v>5</v>
      </c>
      <c r="B6" s="26" t="n">
        <v>0.36</v>
      </c>
      <c r="C6" s="26">
        <f>B6*(25/100)</f>
        <v/>
      </c>
      <c r="D6" s="26">
        <f>C6+B6</f>
        <v/>
      </c>
      <c r="E6" s="26" t="n"/>
      <c r="F6" s="26" t="n">
        <v>0.25</v>
      </c>
      <c r="G6" s="174">
        <f>E6*225000</f>
        <v/>
      </c>
      <c r="H6" s="174">
        <f>F6*165000</f>
        <v/>
      </c>
      <c r="I6" s="209">
        <f>(D6*Prices!$A$2)+3000</f>
        <v/>
      </c>
      <c r="J6" s="209">
        <f>G6+I6+H6</f>
        <v/>
      </c>
      <c r="K6" s="208" t="n"/>
      <c r="L6" s="26" t="n"/>
      <c r="M6" s="207" t="n"/>
    </row>
    <row r="7">
      <c r="A7" s="208" t="n">
        <v>6</v>
      </c>
      <c r="B7" s="26" t="n">
        <v>0.406</v>
      </c>
      <c r="C7" s="26">
        <f>B7*(25/100)</f>
        <v/>
      </c>
      <c r="D7" s="26">
        <f>C7+B7</f>
        <v/>
      </c>
      <c r="E7" s="26" t="n"/>
      <c r="F7" s="26" t="n">
        <v>0.22</v>
      </c>
      <c r="G7" s="174">
        <f>E7*225000</f>
        <v/>
      </c>
      <c r="H7" s="174">
        <f>F7*155000</f>
        <v/>
      </c>
      <c r="I7" s="209">
        <f>(D7*Prices!$A$2)+3000</f>
        <v/>
      </c>
      <c r="J7" s="209">
        <f>G7+I7+H7</f>
        <v/>
      </c>
      <c r="K7" s="208" t="n"/>
      <c r="L7" s="26" t="n"/>
      <c r="M7" s="207" t="n"/>
    </row>
    <row r="8">
      <c r="A8" s="208" t="n">
        <v>7</v>
      </c>
      <c r="B8" s="26" t="n">
        <v>0.286</v>
      </c>
      <c r="C8" s="26">
        <f>B8*(25/100)</f>
        <v/>
      </c>
      <c r="D8" s="26">
        <f>C8+B8</f>
        <v/>
      </c>
      <c r="E8" s="26" t="n"/>
      <c r="F8" s="26" t="n">
        <v>0.17</v>
      </c>
      <c r="G8" s="174">
        <f>E8*225000</f>
        <v/>
      </c>
      <c r="H8" s="174">
        <f>F8*125000</f>
        <v/>
      </c>
      <c r="I8" s="209">
        <f>(D8*Prices!$A$2)+3000</f>
        <v/>
      </c>
      <c r="J8" s="209">
        <f>G8+I8+H8</f>
        <v/>
      </c>
      <c r="K8" s="208" t="n"/>
      <c r="L8" s="26" t="n"/>
      <c r="M8" s="207" t="n"/>
    </row>
    <row r="9">
      <c r="A9" s="208" t="n">
        <v>8</v>
      </c>
      <c r="B9" s="26" t="n">
        <v>0.28</v>
      </c>
      <c r="C9" s="26">
        <f>B9*(25/100)</f>
        <v/>
      </c>
      <c r="D9" s="26">
        <f>C9+B9</f>
        <v/>
      </c>
      <c r="E9" s="26" t="n"/>
      <c r="F9" s="26" t="n">
        <v>0.15</v>
      </c>
      <c r="G9" s="174">
        <f>E9*225000</f>
        <v/>
      </c>
      <c r="H9" s="174">
        <f>F9*125000</f>
        <v/>
      </c>
      <c r="I9" s="209">
        <f>(D9*Prices!$A$2)+3000</f>
        <v/>
      </c>
      <c r="J9" s="209">
        <f>G9+I9+H9</f>
        <v/>
      </c>
      <c r="K9" s="208" t="n"/>
      <c r="L9" s="26" t="n"/>
      <c r="M9" s="207" t="n"/>
    </row>
    <row r="10">
      <c r="A10" s="208" t="n">
        <v>9</v>
      </c>
      <c r="B10" s="26" t="n">
        <v>0.316</v>
      </c>
      <c r="C10" s="26">
        <f>B10*(25/100)</f>
        <v/>
      </c>
      <c r="D10" s="26">
        <f>C10+B10</f>
        <v/>
      </c>
      <c r="E10" s="26" t="n"/>
      <c r="F10" s="26" t="n">
        <v>0.12</v>
      </c>
      <c r="G10" s="174">
        <f>E10*225000</f>
        <v/>
      </c>
      <c r="H10" s="174">
        <f>F10*105000</f>
        <v/>
      </c>
      <c r="I10" s="209">
        <f>(D10*Prices!$A$2)+3000</f>
        <v/>
      </c>
      <c r="J10" s="209">
        <f>G10+I10+H10</f>
        <v/>
      </c>
      <c r="K10" s="208" t="n"/>
      <c r="L10" s="26" t="n"/>
      <c r="M10" s="207" t="n"/>
    </row>
    <row r="11">
      <c r="A11" s="208" t="n">
        <v>10</v>
      </c>
      <c r="B11" s="26" t="n">
        <v>0.247</v>
      </c>
      <c r="C11" s="26">
        <f>B11*(25/100)</f>
        <v/>
      </c>
      <c r="D11" s="26">
        <f>C11+B11</f>
        <v/>
      </c>
      <c r="E11" s="26" t="n"/>
      <c r="F11" s="26" t="n">
        <v>0.09</v>
      </c>
      <c r="G11" s="174">
        <f>E11*225000</f>
        <v/>
      </c>
      <c r="H11" s="174">
        <f>F11*105000</f>
        <v/>
      </c>
      <c r="I11" s="209">
        <f>(D11*Prices!$A$2)+3000</f>
        <v/>
      </c>
      <c r="J11" s="209">
        <f>G11+I11+H11</f>
        <v/>
      </c>
      <c r="K11" s="208" t="n"/>
      <c r="L11" s="26" t="n"/>
      <c r="M11" s="207" t="n"/>
    </row>
    <row r="12">
      <c r="A12" s="208" t="n">
        <v>11</v>
      </c>
      <c r="B12" s="26" t="n">
        <v>0.247</v>
      </c>
      <c r="C12" s="26">
        <f>B12*(25/100)</f>
        <v/>
      </c>
      <c r="D12" s="26">
        <f>C12+B12</f>
        <v/>
      </c>
      <c r="E12" s="26" t="n"/>
      <c r="F12" s="26" t="n">
        <v>0.09</v>
      </c>
      <c r="G12" s="174">
        <f>E12*225000</f>
        <v/>
      </c>
      <c r="H12" s="174">
        <f>F12*105000</f>
        <v/>
      </c>
      <c r="I12" s="209">
        <f>(D12*Prices!$A$2)+3000</f>
        <v/>
      </c>
      <c r="J12" s="209">
        <f>G12+I12+H12</f>
        <v/>
      </c>
      <c r="K12" s="208" t="n"/>
      <c r="L12" s="26" t="n"/>
      <c r="M12" s="207" t="n"/>
    </row>
    <row r="13">
      <c r="A13" s="208" t="n">
        <v>12</v>
      </c>
      <c r="B13" s="26" t="n">
        <v>0.255</v>
      </c>
      <c r="C13" s="26">
        <f>B13*(25/100)</f>
        <v/>
      </c>
      <c r="D13" s="26">
        <f>C13+B13</f>
        <v/>
      </c>
      <c r="E13" s="26" t="n"/>
      <c r="F13" s="26" t="n">
        <v>0.06</v>
      </c>
      <c r="G13" s="174">
        <f>E13*225000</f>
        <v/>
      </c>
      <c r="H13" s="174">
        <f>F13*65000</f>
        <v/>
      </c>
      <c r="I13" s="209">
        <f>(D13*Prices!$A$2)+3000</f>
        <v/>
      </c>
      <c r="J13" s="209">
        <f>G13+I13+H13</f>
        <v/>
      </c>
      <c r="K13" s="208" t="n"/>
      <c r="L13" s="26" t="n"/>
      <c r="M13" s="207" t="n"/>
    </row>
    <row r="14">
      <c r="A14" s="208" t="n">
        <v>13</v>
      </c>
      <c r="B14" s="26" t="n">
        <v>0.23</v>
      </c>
      <c r="C14" s="26">
        <f>B14*(25/100)</f>
        <v/>
      </c>
      <c r="D14" s="26">
        <f>C14+B14</f>
        <v/>
      </c>
      <c r="E14" s="26" t="n"/>
      <c r="F14" s="26" t="n">
        <v>0.05</v>
      </c>
      <c r="G14" s="174">
        <f>E14*225000</f>
        <v/>
      </c>
      <c r="H14" s="174">
        <f>F14*100000</f>
        <v/>
      </c>
      <c r="I14" s="209">
        <f>(D14*Prices!$A$2)+3000</f>
        <v/>
      </c>
      <c r="J14" s="209">
        <f>G14+I14+H14</f>
        <v/>
      </c>
      <c r="K14" s="208" t="inlineStr">
        <is>
          <t>lc</t>
        </is>
      </c>
      <c r="L14" s="26" t="n"/>
      <c r="M14" s="207" t="n"/>
    </row>
    <row r="15">
      <c r="A15" s="208" t="n">
        <v>14</v>
      </c>
      <c r="B15" s="26" t="n">
        <v>0.255</v>
      </c>
      <c r="C15" s="26">
        <f>B15*(25/100)</f>
        <v/>
      </c>
      <c r="D15" s="26">
        <f>C15+B15</f>
        <v/>
      </c>
      <c r="E15" s="26" t="n"/>
      <c r="F15" s="26" t="n">
        <v>0.06</v>
      </c>
      <c r="G15" s="174">
        <f>E15*225000</f>
        <v/>
      </c>
      <c r="H15" s="174">
        <f>F15*65000</f>
        <v/>
      </c>
      <c r="I15" s="209">
        <f>(D15*Prices!$A$2)+3000</f>
        <v/>
      </c>
      <c r="J15" s="209">
        <f>G15+I15+H15</f>
        <v/>
      </c>
      <c r="K15" s="208" t="n"/>
      <c r="L15" s="26" t="n"/>
      <c r="M15" s="207" t="n"/>
    </row>
    <row r="16">
      <c r="A16" s="208" t="n">
        <v>15</v>
      </c>
      <c r="B16" s="26" t="n">
        <v>0.255</v>
      </c>
      <c r="C16" s="26">
        <f>B16*(25/100)</f>
        <v/>
      </c>
      <c r="D16" s="26">
        <f>C16+B16</f>
        <v/>
      </c>
      <c r="E16" s="26" t="n"/>
      <c r="F16" s="26" t="n">
        <v>0.06</v>
      </c>
      <c r="G16" s="174">
        <f>E16*225000</f>
        <v/>
      </c>
      <c r="H16" s="174">
        <f>F16*65000</f>
        <v/>
      </c>
      <c r="I16" s="209">
        <f>(D16*Prices!$A$2)+3000</f>
        <v/>
      </c>
      <c r="J16" s="209">
        <f>G16+I16+H16</f>
        <v/>
      </c>
      <c r="K16" s="208" t="n"/>
      <c r="L16" s="26" t="n"/>
      <c r="M16" s="207" t="n"/>
    </row>
    <row r="17">
      <c r="A17" s="208" t="n">
        <v>16</v>
      </c>
      <c r="B17" s="26" t="n">
        <v>0.23</v>
      </c>
      <c r="C17" s="26">
        <f>B17*(25/100)</f>
        <v/>
      </c>
      <c r="D17" s="26">
        <f>C17+B17</f>
        <v/>
      </c>
      <c r="E17" s="26" t="n"/>
      <c r="F17" s="26" t="n">
        <v>0.05</v>
      </c>
      <c r="G17" s="174">
        <f>E17*225000</f>
        <v/>
      </c>
      <c r="H17" s="174">
        <f>F17*225000</f>
        <v/>
      </c>
      <c r="I17" s="209">
        <f>(D17*Prices!$A$2)+3000</f>
        <v/>
      </c>
      <c r="J17" s="209">
        <f>G17+I17+H17</f>
        <v/>
      </c>
      <c r="K17" s="208" t="inlineStr">
        <is>
          <t>lc</t>
        </is>
      </c>
      <c r="L17" s="26" t="n"/>
      <c r="M17" s="207" t="n"/>
    </row>
    <row r="18">
      <c r="A18" s="208" t="n">
        <v>17</v>
      </c>
      <c r="B18" s="26" t="n">
        <v>0.31</v>
      </c>
      <c r="C18" s="26">
        <f>B18*(25/100)</f>
        <v/>
      </c>
      <c r="D18" s="26">
        <f>C18+B18</f>
        <v/>
      </c>
      <c r="E18" s="26" t="n"/>
      <c r="F18" s="26" t="n">
        <v>0.25</v>
      </c>
      <c r="G18" s="174">
        <f>E18*225000</f>
        <v/>
      </c>
      <c r="H18" s="174">
        <f>F18*225000</f>
        <v/>
      </c>
      <c r="I18" s="209">
        <f>(D18*Prices!$A$2)+3000</f>
        <v/>
      </c>
      <c r="J18" s="209">
        <f>G18+I18+H18</f>
        <v/>
      </c>
      <c r="K18" s="208" t="inlineStr">
        <is>
          <t>lc</t>
        </is>
      </c>
      <c r="L18" s="26" t="n"/>
      <c r="M18" s="207" t="n"/>
    </row>
    <row r="19">
      <c r="A19" s="208" t="n">
        <v>18</v>
      </c>
      <c r="B19" s="26" t="n">
        <v>0.27</v>
      </c>
      <c r="C19" s="26">
        <f>B19*(25/100)</f>
        <v/>
      </c>
      <c r="D19" s="26">
        <f>C19+B19</f>
        <v/>
      </c>
      <c r="E19" s="26" t="n"/>
      <c r="F19" s="26" t="n">
        <v>0.2</v>
      </c>
      <c r="G19" s="174">
        <f>E19*225000</f>
        <v/>
      </c>
      <c r="H19" s="174">
        <f>F19*225000</f>
        <v/>
      </c>
      <c r="I19" s="209">
        <f>(D19*Prices!$A$2)+3000</f>
        <v/>
      </c>
      <c r="J19" s="209">
        <f>G19+I19+H19</f>
        <v/>
      </c>
      <c r="K19" s="208" t="inlineStr">
        <is>
          <t>lc</t>
        </is>
      </c>
      <c r="L19" s="26" t="n"/>
      <c r="M19" s="207" t="n"/>
    </row>
    <row r="20">
      <c r="A20" s="208" t="n">
        <v>19</v>
      </c>
      <c r="B20" s="26" t="n">
        <v>0.3</v>
      </c>
      <c r="C20" s="26">
        <f>B20*(25/100)</f>
        <v/>
      </c>
      <c r="D20" s="26">
        <f>C20+B20</f>
        <v/>
      </c>
      <c r="E20" s="26" t="n"/>
      <c r="F20" s="26" t="n">
        <v>0.15</v>
      </c>
      <c r="G20" s="174">
        <f>E20*225000</f>
        <v/>
      </c>
      <c r="H20" s="174">
        <f>F20*225000</f>
        <v/>
      </c>
      <c r="I20" s="209">
        <f>(D20*Prices!$A$2)+3000</f>
        <v/>
      </c>
      <c r="J20" s="209">
        <f>G20+I20+H20</f>
        <v/>
      </c>
      <c r="K20" s="208" t="inlineStr">
        <is>
          <t>lc</t>
        </is>
      </c>
      <c r="L20" s="26" t="n"/>
      <c r="M20" s="207" t="n"/>
    </row>
    <row r="21">
      <c r="A21" s="208" t="n">
        <v>20</v>
      </c>
      <c r="B21" s="26" t="n">
        <v>0.27</v>
      </c>
      <c r="C21" s="26">
        <f>B21*(25/100)</f>
        <v/>
      </c>
      <c r="D21" s="26">
        <f>C21+B21</f>
        <v/>
      </c>
      <c r="E21" s="26" t="n"/>
      <c r="F21" s="26" t="n">
        <v>0.1</v>
      </c>
      <c r="G21" s="174">
        <f>E21*225000</f>
        <v/>
      </c>
      <c r="H21" s="174">
        <f>F21*225000</f>
        <v/>
      </c>
      <c r="I21" s="209">
        <f>(D21*Prices!$A$2)+3000</f>
        <v/>
      </c>
      <c r="J21" s="209">
        <f>G21+I21+H21</f>
        <v/>
      </c>
      <c r="K21" s="208" t="inlineStr">
        <is>
          <t>lc</t>
        </is>
      </c>
      <c r="L21" s="26" t="n"/>
      <c r="M21" s="207" t="n"/>
    </row>
    <row r="22">
      <c r="A22" s="208" t="n">
        <v>21</v>
      </c>
      <c r="B22" s="26" t="n"/>
      <c r="C22" s="26">
        <f>B22*(25/100)</f>
        <v/>
      </c>
      <c r="D22" s="26">
        <f>C22+B22</f>
        <v/>
      </c>
      <c r="E22" s="26" t="n"/>
      <c r="F22" s="26" t="n"/>
      <c r="G22" s="174">
        <f>E22*225000</f>
        <v/>
      </c>
      <c r="H22" s="174">
        <f>F22*225000</f>
        <v/>
      </c>
      <c r="I22" s="209">
        <f>(D22*Prices!$A$2)+3000</f>
        <v/>
      </c>
      <c r="J22" s="209">
        <f>G22+I22+H22</f>
        <v/>
      </c>
    </row>
    <row r="23">
      <c r="A23" s="208" t="n">
        <v>22</v>
      </c>
      <c r="B23" s="26" t="n"/>
      <c r="C23" s="26">
        <f>B23*(25/100)</f>
        <v/>
      </c>
      <c r="D23" s="26">
        <f>C23+B23</f>
        <v/>
      </c>
      <c r="E23" s="26" t="n"/>
      <c r="F23" s="26" t="n"/>
      <c r="G23" s="174">
        <f>E23*225000</f>
        <v/>
      </c>
      <c r="H23" s="174">
        <f>F23*225000</f>
        <v/>
      </c>
      <c r="I23" s="209">
        <f>(D23*Prices!$A$2)+3000</f>
        <v/>
      </c>
      <c r="J23" s="209">
        <f>G23+I23+H23</f>
        <v/>
      </c>
    </row>
    <row r="24">
      <c r="A24" s="208" t="n">
        <v>23</v>
      </c>
      <c r="B24" s="26" t="n"/>
      <c r="C24" s="26">
        <f>B24*(25/100)</f>
        <v/>
      </c>
      <c r="D24" s="26">
        <f>C24+B24</f>
        <v/>
      </c>
      <c r="E24" s="26" t="n"/>
      <c r="F24" s="26" t="n"/>
      <c r="G24" s="174">
        <f>E24*225000</f>
        <v/>
      </c>
      <c r="H24" s="174">
        <f>F24*225000</f>
        <v/>
      </c>
      <c r="I24" s="209">
        <f>(D24*Prices!$A$2)+3000</f>
        <v/>
      </c>
      <c r="J24" s="209">
        <f>G24+I24+H24</f>
        <v/>
      </c>
    </row>
    <row r="25">
      <c r="A25" s="208" t="n">
        <v>24</v>
      </c>
      <c r="B25" s="26" t="n"/>
      <c r="C25" s="26">
        <f>B25*(25/100)</f>
        <v/>
      </c>
      <c r="D25" s="26">
        <f>C25+B25</f>
        <v/>
      </c>
      <c r="E25" s="26" t="n"/>
      <c r="F25" s="26" t="n"/>
      <c r="G25" s="174">
        <f>E25*225000</f>
        <v/>
      </c>
      <c r="H25" s="174">
        <f>F25*225000</f>
        <v/>
      </c>
      <c r="I25" s="209">
        <f>(D25*Prices!$A$2)+3000</f>
        <v/>
      </c>
      <c r="J25" s="209">
        <f>G25+I25+H25</f>
        <v/>
      </c>
    </row>
    <row r="26">
      <c r="A26" s="208" t="n">
        <v>25</v>
      </c>
      <c r="B26" s="26" t="n"/>
      <c r="C26" s="26">
        <f>B26*(25/100)</f>
        <v/>
      </c>
      <c r="D26" s="26">
        <f>C26+B26</f>
        <v/>
      </c>
      <c r="E26" s="26" t="n"/>
      <c r="F26" s="26" t="n"/>
      <c r="G26" s="174">
        <f>E26*225000</f>
        <v/>
      </c>
      <c r="H26" s="174">
        <f>F26*225000</f>
        <v/>
      </c>
      <c r="I26" s="209">
        <f>(D26*Prices!$A$2)+3000</f>
        <v/>
      </c>
      <c r="J26" s="209">
        <f>G26+I26+H26</f>
        <v/>
      </c>
    </row>
    <row r="27">
      <c r="A27" s="208" t="n">
        <v>26</v>
      </c>
      <c r="B27" s="26" t="n"/>
      <c r="C27" s="26">
        <f>B27*(25/100)</f>
        <v/>
      </c>
      <c r="D27" s="26">
        <f>C27+B27</f>
        <v/>
      </c>
      <c r="E27" s="26" t="n"/>
      <c r="F27" s="26" t="n"/>
      <c r="G27" s="174">
        <f>E27*225000</f>
        <v/>
      </c>
      <c r="H27" s="174">
        <f>F27*225000</f>
        <v/>
      </c>
      <c r="I27" s="209">
        <f>(D27*Prices!$A$2)+3000</f>
        <v/>
      </c>
      <c r="J27" s="209">
        <f>G27+I27+H27</f>
        <v/>
      </c>
    </row>
    <row r="28">
      <c r="B28" s="26" t="n"/>
      <c r="C28" s="26" t="n"/>
      <c r="D28" s="26" t="n"/>
      <c r="E28" s="26" t="n"/>
      <c r="F28" s="26" t="n"/>
      <c r="G28" s="174" t="n"/>
      <c r="H28" s="174" t="n"/>
      <c r="I28" s="209" t="n"/>
      <c r="J28" s="209" t="n"/>
    </row>
    <row r="29">
      <c r="B29" s="26" t="n"/>
      <c r="C29" s="26" t="n"/>
      <c r="D29" s="26" t="n"/>
      <c r="E29" s="26" t="n"/>
      <c r="F29" s="26" t="n"/>
      <c r="G29" s="174" t="n"/>
      <c r="H29" s="174" t="n"/>
      <c r="I29" s="209" t="n"/>
      <c r="J29" s="209" t="n"/>
    </row>
    <row r="30">
      <c r="B30" s="26" t="n"/>
      <c r="C30" s="26" t="n"/>
      <c r="D30" s="26" t="n"/>
      <c r="E30" s="26" t="n"/>
      <c r="F30" s="26" t="n"/>
      <c r="G30" s="174" t="n"/>
      <c r="H30" s="174" t="n"/>
      <c r="I30" s="209" t="n"/>
      <c r="J30" s="209" t="n"/>
    </row>
    <row r="31">
      <c r="B31" s="26" t="n"/>
      <c r="C31" s="26" t="n"/>
      <c r="D31" s="26" t="n"/>
      <c r="E31" s="26" t="n"/>
      <c r="F31" s="26" t="n"/>
      <c r="G31" s="174" t="n"/>
      <c r="H31" s="174" t="n"/>
      <c r="I31" s="209" t="n"/>
      <c r="J31" s="209" t="n"/>
    </row>
    <row r="32">
      <c r="B32" s="26" t="n"/>
      <c r="C32" s="26" t="n"/>
      <c r="D32" s="26" t="n"/>
      <c r="E32" s="26" t="n"/>
      <c r="F32" s="26" t="n"/>
      <c r="G32" s="174" t="n"/>
      <c r="H32" s="174" t="n"/>
      <c r="I32" s="209" t="n"/>
      <c r="J32" s="209" t="n"/>
    </row>
    <row r="33">
      <c r="B33" s="26" t="n"/>
      <c r="C33" s="26" t="n"/>
      <c r="D33" s="26" t="n"/>
      <c r="E33" s="26" t="n"/>
      <c r="F33" s="26" t="n"/>
      <c r="G33" s="174" t="n"/>
      <c r="H33" s="174" t="n"/>
      <c r="I33" s="209" t="n"/>
      <c r="J33" s="209" t="n"/>
    </row>
    <row r="34">
      <c r="B34" s="26" t="n"/>
      <c r="C34" s="26" t="n"/>
      <c r="D34" s="26" t="n"/>
      <c r="E34" s="26" t="n"/>
      <c r="F34" s="26" t="n"/>
      <c r="G34" s="174" t="n"/>
      <c r="H34" s="174" t="n"/>
      <c r="I34" s="209" t="n"/>
      <c r="J34" s="209" t="n"/>
    </row>
    <row r="35">
      <c r="C35" s="26" t="n"/>
      <c r="D35" s="26" t="n"/>
      <c r="E35" s="26" t="n"/>
      <c r="F35" s="26" t="n"/>
      <c r="G35" s="174" t="n"/>
      <c r="H35" s="174" t="n"/>
      <c r="I35" s="209" t="n"/>
      <c r="J35" s="209" t="n"/>
    </row>
    <row r="36">
      <c r="B36" s="26" t="n"/>
      <c r="C36" s="26" t="n"/>
      <c r="D36" s="26" t="n"/>
      <c r="E36" s="26" t="n"/>
      <c r="F36" s="26" t="n"/>
      <c r="I36" s="209" t="n"/>
      <c r="J36" s="209" t="n"/>
    </row>
    <row r="37">
      <c r="B37" s="26" t="n"/>
      <c r="C37" s="26" t="n"/>
      <c r="D37" s="26" t="n"/>
      <c r="E37" s="26" t="n"/>
      <c r="F37" s="26" t="n"/>
      <c r="I37" s="209" t="n"/>
      <c r="J37" s="209" t="n"/>
    </row>
    <row r="38">
      <c r="B38" s="26" t="n"/>
      <c r="C38" s="26" t="n"/>
      <c r="D38" s="26" t="n"/>
      <c r="E38" s="26" t="n"/>
      <c r="F38" s="26" t="n"/>
      <c r="I38" s="209" t="n"/>
      <c r="J38" s="209" t="n"/>
    </row>
    <row r="39">
      <c r="B39" s="26" t="n"/>
      <c r="C39" s="26" t="n"/>
      <c r="D39" s="26" t="n"/>
      <c r="E39" s="26" t="n"/>
      <c r="F39" s="26" t="n"/>
      <c r="I39" s="209" t="n"/>
      <c r="J39" s="209" t="n"/>
    </row>
    <row r="40">
      <c r="B40" s="26" t="n"/>
      <c r="C40" s="26" t="n"/>
      <c r="D40" s="26" t="n"/>
      <c r="E40" s="26" t="n"/>
      <c r="F40" s="26" t="n"/>
      <c r="I40" s="209" t="n"/>
      <c r="J40" s="209" t="n"/>
    </row>
    <row r="41">
      <c r="B41" s="26" t="n"/>
      <c r="C41" s="26" t="n"/>
      <c r="D41" s="26" t="n"/>
      <c r="E41" s="26" t="n"/>
      <c r="F41" s="26" t="n"/>
      <c r="I41" s="209" t="n"/>
      <c r="J41" s="209" t="n"/>
    </row>
    <row r="42">
      <c r="B42" s="26" t="n"/>
      <c r="C42" s="26" t="n"/>
      <c r="D42" s="26" t="n"/>
      <c r="E42" s="26" t="n"/>
      <c r="F42" s="26" t="n"/>
      <c r="I42" s="209" t="n"/>
      <c r="J42" s="209" t="n"/>
    </row>
    <row r="43">
      <c r="B43" s="26" t="n"/>
      <c r="C43" s="26" t="n"/>
      <c r="D43" s="26" t="n"/>
      <c r="E43" s="26" t="n"/>
      <c r="F43" s="26" t="n"/>
      <c r="I43" s="209" t="n"/>
      <c r="J43" s="209" t="n"/>
    </row>
    <row r="44">
      <c r="B44" s="26" t="n"/>
      <c r="C44" s="26" t="n"/>
      <c r="D44" s="26" t="n"/>
      <c r="E44" s="26" t="n"/>
      <c r="F44" s="26" t="n"/>
      <c r="I44" s="209" t="n"/>
      <c r="J44" s="209" t="n"/>
    </row>
    <row r="45">
      <c r="C45" s="26" t="n"/>
      <c r="D45" s="26" t="n"/>
      <c r="E45" s="26" t="n"/>
      <c r="F45" s="26" t="n"/>
      <c r="G45" s="174" t="n"/>
      <c r="H45" s="174" t="n"/>
      <c r="I45" s="209" t="n"/>
      <c r="J45" s="209" t="n"/>
    </row>
  </sheetData>
  <conditionalFormatting sqref="L2:L50">
    <cfRule type="containsText" priority="1" operator="containsText" dxfId="4" text="Available">
      <formula>NOT(ISERROR(SEARCH(("Available"),(L2))))</formula>
    </cfRule>
    <cfRule type="containsText" priority="2" operator="containsText" dxfId="5" text="Sold">
      <formula>NOT(ISERROR(SEARCH(("Sold"),(L2))))</formula>
    </cfRule>
    <cfRule type="containsText" priority="3" operator="containsText" dxfId="6" text="Return">
      <formula>NOT(ISERROR(SEARCH(("Return"),(L2))))</formula>
    </cfRule>
  </conditionalFormatting>
  <pageMargins left="0.25" right="0.25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AM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6.43" customWidth="1" style="220" min="1" max="1"/>
    <col width="14.71" customWidth="1" style="220" min="2" max="2"/>
    <col width="15.14" customWidth="1" style="220" min="3" max="3"/>
    <col width="17.71" customWidth="1" style="220" min="4" max="4"/>
    <col width="14.29" customWidth="1" style="220" min="5" max="5"/>
    <col width="15" customWidth="1" style="220" min="6" max="6"/>
    <col width="14.29" customWidth="1" style="220" min="7" max="7"/>
    <col width="11.57" customWidth="1" style="220" min="8" max="8"/>
    <col width="7.43" customWidth="1" style="220" min="9" max="9"/>
    <col width="9.859999999999999" customWidth="1" style="220" min="10" max="10"/>
    <col width="8.140000000000001" customWidth="1" style="220" min="11" max="11"/>
    <col width="13.57" customWidth="1" style="220" min="12" max="13"/>
    <col width="12.71" customWidth="1" style="220" min="14" max="15"/>
    <col width="13" customWidth="1" style="220" min="16" max="16"/>
    <col width="14" customWidth="1" style="220" min="17" max="18"/>
    <col width="17.57" customWidth="1" style="220" min="19" max="19"/>
    <col width="14.57" customWidth="1" style="220" min="20" max="20"/>
    <col width="18.71" customWidth="1" style="220" min="21" max="21"/>
    <col width="12.29" customWidth="1" style="220" min="22" max="22"/>
    <col width="17.14" customWidth="1" style="220" min="23" max="23"/>
    <col width="14" customWidth="1" style="220" min="24" max="24"/>
    <col width="12" customWidth="1" style="220" min="25" max="25"/>
    <col width="14" customWidth="1" style="220" min="26" max="26"/>
    <col width="12" customWidth="1" style="220" min="27" max="27"/>
    <col width="14" customWidth="1" style="220" min="28" max="28"/>
    <col width="12" customWidth="1" style="220" min="29" max="29"/>
    <col width="20" customWidth="1" style="220" min="30" max="30"/>
    <col width="22" customWidth="1" style="220" min="31" max="31"/>
    <col width="32" customWidth="1" style="220" min="32" max="32"/>
    <col width="24" customWidth="1" style="220" min="33" max="33"/>
    <col width="24" customWidth="1" style="220" min="34" max="34"/>
    <col width="20" customWidth="1" style="220" min="35" max="35"/>
    <col width="12" customWidth="1" style="220" min="37" max="37"/>
    <col width="12" customWidth="1" style="220" min="38" max="38"/>
    <col width="14" customWidth="1" style="220" min="39" max="39"/>
  </cols>
  <sheetData>
    <row r="1" ht="15" customHeight="1" s="220">
      <c r="A1" s="171" t="inlineStr">
        <is>
          <t>Sn</t>
        </is>
      </c>
      <c r="B1" s="171" t="inlineStr">
        <is>
          <t>Net Weight</t>
        </is>
      </c>
      <c r="C1" s="171" t="inlineStr">
        <is>
          <t>Wstg + MC</t>
        </is>
      </c>
      <c r="D1" s="171" t="inlineStr">
        <is>
          <t>Gross Weight</t>
        </is>
      </c>
      <c r="E1" s="171" t="inlineStr">
        <is>
          <t>Dmd &lt;0.06</t>
        </is>
      </c>
      <c r="F1" s="171" t="inlineStr">
        <is>
          <t>Dmd &lt; 0.12</t>
        </is>
      </c>
      <c r="G1" s="171" t="inlineStr">
        <is>
          <t>Dmd &lt;0.17</t>
        </is>
      </c>
      <c r="H1" s="171" t="inlineStr">
        <is>
          <t>Dmd Big</t>
        </is>
      </c>
      <c r="I1" s="171" t="inlineStr">
        <is>
          <t>Ruby</t>
        </is>
      </c>
      <c r="J1" s="171" t="inlineStr">
        <is>
          <t>Emreld</t>
        </is>
      </c>
      <c r="K1" s="171" t="inlineStr">
        <is>
          <t>Muga</t>
        </is>
      </c>
      <c r="L1" s="115" t="inlineStr">
        <is>
          <t>Dmd Price</t>
        </is>
      </c>
      <c r="M1" s="115" t="inlineStr">
        <is>
          <t>Dmd Price</t>
        </is>
      </c>
      <c r="N1" s="115" t="inlineStr">
        <is>
          <t>Dmd Price</t>
        </is>
      </c>
      <c r="O1" s="115" t="inlineStr">
        <is>
          <t>Dmd Price</t>
        </is>
      </c>
      <c r="P1" s="115" t="inlineStr">
        <is>
          <t>Stn Price</t>
        </is>
      </c>
      <c r="Q1" s="210" t="inlineStr">
        <is>
          <t>Gold Price</t>
        </is>
      </c>
      <c r="R1" s="210" t="inlineStr">
        <is>
          <t>TAX</t>
        </is>
      </c>
      <c r="S1" s="115" t="inlineStr">
        <is>
          <t>Ttl dmd Price</t>
        </is>
      </c>
      <c r="T1" s="210" t="inlineStr">
        <is>
          <t>Total Price</t>
        </is>
      </c>
      <c r="U1" s="171" t="inlineStr">
        <is>
          <t>Disocunt Price</t>
        </is>
      </c>
      <c r="V1" s="26" t="n">
        <v>40</v>
      </c>
      <c r="W1" s="169" t="inlineStr">
        <is>
          <t>Cost</t>
        </is>
      </c>
      <c r="X1" s="243" t="inlineStr">
        <is>
          <t>Dia Size 1 (ct)</t>
        </is>
      </c>
      <c r="Y1" s="243" t="inlineStr">
        <is>
          <t>Dia Pieces 1</t>
        </is>
      </c>
      <c r="Z1" s="243" t="inlineStr">
        <is>
          <t>Dia Size 2 (ct)</t>
        </is>
      </c>
      <c r="AA1" s="243" t="inlineStr">
        <is>
          <t>Dia Pieces 2</t>
        </is>
      </c>
      <c r="AB1" s="243" t="inlineStr">
        <is>
          <t>Dia Size 3 (ct)</t>
        </is>
      </c>
      <c r="AC1" s="243" t="inlineStr">
        <is>
          <t>Dia Pieces 3</t>
        </is>
      </c>
      <c r="AD1" s="243" t="inlineStr">
        <is>
          <t>Number of Diamond Pieces</t>
        </is>
      </c>
      <c r="AE1" s="243" t="inlineStr">
        <is>
          <t>Total Diamond Weight (ct)</t>
        </is>
      </c>
      <c r="AF1" s="243" t="inlineStr">
        <is>
          <t>Individual Diamond Size Breakdown</t>
        </is>
      </c>
      <c r="AG1" s="243" t="inlineStr">
        <is>
          <t>Calculated Diamond Price</t>
        </is>
      </c>
      <c r="AH1" s="243" t="inlineStr">
        <is>
          <t>Discounted Price (40% off)</t>
        </is>
      </c>
      <c r="AI1" s="243" t="inlineStr">
        <is>
          <t>Selling Price (+20%)</t>
        </is>
      </c>
      <c r="AK1" s="243" t="inlineStr">
        <is>
          <t>Min Carat</t>
        </is>
      </c>
      <c r="AL1" s="243" t="inlineStr">
        <is>
          <t>Max Carat</t>
        </is>
      </c>
      <c r="AM1" s="243" t="inlineStr">
        <is>
          <t>Cost Price</t>
        </is>
      </c>
    </row>
    <row r="2" ht="15" customHeight="1" s="220">
      <c r="A2" s="169" t="n"/>
      <c r="B2" s="169" t="n">
        <v>2</v>
      </c>
      <c r="C2" s="169">
        <f>B2*(25/100)</f>
        <v/>
      </c>
      <c r="D2" s="26">
        <f>C2+B2</f>
        <v/>
      </c>
      <c r="E2" s="26" t="n">
        <v>0.15</v>
      </c>
      <c r="F2" s="26" t="n"/>
      <c r="G2" s="26" t="n"/>
      <c r="H2" s="26" t="n"/>
      <c r="I2" s="26" t="n"/>
      <c r="J2" s="26" t="n"/>
      <c r="K2" s="26" t="n"/>
      <c r="L2" s="174">
        <f>E2*Prices!B$2</f>
        <v/>
      </c>
      <c r="M2" s="174">
        <f>F2*180000</f>
        <v/>
      </c>
      <c r="N2" s="174">
        <f>G2*375000</f>
        <v/>
      </c>
      <c r="O2" s="174">
        <f>H2*Prices!E$2</f>
        <v/>
      </c>
      <c r="P2" s="174">
        <f>I2*5000+J2*14000+K2*1800</f>
        <v/>
      </c>
      <c r="Q2" s="174">
        <f>D2*Prices!$A$2</f>
        <v/>
      </c>
      <c r="R2" s="174">
        <f>Q2*0.02</f>
        <v/>
      </c>
      <c r="S2" s="174">
        <f>AG2</f>
        <v/>
      </c>
      <c r="T2" s="174">
        <f>AI2+Q2+P2</f>
        <v/>
      </c>
      <c r="U2" s="175">
        <f>P2+Q2+(S2-(S2*($V$1/100)))</f>
        <v/>
      </c>
      <c r="V2" s="174">
        <f>T2-U2</f>
        <v/>
      </c>
      <c r="W2" s="211">
        <f>((D2*0.6)/11.664)*Prices!$A$4+E2*38000+F2*51900+G2*60900+K2*600</f>
        <v/>
      </c>
      <c r="X2" s="26" t="n">
        <v>0.05</v>
      </c>
      <c r="Y2" s="26" t="n">
        <v>6</v>
      </c>
      <c r="Z2" s="26" t="n">
        <v>0.2</v>
      </c>
      <c r="AA2" s="26" t="n">
        <v>2</v>
      </c>
      <c r="AB2" s="0" t="n">
        <v>0.75</v>
      </c>
      <c r="AC2" s="0" t="n">
        <v>1</v>
      </c>
      <c r="AD2" s="0">
        <f>SUM(Y2,AA2,AC2)</f>
        <v/>
      </c>
      <c r="AE2" s="0">
        <f>X2*Y2+Z2*AA2+AB2*AC2</f>
        <v/>
      </c>
      <c r="AF2" s="0">
        <f>TEXTJOIN(", ",TRUE,IF(AND(X2&gt;0,Y2&gt;0),TEXT(X2,"0.00")&amp;"ct x "&amp;Y2,""),IF(AND(Z2&gt;0,AA2&gt;0),TEXT(Z2,"0.00")&amp;"ct x "&amp;AA2,""),IF(AND(AB2&gt;0,AC2&gt;0),TEXT(AB2,"0.00")&amp;"ct x "&amp;AC2,""))</f>
        <v/>
      </c>
      <c r="AG2" s="0">
        <f>X2*Y2*SUMIFS($AM$2:$AM$11,$AK$2:$AK$11,"&lt;="&amp;X2,$AL$2:$AL$11,"&gt;="&amp;X2)+Z2*AA2*SUMIFS($AM$2:$AM$11,$AK$2:$AK$11,"&lt;="&amp;Z2,$AL$2:$AL$11,"&gt;="&amp;Z2)+AB2*AC2*SUMIFS($AM$2:$AM$11,$AK$2:$AK$11,"&lt;="&amp;AB2,$AL$2:$AL$11,"&gt;="&amp;AB2)</f>
        <v/>
      </c>
      <c r="AH2" s="0">
        <f>AG2*(1-40%)</f>
        <v/>
      </c>
      <c r="AI2" s="0">
        <f>AH2*1.2</f>
        <v/>
      </c>
      <c r="AK2" s="0" t="n">
        <v>0.01</v>
      </c>
      <c r="AL2" s="0" t="n">
        <v>0.06</v>
      </c>
      <c r="AM2" s="0" t="n">
        <v>38000</v>
      </c>
    </row>
    <row r="3" ht="15" customHeight="1" s="220">
      <c r="A3" s="169" t="n"/>
      <c r="B3" s="169" t="n">
        <v>2.808</v>
      </c>
      <c r="C3" s="169">
        <f>B3*(25/100)</f>
        <v/>
      </c>
      <c r="D3" s="26">
        <f>C3+B3</f>
        <v/>
      </c>
      <c r="E3" s="26" t="n"/>
      <c r="F3" s="26" t="n">
        <v>0.6</v>
      </c>
      <c r="G3" s="26" t="n"/>
      <c r="H3" s="26" t="n"/>
      <c r="I3" s="26" t="n"/>
      <c r="J3" s="26" t="n">
        <v>4.66</v>
      </c>
      <c r="K3" s="26" t="n"/>
      <c r="L3" s="174">
        <f>E3*Prices!B$2</f>
        <v/>
      </c>
      <c r="M3" s="174">
        <f>F3*180000</f>
        <v/>
      </c>
      <c r="N3" s="174">
        <f>G3*375000</f>
        <v/>
      </c>
      <c r="O3" s="174">
        <f>H3*Prices!E$2</f>
        <v/>
      </c>
      <c r="P3" s="174">
        <f>I3*5000+J3*18000+K3*1800</f>
        <v/>
      </c>
      <c r="Q3" s="174">
        <f>D3*Prices!$A$2</f>
        <v/>
      </c>
      <c r="R3" s="174">
        <f>Q3*0.02</f>
        <v/>
      </c>
      <c r="S3" s="174">
        <f>AG3</f>
        <v/>
      </c>
      <c r="T3" s="174">
        <f>AI3+Q3+P3</f>
        <v/>
      </c>
      <c r="U3" s="175">
        <f>P3+Q3+(S3-(S3*($V$1/100)))</f>
        <v/>
      </c>
      <c r="V3" s="174">
        <f>T3-U3</f>
        <v/>
      </c>
      <c r="W3" s="211">
        <f>((D3*0.6)/11.664)*Prices!$A$4+E3*38000+F3*51900+G3*60900+K3*600</f>
        <v/>
      </c>
      <c r="X3" s="26" t="n">
        <v>0.12</v>
      </c>
      <c r="Y3" s="26" t="n">
        <v>4</v>
      </c>
      <c r="Z3" s="26" t="n">
        <v>0.34</v>
      </c>
      <c r="AA3" s="26" t="n">
        <v>2</v>
      </c>
      <c r="AB3" s="0" t="n">
        <v>0.9</v>
      </c>
      <c r="AC3" s="0" t="n">
        <v>1</v>
      </c>
      <c r="AD3" s="0">
        <f>SUM(Y3,AA3,AC3)</f>
        <v/>
      </c>
      <c r="AE3" s="0">
        <f>X3*Y3+Z3*AA3+AB3*AC3</f>
        <v/>
      </c>
      <c r="AF3" s="0">
        <f>TEXTJOIN(", ",TRUE,IF(AND(X3&gt;0,Y3&gt;0),TEXT(X3,"0.00")&amp;"ct x "&amp;Y3,""),IF(AND(Z3&gt;0,AA3&gt;0),TEXT(Z3,"0.00")&amp;"ct x "&amp;AA3,""),IF(AND(AB3&gt;0,AC3&gt;0),TEXT(AB3,"0.00")&amp;"ct x "&amp;AC3,""))</f>
        <v/>
      </c>
      <c r="AG3" s="0">
        <f>X3*Y3*SUMIFS($AM$2:$AM$11,$AK$2:$AK$11,"&lt;="&amp;X3,$AL$2:$AL$11,"&gt;="&amp;X3)+Z3*AA3*SUMIFS($AM$2:$AM$11,$AK$2:$AK$11,"&lt;="&amp;Z3,$AL$2:$AL$11,"&gt;="&amp;Z3)+AB3*AC3*SUMIFS($AM$2:$AM$11,$AK$2:$AK$11,"&lt;="&amp;AB3,$AL$2:$AL$11,"&gt;="&amp;AB3)</f>
        <v/>
      </c>
      <c r="AH3" s="0">
        <f>AG3*(1-40%)</f>
        <v/>
      </c>
      <c r="AI3" s="0">
        <f>AH3*1.2</f>
        <v/>
      </c>
      <c r="AK3" s="0" t="n">
        <v>0.07000000000000001</v>
      </c>
      <c r="AL3" s="0" t="n">
        <v>0.13</v>
      </c>
      <c r="AM3" s="0" t="n">
        <v>51900</v>
      </c>
    </row>
    <row r="4" ht="15" customHeight="1" s="220">
      <c r="A4" s="169" t="n"/>
      <c r="B4" s="169" t="n">
        <v>4.5</v>
      </c>
      <c r="C4" s="169">
        <f>B4*(25/100)</f>
        <v/>
      </c>
      <c r="D4" s="26">
        <f>C4+B4</f>
        <v/>
      </c>
      <c r="E4" s="26" t="n">
        <v>0.5</v>
      </c>
      <c r="F4" s="26" t="n"/>
      <c r="G4" s="26" t="n"/>
      <c r="H4" s="26" t="n"/>
      <c r="I4" s="26" t="n"/>
      <c r="J4" s="26" t="n">
        <v>16</v>
      </c>
      <c r="K4" s="26" t="n"/>
      <c r="L4" s="174">
        <f>E4*Prices!B$2</f>
        <v/>
      </c>
      <c r="M4" s="174">
        <f>F4*180000</f>
        <v/>
      </c>
      <c r="N4" s="174">
        <f>G4*375000</f>
        <v/>
      </c>
      <c r="O4" s="174">
        <f>H4*Prices!E$2</f>
        <v/>
      </c>
      <c r="P4" s="174">
        <f>I4*5000+J4*8000+K4*1800</f>
        <v/>
      </c>
      <c r="Q4" s="174">
        <f>D4*Prices!$A$2</f>
        <v/>
      </c>
      <c r="R4" s="174">
        <f>Q4*0.02</f>
        <v/>
      </c>
      <c r="S4" s="174">
        <f>AG4</f>
        <v/>
      </c>
      <c r="T4" s="174">
        <f>AI4+Q4+P4</f>
        <v/>
      </c>
      <c r="U4" s="175">
        <f>P4+Q4+(S4-(S4*($V$1/100)))</f>
        <v/>
      </c>
      <c r="V4" s="174">
        <f>T4-U4</f>
        <v/>
      </c>
      <c r="W4" s="211">
        <f>((D4*0.6)/11.664)*Prices!$A$4+E4*38000+F4*51900+G4*60900+K4*600</f>
        <v/>
      </c>
      <c r="X4" s="26" t="n">
        <v>0.06</v>
      </c>
      <c r="Y4" s="26" t="n">
        <v>10</v>
      </c>
      <c r="Z4" s="26" t="n">
        <v>0.18</v>
      </c>
      <c r="AA4" s="26" t="n">
        <v>3</v>
      </c>
      <c r="AB4" s="0" t="n">
        <v>0.44</v>
      </c>
      <c r="AC4" s="0" t="n">
        <v>2</v>
      </c>
      <c r="AD4" s="0">
        <f>SUM(Y4,AA4,AC4)</f>
        <v/>
      </c>
      <c r="AE4" s="0">
        <f>X4*Y4+Z4*AA4+AB4*AC4</f>
        <v/>
      </c>
      <c r="AF4" s="0">
        <f>TEXTJOIN(", ",TRUE,IF(AND(X4&gt;0,Y4&gt;0),TEXT(X4,"0.00")&amp;"ct x "&amp;Y4,""),IF(AND(Z4&gt;0,AA4&gt;0),TEXT(Z4,"0.00")&amp;"ct x "&amp;AA4,""),IF(AND(AB4&gt;0,AC4&gt;0),TEXT(AB4,"0.00")&amp;"ct x "&amp;AC4,""))</f>
        <v/>
      </c>
      <c r="AG4" s="0">
        <f>X4*Y4*SUMIFS($AM$2:$AM$11,$AK$2:$AK$11,"&lt;="&amp;X4,$AL$2:$AL$11,"&gt;="&amp;X4)+Z4*AA4*SUMIFS($AM$2:$AM$11,$AK$2:$AK$11,"&lt;="&amp;Z4,$AL$2:$AL$11,"&gt;="&amp;Z4)+AB4*AC4*SUMIFS($AM$2:$AM$11,$AK$2:$AK$11,"&lt;="&amp;AB4,$AL$2:$AL$11,"&gt;="&amp;AB4)</f>
        <v/>
      </c>
      <c r="AH4" s="0">
        <f>AG4*(1-40%)</f>
        <v/>
      </c>
      <c r="AI4" s="0">
        <f>AH4*1.2</f>
        <v/>
      </c>
      <c r="AK4" s="0" t="n">
        <v>0.14</v>
      </c>
      <c r="AL4" s="0" t="n">
        <v>0.18</v>
      </c>
      <c r="AM4" s="0" t="n">
        <v>60900</v>
      </c>
    </row>
    <row r="5" ht="15" customHeight="1" s="220">
      <c r="A5" s="169" t="n"/>
      <c r="B5" s="169" t="n"/>
      <c r="C5" s="169">
        <f>B5*(25/100)</f>
        <v/>
      </c>
      <c r="D5" s="26">
        <f>C5+B5</f>
        <v/>
      </c>
      <c r="E5" s="26" t="n"/>
      <c r="F5" s="26" t="n"/>
      <c r="G5" s="26" t="n"/>
      <c r="H5" s="26" t="n"/>
      <c r="I5" s="26" t="n"/>
      <c r="J5" s="26" t="n"/>
      <c r="K5" s="26" t="n"/>
      <c r="L5" s="174">
        <f>E5*Prices!B$2</f>
        <v/>
      </c>
      <c r="M5" s="174">
        <f>F5*180000</f>
        <v/>
      </c>
      <c r="N5" s="174">
        <f>G5*375000</f>
        <v/>
      </c>
      <c r="O5" s="174">
        <f>H5*Prices!E$2</f>
        <v/>
      </c>
      <c r="P5" s="174">
        <f>I5*5000+J5*14000+K5*1800</f>
        <v/>
      </c>
      <c r="Q5" s="174">
        <f>D5*Prices!$A$2</f>
        <v/>
      </c>
      <c r="R5" s="174">
        <f>Q5*0.02</f>
        <v/>
      </c>
      <c r="S5" s="174">
        <f>AG5</f>
        <v/>
      </c>
      <c r="T5" s="174">
        <f>AI5+Q5+P5</f>
        <v/>
      </c>
      <c r="U5" s="175">
        <f>P5+Q5+(S5-(S5*($V$1/100)))</f>
        <v/>
      </c>
      <c r="V5" s="174">
        <f>T5-U5</f>
        <v/>
      </c>
      <c r="W5" s="211">
        <f>((D5*0.6)/11.664)*Prices!$A$4+E5*38000+F5*51900+G5*60900+K5*600</f>
        <v/>
      </c>
      <c r="X5" s="26" t="n"/>
      <c r="Y5" s="26" t="n"/>
      <c r="Z5" s="26" t="n"/>
      <c r="AA5" s="26" t="n"/>
      <c r="AD5" s="0">
        <f>SUM(Y5,AA5,AC5)</f>
        <v/>
      </c>
      <c r="AE5" s="0">
        <f>X5*Y5+Z5*AA5+AB5*AC5</f>
        <v/>
      </c>
      <c r="AF5" s="0">
        <f>TEXTJOIN(", ",TRUE,IF(AND(X5&gt;0,Y5&gt;0),TEXT(X5,"0.00")&amp;"ct x "&amp;Y5,""),IF(AND(Z5&gt;0,AA5&gt;0),TEXT(Z5,"0.00")&amp;"ct x "&amp;AA5,""),IF(AND(AB5&gt;0,AC5&gt;0),TEXT(AB5,"0.00")&amp;"ct x "&amp;AC5,""))</f>
        <v/>
      </c>
      <c r="AG5" s="0">
        <f>X5*Y5*SUMIFS($AM$2:$AM$11,$AK$2:$AK$11,"&lt;="&amp;X5,$AL$2:$AL$11,"&gt;="&amp;X5)+Z5*AA5*SUMIFS($AM$2:$AM$11,$AK$2:$AK$11,"&lt;="&amp;Z5,$AL$2:$AL$11,"&gt;="&amp;Z5)+AB5*AC5*SUMIFS($AM$2:$AM$11,$AK$2:$AK$11,"&lt;="&amp;AB5,$AL$2:$AL$11,"&gt;="&amp;AB5)</f>
        <v/>
      </c>
      <c r="AH5" s="0">
        <f>AG5*(1-40%)</f>
        <v/>
      </c>
      <c r="AI5" s="0">
        <f>AH5*1.2</f>
        <v/>
      </c>
      <c r="AK5" s="0" t="n">
        <v>0.18</v>
      </c>
      <c r="AL5" s="0" t="n">
        <v>0.22</v>
      </c>
      <c r="AM5" s="0" t="n">
        <v>72900</v>
      </c>
    </row>
    <row r="6" ht="15" customHeight="1" s="220">
      <c r="A6" s="169" t="n"/>
      <c r="B6" s="169" t="n"/>
      <c r="C6" s="169">
        <f>B6*(25/100)</f>
        <v/>
      </c>
      <c r="D6" s="26">
        <f>C6+B6</f>
        <v/>
      </c>
      <c r="E6" s="26" t="n"/>
      <c r="F6" s="26" t="n"/>
      <c r="G6" s="26" t="n"/>
      <c r="H6" s="26" t="n"/>
      <c r="I6" s="26" t="n"/>
      <c r="J6" s="26" t="n"/>
      <c r="K6" s="26" t="n"/>
      <c r="L6" s="174">
        <f>E6*Prices!B$2</f>
        <v/>
      </c>
      <c r="M6" s="174">
        <f>F6*180000</f>
        <v/>
      </c>
      <c r="N6" s="174">
        <f>G6*375000</f>
        <v/>
      </c>
      <c r="O6" s="174">
        <f>H6*Prices!E$2</f>
        <v/>
      </c>
      <c r="P6" s="174">
        <f>I6*5000+J6*14000+K6*1800</f>
        <v/>
      </c>
      <c r="Q6" s="174">
        <f>D6*Prices!$A$2</f>
        <v/>
      </c>
      <c r="R6" s="174">
        <f>Q6*0.02</f>
        <v/>
      </c>
      <c r="S6" s="174">
        <f>AG6</f>
        <v/>
      </c>
      <c r="T6" s="174">
        <f>AI6+Q6+P6</f>
        <v/>
      </c>
      <c r="U6" s="175">
        <f>P6+Q6+(S6-(S6*($V$1/100)))</f>
        <v/>
      </c>
      <c r="V6" s="174">
        <f>T6-U6</f>
        <v/>
      </c>
      <c r="W6" s="211">
        <f>((D6*0.6)/11.664)*Prices!$A$4+E6*38000+F6*51900+G6*60900+K6*600</f>
        <v/>
      </c>
      <c r="X6" s="26" t="n"/>
      <c r="Y6" s="26" t="n"/>
      <c r="Z6" s="26" t="n"/>
      <c r="AA6" s="26" t="n"/>
      <c r="AD6" s="0">
        <f>SUM(Y6,AA6,AC6)</f>
        <v/>
      </c>
      <c r="AE6" s="0">
        <f>X6*Y6+Z6*AA6+AB6*AC6</f>
        <v/>
      </c>
      <c r="AF6" s="0">
        <f>TEXTJOIN(", ",TRUE,IF(AND(X6&gt;0,Y6&gt;0),TEXT(X6,"0.00")&amp;"ct x "&amp;Y6,""),IF(AND(Z6&gt;0,AA6&gt;0),TEXT(Z6,"0.00")&amp;"ct x "&amp;AA6,""),IF(AND(AB6&gt;0,AC6&gt;0),TEXT(AB6,"0.00")&amp;"ct x "&amp;AC6,""))</f>
        <v/>
      </c>
      <c r="AG6" s="0">
        <f>X6*Y6*SUMIFS($AM$2:$AM$11,$AK$2:$AK$11,"&lt;="&amp;X6,$AL$2:$AL$11,"&gt;="&amp;X6)+Z6*AA6*SUMIFS($AM$2:$AM$11,$AK$2:$AK$11,"&lt;="&amp;Z6,$AL$2:$AL$11,"&gt;="&amp;Z6)+AB6*AC6*SUMIFS($AM$2:$AM$11,$AK$2:$AK$11,"&lt;="&amp;AB6,$AL$2:$AL$11,"&gt;="&amp;AB6)</f>
        <v/>
      </c>
      <c r="AH6" s="0">
        <f>AG6*(1-40%)</f>
        <v/>
      </c>
      <c r="AI6" s="0">
        <f>AH6*1.2</f>
        <v/>
      </c>
      <c r="AK6" s="0" t="n">
        <v>0.23</v>
      </c>
      <c r="AL6" s="0" t="n">
        <v>0.27</v>
      </c>
      <c r="AM6" s="0" t="n">
        <v>82900</v>
      </c>
    </row>
    <row r="7" ht="15" customHeight="1" s="220">
      <c r="A7" s="169" t="n"/>
      <c r="B7" s="169" t="n"/>
      <c r="C7" s="169">
        <f>B7*(25/100)</f>
        <v/>
      </c>
      <c r="D7" s="26">
        <f>C7+B7</f>
        <v/>
      </c>
      <c r="E7" s="26" t="n"/>
      <c r="F7" s="26" t="n"/>
      <c r="G7" s="26" t="n"/>
      <c r="H7" s="26" t="n"/>
      <c r="I7" s="26" t="n"/>
      <c r="J7" s="26" t="n"/>
      <c r="K7" s="26" t="n"/>
      <c r="L7" s="174">
        <f>E7*Prices!B$2</f>
        <v/>
      </c>
      <c r="M7" s="174">
        <f>F7*180000</f>
        <v/>
      </c>
      <c r="N7" s="174">
        <f>G7*375000</f>
        <v/>
      </c>
      <c r="O7" s="174">
        <f>H7*Prices!E$2</f>
        <v/>
      </c>
      <c r="P7" s="174">
        <f>I7*5000+J7*14000+K7*1800</f>
        <v/>
      </c>
      <c r="Q7" s="174">
        <f>D7*Prices!$A$2</f>
        <v/>
      </c>
      <c r="R7" s="174">
        <f>Q7*0.02</f>
        <v/>
      </c>
      <c r="S7" s="174">
        <f>AG7</f>
        <v/>
      </c>
      <c r="T7" s="174">
        <f>AI7+Q7+P7</f>
        <v/>
      </c>
      <c r="U7" s="175">
        <f>P7+Q7+(S7-(S7*($V$1/100)))</f>
        <v/>
      </c>
      <c r="V7" s="174">
        <f>T7-U7</f>
        <v/>
      </c>
      <c r="W7" s="211">
        <f>((D7*0.6)/11.664)*Prices!$A$4+E7*38000+F7*51900+G7*60900+K7*600</f>
        <v/>
      </c>
      <c r="X7" s="26" t="n"/>
      <c r="Y7" s="26" t="n"/>
      <c r="Z7" s="26" t="n"/>
      <c r="AA7" s="26" t="n"/>
      <c r="AD7" s="0">
        <f>SUM(Y7,AA7,AC7)</f>
        <v/>
      </c>
      <c r="AE7" s="0">
        <f>X7*Y7+Z7*AA7+AB7*AC7</f>
        <v/>
      </c>
      <c r="AF7" s="0">
        <f>TEXTJOIN(", ",TRUE,IF(AND(X7&gt;0,Y7&gt;0),TEXT(X7,"0.00")&amp;"ct x "&amp;Y7,""),IF(AND(Z7&gt;0,AA7&gt;0),TEXT(Z7,"0.00")&amp;"ct x "&amp;AA7,""),IF(AND(AB7&gt;0,AC7&gt;0),TEXT(AB7,"0.00")&amp;"ct x "&amp;AC7,""))</f>
        <v/>
      </c>
      <c r="AG7" s="0">
        <f>X7*Y7*SUMIFS($AM$2:$AM$11,$AK$2:$AK$11,"&lt;="&amp;X7,$AL$2:$AL$11,"&gt;="&amp;X7)+Z7*AA7*SUMIFS($AM$2:$AM$11,$AK$2:$AK$11,"&lt;="&amp;Z7,$AL$2:$AL$11,"&gt;="&amp;Z7)+AB7*AC7*SUMIFS($AM$2:$AM$11,$AK$2:$AK$11,"&lt;="&amp;AB7,$AL$2:$AL$11,"&gt;="&amp;AB7)</f>
        <v/>
      </c>
      <c r="AH7" s="0">
        <f>AG7*(1-40%)</f>
        <v/>
      </c>
      <c r="AI7" s="0">
        <f>AH7*1.2</f>
        <v/>
      </c>
      <c r="AK7" s="0" t="n">
        <v>0.28</v>
      </c>
      <c r="AL7" s="0" t="n">
        <v>0.36</v>
      </c>
      <c r="AM7" s="0" t="n">
        <v>92900</v>
      </c>
    </row>
    <row r="8" ht="15" customHeight="1" s="220">
      <c r="A8" s="26" t="n"/>
      <c r="B8" s="169" t="n"/>
      <c r="C8" s="169">
        <f>B8*(25/100)</f>
        <v/>
      </c>
      <c r="D8" s="26">
        <f>C8+B8</f>
        <v/>
      </c>
      <c r="E8" s="26" t="n"/>
      <c r="F8" s="26" t="n"/>
      <c r="G8" s="26" t="n"/>
      <c r="H8" s="26" t="n"/>
      <c r="I8" s="26" t="n"/>
      <c r="J8" s="26" t="n"/>
      <c r="K8" s="26" t="n"/>
      <c r="L8" s="174">
        <f>E8*Prices!B$2</f>
        <v/>
      </c>
      <c r="M8" s="174">
        <f>F8*180000</f>
        <v/>
      </c>
      <c r="N8" s="174">
        <f>G8*375000</f>
        <v/>
      </c>
      <c r="O8" s="174">
        <f>H8*Prices!E$2</f>
        <v/>
      </c>
      <c r="P8" s="174">
        <f>I8*5000+J8*14000+K8*1800</f>
        <v/>
      </c>
      <c r="Q8" s="174">
        <f>D8*Prices!$A$2</f>
        <v/>
      </c>
      <c r="R8" s="174">
        <f>Q8*0.02</f>
        <v/>
      </c>
      <c r="S8" s="174">
        <f>AG8</f>
        <v/>
      </c>
      <c r="T8" s="174">
        <f>AI8+Q8+P8</f>
        <v/>
      </c>
      <c r="U8" s="175">
        <f>P8+Q8+(S8-(S8*($V$1/100)))</f>
        <v/>
      </c>
      <c r="V8" s="174">
        <f>T8-U8</f>
        <v/>
      </c>
      <c r="W8" s="211">
        <f>((D8*0.6)/11.664)*Prices!$A$4+E8*38000+F8*51900+G8*60900+K8*600</f>
        <v/>
      </c>
      <c r="X8" s="26" t="n"/>
      <c r="Y8" s="26" t="n"/>
      <c r="Z8" s="26" t="n"/>
      <c r="AA8" s="26" t="n"/>
      <c r="AD8" s="0">
        <f>SUM(Y8,AA8,AC8)</f>
        <v/>
      </c>
      <c r="AE8" s="0">
        <f>X8*Y8+Z8*AA8+AB8*AC8</f>
        <v/>
      </c>
      <c r="AF8" s="0">
        <f>TEXTJOIN(", ",TRUE,IF(AND(X8&gt;0,Y8&gt;0),TEXT(X8,"0.00")&amp;"ct x "&amp;Y8,""),IF(AND(Z8&gt;0,AA8&gt;0),TEXT(Z8,"0.00")&amp;"ct x "&amp;AA8,""),IF(AND(AB8&gt;0,AC8&gt;0),TEXT(AB8,"0.00")&amp;"ct x "&amp;AC8,""))</f>
        <v/>
      </c>
      <c r="AG8" s="0">
        <f>X8*Y8*SUMIFS($AM$2:$AM$11,$AK$2:$AK$11,"&lt;="&amp;X8,$AL$2:$AL$11,"&gt;="&amp;X8)+Z8*AA8*SUMIFS($AM$2:$AM$11,$AK$2:$AK$11,"&lt;="&amp;Z8,$AL$2:$AL$11,"&gt;="&amp;Z8)+AB8*AC8*SUMIFS($AM$2:$AM$11,$AK$2:$AK$11,"&lt;="&amp;AB8,$AL$2:$AL$11,"&gt;="&amp;AB8)</f>
        <v/>
      </c>
      <c r="AH8" s="0">
        <f>AG8*(1-40%)</f>
        <v/>
      </c>
      <c r="AI8" s="0">
        <f>AH8*1.2</f>
        <v/>
      </c>
      <c r="AK8" s="0" t="n">
        <v>0.37</v>
      </c>
      <c r="AL8" s="0" t="n">
        <v>0.43</v>
      </c>
      <c r="AM8" s="0" t="n">
        <v>98000</v>
      </c>
    </row>
    <row r="9" ht="15" customHeight="1" s="220">
      <c r="A9" s="169" t="n"/>
      <c r="B9" s="169" t="n"/>
      <c r="C9" s="169">
        <f>B9*(25/100)</f>
        <v/>
      </c>
      <c r="D9" s="26">
        <f>C9+B9</f>
        <v/>
      </c>
      <c r="E9" s="26" t="n"/>
      <c r="F9" s="26" t="n"/>
      <c r="G9" s="26" t="n"/>
      <c r="H9" s="26" t="n"/>
      <c r="I9" s="26" t="n"/>
      <c r="J9" s="26" t="n"/>
      <c r="K9" s="26" t="n"/>
      <c r="L9" s="174">
        <f>E9*Prices!B$2</f>
        <v/>
      </c>
      <c r="M9" s="174">
        <f>F9*180000</f>
        <v/>
      </c>
      <c r="N9" s="174">
        <f>G9*375000</f>
        <v/>
      </c>
      <c r="O9" s="174">
        <f>H9*Prices!E$2</f>
        <v/>
      </c>
      <c r="P9" s="174">
        <f>I9*5000+J9*14000+K9*1800</f>
        <v/>
      </c>
      <c r="Q9" s="174">
        <f>D9*Prices!$A$2</f>
        <v/>
      </c>
      <c r="R9" s="174">
        <f>Q9*0.02</f>
        <v/>
      </c>
      <c r="S9" s="174">
        <f>AG9</f>
        <v/>
      </c>
      <c r="T9" s="174">
        <f>AI9+Q9+P9</f>
        <v/>
      </c>
      <c r="U9" s="175">
        <f>P9+Q9+(S9-(S9*($V$1/100)))</f>
        <v/>
      </c>
      <c r="V9" s="174">
        <f>T9-U9</f>
        <v/>
      </c>
      <c r="W9" s="211">
        <f>((D9*0.6)/11.664)*Prices!$A$4+E9*38000+F9*51900+G9*60900+K9*600</f>
        <v/>
      </c>
      <c r="X9" s="26" t="n"/>
      <c r="Y9" s="26" t="n"/>
      <c r="Z9" s="26" t="n"/>
      <c r="AA9" s="26" t="n"/>
      <c r="AD9" s="0">
        <f>SUM(Y9,AA9,AC9)</f>
        <v/>
      </c>
      <c r="AE9" s="0">
        <f>X9*Y9+Z9*AA9+AB9*AC9</f>
        <v/>
      </c>
      <c r="AF9" s="0">
        <f>TEXTJOIN(", ",TRUE,IF(AND(X9&gt;0,Y9&gt;0),TEXT(X9,"0.00")&amp;"ct x "&amp;Y9,""),IF(AND(Z9&gt;0,AA9&gt;0),TEXT(Z9,"0.00")&amp;"ct x "&amp;AA9,""),IF(AND(AB9&gt;0,AC9&gt;0),TEXT(AB9,"0.00")&amp;"ct x "&amp;AC9,""))</f>
        <v/>
      </c>
      <c r="AG9" s="0">
        <f>X9*Y9*SUMIFS($AM$2:$AM$11,$AK$2:$AK$11,"&lt;="&amp;X9,$AL$2:$AL$11,"&gt;="&amp;X9)+Z9*AA9*SUMIFS($AM$2:$AM$11,$AK$2:$AK$11,"&lt;="&amp;Z9,$AL$2:$AL$11,"&gt;="&amp;Z9)+AB9*AC9*SUMIFS($AM$2:$AM$11,$AK$2:$AK$11,"&lt;="&amp;AB9,$AL$2:$AL$11,"&gt;="&amp;AB9)</f>
        <v/>
      </c>
      <c r="AH9" s="0">
        <f>AG9*(1-40%)</f>
        <v/>
      </c>
      <c r="AI9" s="0">
        <f>AH9*1.2</f>
        <v/>
      </c>
      <c r="AK9" s="0" t="n">
        <v>0.44</v>
      </c>
      <c r="AL9" s="0" t="n">
        <v>0.65</v>
      </c>
      <c r="AM9" s="0" t="n">
        <v>140000</v>
      </c>
    </row>
    <row r="10" ht="15" customHeight="1" s="220">
      <c r="A10" s="26" t="n"/>
      <c r="B10" s="169" t="n"/>
      <c r="C10" s="169">
        <f>B10*(25/100)</f>
        <v/>
      </c>
      <c r="D10" s="26">
        <f>C10+B10</f>
        <v/>
      </c>
      <c r="E10" s="26" t="n"/>
      <c r="F10" s="26" t="n"/>
      <c r="G10" s="26" t="n"/>
      <c r="H10" s="26" t="n"/>
      <c r="I10" s="26" t="n"/>
      <c r="J10" s="26" t="n"/>
      <c r="K10" s="26" t="n"/>
      <c r="L10" s="174">
        <f>E10*Prices!B$2</f>
        <v/>
      </c>
      <c r="M10" s="174">
        <f>F10*180000</f>
        <v/>
      </c>
      <c r="N10" s="174">
        <f>G10*375000</f>
        <v/>
      </c>
      <c r="O10" s="174">
        <f>H10*Prices!E$2</f>
        <v/>
      </c>
      <c r="P10" s="174">
        <f>I10*5000+J10*14000+K10*1800</f>
        <v/>
      </c>
      <c r="Q10" s="174">
        <f>D10*Prices!$A$2</f>
        <v/>
      </c>
      <c r="R10" s="174">
        <f>Q10*0.02</f>
        <v/>
      </c>
      <c r="S10" s="174">
        <f>AG10</f>
        <v/>
      </c>
      <c r="T10" s="174">
        <f>AI10+Q10+P10</f>
        <v/>
      </c>
      <c r="U10" s="175">
        <f>P10+Q10+(S10-(S10*($V$1/100)))</f>
        <v/>
      </c>
      <c r="V10" s="174">
        <f>T10-U10</f>
        <v/>
      </c>
      <c r="W10" s="211">
        <f>((D10*0.6)/11.664)*Prices!$A$4+E10*38000+F10*51900+G10*60900+K10*600</f>
        <v/>
      </c>
      <c r="X10" s="26" t="n"/>
      <c r="Y10" s="26" t="n"/>
      <c r="Z10" s="26" t="n"/>
      <c r="AA10" s="26" t="n"/>
      <c r="AD10" s="0">
        <f>SUM(Y10,AA10,AC10)</f>
        <v/>
      </c>
      <c r="AE10" s="0">
        <f>X10*Y10+Z10*AA10+AB10*AC10</f>
        <v/>
      </c>
      <c r="AF10" s="0">
        <f>TEXTJOIN(", ",TRUE,IF(AND(X10&gt;0,Y10&gt;0),TEXT(X10,"0.00")&amp;"ct x "&amp;Y10,""),IF(AND(Z10&gt;0,AA10&gt;0),TEXT(Z10,"0.00")&amp;"ct x "&amp;AA10,""),IF(AND(AB10&gt;0,AC10&gt;0),TEXT(AB10,"0.00")&amp;"ct x "&amp;AC10,""))</f>
        <v/>
      </c>
      <c r="AG10" s="0">
        <f>X10*Y10*SUMIFS($AM$2:$AM$11,$AK$2:$AK$11,"&lt;="&amp;X10,$AL$2:$AL$11,"&gt;="&amp;X10)+Z10*AA10*SUMIFS($AM$2:$AM$11,$AK$2:$AK$11,"&lt;="&amp;Z10,$AL$2:$AL$11,"&gt;="&amp;Z10)+AB10*AC10*SUMIFS($AM$2:$AM$11,$AK$2:$AK$11,"&lt;="&amp;AB10,$AL$2:$AL$11,"&gt;="&amp;AB10)</f>
        <v/>
      </c>
      <c r="AH10" s="0">
        <f>AG10*(1-40%)</f>
        <v/>
      </c>
      <c r="AI10" s="0">
        <f>AH10*1.2</f>
        <v/>
      </c>
      <c r="AK10" s="0" t="n">
        <v>0.66</v>
      </c>
      <c r="AL10" s="0" t="n">
        <v>0.8</v>
      </c>
      <c r="AM10" s="0" t="n">
        <v>184000</v>
      </c>
    </row>
    <row r="11" ht="15" customHeight="1" s="220">
      <c r="A11" s="26" t="n"/>
      <c r="B11" s="169" t="n"/>
      <c r="C11" s="169">
        <f>B11*(25/100)</f>
        <v/>
      </c>
      <c r="D11" s="26">
        <f>C11+B11</f>
        <v/>
      </c>
      <c r="E11" s="26" t="n"/>
      <c r="F11" s="26" t="n"/>
      <c r="G11" s="26" t="n"/>
      <c r="H11" s="26" t="n"/>
      <c r="I11" s="26" t="n"/>
      <c r="J11" s="26" t="n"/>
      <c r="K11" s="26" t="n"/>
      <c r="L11" s="174">
        <f>E11*Prices!B$2</f>
        <v/>
      </c>
      <c r="M11" s="174">
        <f>F11*180000</f>
        <v/>
      </c>
      <c r="N11" s="174">
        <f>G11*375000</f>
        <v/>
      </c>
      <c r="O11" s="174">
        <f>H11*Prices!E$2</f>
        <v/>
      </c>
      <c r="P11" s="174">
        <f>I11*5000+J11*14000+K11*1800</f>
        <v/>
      </c>
      <c r="Q11" s="174">
        <f>D11*Prices!$A$2</f>
        <v/>
      </c>
      <c r="R11" s="174">
        <f>Q11*0.02</f>
        <v/>
      </c>
      <c r="S11" s="174">
        <f>AG11</f>
        <v/>
      </c>
      <c r="T11" s="174">
        <f>AI11+Q11+P11</f>
        <v/>
      </c>
      <c r="U11" s="175">
        <f>P11+Q11+(S11-(S11*($V$1/100)))</f>
        <v/>
      </c>
      <c r="V11" s="174">
        <f>T11-U11</f>
        <v/>
      </c>
      <c r="W11" s="211">
        <f>((D11*0.6)/11.664)*Prices!$A$4+E11*38000+F11*51900+G11*60900+K11*600</f>
        <v/>
      </c>
      <c r="X11" s="26" t="n"/>
      <c r="Y11" s="26" t="n"/>
      <c r="Z11" s="26" t="n"/>
      <c r="AA11" s="26" t="n"/>
      <c r="AD11" s="0">
        <f>SUM(Y11,AA11,AC11)</f>
        <v/>
      </c>
      <c r="AE11" s="0">
        <f>X11*Y11+Z11*AA11+AB11*AC11</f>
        <v/>
      </c>
      <c r="AF11" s="0">
        <f>TEXTJOIN(", ",TRUE,IF(AND(X11&gt;0,Y11&gt;0),TEXT(X11,"0.00")&amp;"ct x "&amp;Y11,""),IF(AND(Z11&gt;0,AA11&gt;0),TEXT(Z11,"0.00")&amp;"ct x "&amp;AA11,""),IF(AND(AB11&gt;0,AC11&gt;0),TEXT(AB11,"0.00")&amp;"ct x "&amp;AC11,""))</f>
        <v/>
      </c>
      <c r="AG11" s="0">
        <f>X11*Y11*SUMIFS($AM$2:$AM$11,$AK$2:$AK$11,"&lt;="&amp;X11,$AL$2:$AL$11,"&gt;="&amp;X11)+Z11*AA11*SUMIFS($AM$2:$AM$11,$AK$2:$AK$11,"&lt;="&amp;Z11,$AL$2:$AL$11,"&gt;="&amp;Z11)+AB11*AC11*SUMIFS($AM$2:$AM$11,$AK$2:$AK$11,"&lt;="&amp;AB11,$AL$2:$AL$11,"&gt;="&amp;AB11)</f>
        <v/>
      </c>
      <c r="AH11" s="0">
        <f>AG11*(1-40%)</f>
        <v/>
      </c>
      <c r="AI11" s="0">
        <f>AH11*1.2</f>
        <v/>
      </c>
      <c r="AK11" s="0" t="n">
        <v>0.8</v>
      </c>
      <c r="AL11" s="0" t="n">
        <v>0.99</v>
      </c>
      <c r="AM11" s="0" t="n">
        <v>250000</v>
      </c>
    </row>
    <row r="12" ht="15" customHeight="1" s="220">
      <c r="A12" s="26" t="n"/>
      <c r="B12" s="169" t="n"/>
      <c r="C12" s="169">
        <f>B12*(25/100)</f>
        <v/>
      </c>
      <c r="D12" s="26">
        <f>C12+B12</f>
        <v/>
      </c>
      <c r="E12" s="26" t="n"/>
      <c r="F12" s="26" t="n"/>
      <c r="G12" s="26" t="n"/>
      <c r="H12" s="26" t="n"/>
      <c r="I12" s="26" t="n"/>
      <c r="J12" s="26" t="n"/>
      <c r="K12" s="26" t="n"/>
      <c r="L12" s="174">
        <f>E12*Prices!B$2</f>
        <v/>
      </c>
      <c r="M12" s="174">
        <f>F12*180000</f>
        <v/>
      </c>
      <c r="N12" s="174">
        <f>G12*375000</f>
        <v/>
      </c>
      <c r="O12" s="174">
        <f>H12*Prices!E$2</f>
        <v/>
      </c>
      <c r="P12" s="174">
        <f>I12*5000+J12*14000+K12*1800</f>
        <v/>
      </c>
      <c r="Q12" s="174">
        <f>D12*Prices!$A$2</f>
        <v/>
      </c>
      <c r="R12" s="174">
        <f>Q12*0.02</f>
        <v/>
      </c>
      <c r="S12" s="174">
        <f>AG12</f>
        <v/>
      </c>
      <c r="T12" s="174">
        <f>AI12+Q12+P12</f>
        <v/>
      </c>
      <c r="U12" s="175">
        <f>P12+Q12+(S12-(S12*($V$1/100)))</f>
        <v/>
      </c>
      <c r="V12" s="174">
        <f>T12-U12</f>
        <v/>
      </c>
      <c r="W12" s="211">
        <f>((D12*0.6)/11.664)*Prices!$A$4+E12*38000+F12*51900+G12*60900+K12*600</f>
        <v/>
      </c>
      <c r="X12" s="26" t="n"/>
      <c r="Y12" s="26" t="n"/>
      <c r="Z12" s="26" t="n"/>
      <c r="AA12" s="26" t="n"/>
      <c r="AD12" s="0">
        <f>SUM(Y12,AA12,AC12)</f>
        <v/>
      </c>
      <c r="AE12" s="0">
        <f>X12*Y12+Z12*AA12+AB12*AC12</f>
        <v/>
      </c>
      <c r="AF12" s="0">
        <f>TEXTJOIN(", ",TRUE,IF(AND(X12&gt;0,Y12&gt;0),TEXT(X12,"0.00")&amp;"ct x "&amp;Y12,""),IF(AND(Z12&gt;0,AA12&gt;0),TEXT(Z12,"0.00")&amp;"ct x "&amp;AA12,""),IF(AND(AB12&gt;0,AC12&gt;0),TEXT(AB12,"0.00")&amp;"ct x "&amp;AC12,""))</f>
        <v/>
      </c>
      <c r="AG12" s="0">
        <f>X12*Y12*SUMIFS($AM$2:$AM$11,$AK$2:$AK$11,"&lt;="&amp;X12,$AL$2:$AL$11,"&gt;="&amp;X12)+Z12*AA12*SUMIFS($AM$2:$AM$11,$AK$2:$AK$11,"&lt;="&amp;Z12,$AL$2:$AL$11,"&gt;="&amp;Z12)+AB12*AC12*SUMIFS($AM$2:$AM$11,$AK$2:$AK$11,"&lt;="&amp;AB12,$AL$2:$AL$11,"&gt;="&amp;AB12)</f>
        <v/>
      </c>
      <c r="AH12" s="0">
        <f>AG12*(1-40%)</f>
        <v/>
      </c>
      <c r="AI12" s="0">
        <f>AH12*1.2</f>
        <v/>
      </c>
    </row>
    <row r="13" ht="15" customHeight="1" s="220">
      <c r="A13" s="26" t="n"/>
      <c r="B13" s="169" t="n"/>
      <c r="C13" s="169">
        <f>B13*(25/100)</f>
        <v/>
      </c>
      <c r="D13" s="26">
        <f>C13+B13</f>
        <v/>
      </c>
      <c r="E13" s="26" t="n"/>
      <c r="F13" s="26" t="n"/>
      <c r="G13" s="26" t="n"/>
      <c r="H13" s="26" t="n"/>
      <c r="I13" s="26" t="n"/>
      <c r="J13" s="26" t="n"/>
      <c r="K13" s="26" t="n"/>
      <c r="L13" s="174">
        <f>E13*Prices!B$2</f>
        <v/>
      </c>
      <c r="M13" s="174">
        <f>F13*180000</f>
        <v/>
      </c>
      <c r="N13" s="174">
        <f>G13*375000</f>
        <v/>
      </c>
      <c r="O13" s="174">
        <f>H13*Prices!E$2</f>
        <v/>
      </c>
      <c r="P13" s="174">
        <f>I13*5000+J13*14000+K13*1800</f>
        <v/>
      </c>
      <c r="Q13" s="174">
        <f>D13*Prices!$A$2</f>
        <v/>
      </c>
      <c r="R13" s="174">
        <f>Q13*0.02</f>
        <v/>
      </c>
      <c r="S13" s="174">
        <f>AG13</f>
        <v/>
      </c>
      <c r="T13" s="174">
        <f>AI13+Q13+P13</f>
        <v/>
      </c>
      <c r="U13" s="175">
        <f>P13+Q13+(S13-(S13*($V$1/100)))</f>
        <v/>
      </c>
      <c r="V13" s="174">
        <f>T13-U13</f>
        <v/>
      </c>
      <c r="W13" s="211">
        <f>((D13*0.6)/11.664)*Prices!$A$4+E13*38000+F13*51900+G13*60900+K13*600</f>
        <v/>
      </c>
      <c r="X13" s="26" t="n"/>
      <c r="Y13" s="26" t="n"/>
      <c r="Z13" s="26" t="n"/>
      <c r="AA13" s="26" t="n"/>
      <c r="AD13" s="0">
        <f>SUM(Y13,AA13,AC13)</f>
        <v/>
      </c>
      <c r="AE13" s="0">
        <f>X13*Y13+Z13*AA13+AB13*AC13</f>
        <v/>
      </c>
      <c r="AF13" s="0">
        <f>TEXTJOIN(", ",TRUE,IF(AND(X13&gt;0,Y13&gt;0),TEXT(X13,"0.00")&amp;"ct x "&amp;Y13,""),IF(AND(Z13&gt;0,AA13&gt;0),TEXT(Z13,"0.00")&amp;"ct x "&amp;AA13,""),IF(AND(AB13&gt;0,AC13&gt;0),TEXT(AB13,"0.00")&amp;"ct x "&amp;AC13,""))</f>
        <v/>
      </c>
      <c r="AG13" s="0">
        <f>X13*Y13*SUMIFS($AM$2:$AM$11,$AK$2:$AK$11,"&lt;="&amp;X13,$AL$2:$AL$11,"&gt;="&amp;X13)+Z13*AA13*SUMIFS($AM$2:$AM$11,$AK$2:$AK$11,"&lt;="&amp;Z13,$AL$2:$AL$11,"&gt;="&amp;Z13)+AB13*AC13*SUMIFS($AM$2:$AM$11,$AK$2:$AK$11,"&lt;="&amp;AB13,$AL$2:$AL$11,"&gt;="&amp;AB13)</f>
        <v/>
      </c>
      <c r="AH13" s="0">
        <f>AG13*(1-40%)</f>
        <v/>
      </c>
      <c r="AI13" s="0">
        <f>AH13*1.2</f>
        <v/>
      </c>
    </row>
    <row r="14" ht="15" customHeight="1" s="220">
      <c r="A14" s="26" t="n"/>
      <c r="B14" s="169" t="n"/>
      <c r="C14" s="169">
        <f>B14*(25/100)</f>
        <v/>
      </c>
      <c r="D14" s="26">
        <f>C14+B14</f>
        <v/>
      </c>
      <c r="E14" s="26" t="n"/>
      <c r="F14" s="26" t="n"/>
      <c r="G14" s="26" t="n"/>
      <c r="H14" s="26" t="n"/>
      <c r="I14" s="26" t="n"/>
      <c r="J14" s="26" t="n"/>
      <c r="K14" s="26" t="n"/>
      <c r="L14" s="174">
        <f>E14*Prices!B$2</f>
        <v/>
      </c>
      <c r="M14" s="174">
        <f>F14*180000</f>
        <v/>
      </c>
      <c r="N14" s="174">
        <f>G14*375000</f>
        <v/>
      </c>
      <c r="O14" s="174">
        <f>H14*Prices!E$2</f>
        <v/>
      </c>
      <c r="P14" s="174">
        <f>I14*5000+J14*14000+K14*1800</f>
        <v/>
      </c>
      <c r="Q14" s="174">
        <f>D14*Prices!$A$2</f>
        <v/>
      </c>
      <c r="R14" s="174">
        <f>Q14*0.02</f>
        <v/>
      </c>
      <c r="S14" s="174">
        <f>AG14</f>
        <v/>
      </c>
      <c r="T14" s="174">
        <f>AI14+Q14+P14</f>
        <v/>
      </c>
      <c r="U14" s="175">
        <f>P14+Q14+(S14-(S14*($V$1/100)))</f>
        <v/>
      </c>
      <c r="V14" s="174">
        <f>T14-U14</f>
        <v/>
      </c>
      <c r="W14" s="211">
        <f>((D14*0.6)/11.664)*Prices!$A$4+E14*38000+F14*51900+G14*60900+K14*600</f>
        <v/>
      </c>
      <c r="X14" s="26" t="n"/>
      <c r="Y14" s="26" t="n"/>
      <c r="Z14" s="26" t="n"/>
      <c r="AA14" s="26" t="n"/>
      <c r="AD14" s="0">
        <f>SUM(Y14,AA14,AC14)</f>
        <v/>
      </c>
      <c r="AE14" s="0">
        <f>X14*Y14+Z14*AA14+AB14*AC14</f>
        <v/>
      </c>
      <c r="AF14" s="0">
        <f>TEXTJOIN(", ",TRUE,IF(AND(X14&gt;0,Y14&gt;0),TEXT(X14,"0.00")&amp;"ct x "&amp;Y14,""),IF(AND(Z14&gt;0,AA14&gt;0),TEXT(Z14,"0.00")&amp;"ct x "&amp;AA14,""),IF(AND(AB14&gt;0,AC14&gt;0),TEXT(AB14,"0.00")&amp;"ct x "&amp;AC14,""))</f>
        <v/>
      </c>
      <c r="AG14" s="0">
        <f>X14*Y14*SUMIFS($AM$2:$AM$11,$AK$2:$AK$11,"&lt;="&amp;X14,$AL$2:$AL$11,"&gt;="&amp;X14)+Z14*AA14*SUMIFS($AM$2:$AM$11,$AK$2:$AK$11,"&lt;="&amp;Z14,$AL$2:$AL$11,"&gt;="&amp;Z14)+AB14*AC14*SUMIFS($AM$2:$AM$11,$AK$2:$AK$11,"&lt;="&amp;AB14,$AL$2:$AL$11,"&gt;="&amp;AB14)</f>
        <v/>
      </c>
      <c r="AH14" s="0">
        <f>AG14*(1-40%)</f>
        <v/>
      </c>
      <c r="AI14" s="0">
        <f>AH14*1.2</f>
        <v/>
      </c>
    </row>
    <row r="15" ht="15" customHeight="1" s="220">
      <c r="A15" s="26" t="n"/>
      <c r="B15" s="169" t="n"/>
      <c r="C15" s="169">
        <f>B15*(25/100)</f>
        <v/>
      </c>
      <c r="D15" s="26">
        <f>C15+B15</f>
        <v/>
      </c>
      <c r="E15" s="26" t="n"/>
      <c r="F15" s="26" t="n"/>
      <c r="G15" s="26" t="n"/>
      <c r="H15" s="26" t="n"/>
      <c r="I15" s="26" t="n"/>
      <c r="J15" s="26" t="n"/>
      <c r="K15" s="26" t="n"/>
      <c r="L15" s="174">
        <f>E15*Prices!B$2</f>
        <v/>
      </c>
      <c r="M15" s="174">
        <f>F15*180000</f>
        <v/>
      </c>
      <c r="N15" s="174">
        <f>G15*375000</f>
        <v/>
      </c>
      <c r="O15" s="174">
        <f>H15*Prices!E$2</f>
        <v/>
      </c>
      <c r="P15" s="174">
        <f>I15*5000+J15*14000+K15*1800</f>
        <v/>
      </c>
      <c r="Q15" s="174">
        <f>D15*Prices!$A$2</f>
        <v/>
      </c>
      <c r="R15" s="174">
        <f>Q15*0.02</f>
        <v/>
      </c>
      <c r="S15" s="174">
        <f>AG15</f>
        <v/>
      </c>
      <c r="T15" s="174">
        <f>AI15+Q15+P15</f>
        <v/>
      </c>
      <c r="U15" s="175">
        <f>P15+Q15+(S15-(S15*($V$1/100)))</f>
        <v/>
      </c>
      <c r="V15" s="174">
        <f>T15-U15</f>
        <v/>
      </c>
      <c r="W15" s="211">
        <f>((D15*0.6)/11.664)*Prices!$A$4+E15*38000+F15*51900+G15*60900+K15*600</f>
        <v/>
      </c>
      <c r="X15" s="26" t="n"/>
      <c r="Y15" s="26" t="n"/>
      <c r="Z15" s="26" t="n"/>
      <c r="AA15" s="26" t="n"/>
      <c r="AD15" s="0">
        <f>SUM(Y15,AA15,AC15)</f>
        <v/>
      </c>
      <c r="AE15" s="0">
        <f>X15*Y15+Z15*AA15+AB15*AC15</f>
        <v/>
      </c>
      <c r="AF15" s="0">
        <f>TEXTJOIN(", ",TRUE,IF(AND(X15&gt;0,Y15&gt;0),TEXT(X15,"0.00")&amp;"ct x "&amp;Y15,""),IF(AND(Z15&gt;0,AA15&gt;0),TEXT(Z15,"0.00")&amp;"ct x "&amp;AA15,""),IF(AND(AB15&gt;0,AC15&gt;0),TEXT(AB15,"0.00")&amp;"ct x "&amp;AC15,""))</f>
        <v/>
      </c>
      <c r="AG15" s="0">
        <f>X15*Y15*SUMIFS($AM$2:$AM$11,$AK$2:$AK$11,"&lt;="&amp;X15,$AL$2:$AL$11,"&gt;="&amp;X15)+Z15*AA15*SUMIFS($AM$2:$AM$11,$AK$2:$AK$11,"&lt;="&amp;Z15,$AL$2:$AL$11,"&gt;="&amp;Z15)+AB15*AC15*SUMIFS($AM$2:$AM$11,$AK$2:$AK$11,"&lt;="&amp;AB15,$AL$2:$AL$11,"&gt;="&amp;AB15)</f>
        <v/>
      </c>
      <c r="AH15" s="0">
        <f>AG15*(1-40%)</f>
        <v/>
      </c>
      <c r="AI15" s="0">
        <f>AH15*1.2</f>
        <v/>
      </c>
    </row>
    <row r="16" ht="15" customHeight="1" s="220">
      <c r="A16" s="26" t="n"/>
      <c r="B16" s="169" t="n"/>
      <c r="C16" s="169">
        <f>B16*(25/100)</f>
        <v/>
      </c>
      <c r="D16" s="26">
        <f>C16+B16</f>
        <v/>
      </c>
      <c r="E16" s="26" t="n"/>
      <c r="F16" s="26" t="n"/>
      <c r="G16" s="26" t="n"/>
      <c r="H16" s="26" t="n"/>
      <c r="I16" s="26" t="n"/>
      <c r="J16" s="26" t="n"/>
      <c r="K16" s="26" t="n"/>
      <c r="L16" s="174">
        <f>E16*Prices!B$2</f>
        <v/>
      </c>
      <c r="M16" s="174">
        <f>F16*180000</f>
        <v/>
      </c>
      <c r="N16" s="174">
        <f>G16*375000</f>
        <v/>
      </c>
      <c r="O16" s="174">
        <f>H16*Prices!E$2</f>
        <v/>
      </c>
      <c r="P16" s="174">
        <f>I16*5000+J16*14000+K16*1800</f>
        <v/>
      </c>
      <c r="Q16" s="174">
        <f>D16*Prices!$A$2</f>
        <v/>
      </c>
      <c r="R16" s="174">
        <f>Q16*0.02</f>
        <v/>
      </c>
      <c r="S16" s="174">
        <f>AG16</f>
        <v/>
      </c>
      <c r="T16" s="174">
        <f>AI16+Q16+P16</f>
        <v/>
      </c>
      <c r="U16" s="175">
        <f>P16+Q16+(S16-(S16*($V$1/100)))</f>
        <v/>
      </c>
      <c r="V16" s="174">
        <f>T16-U16</f>
        <v/>
      </c>
      <c r="W16" s="211">
        <f>((D16*0.6)/11.664)*Prices!$A$4+E16*38000+F16*51900+G16*60900+K16*600</f>
        <v/>
      </c>
      <c r="X16" s="26" t="n"/>
      <c r="Y16" s="26" t="n"/>
      <c r="Z16" s="26" t="n"/>
      <c r="AA16" s="26" t="n"/>
      <c r="AD16" s="0">
        <f>SUM(Y16,AA16,AC16)</f>
        <v/>
      </c>
      <c r="AE16" s="0">
        <f>X16*Y16+Z16*AA16+AB16*AC16</f>
        <v/>
      </c>
      <c r="AF16" s="0">
        <f>TEXTJOIN(", ",TRUE,IF(AND(X16&gt;0,Y16&gt;0),TEXT(X16,"0.00")&amp;"ct x "&amp;Y16,""),IF(AND(Z16&gt;0,AA16&gt;0),TEXT(Z16,"0.00")&amp;"ct x "&amp;AA16,""),IF(AND(AB16&gt;0,AC16&gt;0),TEXT(AB16,"0.00")&amp;"ct x "&amp;AC16,""))</f>
        <v/>
      </c>
      <c r="AG16" s="0">
        <f>X16*Y16*SUMIFS($AM$2:$AM$11,$AK$2:$AK$11,"&lt;="&amp;X16,$AL$2:$AL$11,"&gt;="&amp;X16)+Z16*AA16*SUMIFS($AM$2:$AM$11,$AK$2:$AK$11,"&lt;="&amp;Z16,$AL$2:$AL$11,"&gt;="&amp;Z16)+AB16*AC16*SUMIFS($AM$2:$AM$11,$AK$2:$AK$11,"&lt;="&amp;AB16,$AL$2:$AL$11,"&gt;="&amp;AB16)</f>
        <v/>
      </c>
      <c r="AH16" s="0">
        <f>AG16*(1-40%)</f>
        <v/>
      </c>
      <c r="AI16" s="0">
        <f>AH16*1.2</f>
        <v/>
      </c>
    </row>
    <row r="17" ht="15" customHeight="1" s="220">
      <c r="A17" s="26" t="n"/>
      <c r="B17" s="169" t="n"/>
      <c r="C17" s="169">
        <f>B17*(25/100)</f>
        <v/>
      </c>
      <c r="D17" s="26">
        <f>C17+B17</f>
        <v/>
      </c>
      <c r="E17" s="26" t="n"/>
      <c r="F17" s="26" t="n"/>
      <c r="G17" s="26" t="n"/>
      <c r="H17" s="26" t="n"/>
      <c r="I17" s="26" t="n"/>
      <c r="J17" s="26" t="n"/>
      <c r="K17" s="26" t="n"/>
      <c r="L17" s="174">
        <f>E17*Prices!B$2</f>
        <v/>
      </c>
      <c r="M17" s="174">
        <f>F17*180000</f>
        <v/>
      </c>
      <c r="N17" s="174">
        <f>G17*375000</f>
        <v/>
      </c>
      <c r="O17" s="174">
        <f>H17*Prices!E$2</f>
        <v/>
      </c>
      <c r="P17" s="174">
        <f>I17*5000+J17*14000+K17*1800</f>
        <v/>
      </c>
      <c r="Q17" s="174">
        <f>D17*Prices!$A$2</f>
        <v/>
      </c>
      <c r="R17" s="174">
        <f>Q17*0.02</f>
        <v/>
      </c>
      <c r="S17" s="174">
        <f>AG17</f>
        <v/>
      </c>
      <c r="T17" s="174">
        <f>AI17+Q17+P17</f>
        <v/>
      </c>
      <c r="U17" s="175">
        <f>P17+Q17+(S17-(S17*($V$1/100)))</f>
        <v/>
      </c>
      <c r="V17" s="174">
        <f>T17-U17</f>
        <v/>
      </c>
      <c r="W17" s="211">
        <f>((D17*0.6)/11.664)*Prices!$A$4+E17*38000+F17*51900+G17*60900+K17*600</f>
        <v/>
      </c>
      <c r="X17" s="26" t="n"/>
      <c r="Y17" s="26" t="n"/>
      <c r="Z17" s="26" t="n"/>
      <c r="AA17" s="26" t="n"/>
      <c r="AD17" s="0">
        <f>SUM(Y17,AA17,AC17)</f>
        <v/>
      </c>
      <c r="AE17" s="0">
        <f>X17*Y17+Z17*AA17+AB17*AC17</f>
        <v/>
      </c>
      <c r="AF17" s="0">
        <f>TEXTJOIN(", ",TRUE,IF(AND(X17&gt;0,Y17&gt;0),TEXT(X17,"0.00")&amp;"ct x "&amp;Y17,""),IF(AND(Z17&gt;0,AA17&gt;0),TEXT(Z17,"0.00")&amp;"ct x "&amp;AA17,""),IF(AND(AB17&gt;0,AC17&gt;0),TEXT(AB17,"0.00")&amp;"ct x "&amp;AC17,""))</f>
        <v/>
      </c>
      <c r="AG17" s="0">
        <f>X17*Y17*SUMIFS($AM$2:$AM$11,$AK$2:$AK$11,"&lt;="&amp;X17,$AL$2:$AL$11,"&gt;="&amp;X17)+Z17*AA17*SUMIFS($AM$2:$AM$11,$AK$2:$AK$11,"&lt;="&amp;Z17,$AL$2:$AL$11,"&gt;="&amp;Z17)+AB17*AC17*SUMIFS($AM$2:$AM$11,$AK$2:$AK$11,"&lt;="&amp;AB17,$AL$2:$AL$11,"&gt;="&amp;AB17)</f>
        <v/>
      </c>
      <c r="AH17" s="0">
        <f>AG17*(1-40%)</f>
        <v/>
      </c>
      <c r="AI17" s="0">
        <f>AH17*1.2</f>
        <v/>
      </c>
    </row>
    <row r="18" ht="15" customHeight="1" s="220">
      <c r="A18" s="26" t="n"/>
      <c r="B18" s="169" t="n"/>
      <c r="C18" s="169">
        <f>B18*(25/100)</f>
        <v/>
      </c>
      <c r="D18" s="26">
        <f>C18+B18</f>
        <v/>
      </c>
      <c r="E18" s="26" t="n"/>
      <c r="F18" s="26" t="n"/>
      <c r="G18" s="26" t="n"/>
      <c r="H18" s="26" t="n"/>
      <c r="I18" s="26" t="n"/>
      <c r="J18" s="26" t="n"/>
      <c r="K18" s="26" t="n"/>
      <c r="L18" s="174">
        <f>E18*Prices!B$2</f>
        <v/>
      </c>
      <c r="M18" s="174">
        <f>F18*180000</f>
        <v/>
      </c>
      <c r="N18" s="174">
        <f>G18*375000</f>
        <v/>
      </c>
      <c r="O18" s="174">
        <f>H18*Prices!E$2</f>
        <v/>
      </c>
      <c r="P18" s="174">
        <f>I18*5000+J18*14000+K18*1800</f>
        <v/>
      </c>
      <c r="Q18" s="174">
        <f>D18*Prices!$A$2</f>
        <v/>
      </c>
      <c r="R18" s="174">
        <f>Q18*0.02</f>
        <v/>
      </c>
      <c r="S18" s="174">
        <f>AG18</f>
        <v/>
      </c>
      <c r="T18" s="174">
        <f>AI18+Q18+P18</f>
        <v/>
      </c>
      <c r="U18" s="175">
        <f>P18+Q18+(S18-(S18*($V$1/100)))</f>
        <v/>
      </c>
      <c r="V18" s="174">
        <f>T18-U18</f>
        <v/>
      </c>
      <c r="W18" s="211">
        <f>((D18*0.6)/11.664)*Prices!$A$4+E18*38000+F18*51900+G18*60900+K18*600</f>
        <v/>
      </c>
      <c r="X18" s="26" t="n"/>
      <c r="Y18" s="26" t="n"/>
      <c r="Z18" s="26" t="n"/>
      <c r="AA18" s="26" t="n"/>
      <c r="AD18" s="0">
        <f>SUM(Y18,AA18,AC18)</f>
        <v/>
      </c>
      <c r="AE18" s="0">
        <f>X18*Y18+Z18*AA18+AB18*AC18</f>
        <v/>
      </c>
      <c r="AF18" s="0">
        <f>TEXTJOIN(", ",TRUE,IF(AND(X18&gt;0,Y18&gt;0),TEXT(X18,"0.00")&amp;"ct x "&amp;Y18,""),IF(AND(Z18&gt;0,AA18&gt;0),TEXT(Z18,"0.00")&amp;"ct x "&amp;AA18,""),IF(AND(AB18&gt;0,AC18&gt;0),TEXT(AB18,"0.00")&amp;"ct x "&amp;AC18,""))</f>
        <v/>
      </c>
      <c r="AG18" s="0">
        <f>X18*Y18*SUMIFS($AM$2:$AM$11,$AK$2:$AK$11,"&lt;="&amp;X18,$AL$2:$AL$11,"&gt;="&amp;X18)+Z18*AA18*SUMIFS($AM$2:$AM$11,$AK$2:$AK$11,"&lt;="&amp;Z18,$AL$2:$AL$11,"&gt;="&amp;Z18)+AB18*AC18*SUMIFS($AM$2:$AM$11,$AK$2:$AK$11,"&lt;="&amp;AB18,$AL$2:$AL$11,"&gt;="&amp;AB18)</f>
        <v/>
      </c>
      <c r="AH18" s="0">
        <f>AG18*(1-40%)</f>
        <v/>
      </c>
      <c r="AI18" s="0">
        <f>AH18*1.2</f>
        <v/>
      </c>
    </row>
    <row r="19" ht="15" customHeight="1" s="220">
      <c r="A19" s="26" t="n"/>
      <c r="B19" s="169" t="n"/>
      <c r="C19" s="169">
        <f>B19*(25/100)</f>
        <v/>
      </c>
      <c r="D19" s="26">
        <f>C19+B19</f>
        <v/>
      </c>
      <c r="E19" s="26" t="n"/>
      <c r="F19" s="26" t="n"/>
      <c r="G19" s="26" t="n"/>
      <c r="H19" s="26" t="n"/>
      <c r="I19" s="26" t="n"/>
      <c r="J19" s="26" t="n"/>
      <c r="K19" s="26" t="n"/>
      <c r="L19" s="174">
        <f>E19*Prices!B$2</f>
        <v/>
      </c>
      <c r="M19" s="174">
        <f>F19*180000</f>
        <v/>
      </c>
      <c r="N19" s="174">
        <f>G19*375000</f>
        <v/>
      </c>
      <c r="O19" s="174">
        <f>H19*Prices!E$2</f>
        <v/>
      </c>
      <c r="P19" s="174">
        <f>I19*5000+J19*14000+K19*1800</f>
        <v/>
      </c>
      <c r="Q19" s="174">
        <f>D19*Prices!$A$2</f>
        <v/>
      </c>
      <c r="R19" s="174">
        <f>Q19*0.02</f>
        <v/>
      </c>
      <c r="S19" s="174">
        <f>AG19</f>
        <v/>
      </c>
      <c r="T19" s="174">
        <f>AI19+Q19+P19</f>
        <v/>
      </c>
      <c r="U19" s="175">
        <f>P19+Q19+(S19-(S19*($V$1/100)))</f>
        <v/>
      </c>
      <c r="V19" s="174">
        <f>T19-U19</f>
        <v/>
      </c>
      <c r="W19" s="211">
        <f>((D19*0.6)/11.664)*Prices!$A$4+E19*38000+F19*51900+G19*60900+K19*600</f>
        <v/>
      </c>
      <c r="X19" s="26" t="n"/>
      <c r="Y19" s="26" t="n"/>
      <c r="Z19" s="26" t="n"/>
      <c r="AA19" s="26" t="n"/>
      <c r="AD19" s="0">
        <f>SUM(Y19,AA19,AC19)</f>
        <v/>
      </c>
      <c r="AE19" s="0">
        <f>X19*Y19+Z19*AA19+AB19*AC19</f>
        <v/>
      </c>
      <c r="AF19" s="0">
        <f>TEXTJOIN(", ",TRUE,IF(AND(X19&gt;0,Y19&gt;0),TEXT(X19,"0.00")&amp;"ct x "&amp;Y19,""),IF(AND(Z19&gt;0,AA19&gt;0),TEXT(Z19,"0.00")&amp;"ct x "&amp;AA19,""),IF(AND(AB19&gt;0,AC19&gt;0),TEXT(AB19,"0.00")&amp;"ct x "&amp;AC19,""))</f>
        <v/>
      </c>
      <c r="AG19" s="0">
        <f>X19*Y19*SUMIFS($AM$2:$AM$11,$AK$2:$AK$11,"&lt;="&amp;X19,$AL$2:$AL$11,"&gt;="&amp;X19)+Z19*AA19*SUMIFS($AM$2:$AM$11,$AK$2:$AK$11,"&lt;="&amp;Z19,$AL$2:$AL$11,"&gt;="&amp;Z19)+AB19*AC19*SUMIFS($AM$2:$AM$11,$AK$2:$AK$11,"&lt;="&amp;AB19,$AL$2:$AL$11,"&gt;="&amp;AB19)</f>
        <v/>
      </c>
      <c r="AH19" s="0">
        <f>AG19*(1-40%)</f>
        <v/>
      </c>
      <c r="AI19" s="0">
        <f>AH19*1.2</f>
        <v/>
      </c>
    </row>
    <row r="20" ht="15" customHeight="1" s="220">
      <c r="A20" s="26" t="n"/>
      <c r="B20" s="169" t="n"/>
      <c r="C20" s="169">
        <f>B20*(25/100)</f>
        <v/>
      </c>
      <c r="D20" s="26">
        <f>C20+B20</f>
        <v/>
      </c>
      <c r="E20" s="26" t="n"/>
      <c r="F20" s="26" t="n"/>
      <c r="G20" s="26" t="n"/>
      <c r="H20" s="26" t="n"/>
      <c r="I20" s="26" t="n"/>
      <c r="J20" s="26" t="n"/>
      <c r="K20" s="26" t="n"/>
      <c r="L20" s="174">
        <f>E20*Prices!B$2</f>
        <v/>
      </c>
      <c r="M20" s="174">
        <f>F20*180000</f>
        <v/>
      </c>
      <c r="N20" s="174">
        <f>G20*375000</f>
        <v/>
      </c>
      <c r="O20" s="174">
        <f>H20*Prices!E$2</f>
        <v/>
      </c>
      <c r="P20" s="174">
        <f>I20*5000+J20*14000+K20*1800</f>
        <v/>
      </c>
      <c r="Q20" s="174">
        <f>D20*Prices!$A$2</f>
        <v/>
      </c>
      <c r="R20" s="174">
        <f>Q20*0.02</f>
        <v/>
      </c>
      <c r="S20" s="174">
        <f>AG20</f>
        <v/>
      </c>
      <c r="T20" s="174">
        <f>AI20+Q20+P20</f>
        <v/>
      </c>
      <c r="U20" s="175">
        <f>P20+Q20+(S20-(S20*($V$1/100)))</f>
        <v/>
      </c>
      <c r="V20" s="174">
        <f>T20-U20</f>
        <v/>
      </c>
      <c r="W20" s="211">
        <f>((D20*0.6)/11.664)*Prices!$A$4+E20*38000+F20*51900+G20*60900+K20*600</f>
        <v/>
      </c>
      <c r="X20" s="26" t="n"/>
      <c r="Y20" s="26" t="n"/>
      <c r="Z20" s="26" t="n"/>
      <c r="AA20" s="26" t="n"/>
      <c r="AD20" s="0">
        <f>SUM(Y20,AA20,AC20)</f>
        <v/>
      </c>
      <c r="AE20" s="0">
        <f>X20*Y20+Z20*AA20+AB20*AC20</f>
        <v/>
      </c>
      <c r="AF20" s="0">
        <f>TEXTJOIN(", ",TRUE,IF(AND(X20&gt;0,Y20&gt;0),TEXT(X20,"0.00")&amp;"ct x "&amp;Y20,""),IF(AND(Z20&gt;0,AA20&gt;0),TEXT(Z20,"0.00")&amp;"ct x "&amp;AA20,""),IF(AND(AB20&gt;0,AC20&gt;0),TEXT(AB20,"0.00")&amp;"ct x "&amp;AC20,""))</f>
        <v/>
      </c>
      <c r="AG20" s="0">
        <f>X20*Y20*SUMIFS($AM$2:$AM$11,$AK$2:$AK$11,"&lt;="&amp;X20,$AL$2:$AL$11,"&gt;="&amp;X20)+Z20*AA20*SUMIFS($AM$2:$AM$11,$AK$2:$AK$11,"&lt;="&amp;Z20,$AL$2:$AL$11,"&gt;="&amp;Z20)+AB20*AC20*SUMIFS($AM$2:$AM$11,$AK$2:$AK$11,"&lt;="&amp;AB20,$AL$2:$AL$11,"&gt;="&amp;AB20)</f>
        <v/>
      </c>
      <c r="AH20" s="0">
        <f>AG20*(1-40%)</f>
        <v/>
      </c>
      <c r="AI20" s="0">
        <f>AH20*1.2</f>
        <v/>
      </c>
    </row>
    <row r="21" ht="15" customHeight="1" s="220">
      <c r="A21" s="26" t="n"/>
      <c r="B21" s="169" t="n"/>
      <c r="C21" s="169">
        <f>B21*(25/100)</f>
        <v/>
      </c>
      <c r="D21" s="26">
        <f>C21+B21</f>
        <v/>
      </c>
      <c r="E21" s="26" t="n"/>
      <c r="F21" s="26" t="n"/>
      <c r="G21" s="26" t="n"/>
      <c r="H21" s="26" t="n"/>
      <c r="I21" s="26" t="n"/>
      <c r="J21" s="26" t="n"/>
      <c r="K21" s="26" t="n"/>
      <c r="L21" s="174">
        <f>E21*Prices!B$2</f>
        <v/>
      </c>
      <c r="M21" s="174">
        <f>F21*180000</f>
        <v/>
      </c>
      <c r="N21" s="174">
        <f>G21*375000</f>
        <v/>
      </c>
      <c r="O21" s="174">
        <f>H21*Prices!E$2</f>
        <v/>
      </c>
      <c r="P21" s="174">
        <f>I21*5000+J21*14000+K21*1800</f>
        <v/>
      </c>
      <c r="Q21" s="174">
        <f>D21*Prices!$A$2</f>
        <v/>
      </c>
      <c r="R21" s="174">
        <f>Q21*0.02</f>
        <v/>
      </c>
      <c r="S21" s="174">
        <f>AG21</f>
        <v/>
      </c>
      <c r="T21" s="174">
        <f>AI21+Q21+P21</f>
        <v/>
      </c>
      <c r="U21" s="175">
        <f>P21+Q21+(S21-(S21*($V$1/100)))</f>
        <v/>
      </c>
      <c r="V21" s="174">
        <f>T21-U21</f>
        <v/>
      </c>
      <c r="W21" s="211">
        <f>((D21*0.6)/11.664)*Prices!$A$4+E21*38000+F21*51900+G21*60900+K21*600</f>
        <v/>
      </c>
      <c r="X21" s="26" t="n"/>
      <c r="Y21" s="26" t="n"/>
      <c r="Z21" s="26" t="n"/>
      <c r="AA21" s="26" t="n"/>
      <c r="AD21" s="0">
        <f>SUM(Y21,AA21,AC21)</f>
        <v/>
      </c>
      <c r="AE21" s="0">
        <f>X21*Y21+Z21*AA21+AB21*AC21</f>
        <v/>
      </c>
      <c r="AF21" s="0">
        <f>TEXTJOIN(", ",TRUE,IF(AND(X21&gt;0,Y21&gt;0),TEXT(X21,"0.00")&amp;"ct x "&amp;Y21,""),IF(AND(Z21&gt;0,AA21&gt;0),TEXT(Z21,"0.00")&amp;"ct x "&amp;AA21,""),IF(AND(AB21&gt;0,AC21&gt;0),TEXT(AB21,"0.00")&amp;"ct x "&amp;AC21,""))</f>
        <v/>
      </c>
      <c r="AG21" s="0">
        <f>X21*Y21*SUMIFS($AM$2:$AM$11,$AK$2:$AK$11,"&lt;="&amp;X21,$AL$2:$AL$11,"&gt;="&amp;X21)+Z21*AA21*SUMIFS($AM$2:$AM$11,$AK$2:$AK$11,"&lt;="&amp;Z21,$AL$2:$AL$11,"&gt;="&amp;Z21)+AB21*AC21*SUMIFS($AM$2:$AM$11,$AK$2:$AK$11,"&lt;="&amp;AB21,$AL$2:$AL$11,"&gt;="&amp;AB21)</f>
        <v/>
      </c>
      <c r="AH21" s="0">
        <f>AG21*(1-40%)</f>
        <v/>
      </c>
      <c r="AI21" s="0">
        <f>AH21*1.2</f>
        <v/>
      </c>
    </row>
    <row r="22" ht="15" customHeight="1" s="220">
      <c r="A22" s="26" t="n"/>
      <c r="B22" s="169" t="n"/>
      <c r="C22" s="169">
        <f>B22*(25/100)</f>
        <v/>
      </c>
      <c r="D22" s="26">
        <f>C22+B22</f>
        <v/>
      </c>
      <c r="E22" s="26" t="n"/>
      <c r="F22" s="26" t="n"/>
      <c r="G22" s="26" t="n"/>
      <c r="H22" s="26" t="n"/>
      <c r="I22" s="26" t="n"/>
      <c r="J22" s="26" t="n"/>
      <c r="K22" s="26" t="n"/>
      <c r="L22" s="174">
        <f>E22*Prices!B$2</f>
        <v/>
      </c>
      <c r="M22" s="174">
        <f>F22*180000</f>
        <v/>
      </c>
      <c r="N22" s="174">
        <f>G22*375000</f>
        <v/>
      </c>
      <c r="O22" s="174">
        <f>H22*Prices!E$2</f>
        <v/>
      </c>
      <c r="P22" s="174">
        <f>I22*5000+J22*14000+K22*1800</f>
        <v/>
      </c>
      <c r="Q22" s="174">
        <f>D22*Prices!$A$2</f>
        <v/>
      </c>
      <c r="R22" s="174">
        <f>Q22*0.02</f>
        <v/>
      </c>
      <c r="S22" s="174">
        <f>AG22</f>
        <v/>
      </c>
      <c r="T22" s="174">
        <f>AI22+Q22+P22</f>
        <v/>
      </c>
      <c r="U22" s="175">
        <f>P22+Q22+(S22-(S22*($V$1/100)))</f>
        <v/>
      </c>
      <c r="V22" s="174">
        <f>T22-U22</f>
        <v/>
      </c>
      <c r="W22" s="211">
        <f>((D22*0.6)/11.664)*Prices!$A$4+E22*38000+F22*51900+G22*60900+K22*600</f>
        <v/>
      </c>
      <c r="X22" s="26" t="n"/>
      <c r="Y22" s="26" t="n"/>
      <c r="Z22" s="26" t="n"/>
      <c r="AA22" s="26" t="n"/>
      <c r="AD22" s="0">
        <f>SUM(Y22,AA22,AC22)</f>
        <v/>
      </c>
      <c r="AE22" s="0">
        <f>X22*Y22+Z22*AA22+AB22*AC22</f>
        <v/>
      </c>
      <c r="AF22" s="0">
        <f>TEXTJOIN(", ",TRUE,IF(AND(X22&gt;0,Y22&gt;0),TEXT(X22,"0.00")&amp;"ct x "&amp;Y22,""),IF(AND(Z22&gt;0,AA22&gt;0),TEXT(Z22,"0.00")&amp;"ct x "&amp;AA22,""),IF(AND(AB22&gt;0,AC22&gt;0),TEXT(AB22,"0.00")&amp;"ct x "&amp;AC22,""))</f>
        <v/>
      </c>
      <c r="AG22" s="0">
        <f>X22*Y22*SUMIFS($AM$2:$AM$11,$AK$2:$AK$11,"&lt;="&amp;X22,$AL$2:$AL$11,"&gt;="&amp;X22)+Z22*AA22*SUMIFS($AM$2:$AM$11,$AK$2:$AK$11,"&lt;="&amp;Z22,$AL$2:$AL$11,"&gt;="&amp;Z22)+AB22*AC22*SUMIFS($AM$2:$AM$11,$AK$2:$AK$11,"&lt;="&amp;AB22,$AL$2:$AL$11,"&gt;="&amp;AB22)</f>
        <v/>
      </c>
      <c r="AH22" s="0">
        <f>AG22*(1-40%)</f>
        <v/>
      </c>
      <c r="AI22" s="0">
        <f>AH22*1.2</f>
        <v/>
      </c>
    </row>
    <row r="23">
      <c r="A23" s="26" t="n"/>
      <c r="B23" s="169" t="n"/>
      <c r="C23" s="169">
        <f>B23*(25/100)</f>
        <v/>
      </c>
      <c r="D23" s="26">
        <f>C23+B23</f>
        <v/>
      </c>
      <c r="E23" s="26" t="n"/>
      <c r="F23" s="26" t="n"/>
      <c r="G23" s="26" t="n"/>
      <c r="H23" s="26" t="n"/>
      <c r="I23" s="26" t="n"/>
      <c r="J23" s="26" t="n"/>
      <c r="K23" s="26" t="n"/>
      <c r="L23" s="174">
        <f>E23*Prices!B$2</f>
        <v/>
      </c>
      <c r="M23" s="174">
        <f>F23*180000</f>
        <v/>
      </c>
      <c r="N23" s="174">
        <f>G23*375000</f>
        <v/>
      </c>
      <c r="O23" s="174">
        <f>H23*Prices!E$2</f>
        <v/>
      </c>
      <c r="P23" s="174">
        <f>I23*5000+J23*14000+K23*1800</f>
        <v/>
      </c>
      <c r="Q23" s="174">
        <f>D23*Prices!$A$2</f>
        <v/>
      </c>
      <c r="R23" s="174">
        <f>Q23*0.02</f>
        <v/>
      </c>
      <c r="S23" s="174">
        <f>AG23</f>
        <v/>
      </c>
      <c r="T23" s="174">
        <f>AI23+Q23+P23</f>
        <v/>
      </c>
      <c r="U23" s="175">
        <f>P23+Q23+(S23-(S23*($V$1/100)))</f>
        <v/>
      </c>
      <c r="V23" s="174">
        <f>T23-U23</f>
        <v/>
      </c>
      <c r="W23" s="211">
        <f>((D23*0.6)/11.664)*Prices!$A$4+E23*38000+F23*51900+G23*60900+K23*600</f>
        <v/>
      </c>
      <c r="X23" s="26" t="n"/>
      <c r="Y23" s="26" t="n"/>
      <c r="Z23" s="26" t="n"/>
      <c r="AA23" s="26" t="n"/>
      <c r="AD23" s="0">
        <f>SUM(Y23,AA23,AC23)</f>
        <v/>
      </c>
      <c r="AE23" s="0">
        <f>X23*Y23+Z23*AA23+AB23*AC23</f>
        <v/>
      </c>
      <c r="AF23" s="0">
        <f>TEXTJOIN(", ",TRUE,IF(AND(X23&gt;0,Y23&gt;0),TEXT(X23,"0.00")&amp;"ct x "&amp;Y23,""),IF(AND(Z23&gt;0,AA23&gt;0),TEXT(Z23,"0.00")&amp;"ct x "&amp;AA23,""),IF(AND(AB23&gt;0,AC23&gt;0),TEXT(AB23,"0.00")&amp;"ct x "&amp;AC23,""))</f>
        <v/>
      </c>
      <c r="AG23" s="0">
        <f>X23*Y23*SUMIFS($AM$2:$AM$11,$AK$2:$AK$11,"&lt;="&amp;X23,$AL$2:$AL$11,"&gt;="&amp;X23)+Z23*AA23*SUMIFS($AM$2:$AM$11,$AK$2:$AK$11,"&lt;="&amp;Z23,$AL$2:$AL$11,"&gt;="&amp;Z23)+AB23*AC23*SUMIFS($AM$2:$AM$11,$AK$2:$AK$11,"&lt;="&amp;AB23,$AL$2:$AL$11,"&gt;="&amp;AB23)</f>
        <v/>
      </c>
      <c r="AH23" s="0">
        <f>AG23*(1-40%)</f>
        <v/>
      </c>
      <c r="AI23" s="0">
        <f>AH23*1.2</f>
        <v/>
      </c>
    </row>
    <row r="24">
      <c r="A24" s="26" t="n"/>
      <c r="B24" s="169" t="n"/>
      <c r="C24" s="169">
        <f>B24*(25/100)</f>
        <v/>
      </c>
      <c r="D24" s="26">
        <f>C24+B24</f>
        <v/>
      </c>
      <c r="E24" s="26" t="n"/>
      <c r="F24" s="26" t="n"/>
      <c r="G24" s="26" t="n"/>
      <c r="H24" s="26" t="n"/>
      <c r="I24" s="26" t="n"/>
      <c r="J24" s="26" t="n"/>
      <c r="K24" s="26" t="n"/>
      <c r="L24" s="174">
        <f>E24*Prices!B$2</f>
        <v/>
      </c>
      <c r="M24" s="174">
        <f>F24*180000</f>
        <v/>
      </c>
      <c r="N24" s="174">
        <f>G24*375000</f>
        <v/>
      </c>
      <c r="O24" s="174">
        <f>H24*Prices!E$2</f>
        <v/>
      </c>
      <c r="P24" s="174">
        <f>I24*5000+J24*14000+K24*1800</f>
        <v/>
      </c>
      <c r="Q24" s="174">
        <f>D24*Prices!$A$2</f>
        <v/>
      </c>
      <c r="R24" s="174">
        <f>Q24*0.02</f>
        <v/>
      </c>
      <c r="S24" s="174">
        <f>AG24</f>
        <v/>
      </c>
      <c r="T24" s="174">
        <f>AI24+Q24+P24</f>
        <v/>
      </c>
      <c r="U24" s="175">
        <f>P24+Q24+(S24-(S24*($V$1/100)))</f>
        <v/>
      </c>
      <c r="V24" s="174">
        <f>T24-U24</f>
        <v/>
      </c>
      <c r="W24" s="211">
        <f>((D24*0.6)/11.664)*Prices!$A$4+E24*38000+F24*51900+G24*60900+K24*600</f>
        <v/>
      </c>
      <c r="X24" s="26" t="n"/>
      <c r="Y24" s="26" t="n"/>
      <c r="Z24" s="26" t="n"/>
      <c r="AA24" s="26" t="n"/>
      <c r="AD24" s="0">
        <f>SUM(Y24,AA24,AC24)</f>
        <v/>
      </c>
      <c r="AE24" s="0">
        <f>X24*Y24+Z24*AA24+AB24*AC24</f>
        <v/>
      </c>
      <c r="AF24" s="0">
        <f>TEXTJOIN(", ",TRUE,IF(AND(X24&gt;0,Y24&gt;0),TEXT(X24,"0.00")&amp;"ct x "&amp;Y24,""),IF(AND(Z24&gt;0,AA24&gt;0),TEXT(Z24,"0.00")&amp;"ct x "&amp;AA24,""),IF(AND(AB24&gt;0,AC24&gt;0),TEXT(AB24,"0.00")&amp;"ct x "&amp;AC24,""))</f>
        <v/>
      </c>
      <c r="AG24" s="0">
        <f>X24*Y24*SUMIFS($AM$2:$AM$11,$AK$2:$AK$11,"&lt;="&amp;X24,$AL$2:$AL$11,"&gt;="&amp;X24)+Z24*AA24*SUMIFS($AM$2:$AM$11,$AK$2:$AK$11,"&lt;="&amp;Z24,$AL$2:$AL$11,"&gt;="&amp;Z24)+AB24*AC24*SUMIFS($AM$2:$AM$11,$AK$2:$AK$11,"&lt;="&amp;AB24,$AL$2:$AL$11,"&gt;="&amp;AB24)</f>
        <v/>
      </c>
      <c r="AH24" s="0">
        <f>AG24*(1-40%)</f>
        <v/>
      </c>
      <c r="AI24" s="0">
        <f>AH24*1.2</f>
        <v/>
      </c>
    </row>
    <row r="25">
      <c r="A25" s="26" t="n"/>
      <c r="B25" s="169" t="n"/>
      <c r="C25" s="169">
        <f>B25*(25/100)</f>
        <v/>
      </c>
      <c r="D25" s="26">
        <f>C25+B25</f>
        <v/>
      </c>
      <c r="E25" s="26" t="n"/>
      <c r="F25" s="26" t="n"/>
      <c r="G25" s="26" t="n"/>
      <c r="H25" s="26" t="n"/>
      <c r="I25" s="26" t="n"/>
      <c r="J25" s="26" t="n"/>
      <c r="K25" s="26" t="n"/>
      <c r="L25" s="174">
        <f>E25*Prices!B$2</f>
        <v/>
      </c>
      <c r="M25" s="174">
        <f>F25*180000</f>
        <v/>
      </c>
      <c r="N25" s="174">
        <f>G25*375000</f>
        <v/>
      </c>
      <c r="O25" s="174">
        <f>H25*Prices!E$2</f>
        <v/>
      </c>
      <c r="P25" s="174">
        <f>I25*5000+J25*14000+K25*1800</f>
        <v/>
      </c>
      <c r="Q25" s="174">
        <f>D25*Prices!$A$2</f>
        <v/>
      </c>
      <c r="R25" s="174">
        <f>Q25*0.02</f>
        <v/>
      </c>
      <c r="S25" s="174">
        <f>AG25</f>
        <v/>
      </c>
      <c r="T25" s="174">
        <f>AI25+Q25+P25</f>
        <v/>
      </c>
      <c r="U25" s="175">
        <f>P25+Q25+(S25-(S25*($V$1/100)))</f>
        <v/>
      </c>
      <c r="V25" s="174">
        <f>T25-U25</f>
        <v/>
      </c>
      <c r="W25" s="211">
        <f>((D25*0.6)/11.664)*Prices!$A$4+E25*38000+F25*51900+G25*60900+K25*600</f>
        <v/>
      </c>
      <c r="X25" s="26" t="n"/>
      <c r="Y25" s="26" t="n"/>
      <c r="Z25" s="26" t="n"/>
      <c r="AA25" s="26" t="n"/>
      <c r="AD25" s="0">
        <f>SUM(Y25,AA25,AC25)</f>
        <v/>
      </c>
      <c r="AE25" s="0">
        <f>X25*Y25+Z25*AA25+AB25*AC25</f>
        <v/>
      </c>
      <c r="AF25" s="0">
        <f>TEXTJOIN(", ",TRUE,IF(AND(X25&gt;0,Y25&gt;0),TEXT(X25,"0.00")&amp;"ct x "&amp;Y25,""),IF(AND(Z25&gt;0,AA25&gt;0),TEXT(Z25,"0.00")&amp;"ct x "&amp;AA25,""),IF(AND(AB25&gt;0,AC25&gt;0),TEXT(AB25,"0.00")&amp;"ct x "&amp;AC25,""))</f>
        <v/>
      </c>
      <c r="AG25" s="0">
        <f>X25*Y25*SUMIFS($AM$2:$AM$11,$AK$2:$AK$11,"&lt;="&amp;X25,$AL$2:$AL$11,"&gt;="&amp;X25)+Z25*AA25*SUMIFS($AM$2:$AM$11,$AK$2:$AK$11,"&lt;="&amp;Z25,$AL$2:$AL$11,"&gt;="&amp;Z25)+AB25*AC25*SUMIFS($AM$2:$AM$11,$AK$2:$AK$11,"&lt;="&amp;AB25,$AL$2:$AL$11,"&gt;="&amp;AB25)</f>
        <v/>
      </c>
      <c r="AH25" s="0">
        <f>AG25*(1-40%)</f>
        <v/>
      </c>
      <c r="AI25" s="0">
        <f>AH25*1.2</f>
        <v/>
      </c>
    </row>
    <row r="26">
      <c r="A26" s="26" t="n"/>
      <c r="B26" s="169" t="n"/>
      <c r="C26" s="169">
        <f>B26*(25/100)</f>
        <v/>
      </c>
      <c r="D26" s="26">
        <f>C26+B26</f>
        <v/>
      </c>
      <c r="E26" s="26" t="n"/>
      <c r="F26" s="26" t="n"/>
      <c r="G26" s="26" t="n"/>
      <c r="H26" s="26" t="n"/>
      <c r="I26" s="26" t="n"/>
      <c r="J26" s="26" t="n"/>
      <c r="K26" s="26" t="n"/>
      <c r="L26" s="174">
        <f>E26*Prices!B$2</f>
        <v/>
      </c>
      <c r="M26" s="174">
        <f>F26*180000</f>
        <v/>
      </c>
      <c r="N26" s="174">
        <f>G26*375000</f>
        <v/>
      </c>
      <c r="O26" s="174">
        <f>H26*Prices!E$2</f>
        <v/>
      </c>
      <c r="P26" s="174">
        <f>I26*5000+J26*14000+K26*1800</f>
        <v/>
      </c>
      <c r="Q26" s="174">
        <f>D26*Prices!$A$2</f>
        <v/>
      </c>
      <c r="R26" s="174">
        <f>Q26*0.02</f>
        <v/>
      </c>
      <c r="S26" s="174">
        <f>AG26</f>
        <v/>
      </c>
      <c r="T26" s="174">
        <f>AI26+Q26+P26</f>
        <v/>
      </c>
      <c r="U26" s="175">
        <f>P26+Q26+(S26-(S26*($V$1/100)))</f>
        <v/>
      </c>
      <c r="V26" s="174">
        <f>T26-U26</f>
        <v/>
      </c>
      <c r="W26" s="211">
        <f>((D26*0.6)/11.664)*Prices!$A$4+E26*38000+F26*51900+G26*60900+K26*600</f>
        <v/>
      </c>
      <c r="X26" s="26" t="n"/>
      <c r="Y26" s="26" t="n"/>
      <c r="Z26" s="26" t="n"/>
      <c r="AA26" s="26" t="n"/>
      <c r="AD26" s="0">
        <f>SUM(Y26,AA26,AC26)</f>
        <v/>
      </c>
      <c r="AE26" s="0">
        <f>X26*Y26+Z26*AA26+AB26*AC26</f>
        <v/>
      </c>
      <c r="AF26" s="0">
        <f>TEXTJOIN(", ",TRUE,IF(AND(X26&gt;0,Y26&gt;0),TEXT(X26,"0.00")&amp;"ct x "&amp;Y26,""),IF(AND(Z26&gt;0,AA26&gt;0),TEXT(Z26,"0.00")&amp;"ct x "&amp;AA26,""),IF(AND(AB26&gt;0,AC26&gt;0),TEXT(AB26,"0.00")&amp;"ct x "&amp;AC26,""))</f>
        <v/>
      </c>
      <c r="AG26" s="0">
        <f>X26*Y26*SUMIFS($AM$2:$AM$11,$AK$2:$AK$11,"&lt;="&amp;X26,$AL$2:$AL$11,"&gt;="&amp;X26)+Z26*AA26*SUMIFS($AM$2:$AM$11,$AK$2:$AK$11,"&lt;="&amp;Z26,$AL$2:$AL$11,"&gt;="&amp;Z26)+AB26*AC26*SUMIFS($AM$2:$AM$11,$AK$2:$AK$11,"&lt;="&amp;AB26,$AL$2:$AL$11,"&gt;="&amp;AB26)</f>
        <v/>
      </c>
      <c r="AH26" s="0">
        <f>AG26*(1-40%)</f>
        <v/>
      </c>
      <c r="AI26" s="0">
        <f>AH26*1.2</f>
        <v/>
      </c>
    </row>
    <row r="27" ht="15" customHeight="1" s="220">
      <c r="A27" s="26" t="n"/>
      <c r="B27" s="169" t="n"/>
      <c r="C27" s="169">
        <f>B27*(25/100)</f>
        <v/>
      </c>
      <c r="D27" s="26">
        <f>C27+B27</f>
        <v/>
      </c>
      <c r="E27" s="26" t="n"/>
      <c r="F27" s="26" t="n"/>
      <c r="G27" s="26" t="n"/>
      <c r="H27" s="26" t="n"/>
      <c r="I27" s="26" t="n"/>
      <c r="J27" s="26" t="n"/>
      <c r="K27" s="26" t="n"/>
      <c r="L27" s="174">
        <f>E27*Prices!B$2</f>
        <v/>
      </c>
      <c r="M27" s="174">
        <f>F27*180000</f>
        <v/>
      </c>
      <c r="N27" s="174">
        <f>G27*375000</f>
        <v/>
      </c>
      <c r="O27" s="174">
        <f>H27*Prices!E$2</f>
        <v/>
      </c>
      <c r="P27" s="174">
        <f>I27*5000+J27*14000+K27*1800</f>
        <v/>
      </c>
      <c r="Q27" s="174">
        <f>D27*Prices!$A$2</f>
        <v/>
      </c>
      <c r="R27" s="174">
        <f>Q27*0.02</f>
        <v/>
      </c>
      <c r="S27" s="174">
        <f>AG27</f>
        <v/>
      </c>
      <c r="T27" s="174">
        <f>AI27+Q27+P27</f>
        <v/>
      </c>
      <c r="U27" s="175">
        <f>P27+Q27+(S27-(S27*($V$1/100)))</f>
        <v/>
      </c>
      <c r="V27" s="174">
        <f>T27-U27</f>
        <v/>
      </c>
      <c r="W27" s="211">
        <f>((D27*0.6)/11.664)*Prices!$A$4+E27*38000+F27*51900+G27*60900+K27*600</f>
        <v/>
      </c>
      <c r="X27" s="26" t="n"/>
      <c r="Y27" s="26" t="n"/>
      <c r="Z27" s="26" t="n"/>
      <c r="AA27" s="26" t="n"/>
      <c r="AD27" s="0">
        <f>SUM(Y27,AA27,AC27)</f>
        <v/>
      </c>
      <c r="AE27" s="0">
        <f>X27*Y27+Z27*AA27+AB27*AC27</f>
        <v/>
      </c>
      <c r="AF27" s="0">
        <f>TEXTJOIN(", ",TRUE,IF(AND(X27&gt;0,Y27&gt;0),TEXT(X27,"0.00")&amp;"ct x "&amp;Y27,""),IF(AND(Z27&gt;0,AA27&gt;0),TEXT(Z27,"0.00")&amp;"ct x "&amp;AA27,""),IF(AND(AB27&gt;0,AC27&gt;0),TEXT(AB27,"0.00")&amp;"ct x "&amp;AC27,""))</f>
        <v/>
      </c>
      <c r="AG27" s="0">
        <f>X27*Y27*SUMIFS($AM$2:$AM$11,$AK$2:$AK$11,"&lt;="&amp;X27,$AL$2:$AL$11,"&gt;="&amp;X27)+Z27*AA27*SUMIFS($AM$2:$AM$11,$AK$2:$AK$11,"&lt;="&amp;Z27,$AL$2:$AL$11,"&gt;="&amp;Z27)+AB27*AC27*SUMIFS($AM$2:$AM$11,$AK$2:$AK$11,"&lt;="&amp;AB27,$AL$2:$AL$11,"&gt;="&amp;AB27)</f>
        <v/>
      </c>
      <c r="AH27" s="0">
        <f>AG27*(1-40%)</f>
        <v/>
      </c>
      <c r="AI27" s="0">
        <f>AH27*1.2</f>
        <v/>
      </c>
    </row>
    <row r="28" ht="15" customHeight="1" s="220">
      <c r="A28" s="26" t="n"/>
      <c r="B28" s="169" t="n"/>
      <c r="C28" s="169">
        <f>B28*(25/100)</f>
        <v/>
      </c>
      <c r="D28" s="26">
        <f>C28+B28</f>
        <v/>
      </c>
      <c r="E28" s="26" t="n"/>
      <c r="F28" s="26" t="n"/>
      <c r="G28" s="26" t="n"/>
      <c r="H28" s="26" t="n"/>
      <c r="I28" s="26" t="n"/>
      <c r="J28" s="26" t="n"/>
      <c r="K28" s="26" t="n"/>
      <c r="L28" s="174">
        <f>E28*Prices!B$2</f>
        <v/>
      </c>
      <c r="M28" s="174">
        <f>F28*180000</f>
        <v/>
      </c>
      <c r="N28" s="174">
        <f>G28*375000</f>
        <v/>
      </c>
      <c r="O28" s="174">
        <f>H28*Prices!E$2</f>
        <v/>
      </c>
      <c r="P28" s="174">
        <f>I28*5000+J28*14000+K28*1800</f>
        <v/>
      </c>
      <c r="Q28" s="174">
        <f>D28*Prices!$A$2</f>
        <v/>
      </c>
      <c r="R28" s="174">
        <f>Q28*0.02</f>
        <v/>
      </c>
      <c r="S28" s="174">
        <f>AG28</f>
        <v/>
      </c>
      <c r="T28" s="174">
        <f>AI28+Q28+P28</f>
        <v/>
      </c>
      <c r="U28" s="175">
        <f>P28+Q28+(S28-(S28*($V$1/100)))</f>
        <v/>
      </c>
      <c r="V28" s="174">
        <f>T28-U28</f>
        <v/>
      </c>
      <c r="W28" s="211">
        <f>((D28*0.6)/11.664)*Prices!$A$4+E28*38000+F28*51900+G28*60900+K28*600</f>
        <v/>
      </c>
      <c r="X28" s="26" t="n"/>
      <c r="Y28" s="26" t="n"/>
      <c r="Z28" s="26" t="n"/>
      <c r="AA28" s="26" t="n"/>
      <c r="AD28" s="0">
        <f>SUM(Y28,AA28,AC28)</f>
        <v/>
      </c>
      <c r="AE28" s="0">
        <f>X28*Y28+Z28*AA28+AB28*AC28</f>
        <v/>
      </c>
      <c r="AF28" s="0">
        <f>TEXTJOIN(", ",TRUE,IF(AND(X28&gt;0,Y28&gt;0),TEXT(X28,"0.00")&amp;"ct x "&amp;Y28,""),IF(AND(Z28&gt;0,AA28&gt;0),TEXT(Z28,"0.00")&amp;"ct x "&amp;AA28,""),IF(AND(AB28&gt;0,AC28&gt;0),TEXT(AB28,"0.00")&amp;"ct x "&amp;AC28,""))</f>
        <v/>
      </c>
      <c r="AG28" s="0">
        <f>X28*Y28*SUMIFS($AM$2:$AM$11,$AK$2:$AK$11,"&lt;="&amp;X28,$AL$2:$AL$11,"&gt;="&amp;X28)+Z28*AA28*SUMIFS($AM$2:$AM$11,$AK$2:$AK$11,"&lt;="&amp;Z28,$AL$2:$AL$11,"&gt;="&amp;Z28)+AB28*AC28*SUMIFS($AM$2:$AM$11,$AK$2:$AK$11,"&lt;="&amp;AB28,$AL$2:$AL$11,"&gt;="&amp;AB28)</f>
        <v/>
      </c>
      <c r="AH28" s="0">
        <f>AG28*(1-40%)</f>
        <v/>
      </c>
      <c r="AI28" s="0">
        <f>AH28*1.2</f>
        <v/>
      </c>
    </row>
    <row r="29">
      <c r="A29" s="26" t="n"/>
      <c r="B29" s="169" t="n"/>
      <c r="C29" s="169">
        <f>B29*(25/100)</f>
        <v/>
      </c>
      <c r="D29" s="26">
        <f>C29+B29</f>
        <v/>
      </c>
      <c r="E29" s="26" t="n"/>
      <c r="F29" s="26" t="n"/>
      <c r="G29" s="26" t="n"/>
      <c r="H29" s="26" t="n"/>
      <c r="I29" s="26" t="n"/>
      <c r="J29" s="26" t="n"/>
      <c r="K29" s="26" t="n"/>
      <c r="L29" s="174">
        <f>E29*Prices!B$2</f>
        <v/>
      </c>
      <c r="M29" s="174">
        <f>F29*180000</f>
        <v/>
      </c>
      <c r="N29" s="174">
        <f>G29*375000</f>
        <v/>
      </c>
      <c r="O29" s="174">
        <f>H29*Prices!E$2</f>
        <v/>
      </c>
      <c r="P29" s="174">
        <f>I29*5000+J29*14000+K29*1800</f>
        <v/>
      </c>
      <c r="Q29" s="174">
        <f>D29*Prices!$A$2</f>
        <v/>
      </c>
      <c r="R29" s="174">
        <f>Q29*0.02</f>
        <v/>
      </c>
      <c r="S29" s="174">
        <f>AG29</f>
        <v/>
      </c>
      <c r="T29" s="174">
        <f>AI29+Q29+P29</f>
        <v/>
      </c>
      <c r="U29" s="175">
        <f>P29+Q29+(S29-(S29*($V$1/100)))</f>
        <v/>
      </c>
      <c r="V29" s="174">
        <f>T29-U29</f>
        <v/>
      </c>
      <c r="W29" s="211">
        <f>((D29*0.6)/11.664)*Prices!$A$4+E29*38000+F29*51900+G29*60900+K29*600</f>
        <v/>
      </c>
      <c r="X29" s="26" t="n"/>
      <c r="Y29" s="26" t="n"/>
      <c r="Z29" s="26" t="n"/>
      <c r="AA29" s="26" t="n"/>
      <c r="AD29" s="0">
        <f>SUM(Y29,AA29,AC29)</f>
        <v/>
      </c>
      <c r="AE29" s="0">
        <f>X29*Y29+Z29*AA29+AB29*AC29</f>
        <v/>
      </c>
      <c r="AF29" s="0">
        <f>TEXTJOIN(", ",TRUE,IF(AND(X29&gt;0,Y29&gt;0),TEXT(X29,"0.00")&amp;"ct x "&amp;Y29,""),IF(AND(Z29&gt;0,AA29&gt;0),TEXT(Z29,"0.00")&amp;"ct x "&amp;AA29,""),IF(AND(AB29&gt;0,AC29&gt;0),TEXT(AB29,"0.00")&amp;"ct x "&amp;AC29,""))</f>
        <v/>
      </c>
      <c r="AG29" s="0">
        <f>X29*Y29*SUMIFS($AM$2:$AM$11,$AK$2:$AK$11,"&lt;="&amp;X29,$AL$2:$AL$11,"&gt;="&amp;X29)+Z29*AA29*SUMIFS($AM$2:$AM$11,$AK$2:$AK$11,"&lt;="&amp;Z29,$AL$2:$AL$11,"&gt;="&amp;Z29)+AB29*AC29*SUMIFS($AM$2:$AM$11,$AK$2:$AK$11,"&lt;="&amp;AB29,$AL$2:$AL$11,"&gt;="&amp;AB29)</f>
        <v/>
      </c>
      <c r="AH29" s="0">
        <f>AG29*(1-40%)</f>
        <v/>
      </c>
      <c r="AI29" s="0">
        <f>AH29*1.2</f>
        <v/>
      </c>
    </row>
    <row r="30">
      <c r="A30" s="26" t="n"/>
      <c r="B30" s="169" t="n"/>
      <c r="C30" s="169">
        <f>B30*(25/100)</f>
        <v/>
      </c>
      <c r="D30" s="26">
        <f>C30+B30</f>
        <v/>
      </c>
      <c r="E30" s="26" t="n"/>
      <c r="F30" s="26" t="n"/>
      <c r="G30" s="26" t="n"/>
      <c r="H30" s="26" t="n"/>
      <c r="I30" s="26" t="n"/>
      <c r="J30" s="26" t="n"/>
      <c r="K30" s="26" t="n"/>
      <c r="L30" s="174">
        <f>E30*Prices!B$2</f>
        <v/>
      </c>
      <c r="M30" s="174">
        <f>F30*180000</f>
        <v/>
      </c>
      <c r="N30" s="174">
        <f>G30*375000</f>
        <v/>
      </c>
      <c r="O30" s="174">
        <f>H30*Prices!E$2</f>
        <v/>
      </c>
      <c r="P30" s="174">
        <f>I30*5000+J30*14000+K30*1800</f>
        <v/>
      </c>
      <c r="Q30" s="174">
        <f>D30*Prices!$A$2</f>
        <v/>
      </c>
      <c r="R30" s="174">
        <f>Q30*0.02</f>
        <v/>
      </c>
      <c r="S30" s="174">
        <f>AG30</f>
        <v/>
      </c>
      <c r="T30" s="174">
        <f>AI30+Q30+P30</f>
        <v/>
      </c>
      <c r="U30" s="175">
        <f>P30+Q30+(S30-(S30*($V$1/100)))</f>
        <v/>
      </c>
      <c r="V30" s="174">
        <f>T30-U30</f>
        <v/>
      </c>
      <c r="W30" s="211">
        <f>((D30*0.6)/11.664)*Prices!$A$4+E30*38000+F30*51900+G30*60900+K30*600</f>
        <v/>
      </c>
      <c r="X30" s="26" t="n"/>
      <c r="Y30" s="26" t="n"/>
      <c r="Z30" s="26" t="n"/>
      <c r="AA30" s="26" t="n"/>
      <c r="AD30" s="0">
        <f>SUM(Y30,AA30,AC30)</f>
        <v/>
      </c>
      <c r="AE30" s="0">
        <f>X30*Y30+Z30*AA30+AB30*AC30</f>
        <v/>
      </c>
      <c r="AF30" s="0">
        <f>TEXTJOIN(", ",TRUE,IF(AND(X30&gt;0,Y30&gt;0),TEXT(X30,"0.00")&amp;"ct x "&amp;Y30,""),IF(AND(Z30&gt;0,AA30&gt;0),TEXT(Z30,"0.00")&amp;"ct x "&amp;AA30,""),IF(AND(AB30&gt;0,AC30&gt;0),TEXT(AB30,"0.00")&amp;"ct x "&amp;AC30,""))</f>
        <v/>
      </c>
      <c r="AG30" s="0">
        <f>X30*Y30*SUMIFS($AM$2:$AM$11,$AK$2:$AK$11,"&lt;="&amp;X30,$AL$2:$AL$11,"&gt;="&amp;X30)+Z30*AA30*SUMIFS($AM$2:$AM$11,$AK$2:$AK$11,"&lt;="&amp;Z30,$AL$2:$AL$11,"&gt;="&amp;Z30)+AB30*AC30*SUMIFS($AM$2:$AM$11,$AK$2:$AK$11,"&lt;="&amp;AB30,$AL$2:$AL$11,"&gt;="&amp;AB30)</f>
        <v/>
      </c>
      <c r="AH30" s="0">
        <f>AG30*(1-40%)</f>
        <v/>
      </c>
      <c r="AI30" s="0">
        <f>AH30*1.2</f>
        <v/>
      </c>
    </row>
    <row r="31">
      <c r="A31" s="26" t="n"/>
      <c r="B31" s="169" t="n"/>
      <c r="C31" s="169">
        <f>B31*(25/100)</f>
        <v/>
      </c>
      <c r="D31" s="26">
        <f>C31+B31</f>
        <v/>
      </c>
      <c r="E31" s="26" t="n"/>
      <c r="F31" s="26" t="n"/>
      <c r="G31" s="26" t="n"/>
      <c r="H31" s="26" t="n"/>
      <c r="I31" s="26" t="n"/>
      <c r="J31" s="26" t="n"/>
      <c r="K31" s="26" t="n"/>
      <c r="L31" s="174">
        <f>E31*Prices!B$2</f>
        <v/>
      </c>
      <c r="M31" s="174">
        <f>F31*180000</f>
        <v/>
      </c>
      <c r="N31" s="174">
        <f>G31*375000</f>
        <v/>
      </c>
      <c r="O31" s="174">
        <f>H31*Prices!E$2</f>
        <v/>
      </c>
      <c r="P31" s="174">
        <f>I31*5000+J31*14000+K31*1800</f>
        <v/>
      </c>
      <c r="Q31" s="174">
        <f>D31*Prices!$A$2</f>
        <v/>
      </c>
      <c r="R31" s="174">
        <f>Q31*0.02</f>
        <v/>
      </c>
      <c r="S31" s="174">
        <f>AG31</f>
        <v/>
      </c>
      <c r="T31" s="174">
        <f>AI31+Q31+P31</f>
        <v/>
      </c>
      <c r="U31" s="175">
        <f>P31+Q31+(S31-(S31*($V$1/100)))</f>
        <v/>
      </c>
      <c r="V31" s="174">
        <f>T31-U31</f>
        <v/>
      </c>
      <c r="W31" s="211">
        <f>((D31*0.6)/11.664)*Prices!$A$4+E31*38000+F31*51900+G31*60900+K31*600</f>
        <v/>
      </c>
      <c r="X31" s="26" t="n"/>
      <c r="Y31" s="26" t="n"/>
      <c r="Z31" s="26" t="n"/>
      <c r="AA31" s="26" t="n"/>
      <c r="AD31" s="0">
        <f>SUM(Y31,AA31,AC31)</f>
        <v/>
      </c>
      <c r="AE31" s="0">
        <f>X31*Y31+Z31*AA31+AB31*AC31</f>
        <v/>
      </c>
      <c r="AF31" s="0">
        <f>TEXTJOIN(", ",TRUE,IF(AND(X31&gt;0,Y31&gt;0),TEXT(X31,"0.00")&amp;"ct x "&amp;Y31,""),IF(AND(Z31&gt;0,AA31&gt;0),TEXT(Z31,"0.00")&amp;"ct x "&amp;AA31,""),IF(AND(AB31&gt;0,AC31&gt;0),TEXT(AB31,"0.00")&amp;"ct x "&amp;AC31,""))</f>
        <v/>
      </c>
      <c r="AG31" s="0">
        <f>X31*Y31*SUMIFS($AM$2:$AM$11,$AK$2:$AK$11,"&lt;="&amp;X31,$AL$2:$AL$11,"&gt;="&amp;X31)+Z31*AA31*SUMIFS($AM$2:$AM$11,$AK$2:$AK$11,"&lt;="&amp;Z31,$AL$2:$AL$11,"&gt;="&amp;Z31)+AB31*AC31*SUMIFS($AM$2:$AM$11,$AK$2:$AK$11,"&lt;="&amp;AB31,$AL$2:$AL$11,"&gt;="&amp;AB31)</f>
        <v/>
      </c>
      <c r="AH31" s="0">
        <f>AG31*(1-40%)</f>
        <v/>
      </c>
      <c r="AI31" s="0">
        <f>AH31*1.2</f>
        <v/>
      </c>
    </row>
    <row r="32">
      <c r="A32" s="26" t="n"/>
      <c r="B32" s="169" t="n"/>
      <c r="C32" s="169">
        <f>B32*(25/100)</f>
        <v/>
      </c>
      <c r="D32" s="26">
        <f>C32+B32</f>
        <v/>
      </c>
      <c r="E32" s="26" t="n"/>
      <c r="F32" s="26" t="n"/>
      <c r="G32" s="26" t="n"/>
      <c r="H32" s="26" t="n"/>
      <c r="I32" s="26" t="n"/>
      <c r="J32" s="26" t="n"/>
      <c r="K32" s="26" t="n"/>
      <c r="L32" s="174">
        <f>E32*Prices!B$2</f>
        <v/>
      </c>
      <c r="M32" s="174">
        <f>F32*180000</f>
        <v/>
      </c>
      <c r="N32" s="174">
        <f>G32*375000</f>
        <v/>
      </c>
      <c r="O32" s="174">
        <f>H32*Prices!E$2</f>
        <v/>
      </c>
      <c r="P32" s="174">
        <f>I32*5000+J32*14000+K32*1800</f>
        <v/>
      </c>
      <c r="Q32" s="174">
        <f>D32*Prices!$A$2</f>
        <v/>
      </c>
      <c r="R32" s="174">
        <f>Q32*0.02</f>
        <v/>
      </c>
      <c r="S32" s="174">
        <f>AG32</f>
        <v/>
      </c>
      <c r="T32" s="174">
        <f>AI32+Q32+P32</f>
        <v/>
      </c>
      <c r="U32" s="175">
        <f>P32+Q32+(S32-(S32*($V$1/100)))</f>
        <v/>
      </c>
      <c r="V32" s="174">
        <f>T32-U32</f>
        <v/>
      </c>
      <c r="W32" s="211">
        <f>((D32*0.6)/11.664)*Prices!$A$4+E32*38000+F32*51900+G32*60900+K32*600</f>
        <v/>
      </c>
      <c r="X32" s="26" t="n"/>
      <c r="Y32" s="26" t="n"/>
      <c r="Z32" s="26" t="n"/>
      <c r="AA32" s="26" t="n"/>
      <c r="AD32" s="0">
        <f>SUM(Y32,AA32,AC32)</f>
        <v/>
      </c>
      <c r="AE32" s="0">
        <f>X32*Y32+Z32*AA32+AB32*AC32</f>
        <v/>
      </c>
      <c r="AF32" s="0">
        <f>TEXTJOIN(", ",TRUE,IF(AND(X32&gt;0,Y32&gt;0),TEXT(X32,"0.00")&amp;"ct x "&amp;Y32,""),IF(AND(Z32&gt;0,AA32&gt;0),TEXT(Z32,"0.00")&amp;"ct x "&amp;AA32,""),IF(AND(AB32&gt;0,AC32&gt;0),TEXT(AB32,"0.00")&amp;"ct x "&amp;AC32,""))</f>
        <v/>
      </c>
      <c r="AG32" s="0">
        <f>X32*Y32*SUMIFS($AM$2:$AM$11,$AK$2:$AK$11,"&lt;="&amp;X32,$AL$2:$AL$11,"&gt;="&amp;X32)+Z32*AA32*SUMIFS($AM$2:$AM$11,$AK$2:$AK$11,"&lt;="&amp;Z32,$AL$2:$AL$11,"&gt;="&amp;Z32)+AB32*AC32*SUMIFS($AM$2:$AM$11,$AK$2:$AK$11,"&lt;="&amp;AB32,$AL$2:$AL$11,"&gt;="&amp;AB32)</f>
        <v/>
      </c>
      <c r="AH32" s="0">
        <f>AG32*(1-40%)</f>
        <v/>
      </c>
      <c r="AI32" s="0">
        <f>AH32*1.2</f>
        <v/>
      </c>
    </row>
    <row r="33">
      <c r="A33" s="26" t="n"/>
      <c r="B33" s="169" t="n"/>
      <c r="C33" s="169">
        <f>B33*(25/100)</f>
        <v/>
      </c>
      <c r="D33" s="26">
        <f>C33+B33</f>
        <v/>
      </c>
      <c r="E33" s="26" t="n"/>
      <c r="F33" s="26" t="n"/>
      <c r="G33" s="26" t="n"/>
      <c r="H33" s="26" t="n"/>
      <c r="I33" s="26" t="n"/>
      <c r="J33" s="26" t="n"/>
      <c r="K33" s="26" t="n"/>
      <c r="L33" s="174">
        <f>E33*Prices!B$2</f>
        <v/>
      </c>
      <c r="M33" s="174">
        <f>F33*180000</f>
        <v/>
      </c>
      <c r="N33" s="174">
        <f>G33*375000</f>
        <v/>
      </c>
      <c r="O33" s="174">
        <f>H33*Prices!E$2</f>
        <v/>
      </c>
      <c r="P33" s="174">
        <f>I33*5000+J33*14000+K33*1800</f>
        <v/>
      </c>
      <c r="Q33" s="174">
        <f>D33*Prices!$A$2</f>
        <v/>
      </c>
      <c r="R33" s="174">
        <f>Q33*0.02</f>
        <v/>
      </c>
      <c r="S33" s="174">
        <f>AG33</f>
        <v/>
      </c>
      <c r="T33" s="174">
        <f>AI33+Q33+P33</f>
        <v/>
      </c>
      <c r="U33" s="175">
        <f>P33+Q33+(S33-(S33*($V$1/100)))</f>
        <v/>
      </c>
      <c r="V33" s="174">
        <f>T33-U33</f>
        <v/>
      </c>
      <c r="W33" s="211">
        <f>((D33*0.6)/11.664)*Prices!$A$4+E33*38000+F33*51900+G33*60900+K33*600</f>
        <v/>
      </c>
      <c r="X33" s="26" t="n"/>
      <c r="Y33" s="26" t="n"/>
      <c r="Z33" s="26" t="n"/>
      <c r="AA33" s="26" t="n"/>
      <c r="AD33" s="0">
        <f>SUM(Y33,AA33,AC33)</f>
        <v/>
      </c>
      <c r="AE33" s="0">
        <f>X33*Y33+Z33*AA33+AB33*AC33</f>
        <v/>
      </c>
      <c r="AF33" s="0">
        <f>TEXTJOIN(", ",TRUE,IF(AND(X33&gt;0,Y33&gt;0),TEXT(X33,"0.00")&amp;"ct x "&amp;Y33,""),IF(AND(Z33&gt;0,AA33&gt;0),TEXT(Z33,"0.00")&amp;"ct x "&amp;AA33,""),IF(AND(AB33&gt;0,AC33&gt;0),TEXT(AB33,"0.00")&amp;"ct x "&amp;AC33,""))</f>
        <v/>
      </c>
      <c r="AG33" s="0">
        <f>X33*Y33*SUMIFS($AM$2:$AM$11,$AK$2:$AK$11,"&lt;="&amp;X33,$AL$2:$AL$11,"&gt;="&amp;X33)+Z33*AA33*SUMIFS($AM$2:$AM$11,$AK$2:$AK$11,"&lt;="&amp;Z33,$AL$2:$AL$11,"&gt;="&amp;Z33)+AB33*AC33*SUMIFS($AM$2:$AM$11,$AK$2:$AK$11,"&lt;="&amp;AB33,$AL$2:$AL$11,"&gt;="&amp;AB33)</f>
        <v/>
      </c>
      <c r="AH33" s="0">
        <f>AG33*(1-40%)</f>
        <v/>
      </c>
      <c r="AI33" s="0">
        <f>AH33*1.2</f>
        <v/>
      </c>
    </row>
    <row r="34">
      <c r="A34" s="26" t="n"/>
      <c r="B34" s="169" t="n"/>
      <c r="C34" s="169">
        <f>B34*(25/100)</f>
        <v/>
      </c>
      <c r="D34" s="26">
        <f>C34+B34</f>
        <v/>
      </c>
      <c r="E34" s="26" t="n"/>
      <c r="F34" s="26" t="n"/>
      <c r="G34" s="26" t="n"/>
      <c r="H34" s="26" t="n"/>
      <c r="I34" s="26" t="n"/>
      <c r="J34" s="26" t="n"/>
      <c r="K34" s="26" t="n"/>
      <c r="L34" s="174">
        <f>E34*Prices!B$2</f>
        <v/>
      </c>
      <c r="M34" s="174">
        <f>F34*180000</f>
        <v/>
      </c>
      <c r="N34" s="174">
        <f>G34*375000</f>
        <v/>
      </c>
      <c r="O34" s="174">
        <f>H34*Prices!E$2</f>
        <v/>
      </c>
      <c r="P34" s="174">
        <f>I34*5000+J34*14000+K34*1800</f>
        <v/>
      </c>
      <c r="Q34" s="174">
        <f>D34*Prices!$A$2</f>
        <v/>
      </c>
      <c r="R34" s="174">
        <f>Q34*0.02</f>
        <v/>
      </c>
      <c r="S34" s="174">
        <f>AG34</f>
        <v/>
      </c>
      <c r="T34" s="174">
        <f>AI34+Q34+P34</f>
        <v/>
      </c>
      <c r="U34" s="175">
        <f>P34+Q34+(S34-(S34*($V$1/100)))</f>
        <v/>
      </c>
      <c r="V34" s="174">
        <f>T34-U34</f>
        <v/>
      </c>
      <c r="W34" s="211">
        <f>((D34*0.6)/11.664)*Prices!$A$4+E34*38000+F34*51900+G34*60900+K34*600</f>
        <v/>
      </c>
      <c r="X34" s="26" t="n"/>
      <c r="Y34" s="26" t="n"/>
      <c r="Z34" s="26" t="n"/>
      <c r="AA34" s="26" t="n"/>
      <c r="AD34" s="0">
        <f>SUM(Y34,AA34,AC34)</f>
        <v/>
      </c>
      <c r="AE34" s="0">
        <f>X34*Y34+Z34*AA34+AB34*AC34</f>
        <v/>
      </c>
      <c r="AF34" s="0">
        <f>TEXTJOIN(", ",TRUE,IF(AND(X34&gt;0,Y34&gt;0),TEXT(X34,"0.00")&amp;"ct x "&amp;Y34,""),IF(AND(Z34&gt;0,AA34&gt;0),TEXT(Z34,"0.00")&amp;"ct x "&amp;AA34,""),IF(AND(AB34&gt;0,AC34&gt;0),TEXT(AB34,"0.00")&amp;"ct x "&amp;AC34,""))</f>
        <v/>
      </c>
      <c r="AG34" s="0">
        <f>X34*Y34*SUMIFS($AM$2:$AM$11,$AK$2:$AK$11,"&lt;="&amp;X34,$AL$2:$AL$11,"&gt;="&amp;X34)+Z34*AA34*SUMIFS($AM$2:$AM$11,$AK$2:$AK$11,"&lt;="&amp;Z34,$AL$2:$AL$11,"&gt;="&amp;Z34)+AB34*AC34*SUMIFS($AM$2:$AM$11,$AK$2:$AK$11,"&lt;="&amp;AB34,$AL$2:$AL$11,"&gt;="&amp;AB34)</f>
        <v/>
      </c>
      <c r="AH34" s="0">
        <f>AG34*(1-40%)</f>
        <v/>
      </c>
      <c r="AI34" s="0">
        <f>AH34*1.2</f>
        <v/>
      </c>
    </row>
    <row r="35">
      <c r="A35" s="26" t="n"/>
      <c r="B35" s="169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174">
        <f>E35*Prices!B$2</f>
        <v/>
      </c>
      <c r="M35" s="174">
        <f>F35*180000</f>
        <v/>
      </c>
      <c r="N35" s="174">
        <f>G35*375000</f>
        <v/>
      </c>
      <c r="O35" s="174">
        <f>H35*Prices!E$2</f>
        <v/>
      </c>
      <c r="P35" s="174">
        <f>I35*5000+J35*14000+K35*1800</f>
        <v/>
      </c>
      <c r="Q35" s="174">
        <f>D35*Prices!$A$2</f>
        <v/>
      </c>
      <c r="R35" s="174">
        <f>Q35*0.02</f>
        <v/>
      </c>
      <c r="S35" s="174">
        <f>AG35</f>
        <v/>
      </c>
      <c r="T35" s="174">
        <f>AI35+Q35+P35</f>
        <v/>
      </c>
      <c r="U35" s="175">
        <f>P35+Q35+(S35-(S35*($V$1/100)))</f>
        <v/>
      </c>
      <c r="V35" s="174">
        <f>T35-U35</f>
        <v/>
      </c>
      <c r="W35" s="211">
        <f>((D35*0.6)/11.664)*Prices!$A$4+E35*38000+F35*51900+G35*60900+K35*600</f>
        <v/>
      </c>
      <c r="X35" s="26" t="n"/>
      <c r="Y35" s="26" t="n"/>
      <c r="Z35" s="26" t="n"/>
      <c r="AA35" s="26" t="n"/>
      <c r="AD35" s="0">
        <f>SUM(Y35,AA35,AC35)</f>
        <v/>
      </c>
      <c r="AE35" s="0">
        <f>X35*Y35+Z35*AA35+AB35*AC35</f>
        <v/>
      </c>
      <c r="AF35" s="0">
        <f>TEXTJOIN(", ",TRUE,IF(AND(X35&gt;0,Y35&gt;0),TEXT(X35,"0.00")&amp;"ct x "&amp;Y35,""),IF(AND(Z35&gt;0,AA35&gt;0),TEXT(Z35,"0.00")&amp;"ct x "&amp;AA35,""),IF(AND(AB35&gt;0,AC35&gt;0),TEXT(AB35,"0.00")&amp;"ct x "&amp;AC35,""))</f>
        <v/>
      </c>
      <c r="AG35" s="0">
        <f>X35*Y35*SUMIFS($AM$2:$AM$11,$AK$2:$AK$11,"&lt;="&amp;X35,$AL$2:$AL$11,"&gt;="&amp;X35)+Z35*AA35*SUMIFS($AM$2:$AM$11,$AK$2:$AK$11,"&lt;="&amp;Z35,$AL$2:$AL$11,"&gt;="&amp;Z35)+AB35*AC35*SUMIFS($AM$2:$AM$11,$AK$2:$AK$11,"&lt;="&amp;AB35,$AL$2:$AL$11,"&gt;="&amp;AB35)</f>
        <v/>
      </c>
      <c r="AH35" s="0">
        <f>AG35*(1-40%)</f>
        <v/>
      </c>
      <c r="AI35" s="0">
        <f>AH35*1.2</f>
        <v/>
      </c>
    </row>
    <row r="36">
      <c r="A36" s="26" t="n"/>
      <c r="B36" s="169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>
        <f>AG36</f>
        <v/>
      </c>
      <c r="T36" s="26">
        <f>AI36+Q36+P36</f>
        <v/>
      </c>
      <c r="U36" s="26" t="n"/>
      <c r="V36" s="26" t="n"/>
      <c r="W36" s="169" t="n"/>
      <c r="X36" s="26" t="n"/>
      <c r="Y36" s="26" t="n"/>
      <c r="Z36" s="26" t="n"/>
      <c r="AA36" s="26" t="n"/>
      <c r="AD36" s="0">
        <f>SUM(Y36,AA36,AC36)</f>
        <v/>
      </c>
      <c r="AE36" s="0">
        <f>X36*Y36+Z36*AA36+AB36*AC36</f>
        <v/>
      </c>
      <c r="AF36" s="0">
        <f>TEXTJOIN(", ",TRUE,IF(AND(X36&gt;0,Y36&gt;0),TEXT(X36,"0.00")&amp;"ct x "&amp;Y36,""),IF(AND(Z36&gt;0,AA36&gt;0),TEXT(Z36,"0.00")&amp;"ct x "&amp;AA36,""),IF(AND(AB36&gt;0,AC36&gt;0),TEXT(AB36,"0.00")&amp;"ct x "&amp;AC36,""))</f>
        <v/>
      </c>
      <c r="AG36" s="0">
        <f>X36*Y36*SUMIFS($AM$2:$AM$11,$AK$2:$AK$11,"&lt;="&amp;X36,$AL$2:$AL$11,"&gt;="&amp;X36)+Z36*AA36*SUMIFS($AM$2:$AM$11,$AK$2:$AK$11,"&lt;="&amp;Z36,$AL$2:$AL$11,"&gt;="&amp;Z36)+AB36*AC36*SUMIFS($AM$2:$AM$11,$AK$2:$AK$11,"&lt;="&amp;AB36,$AL$2:$AL$11,"&gt;="&amp;AB36)</f>
        <v/>
      </c>
      <c r="AH36" s="0">
        <f>AG36*(1-40%)</f>
        <v/>
      </c>
      <c r="AI36" s="0">
        <f>AH36*1.2</f>
        <v/>
      </c>
    </row>
    <row r="37">
      <c r="A37" s="26" t="n"/>
      <c r="B37" s="169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>
        <f>AG37</f>
        <v/>
      </c>
      <c r="T37" s="26">
        <f>AI37+Q37+P37</f>
        <v/>
      </c>
      <c r="U37" s="26" t="n"/>
      <c r="V37" s="26" t="n"/>
      <c r="W37" s="169" t="n"/>
      <c r="X37" s="26" t="n"/>
      <c r="Y37" s="26" t="n"/>
      <c r="Z37" s="26" t="n"/>
      <c r="AA37" s="26" t="n"/>
      <c r="AD37" s="0">
        <f>SUM(Y37,AA37,AC37)</f>
        <v/>
      </c>
      <c r="AE37" s="0">
        <f>X37*Y37+Z37*AA37+AB37*AC37</f>
        <v/>
      </c>
      <c r="AF37" s="0">
        <f>TEXTJOIN(", ",TRUE,IF(AND(X37&gt;0,Y37&gt;0),TEXT(X37,"0.00")&amp;"ct x "&amp;Y37,""),IF(AND(Z37&gt;0,AA37&gt;0),TEXT(Z37,"0.00")&amp;"ct x "&amp;AA37,""),IF(AND(AB37&gt;0,AC37&gt;0),TEXT(AB37,"0.00")&amp;"ct x "&amp;AC37,""))</f>
        <v/>
      </c>
      <c r="AG37" s="0">
        <f>X37*Y37*SUMIFS($AM$2:$AM$11,$AK$2:$AK$11,"&lt;="&amp;X37,$AL$2:$AL$11,"&gt;="&amp;X37)+Z37*AA37*SUMIFS($AM$2:$AM$11,$AK$2:$AK$11,"&lt;="&amp;Z37,$AL$2:$AL$11,"&gt;="&amp;Z37)+AB37*AC37*SUMIFS($AM$2:$AM$11,$AK$2:$AK$11,"&lt;="&amp;AB37,$AL$2:$AL$11,"&gt;="&amp;AB37)</f>
        <v/>
      </c>
      <c r="AH37" s="0">
        <f>AG37*(1-40%)</f>
        <v/>
      </c>
      <c r="AI37" s="0">
        <f>AH37*1.2</f>
        <v/>
      </c>
    </row>
    <row r="38">
      <c r="A38" s="26" t="n"/>
      <c r="B38" s="169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>
        <f>AG38</f>
        <v/>
      </c>
      <c r="T38" s="26">
        <f>AI38+Q38+P38</f>
        <v/>
      </c>
      <c r="U38" s="26" t="n"/>
      <c r="V38" s="26" t="n"/>
      <c r="W38" s="169" t="n"/>
      <c r="X38" s="26" t="n"/>
      <c r="Y38" s="26" t="n"/>
      <c r="Z38" s="26" t="n"/>
      <c r="AA38" s="26" t="n"/>
      <c r="AD38" s="0">
        <f>SUM(Y38,AA38,AC38)</f>
        <v/>
      </c>
      <c r="AE38" s="0">
        <f>X38*Y38+Z38*AA38+AB38*AC38</f>
        <v/>
      </c>
      <c r="AF38" s="0">
        <f>TEXTJOIN(", ",TRUE,IF(AND(X38&gt;0,Y38&gt;0),TEXT(X38,"0.00")&amp;"ct x "&amp;Y38,""),IF(AND(Z38&gt;0,AA38&gt;0),TEXT(Z38,"0.00")&amp;"ct x "&amp;AA38,""),IF(AND(AB38&gt;0,AC38&gt;0),TEXT(AB38,"0.00")&amp;"ct x "&amp;AC38,""))</f>
        <v/>
      </c>
      <c r="AG38" s="0">
        <f>X38*Y38*SUMIFS($AM$2:$AM$11,$AK$2:$AK$11,"&lt;="&amp;X38,$AL$2:$AL$11,"&gt;="&amp;X38)+Z38*AA38*SUMIFS($AM$2:$AM$11,$AK$2:$AK$11,"&lt;="&amp;Z38,$AL$2:$AL$11,"&gt;="&amp;Z38)+AB38*AC38*SUMIFS($AM$2:$AM$11,$AK$2:$AK$11,"&lt;="&amp;AB38,$AL$2:$AL$11,"&gt;="&amp;AB38)</f>
        <v/>
      </c>
      <c r="AH38" s="0">
        <f>AG38*(1-40%)</f>
        <v/>
      </c>
      <c r="AI38" s="0">
        <f>AH38*1.2</f>
        <v/>
      </c>
    </row>
    <row r="39">
      <c r="A39" s="26" t="n"/>
      <c r="B39" s="169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>
        <f>AG39</f>
        <v/>
      </c>
      <c r="T39" s="26">
        <f>AI39+Q39+P39</f>
        <v/>
      </c>
      <c r="U39" s="26" t="n"/>
      <c r="V39" s="26" t="n"/>
      <c r="W39" s="169" t="n"/>
      <c r="X39" s="26" t="n"/>
      <c r="Y39" s="26" t="n"/>
      <c r="Z39" s="26" t="n"/>
      <c r="AA39" s="26" t="n"/>
      <c r="AD39" s="0">
        <f>SUM(Y39,AA39,AC39)</f>
        <v/>
      </c>
      <c r="AE39" s="0">
        <f>X39*Y39+Z39*AA39+AB39*AC39</f>
        <v/>
      </c>
      <c r="AF39" s="0">
        <f>TEXTJOIN(", ",TRUE,IF(AND(X39&gt;0,Y39&gt;0),TEXT(X39,"0.00")&amp;"ct x "&amp;Y39,""),IF(AND(Z39&gt;0,AA39&gt;0),TEXT(Z39,"0.00")&amp;"ct x "&amp;AA39,""),IF(AND(AB39&gt;0,AC39&gt;0),TEXT(AB39,"0.00")&amp;"ct x "&amp;AC39,""))</f>
        <v/>
      </c>
      <c r="AG39" s="0">
        <f>X39*Y39*SUMIFS($AM$2:$AM$11,$AK$2:$AK$11,"&lt;="&amp;X39,$AL$2:$AL$11,"&gt;="&amp;X39)+Z39*AA39*SUMIFS($AM$2:$AM$11,$AK$2:$AK$11,"&lt;="&amp;Z39,$AL$2:$AL$11,"&gt;="&amp;Z39)+AB39*AC39*SUMIFS($AM$2:$AM$11,$AK$2:$AK$11,"&lt;="&amp;AB39,$AL$2:$AL$11,"&gt;="&amp;AB39)</f>
        <v/>
      </c>
      <c r="AH39" s="0">
        <f>AG39*(1-40%)</f>
        <v/>
      </c>
      <c r="AI39" s="0">
        <f>AH39*1.2</f>
        <v/>
      </c>
    </row>
    <row r="40">
      <c r="A40" s="26" t="n"/>
      <c r="B40" s="169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>
        <f>AG40</f>
        <v/>
      </c>
      <c r="T40" s="26">
        <f>AI40+Q40+P40</f>
        <v/>
      </c>
      <c r="U40" s="26" t="n"/>
      <c r="V40" s="26" t="n"/>
      <c r="W40" s="169" t="n"/>
      <c r="X40" s="26" t="n"/>
      <c r="Y40" s="26" t="n"/>
      <c r="Z40" s="26" t="n"/>
      <c r="AA40" s="26" t="n"/>
      <c r="AD40" s="0">
        <f>SUM(Y40,AA40,AC40)</f>
        <v/>
      </c>
      <c r="AE40" s="0">
        <f>X40*Y40+Z40*AA40+AB40*AC40</f>
        <v/>
      </c>
      <c r="AF40" s="0">
        <f>TEXTJOIN(", ",TRUE,IF(AND(X40&gt;0,Y40&gt;0),TEXT(X40,"0.00")&amp;"ct x "&amp;Y40,""),IF(AND(Z40&gt;0,AA40&gt;0),TEXT(Z40,"0.00")&amp;"ct x "&amp;AA40,""),IF(AND(AB40&gt;0,AC40&gt;0),TEXT(AB40,"0.00")&amp;"ct x "&amp;AC40,""))</f>
        <v/>
      </c>
      <c r="AG40" s="0">
        <f>X40*Y40*SUMIFS($AM$2:$AM$11,$AK$2:$AK$11,"&lt;="&amp;X40,$AL$2:$AL$11,"&gt;="&amp;X40)+Z40*AA40*SUMIFS($AM$2:$AM$11,$AK$2:$AK$11,"&lt;="&amp;Z40,$AL$2:$AL$11,"&gt;="&amp;Z40)+AB40*AC40*SUMIFS($AM$2:$AM$11,$AK$2:$AK$11,"&lt;="&amp;AB40,$AL$2:$AL$11,"&gt;="&amp;AB40)</f>
        <v/>
      </c>
      <c r="AH40" s="0">
        <f>AG40*(1-40%)</f>
        <v/>
      </c>
      <c r="AI40" s="0">
        <f>AH40*1.2</f>
        <v/>
      </c>
    </row>
    <row r="41">
      <c r="A41" s="26" t="n"/>
      <c r="B41" s="169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>
        <f>AG41</f>
        <v/>
      </c>
      <c r="T41" s="26">
        <f>AI41+Q41+P41</f>
        <v/>
      </c>
      <c r="U41" s="26" t="n"/>
      <c r="V41" s="26" t="n"/>
      <c r="W41" s="169" t="n"/>
      <c r="X41" s="26" t="n"/>
      <c r="Y41" s="26" t="n"/>
      <c r="Z41" s="26" t="n"/>
      <c r="AA41" s="26" t="n"/>
      <c r="AD41" s="0">
        <f>SUM(Y41,AA41,AC41)</f>
        <v/>
      </c>
      <c r="AE41" s="0">
        <f>X41*Y41+Z41*AA41+AB41*AC41</f>
        <v/>
      </c>
      <c r="AF41" s="0">
        <f>TEXTJOIN(", ",TRUE,IF(AND(X41&gt;0,Y41&gt;0),TEXT(X41,"0.00")&amp;"ct x "&amp;Y41,""),IF(AND(Z41&gt;0,AA41&gt;0),TEXT(Z41,"0.00")&amp;"ct x "&amp;AA41,""),IF(AND(AB41&gt;0,AC41&gt;0),TEXT(AB41,"0.00")&amp;"ct x "&amp;AC41,""))</f>
        <v/>
      </c>
      <c r="AG41" s="0">
        <f>X41*Y41*SUMIFS($AM$2:$AM$11,$AK$2:$AK$11,"&lt;="&amp;X41,$AL$2:$AL$11,"&gt;="&amp;X41)+Z41*AA41*SUMIFS($AM$2:$AM$11,$AK$2:$AK$11,"&lt;="&amp;Z41,$AL$2:$AL$11,"&gt;="&amp;Z41)+AB41*AC41*SUMIFS($AM$2:$AM$11,$AK$2:$AK$11,"&lt;="&amp;AB41,$AL$2:$AL$11,"&gt;="&amp;AB41)</f>
        <v/>
      </c>
      <c r="AH41" s="0">
        <f>AG41*(1-40%)</f>
        <v/>
      </c>
      <c r="AI41" s="0">
        <f>AH41*1.2</f>
        <v/>
      </c>
    </row>
    <row r="42">
      <c r="A42" s="26" t="n"/>
      <c r="B42" s="169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>
        <f>AG42</f>
        <v/>
      </c>
      <c r="T42" s="26">
        <f>AI42+Q42+P42</f>
        <v/>
      </c>
      <c r="U42" s="26" t="n"/>
      <c r="V42" s="26" t="n"/>
      <c r="W42" s="169" t="n"/>
      <c r="X42" s="26" t="n"/>
      <c r="Y42" s="26" t="n"/>
      <c r="Z42" s="26" t="n"/>
      <c r="AA42" s="26" t="n"/>
      <c r="AD42" s="0">
        <f>SUM(Y42,AA42,AC42)</f>
        <v/>
      </c>
      <c r="AE42" s="0">
        <f>X42*Y42+Z42*AA42+AB42*AC42</f>
        <v/>
      </c>
      <c r="AF42" s="0">
        <f>TEXTJOIN(", ",TRUE,IF(AND(X42&gt;0,Y42&gt;0),TEXT(X42,"0.00")&amp;"ct x "&amp;Y42,""),IF(AND(Z42&gt;0,AA42&gt;0),TEXT(Z42,"0.00")&amp;"ct x "&amp;AA42,""),IF(AND(AB42&gt;0,AC42&gt;0),TEXT(AB42,"0.00")&amp;"ct x "&amp;AC42,""))</f>
        <v/>
      </c>
      <c r="AG42" s="0">
        <f>X42*Y42*SUMIFS($AM$2:$AM$11,$AK$2:$AK$11,"&lt;="&amp;X42,$AL$2:$AL$11,"&gt;="&amp;X42)+Z42*AA42*SUMIFS($AM$2:$AM$11,$AK$2:$AK$11,"&lt;="&amp;Z42,$AL$2:$AL$11,"&gt;="&amp;Z42)+AB42*AC42*SUMIFS($AM$2:$AM$11,$AK$2:$AK$11,"&lt;="&amp;AB42,$AL$2:$AL$11,"&gt;="&amp;AB42)</f>
        <v/>
      </c>
      <c r="AH42" s="0">
        <f>AG42*(1-40%)</f>
        <v/>
      </c>
      <c r="AI42" s="0">
        <f>AH42*1.2</f>
        <v/>
      </c>
    </row>
    <row r="43">
      <c r="A43" s="26" t="n"/>
      <c r="B43" s="169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>
        <f>AG43</f>
        <v/>
      </c>
      <c r="T43" s="26">
        <f>AI43+Q43+P43</f>
        <v/>
      </c>
      <c r="U43" s="26" t="n"/>
      <c r="V43" s="26" t="n"/>
      <c r="W43" s="169" t="n"/>
      <c r="X43" s="26" t="n"/>
      <c r="Y43" s="26" t="n"/>
      <c r="Z43" s="26" t="n"/>
      <c r="AA43" s="26" t="n"/>
      <c r="AD43" s="0">
        <f>SUM(Y43,AA43,AC43)</f>
        <v/>
      </c>
      <c r="AE43" s="0">
        <f>X43*Y43+Z43*AA43+AB43*AC43</f>
        <v/>
      </c>
      <c r="AF43" s="0">
        <f>TEXTJOIN(", ",TRUE,IF(AND(X43&gt;0,Y43&gt;0),TEXT(X43,"0.00")&amp;"ct x "&amp;Y43,""),IF(AND(Z43&gt;0,AA43&gt;0),TEXT(Z43,"0.00")&amp;"ct x "&amp;AA43,""),IF(AND(AB43&gt;0,AC43&gt;0),TEXT(AB43,"0.00")&amp;"ct x "&amp;AC43,""))</f>
        <v/>
      </c>
      <c r="AG43" s="0">
        <f>X43*Y43*SUMIFS($AM$2:$AM$11,$AK$2:$AK$11,"&lt;="&amp;X43,$AL$2:$AL$11,"&gt;="&amp;X43)+Z43*AA43*SUMIFS($AM$2:$AM$11,$AK$2:$AK$11,"&lt;="&amp;Z43,$AL$2:$AL$11,"&gt;="&amp;Z43)+AB43*AC43*SUMIFS($AM$2:$AM$11,$AK$2:$AK$11,"&lt;="&amp;AB43,$AL$2:$AL$11,"&gt;="&amp;AB43)</f>
        <v/>
      </c>
      <c r="AH43" s="0">
        <f>AG43*(1-40%)</f>
        <v/>
      </c>
      <c r="AI43" s="0">
        <f>AH43*1.2</f>
        <v/>
      </c>
    </row>
    <row r="44">
      <c r="A44" s="26" t="n"/>
      <c r="B44" s="169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>
        <f>AG44</f>
        <v/>
      </c>
      <c r="T44" s="26">
        <f>AI44+Q44+P44</f>
        <v/>
      </c>
      <c r="U44" s="26" t="n"/>
      <c r="V44" s="26" t="n"/>
      <c r="W44" s="169" t="n"/>
      <c r="X44" s="26" t="n"/>
      <c r="Y44" s="26" t="n"/>
      <c r="Z44" s="26" t="n"/>
      <c r="AA44" s="26" t="n"/>
      <c r="AD44" s="0">
        <f>SUM(Y44,AA44,AC44)</f>
        <v/>
      </c>
      <c r="AE44" s="0">
        <f>X44*Y44+Z44*AA44+AB44*AC44</f>
        <v/>
      </c>
      <c r="AF44" s="0">
        <f>TEXTJOIN(", ",TRUE,IF(AND(X44&gt;0,Y44&gt;0),TEXT(X44,"0.00")&amp;"ct x "&amp;Y44,""),IF(AND(Z44&gt;0,AA44&gt;0),TEXT(Z44,"0.00")&amp;"ct x "&amp;AA44,""),IF(AND(AB44&gt;0,AC44&gt;0),TEXT(AB44,"0.00")&amp;"ct x "&amp;AC44,""))</f>
        <v/>
      </c>
      <c r="AG44" s="0">
        <f>X44*Y44*SUMIFS($AM$2:$AM$11,$AK$2:$AK$11,"&lt;="&amp;X44,$AL$2:$AL$11,"&gt;="&amp;X44)+Z44*AA44*SUMIFS($AM$2:$AM$11,$AK$2:$AK$11,"&lt;="&amp;Z44,$AL$2:$AL$11,"&gt;="&amp;Z44)+AB44*AC44*SUMIFS($AM$2:$AM$11,$AK$2:$AK$11,"&lt;="&amp;AB44,$AL$2:$AL$11,"&gt;="&amp;AB44)</f>
        <v/>
      </c>
      <c r="AH44" s="0">
        <f>AG44*(1-40%)</f>
        <v/>
      </c>
      <c r="AI44" s="0">
        <f>AH44*1.2</f>
        <v/>
      </c>
    </row>
    <row r="45">
      <c r="A45" s="26" t="n"/>
      <c r="B45" s="169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>
        <f>AG45</f>
        <v/>
      </c>
      <c r="T45" s="26">
        <f>AI45+Q45+P45</f>
        <v/>
      </c>
      <c r="U45" s="26" t="n"/>
      <c r="V45" s="26" t="n"/>
      <c r="W45" s="169" t="n"/>
      <c r="X45" s="26" t="n"/>
      <c r="Y45" s="26" t="n"/>
      <c r="Z45" s="26" t="n"/>
      <c r="AA45" s="26" t="n"/>
      <c r="AD45" s="0">
        <f>SUM(Y45,AA45,AC45)</f>
        <v/>
      </c>
      <c r="AE45" s="0">
        <f>X45*Y45+Z45*AA45+AB45*AC45</f>
        <v/>
      </c>
      <c r="AF45" s="0">
        <f>TEXTJOIN(", ",TRUE,IF(AND(X45&gt;0,Y45&gt;0),TEXT(X45,"0.00")&amp;"ct x "&amp;Y45,""),IF(AND(Z45&gt;0,AA45&gt;0),TEXT(Z45,"0.00")&amp;"ct x "&amp;AA45,""),IF(AND(AB45&gt;0,AC45&gt;0),TEXT(AB45,"0.00")&amp;"ct x "&amp;AC45,""))</f>
        <v/>
      </c>
      <c r="AG45" s="0">
        <f>X45*Y45*SUMIFS($AM$2:$AM$11,$AK$2:$AK$11,"&lt;="&amp;X45,$AL$2:$AL$11,"&gt;="&amp;X45)+Z45*AA45*SUMIFS($AM$2:$AM$11,$AK$2:$AK$11,"&lt;="&amp;Z45,$AL$2:$AL$11,"&gt;="&amp;Z45)+AB45*AC45*SUMIFS($AM$2:$AM$11,$AK$2:$AK$11,"&lt;="&amp;AB45,$AL$2:$AL$11,"&gt;="&amp;AB45)</f>
        <v/>
      </c>
      <c r="AH45" s="0">
        <f>AG45*(1-40%)</f>
        <v/>
      </c>
      <c r="AI45" s="0">
        <f>AH45*1.2</f>
        <v/>
      </c>
    </row>
    <row r="46">
      <c r="A46" s="26" t="n"/>
      <c r="B46" s="169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>
        <f>AG46</f>
        <v/>
      </c>
      <c r="T46" s="26">
        <f>AI46+Q46+P46</f>
        <v/>
      </c>
      <c r="U46" s="26" t="n"/>
      <c r="V46" s="26" t="n"/>
      <c r="W46" s="169" t="n"/>
      <c r="X46" s="26" t="n"/>
      <c r="Y46" s="26" t="n"/>
      <c r="Z46" s="26" t="n"/>
      <c r="AA46" s="26" t="n"/>
      <c r="AD46" s="0">
        <f>SUM(Y46,AA46,AC46)</f>
        <v/>
      </c>
      <c r="AE46" s="0">
        <f>X46*Y46+Z46*AA46+AB46*AC46</f>
        <v/>
      </c>
      <c r="AF46" s="0">
        <f>TEXTJOIN(", ",TRUE,IF(AND(X46&gt;0,Y46&gt;0),TEXT(X46,"0.00")&amp;"ct x "&amp;Y46,""),IF(AND(Z46&gt;0,AA46&gt;0),TEXT(Z46,"0.00")&amp;"ct x "&amp;AA46,""),IF(AND(AB46&gt;0,AC46&gt;0),TEXT(AB46,"0.00")&amp;"ct x "&amp;AC46,""))</f>
        <v/>
      </c>
      <c r="AG46" s="0">
        <f>X46*Y46*SUMIFS($AM$2:$AM$11,$AK$2:$AK$11,"&lt;="&amp;X46,$AL$2:$AL$11,"&gt;="&amp;X46)+Z46*AA46*SUMIFS($AM$2:$AM$11,$AK$2:$AK$11,"&lt;="&amp;Z46,$AL$2:$AL$11,"&gt;="&amp;Z46)+AB46*AC46*SUMIFS($AM$2:$AM$11,$AK$2:$AK$11,"&lt;="&amp;AB46,$AL$2:$AL$11,"&gt;="&amp;AB46)</f>
        <v/>
      </c>
      <c r="AH46" s="0">
        <f>AG46*(1-40%)</f>
        <v/>
      </c>
      <c r="AI46" s="0">
        <f>AH46*1.2</f>
        <v/>
      </c>
    </row>
    <row r="47">
      <c r="A47" s="26" t="n"/>
      <c r="B47" s="169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>
        <f>AG47</f>
        <v/>
      </c>
      <c r="T47" s="26">
        <f>AI47+Q47+P47</f>
        <v/>
      </c>
      <c r="U47" s="26" t="n"/>
      <c r="V47" s="26" t="n"/>
      <c r="W47" s="169" t="n"/>
      <c r="X47" s="26" t="n"/>
      <c r="Y47" s="26" t="n"/>
      <c r="Z47" s="26" t="n"/>
      <c r="AA47" s="26" t="n"/>
      <c r="AD47" s="0">
        <f>SUM(Y47,AA47,AC47)</f>
        <v/>
      </c>
      <c r="AE47" s="0">
        <f>X47*Y47+Z47*AA47+AB47*AC47</f>
        <v/>
      </c>
      <c r="AF47" s="0">
        <f>TEXTJOIN(", ",TRUE,IF(AND(X47&gt;0,Y47&gt;0),TEXT(X47,"0.00")&amp;"ct x "&amp;Y47,""),IF(AND(Z47&gt;0,AA47&gt;0),TEXT(Z47,"0.00")&amp;"ct x "&amp;AA47,""),IF(AND(AB47&gt;0,AC47&gt;0),TEXT(AB47,"0.00")&amp;"ct x "&amp;AC47,""))</f>
        <v/>
      </c>
      <c r="AG47" s="0">
        <f>X47*Y47*SUMIFS($AM$2:$AM$11,$AK$2:$AK$11,"&lt;="&amp;X47,$AL$2:$AL$11,"&gt;="&amp;X47)+Z47*AA47*SUMIFS($AM$2:$AM$11,$AK$2:$AK$11,"&lt;="&amp;Z47,$AL$2:$AL$11,"&gt;="&amp;Z47)+AB47*AC47*SUMIFS($AM$2:$AM$11,$AK$2:$AK$11,"&lt;="&amp;AB47,$AL$2:$AL$11,"&gt;="&amp;AB47)</f>
        <v/>
      </c>
      <c r="AH47" s="0">
        <f>AG47*(1-40%)</f>
        <v/>
      </c>
      <c r="AI47" s="0">
        <f>AH47*1.2</f>
        <v/>
      </c>
    </row>
    <row r="48">
      <c r="A48" s="26" t="n"/>
      <c r="B48" s="169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>
        <f>AG48</f>
        <v/>
      </c>
      <c r="T48" s="26">
        <f>AI48+Q48+P48</f>
        <v/>
      </c>
      <c r="U48" s="26" t="n"/>
      <c r="V48" s="26" t="n"/>
      <c r="W48" s="169" t="n"/>
      <c r="X48" s="26" t="n"/>
      <c r="Y48" s="26" t="n"/>
      <c r="Z48" s="26" t="n"/>
      <c r="AA48" s="26" t="n"/>
      <c r="AD48" s="0">
        <f>SUM(Y48,AA48,AC48)</f>
        <v/>
      </c>
      <c r="AE48" s="0">
        <f>X48*Y48+Z48*AA48+AB48*AC48</f>
        <v/>
      </c>
      <c r="AF48" s="0">
        <f>TEXTJOIN(", ",TRUE,IF(AND(X48&gt;0,Y48&gt;0),TEXT(X48,"0.00")&amp;"ct x "&amp;Y48,""),IF(AND(Z48&gt;0,AA48&gt;0),TEXT(Z48,"0.00")&amp;"ct x "&amp;AA48,""),IF(AND(AB48&gt;0,AC48&gt;0),TEXT(AB48,"0.00")&amp;"ct x "&amp;AC48,""))</f>
        <v/>
      </c>
      <c r="AG48" s="0">
        <f>X48*Y48*SUMIFS($AM$2:$AM$11,$AK$2:$AK$11,"&lt;="&amp;X48,$AL$2:$AL$11,"&gt;="&amp;X48)+Z48*AA48*SUMIFS($AM$2:$AM$11,$AK$2:$AK$11,"&lt;="&amp;Z48,$AL$2:$AL$11,"&gt;="&amp;Z48)+AB48*AC48*SUMIFS($AM$2:$AM$11,$AK$2:$AK$11,"&lt;="&amp;AB48,$AL$2:$AL$11,"&gt;="&amp;AB48)</f>
        <v/>
      </c>
      <c r="AH48" s="0">
        <f>AG48*(1-40%)</f>
        <v/>
      </c>
      <c r="AI48" s="0">
        <f>AH48*1.2</f>
        <v/>
      </c>
    </row>
    <row r="49">
      <c r="A49" s="26" t="n"/>
      <c r="B49" s="169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>
        <f>AG49</f>
        <v/>
      </c>
      <c r="T49" s="26">
        <f>AI49+Q49+P49</f>
        <v/>
      </c>
      <c r="U49" s="26" t="n"/>
      <c r="V49" s="26" t="n"/>
      <c r="W49" s="169" t="n"/>
      <c r="X49" s="26" t="n"/>
      <c r="Y49" s="26" t="n"/>
      <c r="Z49" s="26" t="n"/>
      <c r="AA49" s="26" t="n"/>
      <c r="AD49" s="0">
        <f>SUM(Y49,AA49,AC49)</f>
        <v/>
      </c>
      <c r="AE49" s="0">
        <f>X49*Y49+Z49*AA49+AB49*AC49</f>
        <v/>
      </c>
      <c r="AF49" s="0">
        <f>TEXTJOIN(", ",TRUE,IF(AND(X49&gt;0,Y49&gt;0),TEXT(X49,"0.00")&amp;"ct x "&amp;Y49,""),IF(AND(Z49&gt;0,AA49&gt;0),TEXT(Z49,"0.00")&amp;"ct x "&amp;AA49,""),IF(AND(AB49&gt;0,AC49&gt;0),TEXT(AB49,"0.00")&amp;"ct x "&amp;AC49,""))</f>
        <v/>
      </c>
      <c r="AG49" s="0">
        <f>X49*Y49*SUMIFS($AM$2:$AM$11,$AK$2:$AK$11,"&lt;="&amp;X49,$AL$2:$AL$11,"&gt;="&amp;X49)+Z49*AA49*SUMIFS($AM$2:$AM$11,$AK$2:$AK$11,"&lt;="&amp;Z49,$AL$2:$AL$11,"&gt;="&amp;Z49)+AB49*AC49*SUMIFS($AM$2:$AM$11,$AK$2:$AK$11,"&lt;="&amp;AB49,$AL$2:$AL$11,"&gt;="&amp;AB49)</f>
        <v/>
      </c>
      <c r="AH49" s="0">
        <f>AG49*(1-40%)</f>
        <v/>
      </c>
      <c r="AI49" s="0">
        <f>AH49*1.2</f>
        <v/>
      </c>
    </row>
    <row r="50">
      <c r="A50" s="26" t="n"/>
      <c r="B50" s="169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>
        <f>AG50</f>
        <v/>
      </c>
      <c r="T50" s="26">
        <f>AI50+Q50+P50</f>
        <v/>
      </c>
      <c r="U50" s="26" t="n"/>
      <c r="V50" s="26" t="n"/>
      <c r="W50" s="169" t="n"/>
      <c r="X50" s="26" t="n"/>
      <c r="Y50" s="26" t="n"/>
      <c r="Z50" s="26" t="n"/>
      <c r="AA50" s="26" t="n"/>
      <c r="AD50" s="0">
        <f>SUM(Y50,AA50,AC50)</f>
        <v/>
      </c>
      <c r="AE50" s="0">
        <f>X50*Y50+Z50*AA50+AB50*AC50</f>
        <v/>
      </c>
      <c r="AF50" s="0">
        <f>TEXTJOIN(", ",TRUE,IF(AND(X50&gt;0,Y50&gt;0),TEXT(X50,"0.00")&amp;"ct x "&amp;Y50,""),IF(AND(Z50&gt;0,AA50&gt;0),TEXT(Z50,"0.00")&amp;"ct x "&amp;AA50,""),IF(AND(AB50&gt;0,AC50&gt;0),TEXT(AB50,"0.00")&amp;"ct x "&amp;AC50,""))</f>
        <v/>
      </c>
      <c r="AG50" s="0">
        <f>X50*Y50*SUMIFS($AM$2:$AM$11,$AK$2:$AK$11,"&lt;="&amp;X50,$AL$2:$AL$11,"&gt;="&amp;X50)+Z50*AA50*SUMIFS($AM$2:$AM$11,$AK$2:$AK$11,"&lt;="&amp;Z50,$AL$2:$AL$11,"&gt;="&amp;Z50)+AB50*AC50*SUMIFS($AM$2:$AM$11,$AK$2:$AK$11,"&lt;="&amp;AB50,$AL$2:$AL$11,"&gt;="&amp;AB50)</f>
        <v/>
      </c>
      <c r="AH50" s="0">
        <f>AG50*(1-40%)</f>
        <v/>
      </c>
      <c r="AI50" s="0">
        <f>AH50*1.2</f>
        <v/>
      </c>
    </row>
    <row r="51">
      <c r="A51" s="26" t="n"/>
      <c r="B51" s="169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>
        <f>AG51</f>
        <v/>
      </c>
      <c r="T51" s="26">
        <f>AI51+Q51+P51</f>
        <v/>
      </c>
      <c r="U51" s="26" t="n"/>
      <c r="V51" s="26" t="n"/>
      <c r="W51" s="169" t="n"/>
      <c r="X51" s="26" t="n"/>
      <c r="Y51" s="26" t="n"/>
      <c r="Z51" s="26" t="n"/>
      <c r="AA51" s="26" t="n"/>
      <c r="AD51" s="0">
        <f>SUM(Y51,AA51,AC51)</f>
        <v/>
      </c>
      <c r="AE51" s="0">
        <f>X51*Y51+Z51*AA51+AB51*AC51</f>
        <v/>
      </c>
      <c r="AF51" s="0">
        <f>TEXTJOIN(", ",TRUE,IF(AND(X51&gt;0,Y51&gt;0),TEXT(X51,"0.00")&amp;"ct x "&amp;Y51,""),IF(AND(Z51&gt;0,AA51&gt;0),TEXT(Z51,"0.00")&amp;"ct x "&amp;AA51,""),IF(AND(AB51&gt;0,AC51&gt;0),TEXT(AB51,"0.00")&amp;"ct x "&amp;AC51,""))</f>
        <v/>
      </c>
      <c r="AG51" s="0">
        <f>X51*Y51*SUMIFS($AM$2:$AM$11,$AK$2:$AK$11,"&lt;="&amp;X51,$AL$2:$AL$11,"&gt;="&amp;X51)+Z51*AA51*SUMIFS($AM$2:$AM$11,$AK$2:$AK$11,"&lt;="&amp;Z51,$AL$2:$AL$11,"&gt;="&amp;Z51)+AB51*AC51*SUMIFS($AM$2:$AM$11,$AK$2:$AK$11,"&lt;="&amp;AB51,$AL$2:$AL$11,"&gt;="&amp;AB51)</f>
        <v/>
      </c>
      <c r="AH51" s="0">
        <f>AG51*(1-40%)</f>
        <v/>
      </c>
      <c r="AI51" s="0">
        <f>AH51*1.2</f>
        <v/>
      </c>
    </row>
    <row r="52">
      <c r="A52" s="26" t="n"/>
      <c r="B52" s="169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>
        <f>AG52</f>
        <v/>
      </c>
      <c r="T52" s="26">
        <f>AI52+Q52+P52</f>
        <v/>
      </c>
      <c r="U52" s="26" t="n"/>
      <c r="V52" s="26" t="n"/>
      <c r="W52" s="169" t="n"/>
      <c r="X52" s="26" t="n"/>
      <c r="Y52" s="26" t="n"/>
      <c r="Z52" s="26" t="n"/>
      <c r="AA52" s="26" t="n"/>
      <c r="AD52" s="0">
        <f>SUM(Y52,AA52,AC52)</f>
        <v/>
      </c>
      <c r="AE52" s="0">
        <f>X52*Y52+Z52*AA52+AB52*AC52</f>
        <v/>
      </c>
      <c r="AF52" s="0">
        <f>TEXTJOIN(", ",TRUE,IF(AND(X52&gt;0,Y52&gt;0),TEXT(X52,"0.00")&amp;"ct x "&amp;Y52,""),IF(AND(Z52&gt;0,AA52&gt;0),TEXT(Z52,"0.00")&amp;"ct x "&amp;AA52,""),IF(AND(AB52&gt;0,AC52&gt;0),TEXT(AB52,"0.00")&amp;"ct x "&amp;AC52,""))</f>
        <v/>
      </c>
      <c r="AG52" s="0">
        <f>X52*Y52*SUMIFS($AM$2:$AM$11,$AK$2:$AK$11,"&lt;="&amp;X52,$AL$2:$AL$11,"&gt;="&amp;X52)+Z52*AA52*SUMIFS($AM$2:$AM$11,$AK$2:$AK$11,"&lt;="&amp;Z52,$AL$2:$AL$11,"&gt;="&amp;Z52)+AB52*AC52*SUMIFS($AM$2:$AM$11,$AK$2:$AK$11,"&lt;="&amp;AB52,$AL$2:$AL$11,"&gt;="&amp;AB52)</f>
        <v/>
      </c>
      <c r="AH52" s="0">
        <f>AG52*(1-40%)</f>
        <v/>
      </c>
      <c r="AI52" s="0">
        <f>AH52*1.2</f>
        <v/>
      </c>
    </row>
    <row r="53">
      <c r="A53" s="26" t="n"/>
      <c r="B53" s="169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>
        <f>AG53</f>
        <v/>
      </c>
      <c r="T53" s="26">
        <f>AI53+Q53+P53</f>
        <v/>
      </c>
      <c r="U53" s="26" t="n"/>
      <c r="V53" s="26" t="n"/>
      <c r="W53" s="169" t="n"/>
      <c r="X53" s="26" t="n"/>
      <c r="Y53" s="26" t="n"/>
      <c r="Z53" s="26" t="n"/>
      <c r="AA53" s="26" t="n"/>
      <c r="AD53" s="0">
        <f>SUM(Y53,AA53,AC53)</f>
        <v/>
      </c>
      <c r="AE53" s="0">
        <f>X53*Y53+Z53*AA53+AB53*AC53</f>
        <v/>
      </c>
      <c r="AF53" s="0">
        <f>TEXTJOIN(", ",TRUE,IF(AND(X53&gt;0,Y53&gt;0),TEXT(X53,"0.00")&amp;"ct x "&amp;Y53,""),IF(AND(Z53&gt;0,AA53&gt;0),TEXT(Z53,"0.00")&amp;"ct x "&amp;AA53,""),IF(AND(AB53&gt;0,AC53&gt;0),TEXT(AB53,"0.00")&amp;"ct x "&amp;AC53,""))</f>
        <v/>
      </c>
      <c r="AG53" s="0">
        <f>X53*Y53*SUMIFS($AM$2:$AM$11,$AK$2:$AK$11,"&lt;="&amp;X53,$AL$2:$AL$11,"&gt;="&amp;X53)+Z53*AA53*SUMIFS($AM$2:$AM$11,$AK$2:$AK$11,"&lt;="&amp;Z53,$AL$2:$AL$11,"&gt;="&amp;Z53)+AB53*AC53*SUMIFS($AM$2:$AM$11,$AK$2:$AK$11,"&lt;="&amp;AB53,$AL$2:$AL$11,"&gt;="&amp;AB53)</f>
        <v/>
      </c>
      <c r="AH53" s="0">
        <f>AG53*(1-40%)</f>
        <v/>
      </c>
      <c r="AI53" s="0">
        <f>AH53*1.2</f>
        <v/>
      </c>
    </row>
    <row r="54">
      <c r="A54" s="26" t="n"/>
      <c r="B54" s="169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>
        <f>AG54</f>
        <v/>
      </c>
      <c r="T54" s="26">
        <f>AI54+Q54+P54</f>
        <v/>
      </c>
      <c r="U54" s="26" t="n"/>
      <c r="V54" s="26" t="n"/>
      <c r="W54" s="169" t="n"/>
      <c r="X54" s="26" t="n"/>
      <c r="Y54" s="26" t="n"/>
      <c r="Z54" s="26" t="n"/>
      <c r="AA54" s="26" t="n"/>
      <c r="AD54" s="0">
        <f>SUM(Y54,AA54,AC54)</f>
        <v/>
      </c>
      <c r="AE54" s="0">
        <f>X54*Y54+Z54*AA54+AB54*AC54</f>
        <v/>
      </c>
      <c r="AF54" s="0">
        <f>TEXTJOIN(", ",TRUE,IF(AND(X54&gt;0,Y54&gt;0),TEXT(X54,"0.00")&amp;"ct x "&amp;Y54,""),IF(AND(Z54&gt;0,AA54&gt;0),TEXT(Z54,"0.00")&amp;"ct x "&amp;AA54,""),IF(AND(AB54&gt;0,AC54&gt;0),TEXT(AB54,"0.00")&amp;"ct x "&amp;AC54,""))</f>
        <v/>
      </c>
      <c r="AG54" s="0">
        <f>X54*Y54*SUMIFS($AM$2:$AM$11,$AK$2:$AK$11,"&lt;="&amp;X54,$AL$2:$AL$11,"&gt;="&amp;X54)+Z54*AA54*SUMIFS($AM$2:$AM$11,$AK$2:$AK$11,"&lt;="&amp;Z54,$AL$2:$AL$11,"&gt;="&amp;Z54)+AB54*AC54*SUMIFS($AM$2:$AM$11,$AK$2:$AK$11,"&lt;="&amp;AB54,$AL$2:$AL$11,"&gt;="&amp;AB54)</f>
        <v/>
      </c>
      <c r="AH54" s="0">
        <f>AG54*(1-40%)</f>
        <v/>
      </c>
      <c r="AI54" s="0">
        <f>AH54*1.2</f>
        <v/>
      </c>
    </row>
    <row r="55">
      <c r="A55" s="26" t="n"/>
      <c r="B55" s="169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>
        <f>AG55</f>
        <v/>
      </c>
      <c r="T55" s="26">
        <f>AI55+Q55+P55</f>
        <v/>
      </c>
      <c r="U55" s="26" t="n"/>
      <c r="V55" s="26" t="n"/>
      <c r="W55" s="169" t="n"/>
      <c r="X55" s="26" t="n"/>
      <c r="Y55" s="26" t="n"/>
      <c r="Z55" s="26" t="n"/>
      <c r="AA55" s="26" t="n"/>
      <c r="AD55" s="0">
        <f>SUM(Y55,AA55,AC55)</f>
        <v/>
      </c>
      <c r="AE55" s="0">
        <f>X55*Y55+Z55*AA55+AB55*AC55</f>
        <v/>
      </c>
      <c r="AF55" s="0">
        <f>TEXTJOIN(", ",TRUE,IF(AND(X55&gt;0,Y55&gt;0),TEXT(X55,"0.00")&amp;"ct x "&amp;Y55,""),IF(AND(Z55&gt;0,AA55&gt;0),TEXT(Z55,"0.00")&amp;"ct x "&amp;AA55,""),IF(AND(AB55&gt;0,AC55&gt;0),TEXT(AB55,"0.00")&amp;"ct x "&amp;AC55,""))</f>
        <v/>
      </c>
      <c r="AG55" s="0">
        <f>X55*Y55*SUMIFS($AM$2:$AM$11,$AK$2:$AK$11,"&lt;="&amp;X55,$AL$2:$AL$11,"&gt;="&amp;X55)+Z55*AA55*SUMIFS($AM$2:$AM$11,$AK$2:$AK$11,"&lt;="&amp;Z55,$AL$2:$AL$11,"&gt;="&amp;Z55)+AB55*AC55*SUMIFS($AM$2:$AM$11,$AK$2:$AK$11,"&lt;="&amp;AB55,$AL$2:$AL$11,"&gt;="&amp;AB55)</f>
        <v/>
      </c>
      <c r="AH55" s="0">
        <f>AG55*(1-40%)</f>
        <v/>
      </c>
      <c r="AI55" s="0">
        <f>AH55*1.2</f>
        <v/>
      </c>
    </row>
    <row r="56">
      <c r="A56" s="26" t="n"/>
      <c r="B56" s="169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>
        <f>AG56</f>
        <v/>
      </c>
      <c r="T56" s="26">
        <f>AI56+Q56+P56</f>
        <v/>
      </c>
      <c r="U56" s="26" t="n"/>
      <c r="V56" s="26" t="n"/>
      <c r="W56" s="169" t="n"/>
      <c r="X56" s="26" t="n"/>
      <c r="Y56" s="26" t="n"/>
      <c r="Z56" s="26" t="n"/>
      <c r="AA56" s="26" t="n"/>
      <c r="AD56" s="0">
        <f>SUM(Y56,AA56,AC56)</f>
        <v/>
      </c>
      <c r="AE56" s="0">
        <f>X56*Y56+Z56*AA56+AB56*AC56</f>
        <v/>
      </c>
      <c r="AF56" s="0">
        <f>TEXTJOIN(", ",TRUE,IF(AND(X56&gt;0,Y56&gt;0),TEXT(X56,"0.00")&amp;"ct x "&amp;Y56,""),IF(AND(Z56&gt;0,AA56&gt;0),TEXT(Z56,"0.00")&amp;"ct x "&amp;AA56,""),IF(AND(AB56&gt;0,AC56&gt;0),TEXT(AB56,"0.00")&amp;"ct x "&amp;AC56,""))</f>
        <v/>
      </c>
      <c r="AG56" s="0">
        <f>X56*Y56*SUMIFS($AM$2:$AM$11,$AK$2:$AK$11,"&lt;="&amp;X56,$AL$2:$AL$11,"&gt;="&amp;X56)+Z56*AA56*SUMIFS($AM$2:$AM$11,$AK$2:$AK$11,"&lt;="&amp;Z56,$AL$2:$AL$11,"&gt;="&amp;Z56)+AB56*AC56*SUMIFS($AM$2:$AM$11,$AK$2:$AK$11,"&lt;="&amp;AB56,$AL$2:$AL$11,"&gt;="&amp;AB56)</f>
        <v/>
      </c>
      <c r="AH56" s="0">
        <f>AG56*(1-40%)</f>
        <v/>
      </c>
      <c r="AI56" s="0">
        <f>AH56*1.2</f>
        <v/>
      </c>
    </row>
    <row r="57">
      <c r="A57" s="26" t="n"/>
      <c r="B57" s="169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>
        <f>AG57</f>
        <v/>
      </c>
      <c r="T57" s="26">
        <f>AI57+Q57+P57</f>
        <v/>
      </c>
      <c r="U57" s="26" t="n"/>
      <c r="V57" s="26" t="n"/>
      <c r="W57" s="169" t="n"/>
      <c r="X57" s="26" t="n"/>
      <c r="Y57" s="26" t="n"/>
      <c r="Z57" s="26" t="n"/>
      <c r="AA57" s="26" t="n"/>
      <c r="AD57" s="0">
        <f>SUM(Y57,AA57,AC57)</f>
        <v/>
      </c>
      <c r="AE57" s="0">
        <f>X57*Y57+Z57*AA57+AB57*AC57</f>
        <v/>
      </c>
      <c r="AF57" s="0">
        <f>TEXTJOIN(", ",TRUE,IF(AND(X57&gt;0,Y57&gt;0),TEXT(X57,"0.00")&amp;"ct x "&amp;Y57,""),IF(AND(Z57&gt;0,AA57&gt;0),TEXT(Z57,"0.00")&amp;"ct x "&amp;AA57,""),IF(AND(AB57&gt;0,AC57&gt;0),TEXT(AB57,"0.00")&amp;"ct x "&amp;AC57,""))</f>
        <v/>
      </c>
      <c r="AG57" s="0">
        <f>X57*Y57*SUMIFS($AM$2:$AM$11,$AK$2:$AK$11,"&lt;="&amp;X57,$AL$2:$AL$11,"&gt;="&amp;X57)+Z57*AA57*SUMIFS($AM$2:$AM$11,$AK$2:$AK$11,"&lt;="&amp;Z57,$AL$2:$AL$11,"&gt;="&amp;Z57)+AB57*AC57*SUMIFS($AM$2:$AM$11,$AK$2:$AK$11,"&lt;="&amp;AB57,$AL$2:$AL$11,"&gt;="&amp;AB57)</f>
        <v/>
      </c>
      <c r="AH57" s="0">
        <f>AG57*(1-40%)</f>
        <v/>
      </c>
      <c r="AI57" s="0">
        <f>AH57*1.2</f>
        <v/>
      </c>
    </row>
    <row r="58">
      <c r="A58" s="26" t="n"/>
      <c r="B58" s="169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>
        <f>AG58</f>
        <v/>
      </c>
      <c r="T58" s="26">
        <f>AI58+Q58+P58</f>
        <v/>
      </c>
      <c r="U58" s="26" t="n"/>
      <c r="V58" s="26" t="n"/>
      <c r="W58" s="169" t="n"/>
      <c r="X58" s="26" t="n"/>
      <c r="Y58" s="26" t="n"/>
      <c r="Z58" s="26" t="n"/>
      <c r="AA58" s="26" t="n"/>
      <c r="AD58" s="0">
        <f>SUM(Y58,AA58,AC58)</f>
        <v/>
      </c>
      <c r="AE58" s="0">
        <f>X58*Y58+Z58*AA58+AB58*AC58</f>
        <v/>
      </c>
      <c r="AF58" s="0">
        <f>TEXTJOIN(", ",TRUE,IF(AND(X58&gt;0,Y58&gt;0),TEXT(X58,"0.00")&amp;"ct x "&amp;Y58,""),IF(AND(Z58&gt;0,AA58&gt;0),TEXT(Z58,"0.00")&amp;"ct x "&amp;AA58,""),IF(AND(AB58&gt;0,AC58&gt;0),TEXT(AB58,"0.00")&amp;"ct x "&amp;AC58,""))</f>
        <v/>
      </c>
      <c r="AG58" s="0">
        <f>X58*Y58*SUMIFS($AM$2:$AM$11,$AK$2:$AK$11,"&lt;="&amp;X58,$AL$2:$AL$11,"&gt;="&amp;X58)+Z58*AA58*SUMIFS($AM$2:$AM$11,$AK$2:$AK$11,"&lt;="&amp;Z58,$AL$2:$AL$11,"&gt;="&amp;Z58)+AB58*AC58*SUMIFS($AM$2:$AM$11,$AK$2:$AK$11,"&lt;="&amp;AB58,$AL$2:$AL$11,"&gt;="&amp;AB58)</f>
        <v/>
      </c>
      <c r="AH58" s="0">
        <f>AG58*(1-40%)</f>
        <v/>
      </c>
      <c r="AI58" s="0">
        <f>AH58*1.2</f>
        <v/>
      </c>
    </row>
    <row r="59">
      <c r="A59" s="26" t="n"/>
      <c r="B59" s="169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>
        <f>AG59</f>
        <v/>
      </c>
      <c r="T59" s="26">
        <f>AI59+Q59+P59</f>
        <v/>
      </c>
      <c r="U59" s="26" t="n"/>
      <c r="V59" s="26" t="n"/>
      <c r="W59" s="169" t="n"/>
      <c r="X59" s="26" t="n"/>
      <c r="Y59" s="26" t="n"/>
      <c r="Z59" s="26" t="n"/>
      <c r="AA59" s="26" t="n"/>
      <c r="AD59" s="0">
        <f>SUM(Y59,AA59,AC59)</f>
        <v/>
      </c>
      <c r="AE59" s="0">
        <f>X59*Y59+Z59*AA59+AB59*AC59</f>
        <v/>
      </c>
      <c r="AF59" s="0">
        <f>TEXTJOIN(", ",TRUE,IF(AND(X59&gt;0,Y59&gt;0),TEXT(X59,"0.00")&amp;"ct x "&amp;Y59,""),IF(AND(Z59&gt;0,AA59&gt;0),TEXT(Z59,"0.00")&amp;"ct x "&amp;AA59,""),IF(AND(AB59&gt;0,AC59&gt;0),TEXT(AB59,"0.00")&amp;"ct x "&amp;AC59,""))</f>
        <v/>
      </c>
      <c r="AG59" s="0">
        <f>X59*Y59*SUMIFS($AM$2:$AM$11,$AK$2:$AK$11,"&lt;="&amp;X59,$AL$2:$AL$11,"&gt;="&amp;X59)+Z59*AA59*SUMIFS($AM$2:$AM$11,$AK$2:$AK$11,"&lt;="&amp;Z59,$AL$2:$AL$11,"&gt;="&amp;Z59)+AB59*AC59*SUMIFS($AM$2:$AM$11,$AK$2:$AK$11,"&lt;="&amp;AB59,$AL$2:$AL$11,"&gt;="&amp;AB59)</f>
        <v/>
      </c>
      <c r="AH59" s="0">
        <f>AG59*(1-40%)</f>
        <v/>
      </c>
      <c r="AI59" s="0">
        <f>AH59*1.2</f>
        <v/>
      </c>
    </row>
    <row r="60">
      <c r="A60" s="26" t="n"/>
      <c r="B60" s="169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>
        <f>AG60</f>
        <v/>
      </c>
      <c r="T60" s="26">
        <f>AI60+Q60+P60</f>
        <v/>
      </c>
      <c r="U60" s="26" t="n"/>
      <c r="V60" s="26" t="n"/>
      <c r="W60" s="169" t="n"/>
      <c r="X60" s="26" t="n"/>
      <c r="Y60" s="26" t="n"/>
      <c r="Z60" s="26" t="n"/>
      <c r="AA60" s="26" t="n"/>
      <c r="AD60" s="0">
        <f>SUM(Y60,AA60,AC60)</f>
        <v/>
      </c>
      <c r="AE60" s="0">
        <f>X60*Y60+Z60*AA60+AB60*AC60</f>
        <v/>
      </c>
      <c r="AF60" s="0">
        <f>TEXTJOIN(", ",TRUE,IF(AND(X60&gt;0,Y60&gt;0),TEXT(X60,"0.00")&amp;"ct x "&amp;Y60,""),IF(AND(Z60&gt;0,AA60&gt;0),TEXT(Z60,"0.00")&amp;"ct x "&amp;AA60,""),IF(AND(AB60&gt;0,AC60&gt;0),TEXT(AB60,"0.00")&amp;"ct x "&amp;AC60,""))</f>
        <v/>
      </c>
      <c r="AG60" s="0">
        <f>X60*Y60*SUMIFS($AM$2:$AM$11,$AK$2:$AK$11,"&lt;="&amp;X60,$AL$2:$AL$11,"&gt;="&amp;X60)+Z60*AA60*SUMIFS($AM$2:$AM$11,$AK$2:$AK$11,"&lt;="&amp;Z60,$AL$2:$AL$11,"&gt;="&amp;Z60)+AB60*AC60*SUMIFS($AM$2:$AM$11,$AK$2:$AK$11,"&lt;="&amp;AB60,$AL$2:$AL$11,"&gt;="&amp;AB60)</f>
        <v/>
      </c>
      <c r="AH60" s="0">
        <f>AG60*(1-40%)</f>
        <v/>
      </c>
      <c r="AI60" s="0">
        <f>AH60*1.2</f>
        <v/>
      </c>
    </row>
    <row r="61">
      <c r="A61" s="26" t="n"/>
      <c r="B61" s="169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>
        <f>AG61</f>
        <v/>
      </c>
      <c r="T61" s="26">
        <f>AI61+Q61+P61</f>
        <v/>
      </c>
      <c r="U61" s="26" t="n"/>
      <c r="V61" s="26" t="n"/>
      <c r="W61" s="169" t="n"/>
      <c r="X61" s="26" t="n"/>
      <c r="Y61" s="26" t="n"/>
      <c r="Z61" s="26" t="n"/>
      <c r="AA61" s="26" t="n"/>
      <c r="AD61" s="0">
        <f>SUM(Y61,AA61,AC61)</f>
        <v/>
      </c>
      <c r="AE61" s="0">
        <f>X61*Y61+Z61*AA61+AB61*AC61</f>
        <v/>
      </c>
      <c r="AF61" s="0">
        <f>TEXTJOIN(", ",TRUE,IF(AND(X61&gt;0,Y61&gt;0),TEXT(X61,"0.00")&amp;"ct x "&amp;Y61,""),IF(AND(Z61&gt;0,AA61&gt;0),TEXT(Z61,"0.00")&amp;"ct x "&amp;AA61,""),IF(AND(AB61&gt;0,AC61&gt;0),TEXT(AB61,"0.00")&amp;"ct x "&amp;AC61,""))</f>
        <v/>
      </c>
      <c r="AG61" s="0">
        <f>X61*Y61*SUMIFS($AM$2:$AM$11,$AK$2:$AK$11,"&lt;="&amp;X61,$AL$2:$AL$11,"&gt;="&amp;X61)+Z61*AA61*SUMIFS($AM$2:$AM$11,$AK$2:$AK$11,"&lt;="&amp;Z61,$AL$2:$AL$11,"&gt;="&amp;Z61)+AB61*AC61*SUMIFS($AM$2:$AM$11,$AK$2:$AK$11,"&lt;="&amp;AB61,$AL$2:$AL$11,"&gt;="&amp;AB61)</f>
        <v/>
      </c>
      <c r="AH61" s="0">
        <f>AG61*(1-40%)</f>
        <v/>
      </c>
      <c r="AI61" s="0">
        <f>AH61*1.2</f>
        <v/>
      </c>
    </row>
    <row r="62">
      <c r="A62" s="26" t="n"/>
      <c r="B62" s="169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>
        <f>AG62</f>
        <v/>
      </c>
      <c r="T62" s="26">
        <f>AI62+Q62+P62</f>
        <v/>
      </c>
      <c r="U62" s="26" t="n"/>
      <c r="V62" s="26" t="n"/>
      <c r="W62" s="169" t="n"/>
      <c r="X62" s="26" t="n"/>
      <c r="Y62" s="26" t="n"/>
      <c r="Z62" s="26" t="n"/>
      <c r="AA62" s="26" t="n"/>
      <c r="AD62" s="0">
        <f>SUM(Y62,AA62,AC62)</f>
        <v/>
      </c>
      <c r="AE62" s="0">
        <f>X62*Y62+Z62*AA62+AB62*AC62</f>
        <v/>
      </c>
      <c r="AF62" s="0">
        <f>TEXTJOIN(", ",TRUE,IF(AND(X62&gt;0,Y62&gt;0),TEXT(X62,"0.00")&amp;"ct x "&amp;Y62,""),IF(AND(Z62&gt;0,AA62&gt;0),TEXT(Z62,"0.00")&amp;"ct x "&amp;AA62,""),IF(AND(AB62&gt;0,AC62&gt;0),TEXT(AB62,"0.00")&amp;"ct x "&amp;AC62,""))</f>
        <v/>
      </c>
      <c r="AG62" s="0">
        <f>X62*Y62*SUMIFS($AM$2:$AM$11,$AK$2:$AK$11,"&lt;="&amp;X62,$AL$2:$AL$11,"&gt;="&amp;X62)+Z62*AA62*SUMIFS($AM$2:$AM$11,$AK$2:$AK$11,"&lt;="&amp;Z62,$AL$2:$AL$11,"&gt;="&amp;Z62)+AB62*AC62*SUMIFS($AM$2:$AM$11,$AK$2:$AK$11,"&lt;="&amp;AB62,$AL$2:$AL$11,"&gt;="&amp;AB62)</f>
        <v/>
      </c>
      <c r="AH62" s="0">
        <f>AG62*(1-40%)</f>
        <v/>
      </c>
      <c r="AI62" s="0">
        <f>AH62*1.2</f>
        <v/>
      </c>
    </row>
    <row r="63">
      <c r="A63" s="26" t="n"/>
      <c r="B63" s="169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>
        <f>AG63</f>
        <v/>
      </c>
      <c r="T63" s="26">
        <f>AI63+Q63+P63</f>
        <v/>
      </c>
      <c r="U63" s="26" t="n"/>
      <c r="V63" s="26" t="n"/>
      <c r="W63" s="169" t="n"/>
      <c r="X63" s="26" t="n"/>
      <c r="Y63" s="26" t="n"/>
      <c r="Z63" s="26" t="n"/>
      <c r="AA63" s="26" t="n"/>
      <c r="AD63" s="0">
        <f>SUM(Y63,AA63,AC63)</f>
        <v/>
      </c>
      <c r="AE63" s="0">
        <f>X63*Y63+Z63*AA63+AB63*AC63</f>
        <v/>
      </c>
      <c r="AF63" s="0">
        <f>TEXTJOIN(", ",TRUE,IF(AND(X63&gt;0,Y63&gt;0),TEXT(X63,"0.00")&amp;"ct x "&amp;Y63,""),IF(AND(Z63&gt;0,AA63&gt;0),TEXT(Z63,"0.00")&amp;"ct x "&amp;AA63,""),IF(AND(AB63&gt;0,AC63&gt;0),TEXT(AB63,"0.00")&amp;"ct x "&amp;AC63,""))</f>
        <v/>
      </c>
      <c r="AG63" s="0">
        <f>X63*Y63*SUMIFS($AM$2:$AM$11,$AK$2:$AK$11,"&lt;="&amp;X63,$AL$2:$AL$11,"&gt;="&amp;X63)+Z63*AA63*SUMIFS($AM$2:$AM$11,$AK$2:$AK$11,"&lt;="&amp;Z63,$AL$2:$AL$11,"&gt;="&amp;Z63)+AB63*AC63*SUMIFS($AM$2:$AM$11,$AK$2:$AK$11,"&lt;="&amp;AB63,$AL$2:$AL$11,"&gt;="&amp;AB63)</f>
        <v/>
      </c>
      <c r="AH63" s="0">
        <f>AG63*(1-40%)</f>
        <v/>
      </c>
      <c r="AI63" s="0">
        <f>AH63*1.2</f>
        <v/>
      </c>
    </row>
    <row r="64">
      <c r="A64" s="26" t="n"/>
      <c r="B64" s="169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>
        <f>AG64</f>
        <v/>
      </c>
      <c r="T64" s="26">
        <f>AI64+Q64+P64</f>
        <v/>
      </c>
      <c r="U64" s="26" t="n"/>
      <c r="V64" s="26" t="n"/>
      <c r="W64" s="169" t="n"/>
      <c r="X64" s="26" t="n"/>
      <c r="Y64" s="26" t="n"/>
      <c r="Z64" s="26" t="n"/>
      <c r="AA64" s="26" t="n"/>
      <c r="AD64" s="0">
        <f>SUM(Y64,AA64,AC64)</f>
        <v/>
      </c>
      <c r="AE64" s="0">
        <f>X64*Y64+Z64*AA64+AB64*AC64</f>
        <v/>
      </c>
      <c r="AF64" s="0">
        <f>TEXTJOIN(", ",TRUE,IF(AND(X64&gt;0,Y64&gt;0),TEXT(X64,"0.00")&amp;"ct x "&amp;Y64,""),IF(AND(Z64&gt;0,AA64&gt;0),TEXT(Z64,"0.00")&amp;"ct x "&amp;AA64,""),IF(AND(AB64&gt;0,AC64&gt;0),TEXT(AB64,"0.00")&amp;"ct x "&amp;AC64,""))</f>
        <v/>
      </c>
      <c r="AG64" s="0">
        <f>X64*Y64*SUMIFS($AM$2:$AM$11,$AK$2:$AK$11,"&lt;="&amp;X64,$AL$2:$AL$11,"&gt;="&amp;X64)+Z64*AA64*SUMIFS($AM$2:$AM$11,$AK$2:$AK$11,"&lt;="&amp;Z64,$AL$2:$AL$11,"&gt;="&amp;Z64)+AB64*AC64*SUMIFS($AM$2:$AM$11,$AK$2:$AK$11,"&lt;="&amp;AB64,$AL$2:$AL$11,"&gt;="&amp;AB64)</f>
        <v/>
      </c>
      <c r="AH64" s="0">
        <f>AG64*(1-40%)</f>
        <v/>
      </c>
      <c r="AI64" s="0">
        <f>AH64*1.2</f>
        <v/>
      </c>
    </row>
    <row r="65">
      <c r="A65" s="26" t="n"/>
      <c r="B65" s="169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>
        <f>AG65</f>
        <v/>
      </c>
      <c r="T65" s="26">
        <f>AI65+Q65+P65</f>
        <v/>
      </c>
      <c r="U65" s="26" t="n"/>
      <c r="V65" s="26" t="n"/>
      <c r="W65" s="169" t="n"/>
      <c r="X65" s="26" t="n"/>
      <c r="Y65" s="26" t="n"/>
      <c r="Z65" s="26" t="n"/>
      <c r="AA65" s="26" t="n"/>
      <c r="AD65" s="0">
        <f>SUM(Y65,AA65,AC65)</f>
        <v/>
      </c>
      <c r="AE65" s="0">
        <f>X65*Y65+Z65*AA65+AB65*AC65</f>
        <v/>
      </c>
      <c r="AF65" s="0">
        <f>TEXTJOIN(", ",TRUE,IF(AND(X65&gt;0,Y65&gt;0),TEXT(X65,"0.00")&amp;"ct x "&amp;Y65,""),IF(AND(Z65&gt;0,AA65&gt;0),TEXT(Z65,"0.00")&amp;"ct x "&amp;AA65,""),IF(AND(AB65&gt;0,AC65&gt;0),TEXT(AB65,"0.00")&amp;"ct x "&amp;AC65,""))</f>
        <v/>
      </c>
      <c r="AG65" s="0">
        <f>X65*Y65*SUMIFS($AM$2:$AM$11,$AK$2:$AK$11,"&lt;="&amp;X65,$AL$2:$AL$11,"&gt;="&amp;X65)+Z65*AA65*SUMIFS($AM$2:$AM$11,$AK$2:$AK$11,"&lt;="&amp;Z65,$AL$2:$AL$11,"&gt;="&amp;Z65)+AB65*AC65*SUMIFS($AM$2:$AM$11,$AK$2:$AK$11,"&lt;="&amp;AB65,$AL$2:$AL$11,"&gt;="&amp;AB65)</f>
        <v/>
      </c>
      <c r="AH65" s="0">
        <f>AG65*(1-40%)</f>
        <v/>
      </c>
      <c r="AI65" s="0">
        <f>AH65*1.2</f>
        <v/>
      </c>
    </row>
    <row r="66">
      <c r="A66" s="26" t="n"/>
      <c r="B66" s="169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>
        <f>AG66</f>
        <v/>
      </c>
      <c r="T66" s="26">
        <f>AI66+Q66+P66</f>
        <v/>
      </c>
      <c r="U66" s="26" t="n"/>
      <c r="V66" s="26" t="n"/>
      <c r="W66" s="169" t="n"/>
      <c r="X66" s="26" t="n"/>
      <c r="Y66" s="26" t="n"/>
      <c r="Z66" s="26" t="n"/>
      <c r="AA66" s="26" t="n"/>
      <c r="AD66" s="0">
        <f>SUM(Y66,AA66,AC66)</f>
        <v/>
      </c>
      <c r="AE66" s="0">
        <f>X66*Y66+Z66*AA66+AB66*AC66</f>
        <v/>
      </c>
      <c r="AF66" s="0">
        <f>TEXTJOIN(", ",TRUE,IF(AND(X66&gt;0,Y66&gt;0),TEXT(X66,"0.00")&amp;"ct x "&amp;Y66,""),IF(AND(Z66&gt;0,AA66&gt;0),TEXT(Z66,"0.00")&amp;"ct x "&amp;AA66,""),IF(AND(AB66&gt;0,AC66&gt;0),TEXT(AB66,"0.00")&amp;"ct x "&amp;AC66,""))</f>
        <v/>
      </c>
      <c r="AG66" s="0">
        <f>X66*Y66*SUMIFS($AM$2:$AM$11,$AK$2:$AK$11,"&lt;="&amp;X66,$AL$2:$AL$11,"&gt;="&amp;X66)+Z66*AA66*SUMIFS($AM$2:$AM$11,$AK$2:$AK$11,"&lt;="&amp;Z66,$AL$2:$AL$11,"&gt;="&amp;Z66)+AB66*AC66*SUMIFS($AM$2:$AM$11,$AK$2:$AK$11,"&lt;="&amp;AB66,$AL$2:$AL$11,"&gt;="&amp;AB66)</f>
        <v/>
      </c>
      <c r="AH66" s="0">
        <f>AG66*(1-40%)</f>
        <v/>
      </c>
      <c r="AI66" s="0">
        <f>AH66*1.2</f>
        <v/>
      </c>
    </row>
    <row r="67">
      <c r="A67" s="26" t="n"/>
      <c r="B67" s="169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>
        <f>AG67</f>
        <v/>
      </c>
      <c r="T67" s="26">
        <f>AI67+Q67+P67</f>
        <v/>
      </c>
      <c r="U67" s="26" t="n"/>
      <c r="V67" s="26" t="n"/>
      <c r="W67" s="169" t="n"/>
      <c r="X67" s="26" t="n"/>
      <c r="Y67" s="26" t="n"/>
      <c r="Z67" s="26" t="n"/>
      <c r="AA67" s="26" t="n"/>
      <c r="AD67" s="0">
        <f>SUM(Y67,AA67,AC67)</f>
        <v/>
      </c>
      <c r="AE67" s="0">
        <f>X67*Y67+Z67*AA67+AB67*AC67</f>
        <v/>
      </c>
      <c r="AF67" s="0">
        <f>TEXTJOIN(", ",TRUE,IF(AND(X67&gt;0,Y67&gt;0),TEXT(X67,"0.00")&amp;"ct x "&amp;Y67,""),IF(AND(Z67&gt;0,AA67&gt;0),TEXT(Z67,"0.00")&amp;"ct x "&amp;AA67,""),IF(AND(AB67&gt;0,AC67&gt;0),TEXT(AB67,"0.00")&amp;"ct x "&amp;AC67,""))</f>
        <v/>
      </c>
      <c r="AG67" s="0">
        <f>X67*Y67*SUMIFS($AM$2:$AM$11,$AK$2:$AK$11,"&lt;="&amp;X67,$AL$2:$AL$11,"&gt;="&amp;X67)+Z67*AA67*SUMIFS($AM$2:$AM$11,$AK$2:$AK$11,"&lt;="&amp;Z67,$AL$2:$AL$11,"&gt;="&amp;Z67)+AB67*AC67*SUMIFS($AM$2:$AM$11,$AK$2:$AK$11,"&lt;="&amp;AB67,$AL$2:$AL$11,"&gt;="&amp;AB67)</f>
        <v/>
      </c>
      <c r="AH67" s="0">
        <f>AG67*(1-40%)</f>
        <v/>
      </c>
      <c r="AI67" s="0">
        <f>AH67*1.2</f>
        <v/>
      </c>
    </row>
    <row r="68">
      <c r="A68" s="26" t="n"/>
      <c r="B68" s="169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>
        <f>AG68</f>
        <v/>
      </c>
      <c r="T68" s="26">
        <f>AI68+Q68+P68</f>
        <v/>
      </c>
      <c r="U68" s="26" t="n"/>
      <c r="V68" s="26" t="n"/>
      <c r="W68" s="169" t="n"/>
      <c r="X68" s="26" t="n"/>
      <c r="Y68" s="26" t="n"/>
      <c r="Z68" s="26" t="n"/>
      <c r="AA68" s="26" t="n"/>
      <c r="AD68" s="0">
        <f>SUM(Y68,AA68,AC68)</f>
        <v/>
      </c>
      <c r="AE68" s="0">
        <f>X68*Y68+Z68*AA68+AB68*AC68</f>
        <v/>
      </c>
      <c r="AF68" s="0">
        <f>TEXTJOIN(", ",TRUE,IF(AND(X68&gt;0,Y68&gt;0),TEXT(X68,"0.00")&amp;"ct x "&amp;Y68,""),IF(AND(Z68&gt;0,AA68&gt;0),TEXT(Z68,"0.00")&amp;"ct x "&amp;AA68,""),IF(AND(AB68&gt;0,AC68&gt;0),TEXT(AB68,"0.00")&amp;"ct x "&amp;AC68,""))</f>
        <v/>
      </c>
      <c r="AG68" s="0">
        <f>X68*Y68*SUMIFS($AM$2:$AM$11,$AK$2:$AK$11,"&lt;="&amp;X68,$AL$2:$AL$11,"&gt;="&amp;X68)+Z68*AA68*SUMIFS($AM$2:$AM$11,$AK$2:$AK$11,"&lt;="&amp;Z68,$AL$2:$AL$11,"&gt;="&amp;Z68)+AB68*AC68*SUMIFS($AM$2:$AM$11,$AK$2:$AK$11,"&lt;="&amp;AB68,$AL$2:$AL$11,"&gt;="&amp;AB68)</f>
        <v/>
      </c>
      <c r="AH68" s="0">
        <f>AG68*(1-40%)</f>
        <v/>
      </c>
      <c r="AI68" s="0">
        <f>AH68*1.2</f>
        <v/>
      </c>
    </row>
    <row r="69">
      <c r="A69" s="26" t="n"/>
      <c r="B69" s="169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>
        <f>AG69</f>
        <v/>
      </c>
      <c r="T69" s="26">
        <f>AI69+Q69+P69</f>
        <v/>
      </c>
      <c r="U69" s="26" t="n"/>
      <c r="V69" s="26" t="n"/>
      <c r="W69" s="169" t="n"/>
      <c r="X69" s="26" t="n"/>
      <c r="Y69" s="26" t="n"/>
      <c r="Z69" s="26" t="n"/>
      <c r="AA69" s="26" t="n"/>
      <c r="AD69" s="0">
        <f>SUM(Y69,AA69,AC69)</f>
        <v/>
      </c>
      <c r="AE69" s="0">
        <f>X69*Y69+Z69*AA69+AB69*AC69</f>
        <v/>
      </c>
      <c r="AF69" s="0">
        <f>TEXTJOIN(", ",TRUE,IF(AND(X69&gt;0,Y69&gt;0),TEXT(X69,"0.00")&amp;"ct x "&amp;Y69,""),IF(AND(Z69&gt;0,AA69&gt;0),TEXT(Z69,"0.00")&amp;"ct x "&amp;AA69,""),IF(AND(AB69&gt;0,AC69&gt;0),TEXT(AB69,"0.00")&amp;"ct x "&amp;AC69,""))</f>
        <v/>
      </c>
      <c r="AG69" s="0">
        <f>X69*Y69*SUMIFS($AM$2:$AM$11,$AK$2:$AK$11,"&lt;="&amp;X69,$AL$2:$AL$11,"&gt;="&amp;X69)+Z69*AA69*SUMIFS($AM$2:$AM$11,$AK$2:$AK$11,"&lt;="&amp;Z69,$AL$2:$AL$11,"&gt;="&amp;Z69)+AB69*AC69*SUMIFS($AM$2:$AM$11,$AK$2:$AK$11,"&lt;="&amp;AB69,$AL$2:$AL$11,"&gt;="&amp;AB69)</f>
        <v/>
      </c>
      <c r="AH69" s="0">
        <f>AG69*(1-40%)</f>
        <v/>
      </c>
      <c r="AI69" s="0">
        <f>AH69*1.2</f>
        <v/>
      </c>
    </row>
    <row r="70">
      <c r="A70" s="26" t="n"/>
      <c r="B70" s="169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>
        <f>AG70</f>
        <v/>
      </c>
      <c r="T70" s="26">
        <f>AI70+Q70+P70</f>
        <v/>
      </c>
      <c r="U70" s="26" t="n"/>
      <c r="V70" s="26" t="n"/>
      <c r="W70" s="169" t="n"/>
      <c r="X70" s="26" t="n"/>
      <c r="Y70" s="26" t="n"/>
      <c r="Z70" s="26" t="n"/>
      <c r="AA70" s="26" t="n"/>
      <c r="AD70" s="0">
        <f>SUM(Y70,AA70,AC70)</f>
        <v/>
      </c>
      <c r="AE70" s="0">
        <f>X70*Y70+Z70*AA70+AB70*AC70</f>
        <v/>
      </c>
      <c r="AF70" s="0">
        <f>TEXTJOIN(", ",TRUE,IF(AND(X70&gt;0,Y70&gt;0),TEXT(X70,"0.00")&amp;"ct x "&amp;Y70,""),IF(AND(Z70&gt;0,AA70&gt;0),TEXT(Z70,"0.00")&amp;"ct x "&amp;AA70,""),IF(AND(AB70&gt;0,AC70&gt;0),TEXT(AB70,"0.00")&amp;"ct x "&amp;AC70,""))</f>
        <v/>
      </c>
      <c r="AG70" s="0">
        <f>X70*Y70*SUMIFS($AM$2:$AM$11,$AK$2:$AK$11,"&lt;="&amp;X70,$AL$2:$AL$11,"&gt;="&amp;X70)+Z70*AA70*SUMIFS($AM$2:$AM$11,$AK$2:$AK$11,"&lt;="&amp;Z70,$AL$2:$AL$11,"&gt;="&amp;Z70)+AB70*AC70*SUMIFS($AM$2:$AM$11,$AK$2:$AK$11,"&lt;="&amp;AB70,$AL$2:$AL$11,"&gt;="&amp;AB70)</f>
        <v/>
      </c>
      <c r="AH70" s="0">
        <f>AG70*(1-40%)</f>
        <v/>
      </c>
      <c r="AI70" s="0">
        <f>AH70*1.2</f>
        <v/>
      </c>
    </row>
    <row r="71">
      <c r="A71" s="26" t="n"/>
      <c r="B71" s="169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>
        <f>AG71</f>
        <v/>
      </c>
      <c r="T71" s="26">
        <f>AI71+Q71+P71</f>
        <v/>
      </c>
      <c r="U71" s="26" t="n"/>
      <c r="V71" s="26" t="n"/>
      <c r="W71" s="169" t="n"/>
      <c r="X71" s="26" t="n"/>
      <c r="Y71" s="26" t="n"/>
      <c r="Z71" s="26" t="n"/>
      <c r="AA71" s="26" t="n"/>
      <c r="AD71" s="0">
        <f>SUM(Y71,AA71,AC71)</f>
        <v/>
      </c>
      <c r="AE71" s="0">
        <f>X71*Y71+Z71*AA71+AB71*AC71</f>
        <v/>
      </c>
      <c r="AF71" s="0">
        <f>TEXTJOIN(", ",TRUE,IF(AND(X71&gt;0,Y71&gt;0),TEXT(X71,"0.00")&amp;"ct x "&amp;Y71,""),IF(AND(Z71&gt;0,AA71&gt;0),TEXT(Z71,"0.00")&amp;"ct x "&amp;AA71,""),IF(AND(AB71&gt;0,AC71&gt;0),TEXT(AB71,"0.00")&amp;"ct x "&amp;AC71,""))</f>
        <v/>
      </c>
      <c r="AG71" s="0">
        <f>X71*Y71*SUMIFS($AM$2:$AM$11,$AK$2:$AK$11,"&lt;="&amp;X71,$AL$2:$AL$11,"&gt;="&amp;X71)+Z71*AA71*SUMIFS($AM$2:$AM$11,$AK$2:$AK$11,"&lt;="&amp;Z71,$AL$2:$AL$11,"&gt;="&amp;Z71)+AB71*AC71*SUMIFS($AM$2:$AM$11,$AK$2:$AK$11,"&lt;="&amp;AB71,$AL$2:$AL$11,"&gt;="&amp;AB71)</f>
        <v/>
      </c>
      <c r="AH71" s="0">
        <f>AG71*(1-40%)</f>
        <v/>
      </c>
      <c r="AI71" s="0">
        <f>AH71*1.2</f>
        <v/>
      </c>
    </row>
    <row r="72">
      <c r="A72" s="26" t="n"/>
      <c r="B72" s="169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>
        <f>AG72</f>
        <v/>
      </c>
      <c r="T72" s="26">
        <f>AI72+Q72+P72</f>
        <v/>
      </c>
      <c r="U72" s="26" t="n"/>
      <c r="V72" s="26" t="n"/>
      <c r="W72" s="169" t="n"/>
      <c r="X72" s="26" t="n"/>
      <c r="Y72" s="26" t="n"/>
      <c r="Z72" s="26" t="n"/>
      <c r="AA72" s="26" t="n"/>
      <c r="AD72" s="0">
        <f>SUM(Y72,AA72,AC72)</f>
        <v/>
      </c>
      <c r="AE72" s="0">
        <f>X72*Y72+Z72*AA72+AB72*AC72</f>
        <v/>
      </c>
      <c r="AF72" s="0">
        <f>TEXTJOIN(", ",TRUE,IF(AND(X72&gt;0,Y72&gt;0),TEXT(X72,"0.00")&amp;"ct x "&amp;Y72,""),IF(AND(Z72&gt;0,AA72&gt;0),TEXT(Z72,"0.00")&amp;"ct x "&amp;AA72,""),IF(AND(AB72&gt;0,AC72&gt;0),TEXT(AB72,"0.00")&amp;"ct x "&amp;AC72,""))</f>
        <v/>
      </c>
      <c r="AG72" s="0">
        <f>X72*Y72*SUMIFS($AM$2:$AM$11,$AK$2:$AK$11,"&lt;="&amp;X72,$AL$2:$AL$11,"&gt;="&amp;X72)+Z72*AA72*SUMIFS($AM$2:$AM$11,$AK$2:$AK$11,"&lt;="&amp;Z72,$AL$2:$AL$11,"&gt;="&amp;Z72)+AB72*AC72*SUMIFS($AM$2:$AM$11,$AK$2:$AK$11,"&lt;="&amp;AB72,$AL$2:$AL$11,"&gt;="&amp;AB72)</f>
        <v/>
      </c>
      <c r="AH72" s="0">
        <f>AG72*(1-40%)</f>
        <v/>
      </c>
      <c r="AI72" s="0">
        <f>AH72*1.2</f>
        <v/>
      </c>
    </row>
    <row r="73">
      <c r="A73" s="26" t="n"/>
      <c r="B73" s="169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>
        <f>AG73</f>
        <v/>
      </c>
      <c r="T73" s="26">
        <f>AI73+Q73+P73</f>
        <v/>
      </c>
      <c r="U73" s="26" t="n"/>
      <c r="V73" s="26" t="n"/>
      <c r="W73" s="169" t="n"/>
      <c r="X73" s="26" t="n"/>
      <c r="Y73" s="26" t="n"/>
      <c r="Z73" s="26" t="n"/>
      <c r="AA73" s="26" t="n"/>
      <c r="AD73" s="0">
        <f>SUM(Y73,AA73,AC73)</f>
        <v/>
      </c>
      <c r="AE73" s="0">
        <f>X73*Y73+Z73*AA73+AB73*AC73</f>
        <v/>
      </c>
      <c r="AF73" s="0">
        <f>TEXTJOIN(", ",TRUE,IF(AND(X73&gt;0,Y73&gt;0),TEXT(X73,"0.00")&amp;"ct x "&amp;Y73,""),IF(AND(Z73&gt;0,AA73&gt;0),TEXT(Z73,"0.00")&amp;"ct x "&amp;AA73,""),IF(AND(AB73&gt;0,AC73&gt;0),TEXT(AB73,"0.00")&amp;"ct x "&amp;AC73,""))</f>
        <v/>
      </c>
      <c r="AG73" s="0">
        <f>X73*Y73*SUMIFS($AM$2:$AM$11,$AK$2:$AK$11,"&lt;="&amp;X73,$AL$2:$AL$11,"&gt;="&amp;X73)+Z73*AA73*SUMIFS($AM$2:$AM$11,$AK$2:$AK$11,"&lt;="&amp;Z73,$AL$2:$AL$11,"&gt;="&amp;Z73)+AB73*AC73*SUMIFS($AM$2:$AM$11,$AK$2:$AK$11,"&lt;="&amp;AB73,$AL$2:$AL$11,"&gt;="&amp;AB73)</f>
        <v/>
      </c>
      <c r="AH73" s="0">
        <f>AG73*(1-40%)</f>
        <v/>
      </c>
      <c r="AI73" s="0">
        <f>AH73*1.2</f>
        <v/>
      </c>
    </row>
    <row r="74">
      <c r="A74" s="26" t="n"/>
      <c r="B74" s="169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>
        <f>AG74</f>
        <v/>
      </c>
      <c r="T74" s="26">
        <f>AI74+Q74+P74</f>
        <v/>
      </c>
      <c r="U74" s="26" t="n"/>
      <c r="V74" s="26" t="n"/>
      <c r="W74" s="169" t="n"/>
      <c r="X74" s="26" t="n"/>
      <c r="Y74" s="26" t="n"/>
      <c r="Z74" s="26" t="n"/>
      <c r="AA74" s="26" t="n"/>
      <c r="AD74" s="0">
        <f>SUM(Y74,AA74,AC74)</f>
        <v/>
      </c>
      <c r="AE74" s="0">
        <f>X74*Y74+Z74*AA74+AB74*AC74</f>
        <v/>
      </c>
      <c r="AF74" s="0">
        <f>TEXTJOIN(", ",TRUE,IF(AND(X74&gt;0,Y74&gt;0),TEXT(X74,"0.00")&amp;"ct x "&amp;Y74,""),IF(AND(Z74&gt;0,AA74&gt;0),TEXT(Z74,"0.00")&amp;"ct x "&amp;AA74,""),IF(AND(AB74&gt;0,AC74&gt;0),TEXT(AB74,"0.00")&amp;"ct x "&amp;AC74,""))</f>
        <v/>
      </c>
      <c r="AG74" s="0">
        <f>X74*Y74*SUMIFS($AM$2:$AM$11,$AK$2:$AK$11,"&lt;="&amp;X74,$AL$2:$AL$11,"&gt;="&amp;X74)+Z74*AA74*SUMIFS($AM$2:$AM$11,$AK$2:$AK$11,"&lt;="&amp;Z74,$AL$2:$AL$11,"&gt;="&amp;Z74)+AB74*AC74*SUMIFS($AM$2:$AM$11,$AK$2:$AK$11,"&lt;="&amp;AB74,$AL$2:$AL$11,"&gt;="&amp;AB74)</f>
        <v/>
      </c>
      <c r="AH74" s="0">
        <f>AG74*(1-40%)</f>
        <v/>
      </c>
      <c r="AI74" s="0">
        <f>AH74*1.2</f>
        <v/>
      </c>
    </row>
    <row r="75">
      <c r="A75" s="26" t="n"/>
      <c r="B75" s="169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>
        <f>AG75</f>
        <v/>
      </c>
      <c r="T75" s="26">
        <f>AI75+Q75+P75</f>
        <v/>
      </c>
      <c r="U75" s="26" t="n"/>
      <c r="V75" s="26" t="n"/>
      <c r="W75" s="169" t="n"/>
      <c r="X75" s="26" t="n"/>
      <c r="Y75" s="26" t="n"/>
      <c r="Z75" s="26" t="n"/>
      <c r="AA75" s="26" t="n"/>
      <c r="AD75" s="0">
        <f>SUM(Y75,AA75,AC75)</f>
        <v/>
      </c>
      <c r="AE75" s="0">
        <f>X75*Y75+Z75*AA75+AB75*AC75</f>
        <v/>
      </c>
      <c r="AF75" s="0">
        <f>TEXTJOIN(", ",TRUE,IF(AND(X75&gt;0,Y75&gt;0),TEXT(X75,"0.00")&amp;"ct x "&amp;Y75,""),IF(AND(Z75&gt;0,AA75&gt;0),TEXT(Z75,"0.00")&amp;"ct x "&amp;AA75,""),IF(AND(AB75&gt;0,AC75&gt;0),TEXT(AB75,"0.00")&amp;"ct x "&amp;AC75,""))</f>
        <v/>
      </c>
      <c r="AG75" s="0">
        <f>X75*Y75*SUMIFS($AM$2:$AM$11,$AK$2:$AK$11,"&lt;="&amp;X75,$AL$2:$AL$11,"&gt;="&amp;X75)+Z75*AA75*SUMIFS($AM$2:$AM$11,$AK$2:$AK$11,"&lt;="&amp;Z75,$AL$2:$AL$11,"&gt;="&amp;Z75)+AB75*AC75*SUMIFS($AM$2:$AM$11,$AK$2:$AK$11,"&lt;="&amp;AB75,$AL$2:$AL$11,"&gt;="&amp;AB75)</f>
        <v/>
      </c>
      <c r="AH75" s="0">
        <f>AG75*(1-40%)</f>
        <v/>
      </c>
      <c r="AI75" s="0">
        <f>AH75*1.2</f>
        <v/>
      </c>
    </row>
    <row r="76">
      <c r="A76" s="26" t="n"/>
      <c r="B76" s="169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>
        <f>AG76</f>
        <v/>
      </c>
      <c r="T76" s="26">
        <f>AI76+Q76+P76</f>
        <v/>
      </c>
      <c r="U76" s="26" t="n"/>
      <c r="V76" s="26" t="n"/>
      <c r="W76" s="169" t="n"/>
      <c r="X76" s="26" t="n"/>
      <c r="Y76" s="26" t="n"/>
      <c r="Z76" s="26" t="n"/>
      <c r="AA76" s="26" t="n"/>
      <c r="AD76" s="0">
        <f>SUM(Y76,AA76,AC76)</f>
        <v/>
      </c>
      <c r="AE76" s="0">
        <f>X76*Y76+Z76*AA76+AB76*AC76</f>
        <v/>
      </c>
      <c r="AF76" s="0">
        <f>TEXTJOIN(", ",TRUE,IF(AND(X76&gt;0,Y76&gt;0),TEXT(X76,"0.00")&amp;"ct x "&amp;Y76,""),IF(AND(Z76&gt;0,AA76&gt;0),TEXT(Z76,"0.00")&amp;"ct x "&amp;AA76,""),IF(AND(AB76&gt;0,AC76&gt;0),TEXT(AB76,"0.00")&amp;"ct x "&amp;AC76,""))</f>
        <v/>
      </c>
      <c r="AG76" s="0">
        <f>X76*Y76*SUMIFS($AM$2:$AM$11,$AK$2:$AK$11,"&lt;="&amp;X76,$AL$2:$AL$11,"&gt;="&amp;X76)+Z76*AA76*SUMIFS($AM$2:$AM$11,$AK$2:$AK$11,"&lt;="&amp;Z76,$AL$2:$AL$11,"&gt;="&amp;Z76)+AB76*AC76*SUMIFS($AM$2:$AM$11,$AK$2:$AK$11,"&lt;="&amp;AB76,$AL$2:$AL$11,"&gt;="&amp;AB76)</f>
        <v/>
      </c>
      <c r="AH76" s="0">
        <f>AG76*(1-40%)</f>
        <v/>
      </c>
      <c r="AI76" s="0">
        <f>AH76*1.2</f>
        <v/>
      </c>
    </row>
    <row r="77">
      <c r="A77" s="26" t="n"/>
      <c r="B77" s="169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>
        <f>AG77</f>
        <v/>
      </c>
      <c r="T77" s="26">
        <f>AI77+Q77+P77</f>
        <v/>
      </c>
      <c r="U77" s="26" t="n"/>
      <c r="V77" s="26" t="n"/>
      <c r="W77" s="169" t="n"/>
      <c r="X77" s="26" t="n"/>
      <c r="Y77" s="26" t="n"/>
      <c r="Z77" s="26" t="n"/>
      <c r="AA77" s="26" t="n"/>
      <c r="AD77" s="0">
        <f>SUM(Y77,AA77,AC77)</f>
        <v/>
      </c>
      <c r="AE77" s="0">
        <f>X77*Y77+Z77*AA77+AB77*AC77</f>
        <v/>
      </c>
      <c r="AF77" s="0">
        <f>TEXTJOIN(", ",TRUE,IF(AND(X77&gt;0,Y77&gt;0),TEXT(X77,"0.00")&amp;"ct x "&amp;Y77,""),IF(AND(Z77&gt;0,AA77&gt;0),TEXT(Z77,"0.00")&amp;"ct x "&amp;AA77,""),IF(AND(AB77&gt;0,AC77&gt;0),TEXT(AB77,"0.00")&amp;"ct x "&amp;AC77,""))</f>
        <v/>
      </c>
      <c r="AG77" s="0">
        <f>X77*Y77*SUMIFS($AM$2:$AM$11,$AK$2:$AK$11,"&lt;="&amp;X77,$AL$2:$AL$11,"&gt;="&amp;X77)+Z77*AA77*SUMIFS($AM$2:$AM$11,$AK$2:$AK$11,"&lt;="&amp;Z77,$AL$2:$AL$11,"&gt;="&amp;Z77)+AB77*AC77*SUMIFS($AM$2:$AM$11,$AK$2:$AK$11,"&lt;="&amp;AB77,$AL$2:$AL$11,"&gt;="&amp;AB77)</f>
        <v/>
      </c>
      <c r="AH77" s="0">
        <f>AG77*(1-40%)</f>
        <v/>
      </c>
      <c r="AI77" s="0">
        <f>AH77*1.2</f>
        <v/>
      </c>
    </row>
    <row r="78">
      <c r="A78" s="26" t="n"/>
      <c r="B78" s="169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>
        <f>AG78</f>
        <v/>
      </c>
      <c r="T78" s="26">
        <f>AI78+Q78+P78</f>
        <v/>
      </c>
      <c r="U78" s="26" t="n"/>
      <c r="V78" s="26" t="n"/>
      <c r="W78" s="169" t="n"/>
      <c r="X78" s="26" t="n"/>
      <c r="Y78" s="26" t="n"/>
      <c r="Z78" s="26" t="n"/>
      <c r="AA78" s="26" t="n"/>
      <c r="AD78" s="0">
        <f>SUM(Y78,AA78,AC78)</f>
        <v/>
      </c>
      <c r="AE78" s="0">
        <f>X78*Y78+Z78*AA78+AB78*AC78</f>
        <v/>
      </c>
      <c r="AF78" s="0">
        <f>TEXTJOIN(", ",TRUE,IF(AND(X78&gt;0,Y78&gt;0),TEXT(X78,"0.00")&amp;"ct x "&amp;Y78,""),IF(AND(Z78&gt;0,AA78&gt;0),TEXT(Z78,"0.00")&amp;"ct x "&amp;AA78,""),IF(AND(AB78&gt;0,AC78&gt;0),TEXT(AB78,"0.00")&amp;"ct x "&amp;AC78,""))</f>
        <v/>
      </c>
      <c r="AG78" s="0">
        <f>X78*Y78*SUMIFS($AM$2:$AM$11,$AK$2:$AK$11,"&lt;="&amp;X78,$AL$2:$AL$11,"&gt;="&amp;X78)+Z78*AA78*SUMIFS($AM$2:$AM$11,$AK$2:$AK$11,"&lt;="&amp;Z78,$AL$2:$AL$11,"&gt;="&amp;Z78)+AB78*AC78*SUMIFS($AM$2:$AM$11,$AK$2:$AK$11,"&lt;="&amp;AB78,$AL$2:$AL$11,"&gt;="&amp;AB78)</f>
        <v/>
      </c>
      <c r="AH78" s="0">
        <f>AG78*(1-40%)</f>
        <v/>
      </c>
      <c r="AI78" s="0">
        <f>AH78*1.2</f>
        <v/>
      </c>
    </row>
    <row r="79">
      <c r="A79" s="26" t="n"/>
      <c r="B79" s="169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>
        <f>AG79</f>
        <v/>
      </c>
      <c r="T79" s="26">
        <f>AI79+Q79+P79</f>
        <v/>
      </c>
      <c r="U79" s="26" t="n"/>
      <c r="V79" s="26" t="n"/>
      <c r="W79" s="169" t="n"/>
      <c r="X79" s="26" t="n"/>
      <c r="Y79" s="26" t="n"/>
      <c r="Z79" s="26" t="n"/>
      <c r="AA79" s="26" t="n"/>
      <c r="AD79" s="0">
        <f>SUM(Y79,AA79,AC79)</f>
        <v/>
      </c>
      <c r="AE79" s="0">
        <f>X79*Y79+Z79*AA79+AB79*AC79</f>
        <v/>
      </c>
      <c r="AF79" s="0">
        <f>TEXTJOIN(", ",TRUE,IF(AND(X79&gt;0,Y79&gt;0),TEXT(X79,"0.00")&amp;"ct x "&amp;Y79,""),IF(AND(Z79&gt;0,AA79&gt;0),TEXT(Z79,"0.00")&amp;"ct x "&amp;AA79,""),IF(AND(AB79&gt;0,AC79&gt;0),TEXT(AB79,"0.00")&amp;"ct x "&amp;AC79,""))</f>
        <v/>
      </c>
      <c r="AG79" s="0">
        <f>X79*Y79*SUMIFS($AM$2:$AM$11,$AK$2:$AK$11,"&lt;="&amp;X79,$AL$2:$AL$11,"&gt;="&amp;X79)+Z79*AA79*SUMIFS($AM$2:$AM$11,$AK$2:$AK$11,"&lt;="&amp;Z79,$AL$2:$AL$11,"&gt;="&amp;Z79)+AB79*AC79*SUMIFS($AM$2:$AM$11,$AK$2:$AK$11,"&lt;="&amp;AB79,$AL$2:$AL$11,"&gt;="&amp;AB79)</f>
        <v/>
      </c>
      <c r="AH79" s="0">
        <f>AG79*(1-40%)</f>
        <v/>
      </c>
      <c r="AI79" s="0">
        <f>AH79*1.2</f>
        <v/>
      </c>
    </row>
    <row r="80">
      <c r="A80" s="26" t="n"/>
      <c r="B80" s="169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>
        <f>AG80</f>
        <v/>
      </c>
      <c r="T80" s="26">
        <f>AI80+Q80+P80</f>
        <v/>
      </c>
      <c r="U80" s="26" t="n"/>
      <c r="V80" s="26" t="n"/>
      <c r="W80" s="169" t="n"/>
      <c r="X80" s="26" t="n"/>
      <c r="Y80" s="26" t="n"/>
      <c r="Z80" s="26" t="n"/>
      <c r="AA80" s="26" t="n"/>
      <c r="AD80" s="0">
        <f>SUM(Y80,AA80,AC80)</f>
        <v/>
      </c>
      <c r="AE80" s="0">
        <f>X80*Y80+Z80*AA80+AB80*AC80</f>
        <v/>
      </c>
      <c r="AF80" s="0">
        <f>TEXTJOIN(", ",TRUE,IF(AND(X80&gt;0,Y80&gt;0),TEXT(X80,"0.00")&amp;"ct x "&amp;Y80,""),IF(AND(Z80&gt;0,AA80&gt;0),TEXT(Z80,"0.00")&amp;"ct x "&amp;AA80,""),IF(AND(AB80&gt;0,AC80&gt;0),TEXT(AB80,"0.00")&amp;"ct x "&amp;AC80,""))</f>
        <v/>
      </c>
      <c r="AG80" s="0">
        <f>X80*Y80*SUMIFS($AM$2:$AM$11,$AK$2:$AK$11,"&lt;="&amp;X80,$AL$2:$AL$11,"&gt;="&amp;X80)+Z80*AA80*SUMIFS($AM$2:$AM$11,$AK$2:$AK$11,"&lt;="&amp;Z80,$AL$2:$AL$11,"&gt;="&amp;Z80)+AB80*AC80*SUMIFS($AM$2:$AM$11,$AK$2:$AK$11,"&lt;="&amp;AB80,$AL$2:$AL$11,"&gt;="&amp;AB80)</f>
        <v/>
      </c>
      <c r="AH80" s="0">
        <f>AG80*(1-40%)</f>
        <v/>
      </c>
      <c r="AI80" s="0">
        <f>AH80*1.2</f>
        <v/>
      </c>
    </row>
    <row r="81">
      <c r="A81" s="26" t="n"/>
      <c r="B81" s="169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>
        <f>AG81</f>
        <v/>
      </c>
      <c r="T81" s="26">
        <f>AI81+Q81+P81</f>
        <v/>
      </c>
      <c r="U81" s="26" t="n"/>
      <c r="V81" s="26" t="n"/>
      <c r="W81" s="169" t="n"/>
      <c r="X81" s="26" t="n"/>
      <c r="Y81" s="26" t="n"/>
      <c r="Z81" s="26" t="n"/>
      <c r="AA81" s="26" t="n"/>
      <c r="AD81" s="0">
        <f>SUM(Y81,AA81,AC81)</f>
        <v/>
      </c>
      <c r="AE81" s="0">
        <f>X81*Y81+Z81*AA81+AB81*AC81</f>
        <v/>
      </c>
      <c r="AF81" s="0">
        <f>TEXTJOIN(", ",TRUE,IF(AND(X81&gt;0,Y81&gt;0),TEXT(X81,"0.00")&amp;"ct x "&amp;Y81,""),IF(AND(Z81&gt;0,AA81&gt;0),TEXT(Z81,"0.00")&amp;"ct x "&amp;AA81,""),IF(AND(AB81&gt;0,AC81&gt;0),TEXT(AB81,"0.00")&amp;"ct x "&amp;AC81,""))</f>
        <v/>
      </c>
      <c r="AG81" s="0">
        <f>X81*Y81*SUMIFS($AM$2:$AM$11,$AK$2:$AK$11,"&lt;="&amp;X81,$AL$2:$AL$11,"&gt;="&amp;X81)+Z81*AA81*SUMIFS($AM$2:$AM$11,$AK$2:$AK$11,"&lt;="&amp;Z81,$AL$2:$AL$11,"&gt;="&amp;Z81)+AB81*AC81*SUMIFS($AM$2:$AM$11,$AK$2:$AK$11,"&lt;="&amp;AB81,$AL$2:$AL$11,"&gt;="&amp;AB81)</f>
        <v/>
      </c>
      <c r="AH81" s="0">
        <f>AG81*(1-40%)</f>
        <v/>
      </c>
      <c r="AI81" s="0">
        <f>AH81*1.2</f>
        <v/>
      </c>
    </row>
    <row r="82">
      <c r="A82" s="26" t="n"/>
      <c r="B82" s="169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>
        <f>AG82</f>
        <v/>
      </c>
      <c r="T82" s="26">
        <f>AI82+Q82+P82</f>
        <v/>
      </c>
      <c r="U82" s="26" t="n"/>
      <c r="V82" s="26" t="n"/>
      <c r="W82" s="169" t="n"/>
      <c r="X82" s="26" t="n"/>
      <c r="Y82" s="26" t="n"/>
      <c r="Z82" s="26" t="n"/>
      <c r="AA82" s="26" t="n"/>
      <c r="AD82" s="0">
        <f>SUM(Y82,AA82,AC82)</f>
        <v/>
      </c>
      <c r="AE82" s="0">
        <f>X82*Y82+Z82*AA82+AB82*AC82</f>
        <v/>
      </c>
      <c r="AF82" s="0">
        <f>TEXTJOIN(", ",TRUE,IF(AND(X82&gt;0,Y82&gt;0),TEXT(X82,"0.00")&amp;"ct x "&amp;Y82,""),IF(AND(Z82&gt;0,AA82&gt;0),TEXT(Z82,"0.00")&amp;"ct x "&amp;AA82,""),IF(AND(AB82&gt;0,AC82&gt;0),TEXT(AB82,"0.00")&amp;"ct x "&amp;AC82,""))</f>
        <v/>
      </c>
      <c r="AG82" s="0">
        <f>X82*Y82*SUMIFS($AM$2:$AM$11,$AK$2:$AK$11,"&lt;="&amp;X82,$AL$2:$AL$11,"&gt;="&amp;X82)+Z82*AA82*SUMIFS($AM$2:$AM$11,$AK$2:$AK$11,"&lt;="&amp;Z82,$AL$2:$AL$11,"&gt;="&amp;Z82)+AB82*AC82*SUMIFS($AM$2:$AM$11,$AK$2:$AK$11,"&lt;="&amp;AB82,$AL$2:$AL$11,"&gt;="&amp;AB82)</f>
        <v/>
      </c>
      <c r="AH82" s="0">
        <f>AG82*(1-40%)</f>
        <v/>
      </c>
      <c r="AI82" s="0">
        <f>AH82*1.2</f>
        <v/>
      </c>
    </row>
    <row r="83">
      <c r="A83" s="26" t="n"/>
      <c r="B83" s="169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>
        <f>AG83</f>
        <v/>
      </c>
      <c r="T83" s="26">
        <f>AI83+Q83+P83</f>
        <v/>
      </c>
      <c r="U83" s="26" t="n"/>
      <c r="V83" s="26" t="n"/>
      <c r="W83" s="169" t="n"/>
      <c r="X83" s="26" t="n"/>
      <c r="Y83" s="26" t="n"/>
      <c r="Z83" s="26" t="n"/>
      <c r="AA83" s="26" t="n"/>
      <c r="AD83" s="0">
        <f>SUM(Y83,AA83,AC83)</f>
        <v/>
      </c>
      <c r="AE83" s="0">
        <f>X83*Y83+Z83*AA83+AB83*AC83</f>
        <v/>
      </c>
      <c r="AF83" s="0">
        <f>TEXTJOIN(", ",TRUE,IF(AND(X83&gt;0,Y83&gt;0),TEXT(X83,"0.00")&amp;"ct x "&amp;Y83,""),IF(AND(Z83&gt;0,AA83&gt;0),TEXT(Z83,"0.00")&amp;"ct x "&amp;AA83,""),IF(AND(AB83&gt;0,AC83&gt;0),TEXT(AB83,"0.00")&amp;"ct x "&amp;AC83,""))</f>
        <v/>
      </c>
      <c r="AG83" s="0">
        <f>X83*Y83*SUMIFS($AM$2:$AM$11,$AK$2:$AK$11,"&lt;="&amp;X83,$AL$2:$AL$11,"&gt;="&amp;X83)+Z83*AA83*SUMIFS($AM$2:$AM$11,$AK$2:$AK$11,"&lt;="&amp;Z83,$AL$2:$AL$11,"&gt;="&amp;Z83)+AB83*AC83*SUMIFS($AM$2:$AM$11,$AK$2:$AK$11,"&lt;="&amp;AB83,$AL$2:$AL$11,"&gt;="&amp;AB83)</f>
        <v/>
      </c>
      <c r="AH83" s="0">
        <f>AG83*(1-40%)</f>
        <v/>
      </c>
      <c r="AI83" s="0">
        <f>AH83*1.2</f>
        <v/>
      </c>
    </row>
    <row r="84">
      <c r="A84" s="26" t="n"/>
      <c r="B84" s="169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>
        <f>AG84</f>
        <v/>
      </c>
      <c r="T84" s="26">
        <f>AI84+Q84+P84</f>
        <v/>
      </c>
      <c r="U84" s="26" t="n"/>
      <c r="V84" s="26" t="n"/>
      <c r="W84" s="169" t="n"/>
      <c r="X84" s="26" t="n"/>
      <c r="Y84" s="26" t="n"/>
      <c r="Z84" s="26" t="n"/>
      <c r="AA84" s="26" t="n"/>
      <c r="AD84" s="0">
        <f>SUM(Y84,AA84,AC84)</f>
        <v/>
      </c>
      <c r="AE84" s="0">
        <f>X84*Y84+Z84*AA84+AB84*AC84</f>
        <v/>
      </c>
      <c r="AF84" s="0">
        <f>TEXTJOIN(", ",TRUE,IF(AND(X84&gt;0,Y84&gt;0),TEXT(X84,"0.00")&amp;"ct x "&amp;Y84,""),IF(AND(Z84&gt;0,AA84&gt;0),TEXT(Z84,"0.00")&amp;"ct x "&amp;AA84,""),IF(AND(AB84&gt;0,AC84&gt;0),TEXT(AB84,"0.00")&amp;"ct x "&amp;AC84,""))</f>
        <v/>
      </c>
      <c r="AG84" s="0">
        <f>X84*Y84*SUMIFS($AM$2:$AM$11,$AK$2:$AK$11,"&lt;="&amp;X84,$AL$2:$AL$11,"&gt;="&amp;X84)+Z84*AA84*SUMIFS($AM$2:$AM$11,$AK$2:$AK$11,"&lt;="&amp;Z84,$AL$2:$AL$11,"&gt;="&amp;Z84)+AB84*AC84*SUMIFS($AM$2:$AM$11,$AK$2:$AK$11,"&lt;="&amp;AB84,$AL$2:$AL$11,"&gt;="&amp;AB84)</f>
        <v/>
      </c>
      <c r="AH84" s="0">
        <f>AG84*(1-40%)</f>
        <v/>
      </c>
      <c r="AI84" s="0">
        <f>AH84*1.2</f>
        <v/>
      </c>
    </row>
    <row r="85">
      <c r="A85" s="26" t="n"/>
      <c r="B85" s="169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>
        <f>AG85</f>
        <v/>
      </c>
      <c r="T85" s="26">
        <f>AI85+Q85+P85</f>
        <v/>
      </c>
      <c r="U85" s="26" t="n"/>
      <c r="V85" s="26" t="n"/>
      <c r="W85" s="169" t="n"/>
      <c r="X85" s="26" t="n"/>
      <c r="Y85" s="26" t="n"/>
      <c r="Z85" s="26" t="n"/>
      <c r="AA85" s="26" t="n"/>
      <c r="AD85" s="0">
        <f>SUM(Y85,AA85,AC85)</f>
        <v/>
      </c>
      <c r="AE85" s="0">
        <f>X85*Y85+Z85*AA85+AB85*AC85</f>
        <v/>
      </c>
      <c r="AF85" s="0">
        <f>TEXTJOIN(", ",TRUE,IF(AND(X85&gt;0,Y85&gt;0),TEXT(X85,"0.00")&amp;"ct x "&amp;Y85,""),IF(AND(Z85&gt;0,AA85&gt;0),TEXT(Z85,"0.00")&amp;"ct x "&amp;AA85,""),IF(AND(AB85&gt;0,AC85&gt;0),TEXT(AB85,"0.00")&amp;"ct x "&amp;AC85,""))</f>
        <v/>
      </c>
      <c r="AG85" s="0">
        <f>X85*Y85*SUMIFS($AM$2:$AM$11,$AK$2:$AK$11,"&lt;="&amp;X85,$AL$2:$AL$11,"&gt;="&amp;X85)+Z85*AA85*SUMIFS($AM$2:$AM$11,$AK$2:$AK$11,"&lt;="&amp;Z85,$AL$2:$AL$11,"&gt;="&amp;Z85)+AB85*AC85*SUMIFS($AM$2:$AM$11,$AK$2:$AK$11,"&lt;="&amp;AB85,$AL$2:$AL$11,"&gt;="&amp;AB85)</f>
        <v/>
      </c>
      <c r="AH85" s="0">
        <f>AG85*(1-40%)</f>
        <v/>
      </c>
      <c r="AI85" s="0">
        <f>AH85*1.2</f>
        <v/>
      </c>
    </row>
    <row r="86">
      <c r="A86" s="26" t="n"/>
      <c r="B86" s="169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>
        <f>AG86</f>
        <v/>
      </c>
      <c r="T86" s="26">
        <f>AI86+Q86+P86</f>
        <v/>
      </c>
      <c r="U86" s="26" t="n"/>
      <c r="V86" s="26" t="n"/>
      <c r="W86" s="169" t="n"/>
      <c r="X86" s="26" t="n"/>
      <c r="Y86" s="26" t="n"/>
      <c r="Z86" s="26" t="n"/>
      <c r="AA86" s="26" t="n"/>
      <c r="AD86" s="0">
        <f>SUM(Y86,AA86,AC86)</f>
        <v/>
      </c>
      <c r="AE86" s="0">
        <f>X86*Y86+Z86*AA86+AB86*AC86</f>
        <v/>
      </c>
      <c r="AF86" s="0">
        <f>TEXTJOIN(", ",TRUE,IF(AND(X86&gt;0,Y86&gt;0),TEXT(X86,"0.00")&amp;"ct x "&amp;Y86,""),IF(AND(Z86&gt;0,AA86&gt;0),TEXT(Z86,"0.00")&amp;"ct x "&amp;AA86,""),IF(AND(AB86&gt;0,AC86&gt;0),TEXT(AB86,"0.00")&amp;"ct x "&amp;AC86,""))</f>
        <v/>
      </c>
      <c r="AG86" s="0">
        <f>X86*Y86*SUMIFS($AM$2:$AM$11,$AK$2:$AK$11,"&lt;="&amp;X86,$AL$2:$AL$11,"&gt;="&amp;X86)+Z86*AA86*SUMIFS($AM$2:$AM$11,$AK$2:$AK$11,"&lt;="&amp;Z86,$AL$2:$AL$11,"&gt;="&amp;Z86)+AB86*AC86*SUMIFS($AM$2:$AM$11,$AK$2:$AK$11,"&lt;="&amp;AB86,$AL$2:$AL$11,"&gt;="&amp;AB86)</f>
        <v/>
      </c>
      <c r="AH86" s="0">
        <f>AG86*(1-40%)</f>
        <v/>
      </c>
      <c r="AI86" s="0">
        <f>AH86*1.2</f>
        <v/>
      </c>
    </row>
    <row r="87">
      <c r="A87" s="26" t="n"/>
      <c r="B87" s="169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>
        <f>AG87</f>
        <v/>
      </c>
      <c r="T87" s="26">
        <f>AI87+Q87+P87</f>
        <v/>
      </c>
      <c r="U87" s="26" t="n"/>
      <c r="V87" s="26" t="n"/>
      <c r="W87" s="169" t="n"/>
      <c r="X87" s="26" t="n"/>
      <c r="Y87" s="26" t="n"/>
      <c r="Z87" s="26" t="n"/>
      <c r="AA87" s="26" t="n"/>
      <c r="AD87" s="0">
        <f>SUM(Y87,AA87,AC87)</f>
        <v/>
      </c>
      <c r="AE87" s="0">
        <f>X87*Y87+Z87*AA87+AB87*AC87</f>
        <v/>
      </c>
      <c r="AF87" s="0">
        <f>TEXTJOIN(", ",TRUE,IF(AND(X87&gt;0,Y87&gt;0),TEXT(X87,"0.00")&amp;"ct x "&amp;Y87,""),IF(AND(Z87&gt;0,AA87&gt;0),TEXT(Z87,"0.00")&amp;"ct x "&amp;AA87,""),IF(AND(AB87&gt;0,AC87&gt;0),TEXT(AB87,"0.00")&amp;"ct x "&amp;AC87,""))</f>
        <v/>
      </c>
      <c r="AG87" s="0">
        <f>X87*Y87*SUMIFS($AM$2:$AM$11,$AK$2:$AK$11,"&lt;="&amp;X87,$AL$2:$AL$11,"&gt;="&amp;X87)+Z87*AA87*SUMIFS($AM$2:$AM$11,$AK$2:$AK$11,"&lt;="&amp;Z87,$AL$2:$AL$11,"&gt;="&amp;Z87)+AB87*AC87*SUMIFS($AM$2:$AM$11,$AK$2:$AK$11,"&lt;="&amp;AB87,$AL$2:$AL$11,"&gt;="&amp;AB87)</f>
        <v/>
      </c>
      <c r="AH87" s="0">
        <f>AG87*(1-40%)</f>
        <v/>
      </c>
      <c r="AI87" s="0">
        <f>AH87*1.2</f>
        <v/>
      </c>
    </row>
    <row r="88">
      <c r="A88" s="26" t="n"/>
      <c r="B88" s="169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>
        <f>AG88</f>
        <v/>
      </c>
      <c r="T88" s="26">
        <f>AI88+Q88+P88</f>
        <v/>
      </c>
      <c r="U88" s="26" t="n"/>
      <c r="V88" s="26" t="n"/>
      <c r="W88" s="169" t="n"/>
      <c r="X88" s="26" t="n"/>
      <c r="Y88" s="26" t="n"/>
      <c r="Z88" s="26" t="n"/>
      <c r="AA88" s="26" t="n"/>
      <c r="AD88" s="0">
        <f>SUM(Y88,AA88,AC88)</f>
        <v/>
      </c>
      <c r="AE88" s="0">
        <f>X88*Y88+Z88*AA88+AB88*AC88</f>
        <v/>
      </c>
      <c r="AF88" s="0">
        <f>TEXTJOIN(", ",TRUE,IF(AND(X88&gt;0,Y88&gt;0),TEXT(X88,"0.00")&amp;"ct x "&amp;Y88,""),IF(AND(Z88&gt;0,AA88&gt;0),TEXT(Z88,"0.00")&amp;"ct x "&amp;AA88,""),IF(AND(AB88&gt;0,AC88&gt;0),TEXT(AB88,"0.00")&amp;"ct x "&amp;AC88,""))</f>
        <v/>
      </c>
      <c r="AG88" s="0">
        <f>X88*Y88*SUMIFS($AM$2:$AM$11,$AK$2:$AK$11,"&lt;="&amp;X88,$AL$2:$AL$11,"&gt;="&amp;X88)+Z88*AA88*SUMIFS($AM$2:$AM$11,$AK$2:$AK$11,"&lt;="&amp;Z88,$AL$2:$AL$11,"&gt;="&amp;Z88)+AB88*AC88*SUMIFS($AM$2:$AM$11,$AK$2:$AK$11,"&lt;="&amp;AB88,$AL$2:$AL$11,"&gt;="&amp;AB88)</f>
        <v/>
      </c>
      <c r="AH88" s="0">
        <f>AG88*(1-40%)</f>
        <v/>
      </c>
      <c r="AI88" s="0">
        <f>AH88*1.2</f>
        <v/>
      </c>
    </row>
    <row r="89">
      <c r="A89" s="26" t="n"/>
      <c r="B89" s="169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>
        <f>AG89</f>
        <v/>
      </c>
      <c r="T89" s="26">
        <f>AI89+Q89+P89</f>
        <v/>
      </c>
      <c r="U89" s="26" t="n"/>
      <c r="V89" s="26" t="n"/>
      <c r="W89" s="169" t="n"/>
      <c r="X89" s="26" t="n"/>
      <c r="Y89" s="26" t="n"/>
      <c r="Z89" s="26" t="n"/>
      <c r="AA89" s="26" t="n"/>
      <c r="AD89" s="0">
        <f>SUM(Y89,AA89,AC89)</f>
        <v/>
      </c>
      <c r="AE89" s="0">
        <f>X89*Y89+Z89*AA89+AB89*AC89</f>
        <v/>
      </c>
      <c r="AF89" s="0">
        <f>TEXTJOIN(", ",TRUE,IF(AND(X89&gt;0,Y89&gt;0),TEXT(X89,"0.00")&amp;"ct x "&amp;Y89,""),IF(AND(Z89&gt;0,AA89&gt;0),TEXT(Z89,"0.00")&amp;"ct x "&amp;AA89,""),IF(AND(AB89&gt;0,AC89&gt;0),TEXT(AB89,"0.00")&amp;"ct x "&amp;AC89,""))</f>
        <v/>
      </c>
      <c r="AG89" s="0">
        <f>X89*Y89*SUMIFS($AM$2:$AM$11,$AK$2:$AK$11,"&lt;="&amp;X89,$AL$2:$AL$11,"&gt;="&amp;X89)+Z89*AA89*SUMIFS($AM$2:$AM$11,$AK$2:$AK$11,"&lt;="&amp;Z89,$AL$2:$AL$11,"&gt;="&amp;Z89)+AB89*AC89*SUMIFS($AM$2:$AM$11,$AK$2:$AK$11,"&lt;="&amp;AB89,$AL$2:$AL$11,"&gt;="&amp;AB89)</f>
        <v/>
      </c>
      <c r="AH89" s="0">
        <f>AG89*(1-40%)</f>
        <v/>
      </c>
      <c r="AI89" s="0">
        <f>AH89*1.2</f>
        <v/>
      </c>
    </row>
    <row r="90">
      <c r="A90" s="26" t="n"/>
      <c r="B90" s="169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>
        <f>AG90</f>
        <v/>
      </c>
      <c r="T90" s="26">
        <f>AI90+Q90+P90</f>
        <v/>
      </c>
      <c r="U90" s="26" t="n"/>
      <c r="V90" s="26" t="n"/>
      <c r="W90" s="169" t="n"/>
      <c r="X90" s="26" t="n"/>
      <c r="Y90" s="26" t="n"/>
      <c r="Z90" s="26" t="n"/>
      <c r="AA90" s="26" t="n"/>
      <c r="AD90" s="0">
        <f>SUM(Y90,AA90,AC90)</f>
        <v/>
      </c>
      <c r="AE90" s="0">
        <f>X90*Y90+Z90*AA90+AB90*AC90</f>
        <v/>
      </c>
      <c r="AF90" s="0">
        <f>TEXTJOIN(", ",TRUE,IF(AND(X90&gt;0,Y90&gt;0),TEXT(X90,"0.00")&amp;"ct x "&amp;Y90,""),IF(AND(Z90&gt;0,AA90&gt;0),TEXT(Z90,"0.00")&amp;"ct x "&amp;AA90,""),IF(AND(AB90&gt;0,AC90&gt;0),TEXT(AB90,"0.00")&amp;"ct x "&amp;AC90,""))</f>
        <v/>
      </c>
      <c r="AG90" s="0">
        <f>X90*Y90*SUMIFS($AM$2:$AM$11,$AK$2:$AK$11,"&lt;="&amp;X90,$AL$2:$AL$11,"&gt;="&amp;X90)+Z90*AA90*SUMIFS($AM$2:$AM$11,$AK$2:$AK$11,"&lt;="&amp;Z90,$AL$2:$AL$11,"&gt;="&amp;Z90)+AB90*AC90*SUMIFS($AM$2:$AM$11,$AK$2:$AK$11,"&lt;="&amp;AB90,$AL$2:$AL$11,"&gt;="&amp;AB90)</f>
        <v/>
      </c>
      <c r="AH90" s="0">
        <f>AG90*(1-40%)</f>
        <v/>
      </c>
      <c r="AI90" s="0">
        <f>AH90*1.2</f>
        <v/>
      </c>
    </row>
    <row r="91">
      <c r="A91" s="26" t="n"/>
      <c r="B91" s="169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>
        <f>AG91</f>
        <v/>
      </c>
      <c r="T91" s="26">
        <f>AI91+Q91+P91</f>
        <v/>
      </c>
      <c r="U91" s="26" t="n"/>
      <c r="V91" s="26" t="n"/>
      <c r="W91" s="169" t="n"/>
      <c r="X91" s="26" t="n"/>
      <c r="Y91" s="26" t="n"/>
      <c r="Z91" s="26" t="n"/>
      <c r="AA91" s="26" t="n"/>
      <c r="AD91" s="0">
        <f>SUM(Y91,AA91,AC91)</f>
        <v/>
      </c>
      <c r="AE91" s="0">
        <f>X91*Y91+Z91*AA91+AB91*AC91</f>
        <v/>
      </c>
      <c r="AF91" s="0">
        <f>TEXTJOIN(", ",TRUE,IF(AND(X91&gt;0,Y91&gt;0),TEXT(X91,"0.00")&amp;"ct x "&amp;Y91,""),IF(AND(Z91&gt;0,AA91&gt;0),TEXT(Z91,"0.00")&amp;"ct x "&amp;AA91,""),IF(AND(AB91&gt;0,AC91&gt;0),TEXT(AB91,"0.00")&amp;"ct x "&amp;AC91,""))</f>
        <v/>
      </c>
      <c r="AG91" s="0">
        <f>X91*Y91*SUMIFS($AM$2:$AM$11,$AK$2:$AK$11,"&lt;="&amp;X91,$AL$2:$AL$11,"&gt;="&amp;X91)+Z91*AA91*SUMIFS($AM$2:$AM$11,$AK$2:$AK$11,"&lt;="&amp;Z91,$AL$2:$AL$11,"&gt;="&amp;Z91)+AB91*AC91*SUMIFS($AM$2:$AM$11,$AK$2:$AK$11,"&lt;="&amp;AB91,$AL$2:$AL$11,"&gt;="&amp;AB91)</f>
        <v/>
      </c>
      <c r="AH91" s="0">
        <f>AG91*(1-40%)</f>
        <v/>
      </c>
      <c r="AI91" s="0">
        <f>AH91*1.2</f>
        <v/>
      </c>
    </row>
    <row r="92">
      <c r="A92" s="26" t="n"/>
      <c r="B92" s="169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>
        <f>AG92</f>
        <v/>
      </c>
      <c r="T92" s="26">
        <f>AI92+Q92+P92</f>
        <v/>
      </c>
      <c r="U92" s="26" t="n"/>
      <c r="V92" s="26" t="n"/>
      <c r="W92" s="169" t="n"/>
      <c r="X92" s="26" t="n"/>
      <c r="Y92" s="26" t="n"/>
      <c r="Z92" s="26" t="n"/>
      <c r="AA92" s="26" t="n"/>
      <c r="AD92" s="0">
        <f>SUM(Y92,AA92,AC92)</f>
        <v/>
      </c>
      <c r="AE92" s="0">
        <f>X92*Y92+Z92*AA92+AB92*AC92</f>
        <v/>
      </c>
      <c r="AF92" s="0">
        <f>TEXTJOIN(", ",TRUE,IF(AND(X92&gt;0,Y92&gt;0),TEXT(X92,"0.00")&amp;"ct x "&amp;Y92,""),IF(AND(Z92&gt;0,AA92&gt;0),TEXT(Z92,"0.00")&amp;"ct x "&amp;AA92,""),IF(AND(AB92&gt;0,AC92&gt;0),TEXT(AB92,"0.00")&amp;"ct x "&amp;AC92,""))</f>
        <v/>
      </c>
      <c r="AG92" s="0">
        <f>X92*Y92*SUMIFS($AM$2:$AM$11,$AK$2:$AK$11,"&lt;="&amp;X92,$AL$2:$AL$11,"&gt;="&amp;X92)+Z92*AA92*SUMIFS($AM$2:$AM$11,$AK$2:$AK$11,"&lt;="&amp;Z92,$AL$2:$AL$11,"&gt;="&amp;Z92)+AB92*AC92*SUMIFS($AM$2:$AM$11,$AK$2:$AK$11,"&lt;="&amp;AB92,$AL$2:$AL$11,"&gt;="&amp;AB92)</f>
        <v/>
      </c>
      <c r="AH92" s="0">
        <f>AG92*(1-40%)</f>
        <v/>
      </c>
      <c r="AI92" s="0">
        <f>AH92*1.2</f>
        <v/>
      </c>
    </row>
    <row r="93">
      <c r="A93" s="26" t="n"/>
      <c r="B93" s="169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>
        <f>AG93</f>
        <v/>
      </c>
      <c r="T93" s="26">
        <f>AI93+Q93+P93</f>
        <v/>
      </c>
      <c r="U93" s="26" t="n"/>
      <c r="V93" s="26" t="n"/>
      <c r="W93" s="169" t="n"/>
      <c r="X93" s="26" t="n"/>
      <c r="Y93" s="26" t="n"/>
      <c r="Z93" s="26" t="n"/>
      <c r="AA93" s="26" t="n"/>
      <c r="AD93" s="0">
        <f>SUM(Y93,AA93,AC93)</f>
        <v/>
      </c>
      <c r="AE93" s="0">
        <f>X93*Y93+Z93*AA93+AB93*AC93</f>
        <v/>
      </c>
      <c r="AF93" s="0">
        <f>TEXTJOIN(", ",TRUE,IF(AND(X93&gt;0,Y93&gt;0),TEXT(X93,"0.00")&amp;"ct x "&amp;Y93,""),IF(AND(Z93&gt;0,AA93&gt;0),TEXT(Z93,"0.00")&amp;"ct x "&amp;AA93,""),IF(AND(AB93&gt;0,AC93&gt;0),TEXT(AB93,"0.00")&amp;"ct x "&amp;AC93,""))</f>
        <v/>
      </c>
      <c r="AG93" s="0">
        <f>X93*Y93*SUMIFS($AM$2:$AM$11,$AK$2:$AK$11,"&lt;="&amp;X93,$AL$2:$AL$11,"&gt;="&amp;X93)+Z93*AA93*SUMIFS($AM$2:$AM$11,$AK$2:$AK$11,"&lt;="&amp;Z93,$AL$2:$AL$11,"&gt;="&amp;Z93)+AB93*AC93*SUMIFS($AM$2:$AM$11,$AK$2:$AK$11,"&lt;="&amp;AB93,$AL$2:$AL$11,"&gt;="&amp;AB93)</f>
        <v/>
      </c>
      <c r="AH93" s="0">
        <f>AG93*(1-40%)</f>
        <v/>
      </c>
      <c r="AI93" s="0">
        <f>AH93*1.2</f>
        <v/>
      </c>
    </row>
    <row r="94">
      <c r="A94" s="26" t="n"/>
      <c r="B94" s="169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>
        <f>AG94</f>
        <v/>
      </c>
      <c r="T94" s="26">
        <f>AI94+Q94+P94</f>
        <v/>
      </c>
      <c r="U94" s="26" t="n"/>
      <c r="V94" s="26" t="n"/>
      <c r="W94" s="169" t="n"/>
      <c r="X94" s="26" t="n"/>
      <c r="Y94" s="26" t="n"/>
      <c r="Z94" s="26" t="n"/>
      <c r="AA94" s="26" t="n"/>
      <c r="AD94" s="0">
        <f>SUM(Y94,AA94,AC94)</f>
        <v/>
      </c>
      <c r="AE94" s="0">
        <f>X94*Y94+Z94*AA94+AB94*AC94</f>
        <v/>
      </c>
      <c r="AF94" s="0">
        <f>TEXTJOIN(", ",TRUE,IF(AND(X94&gt;0,Y94&gt;0),TEXT(X94,"0.00")&amp;"ct x "&amp;Y94,""),IF(AND(Z94&gt;0,AA94&gt;0),TEXT(Z94,"0.00")&amp;"ct x "&amp;AA94,""),IF(AND(AB94&gt;0,AC94&gt;0),TEXT(AB94,"0.00")&amp;"ct x "&amp;AC94,""))</f>
        <v/>
      </c>
      <c r="AG94" s="0">
        <f>X94*Y94*SUMIFS($AM$2:$AM$11,$AK$2:$AK$11,"&lt;="&amp;X94,$AL$2:$AL$11,"&gt;="&amp;X94)+Z94*AA94*SUMIFS($AM$2:$AM$11,$AK$2:$AK$11,"&lt;="&amp;Z94,$AL$2:$AL$11,"&gt;="&amp;Z94)+AB94*AC94*SUMIFS($AM$2:$AM$11,$AK$2:$AK$11,"&lt;="&amp;AB94,$AL$2:$AL$11,"&gt;="&amp;AB94)</f>
        <v/>
      </c>
      <c r="AH94" s="0">
        <f>AG94*(1-40%)</f>
        <v/>
      </c>
      <c r="AI94" s="0">
        <f>AH94*1.2</f>
        <v/>
      </c>
    </row>
    <row r="95">
      <c r="A95" s="26" t="n"/>
      <c r="B95" s="169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>
        <f>AG95</f>
        <v/>
      </c>
      <c r="T95" s="26">
        <f>AI95+Q95+P95</f>
        <v/>
      </c>
      <c r="U95" s="26" t="n"/>
      <c r="V95" s="26" t="n"/>
      <c r="W95" s="169" t="n"/>
      <c r="X95" s="26" t="n"/>
      <c r="Y95" s="26" t="n"/>
      <c r="Z95" s="26" t="n"/>
      <c r="AA95" s="26" t="n"/>
      <c r="AD95" s="0">
        <f>SUM(Y95,AA95,AC95)</f>
        <v/>
      </c>
      <c r="AE95" s="0">
        <f>X95*Y95+Z95*AA95+AB95*AC95</f>
        <v/>
      </c>
      <c r="AF95" s="0">
        <f>TEXTJOIN(", ",TRUE,IF(AND(X95&gt;0,Y95&gt;0),TEXT(X95,"0.00")&amp;"ct x "&amp;Y95,""),IF(AND(Z95&gt;0,AA95&gt;0),TEXT(Z95,"0.00")&amp;"ct x "&amp;AA95,""),IF(AND(AB95&gt;0,AC95&gt;0),TEXT(AB95,"0.00")&amp;"ct x "&amp;AC95,""))</f>
        <v/>
      </c>
      <c r="AG95" s="0">
        <f>X95*Y95*SUMIFS($AM$2:$AM$11,$AK$2:$AK$11,"&lt;="&amp;X95,$AL$2:$AL$11,"&gt;="&amp;X95)+Z95*AA95*SUMIFS($AM$2:$AM$11,$AK$2:$AK$11,"&lt;="&amp;Z95,$AL$2:$AL$11,"&gt;="&amp;Z95)+AB95*AC95*SUMIFS($AM$2:$AM$11,$AK$2:$AK$11,"&lt;="&amp;AB95,$AL$2:$AL$11,"&gt;="&amp;AB95)</f>
        <v/>
      </c>
      <c r="AH95" s="0">
        <f>AG95*(1-40%)</f>
        <v/>
      </c>
      <c r="AI95" s="0">
        <f>AH95*1.2</f>
        <v/>
      </c>
    </row>
    <row r="96">
      <c r="A96" s="26" t="n"/>
      <c r="B96" s="169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>
        <f>AG96</f>
        <v/>
      </c>
      <c r="T96" s="26">
        <f>AI96+Q96+P96</f>
        <v/>
      </c>
      <c r="U96" s="26" t="n"/>
      <c r="V96" s="26" t="n"/>
      <c r="W96" s="169" t="n"/>
      <c r="X96" s="26" t="n"/>
      <c r="Y96" s="26" t="n"/>
      <c r="Z96" s="26" t="n"/>
      <c r="AA96" s="26" t="n"/>
      <c r="AD96" s="0">
        <f>SUM(Y96,AA96,AC96)</f>
        <v/>
      </c>
      <c r="AE96" s="0">
        <f>X96*Y96+Z96*AA96+AB96*AC96</f>
        <v/>
      </c>
      <c r="AF96" s="0">
        <f>TEXTJOIN(", ",TRUE,IF(AND(X96&gt;0,Y96&gt;0),TEXT(X96,"0.00")&amp;"ct x "&amp;Y96,""),IF(AND(Z96&gt;0,AA96&gt;0),TEXT(Z96,"0.00")&amp;"ct x "&amp;AA96,""),IF(AND(AB96&gt;0,AC96&gt;0),TEXT(AB96,"0.00")&amp;"ct x "&amp;AC96,""))</f>
        <v/>
      </c>
      <c r="AG96" s="0">
        <f>X96*Y96*SUMIFS($AM$2:$AM$11,$AK$2:$AK$11,"&lt;="&amp;X96,$AL$2:$AL$11,"&gt;="&amp;X96)+Z96*AA96*SUMIFS($AM$2:$AM$11,$AK$2:$AK$11,"&lt;="&amp;Z96,$AL$2:$AL$11,"&gt;="&amp;Z96)+AB96*AC96*SUMIFS($AM$2:$AM$11,$AK$2:$AK$11,"&lt;="&amp;AB96,$AL$2:$AL$11,"&gt;="&amp;AB96)</f>
        <v/>
      </c>
      <c r="AH96" s="0">
        <f>AG96*(1-40%)</f>
        <v/>
      </c>
      <c r="AI96" s="0">
        <f>AH96*1.2</f>
        <v/>
      </c>
    </row>
    <row r="97">
      <c r="A97" s="26" t="n"/>
      <c r="B97" s="169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>
        <f>AG97</f>
        <v/>
      </c>
      <c r="T97" s="26">
        <f>AI97+Q97+P97</f>
        <v/>
      </c>
      <c r="U97" s="26" t="n"/>
      <c r="V97" s="26" t="n"/>
      <c r="W97" s="169" t="n"/>
      <c r="X97" s="26" t="n"/>
      <c r="Y97" s="26" t="n"/>
      <c r="Z97" s="26" t="n"/>
      <c r="AA97" s="26" t="n"/>
      <c r="AD97" s="0">
        <f>SUM(Y97,AA97,AC97)</f>
        <v/>
      </c>
      <c r="AE97" s="0">
        <f>X97*Y97+Z97*AA97+AB97*AC97</f>
        <v/>
      </c>
      <c r="AF97" s="0">
        <f>TEXTJOIN(", ",TRUE,IF(AND(X97&gt;0,Y97&gt;0),TEXT(X97,"0.00")&amp;"ct x "&amp;Y97,""),IF(AND(Z97&gt;0,AA97&gt;0),TEXT(Z97,"0.00")&amp;"ct x "&amp;AA97,""),IF(AND(AB97&gt;0,AC97&gt;0),TEXT(AB97,"0.00")&amp;"ct x "&amp;AC97,""))</f>
        <v/>
      </c>
      <c r="AG97" s="0">
        <f>X97*Y97*SUMIFS($AM$2:$AM$11,$AK$2:$AK$11,"&lt;="&amp;X97,$AL$2:$AL$11,"&gt;="&amp;X97)+Z97*AA97*SUMIFS($AM$2:$AM$11,$AK$2:$AK$11,"&lt;="&amp;Z97,$AL$2:$AL$11,"&gt;="&amp;Z97)+AB97*AC97*SUMIFS($AM$2:$AM$11,$AK$2:$AK$11,"&lt;="&amp;AB97,$AL$2:$AL$11,"&gt;="&amp;AB97)</f>
        <v/>
      </c>
      <c r="AH97" s="0">
        <f>AG97*(1-40%)</f>
        <v/>
      </c>
      <c r="AI97" s="0">
        <f>AH97*1.2</f>
        <v/>
      </c>
    </row>
    <row r="98">
      <c r="A98" s="26" t="n"/>
      <c r="B98" s="169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>
        <f>AG98</f>
        <v/>
      </c>
      <c r="T98" s="26">
        <f>AI98+Q98+P98</f>
        <v/>
      </c>
      <c r="U98" s="26" t="n"/>
      <c r="V98" s="26" t="n"/>
      <c r="W98" s="169" t="n"/>
      <c r="X98" s="26" t="n"/>
      <c r="Y98" s="26" t="n"/>
      <c r="Z98" s="26" t="n"/>
      <c r="AA98" s="26" t="n"/>
      <c r="AD98" s="0">
        <f>SUM(Y98,AA98,AC98)</f>
        <v/>
      </c>
      <c r="AE98" s="0">
        <f>X98*Y98+Z98*AA98+AB98*AC98</f>
        <v/>
      </c>
      <c r="AF98" s="0">
        <f>TEXTJOIN(", ",TRUE,IF(AND(X98&gt;0,Y98&gt;0),TEXT(X98,"0.00")&amp;"ct x "&amp;Y98,""),IF(AND(Z98&gt;0,AA98&gt;0),TEXT(Z98,"0.00")&amp;"ct x "&amp;AA98,""),IF(AND(AB98&gt;0,AC98&gt;0),TEXT(AB98,"0.00")&amp;"ct x "&amp;AC98,""))</f>
        <v/>
      </c>
      <c r="AG98" s="0">
        <f>X98*Y98*SUMIFS($AM$2:$AM$11,$AK$2:$AK$11,"&lt;="&amp;X98,$AL$2:$AL$11,"&gt;="&amp;X98)+Z98*AA98*SUMIFS($AM$2:$AM$11,$AK$2:$AK$11,"&lt;="&amp;Z98,$AL$2:$AL$11,"&gt;="&amp;Z98)+AB98*AC98*SUMIFS($AM$2:$AM$11,$AK$2:$AK$11,"&lt;="&amp;AB98,$AL$2:$AL$11,"&gt;="&amp;AB98)</f>
        <v/>
      </c>
      <c r="AH98" s="0">
        <f>AG98*(1-40%)</f>
        <v/>
      </c>
      <c r="AI98" s="0">
        <f>AH98*1.2</f>
        <v/>
      </c>
    </row>
    <row r="99">
      <c r="A99" s="26" t="n"/>
      <c r="B99" s="169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>
        <f>AG99</f>
        <v/>
      </c>
      <c r="T99" s="26">
        <f>AI99+Q99+P99</f>
        <v/>
      </c>
      <c r="U99" s="26" t="n"/>
      <c r="V99" s="26" t="n"/>
      <c r="W99" s="169" t="n"/>
      <c r="X99" s="26" t="n"/>
      <c r="Y99" s="26" t="n"/>
      <c r="Z99" s="26" t="n"/>
      <c r="AA99" s="26" t="n"/>
      <c r="AD99" s="0">
        <f>SUM(Y99,AA99,AC99)</f>
        <v/>
      </c>
      <c r="AE99" s="0">
        <f>X99*Y99+Z99*AA99+AB99*AC99</f>
        <v/>
      </c>
      <c r="AF99" s="0">
        <f>TEXTJOIN(", ",TRUE,IF(AND(X99&gt;0,Y99&gt;0),TEXT(X99,"0.00")&amp;"ct x "&amp;Y99,""),IF(AND(Z99&gt;0,AA99&gt;0),TEXT(Z99,"0.00")&amp;"ct x "&amp;AA99,""),IF(AND(AB99&gt;0,AC99&gt;0),TEXT(AB99,"0.00")&amp;"ct x "&amp;AC99,""))</f>
        <v/>
      </c>
      <c r="AG99" s="0">
        <f>X99*Y99*SUMIFS($AM$2:$AM$11,$AK$2:$AK$11,"&lt;="&amp;X99,$AL$2:$AL$11,"&gt;="&amp;X99)+Z99*AA99*SUMIFS($AM$2:$AM$11,$AK$2:$AK$11,"&lt;="&amp;Z99,$AL$2:$AL$11,"&gt;="&amp;Z99)+AB99*AC99*SUMIFS($AM$2:$AM$11,$AK$2:$AK$11,"&lt;="&amp;AB99,$AL$2:$AL$11,"&gt;="&amp;AB99)</f>
        <v/>
      </c>
      <c r="AH99" s="0">
        <f>AG99*(1-40%)</f>
        <v/>
      </c>
      <c r="AI99" s="0">
        <f>AH99*1.2</f>
        <v/>
      </c>
    </row>
    <row r="100">
      <c r="A100" s="26" t="n"/>
      <c r="B100" s="169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>
        <f>AG100</f>
        <v/>
      </c>
      <c r="T100" s="26">
        <f>AI100+Q100+P100</f>
        <v/>
      </c>
      <c r="U100" s="26" t="n"/>
      <c r="V100" s="26" t="n"/>
      <c r="W100" s="169" t="n"/>
      <c r="X100" s="26" t="n"/>
      <c r="Y100" s="26" t="n"/>
      <c r="Z100" s="26" t="n"/>
      <c r="AA100" s="26" t="n"/>
      <c r="AD100" s="0">
        <f>SUM(Y100,AA100,AC100)</f>
        <v/>
      </c>
      <c r="AE100" s="0">
        <f>X100*Y100+Z100*AA100+AB100*AC100</f>
        <v/>
      </c>
      <c r="AF100" s="0">
        <f>TEXTJOIN(", ",TRUE,IF(AND(X100&gt;0,Y100&gt;0),TEXT(X100,"0.00")&amp;"ct x "&amp;Y100,""),IF(AND(Z100&gt;0,AA100&gt;0),TEXT(Z100,"0.00")&amp;"ct x "&amp;AA100,""),IF(AND(AB100&gt;0,AC100&gt;0),TEXT(AB100,"0.00")&amp;"ct x "&amp;AC100,""))</f>
        <v/>
      </c>
      <c r="AG100" s="0">
        <f>X100*Y100*SUMIFS($AM$2:$AM$11,$AK$2:$AK$11,"&lt;="&amp;X100,$AL$2:$AL$11,"&gt;="&amp;X100)+Z100*AA100*SUMIFS($AM$2:$AM$11,$AK$2:$AK$11,"&lt;="&amp;Z100,$AL$2:$AL$11,"&gt;="&amp;Z100)+AB100*AC100*SUMIFS($AM$2:$AM$11,$AK$2:$AK$11,"&lt;="&amp;AB100,$AL$2:$AL$11,"&gt;="&amp;AB100)</f>
        <v/>
      </c>
      <c r="AH100" s="0">
        <f>AG100*(1-40%)</f>
        <v/>
      </c>
      <c r="AI100" s="0">
        <f>AH100*1.2</f>
        <v/>
      </c>
    </row>
    <row r="101">
      <c r="A101" s="26" t="n"/>
      <c r="B101" s="169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>
        <f>AG101</f>
        <v/>
      </c>
      <c r="T101" s="26">
        <f>AI101+Q101+P101</f>
        <v/>
      </c>
      <c r="U101" s="26" t="n"/>
      <c r="V101" s="26" t="n"/>
      <c r="W101" s="169" t="n"/>
      <c r="X101" s="26" t="n"/>
      <c r="Y101" s="26" t="n"/>
      <c r="Z101" s="26" t="n"/>
      <c r="AA101" s="26" t="n"/>
      <c r="AD101" s="0">
        <f>SUM(Y101,AA101,AC101)</f>
        <v/>
      </c>
      <c r="AE101" s="0">
        <f>X101*Y101+Z101*AA101+AB101*AC101</f>
        <v/>
      </c>
      <c r="AF101" s="0">
        <f>TEXTJOIN(", ",TRUE,IF(AND(X101&gt;0,Y101&gt;0),TEXT(X101,"0.00")&amp;"ct x "&amp;Y101,""),IF(AND(Z101&gt;0,AA101&gt;0),TEXT(Z101,"0.00")&amp;"ct x "&amp;AA101,""),IF(AND(AB101&gt;0,AC101&gt;0),TEXT(AB101,"0.00")&amp;"ct x "&amp;AC101,""))</f>
        <v/>
      </c>
      <c r="AG101" s="0">
        <f>X101*Y101*SUMIFS($AM$2:$AM$11,$AK$2:$AK$11,"&lt;="&amp;X101,$AL$2:$AL$11,"&gt;="&amp;X101)+Z101*AA101*SUMIFS($AM$2:$AM$11,$AK$2:$AK$11,"&lt;="&amp;Z101,$AL$2:$AL$11,"&gt;="&amp;Z101)+AB101*AC101*SUMIFS($AM$2:$AM$11,$AK$2:$AK$11,"&lt;="&amp;AB101,$AL$2:$AL$11,"&gt;="&amp;AB101)</f>
        <v/>
      </c>
      <c r="AH101" s="0">
        <f>AG101*(1-40%)</f>
        <v/>
      </c>
      <c r="AI101" s="0">
        <f>AH101*1.2</f>
        <v/>
      </c>
    </row>
    <row r="102">
      <c r="A102" s="26" t="n"/>
      <c r="B102" s="169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>
        <f>AG102</f>
        <v/>
      </c>
      <c r="T102" s="26">
        <f>AI102+Q102+P102</f>
        <v/>
      </c>
      <c r="U102" s="26" t="n"/>
      <c r="V102" s="26" t="n"/>
      <c r="W102" s="169" t="n"/>
      <c r="X102" s="26" t="n"/>
      <c r="Y102" s="26" t="n"/>
      <c r="Z102" s="26" t="n"/>
      <c r="AA102" s="26" t="n"/>
      <c r="AD102" s="0">
        <f>SUM(Y102,AA102,AC102)</f>
        <v/>
      </c>
      <c r="AE102" s="0">
        <f>X102*Y102+Z102*AA102+AB102*AC102</f>
        <v/>
      </c>
      <c r="AF102" s="0">
        <f>TEXTJOIN(", ",TRUE,IF(AND(X102&gt;0,Y102&gt;0),TEXT(X102,"0.00")&amp;"ct x "&amp;Y102,""),IF(AND(Z102&gt;0,AA102&gt;0),TEXT(Z102,"0.00")&amp;"ct x "&amp;AA102,""),IF(AND(AB102&gt;0,AC102&gt;0),TEXT(AB102,"0.00")&amp;"ct x "&amp;AC102,""))</f>
        <v/>
      </c>
      <c r="AG102" s="0">
        <f>X102*Y102*SUMIFS($AM$2:$AM$11,$AK$2:$AK$11,"&lt;="&amp;X102,$AL$2:$AL$11,"&gt;="&amp;X102)+Z102*AA102*SUMIFS($AM$2:$AM$11,$AK$2:$AK$11,"&lt;="&amp;Z102,$AL$2:$AL$11,"&gt;="&amp;Z102)+AB102*AC102*SUMIFS($AM$2:$AM$11,$AK$2:$AK$11,"&lt;="&amp;AB102,$AL$2:$AL$11,"&gt;="&amp;AB102)</f>
        <v/>
      </c>
      <c r="AH102" s="0">
        <f>AG102*(1-40%)</f>
        <v/>
      </c>
      <c r="AI102" s="0">
        <f>AH102*1.2</f>
        <v/>
      </c>
    </row>
    <row r="103">
      <c r="A103" s="26" t="n"/>
      <c r="B103" s="169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>
        <f>AG103</f>
        <v/>
      </c>
      <c r="T103" s="26">
        <f>AI103+Q103+P103</f>
        <v/>
      </c>
      <c r="U103" s="26" t="n"/>
      <c r="V103" s="26" t="n"/>
      <c r="W103" s="169" t="n"/>
      <c r="X103" s="26" t="n"/>
      <c r="Y103" s="26" t="n"/>
      <c r="Z103" s="26" t="n"/>
      <c r="AA103" s="26" t="n"/>
      <c r="AD103" s="0">
        <f>SUM(Y103,AA103,AC103)</f>
        <v/>
      </c>
      <c r="AE103" s="0">
        <f>X103*Y103+Z103*AA103+AB103*AC103</f>
        <v/>
      </c>
      <c r="AF103" s="0">
        <f>TEXTJOIN(", ",TRUE,IF(AND(X103&gt;0,Y103&gt;0),TEXT(X103,"0.00")&amp;"ct x "&amp;Y103,""),IF(AND(Z103&gt;0,AA103&gt;0),TEXT(Z103,"0.00")&amp;"ct x "&amp;AA103,""),IF(AND(AB103&gt;0,AC103&gt;0),TEXT(AB103,"0.00")&amp;"ct x "&amp;AC103,""))</f>
        <v/>
      </c>
      <c r="AG103" s="0">
        <f>X103*Y103*SUMIFS($AM$2:$AM$11,$AK$2:$AK$11,"&lt;="&amp;X103,$AL$2:$AL$11,"&gt;="&amp;X103)+Z103*AA103*SUMIFS($AM$2:$AM$11,$AK$2:$AK$11,"&lt;="&amp;Z103,$AL$2:$AL$11,"&gt;="&amp;Z103)+AB103*AC103*SUMIFS($AM$2:$AM$11,$AK$2:$AK$11,"&lt;="&amp;AB103,$AL$2:$AL$11,"&gt;="&amp;AB103)</f>
        <v/>
      </c>
      <c r="AH103" s="0">
        <f>AG103*(1-40%)</f>
        <v/>
      </c>
      <c r="AI103" s="0">
        <f>AH103*1.2</f>
        <v/>
      </c>
    </row>
    <row r="104">
      <c r="A104" s="26" t="n"/>
      <c r="B104" s="169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>
        <f>AG104</f>
        <v/>
      </c>
      <c r="T104" s="26">
        <f>AI104+Q104+P104</f>
        <v/>
      </c>
      <c r="U104" s="26" t="n"/>
      <c r="V104" s="26" t="n"/>
      <c r="W104" s="169" t="n"/>
      <c r="X104" s="26" t="n"/>
      <c r="Y104" s="26" t="n"/>
      <c r="Z104" s="26" t="n"/>
      <c r="AA104" s="26" t="n"/>
      <c r="AD104" s="0">
        <f>SUM(Y104,AA104,AC104)</f>
        <v/>
      </c>
      <c r="AE104" s="0">
        <f>X104*Y104+Z104*AA104+AB104*AC104</f>
        <v/>
      </c>
      <c r="AF104" s="0">
        <f>TEXTJOIN(", ",TRUE,IF(AND(X104&gt;0,Y104&gt;0),TEXT(X104,"0.00")&amp;"ct x "&amp;Y104,""),IF(AND(Z104&gt;0,AA104&gt;0),TEXT(Z104,"0.00")&amp;"ct x "&amp;AA104,""),IF(AND(AB104&gt;0,AC104&gt;0),TEXT(AB104,"0.00")&amp;"ct x "&amp;AC104,""))</f>
        <v/>
      </c>
      <c r="AG104" s="0">
        <f>X104*Y104*SUMIFS($AM$2:$AM$11,$AK$2:$AK$11,"&lt;="&amp;X104,$AL$2:$AL$11,"&gt;="&amp;X104)+Z104*AA104*SUMIFS($AM$2:$AM$11,$AK$2:$AK$11,"&lt;="&amp;Z104,$AL$2:$AL$11,"&gt;="&amp;Z104)+AB104*AC104*SUMIFS($AM$2:$AM$11,$AK$2:$AK$11,"&lt;="&amp;AB104,$AL$2:$AL$11,"&gt;="&amp;AB104)</f>
        <v/>
      </c>
      <c r="AH104" s="0">
        <f>AG104*(1-40%)</f>
        <v/>
      </c>
      <c r="AI104" s="0">
        <f>AH104*1.2</f>
        <v/>
      </c>
    </row>
    <row r="105">
      <c r="A105" s="26" t="n"/>
      <c r="B105" s="169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>
        <f>AG105</f>
        <v/>
      </c>
      <c r="T105" s="26">
        <f>AI105+Q105+P105</f>
        <v/>
      </c>
      <c r="U105" s="26" t="n"/>
      <c r="V105" s="26" t="n"/>
      <c r="W105" s="169" t="n"/>
      <c r="X105" s="26" t="n"/>
      <c r="Y105" s="26" t="n"/>
      <c r="Z105" s="26" t="n"/>
      <c r="AA105" s="26" t="n"/>
      <c r="AD105" s="0">
        <f>SUM(Y105,AA105,AC105)</f>
        <v/>
      </c>
      <c r="AE105" s="0">
        <f>X105*Y105+Z105*AA105+AB105*AC105</f>
        <v/>
      </c>
      <c r="AF105" s="0">
        <f>TEXTJOIN(", ",TRUE,IF(AND(X105&gt;0,Y105&gt;0),TEXT(X105,"0.00")&amp;"ct x "&amp;Y105,""),IF(AND(Z105&gt;0,AA105&gt;0),TEXT(Z105,"0.00")&amp;"ct x "&amp;AA105,""),IF(AND(AB105&gt;0,AC105&gt;0),TEXT(AB105,"0.00")&amp;"ct x "&amp;AC105,""))</f>
        <v/>
      </c>
      <c r="AG105" s="0">
        <f>X105*Y105*SUMIFS($AM$2:$AM$11,$AK$2:$AK$11,"&lt;="&amp;X105,$AL$2:$AL$11,"&gt;="&amp;X105)+Z105*AA105*SUMIFS($AM$2:$AM$11,$AK$2:$AK$11,"&lt;="&amp;Z105,$AL$2:$AL$11,"&gt;="&amp;Z105)+AB105*AC105*SUMIFS($AM$2:$AM$11,$AK$2:$AK$11,"&lt;="&amp;AB105,$AL$2:$AL$11,"&gt;="&amp;AB105)</f>
        <v/>
      </c>
      <c r="AH105" s="0">
        <f>AG105*(1-40%)</f>
        <v/>
      </c>
      <c r="AI105" s="0">
        <f>AH105*1.2</f>
        <v/>
      </c>
    </row>
    <row r="106">
      <c r="A106" s="26" t="n"/>
      <c r="B106" s="169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>
        <f>AG106</f>
        <v/>
      </c>
      <c r="T106" s="26">
        <f>AI106+Q106+P106</f>
        <v/>
      </c>
      <c r="U106" s="26" t="n"/>
      <c r="V106" s="26" t="n"/>
      <c r="W106" s="169" t="n"/>
      <c r="X106" s="26" t="n"/>
      <c r="Y106" s="26" t="n"/>
      <c r="Z106" s="26" t="n"/>
      <c r="AA106" s="26" t="n"/>
      <c r="AD106" s="0">
        <f>SUM(Y106,AA106,AC106)</f>
        <v/>
      </c>
      <c r="AE106" s="0">
        <f>X106*Y106+Z106*AA106+AB106*AC106</f>
        <v/>
      </c>
      <c r="AF106" s="0">
        <f>TEXTJOIN(", ",TRUE,IF(AND(X106&gt;0,Y106&gt;0),TEXT(X106,"0.00")&amp;"ct x "&amp;Y106,""),IF(AND(Z106&gt;0,AA106&gt;0),TEXT(Z106,"0.00")&amp;"ct x "&amp;AA106,""),IF(AND(AB106&gt;0,AC106&gt;0),TEXT(AB106,"0.00")&amp;"ct x "&amp;AC106,""))</f>
        <v/>
      </c>
      <c r="AG106" s="0">
        <f>X106*Y106*SUMIFS($AM$2:$AM$11,$AK$2:$AK$11,"&lt;="&amp;X106,$AL$2:$AL$11,"&gt;="&amp;X106)+Z106*AA106*SUMIFS($AM$2:$AM$11,$AK$2:$AK$11,"&lt;="&amp;Z106,$AL$2:$AL$11,"&gt;="&amp;Z106)+AB106*AC106*SUMIFS($AM$2:$AM$11,$AK$2:$AK$11,"&lt;="&amp;AB106,$AL$2:$AL$11,"&gt;="&amp;AB106)</f>
        <v/>
      </c>
      <c r="AH106" s="0">
        <f>AG106*(1-40%)</f>
        <v/>
      </c>
      <c r="AI106" s="0">
        <f>AH106*1.2</f>
        <v/>
      </c>
    </row>
    <row r="107">
      <c r="A107" s="26" t="n"/>
      <c r="B107" s="169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>
        <f>AG107</f>
        <v/>
      </c>
      <c r="T107" s="26">
        <f>AI107+Q107+P107</f>
        <v/>
      </c>
      <c r="U107" s="26" t="n"/>
      <c r="V107" s="26" t="n"/>
      <c r="W107" s="169" t="n"/>
      <c r="X107" s="26" t="n"/>
      <c r="Y107" s="26" t="n"/>
      <c r="Z107" s="26" t="n"/>
      <c r="AA107" s="26" t="n"/>
      <c r="AD107" s="0">
        <f>SUM(Y107,AA107,AC107)</f>
        <v/>
      </c>
      <c r="AE107" s="0">
        <f>X107*Y107+Z107*AA107+AB107*AC107</f>
        <v/>
      </c>
      <c r="AF107" s="0">
        <f>TEXTJOIN(", ",TRUE,IF(AND(X107&gt;0,Y107&gt;0),TEXT(X107,"0.00")&amp;"ct x "&amp;Y107,""),IF(AND(Z107&gt;0,AA107&gt;0),TEXT(Z107,"0.00")&amp;"ct x "&amp;AA107,""),IF(AND(AB107&gt;0,AC107&gt;0),TEXT(AB107,"0.00")&amp;"ct x "&amp;AC107,""))</f>
        <v/>
      </c>
      <c r="AG107" s="0">
        <f>X107*Y107*SUMIFS($AM$2:$AM$11,$AK$2:$AK$11,"&lt;="&amp;X107,$AL$2:$AL$11,"&gt;="&amp;X107)+Z107*AA107*SUMIFS($AM$2:$AM$11,$AK$2:$AK$11,"&lt;="&amp;Z107,$AL$2:$AL$11,"&gt;="&amp;Z107)+AB107*AC107*SUMIFS($AM$2:$AM$11,$AK$2:$AK$11,"&lt;="&amp;AB107,$AL$2:$AL$11,"&gt;="&amp;AB107)</f>
        <v/>
      </c>
      <c r="AH107" s="0">
        <f>AG107*(1-40%)</f>
        <v/>
      </c>
      <c r="AI107" s="0">
        <f>AH107*1.2</f>
        <v/>
      </c>
    </row>
    <row r="108">
      <c r="A108" s="26" t="n"/>
      <c r="B108" s="169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>
        <f>AG108</f>
        <v/>
      </c>
      <c r="T108" s="26">
        <f>AI108+Q108+P108</f>
        <v/>
      </c>
      <c r="U108" s="26" t="n"/>
      <c r="V108" s="26" t="n"/>
      <c r="W108" s="169" t="n"/>
      <c r="X108" s="26" t="n"/>
      <c r="Y108" s="26" t="n"/>
      <c r="Z108" s="26" t="n"/>
      <c r="AA108" s="26" t="n"/>
      <c r="AD108" s="0">
        <f>SUM(Y108,AA108,AC108)</f>
        <v/>
      </c>
      <c r="AE108" s="0">
        <f>X108*Y108+Z108*AA108+AB108*AC108</f>
        <v/>
      </c>
      <c r="AF108" s="0">
        <f>TEXTJOIN(", ",TRUE,IF(AND(X108&gt;0,Y108&gt;0),TEXT(X108,"0.00")&amp;"ct x "&amp;Y108,""),IF(AND(Z108&gt;0,AA108&gt;0),TEXT(Z108,"0.00")&amp;"ct x "&amp;AA108,""),IF(AND(AB108&gt;0,AC108&gt;0),TEXT(AB108,"0.00")&amp;"ct x "&amp;AC108,""))</f>
        <v/>
      </c>
      <c r="AG108" s="0">
        <f>X108*Y108*SUMIFS($AM$2:$AM$11,$AK$2:$AK$11,"&lt;="&amp;X108,$AL$2:$AL$11,"&gt;="&amp;X108)+Z108*AA108*SUMIFS($AM$2:$AM$11,$AK$2:$AK$11,"&lt;="&amp;Z108,$AL$2:$AL$11,"&gt;="&amp;Z108)+AB108*AC108*SUMIFS($AM$2:$AM$11,$AK$2:$AK$11,"&lt;="&amp;AB108,$AL$2:$AL$11,"&gt;="&amp;AB108)</f>
        <v/>
      </c>
      <c r="AH108" s="0">
        <f>AG108*(1-40%)</f>
        <v/>
      </c>
      <c r="AI108" s="0">
        <f>AH108*1.2</f>
        <v/>
      </c>
    </row>
    <row r="109">
      <c r="A109" s="26" t="n"/>
      <c r="B109" s="169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>
        <f>AG109</f>
        <v/>
      </c>
      <c r="T109" s="26">
        <f>AI109+Q109+P109</f>
        <v/>
      </c>
      <c r="U109" s="26" t="n"/>
      <c r="V109" s="26" t="n"/>
      <c r="W109" s="169" t="n"/>
      <c r="X109" s="26" t="n"/>
      <c r="Y109" s="26" t="n"/>
      <c r="Z109" s="26" t="n"/>
      <c r="AA109" s="26" t="n"/>
      <c r="AD109" s="0">
        <f>SUM(Y109,AA109,AC109)</f>
        <v/>
      </c>
      <c r="AE109" s="0">
        <f>X109*Y109+Z109*AA109+AB109*AC109</f>
        <v/>
      </c>
      <c r="AF109" s="0">
        <f>TEXTJOIN(", ",TRUE,IF(AND(X109&gt;0,Y109&gt;0),TEXT(X109,"0.00")&amp;"ct x "&amp;Y109,""),IF(AND(Z109&gt;0,AA109&gt;0),TEXT(Z109,"0.00")&amp;"ct x "&amp;AA109,""),IF(AND(AB109&gt;0,AC109&gt;0),TEXT(AB109,"0.00")&amp;"ct x "&amp;AC109,""))</f>
        <v/>
      </c>
      <c r="AG109" s="0">
        <f>X109*Y109*SUMIFS($AM$2:$AM$11,$AK$2:$AK$11,"&lt;="&amp;X109,$AL$2:$AL$11,"&gt;="&amp;X109)+Z109*AA109*SUMIFS($AM$2:$AM$11,$AK$2:$AK$11,"&lt;="&amp;Z109,$AL$2:$AL$11,"&gt;="&amp;Z109)+AB109*AC109*SUMIFS($AM$2:$AM$11,$AK$2:$AK$11,"&lt;="&amp;AB109,$AL$2:$AL$11,"&gt;="&amp;AB109)</f>
        <v/>
      </c>
      <c r="AH109" s="0">
        <f>AG109*(1-40%)</f>
        <v/>
      </c>
      <c r="AI109" s="0">
        <f>AH109*1.2</f>
        <v/>
      </c>
    </row>
    <row r="110">
      <c r="A110" s="26" t="n"/>
      <c r="B110" s="169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>
        <f>AG110</f>
        <v/>
      </c>
      <c r="T110" s="26">
        <f>AI110+Q110+P110</f>
        <v/>
      </c>
      <c r="U110" s="26" t="n"/>
      <c r="V110" s="26" t="n"/>
      <c r="W110" s="169" t="n"/>
      <c r="X110" s="26" t="n"/>
      <c r="Y110" s="26" t="n"/>
      <c r="Z110" s="26" t="n"/>
      <c r="AA110" s="26" t="n"/>
      <c r="AD110" s="0">
        <f>SUM(Y110,AA110,AC110)</f>
        <v/>
      </c>
      <c r="AE110" s="0">
        <f>X110*Y110+Z110*AA110+AB110*AC110</f>
        <v/>
      </c>
      <c r="AF110" s="0">
        <f>TEXTJOIN(", ",TRUE,IF(AND(X110&gt;0,Y110&gt;0),TEXT(X110,"0.00")&amp;"ct x "&amp;Y110,""),IF(AND(Z110&gt;0,AA110&gt;0),TEXT(Z110,"0.00")&amp;"ct x "&amp;AA110,""),IF(AND(AB110&gt;0,AC110&gt;0),TEXT(AB110,"0.00")&amp;"ct x "&amp;AC110,""))</f>
        <v/>
      </c>
      <c r="AG110" s="0">
        <f>X110*Y110*SUMIFS($AM$2:$AM$11,$AK$2:$AK$11,"&lt;="&amp;X110,$AL$2:$AL$11,"&gt;="&amp;X110)+Z110*AA110*SUMIFS($AM$2:$AM$11,$AK$2:$AK$11,"&lt;="&amp;Z110,$AL$2:$AL$11,"&gt;="&amp;Z110)+AB110*AC110*SUMIFS($AM$2:$AM$11,$AK$2:$AK$11,"&lt;="&amp;AB110,$AL$2:$AL$11,"&gt;="&amp;AB110)</f>
        <v/>
      </c>
      <c r="AH110" s="0">
        <f>AG110*(1-40%)</f>
        <v/>
      </c>
      <c r="AI110" s="0">
        <f>AH110*1.2</f>
        <v/>
      </c>
    </row>
    <row r="111">
      <c r="A111" s="26" t="n"/>
      <c r="B111" s="169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>
        <f>AG111</f>
        <v/>
      </c>
      <c r="T111" s="26">
        <f>AI111+Q111+P111</f>
        <v/>
      </c>
      <c r="U111" s="26" t="n"/>
      <c r="V111" s="26" t="n"/>
      <c r="W111" s="169" t="n"/>
      <c r="X111" s="26" t="n"/>
      <c r="Y111" s="26" t="n"/>
      <c r="Z111" s="26" t="n"/>
      <c r="AA111" s="26" t="n"/>
      <c r="AD111" s="0">
        <f>SUM(Y111,AA111,AC111)</f>
        <v/>
      </c>
      <c r="AE111" s="0">
        <f>X111*Y111+Z111*AA111+AB111*AC111</f>
        <v/>
      </c>
      <c r="AF111" s="0">
        <f>TEXTJOIN(", ",TRUE,IF(AND(X111&gt;0,Y111&gt;0),TEXT(X111,"0.00")&amp;"ct x "&amp;Y111,""),IF(AND(Z111&gt;0,AA111&gt;0),TEXT(Z111,"0.00")&amp;"ct x "&amp;AA111,""),IF(AND(AB111&gt;0,AC111&gt;0),TEXT(AB111,"0.00")&amp;"ct x "&amp;AC111,""))</f>
        <v/>
      </c>
      <c r="AG111" s="0">
        <f>X111*Y111*SUMIFS($AM$2:$AM$11,$AK$2:$AK$11,"&lt;="&amp;X111,$AL$2:$AL$11,"&gt;="&amp;X111)+Z111*AA111*SUMIFS($AM$2:$AM$11,$AK$2:$AK$11,"&lt;="&amp;Z111,$AL$2:$AL$11,"&gt;="&amp;Z111)+AB111*AC111*SUMIFS($AM$2:$AM$11,$AK$2:$AK$11,"&lt;="&amp;AB111,$AL$2:$AL$11,"&gt;="&amp;AB111)</f>
        <v/>
      </c>
      <c r="AH111" s="0">
        <f>AG111*(1-40%)</f>
        <v/>
      </c>
      <c r="AI111" s="0">
        <f>AH111*1.2</f>
        <v/>
      </c>
    </row>
    <row r="112">
      <c r="A112" s="26" t="n"/>
      <c r="B112" s="169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>
        <f>AG112</f>
        <v/>
      </c>
      <c r="T112" s="26">
        <f>AI112+Q112+P112</f>
        <v/>
      </c>
      <c r="U112" s="26" t="n"/>
      <c r="V112" s="26" t="n"/>
      <c r="W112" s="169" t="n"/>
      <c r="X112" s="26" t="n"/>
      <c r="Y112" s="26" t="n"/>
      <c r="Z112" s="26" t="n"/>
      <c r="AA112" s="26" t="n"/>
      <c r="AD112" s="0">
        <f>SUM(Y112,AA112,AC112)</f>
        <v/>
      </c>
      <c r="AE112" s="0">
        <f>X112*Y112+Z112*AA112+AB112*AC112</f>
        <v/>
      </c>
      <c r="AF112" s="0">
        <f>TEXTJOIN(", ",TRUE,IF(AND(X112&gt;0,Y112&gt;0),TEXT(X112,"0.00")&amp;"ct x "&amp;Y112,""),IF(AND(Z112&gt;0,AA112&gt;0),TEXT(Z112,"0.00")&amp;"ct x "&amp;AA112,""),IF(AND(AB112&gt;0,AC112&gt;0),TEXT(AB112,"0.00")&amp;"ct x "&amp;AC112,""))</f>
        <v/>
      </c>
      <c r="AG112" s="0">
        <f>X112*Y112*SUMIFS($AM$2:$AM$11,$AK$2:$AK$11,"&lt;="&amp;X112,$AL$2:$AL$11,"&gt;="&amp;X112)+Z112*AA112*SUMIFS($AM$2:$AM$11,$AK$2:$AK$11,"&lt;="&amp;Z112,$AL$2:$AL$11,"&gt;="&amp;Z112)+AB112*AC112*SUMIFS($AM$2:$AM$11,$AK$2:$AK$11,"&lt;="&amp;AB112,$AL$2:$AL$11,"&gt;="&amp;AB112)</f>
        <v/>
      </c>
      <c r="AH112" s="0">
        <f>AG112*(1-40%)</f>
        <v/>
      </c>
      <c r="AI112" s="0">
        <f>AH112*1.2</f>
        <v/>
      </c>
    </row>
    <row r="113">
      <c r="A113" s="26" t="n"/>
      <c r="B113" s="169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>
        <f>AG113</f>
        <v/>
      </c>
      <c r="T113" s="26">
        <f>AI113+Q113+P113</f>
        <v/>
      </c>
      <c r="U113" s="26" t="n"/>
      <c r="V113" s="26" t="n"/>
      <c r="W113" s="169" t="n"/>
      <c r="X113" s="26" t="n"/>
      <c r="Y113" s="26" t="n"/>
      <c r="Z113" s="26" t="n"/>
      <c r="AA113" s="26" t="n"/>
      <c r="AD113" s="0">
        <f>SUM(Y113,AA113,AC113)</f>
        <v/>
      </c>
      <c r="AE113" s="0">
        <f>X113*Y113+Z113*AA113+AB113*AC113</f>
        <v/>
      </c>
      <c r="AF113" s="0">
        <f>TEXTJOIN(", ",TRUE,IF(AND(X113&gt;0,Y113&gt;0),TEXT(X113,"0.00")&amp;"ct x "&amp;Y113,""),IF(AND(Z113&gt;0,AA113&gt;0),TEXT(Z113,"0.00")&amp;"ct x "&amp;AA113,""),IF(AND(AB113&gt;0,AC113&gt;0),TEXT(AB113,"0.00")&amp;"ct x "&amp;AC113,""))</f>
        <v/>
      </c>
      <c r="AG113" s="0">
        <f>X113*Y113*SUMIFS($AM$2:$AM$11,$AK$2:$AK$11,"&lt;="&amp;X113,$AL$2:$AL$11,"&gt;="&amp;X113)+Z113*AA113*SUMIFS($AM$2:$AM$11,$AK$2:$AK$11,"&lt;="&amp;Z113,$AL$2:$AL$11,"&gt;="&amp;Z113)+AB113*AC113*SUMIFS($AM$2:$AM$11,$AK$2:$AK$11,"&lt;="&amp;AB113,$AL$2:$AL$11,"&gt;="&amp;AB113)</f>
        <v/>
      </c>
      <c r="AH113" s="0">
        <f>AG113*(1-40%)</f>
        <v/>
      </c>
      <c r="AI113" s="0">
        <f>AH113*1.2</f>
        <v/>
      </c>
    </row>
    <row r="114">
      <c r="A114" s="26" t="n"/>
      <c r="B114" s="169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>
        <f>AG114</f>
        <v/>
      </c>
      <c r="T114" s="26">
        <f>AI114+Q114+P114</f>
        <v/>
      </c>
      <c r="U114" s="26" t="n"/>
      <c r="V114" s="26" t="n"/>
      <c r="W114" s="169" t="n"/>
      <c r="X114" s="26" t="n"/>
      <c r="Y114" s="26" t="n"/>
      <c r="Z114" s="26" t="n"/>
      <c r="AA114" s="26" t="n"/>
      <c r="AD114" s="0">
        <f>SUM(Y114,AA114,AC114)</f>
        <v/>
      </c>
      <c r="AE114" s="0">
        <f>X114*Y114+Z114*AA114+AB114*AC114</f>
        <v/>
      </c>
      <c r="AF114" s="0">
        <f>TEXTJOIN(", ",TRUE,IF(AND(X114&gt;0,Y114&gt;0),TEXT(X114,"0.00")&amp;"ct x "&amp;Y114,""),IF(AND(Z114&gt;0,AA114&gt;0),TEXT(Z114,"0.00")&amp;"ct x "&amp;AA114,""),IF(AND(AB114&gt;0,AC114&gt;0),TEXT(AB114,"0.00")&amp;"ct x "&amp;AC114,""))</f>
        <v/>
      </c>
      <c r="AG114" s="0">
        <f>X114*Y114*SUMIFS($AM$2:$AM$11,$AK$2:$AK$11,"&lt;="&amp;X114,$AL$2:$AL$11,"&gt;="&amp;X114)+Z114*AA114*SUMIFS($AM$2:$AM$11,$AK$2:$AK$11,"&lt;="&amp;Z114,$AL$2:$AL$11,"&gt;="&amp;Z114)+AB114*AC114*SUMIFS($AM$2:$AM$11,$AK$2:$AK$11,"&lt;="&amp;AB114,$AL$2:$AL$11,"&gt;="&amp;AB114)</f>
        <v/>
      </c>
      <c r="AH114" s="0">
        <f>AG114*(1-40%)</f>
        <v/>
      </c>
      <c r="AI114" s="0">
        <f>AH114*1.2</f>
        <v/>
      </c>
    </row>
    <row r="115">
      <c r="A115" s="26" t="n"/>
      <c r="B115" s="169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>
        <f>AG115</f>
        <v/>
      </c>
      <c r="T115" s="26">
        <f>AI115+Q115+P115</f>
        <v/>
      </c>
      <c r="U115" s="26" t="n"/>
      <c r="V115" s="26" t="n"/>
      <c r="W115" s="169" t="n"/>
      <c r="X115" s="26" t="n"/>
      <c r="Y115" s="26" t="n"/>
      <c r="Z115" s="26" t="n"/>
      <c r="AA115" s="26" t="n"/>
      <c r="AD115" s="0">
        <f>SUM(Y115,AA115,AC115)</f>
        <v/>
      </c>
      <c r="AE115" s="0">
        <f>X115*Y115+Z115*AA115+AB115*AC115</f>
        <v/>
      </c>
      <c r="AF115" s="0">
        <f>TEXTJOIN(", ",TRUE,IF(AND(X115&gt;0,Y115&gt;0),TEXT(X115,"0.00")&amp;"ct x "&amp;Y115,""),IF(AND(Z115&gt;0,AA115&gt;0),TEXT(Z115,"0.00")&amp;"ct x "&amp;AA115,""),IF(AND(AB115&gt;0,AC115&gt;0),TEXT(AB115,"0.00")&amp;"ct x "&amp;AC115,""))</f>
        <v/>
      </c>
      <c r="AG115" s="0">
        <f>X115*Y115*SUMIFS($AM$2:$AM$11,$AK$2:$AK$11,"&lt;="&amp;X115,$AL$2:$AL$11,"&gt;="&amp;X115)+Z115*AA115*SUMIFS($AM$2:$AM$11,$AK$2:$AK$11,"&lt;="&amp;Z115,$AL$2:$AL$11,"&gt;="&amp;Z115)+AB115*AC115*SUMIFS($AM$2:$AM$11,$AK$2:$AK$11,"&lt;="&amp;AB115,$AL$2:$AL$11,"&gt;="&amp;AB115)</f>
        <v/>
      </c>
      <c r="AH115" s="0">
        <f>AG115*(1-40%)</f>
        <v/>
      </c>
      <c r="AI115" s="0">
        <f>AH115*1.2</f>
        <v/>
      </c>
    </row>
    <row r="116">
      <c r="A116" s="26" t="n"/>
      <c r="B116" s="169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>
        <f>AG116</f>
        <v/>
      </c>
      <c r="T116" s="26">
        <f>AI116+Q116+P116</f>
        <v/>
      </c>
      <c r="U116" s="26" t="n"/>
      <c r="V116" s="26" t="n"/>
      <c r="W116" s="169" t="n"/>
      <c r="X116" s="26" t="n"/>
      <c r="Y116" s="26" t="n"/>
      <c r="Z116" s="26" t="n"/>
      <c r="AA116" s="26" t="n"/>
      <c r="AD116" s="0">
        <f>SUM(Y116,AA116,AC116)</f>
        <v/>
      </c>
      <c r="AE116" s="0">
        <f>X116*Y116+Z116*AA116+AB116*AC116</f>
        <v/>
      </c>
      <c r="AF116" s="0">
        <f>TEXTJOIN(", ",TRUE,IF(AND(X116&gt;0,Y116&gt;0),TEXT(X116,"0.00")&amp;"ct x "&amp;Y116,""),IF(AND(Z116&gt;0,AA116&gt;0),TEXT(Z116,"0.00")&amp;"ct x "&amp;AA116,""),IF(AND(AB116&gt;0,AC116&gt;0),TEXT(AB116,"0.00")&amp;"ct x "&amp;AC116,""))</f>
        <v/>
      </c>
      <c r="AG116" s="0">
        <f>X116*Y116*SUMIFS($AM$2:$AM$11,$AK$2:$AK$11,"&lt;="&amp;X116,$AL$2:$AL$11,"&gt;="&amp;X116)+Z116*AA116*SUMIFS($AM$2:$AM$11,$AK$2:$AK$11,"&lt;="&amp;Z116,$AL$2:$AL$11,"&gt;="&amp;Z116)+AB116*AC116*SUMIFS($AM$2:$AM$11,$AK$2:$AK$11,"&lt;="&amp;AB116,$AL$2:$AL$11,"&gt;="&amp;AB116)</f>
        <v/>
      </c>
      <c r="AH116" s="0">
        <f>AG116*(1-40%)</f>
        <v/>
      </c>
      <c r="AI116" s="0">
        <f>AH116*1.2</f>
        <v/>
      </c>
    </row>
    <row r="117">
      <c r="A117" s="26" t="n"/>
      <c r="B117" s="169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>
        <f>AG117</f>
        <v/>
      </c>
      <c r="T117" s="26">
        <f>AI117+Q117+P117</f>
        <v/>
      </c>
      <c r="U117" s="26" t="n"/>
      <c r="V117" s="26" t="n"/>
      <c r="W117" s="169" t="n"/>
      <c r="X117" s="26" t="n"/>
      <c r="Y117" s="26" t="n"/>
      <c r="Z117" s="26" t="n"/>
      <c r="AA117" s="26" t="n"/>
      <c r="AD117" s="0">
        <f>SUM(Y117,AA117,AC117)</f>
        <v/>
      </c>
      <c r="AE117" s="0">
        <f>X117*Y117+Z117*AA117+AB117*AC117</f>
        <v/>
      </c>
      <c r="AF117" s="0">
        <f>TEXTJOIN(", ",TRUE,IF(AND(X117&gt;0,Y117&gt;0),TEXT(X117,"0.00")&amp;"ct x "&amp;Y117,""),IF(AND(Z117&gt;0,AA117&gt;0),TEXT(Z117,"0.00")&amp;"ct x "&amp;AA117,""),IF(AND(AB117&gt;0,AC117&gt;0),TEXT(AB117,"0.00")&amp;"ct x "&amp;AC117,""))</f>
        <v/>
      </c>
      <c r="AG117" s="0">
        <f>X117*Y117*SUMIFS($AM$2:$AM$11,$AK$2:$AK$11,"&lt;="&amp;X117,$AL$2:$AL$11,"&gt;="&amp;X117)+Z117*AA117*SUMIFS($AM$2:$AM$11,$AK$2:$AK$11,"&lt;="&amp;Z117,$AL$2:$AL$11,"&gt;="&amp;Z117)+AB117*AC117*SUMIFS($AM$2:$AM$11,$AK$2:$AK$11,"&lt;="&amp;AB117,$AL$2:$AL$11,"&gt;="&amp;AB117)</f>
        <v/>
      </c>
      <c r="AH117" s="0">
        <f>AG117*(1-40%)</f>
        <v/>
      </c>
      <c r="AI117" s="0">
        <f>AH117*1.2</f>
        <v/>
      </c>
    </row>
    <row r="118">
      <c r="A118" s="26" t="n"/>
      <c r="B118" s="169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>
        <f>AG118</f>
        <v/>
      </c>
      <c r="T118" s="26">
        <f>AI118+Q118+P118</f>
        <v/>
      </c>
      <c r="U118" s="26" t="n"/>
      <c r="V118" s="26" t="n"/>
      <c r="W118" s="169" t="n"/>
      <c r="X118" s="26" t="n"/>
      <c r="Y118" s="26" t="n"/>
      <c r="Z118" s="26" t="n"/>
      <c r="AA118" s="26" t="n"/>
      <c r="AD118" s="0">
        <f>SUM(Y118,AA118,AC118)</f>
        <v/>
      </c>
      <c r="AE118" s="0">
        <f>X118*Y118+Z118*AA118+AB118*AC118</f>
        <v/>
      </c>
      <c r="AF118" s="0">
        <f>TEXTJOIN(", ",TRUE,IF(AND(X118&gt;0,Y118&gt;0),TEXT(X118,"0.00")&amp;"ct x "&amp;Y118,""),IF(AND(Z118&gt;0,AA118&gt;0),TEXT(Z118,"0.00")&amp;"ct x "&amp;AA118,""),IF(AND(AB118&gt;0,AC118&gt;0),TEXT(AB118,"0.00")&amp;"ct x "&amp;AC118,""))</f>
        <v/>
      </c>
      <c r="AG118" s="0">
        <f>X118*Y118*SUMIFS($AM$2:$AM$11,$AK$2:$AK$11,"&lt;="&amp;X118,$AL$2:$AL$11,"&gt;="&amp;X118)+Z118*AA118*SUMIFS($AM$2:$AM$11,$AK$2:$AK$11,"&lt;="&amp;Z118,$AL$2:$AL$11,"&gt;="&amp;Z118)+AB118*AC118*SUMIFS($AM$2:$AM$11,$AK$2:$AK$11,"&lt;="&amp;AB118,$AL$2:$AL$11,"&gt;="&amp;AB118)</f>
        <v/>
      </c>
      <c r="AH118" s="0">
        <f>AG118*(1-40%)</f>
        <v/>
      </c>
      <c r="AI118" s="0">
        <f>AH118*1.2</f>
        <v/>
      </c>
    </row>
    <row r="119">
      <c r="A119" s="26" t="n"/>
      <c r="B119" s="169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>
        <f>AG119</f>
        <v/>
      </c>
      <c r="T119" s="26">
        <f>AI119+Q119+P119</f>
        <v/>
      </c>
      <c r="U119" s="26" t="n"/>
      <c r="V119" s="26" t="n"/>
      <c r="W119" s="169" t="n"/>
      <c r="X119" s="26" t="n"/>
      <c r="Y119" s="26" t="n"/>
      <c r="Z119" s="26" t="n"/>
      <c r="AA119" s="26" t="n"/>
      <c r="AD119" s="0">
        <f>SUM(Y119,AA119,AC119)</f>
        <v/>
      </c>
      <c r="AE119" s="0">
        <f>X119*Y119+Z119*AA119+AB119*AC119</f>
        <v/>
      </c>
      <c r="AF119" s="0">
        <f>TEXTJOIN(", ",TRUE,IF(AND(X119&gt;0,Y119&gt;0),TEXT(X119,"0.00")&amp;"ct x "&amp;Y119,""),IF(AND(Z119&gt;0,AA119&gt;0),TEXT(Z119,"0.00")&amp;"ct x "&amp;AA119,""),IF(AND(AB119&gt;0,AC119&gt;0),TEXT(AB119,"0.00")&amp;"ct x "&amp;AC119,""))</f>
        <v/>
      </c>
      <c r="AG119" s="0">
        <f>X119*Y119*SUMIFS($AM$2:$AM$11,$AK$2:$AK$11,"&lt;="&amp;X119,$AL$2:$AL$11,"&gt;="&amp;X119)+Z119*AA119*SUMIFS($AM$2:$AM$11,$AK$2:$AK$11,"&lt;="&amp;Z119,$AL$2:$AL$11,"&gt;="&amp;Z119)+AB119*AC119*SUMIFS($AM$2:$AM$11,$AK$2:$AK$11,"&lt;="&amp;AB119,$AL$2:$AL$11,"&gt;="&amp;AB119)</f>
        <v/>
      </c>
      <c r="AH119" s="0">
        <f>AG119*(1-40%)</f>
        <v/>
      </c>
      <c r="AI119" s="0">
        <f>AH119*1.2</f>
        <v/>
      </c>
    </row>
    <row r="120">
      <c r="A120" s="26" t="n"/>
      <c r="B120" s="169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>
        <f>AG120</f>
        <v/>
      </c>
      <c r="T120" s="26">
        <f>AI120+Q120+P120</f>
        <v/>
      </c>
      <c r="U120" s="26" t="n"/>
      <c r="V120" s="26" t="n"/>
      <c r="W120" s="169" t="n"/>
      <c r="X120" s="26" t="n"/>
      <c r="Y120" s="26" t="n"/>
      <c r="Z120" s="26" t="n"/>
      <c r="AA120" s="26" t="n"/>
      <c r="AD120" s="0">
        <f>SUM(Y120,AA120,AC120)</f>
        <v/>
      </c>
      <c r="AE120" s="0">
        <f>X120*Y120+Z120*AA120+AB120*AC120</f>
        <v/>
      </c>
      <c r="AF120" s="0">
        <f>TEXTJOIN(", ",TRUE,IF(AND(X120&gt;0,Y120&gt;0),TEXT(X120,"0.00")&amp;"ct x "&amp;Y120,""),IF(AND(Z120&gt;0,AA120&gt;0),TEXT(Z120,"0.00")&amp;"ct x "&amp;AA120,""),IF(AND(AB120&gt;0,AC120&gt;0),TEXT(AB120,"0.00")&amp;"ct x "&amp;AC120,""))</f>
        <v/>
      </c>
      <c r="AG120" s="0">
        <f>X120*Y120*SUMIFS($AM$2:$AM$11,$AK$2:$AK$11,"&lt;="&amp;X120,$AL$2:$AL$11,"&gt;="&amp;X120)+Z120*AA120*SUMIFS($AM$2:$AM$11,$AK$2:$AK$11,"&lt;="&amp;Z120,$AL$2:$AL$11,"&gt;="&amp;Z120)+AB120*AC120*SUMIFS($AM$2:$AM$11,$AK$2:$AK$11,"&lt;="&amp;AB120,$AL$2:$AL$11,"&gt;="&amp;AB120)</f>
        <v/>
      </c>
      <c r="AH120" s="0">
        <f>AG120*(1-40%)</f>
        <v/>
      </c>
      <c r="AI120" s="0">
        <f>AH120*1.2</f>
        <v/>
      </c>
    </row>
    <row r="121">
      <c r="A121" s="26" t="n"/>
      <c r="B121" s="169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>
        <f>AG121</f>
        <v/>
      </c>
      <c r="T121" s="26">
        <f>AI121+Q121+P121</f>
        <v/>
      </c>
      <c r="U121" s="26" t="n"/>
      <c r="V121" s="26" t="n"/>
      <c r="W121" s="169" t="n"/>
      <c r="X121" s="26" t="n"/>
      <c r="Y121" s="26" t="n"/>
      <c r="Z121" s="26" t="n"/>
      <c r="AA121" s="26" t="n"/>
      <c r="AD121" s="0">
        <f>SUM(Y121,AA121,AC121)</f>
        <v/>
      </c>
      <c r="AE121" s="0">
        <f>X121*Y121+Z121*AA121+AB121*AC121</f>
        <v/>
      </c>
      <c r="AF121" s="0">
        <f>TEXTJOIN(", ",TRUE,IF(AND(X121&gt;0,Y121&gt;0),TEXT(X121,"0.00")&amp;"ct x "&amp;Y121,""),IF(AND(Z121&gt;0,AA121&gt;0),TEXT(Z121,"0.00")&amp;"ct x "&amp;AA121,""),IF(AND(AB121&gt;0,AC121&gt;0),TEXT(AB121,"0.00")&amp;"ct x "&amp;AC121,""))</f>
        <v/>
      </c>
      <c r="AG121" s="0">
        <f>X121*Y121*SUMIFS($AM$2:$AM$11,$AK$2:$AK$11,"&lt;="&amp;X121,$AL$2:$AL$11,"&gt;="&amp;X121)+Z121*AA121*SUMIFS($AM$2:$AM$11,$AK$2:$AK$11,"&lt;="&amp;Z121,$AL$2:$AL$11,"&gt;="&amp;Z121)+AB121*AC121*SUMIFS($AM$2:$AM$11,$AK$2:$AK$11,"&lt;="&amp;AB121,$AL$2:$AL$11,"&gt;="&amp;AB121)</f>
        <v/>
      </c>
      <c r="AH121" s="0">
        <f>AG121*(1-40%)</f>
        <v/>
      </c>
      <c r="AI121" s="0">
        <f>AH121*1.2</f>
        <v/>
      </c>
    </row>
    <row r="122">
      <c r="A122" s="26" t="n"/>
      <c r="B122" s="169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>
        <f>AG122</f>
        <v/>
      </c>
      <c r="T122" s="26">
        <f>AI122+Q122+P122</f>
        <v/>
      </c>
      <c r="U122" s="26" t="n"/>
      <c r="V122" s="26" t="n"/>
      <c r="W122" s="169" t="n"/>
      <c r="X122" s="26" t="n"/>
      <c r="Y122" s="26" t="n"/>
      <c r="Z122" s="26" t="n"/>
      <c r="AA122" s="26" t="n"/>
      <c r="AD122" s="0">
        <f>SUM(Y122,AA122,AC122)</f>
        <v/>
      </c>
      <c r="AE122" s="0">
        <f>X122*Y122+Z122*AA122+AB122*AC122</f>
        <v/>
      </c>
      <c r="AF122" s="0">
        <f>TEXTJOIN(", ",TRUE,IF(AND(X122&gt;0,Y122&gt;0),TEXT(X122,"0.00")&amp;"ct x "&amp;Y122,""),IF(AND(Z122&gt;0,AA122&gt;0),TEXT(Z122,"0.00")&amp;"ct x "&amp;AA122,""),IF(AND(AB122&gt;0,AC122&gt;0),TEXT(AB122,"0.00")&amp;"ct x "&amp;AC122,""))</f>
        <v/>
      </c>
      <c r="AG122" s="0">
        <f>X122*Y122*SUMIFS($AM$2:$AM$11,$AK$2:$AK$11,"&lt;="&amp;X122,$AL$2:$AL$11,"&gt;="&amp;X122)+Z122*AA122*SUMIFS($AM$2:$AM$11,$AK$2:$AK$11,"&lt;="&amp;Z122,$AL$2:$AL$11,"&gt;="&amp;Z122)+AB122*AC122*SUMIFS($AM$2:$AM$11,$AK$2:$AK$11,"&lt;="&amp;AB122,$AL$2:$AL$11,"&gt;="&amp;AB122)</f>
        <v/>
      </c>
      <c r="AH122" s="0">
        <f>AG122*(1-40%)</f>
        <v/>
      </c>
      <c r="AI122" s="0">
        <f>AH122*1.2</f>
        <v/>
      </c>
    </row>
    <row r="123">
      <c r="A123" s="26" t="n"/>
      <c r="B123" s="169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>
        <f>AG123</f>
        <v/>
      </c>
      <c r="T123" s="26">
        <f>AI123+Q123+P123</f>
        <v/>
      </c>
      <c r="U123" s="26" t="n"/>
      <c r="V123" s="26" t="n"/>
      <c r="W123" s="169" t="n"/>
      <c r="X123" s="26" t="n"/>
      <c r="Y123" s="26" t="n"/>
      <c r="Z123" s="26" t="n"/>
      <c r="AA123" s="26" t="n"/>
      <c r="AD123" s="0">
        <f>SUM(Y123,AA123,AC123)</f>
        <v/>
      </c>
      <c r="AE123" s="0">
        <f>X123*Y123+Z123*AA123+AB123*AC123</f>
        <v/>
      </c>
      <c r="AF123" s="0">
        <f>TEXTJOIN(", ",TRUE,IF(AND(X123&gt;0,Y123&gt;0),TEXT(X123,"0.00")&amp;"ct x "&amp;Y123,""),IF(AND(Z123&gt;0,AA123&gt;0),TEXT(Z123,"0.00")&amp;"ct x "&amp;AA123,""),IF(AND(AB123&gt;0,AC123&gt;0),TEXT(AB123,"0.00")&amp;"ct x "&amp;AC123,""))</f>
        <v/>
      </c>
      <c r="AG123" s="0">
        <f>X123*Y123*SUMIFS($AM$2:$AM$11,$AK$2:$AK$11,"&lt;="&amp;X123,$AL$2:$AL$11,"&gt;="&amp;X123)+Z123*AA123*SUMIFS($AM$2:$AM$11,$AK$2:$AK$11,"&lt;="&amp;Z123,$AL$2:$AL$11,"&gt;="&amp;Z123)+AB123*AC123*SUMIFS($AM$2:$AM$11,$AK$2:$AK$11,"&lt;="&amp;AB123,$AL$2:$AL$11,"&gt;="&amp;AB123)</f>
        <v/>
      </c>
      <c r="AH123" s="0">
        <f>AG123*(1-40%)</f>
        <v/>
      </c>
      <c r="AI123" s="0">
        <f>AH123*1.2</f>
        <v/>
      </c>
    </row>
    <row r="124">
      <c r="A124" s="26" t="n"/>
      <c r="B124" s="169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>
        <f>AG124</f>
        <v/>
      </c>
      <c r="T124" s="26">
        <f>AI124+Q124+P124</f>
        <v/>
      </c>
      <c r="U124" s="26" t="n"/>
      <c r="V124" s="26" t="n"/>
      <c r="W124" s="169" t="n"/>
      <c r="X124" s="26" t="n"/>
      <c r="Y124" s="26" t="n"/>
      <c r="Z124" s="26" t="n"/>
      <c r="AA124" s="26" t="n"/>
      <c r="AD124" s="0">
        <f>SUM(Y124,AA124,AC124)</f>
        <v/>
      </c>
      <c r="AE124" s="0">
        <f>X124*Y124+Z124*AA124+AB124*AC124</f>
        <v/>
      </c>
      <c r="AF124" s="0">
        <f>TEXTJOIN(", ",TRUE,IF(AND(X124&gt;0,Y124&gt;0),TEXT(X124,"0.00")&amp;"ct x "&amp;Y124,""),IF(AND(Z124&gt;0,AA124&gt;0),TEXT(Z124,"0.00")&amp;"ct x "&amp;AA124,""),IF(AND(AB124&gt;0,AC124&gt;0),TEXT(AB124,"0.00")&amp;"ct x "&amp;AC124,""))</f>
        <v/>
      </c>
      <c r="AG124" s="0">
        <f>X124*Y124*SUMIFS($AM$2:$AM$11,$AK$2:$AK$11,"&lt;="&amp;X124,$AL$2:$AL$11,"&gt;="&amp;X124)+Z124*AA124*SUMIFS($AM$2:$AM$11,$AK$2:$AK$11,"&lt;="&amp;Z124,$AL$2:$AL$11,"&gt;="&amp;Z124)+AB124*AC124*SUMIFS($AM$2:$AM$11,$AK$2:$AK$11,"&lt;="&amp;AB124,$AL$2:$AL$11,"&gt;="&amp;AB124)</f>
        <v/>
      </c>
      <c r="AH124" s="0">
        <f>AG124*(1-40%)</f>
        <v/>
      </c>
      <c r="AI124" s="0">
        <f>AH124*1.2</f>
        <v/>
      </c>
    </row>
    <row r="125">
      <c r="A125" s="26" t="n"/>
      <c r="B125" s="169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>
        <f>AG125</f>
        <v/>
      </c>
      <c r="T125" s="26">
        <f>AI125+Q125+P125</f>
        <v/>
      </c>
      <c r="U125" s="26" t="n"/>
      <c r="V125" s="26" t="n"/>
      <c r="W125" s="169" t="n"/>
      <c r="X125" s="26" t="n"/>
      <c r="Y125" s="26" t="n"/>
      <c r="Z125" s="26" t="n"/>
      <c r="AA125" s="26" t="n"/>
      <c r="AD125" s="0">
        <f>SUM(Y125,AA125,AC125)</f>
        <v/>
      </c>
      <c r="AE125" s="0">
        <f>X125*Y125+Z125*AA125+AB125*AC125</f>
        <v/>
      </c>
      <c r="AF125" s="0">
        <f>TEXTJOIN(", ",TRUE,IF(AND(X125&gt;0,Y125&gt;0),TEXT(X125,"0.00")&amp;"ct x "&amp;Y125,""),IF(AND(Z125&gt;0,AA125&gt;0),TEXT(Z125,"0.00")&amp;"ct x "&amp;AA125,""),IF(AND(AB125&gt;0,AC125&gt;0),TEXT(AB125,"0.00")&amp;"ct x "&amp;AC125,""))</f>
        <v/>
      </c>
      <c r="AG125" s="0">
        <f>X125*Y125*SUMIFS($AM$2:$AM$11,$AK$2:$AK$11,"&lt;="&amp;X125,$AL$2:$AL$11,"&gt;="&amp;X125)+Z125*AA125*SUMIFS($AM$2:$AM$11,$AK$2:$AK$11,"&lt;="&amp;Z125,$AL$2:$AL$11,"&gt;="&amp;Z125)+AB125*AC125*SUMIFS($AM$2:$AM$11,$AK$2:$AK$11,"&lt;="&amp;AB125,$AL$2:$AL$11,"&gt;="&amp;AB125)</f>
        <v/>
      </c>
      <c r="AH125" s="0">
        <f>AG125*(1-40%)</f>
        <v/>
      </c>
      <c r="AI125" s="0">
        <f>AH125*1.2</f>
        <v/>
      </c>
    </row>
    <row r="126">
      <c r="A126" s="26" t="n"/>
      <c r="B126" s="169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>
        <f>AG126</f>
        <v/>
      </c>
      <c r="T126" s="26">
        <f>AI126+Q126+P126</f>
        <v/>
      </c>
      <c r="U126" s="26" t="n"/>
      <c r="V126" s="26" t="n"/>
      <c r="W126" s="169" t="n"/>
      <c r="X126" s="26" t="n"/>
      <c r="Y126" s="26" t="n"/>
      <c r="Z126" s="26" t="n"/>
      <c r="AA126" s="26" t="n"/>
      <c r="AD126" s="0">
        <f>SUM(Y126,AA126,AC126)</f>
        <v/>
      </c>
      <c r="AE126" s="0">
        <f>X126*Y126+Z126*AA126+AB126*AC126</f>
        <v/>
      </c>
      <c r="AF126" s="0">
        <f>TEXTJOIN(", ",TRUE,IF(AND(X126&gt;0,Y126&gt;0),TEXT(X126,"0.00")&amp;"ct x "&amp;Y126,""),IF(AND(Z126&gt;0,AA126&gt;0),TEXT(Z126,"0.00")&amp;"ct x "&amp;AA126,""),IF(AND(AB126&gt;0,AC126&gt;0),TEXT(AB126,"0.00")&amp;"ct x "&amp;AC126,""))</f>
        <v/>
      </c>
      <c r="AG126" s="0">
        <f>X126*Y126*SUMIFS($AM$2:$AM$11,$AK$2:$AK$11,"&lt;="&amp;X126,$AL$2:$AL$11,"&gt;="&amp;X126)+Z126*AA126*SUMIFS($AM$2:$AM$11,$AK$2:$AK$11,"&lt;="&amp;Z126,$AL$2:$AL$11,"&gt;="&amp;Z126)+AB126*AC126*SUMIFS($AM$2:$AM$11,$AK$2:$AK$11,"&lt;="&amp;AB126,$AL$2:$AL$11,"&gt;="&amp;AB126)</f>
        <v/>
      </c>
      <c r="AH126" s="0">
        <f>AG126*(1-40%)</f>
        <v/>
      </c>
      <c r="AI126" s="0">
        <f>AH126*1.2</f>
        <v/>
      </c>
    </row>
    <row r="127">
      <c r="A127" s="26" t="n"/>
      <c r="B127" s="169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>
        <f>AG127</f>
        <v/>
      </c>
      <c r="T127" s="26">
        <f>AI127+Q127+P127</f>
        <v/>
      </c>
      <c r="U127" s="26" t="n"/>
      <c r="V127" s="26" t="n"/>
      <c r="W127" s="169" t="n"/>
      <c r="X127" s="26" t="n"/>
      <c r="Y127" s="26" t="n"/>
      <c r="Z127" s="26" t="n"/>
      <c r="AA127" s="26" t="n"/>
      <c r="AD127" s="0">
        <f>SUM(Y127,AA127,AC127)</f>
        <v/>
      </c>
      <c r="AE127" s="0">
        <f>X127*Y127+Z127*AA127+AB127*AC127</f>
        <v/>
      </c>
      <c r="AF127" s="0">
        <f>TEXTJOIN(", ",TRUE,IF(AND(X127&gt;0,Y127&gt;0),TEXT(X127,"0.00")&amp;"ct x "&amp;Y127,""),IF(AND(Z127&gt;0,AA127&gt;0),TEXT(Z127,"0.00")&amp;"ct x "&amp;AA127,""),IF(AND(AB127&gt;0,AC127&gt;0),TEXT(AB127,"0.00")&amp;"ct x "&amp;AC127,""))</f>
        <v/>
      </c>
      <c r="AG127" s="0">
        <f>X127*Y127*SUMIFS($AM$2:$AM$11,$AK$2:$AK$11,"&lt;="&amp;X127,$AL$2:$AL$11,"&gt;="&amp;X127)+Z127*AA127*SUMIFS($AM$2:$AM$11,$AK$2:$AK$11,"&lt;="&amp;Z127,$AL$2:$AL$11,"&gt;="&amp;Z127)+AB127*AC127*SUMIFS($AM$2:$AM$11,$AK$2:$AK$11,"&lt;="&amp;AB127,$AL$2:$AL$11,"&gt;="&amp;AB127)</f>
        <v/>
      </c>
      <c r="AH127" s="0">
        <f>AG127*(1-40%)</f>
        <v/>
      </c>
      <c r="AI127" s="0">
        <f>AH127*1.2</f>
        <v/>
      </c>
    </row>
    <row r="128">
      <c r="A128" s="26" t="n"/>
      <c r="B128" s="169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>
        <f>AG128</f>
        <v/>
      </c>
      <c r="T128" s="26">
        <f>AI128+Q128+P128</f>
        <v/>
      </c>
      <c r="U128" s="26" t="n"/>
      <c r="V128" s="26" t="n"/>
      <c r="W128" s="169" t="n"/>
      <c r="X128" s="26" t="n"/>
      <c r="Y128" s="26" t="n"/>
      <c r="Z128" s="26" t="n"/>
      <c r="AA128" s="26" t="n"/>
      <c r="AD128" s="0">
        <f>SUM(Y128,AA128,AC128)</f>
        <v/>
      </c>
      <c r="AE128" s="0">
        <f>X128*Y128+Z128*AA128+AB128*AC128</f>
        <v/>
      </c>
      <c r="AF128" s="0">
        <f>TEXTJOIN(", ",TRUE,IF(AND(X128&gt;0,Y128&gt;0),TEXT(X128,"0.00")&amp;"ct x "&amp;Y128,""),IF(AND(Z128&gt;0,AA128&gt;0),TEXT(Z128,"0.00")&amp;"ct x "&amp;AA128,""),IF(AND(AB128&gt;0,AC128&gt;0),TEXT(AB128,"0.00")&amp;"ct x "&amp;AC128,""))</f>
        <v/>
      </c>
      <c r="AG128" s="0">
        <f>X128*Y128*SUMIFS($AM$2:$AM$11,$AK$2:$AK$11,"&lt;="&amp;X128,$AL$2:$AL$11,"&gt;="&amp;X128)+Z128*AA128*SUMIFS($AM$2:$AM$11,$AK$2:$AK$11,"&lt;="&amp;Z128,$AL$2:$AL$11,"&gt;="&amp;Z128)+AB128*AC128*SUMIFS($AM$2:$AM$11,$AK$2:$AK$11,"&lt;="&amp;AB128,$AL$2:$AL$11,"&gt;="&amp;AB128)</f>
        <v/>
      </c>
      <c r="AH128" s="0">
        <f>AG128*(1-40%)</f>
        <v/>
      </c>
      <c r="AI128" s="0">
        <f>AH128*1.2</f>
        <v/>
      </c>
    </row>
    <row r="129">
      <c r="A129" s="26" t="n"/>
      <c r="B129" s="169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>
        <f>AG129</f>
        <v/>
      </c>
      <c r="T129" s="26">
        <f>AI129+Q129+P129</f>
        <v/>
      </c>
      <c r="U129" s="26" t="n"/>
      <c r="V129" s="26" t="n"/>
      <c r="W129" s="169" t="n"/>
      <c r="X129" s="26" t="n"/>
      <c r="Y129" s="26" t="n"/>
      <c r="Z129" s="26" t="n"/>
      <c r="AA129" s="26" t="n"/>
      <c r="AD129" s="0">
        <f>SUM(Y129,AA129,AC129)</f>
        <v/>
      </c>
      <c r="AE129" s="0">
        <f>X129*Y129+Z129*AA129+AB129*AC129</f>
        <v/>
      </c>
      <c r="AF129" s="0">
        <f>TEXTJOIN(", ",TRUE,IF(AND(X129&gt;0,Y129&gt;0),TEXT(X129,"0.00")&amp;"ct x "&amp;Y129,""),IF(AND(Z129&gt;0,AA129&gt;0),TEXT(Z129,"0.00")&amp;"ct x "&amp;AA129,""),IF(AND(AB129&gt;0,AC129&gt;0),TEXT(AB129,"0.00")&amp;"ct x "&amp;AC129,""))</f>
        <v/>
      </c>
      <c r="AG129" s="0">
        <f>X129*Y129*SUMIFS($AM$2:$AM$11,$AK$2:$AK$11,"&lt;="&amp;X129,$AL$2:$AL$11,"&gt;="&amp;X129)+Z129*AA129*SUMIFS($AM$2:$AM$11,$AK$2:$AK$11,"&lt;="&amp;Z129,$AL$2:$AL$11,"&gt;="&amp;Z129)+AB129*AC129*SUMIFS($AM$2:$AM$11,$AK$2:$AK$11,"&lt;="&amp;AB129,$AL$2:$AL$11,"&gt;="&amp;AB129)</f>
        <v/>
      </c>
      <c r="AH129" s="0">
        <f>AG129*(1-40%)</f>
        <v/>
      </c>
      <c r="AI129" s="0">
        <f>AH129*1.2</f>
        <v/>
      </c>
    </row>
    <row r="130">
      <c r="A130" s="26" t="n"/>
      <c r="B130" s="169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>
        <f>AG130</f>
        <v/>
      </c>
      <c r="T130" s="26">
        <f>AI130+Q130+P130</f>
        <v/>
      </c>
      <c r="U130" s="26" t="n"/>
      <c r="V130" s="26" t="n"/>
      <c r="W130" s="169" t="n"/>
      <c r="X130" s="26" t="n"/>
      <c r="Y130" s="26" t="n"/>
      <c r="Z130" s="26" t="n"/>
      <c r="AA130" s="26" t="n"/>
      <c r="AD130" s="0">
        <f>SUM(Y130,AA130,AC130)</f>
        <v/>
      </c>
      <c r="AE130" s="0">
        <f>X130*Y130+Z130*AA130+AB130*AC130</f>
        <v/>
      </c>
      <c r="AF130" s="0">
        <f>TEXTJOIN(", ",TRUE,IF(AND(X130&gt;0,Y130&gt;0),TEXT(X130,"0.00")&amp;"ct x "&amp;Y130,""),IF(AND(Z130&gt;0,AA130&gt;0),TEXT(Z130,"0.00")&amp;"ct x "&amp;AA130,""),IF(AND(AB130&gt;0,AC130&gt;0),TEXT(AB130,"0.00")&amp;"ct x "&amp;AC130,""))</f>
        <v/>
      </c>
      <c r="AG130" s="0">
        <f>X130*Y130*SUMIFS($AM$2:$AM$11,$AK$2:$AK$11,"&lt;="&amp;X130,$AL$2:$AL$11,"&gt;="&amp;X130)+Z130*AA130*SUMIFS($AM$2:$AM$11,$AK$2:$AK$11,"&lt;="&amp;Z130,$AL$2:$AL$11,"&gt;="&amp;Z130)+AB130*AC130*SUMIFS($AM$2:$AM$11,$AK$2:$AK$11,"&lt;="&amp;AB130,$AL$2:$AL$11,"&gt;="&amp;AB130)</f>
        <v/>
      </c>
      <c r="AH130" s="0">
        <f>AG130*(1-40%)</f>
        <v/>
      </c>
      <c r="AI130" s="0">
        <f>AH130*1.2</f>
        <v/>
      </c>
    </row>
    <row r="131">
      <c r="A131" s="26" t="n"/>
      <c r="B131" s="169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>
        <f>AG131</f>
        <v/>
      </c>
      <c r="T131" s="26">
        <f>AI131+Q131+P131</f>
        <v/>
      </c>
      <c r="U131" s="26" t="n"/>
      <c r="V131" s="26" t="n"/>
      <c r="W131" s="169" t="n"/>
      <c r="X131" s="26" t="n"/>
      <c r="Y131" s="26" t="n"/>
      <c r="Z131" s="26" t="n"/>
      <c r="AA131" s="26" t="n"/>
      <c r="AD131" s="0">
        <f>SUM(Y131,AA131,AC131)</f>
        <v/>
      </c>
      <c r="AE131" s="0">
        <f>X131*Y131+Z131*AA131+AB131*AC131</f>
        <v/>
      </c>
      <c r="AF131" s="0">
        <f>TEXTJOIN(", ",TRUE,IF(AND(X131&gt;0,Y131&gt;0),TEXT(X131,"0.00")&amp;"ct x "&amp;Y131,""),IF(AND(Z131&gt;0,AA131&gt;0),TEXT(Z131,"0.00")&amp;"ct x "&amp;AA131,""),IF(AND(AB131&gt;0,AC131&gt;0),TEXT(AB131,"0.00")&amp;"ct x "&amp;AC131,""))</f>
        <v/>
      </c>
      <c r="AG131" s="0">
        <f>X131*Y131*SUMIFS($AM$2:$AM$11,$AK$2:$AK$11,"&lt;="&amp;X131,$AL$2:$AL$11,"&gt;="&amp;X131)+Z131*AA131*SUMIFS($AM$2:$AM$11,$AK$2:$AK$11,"&lt;="&amp;Z131,$AL$2:$AL$11,"&gt;="&amp;Z131)+AB131*AC131*SUMIFS($AM$2:$AM$11,$AK$2:$AK$11,"&lt;="&amp;AB131,$AL$2:$AL$11,"&gt;="&amp;AB131)</f>
        <v/>
      </c>
      <c r="AH131" s="0">
        <f>AG131*(1-40%)</f>
        <v/>
      </c>
      <c r="AI131" s="0">
        <f>AH131*1.2</f>
        <v/>
      </c>
    </row>
    <row r="132">
      <c r="A132" s="26" t="n"/>
      <c r="B132" s="169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>
        <f>AG132</f>
        <v/>
      </c>
      <c r="T132" s="26">
        <f>AI132+Q132+P132</f>
        <v/>
      </c>
      <c r="U132" s="26" t="n"/>
      <c r="V132" s="26" t="n"/>
      <c r="W132" s="169" t="n"/>
      <c r="X132" s="26" t="n"/>
      <c r="Y132" s="26" t="n"/>
      <c r="Z132" s="26" t="n"/>
      <c r="AA132" s="26" t="n"/>
      <c r="AD132" s="0">
        <f>SUM(Y132,AA132,AC132)</f>
        <v/>
      </c>
      <c r="AE132" s="0">
        <f>X132*Y132+Z132*AA132+AB132*AC132</f>
        <v/>
      </c>
      <c r="AF132" s="0">
        <f>TEXTJOIN(", ",TRUE,IF(AND(X132&gt;0,Y132&gt;0),TEXT(X132,"0.00")&amp;"ct x "&amp;Y132,""),IF(AND(Z132&gt;0,AA132&gt;0),TEXT(Z132,"0.00")&amp;"ct x "&amp;AA132,""),IF(AND(AB132&gt;0,AC132&gt;0),TEXT(AB132,"0.00")&amp;"ct x "&amp;AC132,""))</f>
        <v/>
      </c>
      <c r="AG132" s="0">
        <f>X132*Y132*SUMIFS($AM$2:$AM$11,$AK$2:$AK$11,"&lt;="&amp;X132,$AL$2:$AL$11,"&gt;="&amp;X132)+Z132*AA132*SUMIFS($AM$2:$AM$11,$AK$2:$AK$11,"&lt;="&amp;Z132,$AL$2:$AL$11,"&gt;="&amp;Z132)+AB132*AC132*SUMIFS($AM$2:$AM$11,$AK$2:$AK$11,"&lt;="&amp;AB132,$AL$2:$AL$11,"&gt;="&amp;AB132)</f>
        <v/>
      </c>
      <c r="AH132" s="0">
        <f>AG132*(1-40%)</f>
        <v/>
      </c>
      <c r="AI132" s="0">
        <f>AH132*1.2</f>
        <v/>
      </c>
    </row>
    <row r="133">
      <c r="A133" s="26" t="n"/>
      <c r="B133" s="169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>
        <f>AG133</f>
        <v/>
      </c>
      <c r="T133" s="26">
        <f>AI133+Q133+P133</f>
        <v/>
      </c>
      <c r="U133" s="26" t="n"/>
      <c r="V133" s="26" t="n"/>
      <c r="W133" s="169" t="n"/>
      <c r="X133" s="26" t="n"/>
      <c r="Y133" s="26" t="n"/>
      <c r="Z133" s="26" t="n"/>
      <c r="AA133" s="26" t="n"/>
      <c r="AD133" s="0">
        <f>SUM(Y133,AA133,AC133)</f>
        <v/>
      </c>
      <c r="AE133" s="0">
        <f>X133*Y133+Z133*AA133+AB133*AC133</f>
        <v/>
      </c>
      <c r="AF133" s="0">
        <f>TEXTJOIN(", ",TRUE,IF(AND(X133&gt;0,Y133&gt;0),TEXT(X133,"0.00")&amp;"ct x "&amp;Y133,""),IF(AND(Z133&gt;0,AA133&gt;0),TEXT(Z133,"0.00")&amp;"ct x "&amp;AA133,""),IF(AND(AB133&gt;0,AC133&gt;0),TEXT(AB133,"0.00")&amp;"ct x "&amp;AC133,""))</f>
        <v/>
      </c>
      <c r="AG133" s="0">
        <f>X133*Y133*SUMIFS($AM$2:$AM$11,$AK$2:$AK$11,"&lt;="&amp;X133,$AL$2:$AL$11,"&gt;="&amp;X133)+Z133*AA133*SUMIFS($AM$2:$AM$11,$AK$2:$AK$11,"&lt;="&amp;Z133,$AL$2:$AL$11,"&gt;="&amp;Z133)+AB133*AC133*SUMIFS($AM$2:$AM$11,$AK$2:$AK$11,"&lt;="&amp;AB133,$AL$2:$AL$11,"&gt;="&amp;AB133)</f>
        <v/>
      </c>
      <c r="AH133" s="0">
        <f>AG133*(1-40%)</f>
        <v/>
      </c>
      <c r="AI133" s="0">
        <f>AH133*1.2</f>
        <v/>
      </c>
    </row>
    <row r="134">
      <c r="A134" s="26" t="n"/>
      <c r="B134" s="169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>
        <f>AG134</f>
        <v/>
      </c>
      <c r="T134" s="26">
        <f>AI134+Q134+P134</f>
        <v/>
      </c>
      <c r="U134" s="26" t="n"/>
      <c r="V134" s="26" t="n"/>
      <c r="W134" s="169" t="n"/>
      <c r="X134" s="26" t="n"/>
      <c r="Y134" s="26" t="n"/>
      <c r="Z134" s="26" t="n"/>
      <c r="AA134" s="26" t="n"/>
      <c r="AD134" s="0">
        <f>SUM(Y134,AA134,AC134)</f>
        <v/>
      </c>
      <c r="AE134" s="0">
        <f>X134*Y134+Z134*AA134+AB134*AC134</f>
        <v/>
      </c>
      <c r="AF134" s="0">
        <f>TEXTJOIN(", ",TRUE,IF(AND(X134&gt;0,Y134&gt;0),TEXT(X134,"0.00")&amp;"ct x "&amp;Y134,""),IF(AND(Z134&gt;0,AA134&gt;0),TEXT(Z134,"0.00")&amp;"ct x "&amp;AA134,""),IF(AND(AB134&gt;0,AC134&gt;0),TEXT(AB134,"0.00")&amp;"ct x "&amp;AC134,""))</f>
        <v/>
      </c>
      <c r="AG134" s="0">
        <f>X134*Y134*SUMIFS($AM$2:$AM$11,$AK$2:$AK$11,"&lt;="&amp;X134,$AL$2:$AL$11,"&gt;="&amp;X134)+Z134*AA134*SUMIFS($AM$2:$AM$11,$AK$2:$AK$11,"&lt;="&amp;Z134,$AL$2:$AL$11,"&gt;="&amp;Z134)+AB134*AC134*SUMIFS($AM$2:$AM$11,$AK$2:$AK$11,"&lt;="&amp;AB134,$AL$2:$AL$11,"&gt;="&amp;AB134)</f>
        <v/>
      </c>
      <c r="AH134" s="0">
        <f>AG134*(1-40%)</f>
        <v/>
      </c>
      <c r="AI134" s="0">
        <f>AH134*1.2</f>
        <v/>
      </c>
    </row>
    <row r="135">
      <c r="A135" s="26" t="n"/>
      <c r="B135" s="169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>
        <f>AG135</f>
        <v/>
      </c>
      <c r="T135" s="26">
        <f>AI135+Q135+P135</f>
        <v/>
      </c>
      <c r="U135" s="26" t="n"/>
      <c r="V135" s="26" t="n"/>
      <c r="W135" s="169" t="n"/>
      <c r="X135" s="26" t="n"/>
      <c r="Y135" s="26" t="n"/>
      <c r="Z135" s="26" t="n"/>
      <c r="AA135" s="26" t="n"/>
      <c r="AD135" s="0">
        <f>SUM(Y135,AA135,AC135)</f>
        <v/>
      </c>
      <c r="AE135" s="0">
        <f>X135*Y135+Z135*AA135+AB135*AC135</f>
        <v/>
      </c>
      <c r="AF135" s="0">
        <f>TEXTJOIN(", ",TRUE,IF(AND(X135&gt;0,Y135&gt;0),TEXT(X135,"0.00")&amp;"ct x "&amp;Y135,""),IF(AND(Z135&gt;0,AA135&gt;0),TEXT(Z135,"0.00")&amp;"ct x "&amp;AA135,""),IF(AND(AB135&gt;0,AC135&gt;0),TEXT(AB135,"0.00")&amp;"ct x "&amp;AC135,""))</f>
        <v/>
      </c>
      <c r="AG135" s="0">
        <f>X135*Y135*SUMIFS($AM$2:$AM$11,$AK$2:$AK$11,"&lt;="&amp;X135,$AL$2:$AL$11,"&gt;="&amp;X135)+Z135*AA135*SUMIFS($AM$2:$AM$11,$AK$2:$AK$11,"&lt;="&amp;Z135,$AL$2:$AL$11,"&gt;="&amp;Z135)+AB135*AC135*SUMIFS($AM$2:$AM$11,$AK$2:$AK$11,"&lt;="&amp;AB135,$AL$2:$AL$11,"&gt;="&amp;AB135)</f>
        <v/>
      </c>
      <c r="AH135" s="0">
        <f>AG135*(1-40%)</f>
        <v/>
      </c>
      <c r="AI135" s="0">
        <f>AH135*1.2</f>
        <v/>
      </c>
    </row>
    <row r="136">
      <c r="A136" s="26" t="n"/>
      <c r="B136" s="169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>
        <f>AG136</f>
        <v/>
      </c>
      <c r="T136" s="26">
        <f>AI136+Q136+P136</f>
        <v/>
      </c>
      <c r="U136" s="26" t="n"/>
      <c r="V136" s="26" t="n"/>
      <c r="W136" s="169" t="n"/>
      <c r="X136" s="26" t="n"/>
      <c r="Y136" s="26" t="n"/>
      <c r="Z136" s="26" t="n"/>
      <c r="AA136" s="26" t="n"/>
      <c r="AD136" s="0">
        <f>SUM(Y136,AA136,AC136)</f>
        <v/>
      </c>
      <c r="AE136" s="0">
        <f>X136*Y136+Z136*AA136+AB136*AC136</f>
        <v/>
      </c>
      <c r="AF136" s="0">
        <f>TEXTJOIN(", ",TRUE,IF(AND(X136&gt;0,Y136&gt;0),TEXT(X136,"0.00")&amp;"ct x "&amp;Y136,""),IF(AND(Z136&gt;0,AA136&gt;0),TEXT(Z136,"0.00")&amp;"ct x "&amp;AA136,""),IF(AND(AB136&gt;0,AC136&gt;0),TEXT(AB136,"0.00")&amp;"ct x "&amp;AC136,""))</f>
        <v/>
      </c>
      <c r="AG136" s="0">
        <f>X136*Y136*SUMIFS($AM$2:$AM$11,$AK$2:$AK$11,"&lt;="&amp;X136,$AL$2:$AL$11,"&gt;="&amp;X136)+Z136*AA136*SUMIFS($AM$2:$AM$11,$AK$2:$AK$11,"&lt;="&amp;Z136,$AL$2:$AL$11,"&gt;="&amp;Z136)+AB136*AC136*SUMIFS($AM$2:$AM$11,$AK$2:$AK$11,"&lt;="&amp;AB136,$AL$2:$AL$11,"&gt;="&amp;AB136)</f>
        <v/>
      </c>
      <c r="AH136" s="0">
        <f>AG136*(1-40%)</f>
        <v/>
      </c>
      <c r="AI136" s="0">
        <f>AH136*1.2</f>
        <v/>
      </c>
    </row>
    <row r="137">
      <c r="A137" s="26" t="n"/>
      <c r="B137" s="169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>
        <f>AG137</f>
        <v/>
      </c>
      <c r="T137" s="26">
        <f>AI137+Q137+P137</f>
        <v/>
      </c>
      <c r="U137" s="26" t="n"/>
      <c r="V137" s="26" t="n"/>
      <c r="W137" s="169" t="n"/>
      <c r="X137" s="26" t="n"/>
      <c r="Y137" s="26" t="n"/>
      <c r="Z137" s="26" t="n"/>
      <c r="AA137" s="26" t="n"/>
      <c r="AD137" s="0">
        <f>SUM(Y137,AA137,AC137)</f>
        <v/>
      </c>
      <c r="AE137" s="0">
        <f>X137*Y137+Z137*AA137+AB137*AC137</f>
        <v/>
      </c>
      <c r="AF137" s="0">
        <f>TEXTJOIN(", ",TRUE,IF(AND(X137&gt;0,Y137&gt;0),TEXT(X137,"0.00")&amp;"ct x "&amp;Y137,""),IF(AND(Z137&gt;0,AA137&gt;0),TEXT(Z137,"0.00")&amp;"ct x "&amp;AA137,""),IF(AND(AB137&gt;0,AC137&gt;0),TEXT(AB137,"0.00")&amp;"ct x "&amp;AC137,""))</f>
        <v/>
      </c>
      <c r="AG137" s="0">
        <f>X137*Y137*SUMIFS($AM$2:$AM$11,$AK$2:$AK$11,"&lt;="&amp;X137,$AL$2:$AL$11,"&gt;="&amp;X137)+Z137*AA137*SUMIFS($AM$2:$AM$11,$AK$2:$AK$11,"&lt;="&amp;Z137,$AL$2:$AL$11,"&gt;="&amp;Z137)+AB137*AC137*SUMIFS($AM$2:$AM$11,$AK$2:$AK$11,"&lt;="&amp;AB137,$AL$2:$AL$11,"&gt;="&amp;AB137)</f>
        <v/>
      </c>
      <c r="AH137" s="0">
        <f>AG137*(1-40%)</f>
        <v/>
      </c>
      <c r="AI137" s="0">
        <f>AH137*1.2</f>
        <v/>
      </c>
    </row>
    <row r="138">
      <c r="A138" s="26" t="n"/>
      <c r="B138" s="169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>
        <f>AG138</f>
        <v/>
      </c>
      <c r="T138" s="26">
        <f>AI138+Q138+P138</f>
        <v/>
      </c>
      <c r="U138" s="26" t="n"/>
      <c r="V138" s="26" t="n"/>
      <c r="W138" s="169" t="n"/>
      <c r="X138" s="26" t="n"/>
      <c r="Y138" s="26" t="n"/>
      <c r="Z138" s="26" t="n"/>
      <c r="AA138" s="26" t="n"/>
      <c r="AD138" s="0">
        <f>SUM(Y138,AA138,AC138)</f>
        <v/>
      </c>
      <c r="AE138" s="0">
        <f>X138*Y138+Z138*AA138+AB138*AC138</f>
        <v/>
      </c>
      <c r="AF138" s="0">
        <f>TEXTJOIN(", ",TRUE,IF(AND(X138&gt;0,Y138&gt;0),TEXT(X138,"0.00")&amp;"ct x "&amp;Y138,""),IF(AND(Z138&gt;0,AA138&gt;0),TEXT(Z138,"0.00")&amp;"ct x "&amp;AA138,""),IF(AND(AB138&gt;0,AC138&gt;0),TEXT(AB138,"0.00")&amp;"ct x "&amp;AC138,""))</f>
        <v/>
      </c>
      <c r="AG138" s="0">
        <f>X138*Y138*SUMIFS($AM$2:$AM$11,$AK$2:$AK$11,"&lt;="&amp;X138,$AL$2:$AL$11,"&gt;="&amp;X138)+Z138*AA138*SUMIFS($AM$2:$AM$11,$AK$2:$AK$11,"&lt;="&amp;Z138,$AL$2:$AL$11,"&gt;="&amp;Z138)+AB138*AC138*SUMIFS($AM$2:$AM$11,$AK$2:$AK$11,"&lt;="&amp;AB138,$AL$2:$AL$11,"&gt;="&amp;AB138)</f>
        <v/>
      </c>
      <c r="AH138" s="0">
        <f>AG138*(1-40%)</f>
        <v/>
      </c>
      <c r="AI138" s="0">
        <f>AH138*1.2</f>
        <v/>
      </c>
    </row>
    <row r="139">
      <c r="A139" s="26" t="n"/>
      <c r="B139" s="169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>
        <f>AG139</f>
        <v/>
      </c>
      <c r="T139" s="26">
        <f>AI139+Q139+P139</f>
        <v/>
      </c>
      <c r="U139" s="26" t="n"/>
      <c r="V139" s="26" t="n"/>
      <c r="W139" s="169" t="n"/>
      <c r="X139" s="26" t="n"/>
      <c r="Y139" s="26" t="n"/>
      <c r="Z139" s="26" t="n"/>
      <c r="AA139" s="26" t="n"/>
      <c r="AD139" s="0">
        <f>SUM(Y139,AA139,AC139)</f>
        <v/>
      </c>
      <c r="AE139" s="0">
        <f>X139*Y139+Z139*AA139+AB139*AC139</f>
        <v/>
      </c>
      <c r="AF139" s="0">
        <f>TEXTJOIN(", ",TRUE,IF(AND(X139&gt;0,Y139&gt;0),TEXT(X139,"0.00")&amp;"ct x "&amp;Y139,""),IF(AND(Z139&gt;0,AA139&gt;0),TEXT(Z139,"0.00")&amp;"ct x "&amp;AA139,""),IF(AND(AB139&gt;0,AC139&gt;0),TEXT(AB139,"0.00")&amp;"ct x "&amp;AC139,""))</f>
        <v/>
      </c>
      <c r="AG139" s="0">
        <f>X139*Y139*SUMIFS($AM$2:$AM$11,$AK$2:$AK$11,"&lt;="&amp;X139,$AL$2:$AL$11,"&gt;="&amp;X139)+Z139*AA139*SUMIFS($AM$2:$AM$11,$AK$2:$AK$11,"&lt;="&amp;Z139,$AL$2:$AL$11,"&gt;="&amp;Z139)+AB139*AC139*SUMIFS($AM$2:$AM$11,$AK$2:$AK$11,"&lt;="&amp;AB139,$AL$2:$AL$11,"&gt;="&amp;AB139)</f>
        <v/>
      </c>
      <c r="AH139" s="0">
        <f>AG139*(1-40%)</f>
        <v/>
      </c>
      <c r="AI139" s="0">
        <f>AH139*1.2</f>
        <v/>
      </c>
    </row>
    <row r="140">
      <c r="A140" s="26" t="n"/>
      <c r="B140" s="169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>
        <f>AG140</f>
        <v/>
      </c>
      <c r="T140" s="26">
        <f>AI140+Q140+P140</f>
        <v/>
      </c>
      <c r="U140" s="26" t="n"/>
      <c r="V140" s="26" t="n"/>
      <c r="W140" s="169" t="n"/>
      <c r="X140" s="26" t="n"/>
      <c r="Y140" s="26" t="n"/>
      <c r="Z140" s="26" t="n"/>
      <c r="AA140" s="26" t="n"/>
      <c r="AD140" s="0">
        <f>SUM(Y140,AA140,AC140)</f>
        <v/>
      </c>
      <c r="AE140" s="0">
        <f>X140*Y140+Z140*AA140+AB140*AC140</f>
        <v/>
      </c>
      <c r="AF140" s="0">
        <f>TEXTJOIN(", ",TRUE,IF(AND(X140&gt;0,Y140&gt;0),TEXT(X140,"0.00")&amp;"ct x "&amp;Y140,""),IF(AND(Z140&gt;0,AA140&gt;0),TEXT(Z140,"0.00")&amp;"ct x "&amp;AA140,""),IF(AND(AB140&gt;0,AC140&gt;0),TEXT(AB140,"0.00")&amp;"ct x "&amp;AC140,""))</f>
        <v/>
      </c>
      <c r="AG140" s="0">
        <f>X140*Y140*SUMIFS($AM$2:$AM$11,$AK$2:$AK$11,"&lt;="&amp;X140,$AL$2:$AL$11,"&gt;="&amp;X140)+Z140*AA140*SUMIFS($AM$2:$AM$11,$AK$2:$AK$11,"&lt;="&amp;Z140,$AL$2:$AL$11,"&gt;="&amp;Z140)+AB140*AC140*SUMIFS($AM$2:$AM$11,$AK$2:$AK$11,"&lt;="&amp;AB140,$AL$2:$AL$11,"&gt;="&amp;AB140)</f>
        <v/>
      </c>
      <c r="AH140" s="0">
        <f>AG140*(1-40%)</f>
        <v/>
      </c>
      <c r="AI140" s="0">
        <f>AH140*1.2</f>
        <v/>
      </c>
    </row>
    <row r="141">
      <c r="A141" s="26" t="n"/>
      <c r="B141" s="169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>
        <f>AG141</f>
        <v/>
      </c>
      <c r="T141" s="26">
        <f>AI141+Q141+P141</f>
        <v/>
      </c>
      <c r="U141" s="26" t="n"/>
      <c r="V141" s="26" t="n"/>
      <c r="W141" s="169" t="n"/>
      <c r="X141" s="26" t="n"/>
      <c r="Y141" s="26" t="n"/>
      <c r="Z141" s="26" t="n"/>
      <c r="AA141" s="26" t="n"/>
      <c r="AD141" s="0">
        <f>SUM(Y141,AA141,AC141)</f>
        <v/>
      </c>
      <c r="AE141" s="0">
        <f>X141*Y141+Z141*AA141+AB141*AC141</f>
        <v/>
      </c>
      <c r="AF141" s="0">
        <f>TEXTJOIN(", ",TRUE,IF(AND(X141&gt;0,Y141&gt;0),TEXT(X141,"0.00")&amp;"ct x "&amp;Y141,""),IF(AND(Z141&gt;0,AA141&gt;0),TEXT(Z141,"0.00")&amp;"ct x "&amp;AA141,""),IF(AND(AB141&gt;0,AC141&gt;0),TEXT(AB141,"0.00")&amp;"ct x "&amp;AC141,""))</f>
        <v/>
      </c>
      <c r="AG141" s="0">
        <f>X141*Y141*SUMIFS($AM$2:$AM$11,$AK$2:$AK$11,"&lt;="&amp;X141,$AL$2:$AL$11,"&gt;="&amp;X141)+Z141*AA141*SUMIFS($AM$2:$AM$11,$AK$2:$AK$11,"&lt;="&amp;Z141,$AL$2:$AL$11,"&gt;="&amp;Z141)+AB141*AC141*SUMIFS($AM$2:$AM$11,$AK$2:$AK$11,"&lt;="&amp;AB141,$AL$2:$AL$11,"&gt;="&amp;AB141)</f>
        <v/>
      </c>
      <c r="AH141" s="0">
        <f>AG141*(1-40%)</f>
        <v/>
      </c>
      <c r="AI141" s="0">
        <f>AH141*1.2</f>
        <v/>
      </c>
    </row>
    <row r="142">
      <c r="A142" s="26" t="n"/>
      <c r="B142" s="169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>
        <f>AG142</f>
        <v/>
      </c>
      <c r="T142" s="26">
        <f>AI142+Q142+P142</f>
        <v/>
      </c>
      <c r="U142" s="26" t="n"/>
      <c r="V142" s="26" t="n"/>
      <c r="W142" s="169" t="n"/>
      <c r="X142" s="26" t="n"/>
      <c r="Y142" s="26" t="n"/>
      <c r="Z142" s="26" t="n"/>
      <c r="AA142" s="26" t="n"/>
      <c r="AD142" s="0">
        <f>SUM(Y142,AA142,AC142)</f>
        <v/>
      </c>
      <c r="AE142" s="0">
        <f>X142*Y142+Z142*AA142+AB142*AC142</f>
        <v/>
      </c>
      <c r="AF142" s="0">
        <f>TEXTJOIN(", ",TRUE,IF(AND(X142&gt;0,Y142&gt;0),TEXT(X142,"0.00")&amp;"ct x "&amp;Y142,""),IF(AND(Z142&gt;0,AA142&gt;0),TEXT(Z142,"0.00")&amp;"ct x "&amp;AA142,""),IF(AND(AB142&gt;0,AC142&gt;0),TEXT(AB142,"0.00")&amp;"ct x "&amp;AC142,""))</f>
        <v/>
      </c>
      <c r="AG142" s="0">
        <f>X142*Y142*SUMIFS($AM$2:$AM$11,$AK$2:$AK$11,"&lt;="&amp;X142,$AL$2:$AL$11,"&gt;="&amp;X142)+Z142*AA142*SUMIFS($AM$2:$AM$11,$AK$2:$AK$11,"&lt;="&amp;Z142,$AL$2:$AL$11,"&gt;="&amp;Z142)+AB142*AC142*SUMIFS($AM$2:$AM$11,$AK$2:$AK$11,"&lt;="&amp;AB142,$AL$2:$AL$11,"&gt;="&amp;AB142)</f>
        <v/>
      </c>
      <c r="AH142" s="0">
        <f>AG142*(1-40%)</f>
        <v/>
      </c>
      <c r="AI142" s="0">
        <f>AH142*1.2</f>
        <v/>
      </c>
    </row>
    <row r="143">
      <c r="A143" s="26" t="n"/>
      <c r="B143" s="169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>
        <f>AG143</f>
        <v/>
      </c>
      <c r="T143" s="26">
        <f>AI143+Q143+P143</f>
        <v/>
      </c>
      <c r="U143" s="26" t="n"/>
      <c r="V143" s="26" t="n"/>
      <c r="W143" s="169" t="n"/>
      <c r="X143" s="26" t="n"/>
      <c r="Y143" s="26" t="n"/>
      <c r="Z143" s="26" t="n"/>
      <c r="AA143" s="26" t="n"/>
      <c r="AD143" s="0">
        <f>SUM(Y143,AA143,AC143)</f>
        <v/>
      </c>
      <c r="AE143" s="0">
        <f>X143*Y143+Z143*AA143+AB143*AC143</f>
        <v/>
      </c>
      <c r="AF143" s="0">
        <f>TEXTJOIN(", ",TRUE,IF(AND(X143&gt;0,Y143&gt;0),TEXT(X143,"0.00")&amp;"ct x "&amp;Y143,""),IF(AND(Z143&gt;0,AA143&gt;0),TEXT(Z143,"0.00")&amp;"ct x "&amp;AA143,""),IF(AND(AB143&gt;0,AC143&gt;0),TEXT(AB143,"0.00")&amp;"ct x "&amp;AC143,""))</f>
        <v/>
      </c>
      <c r="AG143" s="0">
        <f>X143*Y143*SUMIFS($AM$2:$AM$11,$AK$2:$AK$11,"&lt;="&amp;X143,$AL$2:$AL$11,"&gt;="&amp;X143)+Z143*AA143*SUMIFS($AM$2:$AM$11,$AK$2:$AK$11,"&lt;="&amp;Z143,$AL$2:$AL$11,"&gt;="&amp;Z143)+AB143*AC143*SUMIFS($AM$2:$AM$11,$AK$2:$AK$11,"&lt;="&amp;AB143,$AL$2:$AL$11,"&gt;="&amp;AB143)</f>
        <v/>
      </c>
      <c r="AH143" s="0">
        <f>AG143*(1-40%)</f>
        <v/>
      </c>
      <c r="AI143" s="0">
        <f>AH143*1.2</f>
        <v/>
      </c>
    </row>
    <row r="144">
      <c r="A144" s="26" t="n"/>
      <c r="B144" s="169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>
        <f>AG144</f>
        <v/>
      </c>
      <c r="T144" s="26">
        <f>AI144+Q144+P144</f>
        <v/>
      </c>
      <c r="U144" s="26" t="n"/>
      <c r="V144" s="26" t="n"/>
      <c r="W144" s="169" t="n"/>
      <c r="X144" s="26" t="n"/>
      <c r="Y144" s="26" t="n"/>
      <c r="Z144" s="26" t="n"/>
      <c r="AA144" s="26" t="n"/>
      <c r="AD144" s="0">
        <f>SUM(Y144,AA144,AC144)</f>
        <v/>
      </c>
      <c r="AE144" s="0">
        <f>X144*Y144+Z144*AA144+AB144*AC144</f>
        <v/>
      </c>
      <c r="AF144" s="0">
        <f>TEXTJOIN(", ",TRUE,IF(AND(X144&gt;0,Y144&gt;0),TEXT(X144,"0.00")&amp;"ct x "&amp;Y144,""),IF(AND(Z144&gt;0,AA144&gt;0),TEXT(Z144,"0.00")&amp;"ct x "&amp;AA144,""),IF(AND(AB144&gt;0,AC144&gt;0),TEXT(AB144,"0.00")&amp;"ct x "&amp;AC144,""))</f>
        <v/>
      </c>
      <c r="AG144" s="0">
        <f>X144*Y144*SUMIFS($AM$2:$AM$11,$AK$2:$AK$11,"&lt;="&amp;X144,$AL$2:$AL$11,"&gt;="&amp;X144)+Z144*AA144*SUMIFS($AM$2:$AM$11,$AK$2:$AK$11,"&lt;="&amp;Z144,$AL$2:$AL$11,"&gt;="&amp;Z144)+AB144*AC144*SUMIFS($AM$2:$AM$11,$AK$2:$AK$11,"&lt;="&amp;AB144,$AL$2:$AL$11,"&gt;="&amp;AB144)</f>
        <v/>
      </c>
      <c r="AH144" s="0">
        <f>AG144*(1-40%)</f>
        <v/>
      </c>
      <c r="AI144" s="0">
        <f>AH144*1.2</f>
        <v/>
      </c>
    </row>
    <row r="145">
      <c r="A145" s="26" t="n"/>
      <c r="B145" s="169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>
        <f>AG145</f>
        <v/>
      </c>
      <c r="T145" s="26">
        <f>AI145+Q145+P145</f>
        <v/>
      </c>
      <c r="U145" s="26" t="n"/>
      <c r="V145" s="26" t="n"/>
      <c r="W145" s="169" t="n"/>
      <c r="X145" s="26" t="n"/>
      <c r="Y145" s="26" t="n"/>
      <c r="Z145" s="26" t="n"/>
      <c r="AA145" s="26" t="n"/>
      <c r="AD145" s="0">
        <f>SUM(Y145,AA145,AC145)</f>
        <v/>
      </c>
      <c r="AE145" s="0">
        <f>X145*Y145+Z145*AA145+AB145*AC145</f>
        <v/>
      </c>
      <c r="AF145" s="0">
        <f>TEXTJOIN(", ",TRUE,IF(AND(X145&gt;0,Y145&gt;0),TEXT(X145,"0.00")&amp;"ct x "&amp;Y145,""),IF(AND(Z145&gt;0,AA145&gt;0),TEXT(Z145,"0.00")&amp;"ct x "&amp;AA145,""),IF(AND(AB145&gt;0,AC145&gt;0),TEXT(AB145,"0.00")&amp;"ct x "&amp;AC145,""))</f>
        <v/>
      </c>
      <c r="AG145" s="0">
        <f>X145*Y145*SUMIFS($AM$2:$AM$11,$AK$2:$AK$11,"&lt;="&amp;X145,$AL$2:$AL$11,"&gt;="&amp;X145)+Z145*AA145*SUMIFS($AM$2:$AM$11,$AK$2:$AK$11,"&lt;="&amp;Z145,$AL$2:$AL$11,"&gt;="&amp;Z145)+AB145*AC145*SUMIFS($AM$2:$AM$11,$AK$2:$AK$11,"&lt;="&amp;AB145,$AL$2:$AL$11,"&gt;="&amp;AB145)</f>
        <v/>
      </c>
      <c r="AH145" s="0">
        <f>AG145*(1-40%)</f>
        <v/>
      </c>
      <c r="AI145" s="0">
        <f>AH145*1.2</f>
        <v/>
      </c>
    </row>
    <row r="146">
      <c r="A146" s="26" t="n"/>
      <c r="B146" s="169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>
        <f>AG146</f>
        <v/>
      </c>
      <c r="T146" s="26">
        <f>AI146+Q146+P146</f>
        <v/>
      </c>
      <c r="U146" s="26" t="n"/>
      <c r="V146" s="26" t="n"/>
      <c r="W146" s="169" t="n"/>
      <c r="X146" s="26" t="n"/>
      <c r="Y146" s="26" t="n"/>
      <c r="Z146" s="26" t="n"/>
      <c r="AA146" s="26" t="n"/>
      <c r="AD146" s="0">
        <f>SUM(Y146,AA146,AC146)</f>
        <v/>
      </c>
      <c r="AE146" s="0">
        <f>X146*Y146+Z146*AA146+AB146*AC146</f>
        <v/>
      </c>
      <c r="AF146" s="0">
        <f>TEXTJOIN(", ",TRUE,IF(AND(X146&gt;0,Y146&gt;0),TEXT(X146,"0.00")&amp;"ct x "&amp;Y146,""),IF(AND(Z146&gt;0,AA146&gt;0),TEXT(Z146,"0.00")&amp;"ct x "&amp;AA146,""),IF(AND(AB146&gt;0,AC146&gt;0),TEXT(AB146,"0.00")&amp;"ct x "&amp;AC146,""))</f>
        <v/>
      </c>
      <c r="AG146" s="0">
        <f>X146*Y146*SUMIFS($AM$2:$AM$11,$AK$2:$AK$11,"&lt;="&amp;X146,$AL$2:$AL$11,"&gt;="&amp;X146)+Z146*AA146*SUMIFS($AM$2:$AM$11,$AK$2:$AK$11,"&lt;="&amp;Z146,$AL$2:$AL$11,"&gt;="&amp;Z146)+AB146*AC146*SUMIFS($AM$2:$AM$11,$AK$2:$AK$11,"&lt;="&amp;AB146,$AL$2:$AL$11,"&gt;="&amp;AB146)</f>
        <v/>
      </c>
      <c r="AH146" s="0">
        <f>AG146*(1-40%)</f>
        <v/>
      </c>
      <c r="AI146" s="0">
        <f>AH146*1.2</f>
        <v/>
      </c>
    </row>
    <row r="147">
      <c r="A147" s="26" t="n"/>
      <c r="B147" s="169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>
        <f>AG147</f>
        <v/>
      </c>
      <c r="T147" s="26">
        <f>AI147+Q147+P147</f>
        <v/>
      </c>
      <c r="U147" s="26" t="n"/>
      <c r="V147" s="26" t="n"/>
      <c r="W147" s="169" t="n"/>
      <c r="X147" s="26" t="n"/>
      <c r="Y147" s="26" t="n"/>
      <c r="Z147" s="26" t="n"/>
      <c r="AA147" s="26" t="n"/>
      <c r="AD147" s="0">
        <f>SUM(Y147,AA147,AC147)</f>
        <v/>
      </c>
      <c r="AE147" s="0">
        <f>X147*Y147+Z147*AA147+AB147*AC147</f>
        <v/>
      </c>
      <c r="AF147" s="0">
        <f>TEXTJOIN(", ",TRUE,IF(AND(X147&gt;0,Y147&gt;0),TEXT(X147,"0.00")&amp;"ct x "&amp;Y147,""),IF(AND(Z147&gt;0,AA147&gt;0),TEXT(Z147,"0.00")&amp;"ct x "&amp;AA147,""),IF(AND(AB147&gt;0,AC147&gt;0),TEXT(AB147,"0.00")&amp;"ct x "&amp;AC147,""))</f>
        <v/>
      </c>
      <c r="AG147" s="0">
        <f>X147*Y147*SUMIFS($AM$2:$AM$11,$AK$2:$AK$11,"&lt;="&amp;X147,$AL$2:$AL$11,"&gt;="&amp;X147)+Z147*AA147*SUMIFS($AM$2:$AM$11,$AK$2:$AK$11,"&lt;="&amp;Z147,$AL$2:$AL$11,"&gt;="&amp;Z147)+AB147*AC147*SUMIFS($AM$2:$AM$11,$AK$2:$AK$11,"&lt;="&amp;AB147,$AL$2:$AL$11,"&gt;="&amp;AB147)</f>
        <v/>
      </c>
      <c r="AH147" s="0">
        <f>AG147*(1-40%)</f>
        <v/>
      </c>
      <c r="AI147" s="0">
        <f>AH147*1.2</f>
        <v/>
      </c>
    </row>
    <row r="148">
      <c r="A148" s="26" t="n"/>
      <c r="B148" s="169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>
        <f>AG148</f>
        <v/>
      </c>
      <c r="T148" s="26">
        <f>AI148+Q148+P148</f>
        <v/>
      </c>
      <c r="U148" s="26" t="n"/>
      <c r="V148" s="26" t="n"/>
      <c r="W148" s="169" t="n"/>
      <c r="X148" s="26" t="n"/>
      <c r="Y148" s="26" t="n"/>
      <c r="Z148" s="26" t="n"/>
      <c r="AA148" s="26" t="n"/>
      <c r="AD148" s="0">
        <f>SUM(Y148,AA148,AC148)</f>
        <v/>
      </c>
      <c r="AE148" s="0">
        <f>X148*Y148+Z148*AA148+AB148*AC148</f>
        <v/>
      </c>
      <c r="AF148" s="0">
        <f>TEXTJOIN(", ",TRUE,IF(AND(X148&gt;0,Y148&gt;0),TEXT(X148,"0.00")&amp;"ct x "&amp;Y148,""),IF(AND(Z148&gt;0,AA148&gt;0),TEXT(Z148,"0.00")&amp;"ct x "&amp;AA148,""),IF(AND(AB148&gt;0,AC148&gt;0),TEXT(AB148,"0.00")&amp;"ct x "&amp;AC148,""))</f>
        <v/>
      </c>
      <c r="AG148" s="0">
        <f>X148*Y148*SUMIFS($AM$2:$AM$11,$AK$2:$AK$11,"&lt;="&amp;X148,$AL$2:$AL$11,"&gt;="&amp;X148)+Z148*AA148*SUMIFS($AM$2:$AM$11,$AK$2:$AK$11,"&lt;="&amp;Z148,$AL$2:$AL$11,"&gt;="&amp;Z148)+AB148*AC148*SUMIFS($AM$2:$AM$11,$AK$2:$AK$11,"&lt;="&amp;AB148,$AL$2:$AL$11,"&gt;="&amp;AB148)</f>
        <v/>
      </c>
      <c r="AH148" s="0">
        <f>AG148*(1-40%)</f>
        <v/>
      </c>
      <c r="AI148" s="0">
        <f>AH148*1.2</f>
        <v/>
      </c>
    </row>
    <row r="149">
      <c r="A149" s="26" t="n"/>
      <c r="B149" s="169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>
        <f>AG149</f>
        <v/>
      </c>
      <c r="T149" s="26">
        <f>AI149+Q149+P149</f>
        <v/>
      </c>
      <c r="U149" s="26" t="n"/>
      <c r="V149" s="26" t="n"/>
      <c r="W149" s="169" t="n"/>
      <c r="X149" s="26" t="n"/>
      <c r="Y149" s="26" t="n"/>
      <c r="Z149" s="26" t="n"/>
      <c r="AA149" s="26" t="n"/>
      <c r="AD149" s="0">
        <f>SUM(Y149,AA149,AC149)</f>
        <v/>
      </c>
      <c r="AE149" s="0">
        <f>X149*Y149+Z149*AA149+AB149*AC149</f>
        <v/>
      </c>
      <c r="AF149" s="0">
        <f>TEXTJOIN(", ",TRUE,IF(AND(X149&gt;0,Y149&gt;0),TEXT(X149,"0.00")&amp;"ct x "&amp;Y149,""),IF(AND(Z149&gt;0,AA149&gt;0),TEXT(Z149,"0.00")&amp;"ct x "&amp;AA149,""),IF(AND(AB149&gt;0,AC149&gt;0),TEXT(AB149,"0.00")&amp;"ct x "&amp;AC149,""))</f>
        <v/>
      </c>
      <c r="AG149" s="0">
        <f>X149*Y149*SUMIFS($AM$2:$AM$11,$AK$2:$AK$11,"&lt;="&amp;X149,$AL$2:$AL$11,"&gt;="&amp;X149)+Z149*AA149*SUMIFS($AM$2:$AM$11,$AK$2:$AK$11,"&lt;="&amp;Z149,$AL$2:$AL$11,"&gt;="&amp;Z149)+AB149*AC149*SUMIFS($AM$2:$AM$11,$AK$2:$AK$11,"&lt;="&amp;AB149,$AL$2:$AL$11,"&gt;="&amp;AB149)</f>
        <v/>
      </c>
      <c r="AH149" s="0">
        <f>AG149*(1-40%)</f>
        <v/>
      </c>
      <c r="AI149" s="0">
        <f>AH149*1.2</f>
        <v/>
      </c>
    </row>
    <row r="150">
      <c r="A150" s="26" t="n"/>
      <c r="B150" s="169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>
        <f>AG150</f>
        <v/>
      </c>
      <c r="T150" s="26">
        <f>AI150+Q150+P150</f>
        <v/>
      </c>
      <c r="U150" s="26" t="n"/>
      <c r="V150" s="26" t="n"/>
      <c r="W150" s="169" t="n"/>
      <c r="X150" s="26" t="n"/>
      <c r="Y150" s="26" t="n"/>
      <c r="Z150" s="26" t="n"/>
      <c r="AA150" s="26" t="n"/>
      <c r="AD150" s="0">
        <f>SUM(Y150,AA150,AC150)</f>
        <v/>
      </c>
      <c r="AE150" s="0">
        <f>X150*Y150+Z150*AA150+AB150*AC150</f>
        <v/>
      </c>
      <c r="AF150" s="0">
        <f>TEXTJOIN(", ",TRUE,IF(AND(X150&gt;0,Y150&gt;0),TEXT(X150,"0.00")&amp;"ct x "&amp;Y150,""),IF(AND(Z150&gt;0,AA150&gt;0),TEXT(Z150,"0.00")&amp;"ct x "&amp;AA150,""),IF(AND(AB150&gt;0,AC150&gt;0),TEXT(AB150,"0.00")&amp;"ct x "&amp;AC150,""))</f>
        <v/>
      </c>
      <c r="AG150" s="0">
        <f>X150*Y150*SUMIFS($AM$2:$AM$11,$AK$2:$AK$11,"&lt;="&amp;X150,$AL$2:$AL$11,"&gt;="&amp;X150)+Z150*AA150*SUMIFS($AM$2:$AM$11,$AK$2:$AK$11,"&lt;="&amp;Z150,$AL$2:$AL$11,"&gt;="&amp;Z150)+AB150*AC150*SUMIFS($AM$2:$AM$11,$AK$2:$AK$11,"&lt;="&amp;AB150,$AL$2:$AL$11,"&gt;="&amp;AB150)</f>
        <v/>
      </c>
      <c r="AH150" s="0">
        <f>AG150*(1-40%)</f>
        <v/>
      </c>
      <c r="AI150" s="0">
        <f>AH150*1.2</f>
        <v/>
      </c>
    </row>
    <row r="151">
      <c r="A151" s="26" t="n"/>
      <c r="B151" s="169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>
        <f>AG151</f>
        <v/>
      </c>
      <c r="T151" s="26">
        <f>AI151+Q151+P151</f>
        <v/>
      </c>
      <c r="U151" s="26" t="n"/>
      <c r="V151" s="26" t="n"/>
      <c r="W151" s="169" t="n"/>
      <c r="X151" s="26" t="n"/>
      <c r="Y151" s="26" t="n"/>
      <c r="Z151" s="26" t="n"/>
      <c r="AA151" s="26" t="n"/>
      <c r="AD151" s="0">
        <f>SUM(Y151,AA151,AC151)</f>
        <v/>
      </c>
      <c r="AE151" s="0">
        <f>X151*Y151+Z151*AA151+AB151*AC151</f>
        <v/>
      </c>
      <c r="AF151" s="0">
        <f>TEXTJOIN(", ",TRUE,IF(AND(X151&gt;0,Y151&gt;0),TEXT(X151,"0.00")&amp;"ct x "&amp;Y151,""),IF(AND(Z151&gt;0,AA151&gt;0),TEXT(Z151,"0.00")&amp;"ct x "&amp;AA151,""),IF(AND(AB151&gt;0,AC151&gt;0),TEXT(AB151,"0.00")&amp;"ct x "&amp;AC151,""))</f>
        <v/>
      </c>
      <c r="AG151" s="0">
        <f>X151*Y151*SUMIFS($AM$2:$AM$11,$AK$2:$AK$11,"&lt;="&amp;X151,$AL$2:$AL$11,"&gt;="&amp;X151)+Z151*AA151*SUMIFS($AM$2:$AM$11,$AK$2:$AK$11,"&lt;="&amp;Z151,$AL$2:$AL$11,"&gt;="&amp;Z151)+AB151*AC151*SUMIFS($AM$2:$AM$11,$AK$2:$AK$11,"&lt;="&amp;AB151,$AL$2:$AL$11,"&gt;="&amp;AB151)</f>
        <v/>
      </c>
      <c r="AH151" s="0">
        <f>AG151*(1-40%)</f>
        <v/>
      </c>
      <c r="AI151" s="0">
        <f>AH151*1.2</f>
        <v/>
      </c>
    </row>
    <row r="152">
      <c r="A152" s="26" t="n"/>
      <c r="B152" s="169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>
        <f>AG152</f>
        <v/>
      </c>
      <c r="T152" s="26">
        <f>AI152+Q152+P152</f>
        <v/>
      </c>
      <c r="U152" s="26" t="n"/>
      <c r="V152" s="26" t="n"/>
      <c r="W152" s="169" t="n"/>
      <c r="X152" s="26" t="n"/>
      <c r="Y152" s="26" t="n"/>
      <c r="Z152" s="26" t="n"/>
      <c r="AA152" s="26" t="n"/>
      <c r="AD152" s="0">
        <f>SUM(Y152,AA152,AC152)</f>
        <v/>
      </c>
      <c r="AE152" s="0">
        <f>X152*Y152+Z152*AA152+AB152*AC152</f>
        <v/>
      </c>
      <c r="AF152" s="0">
        <f>TEXTJOIN(", ",TRUE,IF(AND(X152&gt;0,Y152&gt;0),TEXT(X152,"0.00")&amp;"ct x "&amp;Y152,""),IF(AND(Z152&gt;0,AA152&gt;0),TEXT(Z152,"0.00")&amp;"ct x "&amp;AA152,""),IF(AND(AB152&gt;0,AC152&gt;0),TEXT(AB152,"0.00")&amp;"ct x "&amp;AC152,""))</f>
        <v/>
      </c>
      <c r="AG152" s="0">
        <f>X152*Y152*SUMIFS($AM$2:$AM$11,$AK$2:$AK$11,"&lt;="&amp;X152,$AL$2:$AL$11,"&gt;="&amp;X152)+Z152*AA152*SUMIFS($AM$2:$AM$11,$AK$2:$AK$11,"&lt;="&amp;Z152,$AL$2:$AL$11,"&gt;="&amp;Z152)+AB152*AC152*SUMIFS($AM$2:$AM$11,$AK$2:$AK$11,"&lt;="&amp;AB152,$AL$2:$AL$11,"&gt;="&amp;AB152)</f>
        <v/>
      </c>
      <c r="AH152" s="0">
        <f>AG152*(1-40%)</f>
        <v/>
      </c>
      <c r="AI152" s="0">
        <f>AH152*1.2</f>
        <v/>
      </c>
    </row>
    <row r="153">
      <c r="A153" s="26" t="n"/>
      <c r="B153" s="169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>
        <f>AG153</f>
        <v/>
      </c>
      <c r="T153" s="26">
        <f>AI153+Q153+P153</f>
        <v/>
      </c>
      <c r="U153" s="26" t="n"/>
      <c r="V153" s="26" t="n"/>
      <c r="W153" s="169" t="n"/>
      <c r="X153" s="26" t="n"/>
      <c r="Y153" s="26" t="n"/>
      <c r="Z153" s="26" t="n"/>
      <c r="AA153" s="26" t="n"/>
      <c r="AD153" s="0">
        <f>SUM(Y153,AA153,AC153)</f>
        <v/>
      </c>
      <c r="AE153" s="0">
        <f>X153*Y153+Z153*AA153+AB153*AC153</f>
        <v/>
      </c>
      <c r="AF153" s="0">
        <f>TEXTJOIN(", ",TRUE,IF(AND(X153&gt;0,Y153&gt;0),TEXT(X153,"0.00")&amp;"ct x "&amp;Y153,""),IF(AND(Z153&gt;0,AA153&gt;0),TEXT(Z153,"0.00")&amp;"ct x "&amp;AA153,""),IF(AND(AB153&gt;0,AC153&gt;0),TEXT(AB153,"0.00")&amp;"ct x "&amp;AC153,""))</f>
        <v/>
      </c>
      <c r="AG153" s="0">
        <f>X153*Y153*SUMIFS($AM$2:$AM$11,$AK$2:$AK$11,"&lt;="&amp;X153,$AL$2:$AL$11,"&gt;="&amp;X153)+Z153*AA153*SUMIFS($AM$2:$AM$11,$AK$2:$AK$11,"&lt;="&amp;Z153,$AL$2:$AL$11,"&gt;="&amp;Z153)+AB153*AC153*SUMIFS($AM$2:$AM$11,$AK$2:$AK$11,"&lt;="&amp;AB153,$AL$2:$AL$11,"&gt;="&amp;AB153)</f>
        <v/>
      </c>
      <c r="AH153" s="0">
        <f>AG153*(1-40%)</f>
        <v/>
      </c>
      <c r="AI153" s="0">
        <f>AH153*1.2</f>
        <v/>
      </c>
    </row>
    <row r="154">
      <c r="A154" s="26" t="n"/>
      <c r="B154" s="169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>
        <f>AG154</f>
        <v/>
      </c>
      <c r="T154" s="26">
        <f>AI154+Q154+P154</f>
        <v/>
      </c>
      <c r="U154" s="26" t="n"/>
      <c r="V154" s="26" t="n"/>
      <c r="W154" s="169" t="n"/>
      <c r="X154" s="26" t="n"/>
      <c r="Y154" s="26" t="n"/>
      <c r="Z154" s="26" t="n"/>
      <c r="AA154" s="26" t="n"/>
      <c r="AD154" s="0">
        <f>SUM(Y154,AA154,AC154)</f>
        <v/>
      </c>
      <c r="AE154" s="0">
        <f>X154*Y154+Z154*AA154+AB154*AC154</f>
        <v/>
      </c>
      <c r="AF154" s="0">
        <f>TEXTJOIN(", ",TRUE,IF(AND(X154&gt;0,Y154&gt;0),TEXT(X154,"0.00")&amp;"ct x "&amp;Y154,""),IF(AND(Z154&gt;0,AA154&gt;0),TEXT(Z154,"0.00")&amp;"ct x "&amp;AA154,""),IF(AND(AB154&gt;0,AC154&gt;0),TEXT(AB154,"0.00")&amp;"ct x "&amp;AC154,""))</f>
        <v/>
      </c>
      <c r="AG154" s="0">
        <f>X154*Y154*SUMIFS($AM$2:$AM$11,$AK$2:$AK$11,"&lt;="&amp;X154,$AL$2:$AL$11,"&gt;="&amp;X154)+Z154*AA154*SUMIFS($AM$2:$AM$11,$AK$2:$AK$11,"&lt;="&amp;Z154,$AL$2:$AL$11,"&gt;="&amp;Z154)+AB154*AC154*SUMIFS($AM$2:$AM$11,$AK$2:$AK$11,"&lt;="&amp;AB154,$AL$2:$AL$11,"&gt;="&amp;AB154)</f>
        <v/>
      </c>
      <c r="AH154" s="0">
        <f>AG154*(1-40%)</f>
        <v/>
      </c>
      <c r="AI154" s="0">
        <f>AH154*1.2</f>
        <v/>
      </c>
    </row>
    <row r="155">
      <c r="A155" s="26" t="n"/>
      <c r="B155" s="169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>
        <f>AG155</f>
        <v/>
      </c>
      <c r="T155" s="26">
        <f>AI155+Q155+P155</f>
        <v/>
      </c>
      <c r="U155" s="26" t="n"/>
      <c r="V155" s="26" t="n"/>
      <c r="W155" s="169" t="n"/>
      <c r="X155" s="26" t="n"/>
      <c r="Y155" s="26" t="n"/>
      <c r="Z155" s="26" t="n"/>
      <c r="AA155" s="26" t="n"/>
      <c r="AD155" s="0">
        <f>SUM(Y155,AA155,AC155)</f>
        <v/>
      </c>
      <c r="AE155" s="0">
        <f>X155*Y155+Z155*AA155+AB155*AC155</f>
        <v/>
      </c>
      <c r="AF155" s="0">
        <f>TEXTJOIN(", ",TRUE,IF(AND(X155&gt;0,Y155&gt;0),TEXT(X155,"0.00")&amp;"ct x "&amp;Y155,""),IF(AND(Z155&gt;0,AA155&gt;0),TEXT(Z155,"0.00")&amp;"ct x "&amp;AA155,""),IF(AND(AB155&gt;0,AC155&gt;0),TEXT(AB155,"0.00")&amp;"ct x "&amp;AC155,""))</f>
        <v/>
      </c>
      <c r="AG155" s="0">
        <f>X155*Y155*SUMIFS($AM$2:$AM$11,$AK$2:$AK$11,"&lt;="&amp;X155,$AL$2:$AL$11,"&gt;="&amp;X155)+Z155*AA155*SUMIFS($AM$2:$AM$11,$AK$2:$AK$11,"&lt;="&amp;Z155,$AL$2:$AL$11,"&gt;="&amp;Z155)+AB155*AC155*SUMIFS($AM$2:$AM$11,$AK$2:$AK$11,"&lt;="&amp;AB155,$AL$2:$AL$11,"&gt;="&amp;AB155)</f>
        <v/>
      </c>
      <c r="AH155" s="0">
        <f>AG155*(1-40%)</f>
        <v/>
      </c>
      <c r="AI155" s="0">
        <f>AH155*1.2</f>
        <v/>
      </c>
    </row>
    <row r="156">
      <c r="A156" s="26" t="n"/>
      <c r="B156" s="169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>
        <f>AG156</f>
        <v/>
      </c>
      <c r="T156" s="26">
        <f>AI156+Q156+P156</f>
        <v/>
      </c>
      <c r="U156" s="26" t="n"/>
      <c r="V156" s="26" t="n"/>
      <c r="W156" s="169" t="n"/>
      <c r="X156" s="26" t="n"/>
      <c r="Y156" s="26" t="n"/>
      <c r="Z156" s="26" t="n"/>
      <c r="AA156" s="26" t="n"/>
      <c r="AD156" s="0">
        <f>SUM(Y156,AA156,AC156)</f>
        <v/>
      </c>
      <c r="AE156" s="0">
        <f>X156*Y156+Z156*AA156+AB156*AC156</f>
        <v/>
      </c>
      <c r="AF156" s="0">
        <f>TEXTJOIN(", ",TRUE,IF(AND(X156&gt;0,Y156&gt;0),TEXT(X156,"0.00")&amp;"ct x "&amp;Y156,""),IF(AND(Z156&gt;0,AA156&gt;0),TEXT(Z156,"0.00")&amp;"ct x "&amp;AA156,""),IF(AND(AB156&gt;0,AC156&gt;0),TEXT(AB156,"0.00")&amp;"ct x "&amp;AC156,""))</f>
        <v/>
      </c>
      <c r="AG156" s="0">
        <f>X156*Y156*SUMIFS($AM$2:$AM$11,$AK$2:$AK$11,"&lt;="&amp;X156,$AL$2:$AL$11,"&gt;="&amp;X156)+Z156*AA156*SUMIFS($AM$2:$AM$11,$AK$2:$AK$11,"&lt;="&amp;Z156,$AL$2:$AL$11,"&gt;="&amp;Z156)+AB156*AC156*SUMIFS($AM$2:$AM$11,$AK$2:$AK$11,"&lt;="&amp;AB156,$AL$2:$AL$11,"&gt;="&amp;AB156)</f>
        <v/>
      </c>
      <c r="AH156" s="0">
        <f>AG156*(1-40%)</f>
        <v/>
      </c>
      <c r="AI156" s="0">
        <f>AH156*1.2</f>
        <v/>
      </c>
    </row>
    <row r="157">
      <c r="A157" s="26" t="n"/>
      <c r="B157" s="169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>
        <f>AG157</f>
        <v/>
      </c>
      <c r="T157" s="26">
        <f>AI157+Q157+P157</f>
        <v/>
      </c>
      <c r="U157" s="26" t="n"/>
      <c r="V157" s="26" t="n"/>
      <c r="W157" s="169" t="n"/>
      <c r="X157" s="26" t="n"/>
      <c r="Y157" s="26" t="n"/>
      <c r="Z157" s="26" t="n"/>
      <c r="AA157" s="26" t="n"/>
      <c r="AD157" s="0">
        <f>SUM(Y157,AA157,AC157)</f>
        <v/>
      </c>
      <c r="AE157" s="0">
        <f>X157*Y157+Z157*AA157+AB157*AC157</f>
        <v/>
      </c>
      <c r="AF157" s="0">
        <f>TEXTJOIN(", ",TRUE,IF(AND(X157&gt;0,Y157&gt;0),TEXT(X157,"0.00")&amp;"ct x "&amp;Y157,""),IF(AND(Z157&gt;0,AA157&gt;0),TEXT(Z157,"0.00")&amp;"ct x "&amp;AA157,""),IF(AND(AB157&gt;0,AC157&gt;0),TEXT(AB157,"0.00")&amp;"ct x "&amp;AC157,""))</f>
        <v/>
      </c>
      <c r="AG157" s="0">
        <f>X157*Y157*SUMIFS($AM$2:$AM$11,$AK$2:$AK$11,"&lt;="&amp;X157,$AL$2:$AL$11,"&gt;="&amp;X157)+Z157*AA157*SUMIFS($AM$2:$AM$11,$AK$2:$AK$11,"&lt;="&amp;Z157,$AL$2:$AL$11,"&gt;="&amp;Z157)+AB157*AC157*SUMIFS($AM$2:$AM$11,$AK$2:$AK$11,"&lt;="&amp;AB157,$AL$2:$AL$11,"&gt;="&amp;AB157)</f>
        <v/>
      </c>
      <c r="AH157" s="0">
        <f>AG157*(1-40%)</f>
        <v/>
      </c>
      <c r="AI157" s="0">
        <f>AH157*1.2</f>
        <v/>
      </c>
    </row>
    <row r="158">
      <c r="A158" s="26" t="n"/>
      <c r="B158" s="169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>
        <f>AG158</f>
        <v/>
      </c>
      <c r="T158" s="26">
        <f>AI158+Q158+P158</f>
        <v/>
      </c>
      <c r="U158" s="26" t="n"/>
      <c r="V158" s="26" t="n"/>
      <c r="W158" s="169" t="n"/>
      <c r="X158" s="26" t="n"/>
      <c r="Y158" s="26" t="n"/>
      <c r="Z158" s="26" t="n"/>
      <c r="AA158" s="26" t="n"/>
      <c r="AD158" s="0">
        <f>SUM(Y158,AA158,AC158)</f>
        <v/>
      </c>
      <c r="AE158" s="0">
        <f>X158*Y158+Z158*AA158+AB158*AC158</f>
        <v/>
      </c>
      <c r="AF158" s="0">
        <f>TEXTJOIN(", ",TRUE,IF(AND(X158&gt;0,Y158&gt;0),TEXT(X158,"0.00")&amp;"ct x "&amp;Y158,""),IF(AND(Z158&gt;0,AA158&gt;0),TEXT(Z158,"0.00")&amp;"ct x "&amp;AA158,""),IF(AND(AB158&gt;0,AC158&gt;0),TEXT(AB158,"0.00")&amp;"ct x "&amp;AC158,""))</f>
        <v/>
      </c>
      <c r="AG158" s="0">
        <f>X158*Y158*SUMIFS($AM$2:$AM$11,$AK$2:$AK$11,"&lt;="&amp;X158,$AL$2:$AL$11,"&gt;="&amp;X158)+Z158*AA158*SUMIFS($AM$2:$AM$11,$AK$2:$AK$11,"&lt;="&amp;Z158,$AL$2:$AL$11,"&gt;="&amp;Z158)+AB158*AC158*SUMIFS($AM$2:$AM$11,$AK$2:$AK$11,"&lt;="&amp;AB158,$AL$2:$AL$11,"&gt;="&amp;AB158)</f>
        <v/>
      </c>
      <c r="AH158" s="0">
        <f>AG158*(1-40%)</f>
        <v/>
      </c>
      <c r="AI158" s="0">
        <f>AH158*1.2</f>
        <v/>
      </c>
    </row>
    <row r="159">
      <c r="A159" s="26" t="n"/>
      <c r="B159" s="169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>
        <f>AG159</f>
        <v/>
      </c>
      <c r="T159" s="26">
        <f>AI159+Q159+P159</f>
        <v/>
      </c>
      <c r="U159" s="26" t="n"/>
      <c r="V159" s="26" t="n"/>
      <c r="W159" s="169" t="n"/>
      <c r="X159" s="26" t="n"/>
      <c r="Y159" s="26" t="n"/>
      <c r="Z159" s="26" t="n"/>
      <c r="AA159" s="26" t="n"/>
      <c r="AD159" s="0">
        <f>SUM(Y159,AA159,AC159)</f>
        <v/>
      </c>
      <c r="AE159" s="0">
        <f>X159*Y159+Z159*AA159+AB159*AC159</f>
        <v/>
      </c>
      <c r="AF159" s="0">
        <f>TEXTJOIN(", ",TRUE,IF(AND(X159&gt;0,Y159&gt;0),TEXT(X159,"0.00")&amp;"ct x "&amp;Y159,""),IF(AND(Z159&gt;0,AA159&gt;0),TEXT(Z159,"0.00")&amp;"ct x "&amp;AA159,""),IF(AND(AB159&gt;0,AC159&gt;0),TEXT(AB159,"0.00")&amp;"ct x "&amp;AC159,""))</f>
        <v/>
      </c>
      <c r="AG159" s="0">
        <f>X159*Y159*SUMIFS($AM$2:$AM$11,$AK$2:$AK$11,"&lt;="&amp;X159,$AL$2:$AL$11,"&gt;="&amp;X159)+Z159*AA159*SUMIFS($AM$2:$AM$11,$AK$2:$AK$11,"&lt;="&amp;Z159,$AL$2:$AL$11,"&gt;="&amp;Z159)+AB159*AC159*SUMIFS($AM$2:$AM$11,$AK$2:$AK$11,"&lt;="&amp;AB159,$AL$2:$AL$11,"&gt;="&amp;AB159)</f>
        <v/>
      </c>
      <c r="AH159" s="0">
        <f>AG159*(1-40%)</f>
        <v/>
      </c>
      <c r="AI159" s="0">
        <f>AH159*1.2</f>
        <v/>
      </c>
    </row>
    <row r="160">
      <c r="A160" s="26" t="n"/>
      <c r="B160" s="169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>
        <f>AG160</f>
        <v/>
      </c>
      <c r="T160" s="26">
        <f>AI160+Q160+P160</f>
        <v/>
      </c>
      <c r="U160" s="26" t="n"/>
      <c r="V160" s="26" t="n"/>
      <c r="W160" s="169" t="n"/>
      <c r="X160" s="26" t="n"/>
      <c r="Y160" s="26" t="n"/>
      <c r="Z160" s="26" t="n"/>
      <c r="AA160" s="26" t="n"/>
      <c r="AD160" s="0">
        <f>SUM(Y160,AA160,AC160)</f>
        <v/>
      </c>
      <c r="AE160" s="0">
        <f>X160*Y160+Z160*AA160+AB160*AC160</f>
        <v/>
      </c>
      <c r="AF160" s="0">
        <f>TEXTJOIN(", ",TRUE,IF(AND(X160&gt;0,Y160&gt;0),TEXT(X160,"0.00")&amp;"ct x "&amp;Y160,""),IF(AND(Z160&gt;0,AA160&gt;0),TEXT(Z160,"0.00")&amp;"ct x "&amp;AA160,""),IF(AND(AB160&gt;0,AC160&gt;0),TEXT(AB160,"0.00")&amp;"ct x "&amp;AC160,""))</f>
        <v/>
      </c>
      <c r="AG160" s="0">
        <f>X160*Y160*SUMIFS($AM$2:$AM$11,$AK$2:$AK$11,"&lt;="&amp;X160,$AL$2:$AL$11,"&gt;="&amp;X160)+Z160*AA160*SUMIFS($AM$2:$AM$11,$AK$2:$AK$11,"&lt;="&amp;Z160,$AL$2:$AL$11,"&gt;="&amp;Z160)+AB160*AC160*SUMIFS($AM$2:$AM$11,$AK$2:$AK$11,"&lt;="&amp;AB160,$AL$2:$AL$11,"&gt;="&amp;AB160)</f>
        <v/>
      </c>
      <c r="AH160" s="0">
        <f>AG160*(1-40%)</f>
        <v/>
      </c>
      <c r="AI160" s="0">
        <f>AH160*1.2</f>
        <v/>
      </c>
    </row>
    <row r="161">
      <c r="A161" s="26" t="n"/>
      <c r="B161" s="169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>
        <f>AG161</f>
        <v/>
      </c>
      <c r="T161" s="26">
        <f>AI161+Q161+P161</f>
        <v/>
      </c>
      <c r="U161" s="26" t="n"/>
      <c r="V161" s="26" t="n"/>
      <c r="W161" s="169" t="n"/>
      <c r="X161" s="26" t="n"/>
      <c r="Y161" s="26" t="n"/>
      <c r="Z161" s="26" t="n"/>
      <c r="AA161" s="26" t="n"/>
      <c r="AD161" s="0">
        <f>SUM(Y161,AA161,AC161)</f>
        <v/>
      </c>
      <c r="AE161" s="0">
        <f>X161*Y161+Z161*AA161+AB161*AC161</f>
        <v/>
      </c>
      <c r="AF161" s="0">
        <f>TEXTJOIN(", ",TRUE,IF(AND(X161&gt;0,Y161&gt;0),TEXT(X161,"0.00")&amp;"ct x "&amp;Y161,""),IF(AND(Z161&gt;0,AA161&gt;0),TEXT(Z161,"0.00")&amp;"ct x "&amp;AA161,""),IF(AND(AB161&gt;0,AC161&gt;0),TEXT(AB161,"0.00")&amp;"ct x "&amp;AC161,""))</f>
        <v/>
      </c>
      <c r="AG161" s="0">
        <f>X161*Y161*SUMIFS($AM$2:$AM$11,$AK$2:$AK$11,"&lt;="&amp;X161,$AL$2:$AL$11,"&gt;="&amp;X161)+Z161*AA161*SUMIFS($AM$2:$AM$11,$AK$2:$AK$11,"&lt;="&amp;Z161,$AL$2:$AL$11,"&gt;="&amp;Z161)+AB161*AC161*SUMIFS($AM$2:$AM$11,$AK$2:$AK$11,"&lt;="&amp;AB161,$AL$2:$AL$11,"&gt;="&amp;AB161)</f>
        <v/>
      </c>
      <c r="AH161" s="0">
        <f>AG161*(1-40%)</f>
        <v/>
      </c>
      <c r="AI161" s="0">
        <f>AH161*1.2</f>
        <v/>
      </c>
    </row>
    <row r="162">
      <c r="A162" s="26" t="n"/>
      <c r="B162" s="169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>
        <f>AG162</f>
        <v/>
      </c>
      <c r="T162" s="26">
        <f>AI162+Q162+P162</f>
        <v/>
      </c>
      <c r="U162" s="26" t="n"/>
      <c r="V162" s="26" t="n"/>
      <c r="W162" s="169" t="n"/>
      <c r="X162" s="26" t="n"/>
      <c r="Y162" s="26" t="n"/>
      <c r="Z162" s="26" t="n"/>
      <c r="AA162" s="26" t="n"/>
      <c r="AD162" s="0">
        <f>SUM(Y162,AA162,AC162)</f>
        <v/>
      </c>
      <c r="AE162" s="0">
        <f>X162*Y162+Z162*AA162+AB162*AC162</f>
        <v/>
      </c>
      <c r="AF162" s="0">
        <f>TEXTJOIN(", ",TRUE,IF(AND(X162&gt;0,Y162&gt;0),TEXT(X162,"0.00")&amp;"ct x "&amp;Y162,""),IF(AND(Z162&gt;0,AA162&gt;0),TEXT(Z162,"0.00")&amp;"ct x "&amp;AA162,""),IF(AND(AB162&gt;0,AC162&gt;0),TEXT(AB162,"0.00")&amp;"ct x "&amp;AC162,""))</f>
        <v/>
      </c>
      <c r="AG162" s="0">
        <f>X162*Y162*SUMIFS($AM$2:$AM$11,$AK$2:$AK$11,"&lt;="&amp;X162,$AL$2:$AL$11,"&gt;="&amp;X162)+Z162*AA162*SUMIFS($AM$2:$AM$11,$AK$2:$AK$11,"&lt;="&amp;Z162,$AL$2:$AL$11,"&gt;="&amp;Z162)+AB162*AC162*SUMIFS($AM$2:$AM$11,$AK$2:$AK$11,"&lt;="&amp;AB162,$AL$2:$AL$11,"&gt;="&amp;AB162)</f>
        <v/>
      </c>
      <c r="AH162" s="0">
        <f>AG162*(1-40%)</f>
        <v/>
      </c>
      <c r="AI162" s="0">
        <f>AH162*1.2</f>
        <v/>
      </c>
    </row>
    <row r="163">
      <c r="A163" s="26" t="n"/>
      <c r="B163" s="169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>
        <f>AG163</f>
        <v/>
      </c>
      <c r="T163" s="26">
        <f>AI163+Q163+P163</f>
        <v/>
      </c>
      <c r="U163" s="26" t="n"/>
      <c r="V163" s="26" t="n"/>
      <c r="W163" s="169" t="n"/>
      <c r="X163" s="26" t="n"/>
      <c r="Y163" s="26" t="n"/>
      <c r="Z163" s="26" t="n"/>
      <c r="AA163" s="26" t="n"/>
      <c r="AD163" s="0">
        <f>SUM(Y163,AA163,AC163)</f>
        <v/>
      </c>
      <c r="AE163" s="0">
        <f>X163*Y163+Z163*AA163+AB163*AC163</f>
        <v/>
      </c>
      <c r="AF163" s="0">
        <f>TEXTJOIN(", ",TRUE,IF(AND(X163&gt;0,Y163&gt;0),TEXT(X163,"0.00")&amp;"ct x "&amp;Y163,""),IF(AND(Z163&gt;0,AA163&gt;0),TEXT(Z163,"0.00")&amp;"ct x "&amp;AA163,""),IF(AND(AB163&gt;0,AC163&gt;0),TEXT(AB163,"0.00")&amp;"ct x "&amp;AC163,""))</f>
        <v/>
      </c>
      <c r="AG163" s="0">
        <f>X163*Y163*SUMIFS($AM$2:$AM$11,$AK$2:$AK$11,"&lt;="&amp;X163,$AL$2:$AL$11,"&gt;="&amp;X163)+Z163*AA163*SUMIFS($AM$2:$AM$11,$AK$2:$AK$11,"&lt;="&amp;Z163,$AL$2:$AL$11,"&gt;="&amp;Z163)+AB163*AC163*SUMIFS($AM$2:$AM$11,$AK$2:$AK$11,"&lt;="&amp;AB163,$AL$2:$AL$11,"&gt;="&amp;AB163)</f>
        <v/>
      </c>
      <c r="AH163" s="0">
        <f>AG163*(1-40%)</f>
        <v/>
      </c>
      <c r="AI163" s="0">
        <f>AH163*1.2</f>
        <v/>
      </c>
    </row>
    <row r="164">
      <c r="A164" s="26" t="n"/>
      <c r="B164" s="169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>
        <f>AG164</f>
        <v/>
      </c>
      <c r="T164" s="26">
        <f>AI164+Q164+P164</f>
        <v/>
      </c>
      <c r="U164" s="26" t="n"/>
      <c r="V164" s="26" t="n"/>
      <c r="W164" s="169" t="n"/>
      <c r="X164" s="26" t="n"/>
      <c r="Y164" s="26" t="n"/>
      <c r="Z164" s="26" t="n"/>
      <c r="AA164" s="26" t="n"/>
      <c r="AD164" s="0">
        <f>SUM(Y164,AA164,AC164)</f>
        <v/>
      </c>
      <c r="AE164" s="0">
        <f>X164*Y164+Z164*AA164+AB164*AC164</f>
        <v/>
      </c>
      <c r="AF164" s="0">
        <f>TEXTJOIN(", ",TRUE,IF(AND(X164&gt;0,Y164&gt;0),TEXT(X164,"0.00")&amp;"ct x "&amp;Y164,""),IF(AND(Z164&gt;0,AA164&gt;0),TEXT(Z164,"0.00")&amp;"ct x "&amp;AA164,""),IF(AND(AB164&gt;0,AC164&gt;0),TEXT(AB164,"0.00")&amp;"ct x "&amp;AC164,""))</f>
        <v/>
      </c>
      <c r="AG164" s="0">
        <f>X164*Y164*SUMIFS($AM$2:$AM$11,$AK$2:$AK$11,"&lt;="&amp;X164,$AL$2:$AL$11,"&gt;="&amp;X164)+Z164*AA164*SUMIFS($AM$2:$AM$11,$AK$2:$AK$11,"&lt;="&amp;Z164,$AL$2:$AL$11,"&gt;="&amp;Z164)+AB164*AC164*SUMIFS($AM$2:$AM$11,$AK$2:$AK$11,"&lt;="&amp;AB164,$AL$2:$AL$11,"&gt;="&amp;AB164)</f>
        <v/>
      </c>
      <c r="AH164" s="0">
        <f>AG164*(1-40%)</f>
        <v/>
      </c>
      <c r="AI164" s="0">
        <f>AH164*1.2</f>
        <v/>
      </c>
    </row>
    <row r="165">
      <c r="A165" s="26" t="n"/>
      <c r="B165" s="169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>
        <f>AG165</f>
        <v/>
      </c>
      <c r="T165" s="26">
        <f>AI165+Q165+P165</f>
        <v/>
      </c>
      <c r="U165" s="26" t="n"/>
      <c r="V165" s="26" t="n"/>
      <c r="W165" s="169" t="n"/>
      <c r="X165" s="26" t="n"/>
      <c r="Y165" s="26" t="n"/>
      <c r="Z165" s="26" t="n"/>
      <c r="AA165" s="26" t="n"/>
      <c r="AD165" s="0">
        <f>SUM(Y165,AA165,AC165)</f>
        <v/>
      </c>
      <c r="AE165" s="0">
        <f>X165*Y165+Z165*AA165+AB165*AC165</f>
        <v/>
      </c>
      <c r="AF165" s="0">
        <f>TEXTJOIN(", ",TRUE,IF(AND(X165&gt;0,Y165&gt;0),TEXT(X165,"0.00")&amp;"ct x "&amp;Y165,""),IF(AND(Z165&gt;0,AA165&gt;0),TEXT(Z165,"0.00")&amp;"ct x "&amp;AA165,""),IF(AND(AB165&gt;0,AC165&gt;0),TEXT(AB165,"0.00")&amp;"ct x "&amp;AC165,""))</f>
        <v/>
      </c>
      <c r="AG165" s="0">
        <f>X165*Y165*SUMIFS($AM$2:$AM$11,$AK$2:$AK$11,"&lt;="&amp;X165,$AL$2:$AL$11,"&gt;="&amp;X165)+Z165*AA165*SUMIFS($AM$2:$AM$11,$AK$2:$AK$11,"&lt;="&amp;Z165,$AL$2:$AL$11,"&gt;="&amp;Z165)+AB165*AC165*SUMIFS($AM$2:$AM$11,$AK$2:$AK$11,"&lt;="&amp;AB165,$AL$2:$AL$11,"&gt;="&amp;AB165)</f>
        <v/>
      </c>
      <c r="AH165" s="0">
        <f>AG165*(1-40%)</f>
        <v/>
      </c>
      <c r="AI165" s="0">
        <f>AH165*1.2</f>
        <v/>
      </c>
    </row>
    <row r="166">
      <c r="A166" s="26" t="n"/>
      <c r="B166" s="169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>
        <f>AG166</f>
        <v/>
      </c>
      <c r="T166" s="26">
        <f>AI166+Q166+P166</f>
        <v/>
      </c>
      <c r="U166" s="26" t="n"/>
      <c r="V166" s="26" t="n"/>
      <c r="W166" s="169" t="n"/>
      <c r="X166" s="26" t="n"/>
      <c r="Y166" s="26" t="n"/>
      <c r="Z166" s="26" t="n"/>
      <c r="AA166" s="26" t="n"/>
      <c r="AD166" s="0">
        <f>SUM(Y166,AA166,AC166)</f>
        <v/>
      </c>
      <c r="AE166" s="0">
        <f>X166*Y166+Z166*AA166+AB166*AC166</f>
        <v/>
      </c>
      <c r="AF166" s="0">
        <f>TEXTJOIN(", ",TRUE,IF(AND(X166&gt;0,Y166&gt;0),TEXT(X166,"0.00")&amp;"ct x "&amp;Y166,""),IF(AND(Z166&gt;0,AA166&gt;0),TEXT(Z166,"0.00")&amp;"ct x "&amp;AA166,""),IF(AND(AB166&gt;0,AC166&gt;0),TEXT(AB166,"0.00")&amp;"ct x "&amp;AC166,""))</f>
        <v/>
      </c>
      <c r="AG166" s="0">
        <f>X166*Y166*SUMIFS($AM$2:$AM$11,$AK$2:$AK$11,"&lt;="&amp;X166,$AL$2:$AL$11,"&gt;="&amp;X166)+Z166*AA166*SUMIFS($AM$2:$AM$11,$AK$2:$AK$11,"&lt;="&amp;Z166,$AL$2:$AL$11,"&gt;="&amp;Z166)+AB166*AC166*SUMIFS($AM$2:$AM$11,$AK$2:$AK$11,"&lt;="&amp;AB166,$AL$2:$AL$11,"&gt;="&amp;AB166)</f>
        <v/>
      </c>
      <c r="AH166" s="0">
        <f>AG166*(1-40%)</f>
        <v/>
      </c>
      <c r="AI166" s="0">
        <f>AH166*1.2</f>
        <v/>
      </c>
    </row>
    <row r="167">
      <c r="A167" s="26" t="n"/>
      <c r="B167" s="169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>
        <f>AG167</f>
        <v/>
      </c>
      <c r="T167" s="26">
        <f>AI167+Q167+P167</f>
        <v/>
      </c>
      <c r="U167" s="26" t="n"/>
      <c r="V167" s="26" t="n"/>
      <c r="W167" s="169" t="n"/>
      <c r="X167" s="26" t="n"/>
      <c r="Y167" s="26" t="n"/>
      <c r="Z167" s="26" t="n"/>
      <c r="AA167" s="26" t="n"/>
      <c r="AD167" s="0">
        <f>SUM(Y167,AA167,AC167)</f>
        <v/>
      </c>
      <c r="AE167" s="0">
        <f>X167*Y167+Z167*AA167+AB167*AC167</f>
        <v/>
      </c>
      <c r="AF167" s="0">
        <f>TEXTJOIN(", ",TRUE,IF(AND(X167&gt;0,Y167&gt;0),TEXT(X167,"0.00")&amp;"ct x "&amp;Y167,""),IF(AND(Z167&gt;0,AA167&gt;0),TEXT(Z167,"0.00")&amp;"ct x "&amp;AA167,""),IF(AND(AB167&gt;0,AC167&gt;0),TEXT(AB167,"0.00")&amp;"ct x "&amp;AC167,""))</f>
        <v/>
      </c>
      <c r="AG167" s="0">
        <f>X167*Y167*SUMIFS($AM$2:$AM$11,$AK$2:$AK$11,"&lt;="&amp;X167,$AL$2:$AL$11,"&gt;="&amp;X167)+Z167*AA167*SUMIFS($AM$2:$AM$11,$AK$2:$AK$11,"&lt;="&amp;Z167,$AL$2:$AL$11,"&gt;="&amp;Z167)+AB167*AC167*SUMIFS($AM$2:$AM$11,$AK$2:$AK$11,"&lt;="&amp;AB167,$AL$2:$AL$11,"&gt;="&amp;AB167)</f>
        <v/>
      </c>
      <c r="AH167" s="0">
        <f>AG167*(1-40%)</f>
        <v/>
      </c>
      <c r="AI167" s="0">
        <f>AH167*1.2</f>
        <v/>
      </c>
    </row>
    <row r="168">
      <c r="A168" s="26" t="n"/>
      <c r="B168" s="169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>
        <f>AG168</f>
        <v/>
      </c>
      <c r="T168" s="26">
        <f>AI168+Q168+P168</f>
        <v/>
      </c>
      <c r="U168" s="26" t="n"/>
      <c r="V168" s="26" t="n"/>
      <c r="W168" s="169" t="n"/>
      <c r="X168" s="26" t="n"/>
      <c r="Y168" s="26" t="n"/>
      <c r="Z168" s="26" t="n"/>
      <c r="AA168" s="26" t="n"/>
      <c r="AD168" s="0">
        <f>SUM(Y168,AA168,AC168)</f>
        <v/>
      </c>
      <c r="AE168" s="0">
        <f>X168*Y168+Z168*AA168+AB168*AC168</f>
        <v/>
      </c>
      <c r="AF168" s="0">
        <f>TEXTJOIN(", ",TRUE,IF(AND(X168&gt;0,Y168&gt;0),TEXT(X168,"0.00")&amp;"ct x "&amp;Y168,""),IF(AND(Z168&gt;0,AA168&gt;0),TEXT(Z168,"0.00")&amp;"ct x "&amp;AA168,""),IF(AND(AB168&gt;0,AC168&gt;0),TEXT(AB168,"0.00")&amp;"ct x "&amp;AC168,""))</f>
        <v/>
      </c>
      <c r="AG168" s="0">
        <f>X168*Y168*SUMIFS($AM$2:$AM$11,$AK$2:$AK$11,"&lt;="&amp;X168,$AL$2:$AL$11,"&gt;="&amp;X168)+Z168*AA168*SUMIFS($AM$2:$AM$11,$AK$2:$AK$11,"&lt;="&amp;Z168,$AL$2:$AL$11,"&gt;="&amp;Z168)+AB168*AC168*SUMIFS($AM$2:$AM$11,$AK$2:$AK$11,"&lt;="&amp;AB168,$AL$2:$AL$11,"&gt;="&amp;AB168)</f>
        <v/>
      </c>
      <c r="AH168" s="0">
        <f>AG168*(1-40%)</f>
        <v/>
      </c>
      <c r="AI168" s="0">
        <f>AH168*1.2</f>
        <v/>
      </c>
    </row>
    <row r="169">
      <c r="A169" s="26" t="n"/>
      <c r="B169" s="169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>
        <f>AG169</f>
        <v/>
      </c>
      <c r="T169" s="26">
        <f>AI169+Q169+P169</f>
        <v/>
      </c>
      <c r="U169" s="26" t="n"/>
      <c r="V169" s="26" t="n"/>
      <c r="W169" s="169" t="n"/>
      <c r="X169" s="26" t="n"/>
      <c r="Y169" s="26" t="n"/>
      <c r="Z169" s="26" t="n"/>
      <c r="AA169" s="26" t="n"/>
      <c r="AD169" s="0">
        <f>SUM(Y169,AA169,AC169)</f>
        <v/>
      </c>
      <c r="AE169" s="0">
        <f>X169*Y169+Z169*AA169+AB169*AC169</f>
        <v/>
      </c>
      <c r="AF169" s="0">
        <f>TEXTJOIN(", ",TRUE,IF(AND(X169&gt;0,Y169&gt;0),TEXT(X169,"0.00")&amp;"ct x "&amp;Y169,""),IF(AND(Z169&gt;0,AA169&gt;0),TEXT(Z169,"0.00")&amp;"ct x "&amp;AA169,""),IF(AND(AB169&gt;0,AC169&gt;0),TEXT(AB169,"0.00")&amp;"ct x "&amp;AC169,""))</f>
        <v/>
      </c>
      <c r="AG169" s="0">
        <f>X169*Y169*SUMIFS($AM$2:$AM$11,$AK$2:$AK$11,"&lt;="&amp;X169,$AL$2:$AL$11,"&gt;="&amp;X169)+Z169*AA169*SUMIFS($AM$2:$AM$11,$AK$2:$AK$11,"&lt;="&amp;Z169,$AL$2:$AL$11,"&gt;="&amp;Z169)+AB169*AC169*SUMIFS($AM$2:$AM$11,$AK$2:$AK$11,"&lt;="&amp;AB169,$AL$2:$AL$11,"&gt;="&amp;AB169)</f>
        <v/>
      </c>
      <c r="AH169" s="0">
        <f>AG169*(1-40%)</f>
        <v/>
      </c>
      <c r="AI169" s="0">
        <f>AH169*1.2</f>
        <v/>
      </c>
    </row>
    <row r="170">
      <c r="A170" s="26" t="n"/>
      <c r="B170" s="169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>
        <f>AG170</f>
        <v/>
      </c>
      <c r="T170" s="26">
        <f>AI170+Q170+P170</f>
        <v/>
      </c>
      <c r="U170" s="26" t="n"/>
      <c r="V170" s="26" t="n"/>
      <c r="W170" s="169" t="n"/>
      <c r="X170" s="26" t="n"/>
      <c r="Y170" s="26" t="n"/>
      <c r="Z170" s="26" t="n"/>
      <c r="AA170" s="26" t="n"/>
      <c r="AD170" s="0">
        <f>SUM(Y170,AA170,AC170)</f>
        <v/>
      </c>
      <c r="AE170" s="0">
        <f>X170*Y170+Z170*AA170+AB170*AC170</f>
        <v/>
      </c>
      <c r="AF170" s="0">
        <f>TEXTJOIN(", ",TRUE,IF(AND(X170&gt;0,Y170&gt;0),TEXT(X170,"0.00")&amp;"ct x "&amp;Y170,""),IF(AND(Z170&gt;0,AA170&gt;0),TEXT(Z170,"0.00")&amp;"ct x "&amp;AA170,""),IF(AND(AB170&gt;0,AC170&gt;0),TEXT(AB170,"0.00")&amp;"ct x "&amp;AC170,""))</f>
        <v/>
      </c>
      <c r="AG170" s="0">
        <f>X170*Y170*SUMIFS($AM$2:$AM$11,$AK$2:$AK$11,"&lt;="&amp;X170,$AL$2:$AL$11,"&gt;="&amp;X170)+Z170*AA170*SUMIFS($AM$2:$AM$11,$AK$2:$AK$11,"&lt;="&amp;Z170,$AL$2:$AL$11,"&gt;="&amp;Z170)+AB170*AC170*SUMIFS($AM$2:$AM$11,$AK$2:$AK$11,"&lt;="&amp;AB170,$AL$2:$AL$11,"&gt;="&amp;AB170)</f>
        <v/>
      </c>
      <c r="AH170" s="0">
        <f>AG170*(1-40%)</f>
        <v/>
      </c>
      <c r="AI170" s="0">
        <f>AH170*1.2</f>
        <v/>
      </c>
    </row>
    <row r="171">
      <c r="A171" s="26" t="n"/>
      <c r="B171" s="169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>
        <f>AG171</f>
        <v/>
      </c>
      <c r="T171" s="26">
        <f>AI171+Q171+P171</f>
        <v/>
      </c>
      <c r="U171" s="26" t="n"/>
      <c r="V171" s="26" t="n"/>
      <c r="W171" s="169" t="n"/>
      <c r="X171" s="26" t="n"/>
      <c r="Y171" s="26" t="n"/>
      <c r="Z171" s="26" t="n"/>
      <c r="AA171" s="26" t="n"/>
      <c r="AD171" s="0">
        <f>SUM(Y171,AA171,AC171)</f>
        <v/>
      </c>
      <c r="AE171" s="0">
        <f>X171*Y171+Z171*AA171+AB171*AC171</f>
        <v/>
      </c>
      <c r="AF171" s="0">
        <f>TEXTJOIN(", ",TRUE,IF(AND(X171&gt;0,Y171&gt;0),TEXT(X171,"0.00")&amp;"ct x "&amp;Y171,""),IF(AND(Z171&gt;0,AA171&gt;0),TEXT(Z171,"0.00")&amp;"ct x "&amp;AA171,""),IF(AND(AB171&gt;0,AC171&gt;0),TEXT(AB171,"0.00")&amp;"ct x "&amp;AC171,""))</f>
        <v/>
      </c>
      <c r="AG171" s="0">
        <f>X171*Y171*SUMIFS($AM$2:$AM$11,$AK$2:$AK$11,"&lt;="&amp;X171,$AL$2:$AL$11,"&gt;="&amp;X171)+Z171*AA171*SUMIFS($AM$2:$AM$11,$AK$2:$AK$11,"&lt;="&amp;Z171,$AL$2:$AL$11,"&gt;="&amp;Z171)+AB171*AC171*SUMIFS($AM$2:$AM$11,$AK$2:$AK$11,"&lt;="&amp;AB171,$AL$2:$AL$11,"&gt;="&amp;AB171)</f>
        <v/>
      </c>
      <c r="AH171" s="0">
        <f>AG171*(1-40%)</f>
        <v/>
      </c>
      <c r="AI171" s="0">
        <f>AH171*1.2</f>
        <v/>
      </c>
    </row>
    <row r="172">
      <c r="A172" s="26" t="n"/>
      <c r="B172" s="169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>
        <f>AG172</f>
        <v/>
      </c>
      <c r="T172" s="26">
        <f>AI172+Q172+P172</f>
        <v/>
      </c>
      <c r="U172" s="26" t="n"/>
      <c r="V172" s="26" t="n"/>
      <c r="W172" s="169" t="n"/>
      <c r="X172" s="26" t="n"/>
      <c r="Y172" s="26" t="n"/>
      <c r="Z172" s="26" t="n"/>
      <c r="AA172" s="26" t="n"/>
      <c r="AD172" s="0">
        <f>SUM(Y172,AA172,AC172)</f>
        <v/>
      </c>
      <c r="AE172" s="0">
        <f>X172*Y172+Z172*AA172+AB172*AC172</f>
        <v/>
      </c>
      <c r="AF172" s="0">
        <f>TEXTJOIN(", ",TRUE,IF(AND(X172&gt;0,Y172&gt;0),TEXT(X172,"0.00")&amp;"ct x "&amp;Y172,""),IF(AND(Z172&gt;0,AA172&gt;0),TEXT(Z172,"0.00")&amp;"ct x "&amp;AA172,""),IF(AND(AB172&gt;0,AC172&gt;0),TEXT(AB172,"0.00")&amp;"ct x "&amp;AC172,""))</f>
        <v/>
      </c>
      <c r="AG172" s="0">
        <f>X172*Y172*SUMIFS($AM$2:$AM$11,$AK$2:$AK$11,"&lt;="&amp;X172,$AL$2:$AL$11,"&gt;="&amp;X172)+Z172*AA172*SUMIFS($AM$2:$AM$11,$AK$2:$AK$11,"&lt;="&amp;Z172,$AL$2:$AL$11,"&gt;="&amp;Z172)+AB172*AC172*SUMIFS($AM$2:$AM$11,$AK$2:$AK$11,"&lt;="&amp;AB172,$AL$2:$AL$11,"&gt;="&amp;AB172)</f>
        <v/>
      </c>
      <c r="AH172" s="0">
        <f>AG172*(1-40%)</f>
        <v/>
      </c>
      <c r="AI172" s="0">
        <f>AH172*1.2</f>
        <v/>
      </c>
    </row>
    <row r="173">
      <c r="A173" s="26" t="n"/>
      <c r="B173" s="169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>
        <f>AG173</f>
        <v/>
      </c>
      <c r="T173" s="26">
        <f>AI173+Q173+P173</f>
        <v/>
      </c>
      <c r="U173" s="26" t="n"/>
      <c r="V173" s="26" t="n"/>
      <c r="W173" s="169" t="n"/>
      <c r="X173" s="26" t="n"/>
      <c r="Y173" s="26" t="n"/>
      <c r="Z173" s="26" t="n"/>
      <c r="AA173" s="26" t="n"/>
      <c r="AD173" s="0">
        <f>SUM(Y173,AA173,AC173)</f>
        <v/>
      </c>
      <c r="AE173" s="0">
        <f>X173*Y173+Z173*AA173+AB173*AC173</f>
        <v/>
      </c>
      <c r="AF173" s="0">
        <f>TEXTJOIN(", ",TRUE,IF(AND(X173&gt;0,Y173&gt;0),TEXT(X173,"0.00")&amp;"ct x "&amp;Y173,""),IF(AND(Z173&gt;0,AA173&gt;0),TEXT(Z173,"0.00")&amp;"ct x "&amp;AA173,""),IF(AND(AB173&gt;0,AC173&gt;0),TEXT(AB173,"0.00")&amp;"ct x "&amp;AC173,""))</f>
        <v/>
      </c>
      <c r="AG173" s="0">
        <f>X173*Y173*SUMIFS($AM$2:$AM$11,$AK$2:$AK$11,"&lt;="&amp;X173,$AL$2:$AL$11,"&gt;="&amp;X173)+Z173*AA173*SUMIFS($AM$2:$AM$11,$AK$2:$AK$11,"&lt;="&amp;Z173,$AL$2:$AL$11,"&gt;="&amp;Z173)+AB173*AC173*SUMIFS($AM$2:$AM$11,$AK$2:$AK$11,"&lt;="&amp;AB173,$AL$2:$AL$11,"&gt;="&amp;AB173)</f>
        <v/>
      </c>
      <c r="AH173" s="0">
        <f>AG173*(1-40%)</f>
        <v/>
      </c>
      <c r="AI173" s="0">
        <f>AH173*1.2</f>
        <v/>
      </c>
    </row>
    <row r="174">
      <c r="A174" s="26" t="n"/>
      <c r="B174" s="169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>
        <f>AG174</f>
        <v/>
      </c>
      <c r="T174" s="26">
        <f>AI174+Q174+P174</f>
        <v/>
      </c>
      <c r="U174" s="26" t="n"/>
      <c r="V174" s="26" t="n"/>
      <c r="W174" s="169" t="n"/>
      <c r="X174" s="26" t="n"/>
      <c r="Y174" s="26" t="n"/>
      <c r="Z174" s="26" t="n"/>
      <c r="AA174" s="26" t="n"/>
      <c r="AD174" s="0">
        <f>SUM(Y174,AA174,AC174)</f>
        <v/>
      </c>
      <c r="AE174" s="0">
        <f>X174*Y174+Z174*AA174+AB174*AC174</f>
        <v/>
      </c>
      <c r="AF174" s="0">
        <f>TEXTJOIN(", ",TRUE,IF(AND(X174&gt;0,Y174&gt;0),TEXT(X174,"0.00")&amp;"ct x "&amp;Y174,""),IF(AND(Z174&gt;0,AA174&gt;0),TEXT(Z174,"0.00")&amp;"ct x "&amp;AA174,""),IF(AND(AB174&gt;0,AC174&gt;0),TEXT(AB174,"0.00")&amp;"ct x "&amp;AC174,""))</f>
        <v/>
      </c>
      <c r="AG174" s="0">
        <f>X174*Y174*SUMIFS($AM$2:$AM$11,$AK$2:$AK$11,"&lt;="&amp;X174,$AL$2:$AL$11,"&gt;="&amp;X174)+Z174*AA174*SUMIFS($AM$2:$AM$11,$AK$2:$AK$11,"&lt;="&amp;Z174,$AL$2:$AL$11,"&gt;="&amp;Z174)+AB174*AC174*SUMIFS($AM$2:$AM$11,$AK$2:$AK$11,"&lt;="&amp;AB174,$AL$2:$AL$11,"&gt;="&amp;AB174)</f>
        <v/>
      </c>
      <c r="AH174" s="0">
        <f>AG174*(1-40%)</f>
        <v/>
      </c>
      <c r="AI174" s="0">
        <f>AH174*1.2</f>
        <v/>
      </c>
    </row>
    <row r="175">
      <c r="A175" s="26" t="n"/>
      <c r="B175" s="169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>
        <f>AG175</f>
        <v/>
      </c>
      <c r="T175" s="26">
        <f>AI175+Q175+P175</f>
        <v/>
      </c>
      <c r="U175" s="26" t="n"/>
      <c r="V175" s="26" t="n"/>
      <c r="W175" s="169" t="n"/>
      <c r="X175" s="26" t="n"/>
      <c r="Y175" s="26" t="n"/>
      <c r="Z175" s="26" t="n"/>
      <c r="AA175" s="26" t="n"/>
      <c r="AD175" s="0">
        <f>SUM(Y175,AA175,AC175)</f>
        <v/>
      </c>
      <c r="AE175" s="0">
        <f>X175*Y175+Z175*AA175+AB175*AC175</f>
        <v/>
      </c>
      <c r="AF175" s="0">
        <f>TEXTJOIN(", ",TRUE,IF(AND(X175&gt;0,Y175&gt;0),TEXT(X175,"0.00")&amp;"ct x "&amp;Y175,""),IF(AND(Z175&gt;0,AA175&gt;0),TEXT(Z175,"0.00")&amp;"ct x "&amp;AA175,""),IF(AND(AB175&gt;0,AC175&gt;0),TEXT(AB175,"0.00")&amp;"ct x "&amp;AC175,""))</f>
        <v/>
      </c>
      <c r="AG175" s="0">
        <f>X175*Y175*SUMIFS($AM$2:$AM$11,$AK$2:$AK$11,"&lt;="&amp;X175,$AL$2:$AL$11,"&gt;="&amp;X175)+Z175*AA175*SUMIFS($AM$2:$AM$11,$AK$2:$AK$11,"&lt;="&amp;Z175,$AL$2:$AL$11,"&gt;="&amp;Z175)+AB175*AC175*SUMIFS($AM$2:$AM$11,$AK$2:$AK$11,"&lt;="&amp;AB175,$AL$2:$AL$11,"&gt;="&amp;AB175)</f>
        <v/>
      </c>
      <c r="AH175" s="0">
        <f>AG175*(1-40%)</f>
        <v/>
      </c>
      <c r="AI175" s="0">
        <f>AH175*1.2</f>
        <v/>
      </c>
    </row>
    <row r="176">
      <c r="A176" s="26" t="n"/>
      <c r="B176" s="169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>
        <f>AG176</f>
        <v/>
      </c>
      <c r="T176" s="26">
        <f>AI176+Q176+P176</f>
        <v/>
      </c>
      <c r="U176" s="26" t="n"/>
      <c r="V176" s="26" t="n"/>
      <c r="W176" s="169" t="n"/>
      <c r="X176" s="26" t="n"/>
      <c r="Y176" s="26" t="n"/>
      <c r="Z176" s="26" t="n"/>
      <c r="AA176" s="26" t="n"/>
      <c r="AD176" s="0">
        <f>SUM(Y176,AA176,AC176)</f>
        <v/>
      </c>
      <c r="AE176" s="0">
        <f>X176*Y176+Z176*AA176+AB176*AC176</f>
        <v/>
      </c>
      <c r="AF176" s="0">
        <f>TEXTJOIN(", ",TRUE,IF(AND(X176&gt;0,Y176&gt;0),TEXT(X176,"0.00")&amp;"ct x "&amp;Y176,""),IF(AND(Z176&gt;0,AA176&gt;0),TEXT(Z176,"0.00")&amp;"ct x "&amp;AA176,""),IF(AND(AB176&gt;0,AC176&gt;0),TEXT(AB176,"0.00")&amp;"ct x "&amp;AC176,""))</f>
        <v/>
      </c>
      <c r="AG176" s="0">
        <f>X176*Y176*SUMIFS($AM$2:$AM$11,$AK$2:$AK$11,"&lt;="&amp;X176,$AL$2:$AL$11,"&gt;="&amp;X176)+Z176*AA176*SUMIFS($AM$2:$AM$11,$AK$2:$AK$11,"&lt;="&amp;Z176,$AL$2:$AL$11,"&gt;="&amp;Z176)+AB176*AC176*SUMIFS($AM$2:$AM$11,$AK$2:$AK$11,"&lt;="&amp;AB176,$AL$2:$AL$11,"&gt;="&amp;AB176)</f>
        <v/>
      </c>
      <c r="AH176" s="0">
        <f>AG176*(1-40%)</f>
        <v/>
      </c>
      <c r="AI176" s="0">
        <f>AH176*1.2</f>
        <v/>
      </c>
    </row>
    <row r="177">
      <c r="A177" s="26" t="n"/>
      <c r="B177" s="169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>
        <f>AG177</f>
        <v/>
      </c>
      <c r="T177" s="26">
        <f>AI177+Q177+P177</f>
        <v/>
      </c>
      <c r="U177" s="26" t="n"/>
      <c r="V177" s="26" t="n"/>
      <c r="W177" s="169" t="n"/>
      <c r="X177" s="26" t="n"/>
      <c r="Y177" s="26" t="n"/>
      <c r="Z177" s="26" t="n"/>
      <c r="AA177" s="26" t="n"/>
      <c r="AD177" s="0">
        <f>SUM(Y177,AA177,AC177)</f>
        <v/>
      </c>
      <c r="AE177" s="0">
        <f>X177*Y177+Z177*AA177+AB177*AC177</f>
        <v/>
      </c>
      <c r="AF177" s="0">
        <f>TEXTJOIN(", ",TRUE,IF(AND(X177&gt;0,Y177&gt;0),TEXT(X177,"0.00")&amp;"ct x "&amp;Y177,""),IF(AND(Z177&gt;0,AA177&gt;0),TEXT(Z177,"0.00")&amp;"ct x "&amp;AA177,""),IF(AND(AB177&gt;0,AC177&gt;0),TEXT(AB177,"0.00")&amp;"ct x "&amp;AC177,""))</f>
        <v/>
      </c>
      <c r="AG177" s="0">
        <f>X177*Y177*SUMIFS($AM$2:$AM$11,$AK$2:$AK$11,"&lt;="&amp;X177,$AL$2:$AL$11,"&gt;="&amp;X177)+Z177*AA177*SUMIFS($AM$2:$AM$11,$AK$2:$AK$11,"&lt;="&amp;Z177,$AL$2:$AL$11,"&gt;="&amp;Z177)+AB177*AC177*SUMIFS($AM$2:$AM$11,$AK$2:$AK$11,"&lt;="&amp;AB177,$AL$2:$AL$11,"&gt;="&amp;AB177)</f>
        <v/>
      </c>
      <c r="AH177" s="0">
        <f>AG177*(1-40%)</f>
        <v/>
      </c>
      <c r="AI177" s="0">
        <f>AH177*1.2</f>
        <v/>
      </c>
    </row>
    <row r="178">
      <c r="A178" s="26" t="n"/>
      <c r="B178" s="169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>
        <f>AG178</f>
        <v/>
      </c>
      <c r="T178" s="26">
        <f>AI178+Q178+P178</f>
        <v/>
      </c>
      <c r="U178" s="26" t="n"/>
      <c r="V178" s="26" t="n"/>
      <c r="W178" s="169" t="n"/>
      <c r="X178" s="26" t="n"/>
      <c r="Y178" s="26" t="n"/>
      <c r="Z178" s="26" t="n"/>
      <c r="AA178" s="26" t="n"/>
      <c r="AD178" s="0">
        <f>SUM(Y178,AA178,AC178)</f>
        <v/>
      </c>
      <c r="AE178" s="0">
        <f>X178*Y178+Z178*AA178+AB178*AC178</f>
        <v/>
      </c>
      <c r="AF178" s="0">
        <f>TEXTJOIN(", ",TRUE,IF(AND(X178&gt;0,Y178&gt;0),TEXT(X178,"0.00")&amp;"ct x "&amp;Y178,""),IF(AND(Z178&gt;0,AA178&gt;0),TEXT(Z178,"0.00")&amp;"ct x "&amp;AA178,""),IF(AND(AB178&gt;0,AC178&gt;0),TEXT(AB178,"0.00")&amp;"ct x "&amp;AC178,""))</f>
        <v/>
      </c>
      <c r="AG178" s="0">
        <f>X178*Y178*SUMIFS($AM$2:$AM$11,$AK$2:$AK$11,"&lt;="&amp;X178,$AL$2:$AL$11,"&gt;="&amp;X178)+Z178*AA178*SUMIFS($AM$2:$AM$11,$AK$2:$AK$11,"&lt;="&amp;Z178,$AL$2:$AL$11,"&gt;="&amp;Z178)+AB178*AC178*SUMIFS($AM$2:$AM$11,$AK$2:$AK$11,"&lt;="&amp;AB178,$AL$2:$AL$11,"&gt;="&amp;AB178)</f>
        <v/>
      </c>
      <c r="AH178" s="0">
        <f>AG178*(1-40%)</f>
        <v/>
      </c>
      <c r="AI178" s="0">
        <f>AH178*1.2</f>
        <v/>
      </c>
    </row>
    <row r="179">
      <c r="A179" s="26" t="n"/>
      <c r="B179" s="169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>
        <f>AG179</f>
        <v/>
      </c>
      <c r="T179" s="26">
        <f>AI179+Q179+P179</f>
        <v/>
      </c>
      <c r="U179" s="26" t="n"/>
      <c r="V179" s="26" t="n"/>
      <c r="W179" s="169" t="n"/>
      <c r="X179" s="26" t="n"/>
      <c r="Y179" s="26" t="n"/>
      <c r="Z179" s="26" t="n"/>
      <c r="AA179" s="26" t="n"/>
      <c r="AD179" s="0">
        <f>SUM(Y179,AA179,AC179)</f>
        <v/>
      </c>
      <c r="AE179" s="0">
        <f>X179*Y179+Z179*AA179+AB179*AC179</f>
        <v/>
      </c>
      <c r="AF179" s="0">
        <f>TEXTJOIN(", ",TRUE,IF(AND(X179&gt;0,Y179&gt;0),TEXT(X179,"0.00")&amp;"ct x "&amp;Y179,""),IF(AND(Z179&gt;0,AA179&gt;0),TEXT(Z179,"0.00")&amp;"ct x "&amp;AA179,""),IF(AND(AB179&gt;0,AC179&gt;0),TEXT(AB179,"0.00")&amp;"ct x "&amp;AC179,""))</f>
        <v/>
      </c>
      <c r="AG179" s="0">
        <f>X179*Y179*SUMIFS($AM$2:$AM$11,$AK$2:$AK$11,"&lt;="&amp;X179,$AL$2:$AL$11,"&gt;="&amp;X179)+Z179*AA179*SUMIFS($AM$2:$AM$11,$AK$2:$AK$11,"&lt;="&amp;Z179,$AL$2:$AL$11,"&gt;="&amp;Z179)+AB179*AC179*SUMIFS($AM$2:$AM$11,$AK$2:$AK$11,"&lt;="&amp;AB179,$AL$2:$AL$11,"&gt;="&amp;AB179)</f>
        <v/>
      </c>
      <c r="AH179" s="0">
        <f>AG179*(1-40%)</f>
        <v/>
      </c>
      <c r="AI179" s="0">
        <f>AH179*1.2</f>
        <v/>
      </c>
    </row>
    <row r="180">
      <c r="A180" s="26" t="n"/>
      <c r="B180" s="169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>
        <f>AG180</f>
        <v/>
      </c>
      <c r="T180" s="26">
        <f>AI180+Q180+P180</f>
        <v/>
      </c>
      <c r="U180" s="26" t="n"/>
      <c r="V180" s="26" t="n"/>
      <c r="W180" s="169" t="n"/>
      <c r="X180" s="26" t="n"/>
      <c r="Y180" s="26" t="n"/>
      <c r="Z180" s="26" t="n"/>
      <c r="AA180" s="26" t="n"/>
      <c r="AD180" s="0">
        <f>SUM(Y180,AA180,AC180)</f>
        <v/>
      </c>
      <c r="AE180" s="0">
        <f>X180*Y180+Z180*AA180+AB180*AC180</f>
        <v/>
      </c>
      <c r="AF180" s="0">
        <f>TEXTJOIN(", ",TRUE,IF(AND(X180&gt;0,Y180&gt;0),TEXT(X180,"0.00")&amp;"ct x "&amp;Y180,""),IF(AND(Z180&gt;0,AA180&gt;0),TEXT(Z180,"0.00")&amp;"ct x "&amp;AA180,""),IF(AND(AB180&gt;0,AC180&gt;0),TEXT(AB180,"0.00")&amp;"ct x "&amp;AC180,""))</f>
        <v/>
      </c>
      <c r="AG180" s="0">
        <f>X180*Y180*SUMIFS($AM$2:$AM$11,$AK$2:$AK$11,"&lt;="&amp;X180,$AL$2:$AL$11,"&gt;="&amp;X180)+Z180*AA180*SUMIFS($AM$2:$AM$11,$AK$2:$AK$11,"&lt;="&amp;Z180,$AL$2:$AL$11,"&gt;="&amp;Z180)+AB180*AC180*SUMIFS($AM$2:$AM$11,$AK$2:$AK$11,"&lt;="&amp;AB180,$AL$2:$AL$11,"&gt;="&amp;AB180)</f>
        <v/>
      </c>
      <c r="AH180" s="0">
        <f>AG180*(1-40%)</f>
        <v/>
      </c>
      <c r="AI180" s="0">
        <f>AH180*1.2</f>
        <v/>
      </c>
    </row>
    <row r="181">
      <c r="A181" s="26" t="n"/>
      <c r="B181" s="169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>
        <f>AG181</f>
        <v/>
      </c>
      <c r="T181" s="26">
        <f>AI181+Q181+P181</f>
        <v/>
      </c>
      <c r="U181" s="26" t="n"/>
      <c r="V181" s="26" t="n"/>
      <c r="W181" s="169" t="n"/>
      <c r="X181" s="26" t="n"/>
      <c r="Y181" s="26" t="n"/>
      <c r="Z181" s="26" t="n"/>
      <c r="AA181" s="26" t="n"/>
      <c r="AD181" s="0">
        <f>SUM(Y181,AA181,AC181)</f>
        <v/>
      </c>
      <c r="AE181" s="0">
        <f>X181*Y181+Z181*AA181+AB181*AC181</f>
        <v/>
      </c>
      <c r="AF181" s="0">
        <f>TEXTJOIN(", ",TRUE,IF(AND(X181&gt;0,Y181&gt;0),TEXT(X181,"0.00")&amp;"ct x "&amp;Y181,""),IF(AND(Z181&gt;0,AA181&gt;0),TEXT(Z181,"0.00")&amp;"ct x "&amp;AA181,""),IF(AND(AB181&gt;0,AC181&gt;0),TEXT(AB181,"0.00")&amp;"ct x "&amp;AC181,""))</f>
        <v/>
      </c>
      <c r="AG181" s="0">
        <f>X181*Y181*SUMIFS($AM$2:$AM$11,$AK$2:$AK$11,"&lt;="&amp;X181,$AL$2:$AL$11,"&gt;="&amp;X181)+Z181*AA181*SUMIFS($AM$2:$AM$11,$AK$2:$AK$11,"&lt;="&amp;Z181,$AL$2:$AL$11,"&gt;="&amp;Z181)+AB181*AC181*SUMIFS($AM$2:$AM$11,$AK$2:$AK$11,"&lt;="&amp;AB181,$AL$2:$AL$11,"&gt;="&amp;AB181)</f>
        <v/>
      </c>
      <c r="AH181" s="0">
        <f>AG181*(1-40%)</f>
        <v/>
      </c>
      <c r="AI181" s="0">
        <f>AH181*1.2</f>
        <v/>
      </c>
    </row>
    <row r="182">
      <c r="A182" s="26" t="n"/>
      <c r="B182" s="169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>
        <f>AG182</f>
        <v/>
      </c>
      <c r="T182" s="26">
        <f>AI182+Q182+P182</f>
        <v/>
      </c>
      <c r="U182" s="26" t="n"/>
      <c r="V182" s="26" t="n"/>
      <c r="W182" s="169" t="n"/>
      <c r="X182" s="26" t="n"/>
      <c r="Y182" s="26" t="n"/>
      <c r="Z182" s="26" t="n"/>
      <c r="AA182" s="26" t="n"/>
      <c r="AD182" s="0">
        <f>SUM(Y182,AA182,AC182)</f>
        <v/>
      </c>
      <c r="AE182" s="0">
        <f>X182*Y182+Z182*AA182+AB182*AC182</f>
        <v/>
      </c>
      <c r="AF182" s="0">
        <f>TEXTJOIN(", ",TRUE,IF(AND(X182&gt;0,Y182&gt;0),TEXT(X182,"0.00")&amp;"ct x "&amp;Y182,""),IF(AND(Z182&gt;0,AA182&gt;0),TEXT(Z182,"0.00")&amp;"ct x "&amp;AA182,""),IF(AND(AB182&gt;0,AC182&gt;0),TEXT(AB182,"0.00")&amp;"ct x "&amp;AC182,""))</f>
        <v/>
      </c>
      <c r="AG182" s="0">
        <f>X182*Y182*SUMIFS($AM$2:$AM$11,$AK$2:$AK$11,"&lt;="&amp;X182,$AL$2:$AL$11,"&gt;="&amp;X182)+Z182*AA182*SUMIFS($AM$2:$AM$11,$AK$2:$AK$11,"&lt;="&amp;Z182,$AL$2:$AL$11,"&gt;="&amp;Z182)+AB182*AC182*SUMIFS($AM$2:$AM$11,$AK$2:$AK$11,"&lt;="&amp;AB182,$AL$2:$AL$11,"&gt;="&amp;AB182)</f>
        <v/>
      </c>
      <c r="AH182" s="0">
        <f>AG182*(1-40%)</f>
        <v/>
      </c>
      <c r="AI182" s="0">
        <f>AH182*1.2</f>
        <v/>
      </c>
    </row>
    <row r="183">
      <c r="A183" s="26" t="n"/>
      <c r="B183" s="169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>
        <f>AG183</f>
        <v/>
      </c>
      <c r="T183" s="26">
        <f>AI183+Q183+P183</f>
        <v/>
      </c>
      <c r="U183" s="26" t="n"/>
      <c r="V183" s="26" t="n"/>
      <c r="W183" s="169" t="n"/>
      <c r="X183" s="26" t="n"/>
      <c r="Y183" s="26" t="n"/>
      <c r="Z183" s="26" t="n"/>
      <c r="AA183" s="26" t="n"/>
      <c r="AD183" s="0">
        <f>SUM(Y183,AA183,AC183)</f>
        <v/>
      </c>
      <c r="AE183" s="0">
        <f>X183*Y183+Z183*AA183+AB183*AC183</f>
        <v/>
      </c>
      <c r="AF183" s="0">
        <f>TEXTJOIN(", ",TRUE,IF(AND(X183&gt;0,Y183&gt;0),TEXT(X183,"0.00")&amp;"ct x "&amp;Y183,""),IF(AND(Z183&gt;0,AA183&gt;0),TEXT(Z183,"0.00")&amp;"ct x "&amp;AA183,""),IF(AND(AB183&gt;0,AC183&gt;0),TEXT(AB183,"0.00")&amp;"ct x "&amp;AC183,""))</f>
        <v/>
      </c>
      <c r="AG183" s="0">
        <f>X183*Y183*SUMIFS($AM$2:$AM$11,$AK$2:$AK$11,"&lt;="&amp;X183,$AL$2:$AL$11,"&gt;="&amp;X183)+Z183*AA183*SUMIFS($AM$2:$AM$11,$AK$2:$AK$11,"&lt;="&amp;Z183,$AL$2:$AL$11,"&gt;="&amp;Z183)+AB183*AC183*SUMIFS($AM$2:$AM$11,$AK$2:$AK$11,"&lt;="&amp;AB183,$AL$2:$AL$11,"&gt;="&amp;AB183)</f>
        <v/>
      </c>
      <c r="AH183" s="0">
        <f>AG183*(1-40%)</f>
        <v/>
      </c>
      <c r="AI183" s="0">
        <f>AH183*1.2</f>
        <v/>
      </c>
    </row>
    <row r="184">
      <c r="A184" s="26" t="n"/>
      <c r="B184" s="169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>
        <f>AG184</f>
        <v/>
      </c>
      <c r="T184" s="26">
        <f>AI184+Q184+P184</f>
        <v/>
      </c>
      <c r="U184" s="26" t="n"/>
      <c r="V184" s="26" t="n"/>
      <c r="W184" s="169" t="n"/>
      <c r="X184" s="26" t="n"/>
      <c r="Y184" s="26" t="n"/>
      <c r="Z184" s="26" t="n"/>
      <c r="AA184" s="26" t="n"/>
      <c r="AD184" s="0">
        <f>SUM(Y184,AA184,AC184)</f>
        <v/>
      </c>
      <c r="AE184" s="0">
        <f>X184*Y184+Z184*AA184+AB184*AC184</f>
        <v/>
      </c>
      <c r="AF184" s="0">
        <f>TEXTJOIN(", ",TRUE,IF(AND(X184&gt;0,Y184&gt;0),TEXT(X184,"0.00")&amp;"ct x "&amp;Y184,""),IF(AND(Z184&gt;0,AA184&gt;0),TEXT(Z184,"0.00")&amp;"ct x "&amp;AA184,""),IF(AND(AB184&gt;0,AC184&gt;0),TEXT(AB184,"0.00")&amp;"ct x "&amp;AC184,""))</f>
        <v/>
      </c>
      <c r="AG184" s="0">
        <f>X184*Y184*SUMIFS($AM$2:$AM$11,$AK$2:$AK$11,"&lt;="&amp;X184,$AL$2:$AL$11,"&gt;="&amp;X184)+Z184*AA184*SUMIFS($AM$2:$AM$11,$AK$2:$AK$11,"&lt;="&amp;Z184,$AL$2:$AL$11,"&gt;="&amp;Z184)+AB184*AC184*SUMIFS($AM$2:$AM$11,$AK$2:$AK$11,"&lt;="&amp;AB184,$AL$2:$AL$11,"&gt;="&amp;AB184)</f>
        <v/>
      </c>
      <c r="AH184" s="0">
        <f>AG184*(1-40%)</f>
        <v/>
      </c>
      <c r="AI184" s="0">
        <f>AH184*1.2</f>
        <v/>
      </c>
    </row>
    <row r="185">
      <c r="A185" s="26" t="n"/>
      <c r="B185" s="169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>
        <f>AG185</f>
        <v/>
      </c>
      <c r="T185" s="26">
        <f>AI185+Q185+P185</f>
        <v/>
      </c>
      <c r="U185" s="26" t="n"/>
      <c r="V185" s="26" t="n"/>
      <c r="W185" s="169" t="n"/>
      <c r="X185" s="26" t="n"/>
      <c r="Y185" s="26" t="n"/>
      <c r="Z185" s="26" t="n"/>
      <c r="AA185" s="26" t="n"/>
      <c r="AD185" s="0">
        <f>SUM(Y185,AA185,AC185)</f>
        <v/>
      </c>
      <c r="AE185" s="0">
        <f>X185*Y185+Z185*AA185+AB185*AC185</f>
        <v/>
      </c>
      <c r="AF185" s="0">
        <f>TEXTJOIN(", ",TRUE,IF(AND(X185&gt;0,Y185&gt;0),TEXT(X185,"0.00")&amp;"ct x "&amp;Y185,""),IF(AND(Z185&gt;0,AA185&gt;0),TEXT(Z185,"0.00")&amp;"ct x "&amp;AA185,""),IF(AND(AB185&gt;0,AC185&gt;0),TEXT(AB185,"0.00")&amp;"ct x "&amp;AC185,""))</f>
        <v/>
      </c>
      <c r="AG185" s="0">
        <f>X185*Y185*SUMIFS($AM$2:$AM$11,$AK$2:$AK$11,"&lt;="&amp;X185,$AL$2:$AL$11,"&gt;="&amp;X185)+Z185*AA185*SUMIFS($AM$2:$AM$11,$AK$2:$AK$11,"&lt;="&amp;Z185,$AL$2:$AL$11,"&gt;="&amp;Z185)+AB185*AC185*SUMIFS($AM$2:$AM$11,$AK$2:$AK$11,"&lt;="&amp;AB185,$AL$2:$AL$11,"&gt;="&amp;AB185)</f>
        <v/>
      </c>
      <c r="AH185" s="0">
        <f>AG185*(1-40%)</f>
        <v/>
      </c>
      <c r="AI185" s="0">
        <f>AH185*1.2</f>
        <v/>
      </c>
    </row>
    <row r="186">
      <c r="A186" s="26" t="n"/>
      <c r="B186" s="169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>
        <f>AG186</f>
        <v/>
      </c>
      <c r="T186" s="26">
        <f>AI186+Q186+P186</f>
        <v/>
      </c>
      <c r="U186" s="26" t="n"/>
      <c r="V186" s="26" t="n"/>
      <c r="W186" s="169" t="n"/>
      <c r="X186" s="26" t="n"/>
      <c r="Y186" s="26" t="n"/>
      <c r="Z186" s="26" t="n"/>
      <c r="AA186" s="26" t="n"/>
      <c r="AD186" s="0">
        <f>SUM(Y186,AA186,AC186)</f>
        <v/>
      </c>
      <c r="AE186" s="0">
        <f>X186*Y186+Z186*AA186+AB186*AC186</f>
        <v/>
      </c>
      <c r="AF186" s="0">
        <f>TEXTJOIN(", ",TRUE,IF(AND(X186&gt;0,Y186&gt;0),TEXT(X186,"0.00")&amp;"ct x "&amp;Y186,""),IF(AND(Z186&gt;0,AA186&gt;0),TEXT(Z186,"0.00")&amp;"ct x "&amp;AA186,""),IF(AND(AB186&gt;0,AC186&gt;0),TEXT(AB186,"0.00")&amp;"ct x "&amp;AC186,""))</f>
        <v/>
      </c>
      <c r="AG186" s="0">
        <f>X186*Y186*SUMIFS($AM$2:$AM$11,$AK$2:$AK$11,"&lt;="&amp;X186,$AL$2:$AL$11,"&gt;="&amp;X186)+Z186*AA186*SUMIFS($AM$2:$AM$11,$AK$2:$AK$11,"&lt;="&amp;Z186,$AL$2:$AL$11,"&gt;="&amp;Z186)+AB186*AC186*SUMIFS($AM$2:$AM$11,$AK$2:$AK$11,"&lt;="&amp;AB186,$AL$2:$AL$11,"&gt;="&amp;AB186)</f>
        <v/>
      </c>
      <c r="AH186" s="0">
        <f>AG186*(1-40%)</f>
        <v/>
      </c>
      <c r="AI186" s="0">
        <f>AH186*1.2</f>
        <v/>
      </c>
    </row>
    <row r="187">
      <c r="A187" s="26" t="n"/>
      <c r="B187" s="169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>
        <f>AG187</f>
        <v/>
      </c>
      <c r="T187" s="26">
        <f>AI187+Q187+P187</f>
        <v/>
      </c>
      <c r="U187" s="26" t="n"/>
      <c r="V187" s="26" t="n"/>
      <c r="W187" s="169" t="n"/>
      <c r="X187" s="26" t="n"/>
      <c r="Y187" s="26" t="n"/>
      <c r="Z187" s="26" t="n"/>
      <c r="AA187" s="26" t="n"/>
      <c r="AD187" s="0">
        <f>SUM(Y187,AA187,AC187)</f>
        <v/>
      </c>
      <c r="AE187" s="0">
        <f>X187*Y187+Z187*AA187+AB187*AC187</f>
        <v/>
      </c>
      <c r="AF187" s="0">
        <f>TEXTJOIN(", ",TRUE,IF(AND(X187&gt;0,Y187&gt;0),TEXT(X187,"0.00")&amp;"ct x "&amp;Y187,""),IF(AND(Z187&gt;0,AA187&gt;0),TEXT(Z187,"0.00")&amp;"ct x "&amp;AA187,""),IF(AND(AB187&gt;0,AC187&gt;0),TEXT(AB187,"0.00")&amp;"ct x "&amp;AC187,""))</f>
        <v/>
      </c>
      <c r="AG187" s="0">
        <f>X187*Y187*SUMIFS($AM$2:$AM$11,$AK$2:$AK$11,"&lt;="&amp;X187,$AL$2:$AL$11,"&gt;="&amp;X187)+Z187*AA187*SUMIFS($AM$2:$AM$11,$AK$2:$AK$11,"&lt;="&amp;Z187,$AL$2:$AL$11,"&gt;="&amp;Z187)+AB187*AC187*SUMIFS($AM$2:$AM$11,$AK$2:$AK$11,"&lt;="&amp;AB187,$AL$2:$AL$11,"&gt;="&amp;AB187)</f>
        <v/>
      </c>
      <c r="AH187" s="0">
        <f>AG187*(1-40%)</f>
        <v/>
      </c>
      <c r="AI187" s="0">
        <f>AH187*1.2</f>
        <v/>
      </c>
    </row>
    <row r="188">
      <c r="A188" s="26" t="n"/>
      <c r="B188" s="169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>
        <f>AG188</f>
        <v/>
      </c>
      <c r="T188" s="26">
        <f>AI188+Q188+P188</f>
        <v/>
      </c>
      <c r="U188" s="26" t="n"/>
      <c r="V188" s="26" t="n"/>
      <c r="W188" s="169" t="n"/>
      <c r="X188" s="26" t="n"/>
      <c r="Y188" s="26" t="n"/>
      <c r="Z188" s="26" t="n"/>
      <c r="AA188" s="26" t="n"/>
      <c r="AD188" s="0">
        <f>SUM(Y188,AA188,AC188)</f>
        <v/>
      </c>
      <c r="AE188" s="0">
        <f>X188*Y188+Z188*AA188+AB188*AC188</f>
        <v/>
      </c>
      <c r="AF188" s="0">
        <f>TEXTJOIN(", ",TRUE,IF(AND(X188&gt;0,Y188&gt;0),TEXT(X188,"0.00")&amp;"ct x "&amp;Y188,""),IF(AND(Z188&gt;0,AA188&gt;0),TEXT(Z188,"0.00")&amp;"ct x "&amp;AA188,""),IF(AND(AB188&gt;0,AC188&gt;0),TEXT(AB188,"0.00")&amp;"ct x "&amp;AC188,""))</f>
        <v/>
      </c>
      <c r="AG188" s="0">
        <f>X188*Y188*SUMIFS($AM$2:$AM$11,$AK$2:$AK$11,"&lt;="&amp;X188,$AL$2:$AL$11,"&gt;="&amp;X188)+Z188*AA188*SUMIFS($AM$2:$AM$11,$AK$2:$AK$11,"&lt;="&amp;Z188,$AL$2:$AL$11,"&gt;="&amp;Z188)+AB188*AC188*SUMIFS($AM$2:$AM$11,$AK$2:$AK$11,"&lt;="&amp;AB188,$AL$2:$AL$11,"&gt;="&amp;AB188)</f>
        <v/>
      </c>
      <c r="AH188" s="0">
        <f>AG188*(1-40%)</f>
        <v/>
      </c>
      <c r="AI188" s="0">
        <f>AH188*1.2</f>
        <v/>
      </c>
    </row>
    <row r="189">
      <c r="A189" s="26" t="n"/>
      <c r="B189" s="169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>
        <f>AG189</f>
        <v/>
      </c>
      <c r="T189" s="26">
        <f>AI189+Q189+P189</f>
        <v/>
      </c>
      <c r="U189" s="26" t="n"/>
      <c r="V189" s="26" t="n"/>
      <c r="W189" s="169" t="n"/>
      <c r="X189" s="26" t="n"/>
      <c r="Y189" s="26" t="n"/>
      <c r="Z189" s="26" t="n"/>
      <c r="AA189" s="26" t="n"/>
      <c r="AD189" s="0">
        <f>SUM(Y189,AA189,AC189)</f>
        <v/>
      </c>
      <c r="AE189" s="0">
        <f>X189*Y189+Z189*AA189+AB189*AC189</f>
        <v/>
      </c>
      <c r="AF189" s="0">
        <f>TEXTJOIN(", ",TRUE,IF(AND(X189&gt;0,Y189&gt;0),TEXT(X189,"0.00")&amp;"ct x "&amp;Y189,""),IF(AND(Z189&gt;0,AA189&gt;0),TEXT(Z189,"0.00")&amp;"ct x "&amp;AA189,""),IF(AND(AB189&gt;0,AC189&gt;0),TEXT(AB189,"0.00")&amp;"ct x "&amp;AC189,""))</f>
        <v/>
      </c>
      <c r="AG189" s="0">
        <f>X189*Y189*SUMIFS($AM$2:$AM$11,$AK$2:$AK$11,"&lt;="&amp;X189,$AL$2:$AL$11,"&gt;="&amp;X189)+Z189*AA189*SUMIFS($AM$2:$AM$11,$AK$2:$AK$11,"&lt;="&amp;Z189,$AL$2:$AL$11,"&gt;="&amp;Z189)+AB189*AC189*SUMIFS($AM$2:$AM$11,$AK$2:$AK$11,"&lt;="&amp;AB189,$AL$2:$AL$11,"&gt;="&amp;AB189)</f>
        <v/>
      </c>
      <c r="AH189" s="0">
        <f>AG189*(1-40%)</f>
        <v/>
      </c>
      <c r="AI189" s="0">
        <f>AH189*1.2</f>
        <v/>
      </c>
    </row>
    <row r="190">
      <c r="A190" s="26" t="n"/>
      <c r="B190" s="169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>
        <f>AG190</f>
        <v/>
      </c>
      <c r="T190" s="26">
        <f>AI190+Q190+P190</f>
        <v/>
      </c>
      <c r="U190" s="26" t="n"/>
      <c r="V190" s="26" t="n"/>
      <c r="W190" s="169" t="n"/>
      <c r="X190" s="26" t="n"/>
      <c r="Y190" s="26" t="n"/>
      <c r="Z190" s="26" t="n"/>
      <c r="AA190" s="26" t="n"/>
      <c r="AD190" s="0">
        <f>SUM(Y190,AA190,AC190)</f>
        <v/>
      </c>
      <c r="AE190" s="0">
        <f>X190*Y190+Z190*AA190+AB190*AC190</f>
        <v/>
      </c>
      <c r="AF190" s="0">
        <f>TEXTJOIN(", ",TRUE,IF(AND(X190&gt;0,Y190&gt;0),TEXT(X190,"0.00")&amp;"ct x "&amp;Y190,""),IF(AND(Z190&gt;0,AA190&gt;0),TEXT(Z190,"0.00")&amp;"ct x "&amp;AA190,""),IF(AND(AB190&gt;0,AC190&gt;0),TEXT(AB190,"0.00")&amp;"ct x "&amp;AC190,""))</f>
        <v/>
      </c>
      <c r="AG190" s="0">
        <f>X190*Y190*SUMIFS($AM$2:$AM$11,$AK$2:$AK$11,"&lt;="&amp;X190,$AL$2:$AL$11,"&gt;="&amp;X190)+Z190*AA190*SUMIFS($AM$2:$AM$11,$AK$2:$AK$11,"&lt;="&amp;Z190,$AL$2:$AL$11,"&gt;="&amp;Z190)+AB190*AC190*SUMIFS($AM$2:$AM$11,$AK$2:$AK$11,"&lt;="&amp;AB190,$AL$2:$AL$11,"&gt;="&amp;AB190)</f>
        <v/>
      </c>
      <c r="AH190" s="0">
        <f>AG190*(1-40%)</f>
        <v/>
      </c>
      <c r="AI190" s="0">
        <f>AH190*1.2</f>
        <v/>
      </c>
    </row>
    <row r="191">
      <c r="A191" s="26" t="n"/>
      <c r="B191" s="169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>
        <f>AG191</f>
        <v/>
      </c>
      <c r="T191" s="26">
        <f>AI191+Q191+P191</f>
        <v/>
      </c>
      <c r="U191" s="26" t="n"/>
      <c r="V191" s="26" t="n"/>
      <c r="W191" s="169" t="n"/>
      <c r="X191" s="26" t="n"/>
      <c r="Y191" s="26" t="n"/>
      <c r="Z191" s="26" t="n"/>
      <c r="AA191" s="26" t="n"/>
      <c r="AD191" s="0">
        <f>SUM(Y191,AA191,AC191)</f>
        <v/>
      </c>
      <c r="AE191" s="0">
        <f>X191*Y191+Z191*AA191+AB191*AC191</f>
        <v/>
      </c>
      <c r="AF191" s="0">
        <f>TEXTJOIN(", ",TRUE,IF(AND(X191&gt;0,Y191&gt;0),TEXT(X191,"0.00")&amp;"ct x "&amp;Y191,""),IF(AND(Z191&gt;0,AA191&gt;0),TEXT(Z191,"0.00")&amp;"ct x "&amp;AA191,""),IF(AND(AB191&gt;0,AC191&gt;0),TEXT(AB191,"0.00")&amp;"ct x "&amp;AC191,""))</f>
        <v/>
      </c>
      <c r="AG191" s="0">
        <f>X191*Y191*SUMIFS($AM$2:$AM$11,$AK$2:$AK$11,"&lt;="&amp;X191,$AL$2:$AL$11,"&gt;="&amp;X191)+Z191*AA191*SUMIFS($AM$2:$AM$11,$AK$2:$AK$11,"&lt;="&amp;Z191,$AL$2:$AL$11,"&gt;="&amp;Z191)+AB191*AC191*SUMIFS($AM$2:$AM$11,$AK$2:$AK$11,"&lt;="&amp;AB191,$AL$2:$AL$11,"&gt;="&amp;AB191)</f>
        <v/>
      </c>
      <c r="AH191" s="0">
        <f>AG191*(1-40%)</f>
        <v/>
      </c>
      <c r="AI191" s="0">
        <f>AH191*1.2</f>
        <v/>
      </c>
    </row>
    <row r="192">
      <c r="A192" s="26" t="n"/>
      <c r="B192" s="169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>
        <f>AG192</f>
        <v/>
      </c>
      <c r="T192" s="26">
        <f>AI192+Q192+P192</f>
        <v/>
      </c>
      <c r="U192" s="26" t="n"/>
      <c r="V192" s="26" t="n"/>
      <c r="W192" s="169" t="n"/>
      <c r="X192" s="26" t="n"/>
      <c r="Y192" s="26" t="n"/>
      <c r="Z192" s="26" t="n"/>
      <c r="AA192" s="26" t="n"/>
      <c r="AD192" s="0">
        <f>SUM(Y192,AA192,AC192)</f>
        <v/>
      </c>
      <c r="AE192" s="0">
        <f>X192*Y192+Z192*AA192+AB192*AC192</f>
        <v/>
      </c>
      <c r="AF192" s="0">
        <f>TEXTJOIN(", ",TRUE,IF(AND(X192&gt;0,Y192&gt;0),TEXT(X192,"0.00")&amp;"ct x "&amp;Y192,""),IF(AND(Z192&gt;0,AA192&gt;0),TEXT(Z192,"0.00")&amp;"ct x "&amp;AA192,""),IF(AND(AB192&gt;0,AC192&gt;0),TEXT(AB192,"0.00")&amp;"ct x "&amp;AC192,""))</f>
        <v/>
      </c>
      <c r="AG192" s="0">
        <f>X192*Y192*SUMIFS($AM$2:$AM$11,$AK$2:$AK$11,"&lt;="&amp;X192,$AL$2:$AL$11,"&gt;="&amp;X192)+Z192*AA192*SUMIFS($AM$2:$AM$11,$AK$2:$AK$11,"&lt;="&amp;Z192,$AL$2:$AL$11,"&gt;="&amp;Z192)+AB192*AC192*SUMIFS($AM$2:$AM$11,$AK$2:$AK$11,"&lt;="&amp;AB192,$AL$2:$AL$11,"&gt;="&amp;AB192)</f>
        <v/>
      </c>
      <c r="AH192" s="0">
        <f>AG192*(1-40%)</f>
        <v/>
      </c>
      <c r="AI192" s="0">
        <f>AH192*1.2</f>
        <v/>
      </c>
    </row>
    <row r="193">
      <c r="A193" s="26" t="n"/>
      <c r="B193" s="169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>
        <f>AG193</f>
        <v/>
      </c>
      <c r="T193" s="26">
        <f>AI193+Q193+P193</f>
        <v/>
      </c>
      <c r="U193" s="26" t="n"/>
      <c r="V193" s="26" t="n"/>
      <c r="W193" s="169" t="n"/>
      <c r="X193" s="26" t="n"/>
      <c r="Y193" s="26" t="n"/>
      <c r="Z193" s="26" t="n"/>
      <c r="AA193" s="26" t="n"/>
      <c r="AD193" s="0">
        <f>SUM(Y193,AA193,AC193)</f>
        <v/>
      </c>
      <c r="AE193" s="0">
        <f>X193*Y193+Z193*AA193+AB193*AC193</f>
        <v/>
      </c>
      <c r="AF193" s="0">
        <f>TEXTJOIN(", ",TRUE,IF(AND(X193&gt;0,Y193&gt;0),TEXT(X193,"0.00")&amp;"ct x "&amp;Y193,""),IF(AND(Z193&gt;0,AA193&gt;0),TEXT(Z193,"0.00")&amp;"ct x "&amp;AA193,""),IF(AND(AB193&gt;0,AC193&gt;0),TEXT(AB193,"0.00")&amp;"ct x "&amp;AC193,""))</f>
        <v/>
      </c>
      <c r="AG193" s="0">
        <f>X193*Y193*SUMIFS($AM$2:$AM$11,$AK$2:$AK$11,"&lt;="&amp;X193,$AL$2:$AL$11,"&gt;="&amp;X193)+Z193*AA193*SUMIFS($AM$2:$AM$11,$AK$2:$AK$11,"&lt;="&amp;Z193,$AL$2:$AL$11,"&gt;="&amp;Z193)+AB193*AC193*SUMIFS($AM$2:$AM$11,$AK$2:$AK$11,"&lt;="&amp;AB193,$AL$2:$AL$11,"&gt;="&amp;AB193)</f>
        <v/>
      </c>
      <c r="AH193" s="0">
        <f>AG193*(1-40%)</f>
        <v/>
      </c>
      <c r="AI193" s="0">
        <f>AH193*1.2</f>
        <v/>
      </c>
    </row>
    <row r="194">
      <c r="A194" s="26" t="n"/>
      <c r="B194" s="169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>
        <f>AG194</f>
        <v/>
      </c>
      <c r="T194" s="26">
        <f>AI194+Q194+P194</f>
        <v/>
      </c>
      <c r="U194" s="26" t="n"/>
      <c r="V194" s="26" t="n"/>
      <c r="W194" s="169" t="n"/>
      <c r="X194" s="26" t="n"/>
      <c r="Y194" s="26" t="n"/>
      <c r="Z194" s="26" t="n"/>
      <c r="AA194" s="26" t="n"/>
      <c r="AD194" s="0">
        <f>SUM(Y194,AA194,AC194)</f>
        <v/>
      </c>
      <c r="AE194" s="0">
        <f>X194*Y194+Z194*AA194+AB194*AC194</f>
        <v/>
      </c>
      <c r="AF194" s="0">
        <f>TEXTJOIN(", ",TRUE,IF(AND(X194&gt;0,Y194&gt;0),TEXT(X194,"0.00")&amp;"ct x "&amp;Y194,""),IF(AND(Z194&gt;0,AA194&gt;0),TEXT(Z194,"0.00")&amp;"ct x "&amp;AA194,""),IF(AND(AB194&gt;0,AC194&gt;0),TEXT(AB194,"0.00")&amp;"ct x "&amp;AC194,""))</f>
        <v/>
      </c>
      <c r="AG194" s="0">
        <f>X194*Y194*SUMIFS($AM$2:$AM$11,$AK$2:$AK$11,"&lt;="&amp;X194,$AL$2:$AL$11,"&gt;="&amp;X194)+Z194*AA194*SUMIFS($AM$2:$AM$11,$AK$2:$AK$11,"&lt;="&amp;Z194,$AL$2:$AL$11,"&gt;="&amp;Z194)+AB194*AC194*SUMIFS($AM$2:$AM$11,$AK$2:$AK$11,"&lt;="&amp;AB194,$AL$2:$AL$11,"&gt;="&amp;AB194)</f>
        <v/>
      </c>
      <c r="AH194" s="0">
        <f>AG194*(1-40%)</f>
        <v/>
      </c>
      <c r="AI194" s="0">
        <f>AH194*1.2</f>
        <v/>
      </c>
    </row>
    <row r="195">
      <c r="A195" s="26" t="n"/>
      <c r="B195" s="169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>
        <f>AG195</f>
        <v/>
      </c>
      <c r="T195" s="26">
        <f>AI195+Q195+P195</f>
        <v/>
      </c>
      <c r="U195" s="26" t="n"/>
      <c r="V195" s="26" t="n"/>
      <c r="W195" s="169" t="n"/>
      <c r="X195" s="26" t="n"/>
      <c r="Y195" s="26" t="n"/>
      <c r="Z195" s="26" t="n"/>
      <c r="AA195" s="26" t="n"/>
      <c r="AD195" s="0">
        <f>SUM(Y195,AA195,AC195)</f>
        <v/>
      </c>
      <c r="AE195" s="0">
        <f>X195*Y195+Z195*AA195+AB195*AC195</f>
        <v/>
      </c>
      <c r="AF195" s="0">
        <f>TEXTJOIN(", ",TRUE,IF(AND(X195&gt;0,Y195&gt;0),TEXT(X195,"0.00")&amp;"ct x "&amp;Y195,""),IF(AND(Z195&gt;0,AA195&gt;0),TEXT(Z195,"0.00")&amp;"ct x "&amp;AA195,""),IF(AND(AB195&gt;0,AC195&gt;0),TEXT(AB195,"0.00")&amp;"ct x "&amp;AC195,""))</f>
        <v/>
      </c>
      <c r="AG195" s="0">
        <f>X195*Y195*SUMIFS($AM$2:$AM$11,$AK$2:$AK$11,"&lt;="&amp;X195,$AL$2:$AL$11,"&gt;="&amp;X195)+Z195*AA195*SUMIFS($AM$2:$AM$11,$AK$2:$AK$11,"&lt;="&amp;Z195,$AL$2:$AL$11,"&gt;="&amp;Z195)+AB195*AC195*SUMIFS($AM$2:$AM$11,$AK$2:$AK$11,"&lt;="&amp;AB195,$AL$2:$AL$11,"&gt;="&amp;AB195)</f>
        <v/>
      </c>
      <c r="AH195" s="0">
        <f>AG195*(1-40%)</f>
        <v/>
      </c>
      <c r="AI195" s="0">
        <f>AH195*1.2</f>
        <v/>
      </c>
    </row>
    <row r="196">
      <c r="A196" s="26" t="n"/>
      <c r="B196" s="169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>
        <f>AG196</f>
        <v/>
      </c>
      <c r="T196" s="26">
        <f>AI196+Q196+P196</f>
        <v/>
      </c>
      <c r="U196" s="26" t="n"/>
      <c r="V196" s="26" t="n"/>
      <c r="W196" s="169" t="n"/>
      <c r="X196" s="26" t="n"/>
      <c r="Y196" s="26" t="n"/>
      <c r="Z196" s="26" t="n"/>
      <c r="AA196" s="26" t="n"/>
      <c r="AD196" s="0">
        <f>SUM(Y196,AA196,AC196)</f>
        <v/>
      </c>
      <c r="AE196" s="0">
        <f>X196*Y196+Z196*AA196+AB196*AC196</f>
        <v/>
      </c>
      <c r="AF196" s="0">
        <f>TEXTJOIN(", ",TRUE,IF(AND(X196&gt;0,Y196&gt;0),TEXT(X196,"0.00")&amp;"ct x "&amp;Y196,""),IF(AND(Z196&gt;0,AA196&gt;0),TEXT(Z196,"0.00")&amp;"ct x "&amp;AA196,""),IF(AND(AB196&gt;0,AC196&gt;0),TEXT(AB196,"0.00")&amp;"ct x "&amp;AC196,""))</f>
        <v/>
      </c>
      <c r="AG196" s="0">
        <f>X196*Y196*SUMIFS($AM$2:$AM$11,$AK$2:$AK$11,"&lt;="&amp;X196,$AL$2:$AL$11,"&gt;="&amp;X196)+Z196*AA196*SUMIFS($AM$2:$AM$11,$AK$2:$AK$11,"&lt;="&amp;Z196,$AL$2:$AL$11,"&gt;="&amp;Z196)+AB196*AC196*SUMIFS($AM$2:$AM$11,$AK$2:$AK$11,"&lt;="&amp;AB196,$AL$2:$AL$11,"&gt;="&amp;AB196)</f>
        <v/>
      </c>
      <c r="AH196" s="0">
        <f>AG196*(1-40%)</f>
        <v/>
      </c>
      <c r="AI196" s="0">
        <f>AH196*1.2</f>
        <v/>
      </c>
    </row>
    <row r="197">
      <c r="A197" s="26" t="n"/>
      <c r="B197" s="169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>
        <f>AG197</f>
        <v/>
      </c>
      <c r="T197" s="26">
        <f>AI197+Q197+P197</f>
        <v/>
      </c>
      <c r="U197" s="26" t="n"/>
      <c r="V197" s="26" t="n"/>
      <c r="W197" s="169" t="n"/>
      <c r="X197" s="26" t="n"/>
      <c r="Y197" s="26" t="n"/>
      <c r="Z197" s="26" t="n"/>
      <c r="AA197" s="26" t="n"/>
      <c r="AD197" s="0">
        <f>SUM(Y197,AA197,AC197)</f>
        <v/>
      </c>
      <c r="AE197" s="0">
        <f>X197*Y197+Z197*AA197+AB197*AC197</f>
        <v/>
      </c>
      <c r="AF197" s="0">
        <f>TEXTJOIN(", ",TRUE,IF(AND(X197&gt;0,Y197&gt;0),TEXT(X197,"0.00")&amp;"ct x "&amp;Y197,""),IF(AND(Z197&gt;0,AA197&gt;0),TEXT(Z197,"0.00")&amp;"ct x "&amp;AA197,""),IF(AND(AB197&gt;0,AC197&gt;0),TEXT(AB197,"0.00")&amp;"ct x "&amp;AC197,""))</f>
        <v/>
      </c>
      <c r="AG197" s="0">
        <f>X197*Y197*SUMIFS($AM$2:$AM$11,$AK$2:$AK$11,"&lt;="&amp;X197,$AL$2:$AL$11,"&gt;="&amp;X197)+Z197*AA197*SUMIFS($AM$2:$AM$11,$AK$2:$AK$11,"&lt;="&amp;Z197,$AL$2:$AL$11,"&gt;="&amp;Z197)+AB197*AC197*SUMIFS($AM$2:$AM$11,$AK$2:$AK$11,"&lt;="&amp;AB197,$AL$2:$AL$11,"&gt;="&amp;AB197)</f>
        <v/>
      </c>
      <c r="AH197" s="0">
        <f>AG197*(1-40%)</f>
        <v/>
      </c>
      <c r="AI197" s="0">
        <f>AH197*1.2</f>
        <v/>
      </c>
    </row>
    <row r="198">
      <c r="A198" s="26" t="n"/>
      <c r="B198" s="169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>
        <f>AG198</f>
        <v/>
      </c>
      <c r="T198" s="26">
        <f>AI198+Q198+P198</f>
        <v/>
      </c>
      <c r="U198" s="26" t="n"/>
      <c r="V198" s="26" t="n"/>
      <c r="W198" s="169" t="n"/>
      <c r="X198" s="26" t="n"/>
      <c r="Y198" s="26" t="n"/>
      <c r="Z198" s="26" t="n"/>
      <c r="AA198" s="26" t="n"/>
      <c r="AD198" s="0">
        <f>SUM(Y198,AA198,AC198)</f>
        <v/>
      </c>
      <c r="AE198" s="0">
        <f>X198*Y198+Z198*AA198+AB198*AC198</f>
        <v/>
      </c>
      <c r="AF198" s="0">
        <f>TEXTJOIN(", ",TRUE,IF(AND(X198&gt;0,Y198&gt;0),TEXT(X198,"0.00")&amp;"ct x "&amp;Y198,""),IF(AND(Z198&gt;0,AA198&gt;0),TEXT(Z198,"0.00")&amp;"ct x "&amp;AA198,""),IF(AND(AB198&gt;0,AC198&gt;0),TEXT(AB198,"0.00")&amp;"ct x "&amp;AC198,""))</f>
        <v/>
      </c>
      <c r="AG198" s="0">
        <f>X198*Y198*SUMIFS($AM$2:$AM$11,$AK$2:$AK$11,"&lt;="&amp;X198,$AL$2:$AL$11,"&gt;="&amp;X198)+Z198*AA198*SUMIFS($AM$2:$AM$11,$AK$2:$AK$11,"&lt;="&amp;Z198,$AL$2:$AL$11,"&gt;="&amp;Z198)+AB198*AC198*SUMIFS($AM$2:$AM$11,$AK$2:$AK$11,"&lt;="&amp;AB198,$AL$2:$AL$11,"&gt;="&amp;AB198)</f>
        <v/>
      </c>
      <c r="AH198" s="0">
        <f>AG198*(1-40%)</f>
        <v/>
      </c>
      <c r="AI198" s="0">
        <f>AH198*1.2</f>
        <v/>
      </c>
    </row>
    <row r="199">
      <c r="A199" s="26" t="n"/>
      <c r="B199" s="169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>
        <f>AG199</f>
        <v/>
      </c>
      <c r="T199" s="26">
        <f>AI199+Q199+P199</f>
        <v/>
      </c>
      <c r="U199" s="26" t="n"/>
      <c r="V199" s="26" t="n"/>
      <c r="W199" s="169" t="n"/>
      <c r="X199" s="26" t="n"/>
      <c r="Y199" s="26" t="n"/>
      <c r="Z199" s="26" t="n"/>
      <c r="AA199" s="26" t="n"/>
      <c r="AD199" s="0">
        <f>SUM(Y199,AA199,AC199)</f>
        <v/>
      </c>
      <c r="AE199" s="0">
        <f>X199*Y199+Z199*AA199+AB199*AC199</f>
        <v/>
      </c>
      <c r="AF199" s="0">
        <f>TEXTJOIN(", ",TRUE,IF(AND(X199&gt;0,Y199&gt;0),TEXT(X199,"0.00")&amp;"ct x "&amp;Y199,""),IF(AND(Z199&gt;0,AA199&gt;0),TEXT(Z199,"0.00")&amp;"ct x "&amp;AA199,""),IF(AND(AB199&gt;0,AC199&gt;0),TEXT(AB199,"0.00")&amp;"ct x "&amp;AC199,""))</f>
        <v/>
      </c>
      <c r="AG199" s="0">
        <f>X199*Y199*SUMIFS($AM$2:$AM$11,$AK$2:$AK$11,"&lt;="&amp;X199,$AL$2:$AL$11,"&gt;="&amp;X199)+Z199*AA199*SUMIFS($AM$2:$AM$11,$AK$2:$AK$11,"&lt;="&amp;Z199,$AL$2:$AL$11,"&gt;="&amp;Z199)+AB199*AC199*SUMIFS($AM$2:$AM$11,$AK$2:$AK$11,"&lt;="&amp;AB199,$AL$2:$AL$11,"&gt;="&amp;AB199)</f>
        <v/>
      </c>
      <c r="AH199" s="0">
        <f>AG199*(1-40%)</f>
        <v/>
      </c>
      <c r="AI199" s="0">
        <f>AH199*1.2</f>
        <v/>
      </c>
    </row>
    <row r="200">
      <c r="A200" s="26" t="n"/>
      <c r="B200" s="169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>
        <f>AG200</f>
        <v/>
      </c>
      <c r="T200" s="26">
        <f>AI200+Q200+P200</f>
        <v/>
      </c>
      <c r="U200" s="26" t="n"/>
      <c r="V200" s="26" t="n"/>
      <c r="W200" s="169" t="n"/>
      <c r="X200" s="26" t="n"/>
      <c r="Y200" s="26" t="n"/>
      <c r="Z200" s="26" t="n"/>
      <c r="AA200" s="26" t="n"/>
      <c r="AD200" s="0">
        <f>SUM(Y200,AA200,AC200)</f>
        <v/>
      </c>
      <c r="AE200" s="0">
        <f>X200*Y200+Z200*AA200+AB200*AC200</f>
        <v/>
      </c>
      <c r="AF200" s="0">
        <f>TEXTJOIN(", ",TRUE,IF(AND(X200&gt;0,Y200&gt;0),TEXT(X200,"0.00")&amp;"ct x "&amp;Y200,""),IF(AND(Z200&gt;0,AA200&gt;0),TEXT(Z200,"0.00")&amp;"ct x "&amp;AA200,""),IF(AND(AB200&gt;0,AC200&gt;0),TEXT(AB200,"0.00")&amp;"ct x "&amp;AC200,""))</f>
        <v/>
      </c>
      <c r="AG200" s="0">
        <f>X200*Y200*SUMIFS($AM$2:$AM$11,$AK$2:$AK$11,"&lt;="&amp;X200,$AL$2:$AL$11,"&gt;="&amp;X200)+Z200*AA200*SUMIFS($AM$2:$AM$11,$AK$2:$AK$11,"&lt;="&amp;Z200,$AL$2:$AL$11,"&gt;="&amp;Z200)+AB200*AC200*SUMIFS($AM$2:$AM$11,$AK$2:$AK$11,"&lt;="&amp;AB200,$AL$2:$AL$11,"&gt;="&amp;AB200)</f>
        <v/>
      </c>
      <c r="AH200" s="0">
        <f>AG200*(1-40%)</f>
        <v/>
      </c>
      <c r="AI200" s="0">
        <f>AH200*1.2</f>
        <v/>
      </c>
    </row>
    <row r="201">
      <c r="A201" s="26" t="n"/>
      <c r="B201" s="169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>
        <f>AG201</f>
        <v/>
      </c>
      <c r="T201" s="26">
        <f>AI201+Q201+P201</f>
        <v/>
      </c>
      <c r="U201" s="26" t="n"/>
      <c r="V201" s="26" t="n"/>
      <c r="W201" s="169" t="n"/>
      <c r="X201" s="26" t="n"/>
      <c r="Y201" s="26" t="n"/>
      <c r="Z201" s="26" t="n"/>
      <c r="AA201" s="26" t="n"/>
      <c r="AD201" s="0">
        <f>SUM(Y201,AA201,AC201)</f>
        <v/>
      </c>
      <c r="AE201" s="0">
        <f>X201*Y201+Z201*AA201+AB201*AC201</f>
        <v/>
      </c>
      <c r="AF201" s="0">
        <f>TEXTJOIN(", ",TRUE,IF(AND(X201&gt;0,Y201&gt;0),TEXT(X201,"0.00")&amp;"ct x "&amp;Y201,""),IF(AND(Z201&gt;0,AA201&gt;0),TEXT(Z201,"0.00")&amp;"ct x "&amp;AA201,""),IF(AND(AB201&gt;0,AC201&gt;0),TEXT(AB201,"0.00")&amp;"ct x "&amp;AC201,""))</f>
        <v/>
      </c>
      <c r="AG201" s="0">
        <f>X201*Y201*SUMIFS($AM$2:$AM$11,$AK$2:$AK$11,"&lt;="&amp;X201,$AL$2:$AL$11,"&gt;="&amp;X201)+Z201*AA201*SUMIFS($AM$2:$AM$11,$AK$2:$AK$11,"&lt;="&amp;Z201,$AL$2:$AL$11,"&gt;="&amp;Z201)+AB201*AC201*SUMIFS($AM$2:$AM$11,$AK$2:$AK$11,"&lt;="&amp;AB201,$AL$2:$AL$11,"&gt;="&amp;AB201)</f>
        <v/>
      </c>
      <c r="AH201" s="0">
        <f>AG201*(1-40%)</f>
        <v/>
      </c>
      <c r="AI201" s="0">
        <f>AH201*1.2</f>
        <v/>
      </c>
    </row>
    <row r="202">
      <c r="A202" s="26" t="n"/>
      <c r="B202" s="169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>
        <f>AG202</f>
        <v/>
      </c>
      <c r="T202" s="26">
        <f>AI202+Q202+P202</f>
        <v/>
      </c>
      <c r="U202" s="26" t="n"/>
      <c r="V202" s="26" t="n"/>
      <c r="W202" s="169" t="n"/>
      <c r="X202" s="26" t="n"/>
      <c r="Y202" s="26" t="n"/>
      <c r="Z202" s="26" t="n"/>
      <c r="AA202" s="26" t="n"/>
      <c r="AD202" s="0">
        <f>SUM(Y202,AA202,AC202)</f>
        <v/>
      </c>
      <c r="AE202" s="0">
        <f>X202*Y202+Z202*AA202+AB202*AC202</f>
        <v/>
      </c>
      <c r="AF202" s="0">
        <f>TEXTJOIN(", ",TRUE,IF(AND(X202&gt;0,Y202&gt;0),TEXT(X202,"0.00")&amp;"ct x "&amp;Y202,""),IF(AND(Z202&gt;0,AA202&gt;0),TEXT(Z202,"0.00")&amp;"ct x "&amp;AA202,""),IF(AND(AB202&gt;0,AC202&gt;0),TEXT(AB202,"0.00")&amp;"ct x "&amp;AC202,""))</f>
        <v/>
      </c>
      <c r="AG202" s="0">
        <f>X202*Y202*SUMIFS($AM$2:$AM$11,$AK$2:$AK$11,"&lt;="&amp;X202,$AL$2:$AL$11,"&gt;="&amp;X202)+Z202*AA202*SUMIFS($AM$2:$AM$11,$AK$2:$AK$11,"&lt;="&amp;Z202,$AL$2:$AL$11,"&gt;="&amp;Z202)+AB202*AC202*SUMIFS($AM$2:$AM$11,$AK$2:$AK$11,"&lt;="&amp;AB202,$AL$2:$AL$11,"&gt;="&amp;AB202)</f>
        <v/>
      </c>
      <c r="AH202" s="0">
        <f>AG202*(1-40%)</f>
        <v/>
      </c>
      <c r="AI202" s="0">
        <f>AH202*1.2</f>
        <v/>
      </c>
    </row>
    <row r="203">
      <c r="A203" s="26" t="n"/>
      <c r="B203" s="169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>
        <f>AG203</f>
        <v/>
      </c>
      <c r="T203" s="26">
        <f>AI203+Q203+P203</f>
        <v/>
      </c>
      <c r="U203" s="26" t="n"/>
      <c r="V203" s="26" t="n"/>
      <c r="W203" s="169" t="n"/>
      <c r="X203" s="26" t="n"/>
      <c r="Y203" s="26" t="n"/>
      <c r="Z203" s="26" t="n"/>
      <c r="AA203" s="26" t="n"/>
      <c r="AD203" s="0">
        <f>SUM(Y203,AA203,AC203)</f>
        <v/>
      </c>
      <c r="AE203" s="0">
        <f>X203*Y203+Z203*AA203+AB203*AC203</f>
        <v/>
      </c>
      <c r="AF203" s="0">
        <f>TEXTJOIN(", ",TRUE,IF(AND(X203&gt;0,Y203&gt;0),TEXT(X203,"0.00")&amp;"ct x "&amp;Y203,""),IF(AND(Z203&gt;0,AA203&gt;0),TEXT(Z203,"0.00")&amp;"ct x "&amp;AA203,""),IF(AND(AB203&gt;0,AC203&gt;0),TEXT(AB203,"0.00")&amp;"ct x "&amp;AC203,""))</f>
        <v/>
      </c>
      <c r="AG203" s="0">
        <f>X203*Y203*SUMIFS($AM$2:$AM$11,$AK$2:$AK$11,"&lt;="&amp;X203,$AL$2:$AL$11,"&gt;="&amp;X203)+Z203*AA203*SUMIFS($AM$2:$AM$11,$AK$2:$AK$11,"&lt;="&amp;Z203,$AL$2:$AL$11,"&gt;="&amp;Z203)+AB203*AC203*SUMIFS($AM$2:$AM$11,$AK$2:$AK$11,"&lt;="&amp;AB203,$AL$2:$AL$11,"&gt;="&amp;AB203)</f>
        <v/>
      </c>
      <c r="AH203" s="0">
        <f>AG203*(1-40%)</f>
        <v/>
      </c>
      <c r="AI203" s="0">
        <f>AH203*1.2</f>
        <v/>
      </c>
    </row>
    <row r="204">
      <c r="A204" s="26" t="n"/>
      <c r="B204" s="169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>
        <f>AG204</f>
        <v/>
      </c>
      <c r="T204" s="26">
        <f>AI204+Q204+P204</f>
        <v/>
      </c>
      <c r="U204" s="26" t="n"/>
      <c r="V204" s="26" t="n"/>
      <c r="W204" s="169" t="n"/>
      <c r="X204" s="26" t="n"/>
      <c r="Y204" s="26" t="n"/>
      <c r="Z204" s="26" t="n"/>
      <c r="AA204" s="26" t="n"/>
      <c r="AD204" s="0">
        <f>SUM(Y204,AA204,AC204)</f>
        <v/>
      </c>
      <c r="AE204" s="0">
        <f>X204*Y204+Z204*AA204+AB204*AC204</f>
        <v/>
      </c>
      <c r="AF204" s="0">
        <f>TEXTJOIN(", ",TRUE,IF(AND(X204&gt;0,Y204&gt;0),TEXT(X204,"0.00")&amp;"ct x "&amp;Y204,""),IF(AND(Z204&gt;0,AA204&gt;0),TEXT(Z204,"0.00")&amp;"ct x "&amp;AA204,""),IF(AND(AB204&gt;0,AC204&gt;0),TEXT(AB204,"0.00")&amp;"ct x "&amp;AC204,""))</f>
        <v/>
      </c>
      <c r="AG204" s="0">
        <f>X204*Y204*SUMIFS($AM$2:$AM$11,$AK$2:$AK$11,"&lt;="&amp;X204,$AL$2:$AL$11,"&gt;="&amp;X204)+Z204*AA204*SUMIFS($AM$2:$AM$11,$AK$2:$AK$11,"&lt;="&amp;Z204,$AL$2:$AL$11,"&gt;="&amp;Z204)+AB204*AC204*SUMIFS($AM$2:$AM$11,$AK$2:$AK$11,"&lt;="&amp;AB204,$AL$2:$AL$11,"&gt;="&amp;AB204)</f>
        <v/>
      </c>
      <c r="AH204" s="0">
        <f>AG204*(1-40%)</f>
        <v/>
      </c>
      <c r="AI204" s="0">
        <f>AH204*1.2</f>
        <v/>
      </c>
    </row>
    <row r="205">
      <c r="A205" s="26" t="n"/>
      <c r="B205" s="169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>
        <f>AG205</f>
        <v/>
      </c>
      <c r="T205" s="26">
        <f>AI205+Q205+P205</f>
        <v/>
      </c>
      <c r="U205" s="26" t="n"/>
      <c r="V205" s="26" t="n"/>
      <c r="W205" s="169" t="n"/>
      <c r="X205" s="26" t="n"/>
      <c r="Y205" s="26" t="n"/>
      <c r="Z205" s="26" t="n"/>
      <c r="AA205" s="26" t="n"/>
      <c r="AD205" s="0">
        <f>SUM(Y205,AA205,AC205)</f>
        <v/>
      </c>
      <c r="AE205" s="0">
        <f>X205*Y205+Z205*AA205+AB205*AC205</f>
        <v/>
      </c>
      <c r="AF205" s="0">
        <f>TEXTJOIN(", ",TRUE,IF(AND(X205&gt;0,Y205&gt;0),TEXT(X205,"0.00")&amp;"ct x "&amp;Y205,""),IF(AND(Z205&gt;0,AA205&gt;0),TEXT(Z205,"0.00")&amp;"ct x "&amp;AA205,""),IF(AND(AB205&gt;0,AC205&gt;0),TEXT(AB205,"0.00")&amp;"ct x "&amp;AC205,""))</f>
        <v/>
      </c>
      <c r="AG205" s="0">
        <f>X205*Y205*SUMIFS($AM$2:$AM$11,$AK$2:$AK$11,"&lt;="&amp;X205,$AL$2:$AL$11,"&gt;="&amp;X205)+Z205*AA205*SUMIFS($AM$2:$AM$11,$AK$2:$AK$11,"&lt;="&amp;Z205,$AL$2:$AL$11,"&gt;="&amp;Z205)+AB205*AC205*SUMIFS($AM$2:$AM$11,$AK$2:$AK$11,"&lt;="&amp;AB205,$AL$2:$AL$11,"&gt;="&amp;AB205)</f>
        <v/>
      </c>
      <c r="AH205" s="0">
        <f>AG205*(1-40%)</f>
        <v/>
      </c>
      <c r="AI205" s="0">
        <f>AH205*1.2</f>
        <v/>
      </c>
    </row>
    <row r="206">
      <c r="A206" s="26" t="n"/>
      <c r="B206" s="169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>
        <f>AG206</f>
        <v/>
      </c>
      <c r="T206" s="26">
        <f>AI206+Q206+P206</f>
        <v/>
      </c>
      <c r="U206" s="26" t="n"/>
      <c r="V206" s="26" t="n"/>
      <c r="W206" s="169" t="n"/>
      <c r="X206" s="26" t="n"/>
      <c r="Y206" s="26" t="n"/>
      <c r="Z206" s="26" t="n"/>
      <c r="AA206" s="26" t="n"/>
      <c r="AD206" s="0">
        <f>SUM(Y206,AA206,AC206)</f>
        <v/>
      </c>
      <c r="AE206" s="0">
        <f>X206*Y206+Z206*AA206+AB206*AC206</f>
        <v/>
      </c>
      <c r="AF206" s="0">
        <f>TEXTJOIN(", ",TRUE,IF(AND(X206&gt;0,Y206&gt;0),TEXT(X206,"0.00")&amp;"ct x "&amp;Y206,""),IF(AND(Z206&gt;0,AA206&gt;0),TEXT(Z206,"0.00")&amp;"ct x "&amp;AA206,""),IF(AND(AB206&gt;0,AC206&gt;0),TEXT(AB206,"0.00")&amp;"ct x "&amp;AC206,""))</f>
        <v/>
      </c>
      <c r="AG206" s="0">
        <f>X206*Y206*SUMIFS($AM$2:$AM$11,$AK$2:$AK$11,"&lt;="&amp;X206,$AL$2:$AL$11,"&gt;="&amp;X206)+Z206*AA206*SUMIFS($AM$2:$AM$11,$AK$2:$AK$11,"&lt;="&amp;Z206,$AL$2:$AL$11,"&gt;="&amp;Z206)+AB206*AC206*SUMIFS($AM$2:$AM$11,$AK$2:$AK$11,"&lt;="&amp;AB206,$AL$2:$AL$11,"&gt;="&amp;AB206)</f>
        <v/>
      </c>
      <c r="AH206" s="0">
        <f>AG206*(1-40%)</f>
        <v/>
      </c>
      <c r="AI206" s="0">
        <f>AH206*1.2</f>
        <v/>
      </c>
    </row>
    <row r="207">
      <c r="A207" s="26" t="n"/>
      <c r="B207" s="169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>
        <f>AG207</f>
        <v/>
      </c>
      <c r="T207" s="26">
        <f>AI207+Q207+P207</f>
        <v/>
      </c>
      <c r="U207" s="26" t="n"/>
      <c r="V207" s="26" t="n"/>
      <c r="W207" s="169" t="n"/>
      <c r="X207" s="26" t="n"/>
      <c r="Y207" s="26" t="n"/>
      <c r="Z207" s="26" t="n"/>
      <c r="AA207" s="26" t="n"/>
      <c r="AD207" s="0">
        <f>SUM(Y207,AA207,AC207)</f>
        <v/>
      </c>
      <c r="AE207" s="0">
        <f>X207*Y207+Z207*AA207+AB207*AC207</f>
        <v/>
      </c>
      <c r="AF207" s="0">
        <f>TEXTJOIN(", ",TRUE,IF(AND(X207&gt;0,Y207&gt;0),TEXT(X207,"0.00")&amp;"ct x "&amp;Y207,""),IF(AND(Z207&gt;0,AA207&gt;0),TEXT(Z207,"0.00")&amp;"ct x "&amp;AA207,""),IF(AND(AB207&gt;0,AC207&gt;0),TEXT(AB207,"0.00")&amp;"ct x "&amp;AC207,""))</f>
        <v/>
      </c>
      <c r="AG207" s="0">
        <f>X207*Y207*SUMIFS($AM$2:$AM$11,$AK$2:$AK$11,"&lt;="&amp;X207,$AL$2:$AL$11,"&gt;="&amp;X207)+Z207*AA207*SUMIFS($AM$2:$AM$11,$AK$2:$AK$11,"&lt;="&amp;Z207,$AL$2:$AL$11,"&gt;="&amp;Z207)+AB207*AC207*SUMIFS($AM$2:$AM$11,$AK$2:$AK$11,"&lt;="&amp;AB207,$AL$2:$AL$11,"&gt;="&amp;AB207)</f>
        <v/>
      </c>
      <c r="AH207" s="0">
        <f>AG207*(1-40%)</f>
        <v/>
      </c>
      <c r="AI207" s="0">
        <f>AH207*1.2</f>
        <v/>
      </c>
    </row>
    <row r="208">
      <c r="A208" s="26" t="n"/>
      <c r="B208" s="169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>
        <f>AG208</f>
        <v/>
      </c>
      <c r="T208" s="26">
        <f>AI208+Q208+P208</f>
        <v/>
      </c>
      <c r="U208" s="26" t="n"/>
      <c r="V208" s="26" t="n"/>
      <c r="W208" s="169" t="n"/>
      <c r="X208" s="26" t="n"/>
      <c r="Y208" s="26" t="n"/>
      <c r="Z208" s="26" t="n"/>
      <c r="AA208" s="26" t="n"/>
      <c r="AD208" s="0">
        <f>SUM(Y208,AA208,AC208)</f>
        <v/>
      </c>
      <c r="AE208" s="0">
        <f>X208*Y208+Z208*AA208+AB208*AC208</f>
        <v/>
      </c>
      <c r="AF208" s="0">
        <f>TEXTJOIN(", ",TRUE,IF(AND(X208&gt;0,Y208&gt;0),TEXT(X208,"0.00")&amp;"ct x "&amp;Y208,""),IF(AND(Z208&gt;0,AA208&gt;0),TEXT(Z208,"0.00")&amp;"ct x "&amp;AA208,""),IF(AND(AB208&gt;0,AC208&gt;0),TEXT(AB208,"0.00")&amp;"ct x "&amp;AC208,""))</f>
        <v/>
      </c>
      <c r="AG208" s="0">
        <f>X208*Y208*SUMIFS($AM$2:$AM$11,$AK$2:$AK$11,"&lt;="&amp;X208,$AL$2:$AL$11,"&gt;="&amp;X208)+Z208*AA208*SUMIFS($AM$2:$AM$11,$AK$2:$AK$11,"&lt;="&amp;Z208,$AL$2:$AL$11,"&gt;="&amp;Z208)+AB208*AC208*SUMIFS($AM$2:$AM$11,$AK$2:$AK$11,"&lt;="&amp;AB208,$AL$2:$AL$11,"&gt;="&amp;AB208)</f>
        <v/>
      </c>
      <c r="AH208" s="0">
        <f>AG208*(1-40%)</f>
        <v/>
      </c>
      <c r="AI208" s="0">
        <f>AH208*1.2</f>
        <v/>
      </c>
    </row>
    <row r="209">
      <c r="A209" s="26" t="n"/>
      <c r="B209" s="169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>
        <f>AG209</f>
        <v/>
      </c>
      <c r="T209" s="26">
        <f>AI209+Q209+P209</f>
        <v/>
      </c>
      <c r="U209" s="26" t="n"/>
      <c r="V209" s="26" t="n"/>
      <c r="W209" s="169" t="n"/>
      <c r="X209" s="26" t="n"/>
      <c r="Y209" s="26" t="n"/>
      <c r="Z209" s="26" t="n"/>
      <c r="AA209" s="26" t="n"/>
      <c r="AD209" s="0">
        <f>SUM(Y209,AA209,AC209)</f>
        <v/>
      </c>
      <c r="AE209" s="0">
        <f>X209*Y209+Z209*AA209+AB209*AC209</f>
        <v/>
      </c>
      <c r="AF209" s="0">
        <f>TEXTJOIN(", ",TRUE,IF(AND(X209&gt;0,Y209&gt;0),TEXT(X209,"0.00")&amp;"ct x "&amp;Y209,""),IF(AND(Z209&gt;0,AA209&gt;0),TEXT(Z209,"0.00")&amp;"ct x "&amp;AA209,""),IF(AND(AB209&gt;0,AC209&gt;0),TEXT(AB209,"0.00")&amp;"ct x "&amp;AC209,""))</f>
        <v/>
      </c>
      <c r="AG209" s="0">
        <f>X209*Y209*SUMIFS($AM$2:$AM$11,$AK$2:$AK$11,"&lt;="&amp;X209,$AL$2:$AL$11,"&gt;="&amp;X209)+Z209*AA209*SUMIFS($AM$2:$AM$11,$AK$2:$AK$11,"&lt;="&amp;Z209,$AL$2:$AL$11,"&gt;="&amp;Z209)+AB209*AC209*SUMIFS($AM$2:$AM$11,$AK$2:$AK$11,"&lt;="&amp;AB209,$AL$2:$AL$11,"&gt;="&amp;AB209)</f>
        <v/>
      </c>
      <c r="AH209" s="0">
        <f>AG209*(1-40%)</f>
        <v/>
      </c>
      <c r="AI209" s="0">
        <f>AH209*1.2</f>
        <v/>
      </c>
    </row>
    <row r="210">
      <c r="A210" s="26" t="n"/>
      <c r="B210" s="169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>
        <f>AG210</f>
        <v/>
      </c>
      <c r="T210" s="26">
        <f>AI210+Q210+P210</f>
        <v/>
      </c>
      <c r="U210" s="26" t="n"/>
      <c r="V210" s="26" t="n"/>
      <c r="W210" s="169" t="n"/>
      <c r="X210" s="26" t="n"/>
      <c r="Y210" s="26" t="n"/>
      <c r="Z210" s="26" t="n"/>
      <c r="AA210" s="26" t="n"/>
      <c r="AD210" s="0">
        <f>SUM(Y210,AA210,AC210)</f>
        <v/>
      </c>
      <c r="AE210" s="0">
        <f>X210*Y210+Z210*AA210+AB210*AC210</f>
        <v/>
      </c>
      <c r="AF210" s="0">
        <f>TEXTJOIN(", ",TRUE,IF(AND(X210&gt;0,Y210&gt;0),TEXT(X210,"0.00")&amp;"ct x "&amp;Y210,""),IF(AND(Z210&gt;0,AA210&gt;0),TEXT(Z210,"0.00")&amp;"ct x "&amp;AA210,""),IF(AND(AB210&gt;0,AC210&gt;0),TEXT(AB210,"0.00")&amp;"ct x "&amp;AC210,""))</f>
        <v/>
      </c>
      <c r="AG210" s="0">
        <f>X210*Y210*SUMIFS($AM$2:$AM$11,$AK$2:$AK$11,"&lt;="&amp;X210,$AL$2:$AL$11,"&gt;="&amp;X210)+Z210*AA210*SUMIFS($AM$2:$AM$11,$AK$2:$AK$11,"&lt;="&amp;Z210,$AL$2:$AL$11,"&gt;="&amp;Z210)+AB210*AC210*SUMIFS($AM$2:$AM$11,$AK$2:$AK$11,"&lt;="&amp;AB210,$AL$2:$AL$11,"&gt;="&amp;AB210)</f>
        <v/>
      </c>
      <c r="AH210" s="0">
        <f>AG210*(1-40%)</f>
        <v/>
      </c>
      <c r="AI210" s="0">
        <f>AH210*1.2</f>
        <v/>
      </c>
    </row>
    <row r="211">
      <c r="A211" s="26" t="n"/>
      <c r="B211" s="169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>
        <f>AG211</f>
        <v/>
      </c>
      <c r="T211" s="26">
        <f>AI211+Q211+P211</f>
        <v/>
      </c>
      <c r="U211" s="26" t="n"/>
      <c r="V211" s="26" t="n"/>
      <c r="W211" s="169" t="n"/>
      <c r="X211" s="26" t="n"/>
      <c r="Y211" s="26" t="n"/>
      <c r="Z211" s="26" t="n"/>
      <c r="AA211" s="26" t="n"/>
      <c r="AD211" s="0">
        <f>SUM(Y211,AA211,AC211)</f>
        <v/>
      </c>
      <c r="AE211" s="0">
        <f>X211*Y211+Z211*AA211+AB211*AC211</f>
        <v/>
      </c>
      <c r="AF211" s="0">
        <f>TEXTJOIN(", ",TRUE,IF(AND(X211&gt;0,Y211&gt;0),TEXT(X211,"0.00")&amp;"ct x "&amp;Y211,""),IF(AND(Z211&gt;0,AA211&gt;0),TEXT(Z211,"0.00")&amp;"ct x "&amp;AA211,""),IF(AND(AB211&gt;0,AC211&gt;0),TEXT(AB211,"0.00")&amp;"ct x "&amp;AC211,""))</f>
        <v/>
      </c>
      <c r="AG211" s="0">
        <f>X211*Y211*SUMIFS($AM$2:$AM$11,$AK$2:$AK$11,"&lt;="&amp;X211,$AL$2:$AL$11,"&gt;="&amp;X211)+Z211*AA211*SUMIFS($AM$2:$AM$11,$AK$2:$AK$11,"&lt;="&amp;Z211,$AL$2:$AL$11,"&gt;="&amp;Z211)+AB211*AC211*SUMIFS($AM$2:$AM$11,$AK$2:$AK$11,"&lt;="&amp;AB211,$AL$2:$AL$11,"&gt;="&amp;AB211)</f>
        <v/>
      </c>
      <c r="AH211" s="0">
        <f>AG211*(1-40%)</f>
        <v/>
      </c>
      <c r="AI211" s="0">
        <f>AH211*1.2</f>
        <v/>
      </c>
    </row>
    <row r="212">
      <c r="A212" s="26" t="n"/>
      <c r="B212" s="169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>
        <f>AG212</f>
        <v/>
      </c>
      <c r="T212" s="26">
        <f>AI212+Q212+P212</f>
        <v/>
      </c>
      <c r="U212" s="26" t="n"/>
      <c r="V212" s="26" t="n"/>
      <c r="W212" s="169" t="n"/>
      <c r="X212" s="26" t="n"/>
      <c r="Y212" s="26" t="n"/>
      <c r="Z212" s="26" t="n"/>
      <c r="AA212" s="26" t="n"/>
      <c r="AD212" s="0">
        <f>SUM(Y212,AA212,AC212)</f>
        <v/>
      </c>
      <c r="AE212" s="0">
        <f>X212*Y212+Z212*AA212+AB212*AC212</f>
        <v/>
      </c>
      <c r="AF212" s="0">
        <f>TEXTJOIN(", ",TRUE,IF(AND(X212&gt;0,Y212&gt;0),TEXT(X212,"0.00")&amp;"ct x "&amp;Y212,""),IF(AND(Z212&gt;0,AA212&gt;0),TEXT(Z212,"0.00")&amp;"ct x "&amp;AA212,""),IF(AND(AB212&gt;0,AC212&gt;0),TEXT(AB212,"0.00")&amp;"ct x "&amp;AC212,""))</f>
        <v/>
      </c>
      <c r="AG212" s="0">
        <f>X212*Y212*SUMIFS($AM$2:$AM$11,$AK$2:$AK$11,"&lt;="&amp;X212,$AL$2:$AL$11,"&gt;="&amp;X212)+Z212*AA212*SUMIFS($AM$2:$AM$11,$AK$2:$AK$11,"&lt;="&amp;Z212,$AL$2:$AL$11,"&gt;="&amp;Z212)+AB212*AC212*SUMIFS($AM$2:$AM$11,$AK$2:$AK$11,"&lt;="&amp;AB212,$AL$2:$AL$11,"&gt;="&amp;AB212)</f>
        <v/>
      </c>
      <c r="AH212" s="0">
        <f>AG212*(1-40%)</f>
        <v/>
      </c>
      <c r="AI212" s="0">
        <f>AH212*1.2</f>
        <v/>
      </c>
    </row>
    <row r="213">
      <c r="A213" s="26" t="n"/>
      <c r="B213" s="169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>
        <f>AG213</f>
        <v/>
      </c>
      <c r="T213" s="26">
        <f>AI213+Q213+P213</f>
        <v/>
      </c>
      <c r="U213" s="26" t="n"/>
      <c r="V213" s="26" t="n"/>
      <c r="W213" s="169" t="n"/>
      <c r="X213" s="26" t="n"/>
      <c r="Y213" s="26" t="n"/>
      <c r="Z213" s="26" t="n"/>
      <c r="AA213" s="26" t="n"/>
      <c r="AD213" s="0">
        <f>SUM(Y213,AA213,AC213)</f>
        <v/>
      </c>
      <c r="AE213" s="0">
        <f>X213*Y213+Z213*AA213+AB213*AC213</f>
        <v/>
      </c>
      <c r="AF213" s="0">
        <f>TEXTJOIN(", ",TRUE,IF(AND(X213&gt;0,Y213&gt;0),TEXT(X213,"0.00")&amp;"ct x "&amp;Y213,""),IF(AND(Z213&gt;0,AA213&gt;0),TEXT(Z213,"0.00")&amp;"ct x "&amp;AA213,""),IF(AND(AB213&gt;0,AC213&gt;0),TEXT(AB213,"0.00")&amp;"ct x "&amp;AC213,""))</f>
        <v/>
      </c>
      <c r="AG213" s="0">
        <f>X213*Y213*SUMIFS($AM$2:$AM$11,$AK$2:$AK$11,"&lt;="&amp;X213,$AL$2:$AL$11,"&gt;="&amp;X213)+Z213*AA213*SUMIFS($AM$2:$AM$11,$AK$2:$AK$11,"&lt;="&amp;Z213,$AL$2:$AL$11,"&gt;="&amp;Z213)+AB213*AC213*SUMIFS($AM$2:$AM$11,$AK$2:$AK$11,"&lt;="&amp;AB213,$AL$2:$AL$11,"&gt;="&amp;AB213)</f>
        <v/>
      </c>
      <c r="AH213" s="0">
        <f>AG213*(1-40%)</f>
        <v/>
      </c>
      <c r="AI213" s="0">
        <f>AH213*1.2</f>
        <v/>
      </c>
    </row>
    <row r="214">
      <c r="A214" s="26" t="n"/>
      <c r="B214" s="169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>
        <f>AG214</f>
        <v/>
      </c>
      <c r="T214" s="26">
        <f>AI214+Q214+P214</f>
        <v/>
      </c>
      <c r="U214" s="26" t="n"/>
      <c r="V214" s="26" t="n"/>
      <c r="W214" s="169" t="n"/>
      <c r="X214" s="26" t="n"/>
      <c r="Y214" s="26" t="n"/>
      <c r="Z214" s="26" t="n"/>
      <c r="AA214" s="26" t="n"/>
      <c r="AD214" s="0">
        <f>SUM(Y214,AA214,AC214)</f>
        <v/>
      </c>
      <c r="AE214" s="0">
        <f>X214*Y214+Z214*AA214+AB214*AC214</f>
        <v/>
      </c>
      <c r="AF214" s="0">
        <f>TEXTJOIN(", ",TRUE,IF(AND(X214&gt;0,Y214&gt;0),TEXT(X214,"0.00")&amp;"ct x "&amp;Y214,""),IF(AND(Z214&gt;0,AA214&gt;0),TEXT(Z214,"0.00")&amp;"ct x "&amp;AA214,""),IF(AND(AB214&gt;0,AC214&gt;0),TEXT(AB214,"0.00")&amp;"ct x "&amp;AC214,""))</f>
        <v/>
      </c>
      <c r="AG214" s="0">
        <f>X214*Y214*SUMIFS($AM$2:$AM$11,$AK$2:$AK$11,"&lt;="&amp;X214,$AL$2:$AL$11,"&gt;="&amp;X214)+Z214*AA214*SUMIFS($AM$2:$AM$11,$AK$2:$AK$11,"&lt;="&amp;Z214,$AL$2:$AL$11,"&gt;="&amp;Z214)+AB214*AC214*SUMIFS($AM$2:$AM$11,$AK$2:$AK$11,"&lt;="&amp;AB214,$AL$2:$AL$11,"&gt;="&amp;AB214)</f>
        <v/>
      </c>
      <c r="AH214" s="0">
        <f>AG214*(1-40%)</f>
        <v/>
      </c>
      <c r="AI214" s="0">
        <f>AH214*1.2</f>
        <v/>
      </c>
    </row>
    <row r="215">
      <c r="A215" s="26" t="n"/>
      <c r="B215" s="169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>
        <f>AG215</f>
        <v/>
      </c>
      <c r="T215" s="26">
        <f>AI215+Q215+P215</f>
        <v/>
      </c>
      <c r="U215" s="26" t="n"/>
      <c r="V215" s="26" t="n"/>
      <c r="W215" s="169" t="n"/>
      <c r="X215" s="26" t="n"/>
      <c r="Y215" s="26" t="n"/>
      <c r="Z215" s="26" t="n"/>
      <c r="AA215" s="26" t="n"/>
      <c r="AD215" s="0">
        <f>SUM(Y215,AA215,AC215)</f>
        <v/>
      </c>
      <c r="AE215" s="0">
        <f>X215*Y215+Z215*AA215+AB215*AC215</f>
        <v/>
      </c>
      <c r="AF215" s="0">
        <f>TEXTJOIN(", ",TRUE,IF(AND(X215&gt;0,Y215&gt;0),TEXT(X215,"0.00")&amp;"ct x "&amp;Y215,""),IF(AND(Z215&gt;0,AA215&gt;0),TEXT(Z215,"0.00")&amp;"ct x "&amp;AA215,""),IF(AND(AB215&gt;0,AC215&gt;0),TEXT(AB215,"0.00")&amp;"ct x "&amp;AC215,""))</f>
        <v/>
      </c>
      <c r="AG215" s="0">
        <f>X215*Y215*SUMIFS($AM$2:$AM$11,$AK$2:$AK$11,"&lt;="&amp;X215,$AL$2:$AL$11,"&gt;="&amp;X215)+Z215*AA215*SUMIFS($AM$2:$AM$11,$AK$2:$AK$11,"&lt;="&amp;Z215,$AL$2:$AL$11,"&gt;="&amp;Z215)+AB215*AC215*SUMIFS($AM$2:$AM$11,$AK$2:$AK$11,"&lt;="&amp;AB215,$AL$2:$AL$11,"&gt;="&amp;AB215)</f>
        <v/>
      </c>
      <c r="AH215" s="0">
        <f>AG215*(1-40%)</f>
        <v/>
      </c>
      <c r="AI215" s="0">
        <f>AH215*1.2</f>
        <v/>
      </c>
    </row>
    <row r="216">
      <c r="A216" s="26" t="n"/>
      <c r="B216" s="169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>
        <f>AG216</f>
        <v/>
      </c>
      <c r="T216" s="26">
        <f>AI216+Q216+P216</f>
        <v/>
      </c>
      <c r="U216" s="26" t="n"/>
      <c r="V216" s="26" t="n"/>
      <c r="W216" s="169" t="n"/>
      <c r="X216" s="26" t="n"/>
      <c r="Y216" s="26" t="n"/>
      <c r="Z216" s="26" t="n"/>
      <c r="AA216" s="26" t="n"/>
      <c r="AD216" s="0">
        <f>SUM(Y216,AA216,AC216)</f>
        <v/>
      </c>
      <c r="AE216" s="0">
        <f>X216*Y216+Z216*AA216+AB216*AC216</f>
        <v/>
      </c>
      <c r="AF216" s="0">
        <f>TEXTJOIN(", ",TRUE,IF(AND(X216&gt;0,Y216&gt;0),TEXT(X216,"0.00")&amp;"ct x "&amp;Y216,""),IF(AND(Z216&gt;0,AA216&gt;0),TEXT(Z216,"0.00")&amp;"ct x "&amp;AA216,""),IF(AND(AB216&gt;0,AC216&gt;0),TEXT(AB216,"0.00")&amp;"ct x "&amp;AC216,""))</f>
        <v/>
      </c>
      <c r="AG216" s="0">
        <f>X216*Y216*SUMIFS($AM$2:$AM$11,$AK$2:$AK$11,"&lt;="&amp;X216,$AL$2:$AL$11,"&gt;="&amp;X216)+Z216*AA216*SUMIFS($AM$2:$AM$11,$AK$2:$AK$11,"&lt;="&amp;Z216,$AL$2:$AL$11,"&gt;="&amp;Z216)+AB216*AC216*SUMIFS($AM$2:$AM$11,$AK$2:$AK$11,"&lt;="&amp;AB216,$AL$2:$AL$11,"&gt;="&amp;AB216)</f>
        <v/>
      </c>
      <c r="AH216" s="0">
        <f>AG216*(1-40%)</f>
        <v/>
      </c>
      <c r="AI216" s="0">
        <f>AH216*1.2</f>
        <v/>
      </c>
    </row>
    <row r="217">
      <c r="A217" s="26" t="n"/>
      <c r="B217" s="169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>
        <f>AG217</f>
        <v/>
      </c>
      <c r="T217" s="26">
        <f>AI217+Q217+P217</f>
        <v/>
      </c>
      <c r="U217" s="26" t="n"/>
      <c r="V217" s="26" t="n"/>
      <c r="W217" s="169" t="n"/>
      <c r="X217" s="26" t="n"/>
      <c r="Y217" s="26" t="n"/>
      <c r="Z217" s="26" t="n"/>
      <c r="AA217" s="26" t="n"/>
      <c r="AD217" s="0">
        <f>SUM(Y217,AA217,AC217)</f>
        <v/>
      </c>
      <c r="AE217" s="0">
        <f>X217*Y217+Z217*AA217+AB217*AC217</f>
        <v/>
      </c>
      <c r="AF217" s="0">
        <f>TEXTJOIN(", ",TRUE,IF(AND(X217&gt;0,Y217&gt;0),TEXT(X217,"0.00")&amp;"ct x "&amp;Y217,""),IF(AND(Z217&gt;0,AA217&gt;0),TEXT(Z217,"0.00")&amp;"ct x "&amp;AA217,""),IF(AND(AB217&gt;0,AC217&gt;0),TEXT(AB217,"0.00")&amp;"ct x "&amp;AC217,""))</f>
        <v/>
      </c>
      <c r="AG217" s="0">
        <f>X217*Y217*SUMIFS($AM$2:$AM$11,$AK$2:$AK$11,"&lt;="&amp;X217,$AL$2:$AL$11,"&gt;="&amp;X217)+Z217*AA217*SUMIFS($AM$2:$AM$11,$AK$2:$AK$11,"&lt;="&amp;Z217,$AL$2:$AL$11,"&gt;="&amp;Z217)+AB217*AC217*SUMIFS($AM$2:$AM$11,$AK$2:$AK$11,"&lt;="&amp;AB217,$AL$2:$AL$11,"&gt;="&amp;AB217)</f>
        <v/>
      </c>
      <c r="AH217" s="0">
        <f>AG217*(1-40%)</f>
        <v/>
      </c>
      <c r="AI217" s="0">
        <f>AH217*1.2</f>
        <v/>
      </c>
    </row>
    <row r="218">
      <c r="A218" s="26" t="n"/>
      <c r="B218" s="169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>
        <f>AG218</f>
        <v/>
      </c>
      <c r="T218" s="26">
        <f>AI218+Q218+P218</f>
        <v/>
      </c>
      <c r="U218" s="26" t="n"/>
      <c r="V218" s="26" t="n"/>
      <c r="W218" s="169" t="n"/>
      <c r="X218" s="26" t="n"/>
      <c r="Y218" s="26" t="n"/>
      <c r="Z218" s="26" t="n"/>
      <c r="AA218" s="26" t="n"/>
      <c r="AD218" s="0">
        <f>SUM(Y218,AA218,AC218)</f>
        <v/>
      </c>
      <c r="AE218" s="0">
        <f>X218*Y218+Z218*AA218+AB218*AC218</f>
        <v/>
      </c>
      <c r="AF218" s="0">
        <f>TEXTJOIN(", ",TRUE,IF(AND(X218&gt;0,Y218&gt;0),TEXT(X218,"0.00")&amp;"ct x "&amp;Y218,""),IF(AND(Z218&gt;0,AA218&gt;0),TEXT(Z218,"0.00")&amp;"ct x "&amp;AA218,""),IF(AND(AB218&gt;0,AC218&gt;0),TEXT(AB218,"0.00")&amp;"ct x "&amp;AC218,""))</f>
        <v/>
      </c>
      <c r="AG218" s="0">
        <f>X218*Y218*SUMIFS($AM$2:$AM$11,$AK$2:$AK$11,"&lt;="&amp;X218,$AL$2:$AL$11,"&gt;="&amp;X218)+Z218*AA218*SUMIFS($AM$2:$AM$11,$AK$2:$AK$11,"&lt;="&amp;Z218,$AL$2:$AL$11,"&gt;="&amp;Z218)+AB218*AC218*SUMIFS($AM$2:$AM$11,$AK$2:$AK$11,"&lt;="&amp;AB218,$AL$2:$AL$11,"&gt;="&amp;AB218)</f>
        <v/>
      </c>
      <c r="AH218" s="0">
        <f>AG218*(1-40%)</f>
        <v/>
      </c>
      <c r="AI218" s="0">
        <f>AH218*1.2</f>
        <v/>
      </c>
    </row>
    <row r="219">
      <c r="A219" s="26" t="n"/>
      <c r="B219" s="169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>
        <f>AG219</f>
        <v/>
      </c>
      <c r="T219" s="26">
        <f>AI219+Q219+P219</f>
        <v/>
      </c>
      <c r="U219" s="26" t="n"/>
      <c r="V219" s="26" t="n"/>
      <c r="W219" s="169" t="n"/>
      <c r="X219" s="26" t="n"/>
      <c r="Y219" s="26" t="n"/>
      <c r="Z219" s="26" t="n"/>
      <c r="AA219" s="26" t="n"/>
      <c r="AD219" s="0">
        <f>SUM(Y219,AA219,AC219)</f>
        <v/>
      </c>
      <c r="AE219" s="0">
        <f>X219*Y219+Z219*AA219+AB219*AC219</f>
        <v/>
      </c>
      <c r="AF219" s="0">
        <f>TEXTJOIN(", ",TRUE,IF(AND(X219&gt;0,Y219&gt;0),TEXT(X219,"0.00")&amp;"ct x "&amp;Y219,""),IF(AND(Z219&gt;0,AA219&gt;0),TEXT(Z219,"0.00")&amp;"ct x "&amp;AA219,""),IF(AND(AB219&gt;0,AC219&gt;0),TEXT(AB219,"0.00")&amp;"ct x "&amp;AC219,""))</f>
        <v/>
      </c>
      <c r="AG219" s="0">
        <f>X219*Y219*SUMIFS($AM$2:$AM$11,$AK$2:$AK$11,"&lt;="&amp;X219,$AL$2:$AL$11,"&gt;="&amp;X219)+Z219*AA219*SUMIFS($AM$2:$AM$11,$AK$2:$AK$11,"&lt;="&amp;Z219,$AL$2:$AL$11,"&gt;="&amp;Z219)+AB219*AC219*SUMIFS($AM$2:$AM$11,$AK$2:$AK$11,"&lt;="&amp;AB219,$AL$2:$AL$11,"&gt;="&amp;AB219)</f>
        <v/>
      </c>
      <c r="AH219" s="0">
        <f>AG219*(1-40%)</f>
        <v/>
      </c>
      <c r="AI219" s="0">
        <f>AH219*1.2</f>
        <v/>
      </c>
    </row>
    <row r="220">
      <c r="A220" s="26" t="n"/>
      <c r="B220" s="169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>
        <f>AG220</f>
        <v/>
      </c>
      <c r="T220" s="26">
        <f>AI220+Q220+P220</f>
        <v/>
      </c>
      <c r="U220" s="26" t="n"/>
      <c r="V220" s="26" t="n"/>
      <c r="W220" s="169" t="n"/>
      <c r="X220" s="26" t="n"/>
      <c r="Y220" s="26" t="n"/>
      <c r="Z220" s="26" t="n"/>
      <c r="AA220" s="26" t="n"/>
      <c r="AD220" s="0">
        <f>SUM(Y220,AA220,AC220)</f>
        <v/>
      </c>
      <c r="AE220" s="0">
        <f>X220*Y220+Z220*AA220+AB220*AC220</f>
        <v/>
      </c>
      <c r="AF220" s="0">
        <f>TEXTJOIN(", ",TRUE,IF(AND(X220&gt;0,Y220&gt;0),TEXT(X220,"0.00")&amp;"ct x "&amp;Y220,""),IF(AND(Z220&gt;0,AA220&gt;0),TEXT(Z220,"0.00")&amp;"ct x "&amp;AA220,""),IF(AND(AB220&gt;0,AC220&gt;0),TEXT(AB220,"0.00")&amp;"ct x "&amp;AC220,""))</f>
        <v/>
      </c>
      <c r="AG220" s="0">
        <f>X220*Y220*SUMIFS($AM$2:$AM$11,$AK$2:$AK$11,"&lt;="&amp;X220,$AL$2:$AL$11,"&gt;="&amp;X220)+Z220*AA220*SUMIFS($AM$2:$AM$11,$AK$2:$AK$11,"&lt;="&amp;Z220,$AL$2:$AL$11,"&gt;="&amp;Z220)+AB220*AC220*SUMIFS($AM$2:$AM$11,$AK$2:$AK$11,"&lt;="&amp;AB220,$AL$2:$AL$11,"&gt;="&amp;AB220)</f>
        <v/>
      </c>
      <c r="AH220" s="0">
        <f>AG220*(1-40%)</f>
        <v/>
      </c>
      <c r="AI220" s="0">
        <f>AH220*1.2</f>
        <v/>
      </c>
    </row>
    <row r="221">
      <c r="A221" s="26" t="n"/>
      <c r="B221" s="169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>
        <f>AG221</f>
        <v/>
      </c>
      <c r="T221" s="26">
        <f>AI221+Q221+P221</f>
        <v/>
      </c>
      <c r="U221" s="26" t="n"/>
      <c r="V221" s="26" t="n"/>
      <c r="W221" s="169" t="n"/>
      <c r="X221" s="26" t="n"/>
      <c r="Y221" s="26" t="n"/>
      <c r="Z221" s="26" t="n"/>
      <c r="AA221" s="26" t="n"/>
      <c r="AD221" s="0">
        <f>SUM(Y221,AA221,AC221)</f>
        <v/>
      </c>
      <c r="AE221" s="0">
        <f>X221*Y221+Z221*AA221+AB221*AC221</f>
        <v/>
      </c>
      <c r="AF221" s="0">
        <f>TEXTJOIN(", ",TRUE,IF(AND(X221&gt;0,Y221&gt;0),TEXT(X221,"0.00")&amp;"ct x "&amp;Y221,""),IF(AND(Z221&gt;0,AA221&gt;0),TEXT(Z221,"0.00")&amp;"ct x "&amp;AA221,""),IF(AND(AB221&gt;0,AC221&gt;0),TEXT(AB221,"0.00")&amp;"ct x "&amp;AC221,""))</f>
        <v/>
      </c>
      <c r="AG221" s="0">
        <f>X221*Y221*SUMIFS($AM$2:$AM$11,$AK$2:$AK$11,"&lt;="&amp;X221,$AL$2:$AL$11,"&gt;="&amp;X221)+Z221*AA221*SUMIFS($AM$2:$AM$11,$AK$2:$AK$11,"&lt;="&amp;Z221,$AL$2:$AL$11,"&gt;="&amp;Z221)+AB221*AC221*SUMIFS($AM$2:$AM$11,$AK$2:$AK$11,"&lt;="&amp;AB221,$AL$2:$AL$11,"&gt;="&amp;AB221)</f>
        <v/>
      </c>
      <c r="AH221" s="0">
        <f>AG221*(1-40%)</f>
        <v/>
      </c>
      <c r="AI221" s="0">
        <f>AH221*1.2</f>
        <v/>
      </c>
    </row>
    <row r="222">
      <c r="A222" s="26" t="n"/>
      <c r="B222" s="169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>
        <f>AG222</f>
        <v/>
      </c>
      <c r="T222" s="26">
        <f>AI222+Q222+P222</f>
        <v/>
      </c>
      <c r="U222" s="26" t="n"/>
      <c r="V222" s="26" t="n"/>
      <c r="W222" s="169" t="n"/>
      <c r="X222" s="26" t="n"/>
      <c r="Y222" s="26" t="n"/>
      <c r="Z222" s="26" t="n"/>
      <c r="AA222" s="26" t="n"/>
      <c r="AD222" s="0">
        <f>SUM(Y222,AA222,AC222)</f>
        <v/>
      </c>
      <c r="AE222" s="0">
        <f>X222*Y222+Z222*AA222+AB222*AC222</f>
        <v/>
      </c>
      <c r="AF222" s="0">
        <f>TEXTJOIN(", ",TRUE,IF(AND(X222&gt;0,Y222&gt;0),TEXT(X222,"0.00")&amp;"ct x "&amp;Y222,""),IF(AND(Z222&gt;0,AA222&gt;0),TEXT(Z222,"0.00")&amp;"ct x "&amp;AA222,""),IF(AND(AB222&gt;0,AC222&gt;0),TEXT(AB222,"0.00")&amp;"ct x "&amp;AC222,""))</f>
        <v/>
      </c>
      <c r="AG222" s="0">
        <f>X222*Y222*SUMIFS($AM$2:$AM$11,$AK$2:$AK$11,"&lt;="&amp;X222,$AL$2:$AL$11,"&gt;="&amp;X222)+Z222*AA222*SUMIFS($AM$2:$AM$11,$AK$2:$AK$11,"&lt;="&amp;Z222,$AL$2:$AL$11,"&gt;="&amp;Z222)+AB222*AC222*SUMIFS($AM$2:$AM$11,$AK$2:$AK$11,"&lt;="&amp;AB222,$AL$2:$AL$11,"&gt;="&amp;AB222)</f>
        <v/>
      </c>
      <c r="AH222" s="0">
        <f>AG222*(1-40%)</f>
        <v/>
      </c>
      <c r="AI222" s="0">
        <f>AH222*1.2</f>
        <v/>
      </c>
    </row>
    <row r="223">
      <c r="A223" s="26" t="n"/>
      <c r="B223" s="169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>
        <f>AG223</f>
        <v/>
      </c>
      <c r="T223" s="26">
        <f>AI223+Q223+P223</f>
        <v/>
      </c>
      <c r="U223" s="26" t="n"/>
      <c r="V223" s="26" t="n"/>
      <c r="W223" s="169" t="n"/>
      <c r="X223" s="26" t="n"/>
      <c r="Y223" s="26" t="n"/>
      <c r="Z223" s="26" t="n"/>
      <c r="AA223" s="26" t="n"/>
      <c r="AD223" s="0">
        <f>SUM(Y223,AA223,AC223)</f>
        <v/>
      </c>
      <c r="AE223" s="0">
        <f>X223*Y223+Z223*AA223+AB223*AC223</f>
        <v/>
      </c>
      <c r="AF223" s="0">
        <f>TEXTJOIN(", ",TRUE,IF(AND(X223&gt;0,Y223&gt;0),TEXT(X223,"0.00")&amp;"ct x "&amp;Y223,""),IF(AND(Z223&gt;0,AA223&gt;0),TEXT(Z223,"0.00")&amp;"ct x "&amp;AA223,""),IF(AND(AB223&gt;0,AC223&gt;0),TEXT(AB223,"0.00")&amp;"ct x "&amp;AC223,""))</f>
        <v/>
      </c>
      <c r="AG223" s="0">
        <f>X223*Y223*SUMIFS($AM$2:$AM$11,$AK$2:$AK$11,"&lt;="&amp;X223,$AL$2:$AL$11,"&gt;="&amp;X223)+Z223*AA223*SUMIFS($AM$2:$AM$11,$AK$2:$AK$11,"&lt;="&amp;Z223,$AL$2:$AL$11,"&gt;="&amp;Z223)+AB223*AC223*SUMIFS($AM$2:$AM$11,$AK$2:$AK$11,"&lt;="&amp;AB223,$AL$2:$AL$11,"&gt;="&amp;AB223)</f>
        <v/>
      </c>
      <c r="AH223" s="0">
        <f>AG223*(1-40%)</f>
        <v/>
      </c>
      <c r="AI223" s="0">
        <f>AH223*1.2</f>
        <v/>
      </c>
    </row>
    <row r="224">
      <c r="A224" s="26" t="n"/>
      <c r="B224" s="169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>
        <f>AG224</f>
        <v/>
      </c>
      <c r="T224" s="26">
        <f>AI224+Q224+P224</f>
        <v/>
      </c>
      <c r="U224" s="26" t="n"/>
      <c r="V224" s="26" t="n"/>
      <c r="W224" s="169" t="n"/>
      <c r="X224" s="26" t="n"/>
      <c r="Y224" s="26" t="n"/>
      <c r="Z224" s="26" t="n"/>
      <c r="AA224" s="26" t="n"/>
      <c r="AD224" s="0">
        <f>SUM(Y224,AA224,AC224)</f>
        <v/>
      </c>
      <c r="AE224" s="0">
        <f>X224*Y224+Z224*AA224+AB224*AC224</f>
        <v/>
      </c>
      <c r="AF224" s="0">
        <f>TEXTJOIN(", ",TRUE,IF(AND(X224&gt;0,Y224&gt;0),TEXT(X224,"0.00")&amp;"ct x "&amp;Y224,""),IF(AND(Z224&gt;0,AA224&gt;0),TEXT(Z224,"0.00")&amp;"ct x "&amp;AA224,""),IF(AND(AB224&gt;0,AC224&gt;0),TEXT(AB224,"0.00")&amp;"ct x "&amp;AC224,""))</f>
        <v/>
      </c>
      <c r="AG224" s="0">
        <f>X224*Y224*SUMIFS($AM$2:$AM$11,$AK$2:$AK$11,"&lt;="&amp;X224,$AL$2:$AL$11,"&gt;="&amp;X224)+Z224*AA224*SUMIFS($AM$2:$AM$11,$AK$2:$AK$11,"&lt;="&amp;Z224,$AL$2:$AL$11,"&gt;="&amp;Z224)+AB224*AC224*SUMIFS($AM$2:$AM$11,$AK$2:$AK$11,"&lt;="&amp;AB224,$AL$2:$AL$11,"&gt;="&amp;AB224)</f>
        <v/>
      </c>
      <c r="AH224" s="0">
        <f>AG224*(1-40%)</f>
        <v/>
      </c>
      <c r="AI224" s="0">
        <f>AH224*1.2</f>
        <v/>
      </c>
    </row>
    <row r="225">
      <c r="A225" s="26" t="n"/>
      <c r="B225" s="169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>
        <f>AG225</f>
        <v/>
      </c>
      <c r="T225" s="26">
        <f>AI225+Q225+P225</f>
        <v/>
      </c>
      <c r="U225" s="26" t="n"/>
      <c r="V225" s="26" t="n"/>
      <c r="W225" s="169" t="n"/>
      <c r="X225" s="26" t="n"/>
      <c r="Y225" s="26" t="n"/>
      <c r="Z225" s="26" t="n"/>
      <c r="AA225" s="26" t="n"/>
      <c r="AD225" s="0">
        <f>SUM(Y225,AA225,AC225)</f>
        <v/>
      </c>
      <c r="AE225" s="0">
        <f>X225*Y225+Z225*AA225+AB225*AC225</f>
        <v/>
      </c>
      <c r="AF225" s="0">
        <f>TEXTJOIN(", ",TRUE,IF(AND(X225&gt;0,Y225&gt;0),TEXT(X225,"0.00")&amp;"ct x "&amp;Y225,""),IF(AND(Z225&gt;0,AA225&gt;0),TEXT(Z225,"0.00")&amp;"ct x "&amp;AA225,""),IF(AND(AB225&gt;0,AC225&gt;0),TEXT(AB225,"0.00")&amp;"ct x "&amp;AC225,""))</f>
        <v/>
      </c>
      <c r="AG225" s="0">
        <f>X225*Y225*SUMIFS($AM$2:$AM$11,$AK$2:$AK$11,"&lt;="&amp;X225,$AL$2:$AL$11,"&gt;="&amp;X225)+Z225*AA225*SUMIFS($AM$2:$AM$11,$AK$2:$AK$11,"&lt;="&amp;Z225,$AL$2:$AL$11,"&gt;="&amp;Z225)+AB225*AC225*SUMIFS($AM$2:$AM$11,$AK$2:$AK$11,"&lt;="&amp;AB225,$AL$2:$AL$11,"&gt;="&amp;AB225)</f>
        <v/>
      </c>
      <c r="AH225" s="0">
        <f>AG225*(1-40%)</f>
        <v/>
      </c>
      <c r="AI225" s="0">
        <f>AH225*1.2</f>
        <v/>
      </c>
    </row>
    <row r="226">
      <c r="A226" s="26" t="n"/>
      <c r="B226" s="169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>
        <f>AG226</f>
        <v/>
      </c>
      <c r="T226" s="26">
        <f>AI226+Q226+P226</f>
        <v/>
      </c>
      <c r="U226" s="26" t="n"/>
      <c r="V226" s="26" t="n"/>
      <c r="W226" s="169" t="n"/>
      <c r="X226" s="26" t="n"/>
      <c r="Y226" s="26" t="n"/>
      <c r="Z226" s="26" t="n"/>
      <c r="AA226" s="26" t="n"/>
      <c r="AD226" s="0">
        <f>SUM(Y226,AA226,AC226)</f>
        <v/>
      </c>
      <c r="AE226" s="0">
        <f>X226*Y226+Z226*AA226+AB226*AC226</f>
        <v/>
      </c>
      <c r="AF226" s="0">
        <f>TEXTJOIN(", ",TRUE,IF(AND(X226&gt;0,Y226&gt;0),TEXT(X226,"0.00")&amp;"ct x "&amp;Y226,""),IF(AND(Z226&gt;0,AA226&gt;0),TEXT(Z226,"0.00")&amp;"ct x "&amp;AA226,""),IF(AND(AB226&gt;0,AC226&gt;0),TEXT(AB226,"0.00")&amp;"ct x "&amp;AC226,""))</f>
        <v/>
      </c>
      <c r="AG226" s="0">
        <f>X226*Y226*SUMIFS($AM$2:$AM$11,$AK$2:$AK$11,"&lt;="&amp;X226,$AL$2:$AL$11,"&gt;="&amp;X226)+Z226*AA226*SUMIFS($AM$2:$AM$11,$AK$2:$AK$11,"&lt;="&amp;Z226,$AL$2:$AL$11,"&gt;="&amp;Z226)+AB226*AC226*SUMIFS($AM$2:$AM$11,$AK$2:$AK$11,"&lt;="&amp;AB226,$AL$2:$AL$11,"&gt;="&amp;AB226)</f>
        <v/>
      </c>
      <c r="AH226" s="0">
        <f>AG226*(1-40%)</f>
        <v/>
      </c>
      <c r="AI226" s="0">
        <f>AH226*1.2</f>
        <v/>
      </c>
    </row>
    <row r="227">
      <c r="A227" s="26" t="n"/>
      <c r="B227" s="169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>
        <f>AG227</f>
        <v/>
      </c>
      <c r="T227" s="26">
        <f>AI227+Q227+P227</f>
        <v/>
      </c>
      <c r="U227" s="26" t="n"/>
      <c r="V227" s="26" t="n"/>
      <c r="W227" s="169" t="n"/>
      <c r="X227" s="26" t="n"/>
      <c r="Y227" s="26" t="n"/>
      <c r="Z227" s="26" t="n"/>
      <c r="AA227" s="26" t="n"/>
      <c r="AD227" s="0">
        <f>SUM(Y227,AA227,AC227)</f>
        <v/>
      </c>
      <c r="AE227" s="0">
        <f>X227*Y227+Z227*AA227+AB227*AC227</f>
        <v/>
      </c>
      <c r="AF227" s="0">
        <f>TEXTJOIN(", ",TRUE,IF(AND(X227&gt;0,Y227&gt;0),TEXT(X227,"0.00")&amp;"ct x "&amp;Y227,""),IF(AND(Z227&gt;0,AA227&gt;0),TEXT(Z227,"0.00")&amp;"ct x "&amp;AA227,""),IF(AND(AB227&gt;0,AC227&gt;0),TEXT(AB227,"0.00")&amp;"ct x "&amp;AC227,""))</f>
        <v/>
      </c>
      <c r="AG227" s="0">
        <f>X227*Y227*SUMIFS($AM$2:$AM$11,$AK$2:$AK$11,"&lt;="&amp;X227,$AL$2:$AL$11,"&gt;="&amp;X227)+Z227*AA227*SUMIFS($AM$2:$AM$11,$AK$2:$AK$11,"&lt;="&amp;Z227,$AL$2:$AL$11,"&gt;="&amp;Z227)+AB227*AC227*SUMIFS($AM$2:$AM$11,$AK$2:$AK$11,"&lt;="&amp;AB227,$AL$2:$AL$11,"&gt;="&amp;AB227)</f>
        <v/>
      </c>
      <c r="AH227" s="0">
        <f>AG227*(1-40%)</f>
        <v/>
      </c>
      <c r="AI227" s="0">
        <f>AH227*1.2</f>
        <v/>
      </c>
    </row>
    <row r="228">
      <c r="A228" s="26" t="n"/>
      <c r="B228" s="169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>
        <f>AG228</f>
        <v/>
      </c>
      <c r="T228" s="26">
        <f>AI228+Q228+P228</f>
        <v/>
      </c>
      <c r="U228" s="26" t="n"/>
      <c r="V228" s="26" t="n"/>
      <c r="W228" s="169" t="n"/>
      <c r="X228" s="26" t="n"/>
      <c r="Y228" s="26" t="n"/>
      <c r="Z228" s="26" t="n"/>
      <c r="AA228" s="26" t="n"/>
      <c r="AD228" s="0">
        <f>SUM(Y228,AA228,AC228)</f>
        <v/>
      </c>
      <c r="AE228" s="0">
        <f>X228*Y228+Z228*AA228+AB228*AC228</f>
        <v/>
      </c>
      <c r="AF228" s="0">
        <f>TEXTJOIN(", ",TRUE,IF(AND(X228&gt;0,Y228&gt;0),TEXT(X228,"0.00")&amp;"ct x "&amp;Y228,""),IF(AND(Z228&gt;0,AA228&gt;0),TEXT(Z228,"0.00")&amp;"ct x "&amp;AA228,""),IF(AND(AB228&gt;0,AC228&gt;0),TEXT(AB228,"0.00")&amp;"ct x "&amp;AC228,""))</f>
        <v/>
      </c>
      <c r="AG228" s="0">
        <f>X228*Y228*SUMIFS($AM$2:$AM$11,$AK$2:$AK$11,"&lt;="&amp;X228,$AL$2:$AL$11,"&gt;="&amp;X228)+Z228*AA228*SUMIFS($AM$2:$AM$11,$AK$2:$AK$11,"&lt;="&amp;Z228,$AL$2:$AL$11,"&gt;="&amp;Z228)+AB228*AC228*SUMIFS($AM$2:$AM$11,$AK$2:$AK$11,"&lt;="&amp;AB228,$AL$2:$AL$11,"&gt;="&amp;AB228)</f>
        <v/>
      </c>
      <c r="AH228" s="0">
        <f>AG228*(1-40%)</f>
        <v/>
      </c>
      <c r="AI228" s="0">
        <f>AH228*1.2</f>
        <v/>
      </c>
    </row>
    <row r="229">
      <c r="A229" s="26" t="n"/>
      <c r="B229" s="169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>
        <f>AG229</f>
        <v/>
      </c>
      <c r="T229" s="26">
        <f>AI229+Q229+P229</f>
        <v/>
      </c>
      <c r="U229" s="26" t="n"/>
      <c r="V229" s="26" t="n"/>
      <c r="W229" s="169" t="n"/>
      <c r="X229" s="26" t="n"/>
      <c r="Y229" s="26" t="n"/>
      <c r="Z229" s="26" t="n"/>
      <c r="AA229" s="26" t="n"/>
      <c r="AD229" s="0">
        <f>SUM(Y229,AA229,AC229)</f>
        <v/>
      </c>
      <c r="AE229" s="0">
        <f>X229*Y229+Z229*AA229+AB229*AC229</f>
        <v/>
      </c>
      <c r="AF229" s="0">
        <f>TEXTJOIN(", ",TRUE,IF(AND(X229&gt;0,Y229&gt;0),TEXT(X229,"0.00")&amp;"ct x "&amp;Y229,""),IF(AND(Z229&gt;0,AA229&gt;0),TEXT(Z229,"0.00")&amp;"ct x "&amp;AA229,""),IF(AND(AB229&gt;0,AC229&gt;0),TEXT(AB229,"0.00")&amp;"ct x "&amp;AC229,""))</f>
        <v/>
      </c>
      <c r="AG229" s="0">
        <f>X229*Y229*SUMIFS($AM$2:$AM$11,$AK$2:$AK$11,"&lt;="&amp;X229,$AL$2:$AL$11,"&gt;="&amp;X229)+Z229*AA229*SUMIFS($AM$2:$AM$11,$AK$2:$AK$11,"&lt;="&amp;Z229,$AL$2:$AL$11,"&gt;="&amp;Z229)+AB229*AC229*SUMIFS($AM$2:$AM$11,$AK$2:$AK$11,"&lt;="&amp;AB229,$AL$2:$AL$11,"&gt;="&amp;AB229)</f>
        <v/>
      </c>
      <c r="AH229" s="0">
        <f>AG229*(1-40%)</f>
        <v/>
      </c>
      <c r="AI229" s="0">
        <f>AH229*1.2</f>
        <v/>
      </c>
    </row>
    <row r="230">
      <c r="A230" s="26" t="n"/>
      <c r="B230" s="169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>
        <f>AG230</f>
        <v/>
      </c>
      <c r="T230" s="26">
        <f>AI230+Q230+P230</f>
        <v/>
      </c>
      <c r="U230" s="26" t="n"/>
      <c r="V230" s="26" t="n"/>
      <c r="W230" s="169" t="n"/>
      <c r="X230" s="26" t="n"/>
      <c r="Y230" s="26" t="n"/>
      <c r="Z230" s="26" t="n"/>
      <c r="AA230" s="26" t="n"/>
      <c r="AD230" s="0">
        <f>SUM(Y230,AA230,AC230)</f>
        <v/>
      </c>
      <c r="AE230" s="0">
        <f>X230*Y230+Z230*AA230+AB230*AC230</f>
        <v/>
      </c>
      <c r="AF230" s="0">
        <f>TEXTJOIN(", ",TRUE,IF(AND(X230&gt;0,Y230&gt;0),TEXT(X230,"0.00")&amp;"ct x "&amp;Y230,""),IF(AND(Z230&gt;0,AA230&gt;0),TEXT(Z230,"0.00")&amp;"ct x "&amp;AA230,""),IF(AND(AB230&gt;0,AC230&gt;0),TEXT(AB230,"0.00")&amp;"ct x "&amp;AC230,""))</f>
        <v/>
      </c>
      <c r="AG230" s="0">
        <f>X230*Y230*SUMIFS($AM$2:$AM$11,$AK$2:$AK$11,"&lt;="&amp;X230,$AL$2:$AL$11,"&gt;="&amp;X230)+Z230*AA230*SUMIFS($AM$2:$AM$11,$AK$2:$AK$11,"&lt;="&amp;Z230,$AL$2:$AL$11,"&gt;="&amp;Z230)+AB230*AC230*SUMIFS($AM$2:$AM$11,$AK$2:$AK$11,"&lt;="&amp;AB230,$AL$2:$AL$11,"&gt;="&amp;AB230)</f>
        <v/>
      </c>
      <c r="AH230" s="0">
        <f>AG230*(1-40%)</f>
        <v/>
      </c>
      <c r="AI230" s="0">
        <f>AH230*1.2</f>
        <v/>
      </c>
    </row>
    <row r="231">
      <c r="A231" s="26" t="n"/>
      <c r="B231" s="169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>
        <f>AG231</f>
        <v/>
      </c>
      <c r="T231" s="26">
        <f>AI231+Q231+P231</f>
        <v/>
      </c>
      <c r="U231" s="26" t="n"/>
      <c r="V231" s="26" t="n"/>
      <c r="W231" s="169" t="n"/>
      <c r="X231" s="26" t="n"/>
      <c r="Y231" s="26" t="n"/>
      <c r="Z231" s="26" t="n"/>
      <c r="AA231" s="26" t="n"/>
      <c r="AD231" s="0">
        <f>SUM(Y231,AA231,AC231)</f>
        <v/>
      </c>
      <c r="AE231" s="0">
        <f>X231*Y231+Z231*AA231+AB231*AC231</f>
        <v/>
      </c>
      <c r="AF231" s="0">
        <f>TEXTJOIN(", ",TRUE,IF(AND(X231&gt;0,Y231&gt;0),TEXT(X231,"0.00")&amp;"ct x "&amp;Y231,""),IF(AND(Z231&gt;0,AA231&gt;0),TEXT(Z231,"0.00")&amp;"ct x "&amp;AA231,""),IF(AND(AB231&gt;0,AC231&gt;0),TEXT(AB231,"0.00")&amp;"ct x "&amp;AC231,""))</f>
        <v/>
      </c>
      <c r="AG231" s="0">
        <f>X231*Y231*SUMIFS($AM$2:$AM$11,$AK$2:$AK$11,"&lt;="&amp;X231,$AL$2:$AL$11,"&gt;="&amp;X231)+Z231*AA231*SUMIFS($AM$2:$AM$11,$AK$2:$AK$11,"&lt;="&amp;Z231,$AL$2:$AL$11,"&gt;="&amp;Z231)+AB231*AC231*SUMIFS($AM$2:$AM$11,$AK$2:$AK$11,"&lt;="&amp;AB231,$AL$2:$AL$11,"&gt;="&amp;AB231)</f>
        <v/>
      </c>
      <c r="AH231" s="0">
        <f>AG231*(1-40%)</f>
        <v/>
      </c>
      <c r="AI231" s="0">
        <f>AH231*1.2</f>
        <v/>
      </c>
    </row>
    <row r="232">
      <c r="A232" s="26" t="n"/>
      <c r="B232" s="169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>
        <f>AG232</f>
        <v/>
      </c>
      <c r="T232" s="26">
        <f>AI232+Q232+P232</f>
        <v/>
      </c>
      <c r="U232" s="26" t="n"/>
      <c r="V232" s="26" t="n"/>
      <c r="W232" s="169" t="n"/>
      <c r="X232" s="26" t="n"/>
      <c r="Y232" s="26" t="n"/>
      <c r="Z232" s="26" t="n"/>
      <c r="AA232" s="26" t="n"/>
      <c r="AD232" s="0">
        <f>SUM(Y232,AA232,AC232)</f>
        <v/>
      </c>
      <c r="AE232" s="0">
        <f>X232*Y232+Z232*AA232+AB232*AC232</f>
        <v/>
      </c>
      <c r="AF232" s="0">
        <f>TEXTJOIN(", ",TRUE,IF(AND(X232&gt;0,Y232&gt;0),TEXT(X232,"0.00")&amp;"ct x "&amp;Y232,""),IF(AND(Z232&gt;0,AA232&gt;0),TEXT(Z232,"0.00")&amp;"ct x "&amp;AA232,""),IF(AND(AB232&gt;0,AC232&gt;0),TEXT(AB232,"0.00")&amp;"ct x "&amp;AC232,""))</f>
        <v/>
      </c>
      <c r="AG232" s="0">
        <f>X232*Y232*SUMIFS($AM$2:$AM$11,$AK$2:$AK$11,"&lt;="&amp;X232,$AL$2:$AL$11,"&gt;="&amp;X232)+Z232*AA232*SUMIFS($AM$2:$AM$11,$AK$2:$AK$11,"&lt;="&amp;Z232,$AL$2:$AL$11,"&gt;="&amp;Z232)+AB232*AC232*SUMIFS($AM$2:$AM$11,$AK$2:$AK$11,"&lt;="&amp;AB232,$AL$2:$AL$11,"&gt;="&amp;AB232)</f>
        <v/>
      </c>
      <c r="AH232" s="0">
        <f>AG232*(1-40%)</f>
        <v/>
      </c>
      <c r="AI232" s="0">
        <f>AH232*1.2</f>
        <v/>
      </c>
    </row>
    <row r="233">
      <c r="A233" s="26" t="n"/>
      <c r="B233" s="169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>
        <f>AG233</f>
        <v/>
      </c>
      <c r="T233" s="26">
        <f>AI233+Q233+P233</f>
        <v/>
      </c>
      <c r="U233" s="26" t="n"/>
      <c r="V233" s="26" t="n"/>
      <c r="W233" s="169" t="n"/>
      <c r="X233" s="26" t="n"/>
      <c r="Y233" s="26" t="n"/>
      <c r="Z233" s="26" t="n"/>
      <c r="AA233" s="26" t="n"/>
      <c r="AD233" s="0">
        <f>SUM(Y233,AA233,AC233)</f>
        <v/>
      </c>
      <c r="AE233" s="0">
        <f>X233*Y233+Z233*AA233+AB233*AC233</f>
        <v/>
      </c>
      <c r="AF233" s="0">
        <f>TEXTJOIN(", ",TRUE,IF(AND(X233&gt;0,Y233&gt;0),TEXT(X233,"0.00")&amp;"ct x "&amp;Y233,""),IF(AND(Z233&gt;0,AA233&gt;0),TEXT(Z233,"0.00")&amp;"ct x "&amp;AA233,""),IF(AND(AB233&gt;0,AC233&gt;0),TEXT(AB233,"0.00")&amp;"ct x "&amp;AC233,""))</f>
        <v/>
      </c>
      <c r="AG233" s="0">
        <f>X233*Y233*SUMIFS($AM$2:$AM$11,$AK$2:$AK$11,"&lt;="&amp;X233,$AL$2:$AL$11,"&gt;="&amp;X233)+Z233*AA233*SUMIFS($AM$2:$AM$11,$AK$2:$AK$11,"&lt;="&amp;Z233,$AL$2:$AL$11,"&gt;="&amp;Z233)+AB233*AC233*SUMIFS($AM$2:$AM$11,$AK$2:$AK$11,"&lt;="&amp;AB233,$AL$2:$AL$11,"&gt;="&amp;AB233)</f>
        <v/>
      </c>
      <c r="AH233" s="0">
        <f>AG233*(1-40%)</f>
        <v/>
      </c>
      <c r="AI233" s="0">
        <f>AH233*1.2</f>
        <v/>
      </c>
    </row>
    <row r="234">
      <c r="A234" s="26" t="n"/>
      <c r="B234" s="169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>
        <f>AG234</f>
        <v/>
      </c>
      <c r="T234" s="26">
        <f>AI234+Q234+P234</f>
        <v/>
      </c>
      <c r="U234" s="26" t="n"/>
      <c r="V234" s="26" t="n"/>
      <c r="W234" s="169" t="n"/>
      <c r="X234" s="26" t="n"/>
      <c r="Y234" s="26" t="n"/>
      <c r="Z234" s="26" t="n"/>
      <c r="AA234" s="26" t="n"/>
      <c r="AD234" s="0">
        <f>SUM(Y234,AA234,AC234)</f>
        <v/>
      </c>
      <c r="AE234" s="0">
        <f>X234*Y234+Z234*AA234+AB234*AC234</f>
        <v/>
      </c>
      <c r="AF234" s="0">
        <f>TEXTJOIN(", ",TRUE,IF(AND(X234&gt;0,Y234&gt;0),TEXT(X234,"0.00")&amp;"ct x "&amp;Y234,""),IF(AND(Z234&gt;0,AA234&gt;0),TEXT(Z234,"0.00")&amp;"ct x "&amp;AA234,""),IF(AND(AB234&gt;0,AC234&gt;0),TEXT(AB234,"0.00")&amp;"ct x "&amp;AC234,""))</f>
        <v/>
      </c>
      <c r="AG234" s="0">
        <f>X234*Y234*SUMIFS($AM$2:$AM$11,$AK$2:$AK$11,"&lt;="&amp;X234,$AL$2:$AL$11,"&gt;="&amp;X234)+Z234*AA234*SUMIFS($AM$2:$AM$11,$AK$2:$AK$11,"&lt;="&amp;Z234,$AL$2:$AL$11,"&gt;="&amp;Z234)+AB234*AC234*SUMIFS($AM$2:$AM$11,$AK$2:$AK$11,"&lt;="&amp;AB234,$AL$2:$AL$11,"&gt;="&amp;AB234)</f>
        <v/>
      </c>
      <c r="AH234" s="0">
        <f>AG234*(1-40%)</f>
        <v/>
      </c>
      <c r="AI234" s="0">
        <f>AH234*1.2</f>
        <v/>
      </c>
    </row>
    <row r="235">
      <c r="A235" s="26" t="n"/>
      <c r="B235" s="169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>
        <f>AG235</f>
        <v/>
      </c>
      <c r="T235" s="26">
        <f>AI235+Q235+P235</f>
        <v/>
      </c>
      <c r="U235" s="26" t="n"/>
      <c r="V235" s="26" t="n"/>
      <c r="W235" s="169" t="n"/>
      <c r="X235" s="26" t="n"/>
      <c r="Y235" s="26" t="n"/>
      <c r="Z235" s="26" t="n"/>
      <c r="AA235" s="26" t="n"/>
      <c r="AD235" s="0">
        <f>SUM(Y235,AA235,AC235)</f>
        <v/>
      </c>
      <c r="AE235" s="0">
        <f>X235*Y235+Z235*AA235+AB235*AC235</f>
        <v/>
      </c>
      <c r="AF235" s="0">
        <f>TEXTJOIN(", ",TRUE,IF(AND(X235&gt;0,Y235&gt;0),TEXT(X235,"0.00")&amp;"ct x "&amp;Y235,""),IF(AND(Z235&gt;0,AA235&gt;0),TEXT(Z235,"0.00")&amp;"ct x "&amp;AA235,""),IF(AND(AB235&gt;0,AC235&gt;0),TEXT(AB235,"0.00")&amp;"ct x "&amp;AC235,""))</f>
        <v/>
      </c>
      <c r="AG235" s="0">
        <f>X235*Y235*SUMIFS($AM$2:$AM$11,$AK$2:$AK$11,"&lt;="&amp;X235,$AL$2:$AL$11,"&gt;="&amp;X235)+Z235*AA235*SUMIFS($AM$2:$AM$11,$AK$2:$AK$11,"&lt;="&amp;Z235,$AL$2:$AL$11,"&gt;="&amp;Z235)+AB235*AC235*SUMIFS($AM$2:$AM$11,$AK$2:$AK$11,"&lt;="&amp;AB235,$AL$2:$AL$11,"&gt;="&amp;AB235)</f>
        <v/>
      </c>
      <c r="AH235" s="0">
        <f>AG235*(1-40%)</f>
        <v/>
      </c>
      <c r="AI235" s="0">
        <f>AH235*1.2</f>
        <v/>
      </c>
    </row>
    <row r="236">
      <c r="A236" s="26" t="n"/>
      <c r="B236" s="169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>
        <f>AG236</f>
        <v/>
      </c>
      <c r="T236" s="26">
        <f>AI236+Q236+P236</f>
        <v/>
      </c>
      <c r="U236" s="26" t="n"/>
      <c r="V236" s="26" t="n"/>
      <c r="W236" s="169" t="n"/>
      <c r="X236" s="26" t="n"/>
      <c r="Y236" s="26" t="n"/>
      <c r="Z236" s="26" t="n"/>
      <c r="AA236" s="26" t="n"/>
      <c r="AD236" s="0">
        <f>SUM(Y236,AA236,AC236)</f>
        <v/>
      </c>
      <c r="AE236" s="0">
        <f>X236*Y236+Z236*AA236+AB236*AC236</f>
        <v/>
      </c>
      <c r="AF236" s="0">
        <f>TEXTJOIN(", ",TRUE,IF(AND(X236&gt;0,Y236&gt;0),TEXT(X236,"0.00")&amp;"ct x "&amp;Y236,""),IF(AND(Z236&gt;0,AA236&gt;0),TEXT(Z236,"0.00")&amp;"ct x "&amp;AA236,""),IF(AND(AB236&gt;0,AC236&gt;0),TEXT(AB236,"0.00")&amp;"ct x "&amp;AC236,""))</f>
        <v/>
      </c>
      <c r="AG236" s="0">
        <f>X236*Y236*SUMIFS($AM$2:$AM$11,$AK$2:$AK$11,"&lt;="&amp;X236,$AL$2:$AL$11,"&gt;="&amp;X236)+Z236*AA236*SUMIFS($AM$2:$AM$11,$AK$2:$AK$11,"&lt;="&amp;Z236,$AL$2:$AL$11,"&gt;="&amp;Z236)+AB236*AC236*SUMIFS($AM$2:$AM$11,$AK$2:$AK$11,"&lt;="&amp;AB236,$AL$2:$AL$11,"&gt;="&amp;AB236)</f>
        <v/>
      </c>
      <c r="AH236" s="0">
        <f>AG236*(1-40%)</f>
        <v/>
      </c>
      <c r="AI236" s="0">
        <f>AH236*1.2</f>
        <v/>
      </c>
    </row>
    <row r="237">
      <c r="A237" s="26" t="n"/>
      <c r="B237" s="169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>
        <f>AG237</f>
        <v/>
      </c>
      <c r="T237" s="26">
        <f>AI237+Q237+P237</f>
        <v/>
      </c>
      <c r="U237" s="26" t="n"/>
      <c r="V237" s="26" t="n"/>
      <c r="W237" s="169" t="n"/>
      <c r="X237" s="26" t="n"/>
      <c r="Y237" s="26" t="n"/>
      <c r="Z237" s="26" t="n"/>
      <c r="AA237" s="26" t="n"/>
      <c r="AD237" s="0">
        <f>SUM(Y237,AA237,AC237)</f>
        <v/>
      </c>
      <c r="AE237" s="0">
        <f>X237*Y237+Z237*AA237+AB237*AC237</f>
        <v/>
      </c>
      <c r="AF237" s="0">
        <f>TEXTJOIN(", ",TRUE,IF(AND(X237&gt;0,Y237&gt;0),TEXT(X237,"0.00")&amp;"ct x "&amp;Y237,""),IF(AND(Z237&gt;0,AA237&gt;0),TEXT(Z237,"0.00")&amp;"ct x "&amp;AA237,""),IF(AND(AB237&gt;0,AC237&gt;0),TEXT(AB237,"0.00")&amp;"ct x "&amp;AC237,""))</f>
        <v/>
      </c>
      <c r="AG237" s="0">
        <f>X237*Y237*SUMIFS($AM$2:$AM$11,$AK$2:$AK$11,"&lt;="&amp;X237,$AL$2:$AL$11,"&gt;="&amp;X237)+Z237*AA237*SUMIFS($AM$2:$AM$11,$AK$2:$AK$11,"&lt;="&amp;Z237,$AL$2:$AL$11,"&gt;="&amp;Z237)+AB237*AC237*SUMIFS($AM$2:$AM$11,$AK$2:$AK$11,"&lt;="&amp;AB237,$AL$2:$AL$11,"&gt;="&amp;AB237)</f>
        <v/>
      </c>
      <c r="AH237" s="0">
        <f>AG237*(1-40%)</f>
        <v/>
      </c>
      <c r="AI237" s="0">
        <f>AH237*1.2</f>
        <v/>
      </c>
    </row>
    <row r="238">
      <c r="A238" s="26" t="n"/>
      <c r="B238" s="169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>
        <f>AG238</f>
        <v/>
      </c>
      <c r="T238" s="26">
        <f>AI238+Q238+P238</f>
        <v/>
      </c>
      <c r="U238" s="26" t="n"/>
      <c r="V238" s="26" t="n"/>
      <c r="W238" s="169" t="n"/>
      <c r="X238" s="26" t="n"/>
      <c r="Y238" s="26" t="n"/>
      <c r="Z238" s="26" t="n"/>
      <c r="AA238" s="26" t="n"/>
      <c r="AD238" s="0">
        <f>SUM(Y238,AA238,AC238)</f>
        <v/>
      </c>
      <c r="AE238" s="0">
        <f>X238*Y238+Z238*AA238+AB238*AC238</f>
        <v/>
      </c>
      <c r="AF238" s="0">
        <f>TEXTJOIN(", ",TRUE,IF(AND(X238&gt;0,Y238&gt;0),TEXT(X238,"0.00")&amp;"ct x "&amp;Y238,""),IF(AND(Z238&gt;0,AA238&gt;0),TEXT(Z238,"0.00")&amp;"ct x "&amp;AA238,""),IF(AND(AB238&gt;0,AC238&gt;0),TEXT(AB238,"0.00")&amp;"ct x "&amp;AC238,""))</f>
        <v/>
      </c>
      <c r="AG238" s="0">
        <f>X238*Y238*SUMIFS($AM$2:$AM$11,$AK$2:$AK$11,"&lt;="&amp;X238,$AL$2:$AL$11,"&gt;="&amp;X238)+Z238*AA238*SUMIFS($AM$2:$AM$11,$AK$2:$AK$11,"&lt;="&amp;Z238,$AL$2:$AL$11,"&gt;="&amp;Z238)+AB238*AC238*SUMIFS($AM$2:$AM$11,$AK$2:$AK$11,"&lt;="&amp;AB238,$AL$2:$AL$11,"&gt;="&amp;AB238)</f>
        <v/>
      </c>
      <c r="AH238" s="0">
        <f>AG238*(1-40%)</f>
        <v/>
      </c>
      <c r="AI238" s="0">
        <f>AH238*1.2</f>
        <v/>
      </c>
    </row>
    <row r="239">
      <c r="A239" s="26" t="n"/>
      <c r="B239" s="169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>
        <f>AG239</f>
        <v/>
      </c>
      <c r="T239" s="26">
        <f>AI239+Q239+P239</f>
        <v/>
      </c>
      <c r="U239" s="26" t="n"/>
      <c r="V239" s="26" t="n"/>
      <c r="W239" s="169" t="n"/>
      <c r="X239" s="26" t="n"/>
      <c r="Y239" s="26" t="n"/>
      <c r="Z239" s="26" t="n"/>
      <c r="AA239" s="26" t="n"/>
      <c r="AD239" s="0">
        <f>SUM(Y239,AA239,AC239)</f>
        <v/>
      </c>
      <c r="AE239" s="0">
        <f>X239*Y239+Z239*AA239+AB239*AC239</f>
        <v/>
      </c>
      <c r="AF239" s="0">
        <f>TEXTJOIN(", ",TRUE,IF(AND(X239&gt;0,Y239&gt;0),TEXT(X239,"0.00")&amp;"ct x "&amp;Y239,""),IF(AND(Z239&gt;0,AA239&gt;0),TEXT(Z239,"0.00")&amp;"ct x "&amp;AA239,""),IF(AND(AB239&gt;0,AC239&gt;0),TEXT(AB239,"0.00")&amp;"ct x "&amp;AC239,""))</f>
        <v/>
      </c>
      <c r="AG239" s="0">
        <f>X239*Y239*SUMIFS($AM$2:$AM$11,$AK$2:$AK$11,"&lt;="&amp;X239,$AL$2:$AL$11,"&gt;="&amp;X239)+Z239*AA239*SUMIFS($AM$2:$AM$11,$AK$2:$AK$11,"&lt;="&amp;Z239,$AL$2:$AL$11,"&gt;="&amp;Z239)+AB239*AC239*SUMIFS($AM$2:$AM$11,$AK$2:$AK$11,"&lt;="&amp;AB239,$AL$2:$AL$11,"&gt;="&amp;AB239)</f>
        <v/>
      </c>
      <c r="AH239" s="0">
        <f>AG239*(1-40%)</f>
        <v/>
      </c>
      <c r="AI239" s="0">
        <f>AH239*1.2</f>
        <v/>
      </c>
    </row>
    <row r="240">
      <c r="A240" s="26" t="n"/>
      <c r="B240" s="169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>
        <f>AG240</f>
        <v/>
      </c>
      <c r="T240" s="26">
        <f>AI240+Q240+P240</f>
        <v/>
      </c>
      <c r="U240" s="26" t="n"/>
      <c r="V240" s="26" t="n"/>
      <c r="W240" s="169" t="n"/>
      <c r="X240" s="26" t="n"/>
      <c r="Y240" s="26" t="n"/>
      <c r="Z240" s="26" t="n"/>
      <c r="AA240" s="26" t="n"/>
      <c r="AD240" s="0">
        <f>SUM(Y240,AA240,AC240)</f>
        <v/>
      </c>
      <c r="AE240" s="0">
        <f>X240*Y240+Z240*AA240+AB240*AC240</f>
        <v/>
      </c>
      <c r="AF240" s="0">
        <f>TEXTJOIN(", ",TRUE,IF(AND(X240&gt;0,Y240&gt;0),TEXT(X240,"0.00")&amp;"ct x "&amp;Y240,""),IF(AND(Z240&gt;0,AA240&gt;0),TEXT(Z240,"0.00")&amp;"ct x "&amp;AA240,""),IF(AND(AB240&gt;0,AC240&gt;0),TEXT(AB240,"0.00")&amp;"ct x "&amp;AC240,""))</f>
        <v/>
      </c>
      <c r="AG240" s="0">
        <f>X240*Y240*SUMIFS($AM$2:$AM$11,$AK$2:$AK$11,"&lt;="&amp;X240,$AL$2:$AL$11,"&gt;="&amp;X240)+Z240*AA240*SUMIFS($AM$2:$AM$11,$AK$2:$AK$11,"&lt;="&amp;Z240,$AL$2:$AL$11,"&gt;="&amp;Z240)+AB240*AC240*SUMIFS($AM$2:$AM$11,$AK$2:$AK$11,"&lt;="&amp;AB240,$AL$2:$AL$11,"&gt;="&amp;AB240)</f>
        <v/>
      </c>
      <c r="AH240" s="0">
        <f>AG240*(1-40%)</f>
        <v/>
      </c>
      <c r="AI240" s="0">
        <f>AH240*1.2</f>
        <v/>
      </c>
    </row>
    <row r="241">
      <c r="A241" s="26" t="n"/>
      <c r="B241" s="169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>
        <f>AG241</f>
        <v/>
      </c>
      <c r="T241" s="26">
        <f>AI241+Q241+P241</f>
        <v/>
      </c>
      <c r="U241" s="26" t="n"/>
      <c r="V241" s="26" t="n"/>
      <c r="W241" s="169" t="n"/>
      <c r="X241" s="26" t="n"/>
      <c r="Y241" s="26" t="n"/>
      <c r="Z241" s="26" t="n"/>
      <c r="AA241" s="26" t="n"/>
      <c r="AD241" s="0">
        <f>SUM(Y241,AA241,AC241)</f>
        <v/>
      </c>
      <c r="AE241" s="0">
        <f>X241*Y241+Z241*AA241+AB241*AC241</f>
        <v/>
      </c>
      <c r="AF241" s="0">
        <f>TEXTJOIN(", ",TRUE,IF(AND(X241&gt;0,Y241&gt;0),TEXT(X241,"0.00")&amp;"ct x "&amp;Y241,""),IF(AND(Z241&gt;0,AA241&gt;0),TEXT(Z241,"0.00")&amp;"ct x "&amp;AA241,""),IF(AND(AB241&gt;0,AC241&gt;0),TEXT(AB241,"0.00")&amp;"ct x "&amp;AC241,""))</f>
        <v/>
      </c>
      <c r="AG241" s="0">
        <f>X241*Y241*SUMIFS($AM$2:$AM$11,$AK$2:$AK$11,"&lt;="&amp;X241,$AL$2:$AL$11,"&gt;="&amp;X241)+Z241*AA241*SUMIFS($AM$2:$AM$11,$AK$2:$AK$11,"&lt;="&amp;Z241,$AL$2:$AL$11,"&gt;="&amp;Z241)+AB241*AC241*SUMIFS($AM$2:$AM$11,$AK$2:$AK$11,"&lt;="&amp;AB241,$AL$2:$AL$11,"&gt;="&amp;AB241)</f>
        <v/>
      </c>
      <c r="AH241" s="0">
        <f>AG241*(1-40%)</f>
        <v/>
      </c>
      <c r="AI241" s="0">
        <f>AH241*1.2</f>
        <v/>
      </c>
    </row>
    <row r="242">
      <c r="A242" s="26" t="n"/>
      <c r="B242" s="169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>
        <f>AG242</f>
        <v/>
      </c>
      <c r="T242" s="26">
        <f>AI242+Q242+P242</f>
        <v/>
      </c>
      <c r="U242" s="26" t="n"/>
      <c r="V242" s="26" t="n"/>
      <c r="W242" s="169" t="n"/>
      <c r="X242" s="26" t="n"/>
      <c r="Y242" s="26" t="n"/>
      <c r="Z242" s="26" t="n"/>
      <c r="AA242" s="26" t="n"/>
      <c r="AD242" s="0">
        <f>SUM(Y242,AA242,AC242)</f>
        <v/>
      </c>
      <c r="AE242" s="0">
        <f>X242*Y242+Z242*AA242+AB242*AC242</f>
        <v/>
      </c>
      <c r="AF242" s="0">
        <f>TEXTJOIN(", ",TRUE,IF(AND(X242&gt;0,Y242&gt;0),TEXT(X242,"0.00")&amp;"ct x "&amp;Y242,""),IF(AND(Z242&gt;0,AA242&gt;0),TEXT(Z242,"0.00")&amp;"ct x "&amp;AA242,""),IF(AND(AB242&gt;0,AC242&gt;0),TEXT(AB242,"0.00")&amp;"ct x "&amp;AC242,""))</f>
        <v/>
      </c>
      <c r="AG242" s="0">
        <f>X242*Y242*SUMIFS($AM$2:$AM$11,$AK$2:$AK$11,"&lt;="&amp;X242,$AL$2:$AL$11,"&gt;="&amp;X242)+Z242*AA242*SUMIFS($AM$2:$AM$11,$AK$2:$AK$11,"&lt;="&amp;Z242,$AL$2:$AL$11,"&gt;="&amp;Z242)+AB242*AC242*SUMIFS($AM$2:$AM$11,$AK$2:$AK$11,"&lt;="&amp;AB242,$AL$2:$AL$11,"&gt;="&amp;AB242)</f>
        <v/>
      </c>
      <c r="AH242" s="0">
        <f>AG242*(1-40%)</f>
        <v/>
      </c>
      <c r="AI242" s="0">
        <f>AH242*1.2</f>
        <v/>
      </c>
    </row>
    <row r="243">
      <c r="A243" s="26" t="n"/>
      <c r="B243" s="169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>
        <f>AG243</f>
        <v/>
      </c>
      <c r="T243" s="26">
        <f>AI243+Q243+P243</f>
        <v/>
      </c>
      <c r="U243" s="26" t="n"/>
      <c r="V243" s="26" t="n"/>
      <c r="W243" s="169" t="n"/>
      <c r="X243" s="26" t="n"/>
      <c r="Y243" s="26" t="n"/>
      <c r="Z243" s="26" t="n"/>
      <c r="AA243" s="26" t="n"/>
      <c r="AD243" s="0">
        <f>SUM(Y243,AA243,AC243)</f>
        <v/>
      </c>
      <c r="AE243" s="0">
        <f>X243*Y243+Z243*AA243+AB243*AC243</f>
        <v/>
      </c>
      <c r="AF243" s="0">
        <f>TEXTJOIN(", ",TRUE,IF(AND(X243&gt;0,Y243&gt;0),TEXT(X243,"0.00")&amp;"ct x "&amp;Y243,""),IF(AND(Z243&gt;0,AA243&gt;0),TEXT(Z243,"0.00")&amp;"ct x "&amp;AA243,""),IF(AND(AB243&gt;0,AC243&gt;0),TEXT(AB243,"0.00")&amp;"ct x "&amp;AC243,""))</f>
        <v/>
      </c>
      <c r="AG243" s="0">
        <f>X243*Y243*SUMIFS($AM$2:$AM$11,$AK$2:$AK$11,"&lt;="&amp;X243,$AL$2:$AL$11,"&gt;="&amp;X243)+Z243*AA243*SUMIFS($AM$2:$AM$11,$AK$2:$AK$11,"&lt;="&amp;Z243,$AL$2:$AL$11,"&gt;="&amp;Z243)+AB243*AC243*SUMIFS($AM$2:$AM$11,$AK$2:$AK$11,"&lt;="&amp;AB243,$AL$2:$AL$11,"&gt;="&amp;AB243)</f>
        <v/>
      </c>
      <c r="AH243" s="0">
        <f>AG243*(1-40%)</f>
        <v/>
      </c>
      <c r="AI243" s="0">
        <f>AH243*1.2</f>
        <v/>
      </c>
    </row>
    <row r="244">
      <c r="A244" s="26" t="n"/>
      <c r="B244" s="169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>
        <f>AG244</f>
        <v/>
      </c>
      <c r="T244" s="26">
        <f>AI244+Q244+P244</f>
        <v/>
      </c>
      <c r="U244" s="26" t="n"/>
      <c r="V244" s="26" t="n"/>
      <c r="W244" s="169" t="n"/>
      <c r="X244" s="26" t="n"/>
      <c r="Y244" s="26" t="n"/>
      <c r="Z244" s="26" t="n"/>
      <c r="AA244" s="26" t="n"/>
      <c r="AD244" s="0">
        <f>SUM(Y244,AA244,AC244)</f>
        <v/>
      </c>
      <c r="AE244" s="0">
        <f>X244*Y244+Z244*AA244+AB244*AC244</f>
        <v/>
      </c>
      <c r="AF244" s="0">
        <f>TEXTJOIN(", ",TRUE,IF(AND(X244&gt;0,Y244&gt;0),TEXT(X244,"0.00")&amp;"ct x "&amp;Y244,""),IF(AND(Z244&gt;0,AA244&gt;0),TEXT(Z244,"0.00")&amp;"ct x "&amp;AA244,""),IF(AND(AB244&gt;0,AC244&gt;0),TEXT(AB244,"0.00")&amp;"ct x "&amp;AC244,""))</f>
        <v/>
      </c>
      <c r="AG244" s="0">
        <f>X244*Y244*SUMIFS($AM$2:$AM$11,$AK$2:$AK$11,"&lt;="&amp;X244,$AL$2:$AL$11,"&gt;="&amp;X244)+Z244*AA244*SUMIFS($AM$2:$AM$11,$AK$2:$AK$11,"&lt;="&amp;Z244,$AL$2:$AL$11,"&gt;="&amp;Z244)+AB244*AC244*SUMIFS($AM$2:$AM$11,$AK$2:$AK$11,"&lt;="&amp;AB244,$AL$2:$AL$11,"&gt;="&amp;AB244)</f>
        <v/>
      </c>
      <c r="AH244" s="0">
        <f>AG244*(1-40%)</f>
        <v/>
      </c>
      <c r="AI244" s="0">
        <f>AH244*1.2</f>
        <v/>
      </c>
    </row>
    <row r="245">
      <c r="A245" s="26" t="n"/>
      <c r="B245" s="169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>
        <f>AG245</f>
        <v/>
      </c>
      <c r="T245" s="26">
        <f>AI245+Q245+P245</f>
        <v/>
      </c>
      <c r="U245" s="26" t="n"/>
      <c r="V245" s="26" t="n"/>
      <c r="W245" s="169" t="n"/>
      <c r="X245" s="26" t="n"/>
      <c r="Y245" s="26" t="n"/>
      <c r="Z245" s="26" t="n"/>
      <c r="AA245" s="26" t="n"/>
      <c r="AD245" s="0">
        <f>SUM(Y245,AA245,AC245)</f>
        <v/>
      </c>
      <c r="AE245" s="0">
        <f>X245*Y245+Z245*AA245+AB245*AC245</f>
        <v/>
      </c>
      <c r="AF245" s="0">
        <f>TEXTJOIN(", ",TRUE,IF(AND(X245&gt;0,Y245&gt;0),TEXT(X245,"0.00")&amp;"ct x "&amp;Y245,""),IF(AND(Z245&gt;0,AA245&gt;0),TEXT(Z245,"0.00")&amp;"ct x "&amp;AA245,""),IF(AND(AB245&gt;0,AC245&gt;0),TEXT(AB245,"0.00")&amp;"ct x "&amp;AC245,""))</f>
        <v/>
      </c>
      <c r="AG245" s="0">
        <f>X245*Y245*SUMIFS($AM$2:$AM$11,$AK$2:$AK$11,"&lt;="&amp;X245,$AL$2:$AL$11,"&gt;="&amp;X245)+Z245*AA245*SUMIFS($AM$2:$AM$11,$AK$2:$AK$11,"&lt;="&amp;Z245,$AL$2:$AL$11,"&gt;="&amp;Z245)+AB245*AC245*SUMIFS($AM$2:$AM$11,$AK$2:$AK$11,"&lt;="&amp;AB245,$AL$2:$AL$11,"&gt;="&amp;AB245)</f>
        <v/>
      </c>
      <c r="AH245" s="0">
        <f>AG245*(1-40%)</f>
        <v/>
      </c>
      <c r="AI245" s="0">
        <f>AH245*1.2</f>
        <v/>
      </c>
    </row>
    <row r="246">
      <c r="A246" s="26" t="n"/>
      <c r="B246" s="169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>
        <f>AG246</f>
        <v/>
      </c>
      <c r="T246" s="26">
        <f>AI246+Q246+P246</f>
        <v/>
      </c>
      <c r="U246" s="26" t="n"/>
      <c r="V246" s="26" t="n"/>
      <c r="W246" s="169" t="n"/>
      <c r="X246" s="26" t="n"/>
      <c r="Y246" s="26" t="n"/>
      <c r="Z246" s="26" t="n"/>
      <c r="AA246" s="26" t="n"/>
      <c r="AD246" s="0">
        <f>SUM(Y246,AA246,AC246)</f>
        <v/>
      </c>
      <c r="AE246" s="0">
        <f>X246*Y246+Z246*AA246+AB246*AC246</f>
        <v/>
      </c>
      <c r="AF246" s="0">
        <f>TEXTJOIN(", ",TRUE,IF(AND(X246&gt;0,Y246&gt;0),TEXT(X246,"0.00")&amp;"ct x "&amp;Y246,""),IF(AND(Z246&gt;0,AA246&gt;0),TEXT(Z246,"0.00")&amp;"ct x "&amp;AA246,""),IF(AND(AB246&gt;0,AC246&gt;0),TEXT(AB246,"0.00")&amp;"ct x "&amp;AC246,""))</f>
        <v/>
      </c>
      <c r="AG246" s="0">
        <f>X246*Y246*SUMIFS($AM$2:$AM$11,$AK$2:$AK$11,"&lt;="&amp;X246,$AL$2:$AL$11,"&gt;="&amp;X246)+Z246*AA246*SUMIFS($AM$2:$AM$11,$AK$2:$AK$11,"&lt;="&amp;Z246,$AL$2:$AL$11,"&gt;="&amp;Z246)+AB246*AC246*SUMIFS($AM$2:$AM$11,$AK$2:$AK$11,"&lt;="&amp;AB246,$AL$2:$AL$11,"&gt;="&amp;AB246)</f>
        <v/>
      </c>
      <c r="AH246" s="0">
        <f>AG246*(1-40%)</f>
        <v/>
      </c>
      <c r="AI246" s="0">
        <f>AH246*1.2</f>
        <v/>
      </c>
    </row>
    <row r="247">
      <c r="A247" s="26" t="n"/>
      <c r="B247" s="169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>
        <f>AG247</f>
        <v/>
      </c>
      <c r="T247" s="26">
        <f>AI247+Q247+P247</f>
        <v/>
      </c>
      <c r="U247" s="26" t="n"/>
      <c r="V247" s="26" t="n"/>
      <c r="W247" s="169" t="n"/>
      <c r="X247" s="26" t="n"/>
      <c r="Y247" s="26" t="n"/>
      <c r="Z247" s="26" t="n"/>
      <c r="AA247" s="26" t="n"/>
      <c r="AD247" s="0">
        <f>SUM(Y247,AA247,AC247)</f>
        <v/>
      </c>
      <c r="AE247" s="0">
        <f>X247*Y247+Z247*AA247+AB247*AC247</f>
        <v/>
      </c>
      <c r="AF247" s="0">
        <f>TEXTJOIN(", ",TRUE,IF(AND(X247&gt;0,Y247&gt;0),TEXT(X247,"0.00")&amp;"ct x "&amp;Y247,""),IF(AND(Z247&gt;0,AA247&gt;0),TEXT(Z247,"0.00")&amp;"ct x "&amp;AA247,""),IF(AND(AB247&gt;0,AC247&gt;0),TEXT(AB247,"0.00")&amp;"ct x "&amp;AC247,""))</f>
        <v/>
      </c>
      <c r="AG247" s="0">
        <f>X247*Y247*SUMIFS($AM$2:$AM$11,$AK$2:$AK$11,"&lt;="&amp;X247,$AL$2:$AL$11,"&gt;="&amp;X247)+Z247*AA247*SUMIFS($AM$2:$AM$11,$AK$2:$AK$11,"&lt;="&amp;Z247,$AL$2:$AL$11,"&gt;="&amp;Z247)+AB247*AC247*SUMIFS($AM$2:$AM$11,$AK$2:$AK$11,"&lt;="&amp;AB247,$AL$2:$AL$11,"&gt;="&amp;AB247)</f>
        <v/>
      </c>
      <c r="AH247" s="0">
        <f>AG247*(1-40%)</f>
        <v/>
      </c>
      <c r="AI247" s="0">
        <f>AH247*1.2</f>
        <v/>
      </c>
    </row>
    <row r="248">
      <c r="A248" s="26" t="n"/>
      <c r="B248" s="169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>
        <f>AG248</f>
        <v/>
      </c>
      <c r="T248" s="26">
        <f>AI248+Q248+P248</f>
        <v/>
      </c>
      <c r="U248" s="26" t="n"/>
      <c r="V248" s="26" t="n"/>
      <c r="W248" s="169" t="n"/>
      <c r="X248" s="26" t="n"/>
      <c r="Y248" s="26" t="n"/>
      <c r="Z248" s="26" t="n"/>
      <c r="AA248" s="26" t="n"/>
      <c r="AD248" s="0">
        <f>SUM(Y248,AA248,AC248)</f>
        <v/>
      </c>
      <c r="AE248" s="0">
        <f>X248*Y248+Z248*AA248+AB248*AC248</f>
        <v/>
      </c>
      <c r="AF248" s="0">
        <f>TEXTJOIN(", ",TRUE,IF(AND(X248&gt;0,Y248&gt;0),TEXT(X248,"0.00")&amp;"ct x "&amp;Y248,""),IF(AND(Z248&gt;0,AA248&gt;0),TEXT(Z248,"0.00")&amp;"ct x "&amp;AA248,""),IF(AND(AB248&gt;0,AC248&gt;0),TEXT(AB248,"0.00")&amp;"ct x "&amp;AC248,""))</f>
        <v/>
      </c>
      <c r="AG248" s="0">
        <f>X248*Y248*SUMIFS($AM$2:$AM$11,$AK$2:$AK$11,"&lt;="&amp;X248,$AL$2:$AL$11,"&gt;="&amp;X248)+Z248*AA248*SUMIFS($AM$2:$AM$11,$AK$2:$AK$11,"&lt;="&amp;Z248,$AL$2:$AL$11,"&gt;="&amp;Z248)+AB248*AC248*SUMIFS($AM$2:$AM$11,$AK$2:$AK$11,"&lt;="&amp;AB248,$AL$2:$AL$11,"&gt;="&amp;AB248)</f>
        <v/>
      </c>
      <c r="AH248" s="0">
        <f>AG248*(1-40%)</f>
        <v/>
      </c>
      <c r="AI248" s="0">
        <f>AH248*1.2</f>
        <v/>
      </c>
    </row>
    <row r="249">
      <c r="A249" s="26" t="n"/>
      <c r="B249" s="169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>
        <f>AG249</f>
        <v/>
      </c>
      <c r="T249" s="26">
        <f>AI249+Q249+P249</f>
        <v/>
      </c>
      <c r="U249" s="26" t="n"/>
      <c r="V249" s="26" t="n"/>
      <c r="W249" s="169" t="n"/>
      <c r="X249" s="26" t="n"/>
      <c r="Y249" s="26" t="n"/>
      <c r="Z249" s="26" t="n"/>
      <c r="AA249" s="26" t="n"/>
      <c r="AD249" s="0">
        <f>SUM(Y249,AA249,AC249)</f>
        <v/>
      </c>
      <c r="AE249" s="0">
        <f>X249*Y249+Z249*AA249+AB249*AC249</f>
        <v/>
      </c>
      <c r="AF249" s="0">
        <f>TEXTJOIN(", ",TRUE,IF(AND(X249&gt;0,Y249&gt;0),TEXT(X249,"0.00")&amp;"ct x "&amp;Y249,""),IF(AND(Z249&gt;0,AA249&gt;0),TEXT(Z249,"0.00")&amp;"ct x "&amp;AA249,""),IF(AND(AB249&gt;0,AC249&gt;0),TEXT(AB249,"0.00")&amp;"ct x "&amp;AC249,""))</f>
        <v/>
      </c>
      <c r="AG249" s="0">
        <f>X249*Y249*SUMIFS($AM$2:$AM$11,$AK$2:$AK$11,"&lt;="&amp;X249,$AL$2:$AL$11,"&gt;="&amp;X249)+Z249*AA249*SUMIFS($AM$2:$AM$11,$AK$2:$AK$11,"&lt;="&amp;Z249,$AL$2:$AL$11,"&gt;="&amp;Z249)+AB249*AC249*SUMIFS($AM$2:$AM$11,$AK$2:$AK$11,"&lt;="&amp;AB249,$AL$2:$AL$11,"&gt;="&amp;AB249)</f>
        <v/>
      </c>
      <c r="AH249" s="0">
        <f>AG249*(1-40%)</f>
        <v/>
      </c>
      <c r="AI249" s="0">
        <f>AH249*1.2</f>
        <v/>
      </c>
    </row>
    <row r="250">
      <c r="A250" s="26" t="n"/>
      <c r="B250" s="169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>
        <f>AG250</f>
        <v/>
      </c>
      <c r="T250" s="26">
        <f>AI250+Q250+P250</f>
        <v/>
      </c>
      <c r="U250" s="26" t="n"/>
      <c r="V250" s="26" t="n"/>
      <c r="W250" s="169" t="n"/>
      <c r="X250" s="26" t="n"/>
      <c r="Y250" s="26" t="n"/>
      <c r="Z250" s="26" t="n"/>
      <c r="AA250" s="26" t="n"/>
      <c r="AD250" s="0">
        <f>SUM(Y250,AA250,AC250)</f>
        <v/>
      </c>
      <c r="AE250" s="0">
        <f>X250*Y250+Z250*AA250+AB250*AC250</f>
        <v/>
      </c>
      <c r="AF250" s="0">
        <f>TEXTJOIN(", ",TRUE,IF(AND(X250&gt;0,Y250&gt;0),TEXT(X250,"0.00")&amp;"ct x "&amp;Y250,""),IF(AND(Z250&gt;0,AA250&gt;0),TEXT(Z250,"0.00")&amp;"ct x "&amp;AA250,""),IF(AND(AB250&gt;0,AC250&gt;0),TEXT(AB250,"0.00")&amp;"ct x "&amp;AC250,""))</f>
        <v/>
      </c>
      <c r="AG250" s="0">
        <f>X250*Y250*SUMIFS($AM$2:$AM$11,$AK$2:$AK$11,"&lt;="&amp;X250,$AL$2:$AL$11,"&gt;="&amp;X250)+Z250*AA250*SUMIFS($AM$2:$AM$11,$AK$2:$AK$11,"&lt;="&amp;Z250,$AL$2:$AL$11,"&gt;="&amp;Z250)+AB250*AC250*SUMIFS($AM$2:$AM$11,$AK$2:$AK$11,"&lt;="&amp;AB250,$AL$2:$AL$11,"&gt;="&amp;AB250)</f>
        <v/>
      </c>
      <c r="AH250" s="0">
        <f>AG250*(1-40%)</f>
        <v/>
      </c>
      <c r="AI250" s="0">
        <f>AH250*1.2</f>
        <v/>
      </c>
    </row>
    <row r="251">
      <c r="A251" s="26" t="n"/>
      <c r="B251" s="169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>
        <f>AG251</f>
        <v/>
      </c>
      <c r="T251" s="26">
        <f>AI251+Q251+P251</f>
        <v/>
      </c>
      <c r="U251" s="26" t="n"/>
      <c r="V251" s="26" t="n"/>
      <c r="W251" s="169" t="n"/>
      <c r="X251" s="26" t="n"/>
      <c r="Y251" s="26" t="n"/>
      <c r="Z251" s="26" t="n"/>
      <c r="AA251" s="26" t="n"/>
      <c r="AD251" s="0">
        <f>SUM(Y251,AA251,AC251)</f>
        <v/>
      </c>
      <c r="AE251" s="0">
        <f>X251*Y251+Z251*AA251+AB251*AC251</f>
        <v/>
      </c>
      <c r="AF251" s="0">
        <f>TEXTJOIN(", ",TRUE,IF(AND(X251&gt;0,Y251&gt;0),TEXT(X251,"0.00")&amp;"ct x "&amp;Y251,""),IF(AND(Z251&gt;0,AA251&gt;0),TEXT(Z251,"0.00")&amp;"ct x "&amp;AA251,""),IF(AND(AB251&gt;0,AC251&gt;0),TEXT(AB251,"0.00")&amp;"ct x "&amp;AC251,""))</f>
        <v/>
      </c>
      <c r="AG251" s="0">
        <f>X251*Y251*SUMIFS($AM$2:$AM$11,$AK$2:$AK$11,"&lt;="&amp;X251,$AL$2:$AL$11,"&gt;="&amp;X251)+Z251*AA251*SUMIFS($AM$2:$AM$11,$AK$2:$AK$11,"&lt;="&amp;Z251,$AL$2:$AL$11,"&gt;="&amp;Z251)+AB251*AC251*SUMIFS($AM$2:$AM$11,$AK$2:$AK$11,"&lt;="&amp;AB251,$AL$2:$AL$11,"&gt;="&amp;AB251)</f>
        <v/>
      </c>
      <c r="AH251" s="0">
        <f>AG251*(1-40%)</f>
        <v/>
      </c>
      <c r="AI251" s="0">
        <f>AH251*1.2</f>
        <v/>
      </c>
    </row>
    <row r="252">
      <c r="A252" s="26" t="n"/>
      <c r="B252" s="169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>
        <f>AG252</f>
        <v/>
      </c>
      <c r="T252" s="26">
        <f>AI252+Q252+P252</f>
        <v/>
      </c>
      <c r="U252" s="26" t="n"/>
      <c r="V252" s="26" t="n"/>
      <c r="W252" s="169" t="n"/>
      <c r="X252" s="26" t="n"/>
      <c r="Y252" s="26" t="n"/>
      <c r="Z252" s="26" t="n"/>
      <c r="AA252" s="26" t="n"/>
      <c r="AD252" s="0">
        <f>SUM(Y252,AA252,AC252)</f>
        <v/>
      </c>
      <c r="AE252" s="0">
        <f>X252*Y252+Z252*AA252+AB252*AC252</f>
        <v/>
      </c>
      <c r="AF252" s="0">
        <f>TEXTJOIN(", ",TRUE,IF(AND(X252&gt;0,Y252&gt;0),TEXT(X252,"0.00")&amp;"ct x "&amp;Y252,""),IF(AND(Z252&gt;0,AA252&gt;0),TEXT(Z252,"0.00")&amp;"ct x "&amp;AA252,""),IF(AND(AB252&gt;0,AC252&gt;0),TEXT(AB252,"0.00")&amp;"ct x "&amp;AC252,""))</f>
        <v/>
      </c>
      <c r="AG252" s="0">
        <f>X252*Y252*SUMIFS($AM$2:$AM$11,$AK$2:$AK$11,"&lt;="&amp;X252,$AL$2:$AL$11,"&gt;="&amp;X252)+Z252*AA252*SUMIFS($AM$2:$AM$11,$AK$2:$AK$11,"&lt;="&amp;Z252,$AL$2:$AL$11,"&gt;="&amp;Z252)+AB252*AC252*SUMIFS($AM$2:$AM$11,$AK$2:$AK$11,"&lt;="&amp;AB252,$AL$2:$AL$11,"&gt;="&amp;AB252)</f>
        <v/>
      </c>
      <c r="AH252" s="0">
        <f>AG252*(1-40%)</f>
        <v/>
      </c>
      <c r="AI252" s="0">
        <f>AH252*1.2</f>
        <v/>
      </c>
    </row>
    <row r="253">
      <c r="A253" s="26" t="n"/>
      <c r="B253" s="169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>
        <f>AG253</f>
        <v/>
      </c>
      <c r="T253" s="26">
        <f>AI253+Q253+P253</f>
        <v/>
      </c>
      <c r="U253" s="26" t="n"/>
      <c r="V253" s="26" t="n"/>
      <c r="W253" s="169" t="n"/>
      <c r="X253" s="26" t="n"/>
      <c r="Y253" s="26" t="n"/>
      <c r="Z253" s="26" t="n"/>
      <c r="AA253" s="26" t="n"/>
      <c r="AD253" s="0">
        <f>SUM(Y253,AA253,AC253)</f>
        <v/>
      </c>
      <c r="AE253" s="0">
        <f>X253*Y253+Z253*AA253+AB253*AC253</f>
        <v/>
      </c>
      <c r="AF253" s="0">
        <f>TEXTJOIN(", ",TRUE,IF(AND(X253&gt;0,Y253&gt;0),TEXT(X253,"0.00")&amp;"ct x "&amp;Y253,""),IF(AND(Z253&gt;0,AA253&gt;0),TEXT(Z253,"0.00")&amp;"ct x "&amp;AA253,""),IF(AND(AB253&gt;0,AC253&gt;0),TEXT(AB253,"0.00")&amp;"ct x "&amp;AC253,""))</f>
        <v/>
      </c>
      <c r="AG253" s="0">
        <f>X253*Y253*SUMIFS($AM$2:$AM$11,$AK$2:$AK$11,"&lt;="&amp;X253,$AL$2:$AL$11,"&gt;="&amp;X253)+Z253*AA253*SUMIFS($AM$2:$AM$11,$AK$2:$AK$11,"&lt;="&amp;Z253,$AL$2:$AL$11,"&gt;="&amp;Z253)+AB253*AC253*SUMIFS($AM$2:$AM$11,$AK$2:$AK$11,"&lt;="&amp;AB253,$AL$2:$AL$11,"&gt;="&amp;AB253)</f>
        <v/>
      </c>
      <c r="AH253" s="0">
        <f>AG253*(1-40%)</f>
        <v/>
      </c>
      <c r="AI253" s="0">
        <f>AH253*1.2</f>
        <v/>
      </c>
    </row>
    <row r="254">
      <c r="A254" s="26" t="n"/>
      <c r="B254" s="169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>
        <f>AG254</f>
        <v/>
      </c>
      <c r="T254" s="26">
        <f>AI254+Q254+P254</f>
        <v/>
      </c>
      <c r="U254" s="26" t="n"/>
      <c r="V254" s="26" t="n"/>
      <c r="W254" s="169" t="n"/>
      <c r="X254" s="26" t="n"/>
      <c r="Y254" s="26" t="n"/>
      <c r="Z254" s="26" t="n"/>
      <c r="AA254" s="26" t="n"/>
      <c r="AD254" s="0">
        <f>SUM(Y254,AA254,AC254)</f>
        <v/>
      </c>
      <c r="AE254" s="0">
        <f>X254*Y254+Z254*AA254+AB254*AC254</f>
        <v/>
      </c>
      <c r="AF254" s="0">
        <f>TEXTJOIN(", ",TRUE,IF(AND(X254&gt;0,Y254&gt;0),TEXT(X254,"0.00")&amp;"ct x "&amp;Y254,""),IF(AND(Z254&gt;0,AA254&gt;0),TEXT(Z254,"0.00")&amp;"ct x "&amp;AA254,""),IF(AND(AB254&gt;0,AC254&gt;0),TEXT(AB254,"0.00")&amp;"ct x "&amp;AC254,""))</f>
        <v/>
      </c>
      <c r="AG254" s="0">
        <f>X254*Y254*SUMIFS($AM$2:$AM$11,$AK$2:$AK$11,"&lt;="&amp;X254,$AL$2:$AL$11,"&gt;="&amp;X254)+Z254*AA254*SUMIFS($AM$2:$AM$11,$AK$2:$AK$11,"&lt;="&amp;Z254,$AL$2:$AL$11,"&gt;="&amp;Z254)+AB254*AC254*SUMIFS($AM$2:$AM$11,$AK$2:$AK$11,"&lt;="&amp;AB254,$AL$2:$AL$11,"&gt;="&amp;AB254)</f>
        <v/>
      </c>
      <c r="AH254" s="0">
        <f>AG254*(1-40%)</f>
        <v/>
      </c>
      <c r="AI254" s="0">
        <f>AH254*1.2</f>
        <v/>
      </c>
    </row>
    <row r="255">
      <c r="A255" s="26" t="n"/>
      <c r="B255" s="169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>
        <f>AG255</f>
        <v/>
      </c>
      <c r="T255" s="26">
        <f>AI255+Q255+P255</f>
        <v/>
      </c>
      <c r="U255" s="26" t="n"/>
      <c r="V255" s="26" t="n"/>
      <c r="W255" s="169" t="n"/>
      <c r="X255" s="26" t="n"/>
      <c r="Y255" s="26" t="n"/>
      <c r="Z255" s="26" t="n"/>
      <c r="AA255" s="26" t="n"/>
      <c r="AD255" s="0">
        <f>SUM(Y255,AA255,AC255)</f>
        <v/>
      </c>
      <c r="AE255" s="0">
        <f>X255*Y255+Z255*AA255+AB255*AC255</f>
        <v/>
      </c>
      <c r="AF255" s="0">
        <f>TEXTJOIN(", ",TRUE,IF(AND(X255&gt;0,Y255&gt;0),TEXT(X255,"0.00")&amp;"ct x "&amp;Y255,""),IF(AND(Z255&gt;0,AA255&gt;0),TEXT(Z255,"0.00")&amp;"ct x "&amp;AA255,""),IF(AND(AB255&gt;0,AC255&gt;0),TEXT(AB255,"0.00")&amp;"ct x "&amp;AC255,""))</f>
        <v/>
      </c>
      <c r="AG255" s="0">
        <f>X255*Y255*SUMIFS($AM$2:$AM$11,$AK$2:$AK$11,"&lt;="&amp;X255,$AL$2:$AL$11,"&gt;="&amp;X255)+Z255*AA255*SUMIFS($AM$2:$AM$11,$AK$2:$AK$11,"&lt;="&amp;Z255,$AL$2:$AL$11,"&gt;="&amp;Z255)+AB255*AC255*SUMIFS($AM$2:$AM$11,$AK$2:$AK$11,"&lt;="&amp;AB255,$AL$2:$AL$11,"&gt;="&amp;AB255)</f>
        <v/>
      </c>
      <c r="AH255" s="0">
        <f>AG255*(1-40%)</f>
        <v/>
      </c>
      <c r="AI255" s="0">
        <f>AH255*1.2</f>
        <v/>
      </c>
    </row>
    <row r="256">
      <c r="A256" s="26" t="n"/>
      <c r="B256" s="169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>
        <f>AG256</f>
        <v/>
      </c>
      <c r="T256" s="26">
        <f>AI256+Q256+P256</f>
        <v/>
      </c>
      <c r="U256" s="26" t="n"/>
      <c r="V256" s="26" t="n"/>
      <c r="W256" s="169" t="n"/>
      <c r="X256" s="26" t="n"/>
      <c r="Y256" s="26" t="n"/>
      <c r="Z256" s="26" t="n"/>
      <c r="AA256" s="26" t="n"/>
      <c r="AD256" s="0">
        <f>SUM(Y256,AA256,AC256)</f>
        <v/>
      </c>
      <c r="AE256" s="0">
        <f>X256*Y256+Z256*AA256+AB256*AC256</f>
        <v/>
      </c>
      <c r="AF256" s="0">
        <f>TEXTJOIN(", ",TRUE,IF(AND(X256&gt;0,Y256&gt;0),TEXT(X256,"0.00")&amp;"ct x "&amp;Y256,""),IF(AND(Z256&gt;0,AA256&gt;0),TEXT(Z256,"0.00")&amp;"ct x "&amp;AA256,""),IF(AND(AB256&gt;0,AC256&gt;0),TEXT(AB256,"0.00")&amp;"ct x "&amp;AC256,""))</f>
        <v/>
      </c>
      <c r="AG256" s="0">
        <f>X256*Y256*SUMIFS($AM$2:$AM$11,$AK$2:$AK$11,"&lt;="&amp;X256,$AL$2:$AL$11,"&gt;="&amp;X256)+Z256*AA256*SUMIFS($AM$2:$AM$11,$AK$2:$AK$11,"&lt;="&amp;Z256,$AL$2:$AL$11,"&gt;="&amp;Z256)+AB256*AC256*SUMIFS($AM$2:$AM$11,$AK$2:$AK$11,"&lt;="&amp;AB256,$AL$2:$AL$11,"&gt;="&amp;AB256)</f>
        <v/>
      </c>
      <c r="AH256" s="0">
        <f>AG256*(1-40%)</f>
        <v/>
      </c>
      <c r="AI256" s="0">
        <f>AH256*1.2</f>
        <v/>
      </c>
    </row>
    <row r="257">
      <c r="A257" s="26" t="n"/>
      <c r="B257" s="169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>
        <f>AG257</f>
        <v/>
      </c>
      <c r="T257" s="26">
        <f>AI257+Q257+P257</f>
        <v/>
      </c>
      <c r="U257" s="26" t="n"/>
      <c r="V257" s="26" t="n"/>
      <c r="W257" s="169" t="n"/>
      <c r="X257" s="26" t="n"/>
      <c r="Y257" s="26" t="n"/>
      <c r="Z257" s="26" t="n"/>
      <c r="AA257" s="26" t="n"/>
      <c r="AD257" s="0">
        <f>SUM(Y257,AA257,AC257)</f>
        <v/>
      </c>
      <c r="AE257" s="0">
        <f>X257*Y257+Z257*AA257+AB257*AC257</f>
        <v/>
      </c>
      <c r="AF257" s="0">
        <f>TEXTJOIN(", ",TRUE,IF(AND(X257&gt;0,Y257&gt;0),TEXT(X257,"0.00")&amp;"ct x "&amp;Y257,""),IF(AND(Z257&gt;0,AA257&gt;0),TEXT(Z257,"0.00")&amp;"ct x "&amp;AA257,""),IF(AND(AB257&gt;0,AC257&gt;0),TEXT(AB257,"0.00")&amp;"ct x "&amp;AC257,""))</f>
        <v/>
      </c>
      <c r="AG257" s="0">
        <f>X257*Y257*SUMIFS($AM$2:$AM$11,$AK$2:$AK$11,"&lt;="&amp;X257,$AL$2:$AL$11,"&gt;="&amp;X257)+Z257*AA257*SUMIFS($AM$2:$AM$11,$AK$2:$AK$11,"&lt;="&amp;Z257,$AL$2:$AL$11,"&gt;="&amp;Z257)+AB257*AC257*SUMIFS($AM$2:$AM$11,$AK$2:$AK$11,"&lt;="&amp;AB257,$AL$2:$AL$11,"&gt;="&amp;AB257)</f>
        <v/>
      </c>
      <c r="AH257" s="0">
        <f>AG257*(1-40%)</f>
        <v/>
      </c>
      <c r="AI257" s="0">
        <f>AH257*1.2</f>
        <v/>
      </c>
    </row>
    <row r="258">
      <c r="A258" s="26" t="n"/>
      <c r="B258" s="169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>
        <f>AG258</f>
        <v/>
      </c>
      <c r="T258" s="26">
        <f>AI258+Q258+P258</f>
        <v/>
      </c>
      <c r="U258" s="26" t="n"/>
      <c r="V258" s="26" t="n"/>
      <c r="W258" s="169" t="n"/>
      <c r="X258" s="26" t="n"/>
      <c r="Y258" s="26" t="n"/>
      <c r="Z258" s="26" t="n"/>
      <c r="AA258" s="26" t="n"/>
      <c r="AD258" s="0">
        <f>SUM(Y258,AA258,AC258)</f>
        <v/>
      </c>
      <c r="AE258" s="0">
        <f>X258*Y258+Z258*AA258+AB258*AC258</f>
        <v/>
      </c>
      <c r="AF258" s="0">
        <f>TEXTJOIN(", ",TRUE,IF(AND(X258&gt;0,Y258&gt;0),TEXT(X258,"0.00")&amp;"ct x "&amp;Y258,""),IF(AND(Z258&gt;0,AA258&gt;0),TEXT(Z258,"0.00")&amp;"ct x "&amp;AA258,""),IF(AND(AB258&gt;0,AC258&gt;0),TEXT(AB258,"0.00")&amp;"ct x "&amp;AC258,""))</f>
        <v/>
      </c>
      <c r="AG258" s="0">
        <f>X258*Y258*SUMIFS($AM$2:$AM$11,$AK$2:$AK$11,"&lt;="&amp;X258,$AL$2:$AL$11,"&gt;="&amp;X258)+Z258*AA258*SUMIFS($AM$2:$AM$11,$AK$2:$AK$11,"&lt;="&amp;Z258,$AL$2:$AL$11,"&gt;="&amp;Z258)+AB258*AC258*SUMIFS($AM$2:$AM$11,$AK$2:$AK$11,"&lt;="&amp;AB258,$AL$2:$AL$11,"&gt;="&amp;AB258)</f>
        <v/>
      </c>
      <c r="AH258" s="0">
        <f>AG258*(1-40%)</f>
        <v/>
      </c>
      <c r="AI258" s="0">
        <f>AH258*1.2</f>
        <v/>
      </c>
    </row>
    <row r="259">
      <c r="A259" s="26" t="n"/>
      <c r="B259" s="169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>
        <f>AG259</f>
        <v/>
      </c>
      <c r="T259" s="26">
        <f>AI259+Q259+P259</f>
        <v/>
      </c>
      <c r="U259" s="26" t="n"/>
      <c r="V259" s="26" t="n"/>
      <c r="W259" s="169" t="n"/>
      <c r="X259" s="26" t="n"/>
      <c r="Y259" s="26" t="n"/>
      <c r="Z259" s="26" t="n"/>
      <c r="AA259" s="26" t="n"/>
      <c r="AD259" s="0">
        <f>SUM(Y259,AA259,AC259)</f>
        <v/>
      </c>
      <c r="AE259" s="0">
        <f>X259*Y259+Z259*AA259+AB259*AC259</f>
        <v/>
      </c>
      <c r="AF259" s="0">
        <f>TEXTJOIN(", ",TRUE,IF(AND(X259&gt;0,Y259&gt;0),TEXT(X259,"0.00")&amp;"ct x "&amp;Y259,""),IF(AND(Z259&gt;0,AA259&gt;0),TEXT(Z259,"0.00")&amp;"ct x "&amp;AA259,""),IF(AND(AB259&gt;0,AC259&gt;0),TEXT(AB259,"0.00")&amp;"ct x "&amp;AC259,""))</f>
        <v/>
      </c>
      <c r="AG259" s="0">
        <f>X259*Y259*SUMIFS($AM$2:$AM$11,$AK$2:$AK$11,"&lt;="&amp;X259,$AL$2:$AL$11,"&gt;="&amp;X259)+Z259*AA259*SUMIFS($AM$2:$AM$11,$AK$2:$AK$11,"&lt;="&amp;Z259,$AL$2:$AL$11,"&gt;="&amp;Z259)+AB259*AC259*SUMIFS($AM$2:$AM$11,$AK$2:$AK$11,"&lt;="&amp;AB259,$AL$2:$AL$11,"&gt;="&amp;AB259)</f>
        <v/>
      </c>
      <c r="AH259" s="0">
        <f>AG259*(1-40%)</f>
        <v/>
      </c>
      <c r="AI259" s="0">
        <f>AH259*1.2</f>
        <v/>
      </c>
    </row>
    <row r="260">
      <c r="A260" s="26" t="n"/>
      <c r="B260" s="169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>
        <f>AG260</f>
        <v/>
      </c>
      <c r="T260" s="26">
        <f>AI260+Q260+P260</f>
        <v/>
      </c>
      <c r="U260" s="26" t="n"/>
      <c r="V260" s="26" t="n"/>
      <c r="W260" s="169" t="n"/>
      <c r="X260" s="26" t="n"/>
      <c r="Y260" s="26" t="n"/>
      <c r="Z260" s="26" t="n"/>
      <c r="AA260" s="26" t="n"/>
      <c r="AD260" s="0">
        <f>SUM(Y260,AA260,AC260)</f>
        <v/>
      </c>
      <c r="AE260" s="0">
        <f>X260*Y260+Z260*AA260+AB260*AC260</f>
        <v/>
      </c>
      <c r="AF260" s="0">
        <f>TEXTJOIN(", ",TRUE,IF(AND(X260&gt;0,Y260&gt;0),TEXT(X260,"0.00")&amp;"ct x "&amp;Y260,""),IF(AND(Z260&gt;0,AA260&gt;0),TEXT(Z260,"0.00")&amp;"ct x "&amp;AA260,""),IF(AND(AB260&gt;0,AC260&gt;0),TEXT(AB260,"0.00")&amp;"ct x "&amp;AC260,""))</f>
        <v/>
      </c>
      <c r="AG260" s="0">
        <f>X260*Y260*SUMIFS($AM$2:$AM$11,$AK$2:$AK$11,"&lt;="&amp;X260,$AL$2:$AL$11,"&gt;="&amp;X260)+Z260*AA260*SUMIFS($AM$2:$AM$11,$AK$2:$AK$11,"&lt;="&amp;Z260,$AL$2:$AL$11,"&gt;="&amp;Z260)+AB260*AC260*SUMIFS($AM$2:$AM$11,$AK$2:$AK$11,"&lt;="&amp;AB260,$AL$2:$AL$11,"&gt;="&amp;AB260)</f>
        <v/>
      </c>
      <c r="AH260" s="0">
        <f>AG260*(1-40%)</f>
        <v/>
      </c>
      <c r="AI260" s="0">
        <f>AH260*1.2</f>
        <v/>
      </c>
    </row>
    <row r="261">
      <c r="A261" s="26" t="n"/>
      <c r="B261" s="169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>
        <f>AG261</f>
        <v/>
      </c>
      <c r="T261" s="26">
        <f>AI261+Q261+P261</f>
        <v/>
      </c>
      <c r="U261" s="26" t="n"/>
      <c r="V261" s="26" t="n"/>
      <c r="W261" s="169" t="n"/>
      <c r="X261" s="26" t="n"/>
      <c r="Y261" s="26" t="n"/>
      <c r="Z261" s="26" t="n"/>
      <c r="AA261" s="26" t="n"/>
      <c r="AD261" s="0">
        <f>SUM(Y261,AA261,AC261)</f>
        <v/>
      </c>
      <c r="AE261" s="0">
        <f>X261*Y261+Z261*AA261+AB261*AC261</f>
        <v/>
      </c>
      <c r="AF261" s="0">
        <f>TEXTJOIN(", ",TRUE,IF(AND(X261&gt;0,Y261&gt;0),TEXT(X261,"0.00")&amp;"ct x "&amp;Y261,""),IF(AND(Z261&gt;0,AA261&gt;0),TEXT(Z261,"0.00")&amp;"ct x "&amp;AA261,""),IF(AND(AB261&gt;0,AC261&gt;0),TEXT(AB261,"0.00")&amp;"ct x "&amp;AC261,""))</f>
        <v/>
      </c>
      <c r="AG261" s="0">
        <f>X261*Y261*SUMIFS($AM$2:$AM$11,$AK$2:$AK$11,"&lt;="&amp;X261,$AL$2:$AL$11,"&gt;="&amp;X261)+Z261*AA261*SUMIFS($AM$2:$AM$11,$AK$2:$AK$11,"&lt;="&amp;Z261,$AL$2:$AL$11,"&gt;="&amp;Z261)+AB261*AC261*SUMIFS($AM$2:$AM$11,$AK$2:$AK$11,"&lt;="&amp;AB261,$AL$2:$AL$11,"&gt;="&amp;AB261)</f>
        <v/>
      </c>
      <c r="AH261" s="0">
        <f>AG261*(1-40%)</f>
        <v/>
      </c>
      <c r="AI261" s="0">
        <f>AH261*1.2</f>
        <v/>
      </c>
    </row>
    <row r="262">
      <c r="A262" s="26" t="n"/>
      <c r="B262" s="169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>
        <f>AG262</f>
        <v/>
      </c>
      <c r="T262" s="26">
        <f>AI262+Q262+P262</f>
        <v/>
      </c>
      <c r="U262" s="26" t="n"/>
      <c r="V262" s="26" t="n"/>
      <c r="W262" s="169" t="n"/>
      <c r="X262" s="26" t="n"/>
      <c r="Y262" s="26" t="n"/>
      <c r="Z262" s="26" t="n"/>
      <c r="AA262" s="26" t="n"/>
      <c r="AD262" s="0">
        <f>SUM(Y262,AA262,AC262)</f>
        <v/>
      </c>
      <c r="AE262" s="0">
        <f>X262*Y262+Z262*AA262+AB262*AC262</f>
        <v/>
      </c>
      <c r="AF262" s="0">
        <f>TEXTJOIN(", ",TRUE,IF(AND(X262&gt;0,Y262&gt;0),TEXT(X262,"0.00")&amp;"ct x "&amp;Y262,""),IF(AND(Z262&gt;0,AA262&gt;0),TEXT(Z262,"0.00")&amp;"ct x "&amp;AA262,""),IF(AND(AB262&gt;0,AC262&gt;0),TEXT(AB262,"0.00")&amp;"ct x "&amp;AC262,""))</f>
        <v/>
      </c>
      <c r="AG262" s="0">
        <f>X262*Y262*SUMIFS($AM$2:$AM$11,$AK$2:$AK$11,"&lt;="&amp;X262,$AL$2:$AL$11,"&gt;="&amp;X262)+Z262*AA262*SUMIFS($AM$2:$AM$11,$AK$2:$AK$11,"&lt;="&amp;Z262,$AL$2:$AL$11,"&gt;="&amp;Z262)+AB262*AC262*SUMIFS($AM$2:$AM$11,$AK$2:$AK$11,"&lt;="&amp;AB262,$AL$2:$AL$11,"&gt;="&amp;AB262)</f>
        <v/>
      </c>
      <c r="AH262" s="0">
        <f>AG262*(1-40%)</f>
        <v/>
      </c>
      <c r="AI262" s="0">
        <f>AH262*1.2</f>
        <v/>
      </c>
    </row>
    <row r="263">
      <c r="A263" s="26" t="n"/>
      <c r="B263" s="169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>
        <f>AG263</f>
        <v/>
      </c>
      <c r="T263" s="26">
        <f>AI263+Q263+P263</f>
        <v/>
      </c>
      <c r="U263" s="26" t="n"/>
      <c r="V263" s="26" t="n"/>
      <c r="W263" s="169" t="n"/>
      <c r="X263" s="26" t="n"/>
      <c r="Y263" s="26" t="n"/>
      <c r="Z263" s="26" t="n"/>
      <c r="AA263" s="26" t="n"/>
      <c r="AD263" s="0">
        <f>SUM(Y263,AA263,AC263)</f>
        <v/>
      </c>
      <c r="AE263" s="0">
        <f>X263*Y263+Z263*AA263+AB263*AC263</f>
        <v/>
      </c>
      <c r="AF263" s="0">
        <f>TEXTJOIN(", ",TRUE,IF(AND(X263&gt;0,Y263&gt;0),TEXT(X263,"0.00")&amp;"ct x "&amp;Y263,""),IF(AND(Z263&gt;0,AA263&gt;0),TEXT(Z263,"0.00")&amp;"ct x "&amp;AA263,""),IF(AND(AB263&gt;0,AC263&gt;0),TEXT(AB263,"0.00")&amp;"ct x "&amp;AC263,""))</f>
        <v/>
      </c>
      <c r="AG263" s="0">
        <f>X263*Y263*SUMIFS($AM$2:$AM$11,$AK$2:$AK$11,"&lt;="&amp;X263,$AL$2:$AL$11,"&gt;="&amp;X263)+Z263*AA263*SUMIFS($AM$2:$AM$11,$AK$2:$AK$11,"&lt;="&amp;Z263,$AL$2:$AL$11,"&gt;="&amp;Z263)+AB263*AC263*SUMIFS($AM$2:$AM$11,$AK$2:$AK$11,"&lt;="&amp;AB263,$AL$2:$AL$11,"&gt;="&amp;AB263)</f>
        <v/>
      </c>
      <c r="AH263" s="0">
        <f>AG263*(1-40%)</f>
        <v/>
      </c>
      <c r="AI263" s="0">
        <f>AH263*1.2</f>
        <v/>
      </c>
    </row>
    <row r="264">
      <c r="A264" s="26" t="n"/>
      <c r="B264" s="169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>
        <f>AG264</f>
        <v/>
      </c>
      <c r="T264" s="26">
        <f>AI264+Q264+P264</f>
        <v/>
      </c>
      <c r="U264" s="26" t="n"/>
      <c r="V264" s="26" t="n"/>
      <c r="W264" s="169" t="n"/>
      <c r="X264" s="26" t="n"/>
      <c r="Y264" s="26" t="n"/>
      <c r="Z264" s="26" t="n"/>
      <c r="AA264" s="26" t="n"/>
      <c r="AD264" s="0">
        <f>SUM(Y264,AA264,AC264)</f>
        <v/>
      </c>
      <c r="AE264" s="0">
        <f>X264*Y264+Z264*AA264+AB264*AC264</f>
        <v/>
      </c>
      <c r="AF264" s="0">
        <f>TEXTJOIN(", ",TRUE,IF(AND(X264&gt;0,Y264&gt;0),TEXT(X264,"0.00")&amp;"ct x "&amp;Y264,""),IF(AND(Z264&gt;0,AA264&gt;0),TEXT(Z264,"0.00")&amp;"ct x "&amp;AA264,""),IF(AND(AB264&gt;0,AC264&gt;0),TEXT(AB264,"0.00")&amp;"ct x "&amp;AC264,""))</f>
        <v/>
      </c>
      <c r="AG264" s="0">
        <f>X264*Y264*SUMIFS($AM$2:$AM$11,$AK$2:$AK$11,"&lt;="&amp;X264,$AL$2:$AL$11,"&gt;="&amp;X264)+Z264*AA264*SUMIFS($AM$2:$AM$11,$AK$2:$AK$11,"&lt;="&amp;Z264,$AL$2:$AL$11,"&gt;="&amp;Z264)+AB264*AC264*SUMIFS($AM$2:$AM$11,$AK$2:$AK$11,"&lt;="&amp;AB264,$AL$2:$AL$11,"&gt;="&amp;AB264)</f>
        <v/>
      </c>
      <c r="AH264" s="0">
        <f>AG264*(1-40%)</f>
        <v/>
      </c>
      <c r="AI264" s="0">
        <f>AH264*1.2</f>
        <v/>
      </c>
    </row>
    <row r="265">
      <c r="A265" s="26" t="n"/>
      <c r="B265" s="169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>
        <f>AG265</f>
        <v/>
      </c>
      <c r="T265" s="26">
        <f>AI265+Q265+P265</f>
        <v/>
      </c>
      <c r="U265" s="26" t="n"/>
      <c r="V265" s="26" t="n"/>
      <c r="W265" s="169" t="n"/>
      <c r="X265" s="26" t="n"/>
      <c r="Y265" s="26" t="n"/>
      <c r="Z265" s="26" t="n"/>
      <c r="AA265" s="26" t="n"/>
      <c r="AD265" s="0">
        <f>SUM(Y265,AA265,AC265)</f>
        <v/>
      </c>
      <c r="AE265" s="0">
        <f>X265*Y265+Z265*AA265+AB265*AC265</f>
        <v/>
      </c>
      <c r="AF265" s="0">
        <f>TEXTJOIN(", ",TRUE,IF(AND(X265&gt;0,Y265&gt;0),TEXT(X265,"0.00")&amp;"ct x "&amp;Y265,""),IF(AND(Z265&gt;0,AA265&gt;0),TEXT(Z265,"0.00")&amp;"ct x "&amp;AA265,""),IF(AND(AB265&gt;0,AC265&gt;0),TEXT(AB265,"0.00")&amp;"ct x "&amp;AC265,""))</f>
        <v/>
      </c>
      <c r="AG265" s="0">
        <f>X265*Y265*SUMIFS($AM$2:$AM$11,$AK$2:$AK$11,"&lt;="&amp;X265,$AL$2:$AL$11,"&gt;="&amp;X265)+Z265*AA265*SUMIFS($AM$2:$AM$11,$AK$2:$AK$11,"&lt;="&amp;Z265,$AL$2:$AL$11,"&gt;="&amp;Z265)+AB265*AC265*SUMIFS($AM$2:$AM$11,$AK$2:$AK$11,"&lt;="&amp;AB265,$AL$2:$AL$11,"&gt;="&amp;AB265)</f>
        <v/>
      </c>
      <c r="AH265" s="0">
        <f>AG265*(1-40%)</f>
        <v/>
      </c>
      <c r="AI265" s="0">
        <f>AH265*1.2</f>
        <v/>
      </c>
    </row>
    <row r="266">
      <c r="A266" s="26" t="n"/>
      <c r="B266" s="169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>
        <f>AG266</f>
        <v/>
      </c>
      <c r="T266" s="26">
        <f>AI266+Q266+P266</f>
        <v/>
      </c>
      <c r="U266" s="26" t="n"/>
      <c r="V266" s="26" t="n"/>
      <c r="W266" s="169" t="n"/>
      <c r="X266" s="26" t="n"/>
      <c r="Y266" s="26" t="n"/>
      <c r="Z266" s="26" t="n"/>
      <c r="AA266" s="26" t="n"/>
      <c r="AD266" s="0">
        <f>SUM(Y266,AA266,AC266)</f>
        <v/>
      </c>
      <c r="AE266" s="0">
        <f>X266*Y266+Z266*AA266+AB266*AC266</f>
        <v/>
      </c>
      <c r="AF266" s="0">
        <f>TEXTJOIN(", ",TRUE,IF(AND(X266&gt;0,Y266&gt;0),TEXT(X266,"0.00")&amp;"ct x "&amp;Y266,""),IF(AND(Z266&gt;0,AA266&gt;0),TEXT(Z266,"0.00")&amp;"ct x "&amp;AA266,""),IF(AND(AB266&gt;0,AC266&gt;0),TEXT(AB266,"0.00")&amp;"ct x "&amp;AC266,""))</f>
        <v/>
      </c>
      <c r="AG266" s="0">
        <f>X266*Y266*SUMIFS($AM$2:$AM$11,$AK$2:$AK$11,"&lt;="&amp;X266,$AL$2:$AL$11,"&gt;="&amp;X266)+Z266*AA266*SUMIFS($AM$2:$AM$11,$AK$2:$AK$11,"&lt;="&amp;Z266,$AL$2:$AL$11,"&gt;="&amp;Z266)+AB266*AC266*SUMIFS($AM$2:$AM$11,$AK$2:$AK$11,"&lt;="&amp;AB266,$AL$2:$AL$11,"&gt;="&amp;AB266)</f>
        <v/>
      </c>
      <c r="AH266" s="0">
        <f>AG266*(1-40%)</f>
        <v/>
      </c>
      <c r="AI266" s="0">
        <f>AH266*1.2</f>
        <v/>
      </c>
    </row>
    <row r="267">
      <c r="A267" s="26" t="n"/>
      <c r="B267" s="169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>
        <f>AG267</f>
        <v/>
      </c>
      <c r="T267" s="26">
        <f>AI267+Q267+P267</f>
        <v/>
      </c>
      <c r="U267" s="26" t="n"/>
      <c r="V267" s="26" t="n"/>
      <c r="W267" s="169" t="n"/>
      <c r="X267" s="26" t="n"/>
      <c r="Y267" s="26" t="n"/>
      <c r="Z267" s="26" t="n"/>
      <c r="AA267" s="26" t="n"/>
      <c r="AD267" s="0">
        <f>SUM(Y267,AA267,AC267)</f>
        <v/>
      </c>
      <c r="AE267" s="0">
        <f>X267*Y267+Z267*AA267+AB267*AC267</f>
        <v/>
      </c>
      <c r="AF267" s="0">
        <f>TEXTJOIN(", ",TRUE,IF(AND(X267&gt;0,Y267&gt;0),TEXT(X267,"0.00")&amp;"ct x "&amp;Y267,""),IF(AND(Z267&gt;0,AA267&gt;0),TEXT(Z267,"0.00")&amp;"ct x "&amp;AA267,""),IF(AND(AB267&gt;0,AC267&gt;0),TEXT(AB267,"0.00")&amp;"ct x "&amp;AC267,""))</f>
        <v/>
      </c>
      <c r="AG267" s="0">
        <f>X267*Y267*SUMIFS($AM$2:$AM$11,$AK$2:$AK$11,"&lt;="&amp;X267,$AL$2:$AL$11,"&gt;="&amp;X267)+Z267*AA267*SUMIFS($AM$2:$AM$11,$AK$2:$AK$11,"&lt;="&amp;Z267,$AL$2:$AL$11,"&gt;="&amp;Z267)+AB267*AC267*SUMIFS($AM$2:$AM$11,$AK$2:$AK$11,"&lt;="&amp;AB267,$AL$2:$AL$11,"&gt;="&amp;AB267)</f>
        <v/>
      </c>
      <c r="AH267" s="0">
        <f>AG267*(1-40%)</f>
        <v/>
      </c>
      <c r="AI267" s="0">
        <f>AH267*1.2</f>
        <v/>
      </c>
    </row>
    <row r="268">
      <c r="A268" s="26" t="n"/>
      <c r="B268" s="169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>
        <f>AG268</f>
        <v/>
      </c>
      <c r="T268" s="26">
        <f>AI268+Q268+P268</f>
        <v/>
      </c>
      <c r="U268" s="26" t="n"/>
      <c r="V268" s="26" t="n"/>
      <c r="W268" s="169" t="n"/>
      <c r="X268" s="26" t="n"/>
      <c r="Y268" s="26" t="n"/>
      <c r="Z268" s="26" t="n"/>
      <c r="AA268" s="26" t="n"/>
      <c r="AD268" s="0">
        <f>SUM(Y268,AA268,AC268)</f>
        <v/>
      </c>
      <c r="AE268" s="0">
        <f>X268*Y268+Z268*AA268+AB268*AC268</f>
        <v/>
      </c>
      <c r="AF268" s="0">
        <f>TEXTJOIN(", ",TRUE,IF(AND(X268&gt;0,Y268&gt;0),TEXT(X268,"0.00")&amp;"ct x "&amp;Y268,""),IF(AND(Z268&gt;0,AA268&gt;0),TEXT(Z268,"0.00")&amp;"ct x "&amp;AA268,""),IF(AND(AB268&gt;0,AC268&gt;0),TEXT(AB268,"0.00")&amp;"ct x "&amp;AC268,""))</f>
        <v/>
      </c>
      <c r="AG268" s="0">
        <f>X268*Y268*SUMIFS($AM$2:$AM$11,$AK$2:$AK$11,"&lt;="&amp;X268,$AL$2:$AL$11,"&gt;="&amp;X268)+Z268*AA268*SUMIFS($AM$2:$AM$11,$AK$2:$AK$11,"&lt;="&amp;Z268,$AL$2:$AL$11,"&gt;="&amp;Z268)+AB268*AC268*SUMIFS($AM$2:$AM$11,$AK$2:$AK$11,"&lt;="&amp;AB268,$AL$2:$AL$11,"&gt;="&amp;AB268)</f>
        <v/>
      </c>
      <c r="AH268" s="0">
        <f>AG268*(1-40%)</f>
        <v/>
      </c>
      <c r="AI268" s="0">
        <f>AH268*1.2</f>
        <v/>
      </c>
    </row>
    <row r="269">
      <c r="A269" s="26" t="n"/>
      <c r="B269" s="169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>
        <f>AG269</f>
        <v/>
      </c>
      <c r="T269" s="26">
        <f>AI269+Q269+P269</f>
        <v/>
      </c>
      <c r="U269" s="26" t="n"/>
      <c r="V269" s="26" t="n"/>
      <c r="W269" s="169" t="n"/>
      <c r="X269" s="26" t="n"/>
      <c r="Y269" s="26" t="n"/>
      <c r="Z269" s="26" t="n"/>
      <c r="AA269" s="26" t="n"/>
      <c r="AD269" s="0">
        <f>SUM(Y269,AA269,AC269)</f>
        <v/>
      </c>
      <c r="AE269" s="0">
        <f>X269*Y269+Z269*AA269+AB269*AC269</f>
        <v/>
      </c>
      <c r="AF269" s="0">
        <f>TEXTJOIN(", ",TRUE,IF(AND(X269&gt;0,Y269&gt;0),TEXT(X269,"0.00")&amp;"ct x "&amp;Y269,""),IF(AND(Z269&gt;0,AA269&gt;0),TEXT(Z269,"0.00")&amp;"ct x "&amp;AA269,""),IF(AND(AB269&gt;0,AC269&gt;0),TEXT(AB269,"0.00")&amp;"ct x "&amp;AC269,""))</f>
        <v/>
      </c>
      <c r="AG269" s="0">
        <f>X269*Y269*SUMIFS($AM$2:$AM$11,$AK$2:$AK$11,"&lt;="&amp;X269,$AL$2:$AL$11,"&gt;="&amp;X269)+Z269*AA269*SUMIFS($AM$2:$AM$11,$AK$2:$AK$11,"&lt;="&amp;Z269,$AL$2:$AL$11,"&gt;="&amp;Z269)+AB269*AC269*SUMIFS($AM$2:$AM$11,$AK$2:$AK$11,"&lt;="&amp;AB269,$AL$2:$AL$11,"&gt;="&amp;AB269)</f>
        <v/>
      </c>
      <c r="AH269" s="0">
        <f>AG269*(1-40%)</f>
        <v/>
      </c>
      <c r="AI269" s="0">
        <f>AH269*1.2</f>
        <v/>
      </c>
    </row>
    <row r="270">
      <c r="A270" s="26" t="n"/>
      <c r="B270" s="169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>
        <f>AG270</f>
        <v/>
      </c>
      <c r="T270" s="26">
        <f>AI270+Q270+P270</f>
        <v/>
      </c>
      <c r="U270" s="26" t="n"/>
      <c r="V270" s="26" t="n"/>
      <c r="W270" s="169" t="n"/>
      <c r="X270" s="26" t="n"/>
      <c r="Y270" s="26" t="n"/>
      <c r="Z270" s="26" t="n"/>
      <c r="AA270" s="26" t="n"/>
      <c r="AD270" s="0">
        <f>SUM(Y270,AA270,AC270)</f>
        <v/>
      </c>
      <c r="AE270" s="0">
        <f>X270*Y270+Z270*AA270+AB270*AC270</f>
        <v/>
      </c>
      <c r="AF270" s="0">
        <f>TEXTJOIN(", ",TRUE,IF(AND(X270&gt;0,Y270&gt;0),TEXT(X270,"0.00")&amp;"ct x "&amp;Y270,""),IF(AND(Z270&gt;0,AA270&gt;0),TEXT(Z270,"0.00")&amp;"ct x "&amp;AA270,""),IF(AND(AB270&gt;0,AC270&gt;0),TEXT(AB270,"0.00")&amp;"ct x "&amp;AC270,""))</f>
        <v/>
      </c>
      <c r="AG270" s="0">
        <f>X270*Y270*SUMIFS($AM$2:$AM$11,$AK$2:$AK$11,"&lt;="&amp;X270,$AL$2:$AL$11,"&gt;="&amp;X270)+Z270*AA270*SUMIFS($AM$2:$AM$11,$AK$2:$AK$11,"&lt;="&amp;Z270,$AL$2:$AL$11,"&gt;="&amp;Z270)+AB270*AC270*SUMIFS($AM$2:$AM$11,$AK$2:$AK$11,"&lt;="&amp;AB270,$AL$2:$AL$11,"&gt;="&amp;AB270)</f>
        <v/>
      </c>
      <c r="AH270" s="0">
        <f>AG270*(1-40%)</f>
        <v/>
      </c>
      <c r="AI270" s="0">
        <f>AH270*1.2</f>
        <v/>
      </c>
    </row>
    <row r="271">
      <c r="A271" s="26" t="n"/>
      <c r="B271" s="169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>
        <f>AG271</f>
        <v/>
      </c>
      <c r="T271" s="26">
        <f>AI271+Q271+P271</f>
        <v/>
      </c>
      <c r="U271" s="26" t="n"/>
      <c r="V271" s="26" t="n"/>
      <c r="W271" s="169" t="n"/>
      <c r="X271" s="26" t="n"/>
      <c r="Y271" s="26" t="n"/>
      <c r="Z271" s="26" t="n"/>
      <c r="AA271" s="26" t="n"/>
      <c r="AD271" s="0">
        <f>SUM(Y271,AA271,AC271)</f>
        <v/>
      </c>
      <c r="AE271" s="0">
        <f>X271*Y271+Z271*AA271+AB271*AC271</f>
        <v/>
      </c>
      <c r="AF271" s="0">
        <f>TEXTJOIN(", ",TRUE,IF(AND(X271&gt;0,Y271&gt;0),TEXT(X271,"0.00")&amp;"ct x "&amp;Y271,""),IF(AND(Z271&gt;0,AA271&gt;0),TEXT(Z271,"0.00")&amp;"ct x "&amp;AA271,""),IF(AND(AB271&gt;0,AC271&gt;0),TEXT(AB271,"0.00")&amp;"ct x "&amp;AC271,""))</f>
        <v/>
      </c>
      <c r="AG271" s="0">
        <f>X271*Y271*SUMIFS($AM$2:$AM$11,$AK$2:$AK$11,"&lt;="&amp;X271,$AL$2:$AL$11,"&gt;="&amp;X271)+Z271*AA271*SUMIFS($AM$2:$AM$11,$AK$2:$AK$11,"&lt;="&amp;Z271,$AL$2:$AL$11,"&gt;="&amp;Z271)+AB271*AC271*SUMIFS($AM$2:$AM$11,$AK$2:$AK$11,"&lt;="&amp;AB271,$AL$2:$AL$11,"&gt;="&amp;AB271)</f>
        <v/>
      </c>
      <c r="AH271" s="0">
        <f>AG271*(1-40%)</f>
        <v/>
      </c>
      <c r="AI271" s="0">
        <f>AH271*1.2</f>
        <v/>
      </c>
    </row>
    <row r="272">
      <c r="A272" s="26" t="n"/>
      <c r="B272" s="169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>
        <f>AG272</f>
        <v/>
      </c>
      <c r="T272" s="26">
        <f>AI272+Q272+P272</f>
        <v/>
      </c>
      <c r="U272" s="26" t="n"/>
      <c r="V272" s="26" t="n"/>
      <c r="W272" s="169" t="n"/>
      <c r="X272" s="26" t="n"/>
      <c r="Y272" s="26" t="n"/>
      <c r="Z272" s="26" t="n"/>
      <c r="AA272" s="26" t="n"/>
      <c r="AD272" s="0">
        <f>SUM(Y272,AA272,AC272)</f>
        <v/>
      </c>
      <c r="AE272" s="0">
        <f>X272*Y272+Z272*AA272+AB272*AC272</f>
        <v/>
      </c>
      <c r="AF272" s="0">
        <f>TEXTJOIN(", ",TRUE,IF(AND(X272&gt;0,Y272&gt;0),TEXT(X272,"0.00")&amp;"ct x "&amp;Y272,""),IF(AND(Z272&gt;0,AA272&gt;0),TEXT(Z272,"0.00")&amp;"ct x "&amp;AA272,""),IF(AND(AB272&gt;0,AC272&gt;0),TEXT(AB272,"0.00")&amp;"ct x "&amp;AC272,""))</f>
        <v/>
      </c>
      <c r="AG272" s="0">
        <f>X272*Y272*SUMIFS($AM$2:$AM$11,$AK$2:$AK$11,"&lt;="&amp;X272,$AL$2:$AL$11,"&gt;="&amp;X272)+Z272*AA272*SUMIFS($AM$2:$AM$11,$AK$2:$AK$11,"&lt;="&amp;Z272,$AL$2:$AL$11,"&gt;="&amp;Z272)+AB272*AC272*SUMIFS($AM$2:$AM$11,$AK$2:$AK$11,"&lt;="&amp;AB272,$AL$2:$AL$11,"&gt;="&amp;AB272)</f>
        <v/>
      </c>
      <c r="AH272" s="0">
        <f>AG272*(1-40%)</f>
        <v/>
      </c>
      <c r="AI272" s="0">
        <f>AH272*1.2</f>
        <v/>
      </c>
    </row>
    <row r="273">
      <c r="A273" s="26" t="n"/>
      <c r="B273" s="169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>
        <f>AG273</f>
        <v/>
      </c>
      <c r="T273" s="26">
        <f>AI273+Q273+P273</f>
        <v/>
      </c>
      <c r="U273" s="26" t="n"/>
      <c r="V273" s="26" t="n"/>
      <c r="W273" s="169" t="n"/>
      <c r="X273" s="26" t="n"/>
      <c r="Y273" s="26" t="n"/>
      <c r="Z273" s="26" t="n"/>
      <c r="AA273" s="26" t="n"/>
      <c r="AD273" s="0">
        <f>SUM(Y273,AA273,AC273)</f>
        <v/>
      </c>
      <c r="AE273" s="0">
        <f>X273*Y273+Z273*AA273+AB273*AC273</f>
        <v/>
      </c>
      <c r="AF273" s="0">
        <f>TEXTJOIN(", ",TRUE,IF(AND(X273&gt;0,Y273&gt;0),TEXT(X273,"0.00")&amp;"ct x "&amp;Y273,""),IF(AND(Z273&gt;0,AA273&gt;0),TEXT(Z273,"0.00")&amp;"ct x "&amp;AA273,""),IF(AND(AB273&gt;0,AC273&gt;0),TEXT(AB273,"0.00")&amp;"ct x "&amp;AC273,""))</f>
        <v/>
      </c>
      <c r="AG273" s="0">
        <f>X273*Y273*SUMIFS($AM$2:$AM$11,$AK$2:$AK$11,"&lt;="&amp;X273,$AL$2:$AL$11,"&gt;="&amp;X273)+Z273*AA273*SUMIFS($AM$2:$AM$11,$AK$2:$AK$11,"&lt;="&amp;Z273,$AL$2:$AL$11,"&gt;="&amp;Z273)+AB273*AC273*SUMIFS($AM$2:$AM$11,$AK$2:$AK$11,"&lt;="&amp;AB273,$AL$2:$AL$11,"&gt;="&amp;AB273)</f>
        <v/>
      </c>
      <c r="AH273" s="0">
        <f>AG273*(1-40%)</f>
        <v/>
      </c>
      <c r="AI273" s="0">
        <f>AH273*1.2</f>
        <v/>
      </c>
    </row>
    <row r="274">
      <c r="A274" s="26" t="n"/>
      <c r="B274" s="169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>
        <f>AG274</f>
        <v/>
      </c>
      <c r="T274" s="26">
        <f>AI274+Q274+P274</f>
        <v/>
      </c>
      <c r="U274" s="26" t="n"/>
      <c r="V274" s="26" t="n"/>
      <c r="W274" s="169" t="n"/>
      <c r="X274" s="26" t="n"/>
      <c r="Y274" s="26" t="n"/>
      <c r="Z274" s="26" t="n"/>
      <c r="AA274" s="26" t="n"/>
      <c r="AD274" s="0">
        <f>SUM(Y274,AA274,AC274)</f>
        <v/>
      </c>
      <c r="AE274" s="0">
        <f>X274*Y274+Z274*AA274+AB274*AC274</f>
        <v/>
      </c>
      <c r="AF274" s="0">
        <f>TEXTJOIN(", ",TRUE,IF(AND(X274&gt;0,Y274&gt;0),TEXT(X274,"0.00")&amp;"ct x "&amp;Y274,""),IF(AND(Z274&gt;0,AA274&gt;0),TEXT(Z274,"0.00")&amp;"ct x "&amp;AA274,""),IF(AND(AB274&gt;0,AC274&gt;0),TEXT(AB274,"0.00")&amp;"ct x "&amp;AC274,""))</f>
        <v/>
      </c>
      <c r="AG274" s="0">
        <f>X274*Y274*SUMIFS($AM$2:$AM$11,$AK$2:$AK$11,"&lt;="&amp;X274,$AL$2:$AL$11,"&gt;="&amp;X274)+Z274*AA274*SUMIFS($AM$2:$AM$11,$AK$2:$AK$11,"&lt;="&amp;Z274,$AL$2:$AL$11,"&gt;="&amp;Z274)+AB274*AC274*SUMIFS($AM$2:$AM$11,$AK$2:$AK$11,"&lt;="&amp;AB274,$AL$2:$AL$11,"&gt;="&amp;AB274)</f>
        <v/>
      </c>
      <c r="AH274" s="0">
        <f>AG274*(1-40%)</f>
        <v/>
      </c>
      <c r="AI274" s="0">
        <f>AH274*1.2</f>
        <v/>
      </c>
    </row>
    <row r="275">
      <c r="A275" s="26" t="n"/>
      <c r="B275" s="169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>
        <f>AG275</f>
        <v/>
      </c>
      <c r="T275" s="26">
        <f>AI275+Q275+P275</f>
        <v/>
      </c>
      <c r="U275" s="26" t="n"/>
      <c r="V275" s="26" t="n"/>
      <c r="W275" s="169" t="n"/>
      <c r="X275" s="26" t="n"/>
      <c r="Y275" s="26" t="n"/>
      <c r="Z275" s="26" t="n"/>
      <c r="AA275" s="26" t="n"/>
      <c r="AD275" s="0">
        <f>SUM(Y275,AA275,AC275)</f>
        <v/>
      </c>
      <c r="AE275" s="0">
        <f>X275*Y275+Z275*AA275+AB275*AC275</f>
        <v/>
      </c>
      <c r="AF275" s="0">
        <f>TEXTJOIN(", ",TRUE,IF(AND(X275&gt;0,Y275&gt;0),TEXT(X275,"0.00")&amp;"ct x "&amp;Y275,""),IF(AND(Z275&gt;0,AA275&gt;0),TEXT(Z275,"0.00")&amp;"ct x "&amp;AA275,""),IF(AND(AB275&gt;0,AC275&gt;0),TEXT(AB275,"0.00")&amp;"ct x "&amp;AC275,""))</f>
        <v/>
      </c>
      <c r="AG275" s="0">
        <f>X275*Y275*SUMIFS($AM$2:$AM$11,$AK$2:$AK$11,"&lt;="&amp;X275,$AL$2:$AL$11,"&gt;="&amp;X275)+Z275*AA275*SUMIFS($AM$2:$AM$11,$AK$2:$AK$11,"&lt;="&amp;Z275,$AL$2:$AL$11,"&gt;="&amp;Z275)+AB275*AC275*SUMIFS($AM$2:$AM$11,$AK$2:$AK$11,"&lt;="&amp;AB275,$AL$2:$AL$11,"&gt;="&amp;AB275)</f>
        <v/>
      </c>
      <c r="AH275" s="0">
        <f>AG275*(1-40%)</f>
        <v/>
      </c>
      <c r="AI275" s="0">
        <f>AH275*1.2</f>
        <v/>
      </c>
    </row>
    <row r="276">
      <c r="A276" s="26" t="n"/>
      <c r="B276" s="169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>
        <f>AG276</f>
        <v/>
      </c>
      <c r="T276" s="26">
        <f>AI276+Q276+P276</f>
        <v/>
      </c>
      <c r="U276" s="26" t="n"/>
      <c r="V276" s="26" t="n"/>
      <c r="W276" s="169" t="n"/>
      <c r="X276" s="26" t="n"/>
      <c r="Y276" s="26" t="n"/>
      <c r="Z276" s="26" t="n"/>
      <c r="AA276" s="26" t="n"/>
      <c r="AD276" s="0">
        <f>SUM(Y276,AA276,AC276)</f>
        <v/>
      </c>
      <c r="AE276" s="0">
        <f>X276*Y276+Z276*AA276+AB276*AC276</f>
        <v/>
      </c>
      <c r="AF276" s="0">
        <f>TEXTJOIN(", ",TRUE,IF(AND(X276&gt;0,Y276&gt;0),TEXT(X276,"0.00")&amp;"ct x "&amp;Y276,""),IF(AND(Z276&gt;0,AA276&gt;0),TEXT(Z276,"0.00")&amp;"ct x "&amp;AA276,""),IF(AND(AB276&gt;0,AC276&gt;0),TEXT(AB276,"0.00")&amp;"ct x "&amp;AC276,""))</f>
        <v/>
      </c>
      <c r="AG276" s="0">
        <f>X276*Y276*SUMIFS($AM$2:$AM$11,$AK$2:$AK$11,"&lt;="&amp;X276,$AL$2:$AL$11,"&gt;="&amp;X276)+Z276*AA276*SUMIFS($AM$2:$AM$11,$AK$2:$AK$11,"&lt;="&amp;Z276,$AL$2:$AL$11,"&gt;="&amp;Z276)+AB276*AC276*SUMIFS($AM$2:$AM$11,$AK$2:$AK$11,"&lt;="&amp;AB276,$AL$2:$AL$11,"&gt;="&amp;AB276)</f>
        <v/>
      </c>
      <c r="AH276" s="0">
        <f>AG276*(1-40%)</f>
        <v/>
      </c>
      <c r="AI276" s="0">
        <f>AH276*1.2</f>
        <v/>
      </c>
    </row>
    <row r="277">
      <c r="A277" s="26" t="n"/>
      <c r="B277" s="169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>
        <f>AG277</f>
        <v/>
      </c>
      <c r="T277" s="26">
        <f>AI277+Q277+P277</f>
        <v/>
      </c>
      <c r="U277" s="26" t="n"/>
      <c r="V277" s="26" t="n"/>
      <c r="W277" s="169" t="n"/>
      <c r="X277" s="26" t="n"/>
      <c r="Y277" s="26" t="n"/>
      <c r="Z277" s="26" t="n"/>
      <c r="AA277" s="26" t="n"/>
      <c r="AD277" s="0">
        <f>SUM(Y277,AA277,AC277)</f>
        <v/>
      </c>
      <c r="AE277" s="0">
        <f>X277*Y277+Z277*AA277+AB277*AC277</f>
        <v/>
      </c>
      <c r="AF277" s="0">
        <f>TEXTJOIN(", ",TRUE,IF(AND(X277&gt;0,Y277&gt;0),TEXT(X277,"0.00")&amp;"ct x "&amp;Y277,""),IF(AND(Z277&gt;0,AA277&gt;0),TEXT(Z277,"0.00")&amp;"ct x "&amp;AA277,""),IF(AND(AB277&gt;0,AC277&gt;0),TEXT(AB277,"0.00")&amp;"ct x "&amp;AC277,""))</f>
        <v/>
      </c>
      <c r="AG277" s="0">
        <f>X277*Y277*SUMIFS($AM$2:$AM$11,$AK$2:$AK$11,"&lt;="&amp;X277,$AL$2:$AL$11,"&gt;="&amp;X277)+Z277*AA277*SUMIFS($AM$2:$AM$11,$AK$2:$AK$11,"&lt;="&amp;Z277,$AL$2:$AL$11,"&gt;="&amp;Z277)+AB277*AC277*SUMIFS($AM$2:$AM$11,$AK$2:$AK$11,"&lt;="&amp;AB277,$AL$2:$AL$11,"&gt;="&amp;AB277)</f>
        <v/>
      </c>
      <c r="AH277" s="0">
        <f>AG277*(1-40%)</f>
        <v/>
      </c>
      <c r="AI277" s="0">
        <f>AH277*1.2</f>
        <v/>
      </c>
    </row>
    <row r="278">
      <c r="A278" s="26" t="n"/>
      <c r="B278" s="169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>
        <f>AG278</f>
        <v/>
      </c>
      <c r="T278" s="26">
        <f>AI278+Q278+P278</f>
        <v/>
      </c>
      <c r="U278" s="26" t="n"/>
      <c r="V278" s="26" t="n"/>
      <c r="W278" s="169" t="n"/>
      <c r="X278" s="26" t="n"/>
      <c r="Y278" s="26" t="n"/>
      <c r="Z278" s="26" t="n"/>
      <c r="AA278" s="26" t="n"/>
      <c r="AD278" s="0">
        <f>SUM(Y278,AA278,AC278)</f>
        <v/>
      </c>
      <c r="AE278" s="0">
        <f>X278*Y278+Z278*AA278+AB278*AC278</f>
        <v/>
      </c>
      <c r="AF278" s="0">
        <f>TEXTJOIN(", ",TRUE,IF(AND(X278&gt;0,Y278&gt;0),TEXT(X278,"0.00")&amp;"ct x "&amp;Y278,""),IF(AND(Z278&gt;0,AA278&gt;0),TEXT(Z278,"0.00")&amp;"ct x "&amp;AA278,""),IF(AND(AB278&gt;0,AC278&gt;0),TEXT(AB278,"0.00")&amp;"ct x "&amp;AC278,""))</f>
        <v/>
      </c>
      <c r="AG278" s="0">
        <f>X278*Y278*SUMIFS($AM$2:$AM$11,$AK$2:$AK$11,"&lt;="&amp;X278,$AL$2:$AL$11,"&gt;="&amp;X278)+Z278*AA278*SUMIFS($AM$2:$AM$11,$AK$2:$AK$11,"&lt;="&amp;Z278,$AL$2:$AL$11,"&gt;="&amp;Z278)+AB278*AC278*SUMIFS($AM$2:$AM$11,$AK$2:$AK$11,"&lt;="&amp;AB278,$AL$2:$AL$11,"&gt;="&amp;AB278)</f>
        <v/>
      </c>
      <c r="AH278" s="0">
        <f>AG278*(1-40%)</f>
        <v/>
      </c>
      <c r="AI278" s="0">
        <f>AH278*1.2</f>
        <v/>
      </c>
    </row>
    <row r="279">
      <c r="A279" s="26" t="n"/>
      <c r="B279" s="169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>
        <f>AG279</f>
        <v/>
      </c>
      <c r="T279" s="26">
        <f>AI279+Q279+P279</f>
        <v/>
      </c>
      <c r="U279" s="26" t="n"/>
      <c r="V279" s="26" t="n"/>
      <c r="W279" s="169" t="n"/>
      <c r="X279" s="26" t="n"/>
      <c r="Y279" s="26" t="n"/>
      <c r="Z279" s="26" t="n"/>
      <c r="AA279" s="26" t="n"/>
      <c r="AD279" s="0">
        <f>SUM(Y279,AA279,AC279)</f>
        <v/>
      </c>
      <c r="AE279" s="0">
        <f>X279*Y279+Z279*AA279+AB279*AC279</f>
        <v/>
      </c>
      <c r="AF279" s="0">
        <f>TEXTJOIN(", ",TRUE,IF(AND(X279&gt;0,Y279&gt;0),TEXT(X279,"0.00")&amp;"ct x "&amp;Y279,""),IF(AND(Z279&gt;0,AA279&gt;0),TEXT(Z279,"0.00")&amp;"ct x "&amp;AA279,""),IF(AND(AB279&gt;0,AC279&gt;0),TEXT(AB279,"0.00")&amp;"ct x "&amp;AC279,""))</f>
        <v/>
      </c>
      <c r="AG279" s="0">
        <f>X279*Y279*SUMIFS($AM$2:$AM$11,$AK$2:$AK$11,"&lt;="&amp;X279,$AL$2:$AL$11,"&gt;="&amp;X279)+Z279*AA279*SUMIFS($AM$2:$AM$11,$AK$2:$AK$11,"&lt;="&amp;Z279,$AL$2:$AL$11,"&gt;="&amp;Z279)+AB279*AC279*SUMIFS($AM$2:$AM$11,$AK$2:$AK$11,"&lt;="&amp;AB279,$AL$2:$AL$11,"&gt;="&amp;AB279)</f>
        <v/>
      </c>
      <c r="AH279" s="0">
        <f>AG279*(1-40%)</f>
        <v/>
      </c>
      <c r="AI279" s="0">
        <f>AH279*1.2</f>
        <v/>
      </c>
    </row>
    <row r="280">
      <c r="A280" s="26" t="n"/>
      <c r="B280" s="169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>
        <f>AG280</f>
        <v/>
      </c>
      <c r="T280" s="26">
        <f>AI280+Q280+P280</f>
        <v/>
      </c>
      <c r="U280" s="26" t="n"/>
      <c r="V280" s="26" t="n"/>
      <c r="W280" s="169" t="n"/>
      <c r="X280" s="26" t="n"/>
      <c r="Y280" s="26" t="n"/>
      <c r="Z280" s="26" t="n"/>
      <c r="AA280" s="26" t="n"/>
      <c r="AD280" s="0">
        <f>SUM(Y280,AA280,AC280)</f>
        <v/>
      </c>
      <c r="AE280" s="0">
        <f>X280*Y280+Z280*AA280+AB280*AC280</f>
        <v/>
      </c>
      <c r="AF280" s="0">
        <f>TEXTJOIN(", ",TRUE,IF(AND(X280&gt;0,Y280&gt;0),TEXT(X280,"0.00")&amp;"ct x "&amp;Y280,""),IF(AND(Z280&gt;0,AA280&gt;0),TEXT(Z280,"0.00")&amp;"ct x "&amp;AA280,""),IF(AND(AB280&gt;0,AC280&gt;0),TEXT(AB280,"0.00")&amp;"ct x "&amp;AC280,""))</f>
        <v/>
      </c>
      <c r="AG280" s="0">
        <f>X280*Y280*SUMIFS($AM$2:$AM$11,$AK$2:$AK$11,"&lt;="&amp;X280,$AL$2:$AL$11,"&gt;="&amp;X280)+Z280*AA280*SUMIFS($AM$2:$AM$11,$AK$2:$AK$11,"&lt;="&amp;Z280,$AL$2:$AL$11,"&gt;="&amp;Z280)+AB280*AC280*SUMIFS($AM$2:$AM$11,$AK$2:$AK$11,"&lt;="&amp;AB280,$AL$2:$AL$11,"&gt;="&amp;AB280)</f>
        <v/>
      </c>
      <c r="AH280" s="0">
        <f>AG280*(1-40%)</f>
        <v/>
      </c>
      <c r="AI280" s="0">
        <f>AH280*1.2</f>
        <v/>
      </c>
    </row>
    <row r="281">
      <c r="A281" s="26" t="n"/>
      <c r="B281" s="169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>
        <f>AG281</f>
        <v/>
      </c>
      <c r="T281" s="26">
        <f>AI281+Q281+P281</f>
        <v/>
      </c>
      <c r="U281" s="26" t="n"/>
      <c r="V281" s="26" t="n"/>
      <c r="W281" s="169" t="n"/>
      <c r="X281" s="26" t="n"/>
      <c r="Y281" s="26" t="n"/>
      <c r="Z281" s="26" t="n"/>
      <c r="AA281" s="26" t="n"/>
      <c r="AD281" s="0">
        <f>SUM(Y281,AA281,AC281)</f>
        <v/>
      </c>
      <c r="AE281" s="0">
        <f>X281*Y281+Z281*AA281+AB281*AC281</f>
        <v/>
      </c>
      <c r="AF281" s="0">
        <f>TEXTJOIN(", ",TRUE,IF(AND(X281&gt;0,Y281&gt;0),TEXT(X281,"0.00")&amp;"ct x "&amp;Y281,""),IF(AND(Z281&gt;0,AA281&gt;0),TEXT(Z281,"0.00")&amp;"ct x "&amp;AA281,""),IF(AND(AB281&gt;0,AC281&gt;0),TEXT(AB281,"0.00")&amp;"ct x "&amp;AC281,""))</f>
        <v/>
      </c>
      <c r="AG281" s="0">
        <f>X281*Y281*SUMIFS($AM$2:$AM$11,$AK$2:$AK$11,"&lt;="&amp;X281,$AL$2:$AL$11,"&gt;="&amp;X281)+Z281*AA281*SUMIFS($AM$2:$AM$11,$AK$2:$AK$11,"&lt;="&amp;Z281,$AL$2:$AL$11,"&gt;="&amp;Z281)+AB281*AC281*SUMIFS($AM$2:$AM$11,$AK$2:$AK$11,"&lt;="&amp;AB281,$AL$2:$AL$11,"&gt;="&amp;AB281)</f>
        <v/>
      </c>
      <c r="AH281" s="0">
        <f>AG281*(1-40%)</f>
        <v/>
      </c>
      <c r="AI281" s="0">
        <f>AH281*1.2</f>
        <v/>
      </c>
    </row>
    <row r="282">
      <c r="A282" s="26" t="n"/>
      <c r="B282" s="169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>
        <f>AG282</f>
        <v/>
      </c>
      <c r="T282" s="26">
        <f>AI282+Q282+P282</f>
        <v/>
      </c>
      <c r="U282" s="26" t="n"/>
      <c r="V282" s="26" t="n"/>
      <c r="W282" s="169" t="n"/>
      <c r="X282" s="26" t="n"/>
      <c r="Y282" s="26" t="n"/>
      <c r="Z282" s="26" t="n"/>
      <c r="AA282" s="26" t="n"/>
      <c r="AD282" s="0">
        <f>SUM(Y282,AA282,AC282)</f>
        <v/>
      </c>
      <c r="AE282" s="0">
        <f>X282*Y282+Z282*AA282+AB282*AC282</f>
        <v/>
      </c>
      <c r="AF282" s="0">
        <f>TEXTJOIN(", ",TRUE,IF(AND(X282&gt;0,Y282&gt;0),TEXT(X282,"0.00")&amp;"ct x "&amp;Y282,""),IF(AND(Z282&gt;0,AA282&gt;0),TEXT(Z282,"0.00")&amp;"ct x "&amp;AA282,""),IF(AND(AB282&gt;0,AC282&gt;0),TEXT(AB282,"0.00")&amp;"ct x "&amp;AC282,""))</f>
        <v/>
      </c>
      <c r="AG282" s="0">
        <f>X282*Y282*SUMIFS($AM$2:$AM$11,$AK$2:$AK$11,"&lt;="&amp;X282,$AL$2:$AL$11,"&gt;="&amp;X282)+Z282*AA282*SUMIFS($AM$2:$AM$11,$AK$2:$AK$11,"&lt;="&amp;Z282,$AL$2:$AL$11,"&gt;="&amp;Z282)+AB282*AC282*SUMIFS($AM$2:$AM$11,$AK$2:$AK$11,"&lt;="&amp;AB282,$AL$2:$AL$11,"&gt;="&amp;AB282)</f>
        <v/>
      </c>
      <c r="AH282" s="0">
        <f>AG282*(1-40%)</f>
        <v/>
      </c>
      <c r="AI282" s="0">
        <f>AH282*1.2</f>
        <v/>
      </c>
    </row>
    <row r="283">
      <c r="A283" s="26" t="n"/>
      <c r="B283" s="169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>
        <f>AG283</f>
        <v/>
      </c>
      <c r="T283" s="26">
        <f>AI283+Q283+P283</f>
        <v/>
      </c>
      <c r="U283" s="26" t="n"/>
      <c r="V283" s="26" t="n"/>
      <c r="W283" s="169" t="n"/>
      <c r="X283" s="26" t="n"/>
      <c r="Y283" s="26" t="n"/>
      <c r="Z283" s="26" t="n"/>
      <c r="AA283" s="26" t="n"/>
      <c r="AD283" s="0">
        <f>SUM(Y283,AA283,AC283)</f>
        <v/>
      </c>
      <c r="AE283" s="0">
        <f>X283*Y283+Z283*AA283+AB283*AC283</f>
        <v/>
      </c>
      <c r="AF283" s="0">
        <f>TEXTJOIN(", ",TRUE,IF(AND(X283&gt;0,Y283&gt;0),TEXT(X283,"0.00")&amp;"ct x "&amp;Y283,""),IF(AND(Z283&gt;0,AA283&gt;0),TEXT(Z283,"0.00")&amp;"ct x "&amp;AA283,""),IF(AND(AB283&gt;0,AC283&gt;0),TEXT(AB283,"0.00")&amp;"ct x "&amp;AC283,""))</f>
        <v/>
      </c>
      <c r="AG283" s="0">
        <f>X283*Y283*SUMIFS($AM$2:$AM$11,$AK$2:$AK$11,"&lt;="&amp;X283,$AL$2:$AL$11,"&gt;="&amp;X283)+Z283*AA283*SUMIFS($AM$2:$AM$11,$AK$2:$AK$11,"&lt;="&amp;Z283,$AL$2:$AL$11,"&gt;="&amp;Z283)+AB283*AC283*SUMIFS($AM$2:$AM$11,$AK$2:$AK$11,"&lt;="&amp;AB283,$AL$2:$AL$11,"&gt;="&amp;AB283)</f>
        <v/>
      </c>
      <c r="AH283" s="0">
        <f>AG283*(1-40%)</f>
        <v/>
      </c>
      <c r="AI283" s="0">
        <f>AH283*1.2</f>
        <v/>
      </c>
    </row>
    <row r="284">
      <c r="A284" s="26" t="n"/>
      <c r="B284" s="169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>
        <f>AG284</f>
        <v/>
      </c>
      <c r="T284" s="26">
        <f>AI284+Q284+P284</f>
        <v/>
      </c>
      <c r="U284" s="26" t="n"/>
      <c r="V284" s="26" t="n"/>
      <c r="W284" s="169" t="n"/>
      <c r="X284" s="26" t="n"/>
      <c r="Y284" s="26" t="n"/>
      <c r="Z284" s="26" t="n"/>
      <c r="AA284" s="26" t="n"/>
      <c r="AD284" s="0">
        <f>SUM(Y284,AA284,AC284)</f>
        <v/>
      </c>
      <c r="AE284" s="0">
        <f>X284*Y284+Z284*AA284+AB284*AC284</f>
        <v/>
      </c>
      <c r="AF284" s="0">
        <f>TEXTJOIN(", ",TRUE,IF(AND(X284&gt;0,Y284&gt;0),TEXT(X284,"0.00")&amp;"ct x "&amp;Y284,""),IF(AND(Z284&gt;0,AA284&gt;0),TEXT(Z284,"0.00")&amp;"ct x "&amp;AA284,""),IF(AND(AB284&gt;0,AC284&gt;0),TEXT(AB284,"0.00")&amp;"ct x "&amp;AC284,""))</f>
        <v/>
      </c>
      <c r="AG284" s="0">
        <f>X284*Y284*SUMIFS($AM$2:$AM$11,$AK$2:$AK$11,"&lt;="&amp;X284,$AL$2:$AL$11,"&gt;="&amp;X284)+Z284*AA284*SUMIFS($AM$2:$AM$11,$AK$2:$AK$11,"&lt;="&amp;Z284,$AL$2:$AL$11,"&gt;="&amp;Z284)+AB284*AC284*SUMIFS($AM$2:$AM$11,$AK$2:$AK$11,"&lt;="&amp;AB284,$AL$2:$AL$11,"&gt;="&amp;AB284)</f>
        <v/>
      </c>
      <c r="AH284" s="0">
        <f>AG284*(1-40%)</f>
        <v/>
      </c>
      <c r="AI284" s="0">
        <f>AH284*1.2</f>
        <v/>
      </c>
    </row>
    <row r="285">
      <c r="A285" s="26" t="n"/>
      <c r="B285" s="169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>
        <f>AG285</f>
        <v/>
      </c>
      <c r="T285" s="26">
        <f>AI285+Q285+P285</f>
        <v/>
      </c>
      <c r="U285" s="26" t="n"/>
      <c r="V285" s="26" t="n"/>
      <c r="W285" s="169" t="n"/>
      <c r="X285" s="26" t="n"/>
      <c r="Y285" s="26" t="n"/>
      <c r="Z285" s="26" t="n"/>
      <c r="AA285" s="26" t="n"/>
      <c r="AD285" s="0">
        <f>SUM(Y285,AA285,AC285)</f>
        <v/>
      </c>
      <c r="AE285" s="0">
        <f>X285*Y285+Z285*AA285+AB285*AC285</f>
        <v/>
      </c>
      <c r="AF285" s="0">
        <f>TEXTJOIN(", ",TRUE,IF(AND(X285&gt;0,Y285&gt;0),TEXT(X285,"0.00")&amp;"ct x "&amp;Y285,""),IF(AND(Z285&gt;0,AA285&gt;0),TEXT(Z285,"0.00")&amp;"ct x "&amp;AA285,""),IF(AND(AB285&gt;0,AC285&gt;0),TEXT(AB285,"0.00")&amp;"ct x "&amp;AC285,""))</f>
        <v/>
      </c>
      <c r="AG285" s="0">
        <f>X285*Y285*SUMIFS($AM$2:$AM$11,$AK$2:$AK$11,"&lt;="&amp;X285,$AL$2:$AL$11,"&gt;="&amp;X285)+Z285*AA285*SUMIFS($AM$2:$AM$11,$AK$2:$AK$11,"&lt;="&amp;Z285,$AL$2:$AL$11,"&gt;="&amp;Z285)+AB285*AC285*SUMIFS($AM$2:$AM$11,$AK$2:$AK$11,"&lt;="&amp;AB285,$AL$2:$AL$11,"&gt;="&amp;AB285)</f>
        <v/>
      </c>
      <c r="AH285" s="0">
        <f>AG285*(1-40%)</f>
        <v/>
      </c>
      <c r="AI285" s="0">
        <f>AH285*1.2</f>
        <v/>
      </c>
    </row>
    <row r="286">
      <c r="A286" s="26" t="n"/>
      <c r="B286" s="169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>
        <f>AG286</f>
        <v/>
      </c>
      <c r="T286" s="26">
        <f>AI286+Q286+P286</f>
        <v/>
      </c>
      <c r="U286" s="26" t="n"/>
      <c r="V286" s="26" t="n"/>
      <c r="W286" s="169" t="n"/>
      <c r="X286" s="26" t="n"/>
      <c r="Y286" s="26" t="n"/>
      <c r="Z286" s="26" t="n"/>
      <c r="AA286" s="26" t="n"/>
      <c r="AD286" s="0">
        <f>SUM(Y286,AA286,AC286)</f>
        <v/>
      </c>
      <c r="AE286" s="0">
        <f>X286*Y286+Z286*AA286+AB286*AC286</f>
        <v/>
      </c>
      <c r="AF286" s="0">
        <f>TEXTJOIN(", ",TRUE,IF(AND(X286&gt;0,Y286&gt;0),TEXT(X286,"0.00")&amp;"ct x "&amp;Y286,""),IF(AND(Z286&gt;0,AA286&gt;0),TEXT(Z286,"0.00")&amp;"ct x "&amp;AA286,""),IF(AND(AB286&gt;0,AC286&gt;0),TEXT(AB286,"0.00")&amp;"ct x "&amp;AC286,""))</f>
        <v/>
      </c>
      <c r="AG286" s="0">
        <f>X286*Y286*SUMIFS($AM$2:$AM$11,$AK$2:$AK$11,"&lt;="&amp;X286,$AL$2:$AL$11,"&gt;="&amp;X286)+Z286*AA286*SUMIFS($AM$2:$AM$11,$AK$2:$AK$11,"&lt;="&amp;Z286,$AL$2:$AL$11,"&gt;="&amp;Z286)+AB286*AC286*SUMIFS($AM$2:$AM$11,$AK$2:$AK$11,"&lt;="&amp;AB286,$AL$2:$AL$11,"&gt;="&amp;AB286)</f>
        <v/>
      </c>
      <c r="AH286" s="0">
        <f>AG286*(1-40%)</f>
        <v/>
      </c>
      <c r="AI286" s="0">
        <f>AH286*1.2</f>
        <v/>
      </c>
    </row>
    <row r="287">
      <c r="A287" s="26" t="n"/>
      <c r="B287" s="169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>
        <f>AG287</f>
        <v/>
      </c>
      <c r="T287" s="26">
        <f>AI287+Q287+P287</f>
        <v/>
      </c>
      <c r="U287" s="26" t="n"/>
      <c r="V287" s="26" t="n"/>
      <c r="W287" s="169" t="n"/>
      <c r="X287" s="26" t="n"/>
      <c r="Y287" s="26" t="n"/>
      <c r="Z287" s="26" t="n"/>
      <c r="AA287" s="26" t="n"/>
      <c r="AD287" s="0">
        <f>SUM(Y287,AA287,AC287)</f>
        <v/>
      </c>
      <c r="AE287" s="0">
        <f>X287*Y287+Z287*AA287+AB287*AC287</f>
        <v/>
      </c>
      <c r="AF287" s="0">
        <f>TEXTJOIN(", ",TRUE,IF(AND(X287&gt;0,Y287&gt;0),TEXT(X287,"0.00")&amp;"ct x "&amp;Y287,""),IF(AND(Z287&gt;0,AA287&gt;0),TEXT(Z287,"0.00")&amp;"ct x "&amp;AA287,""),IF(AND(AB287&gt;0,AC287&gt;0),TEXT(AB287,"0.00")&amp;"ct x "&amp;AC287,""))</f>
        <v/>
      </c>
      <c r="AG287" s="0">
        <f>X287*Y287*SUMIFS($AM$2:$AM$11,$AK$2:$AK$11,"&lt;="&amp;X287,$AL$2:$AL$11,"&gt;="&amp;X287)+Z287*AA287*SUMIFS($AM$2:$AM$11,$AK$2:$AK$11,"&lt;="&amp;Z287,$AL$2:$AL$11,"&gt;="&amp;Z287)+AB287*AC287*SUMIFS($AM$2:$AM$11,$AK$2:$AK$11,"&lt;="&amp;AB287,$AL$2:$AL$11,"&gt;="&amp;AB287)</f>
        <v/>
      </c>
      <c r="AH287" s="0">
        <f>AG287*(1-40%)</f>
        <v/>
      </c>
      <c r="AI287" s="0">
        <f>AH287*1.2</f>
        <v/>
      </c>
    </row>
    <row r="288">
      <c r="A288" s="26" t="n"/>
      <c r="B288" s="169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>
        <f>AG288</f>
        <v/>
      </c>
      <c r="T288" s="26">
        <f>AI288+Q288+P288</f>
        <v/>
      </c>
      <c r="U288" s="26" t="n"/>
      <c r="V288" s="26" t="n"/>
      <c r="W288" s="169" t="n"/>
      <c r="X288" s="26" t="n"/>
      <c r="Y288" s="26" t="n"/>
      <c r="Z288" s="26" t="n"/>
      <c r="AA288" s="26" t="n"/>
      <c r="AD288" s="0">
        <f>SUM(Y288,AA288,AC288)</f>
        <v/>
      </c>
      <c r="AE288" s="0">
        <f>X288*Y288+Z288*AA288+AB288*AC288</f>
        <v/>
      </c>
      <c r="AF288" s="0">
        <f>TEXTJOIN(", ",TRUE,IF(AND(X288&gt;0,Y288&gt;0),TEXT(X288,"0.00")&amp;"ct x "&amp;Y288,""),IF(AND(Z288&gt;0,AA288&gt;0),TEXT(Z288,"0.00")&amp;"ct x "&amp;AA288,""),IF(AND(AB288&gt;0,AC288&gt;0),TEXT(AB288,"0.00")&amp;"ct x "&amp;AC288,""))</f>
        <v/>
      </c>
      <c r="AG288" s="0">
        <f>X288*Y288*SUMIFS($AM$2:$AM$11,$AK$2:$AK$11,"&lt;="&amp;X288,$AL$2:$AL$11,"&gt;="&amp;X288)+Z288*AA288*SUMIFS($AM$2:$AM$11,$AK$2:$AK$11,"&lt;="&amp;Z288,$AL$2:$AL$11,"&gt;="&amp;Z288)+AB288*AC288*SUMIFS($AM$2:$AM$11,$AK$2:$AK$11,"&lt;="&amp;AB288,$AL$2:$AL$11,"&gt;="&amp;AB288)</f>
        <v/>
      </c>
      <c r="AH288" s="0">
        <f>AG288*(1-40%)</f>
        <v/>
      </c>
      <c r="AI288" s="0">
        <f>AH288*1.2</f>
        <v/>
      </c>
    </row>
    <row r="289">
      <c r="A289" s="26" t="n"/>
      <c r="B289" s="169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>
        <f>AG289</f>
        <v/>
      </c>
      <c r="T289" s="26">
        <f>AI289+Q289+P289</f>
        <v/>
      </c>
      <c r="U289" s="26" t="n"/>
      <c r="V289" s="26" t="n"/>
      <c r="W289" s="169" t="n"/>
      <c r="X289" s="26" t="n"/>
      <c r="Y289" s="26" t="n"/>
      <c r="Z289" s="26" t="n"/>
      <c r="AA289" s="26" t="n"/>
      <c r="AD289" s="0">
        <f>SUM(Y289,AA289,AC289)</f>
        <v/>
      </c>
      <c r="AE289" s="0">
        <f>X289*Y289+Z289*AA289+AB289*AC289</f>
        <v/>
      </c>
      <c r="AF289" s="0">
        <f>TEXTJOIN(", ",TRUE,IF(AND(X289&gt;0,Y289&gt;0),TEXT(X289,"0.00")&amp;"ct x "&amp;Y289,""),IF(AND(Z289&gt;0,AA289&gt;0),TEXT(Z289,"0.00")&amp;"ct x "&amp;AA289,""),IF(AND(AB289&gt;0,AC289&gt;0),TEXT(AB289,"0.00")&amp;"ct x "&amp;AC289,""))</f>
        <v/>
      </c>
      <c r="AG289" s="0">
        <f>X289*Y289*SUMIFS($AM$2:$AM$11,$AK$2:$AK$11,"&lt;="&amp;X289,$AL$2:$AL$11,"&gt;="&amp;X289)+Z289*AA289*SUMIFS($AM$2:$AM$11,$AK$2:$AK$11,"&lt;="&amp;Z289,$AL$2:$AL$11,"&gt;="&amp;Z289)+AB289*AC289*SUMIFS($AM$2:$AM$11,$AK$2:$AK$11,"&lt;="&amp;AB289,$AL$2:$AL$11,"&gt;="&amp;AB289)</f>
        <v/>
      </c>
      <c r="AH289" s="0">
        <f>AG289*(1-40%)</f>
        <v/>
      </c>
      <c r="AI289" s="0">
        <f>AH289*1.2</f>
        <v/>
      </c>
    </row>
    <row r="290">
      <c r="A290" s="26" t="n"/>
      <c r="B290" s="169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>
        <f>AG290</f>
        <v/>
      </c>
      <c r="T290" s="26">
        <f>AI290+Q290+P290</f>
        <v/>
      </c>
      <c r="U290" s="26" t="n"/>
      <c r="V290" s="26" t="n"/>
      <c r="W290" s="169" t="n"/>
      <c r="X290" s="26" t="n"/>
      <c r="Y290" s="26" t="n"/>
      <c r="Z290" s="26" t="n"/>
      <c r="AA290" s="26" t="n"/>
      <c r="AD290" s="0">
        <f>SUM(Y290,AA290,AC290)</f>
        <v/>
      </c>
      <c r="AE290" s="0">
        <f>X290*Y290+Z290*AA290+AB290*AC290</f>
        <v/>
      </c>
      <c r="AF290" s="0">
        <f>TEXTJOIN(", ",TRUE,IF(AND(X290&gt;0,Y290&gt;0),TEXT(X290,"0.00")&amp;"ct x "&amp;Y290,""),IF(AND(Z290&gt;0,AA290&gt;0),TEXT(Z290,"0.00")&amp;"ct x "&amp;AA290,""),IF(AND(AB290&gt;0,AC290&gt;0),TEXT(AB290,"0.00")&amp;"ct x "&amp;AC290,""))</f>
        <v/>
      </c>
      <c r="AG290" s="0">
        <f>X290*Y290*SUMIFS($AM$2:$AM$11,$AK$2:$AK$11,"&lt;="&amp;X290,$AL$2:$AL$11,"&gt;="&amp;X290)+Z290*AA290*SUMIFS($AM$2:$AM$11,$AK$2:$AK$11,"&lt;="&amp;Z290,$AL$2:$AL$11,"&gt;="&amp;Z290)+AB290*AC290*SUMIFS($AM$2:$AM$11,$AK$2:$AK$11,"&lt;="&amp;AB290,$AL$2:$AL$11,"&gt;="&amp;AB290)</f>
        <v/>
      </c>
      <c r="AH290" s="0">
        <f>AG290*(1-40%)</f>
        <v/>
      </c>
      <c r="AI290" s="0">
        <f>AH290*1.2</f>
        <v/>
      </c>
    </row>
    <row r="291">
      <c r="A291" s="26" t="n"/>
      <c r="B291" s="169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>
        <f>AG291</f>
        <v/>
      </c>
      <c r="T291" s="26">
        <f>AI291+Q291+P291</f>
        <v/>
      </c>
      <c r="U291" s="26" t="n"/>
      <c r="V291" s="26" t="n"/>
      <c r="W291" s="169" t="n"/>
      <c r="X291" s="26" t="n"/>
      <c r="Y291" s="26" t="n"/>
      <c r="Z291" s="26" t="n"/>
      <c r="AA291" s="26" t="n"/>
      <c r="AD291" s="0">
        <f>SUM(Y291,AA291,AC291)</f>
        <v/>
      </c>
      <c r="AE291" s="0">
        <f>X291*Y291+Z291*AA291+AB291*AC291</f>
        <v/>
      </c>
      <c r="AF291" s="0">
        <f>TEXTJOIN(", ",TRUE,IF(AND(X291&gt;0,Y291&gt;0),TEXT(X291,"0.00")&amp;"ct x "&amp;Y291,""),IF(AND(Z291&gt;0,AA291&gt;0),TEXT(Z291,"0.00")&amp;"ct x "&amp;AA291,""),IF(AND(AB291&gt;0,AC291&gt;0),TEXT(AB291,"0.00")&amp;"ct x "&amp;AC291,""))</f>
        <v/>
      </c>
      <c r="AG291" s="0">
        <f>X291*Y291*SUMIFS($AM$2:$AM$11,$AK$2:$AK$11,"&lt;="&amp;X291,$AL$2:$AL$11,"&gt;="&amp;X291)+Z291*AA291*SUMIFS($AM$2:$AM$11,$AK$2:$AK$11,"&lt;="&amp;Z291,$AL$2:$AL$11,"&gt;="&amp;Z291)+AB291*AC291*SUMIFS($AM$2:$AM$11,$AK$2:$AK$11,"&lt;="&amp;AB291,$AL$2:$AL$11,"&gt;="&amp;AB291)</f>
        <v/>
      </c>
      <c r="AH291" s="0">
        <f>AG291*(1-40%)</f>
        <v/>
      </c>
      <c r="AI291" s="0">
        <f>AH291*1.2</f>
        <v/>
      </c>
    </row>
    <row r="292">
      <c r="A292" s="26" t="n"/>
      <c r="B292" s="169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>
        <f>AG292</f>
        <v/>
      </c>
      <c r="T292" s="26">
        <f>AI292+Q292+P292</f>
        <v/>
      </c>
      <c r="U292" s="26" t="n"/>
      <c r="V292" s="26" t="n"/>
      <c r="W292" s="169" t="n"/>
      <c r="X292" s="26" t="n"/>
      <c r="Y292" s="26" t="n"/>
      <c r="Z292" s="26" t="n"/>
      <c r="AA292" s="26" t="n"/>
      <c r="AD292" s="0">
        <f>SUM(Y292,AA292,AC292)</f>
        <v/>
      </c>
      <c r="AE292" s="0">
        <f>X292*Y292+Z292*AA292+AB292*AC292</f>
        <v/>
      </c>
      <c r="AF292" s="0">
        <f>TEXTJOIN(", ",TRUE,IF(AND(X292&gt;0,Y292&gt;0),TEXT(X292,"0.00")&amp;"ct x "&amp;Y292,""),IF(AND(Z292&gt;0,AA292&gt;0),TEXT(Z292,"0.00")&amp;"ct x "&amp;AA292,""),IF(AND(AB292&gt;0,AC292&gt;0),TEXT(AB292,"0.00")&amp;"ct x "&amp;AC292,""))</f>
        <v/>
      </c>
      <c r="AG292" s="0">
        <f>X292*Y292*SUMIFS($AM$2:$AM$11,$AK$2:$AK$11,"&lt;="&amp;X292,$AL$2:$AL$11,"&gt;="&amp;X292)+Z292*AA292*SUMIFS($AM$2:$AM$11,$AK$2:$AK$11,"&lt;="&amp;Z292,$AL$2:$AL$11,"&gt;="&amp;Z292)+AB292*AC292*SUMIFS($AM$2:$AM$11,$AK$2:$AK$11,"&lt;="&amp;AB292,$AL$2:$AL$11,"&gt;="&amp;AB292)</f>
        <v/>
      </c>
      <c r="AH292" s="0">
        <f>AG292*(1-40%)</f>
        <v/>
      </c>
      <c r="AI292" s="0">
        <f>AH292*1.2</f>
        <v/>
      </c>
    </row>
    <row r="293">
      <c r="A293" s="26" t="n"/>
      <c r="B293" s="169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>
        <f>AG293</f>
        <v/>
      </c>
      <c r="T293" s="26">
        <f>AI293+Q293+P293</f>
        <v/>
      </c>
      <c r="U293" s="26" t="n"/>
      <c r="V293" s="26" t="n"/>
      <c r="W293" s="169" t="n"/>
      <c r="X293" s="26" t="n"/>
      <c r="Y293" s="26" t="n"/>
      <c r="Z293" s="26" t="n"/>
      <c r="AA293" s="26" t="n"/>
      <c r="AD293" s="0">
        <f>SUM(Y293,AA293,AC293)</f>
        <v/>
      </c>
      <c r="AE293" s="0">
        <f>X293*Y293+Z293*AA293+AB293*AC293</f>
        <v/>
      </c>
      <c r="AF293" s="0">
        <f>TEXTJOIN(", ",TRUE,IF(AND(X293&gt;0,Y293&gt;0),TEXT(X293,"0.00")&amp;"ct x "&amp;Y293,""),IF(AND(Z293&gt;0,AA293&gt;0),TEXT(Z293,"0.00")&amp;"ct x "&amp;AA293,""),IF(AND(AB293&gt;0,AC293&gt;0),TEXT(AB293,"0.00")&amp;"ct x "&amp;AC293,""))</f>
        <v/>
      </c>
      <c r="AG293" s="0">
        <f>X293*Y293*SUMIFS($AM$2:$AM$11,$AK$2:$AK$11,"&lt;="&amp;X293,$AL$2:$AL$11,"&gt;="&amp;X293)+Z293*AA293*SUMIFS($AM$2:$AM$11,$AK$2:$AK$11,"&lt;="&amp;Z293,$AL$2:$AL$11,"&gt;="&amp;Z293)+AB293*AC293*SUMIFS($AM$2:$AM$11,$AK$2:$AK$11,"&lt;="&amp;AB293,$AL$2:$AL$11,"&gt;="&amp;AB293)</f>
        <v/>
      </c>
      <c r="AH293" s="0">
        <f>AG293*(1-40%)</f>
        <v/>
      </c>
      <c r="AI293" s="0">
        <f>AH293*1.2</f>
        <v/>
      </c>
    </row>
    <row r="294">
      <c r="A294" s="26" t="n"/>
      <c r="B294" s="169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>
        <f>AG294</f>
        <v/>
      </c>
      <c r="T294" s="26">
        <f>AI294+Q294+P294</f>
        <v/>
      </c>
      <c r="U294" s="26" t="n"/>
      <c r="V294" s="26" t="n"/>
      <c r="W294" s="169" t="n"/>
      <c r="X294" s="26" t="n"/>
      <c r="Y294" s="26" t="n"/>
      <c r="Z294" s="26" t="n"/>
      <c r="AA294" s="26" t="n"/>
      <c r="AD294" s="0">
        <f>SUM(Y294,AA294,AC294)</f>
        <v/>
      </c>
      <c r="AE294" s="0">
        <f>X294*Y294+Z294*AA294+AB294*AC294</f>
        <v/>
      </c>
      <c r="AF294" s="0">
        <f>TEXTJOIN(", ",TRUE,IF(AND(X294&gt;0,Y294&gt;0),TEXT(X294,"0.00")&amp;"ct x "&amp;Y294,""),IF(AND(Z294&gt;0,AA294&gt;0),TEXT(Z294,"0.00")&amp;"ct x "&amp;AA294,""),IF(AND(AB294&gt;0,AC294&gt;0),TEXT(AB294,"0.00")&amp;"ct x "&amp;AC294,""))</f>
        <v/>
      </c>
      <c r="AG294" s="0">
        <f>X294*Y294*SUMIFS($AM$2:$AM$11,$AK$2:$AK$11,"&lt;="&amp;X294,$AL$2:$AL$11,"&gt;="&amp;X294)+Z294*AA294*SUMIFS($AM$2:$AM$11,$AK$2:$AK$11,"&lt;="&amp;Z294,$AL$2:$AL$11,"&gt;="&amp;Z294)+AB294*AC294*SUMIFS($AM$2:$AM$11,$AK$2:$AK$11,"&lt;="&amp;AB294,$AL$2:$AL$11,"&gt;="&amp;AB294)</f>
        <v/>
      </c>
      <c r="AH294" s="0">
        <f>AG294*(1-40%)</f>
        <v/>
      </c>
      <c r="AI294" s="0">
        <f>AH294*1.2</f>
        <v/>
      </c>
    </row>
    <row r="295">
      <c r="A295" s="26" t="n"/>
      <c r="B295" s="169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>
        <f>AG295</f>
        <v/>
      </c>
      <c r="T295" s="26">
        <f>AI295+Q295+P295</f>
        <v/>
      </c>
      <c r="U295" s="26" t="n"/>
      <c r="V295" s="26" t="n"/>
      <c r="W295" s="169" t="n"/>
      <c r="X295" s="26" t="n"/>
      <c r="Y295" s="26" t="n"/>
      <c r="Z295" s="26" t="n"/>
      <c r="AA295" s="26" t="n"/>
      <c r="AD295" s="0">
        <f>SUM(Y295,AA295,AC295)</f>
        <v/>
      </c>
      <c r="AE295" s="0">
        <f>X295*Y295+Z295*AA295+AB295*AC295</f>
        <v/>
      </c>
      <c r="AF295" s="0">
        <f>TEXTJOIN(", ",TRUE,IF(AND(X295&gt;0,Y295&gt;0),TEXT(X295,"0.00")&amp;"ct x "&amp;Y295,""),IF(AND(Z295&gt;0,AA295&gt;0),TEXT(Z295,"0.00")&amp;"ct x "&amp;AA295,""),IF(AND(AB295&gt;0,AC295&gt;0),TEXT(AB295,"0.00")&amp;"ct x "&amp;AC295,""))</f>
        <v/>
      </c>
      <c r="AG295" s="0">
        <f>X295*Y295*SUMIFS($AM$2:$AM$11,$AK$2:$AK$11,"&lt;="&amp;X295,$AL$2:$AL$11,"&gt;="&amp;X295)+Z295*AA295*SUMIFS($AM$2:$AM$11,$AK$2:$AK$11,"&lt;="&amp;Z295,$AL$2:$AL$11,"&gt;="&amp;Z295)+AB295*AC295*SUMIFS($AM$2:$AM$11,$AK$2:$AK$11,"&lt;="&amp;AB295,$AL$2:$AL$11,"&gt;="&amp;AB295)</f>
        <v/>
      </c>
      <c r="AH295" s="0">
        <f>AG295*(1-40%)</f>
        <v/>
      </c>
      <c r="AI295" s="0">
        <f>AH295*1.2</f>
        <v/>
      </c>
    </row>
    <row r="296">
      <c r="A296" s="26" t="n"/>
      <c r="B296" s="169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>
        <f>AG296</f>
        <v/>
      </c>
      <c r="T296" s="26">
        <f>AI296+Q296+P296</f>
        <v/>
      </c>
      <c r="U296" s="26" t="n"/>
      <c r="V296" s="26" t="n"/>
      <c r="W296" s="169" t="n"/>
      <c r="X296" s="26" t="n"/>
      <c r="Y296" s="26" t="n"/>
      <c r="Z296" s="26" t="n"/>
      <c r="AA296" s="26" t="n"/>
      <c r="AD296" s="0">
        <f>SUM(Y296,AA296,AC296)</f>
        <v/>
      </c>
      <c r="AE296" s="0">
        <f>X296*Y296+Z296*AA296+AB296*AC296</f>
        <v/>
      </c>
      <c r="AF296" s="0">
        <f>TEXTJOIN(", ",TRUE,IF(AND(X296&gt;0,Y296&gt;0),TEXT(X296,"0.00")&amp;"ct x "&amp;Y296,""),IF(AND(Z296&gt;0,AA296&gt;0),TEXT(Z296,"0.00")&amp;"ct x "&amp;AA296,""),IF(AND(AB296&gt;0,AC296&gt;0),TEXT(AB296,"0.00")&amp;"ct x "&amp;AC296,""))</f>
        <v/>
      </c>
      <c r="AG296" s="0">
        <f>X296*Y296*SUMIFS($AM$2:$AM$11,$AK$2:$AK$11,"&lt;="&amp;X296,$AL$2:$AL$11,"&gt;="&amp;X296)+Z296*AA296*SUMIFS($AM$2:$AM$11,$AK$2:$AK$11,"&lt;="&amp;Z296,$AL$2:$AL$11,"&gt;="&amp;Z296)+AB296*AC296*SUMIFS($AM$2:$AM$11,$AK$2:$AK$11,"&lt;="&amp;AB296,$AL$2:$AL$11,"&gt;="&amp;AB296)</f>
        <v/>
      </c>
      <c r="AH296" s="0">
        <f>AG296*(1-40%)</f>
        <v/>
      </c>
      <c r="AI296" s="0">
        <f>AH296*1.2</f>
        <v/>
      </c>
    </row>
    <row r="297">
      <c r="A297" s="26" t="n"/>
      <c r="B297" s="169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>
        <f>AG297</f>
        <v/>
      </c>
      <c r="T297" s="26">
        <f>AI297+Q297+P297</f>
        <v/>
      </c>
      <c r="U297" s="26" t="n"/>
      <c r="V297" s="26" t="n"/>
      <c r="W297" s="169" t="n"/>
      <c r="X297" s="26" t="n"/>
      <c r="Y297" s="26" t="n"/>
      <c r="Z297" s="26" t="n"/>
      <c r="AA297" s="26" t="n"/>
      <c r="AD297" s="0">
        <f>SUM(Y297,AA297,AC297)</f>
        <v/>
      </c>
      <c r="AE297" s="0">
        <f>X297*Y297+Z297*AA297+AB297*AC297</f>
        <v/>
      </c>
      <c r="AF297" s="0">
        <f>TEXTJOIN(", ",TRUE,IF(AND(X297&gt;0,Y297&gt;0),TEXT(X297,"0.00")&amp;"ct x "&amp;Y297,""),IF(AND(Z297&gt;0,AA297&gt;0),TEXT(Z297,"0.00")&amp;"ct x "&amp;AA297,""),IF(AND(AB297&gt;0,AC297&gt;0),TEXT(AB297,"0.00")&amp;"ct x "&amp;AC297,""))</f>
        <v/>
      </c>
      <c r="AG297" s="0">
        <f>X297*Y297*SUMIFS($AM$2:$AM$11,$AK$2:$AK$11,"&lt;="&amp;X297,$AL$2:$AL$11,"&gt;="&amp;X297)+Z297*AA297*SUMIFS($AM$2:$AM$11,$AK$2:$AK$11,"&lt;="&amp;Z297,$AL$2:$AL$11,"&gt;="&amp;Z297)+AB297*AC297*SUMIFS($AM$2:$AM$11,$AK$2:$AK$11,"&lt;="&amp;AB297,$AL$2:$AL$11,"&gt;="&amp;AB297)</f>
        <v/>
      </c>
      <c r="AH297" s="0">
        <f>AG297*(1-40%)</f>
        <v/>
      </c>
      <c r="AI297" s="0">
        <f>AH297*1.2</f>
        <v/>
      </c>
    </row>
    <row r="298">
      <c r="A298" s="26" t="n"/>
      <c r="B298" s="169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>
        <f>AG298</f>
        <v/>
      </c>
      <c r="T298" s="26">
        <f>AI298+Q298+P298</f>
        <v/>
      </c>
      <c r="U298" s="26" t="n"/>
      <c r="V298" s="26" t="n"/>
      <c r="W298" s="169" t="n"/>
      <c r="X298" s="26" t="n"/>
      <c r="Y298" s="26" t="n"/>
      <c r="Z298" s="26" t="n"/>
      <c r="AA298" s="26" t="n"/>
      <c r="AD298" s="0">
        <f>SUM(Y298,AA298,AC298)</f>
        <v/>
      </c>
      <c r="AE298" s="0">
        <f>X298*Y298+Z298*AA298+AB298*AC298</f>
        <v/>
      </c>
      <c r="AF298" s="0">
        <f>TEXTJOIN(", ",TRUE,IF(AND(X298&gt;0,Y298&gt;0),TEXT(X298,"0.00")&amp;"ct x "&amp;Y298,""),IF(AND(Z298&gt;0,AA298&gt;0),TEXT(Z298,"0.00")&amp;"ct x "&amp;AA298,""),IF(AND(AB298&gt;0,AC298&gt;0),TEXT(AB298,"0.00")&amp;"ct x "&amp;AC298,""))</f>
        <v/>
      </c>
      <c r="AG298" s="0">
        <f>X298*Y298*SUMIFS($AM$2:$AM$11,$AK$2:$AK$11,"&lt;="&amp;X298,$AL$2:$AL$11,"&gt;="&amp;X298)+Z298*AA298*SUMIFS($AM$2:$AM$11,$AK$2:$AK$11,"&lt;="&amp;Z298,$AL$2:$AL$11,"&gt;="&amp;Z298)+AB298*AC298*SUMIFS($AM$2:$AM$11,$AK$2:$AK$11,"&lt;="&amp;AB298,$AL$2:$AL$11,"&gt;="&amp;AB298)</f>
        <v/>
      </c>
      <c r="AH298" s="0">
        <f>AG298*(1-40%)</f>
        <v/>
      </c>
      <c r="AI298" s="0">
        <f>AH298*1.2</f>
        <v/>
      </c>
    </row>
    <row r="299">
      <c r="A299" s="26" t="n"/>
      <c r="B299" s="169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>
        <f>AG299</f>
        <v/>
      </c>
      <c r="T299" s="26">
        <f>AI299+Q299+P299</f>
        <v/>
      </c>
      <c r="U299" s="26" t="n"/>
      <c r="V299" s="26" t="n"/>
      <c r="W299" s="169" t="n"/>
      <c r="X299" s="26" t="n"/>
      <c r="Y299" s="26" t="n"/>
      <c r="Z299" s="26" t="n"/>
      <c r="AA299" s="26" t="n"/>
      <c r="AD299" s="0">
        <f>SUM(Y299,AA299,AC299)</f>
        <v/>
      </c>
      <c r="AE299" s="0">
        <f>X299*Y299+Z299*AA299+AB299*AC299</f>
        <v/>
      </c>
      <c r="AF299" s="0">
        <f>TEXTJOIN(", ",TRUE,IF(AND(X299&gt;0,Y299&gt;0),TEXT(X299,"0.00")&amp;"ct x "&amp;Y299,""),IF(AND(Z299&gt;0,AA299&gt;0),TEXT(Z299,"0.00")&amp;"ct x "&amp;AA299,""),IF(AND(AB299&gt;0,AC299&gt;0),TEXT(AB299,"0.00")&amp;"ct x "&amp;AC299,""))</f>
        <v/>
      </c>
      <c r="AG299" s="0">
        <f>X299*Y299*SUMIFS($AM$2:$AM$11,$AK$2:$AK$11,"&lt;="&amp;X299,$AL$2:$AL$11,"&gt;="&amp;X299)+Z299*AA299*SUMIFS($AM$2:$AM$11,$AK$2:$AK$11,"&lt;="&amp;Z299,$AL$2:$AL$11,"&gt;="&amp;Z299)+AB299*AC299*SUMIFS($AM$2:$AM$11,$AK$2:$AK$11,"&lt;="&amp;AB299,$AL$2:$AL$11,"&gt;="&amp;AB299)</f>
        <v/>
      </c>
      <c r="AH299" s="0">
        <f>AG299*(1-40%)</f>
        <v/>
      </c>
      <c r="AI299" s="0">
        <f>AH299*1.2</f>
        <v/>
      </c>
    </row>
    <row r="300">
      <c r="A300" s="26" t="n"/>
      <c r="B300" s="169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>
        <f>AG300</f>
        <v/>
      </c>
      <c r="T300" s="26">
        <f>AI300+Q300+P300</f>
        <v/>
      </c>
      <c r="U300" s="26" t="n"/>
      <c r="V300" s="26" t="n"/>
      <c r="W300" s="169" t="n"/>
      <c r="X300" s="26" t="n"/>
      <c r="Y300" s="26" t="n"/>
      <c r="Z300" s="26" t="n"/>
      <c r="AA300" s="26" t="n"/>
      <c r="AD300" s="0">
        <f>SUM(Y300,AA300,AC300)</f>
        <v/>
      </c>
      <c r="AE300" s="0">
        <f>X300*Y300+Z300*AA300+AB300*AC300</f>
        <v/>
      </c>
      <c r="AF300" s="0">
        <f>TEXTJOIN(", ",TRUE,IF(AND(X300&gt;0,Y300&gt;0),TEXT(X300,"0.00")&amp;"ct x "&amp;Y300,""),IF(AND(Z300&gt;0,AA300&gt;0),TEXT(Z300,"0.00")&amp;"ct x "&amp;AA300,""),IF(AND(AB300&gt;0,AC300&gt;0),TEXT(AB300,"0.00")&amp;"ct x "&amp;AC300,""))</f>
        <v/>
      </c>
      <c r="AG300" s="0">
        <f>X300*Y300*SUMIFS($AM$2:$AM$11,$AK$2:$AK$11,"&lt;="&amp;X300,$AL$2:$AL$11,"&gt;="&amp;X300)+Z300*AA300*SUMIFS($AM$2:$AM$11,$AK$2:$AK$11,"&lt;="&amp;Z300,$AL$2:$AL$11,"&gt;="&amp;Z300)+AB300*AC300*SUMIFS($AM$2:$AM$11,$AK$2:$AK$11,"&lt;="&amp;AB300,$AL$2:$AL$11,"&gt;="&amp;AB300)</f>
        <v/>
      </c>
      <c r="AH300" s="0">
        <f>AG300*(1-40%)</f>
        <v/>
      </c>
      <c r="AI300" s="0">
        <f>AH300*1.2</f>
        <v/>
      </c>
    </row>
    <row r="301">
      <c r="A301" s="26" t="n"/>
      <c r="B301" s="169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>
        <f>AG301</f>
        <v/>
      </c>
      <c r="T301" s="26">
        <f>AI301+Q301+P301</f>
        <v/>
      </c>
      <c r="U301" s="26" t="n"/>
      <c r="V301" s="26" t="n"/>
      <c r="W301" s="169" t="n"/>
      <c r="X301" s="26" t="n"/>
      <c r="Y301" s="26" t="n"/>
      <c r="Z301" s="26" t="n"/>
      <c r="AA301" s="26" t="n"/>
      <c r="AD301" s="0">
        <f>SUM(Y301,AA301,AC301)</f>
        <v/>
      </c>
      <c r="AE301" s="0">
        <f>X301*Y301+Z301*AA301+AB301*AC301</f>
        <v/>
      </c>
      <c r="AF301" s="0">
        <f>TEXTJOIN(", ",TRUE,IF(AND(X301&gt;0,Y301&gt;0),TEXT(X301,"0.00")&amp;"ct x "&amp;Y301,""),IF(AND(Z301&gt;0,AA301&gt;0),TEXT(Z301,"0.00")&amp;"ct x "&amp;AA301,""),IF(AND(AB301&gt;0,AC301&gt;0),TEXT(AB301,"0.00")&amp;"ct x "&amp;AC301,""))</f>
        <v/>
      </c>
      <c r="AG301" s="0">
        <f>X301*Y301*SUMIFS($AM$2:$AM$11,$AK$2:$AK$11,"&lt;="&amp;X301,$AL$2:$AL$11,"&gt;="&amp;X301)+Z301*AA301*SUMIFS($AM$2:$AM$11,$AK$2:$AK$11,"&lt;="&amp;Z301,$AL$2:$AL$11,"&gt;="&amp;Z301)+AB301*AC301*SUMIFS($AM$2:$AM$11,$AK$2:$AK$11,"&lt;="&amp;AB301,$AL$2:$AL$11,"&gt;="&amp;AB301)</f>
        <v/>
      </c>
      <c r="AH301" s="0">
        <f>AG301*(1-40%)</f>
        <v/>
      </c>
      <c r="AI301" s="0">
        <f>AH301*1.2</f>
        <v/>
      </c>
    </row>
    <row r="302">
      <c r="A302" s="26" t="n"/>
      <c r="B302" s="169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>
        <f>AG302</f>
        <v/>
      </c>
      <c r="T302" s="26">
        <f>AI302+Q302+P302</f>
        <v/>
      </c>
      <c r="U302" s="26" t="n"/>
      <c r="V302" s="26" t="n"/>
      <c r="W302" s="169" t="n"/>
      <c r="X302" s="26" t="n"/>
      <c r="Y302" s="26" t="n"/>
      <c r="Z302" s="26" t="n"/>
      <c r="AA302" s="26" t="n"/>
      <c r="AD302" s="0">
        <f>SUM(Y302,AA302,AC302)</f>
        <v/>
      </c>
      <c r="AE302" s="0">
        <f>X302*Y302+Z302*AA302+AB302*AC302</f>
        <v/>
      </c>
      <c r="AF302" s="0">
        <f>TEXTJOIN(", ",TRUE,IF(AND(X302&gt;0,Y302&gt;0),TEXT(X302,"0.00")&amp;"ct x "&amp;Y302,""),IF(AND(Z302&gt;0,AA302&gt;0),TEXT(Z302,"0.00")&amp;"ct x "&amp;AA302,""),IF(AND(AB302&gt;0,AC302&gt;0),TEXT(AB302,"0.00")&amp;"ct x "&amp;AC302,""))</f>
        <v/>
      </c>
      <c r="AG302" s="0">
        <f>X302*Y302*SUMIFS($AM$2:$AM$11,$AK$2:$AK$11,"&lt;="&amp;X302,$AL$2:$AL$11,"&gt;="&amp;X302)+Z302*AA302*SUMIFS($AM$2:$AM$11,$AK$2:$AK$11,"&lt;="&amp;Z302,$AL$2:$AL$11,"&gt;="&amp;Z302)+AB302*AC302*SUMIFS($AM$2:$AM$11,$AK$2:$AK$11,"&lt;="&amp;AB302,$AL$2:$AL$11,"&gt;="&amp;AB302)</f>
        <v/>
      </c>
      <c r="AH302" s="0">
        <f>AG302*(1-40%)</f>
        <v/>
      </c>
      <c r="AI302" s="0">
        <f>AH302*1.2</f>
        <v/>
      </c>
    </row>
    <row r="303">
      <c r="A303" s="26" t="n"/>
      <c r="B303" s="169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>
        <f>AG303</f>
        <v/>
      </c>
      <c r="T303" s="26">
        <f>AI303+Q303+P303</f>
        <v/>
      </c>
      <c r="U303" s="26" t="n"/>
      <c r="V303" s="26" t="n"/>
      <c r="W303" s="169" t="n"/>
      <c r="X303" s="26" t="n"/>
      <c r="Y303" s="26" t="n"/>
      <c r="Z303" s="26" t="n"/>
      <c r="AA303" s="26" t="n"/>
      <c r="AD303" s="0">
        <f>SUM(Y303,AA303,AC303)</f>
        <v/>
      </c>
      <c r="AE303" s="0">
        <f>X303*Y303+Z303*AA303+AB303*AC303</f>
        <v/>
      </c>
      <c r="AF303" s="0">
        <f>TEXTJOIN(", ",TRUE,IF(AND(X303&gt;0,Y303&gt;0),TEXT(X303,"0.00")&amp;"ct x "&amp;Y303,""),IF(AND(Z303&gt;0,AA303&gt;0),TEXT(Z303,"0.00")&amp;"ct x "&amp;AA303,""),IF(AND(AB303&gt;0,AC303&gt;0),TEXT(AB303,"0.00")&amp;"ct x "&amp;AC303,""))</f>
        <v/>
      </c>
      <c r="AG303" s="0">
        <f>X303*Y303*SUMIFS($AM$2:$AM$11,$AK$2:$AK$11,"&lt;="&amp;X303,$AL$2:$AL$11,"&gt;="&amp;X303)+Z303*AA303*SUMIFS($AM$2:$AM$11,$AK$2:$AK$11,"&lt;="&amp;Z303,$AL$2:$AL$11,"&gt;="&amp;Z303)+AB303*AC303*SUMIFS($AM$2:$AM$11,$AK$2:$AK$11,"&lt;="&amp;AB303,$AL$2:$AL$11,"&gt;="&amp;AB303)</f>
        <v/>
      </c>
      <c r="AH303" s="0">
        <f>AG303*(1-40%)</f>
        <v/>
      </c>
      <c r="AI303" s="0">
        <f>AH303*1.2</f>
        <v/>
      </c>
    </row>
    <row r="304">
      <c r="A304" s="26" t="n"/>
      <c r="B304" s="169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>
        <f>AG304</f>
        <v/>
      </c>
      <c r="T304" s="26">
        <f>AI304+Q304+P304</f>
        <v/>
      </c>
      <c r="U304" s="26" t="n"/>
      <c r="V304" s="26" t="n"/>
      <c r="W304" s="169" t="n"/>
      <c r="X304" s="26" t="n"/>
      <c r="Y304" s="26" t="n"/>
      <c r="Z304" s="26" t="n"/>
      <c r="AA304" s="26" t="n"/>
      <c r="AD304" s="0">
        <f>SUM(Y304,AA304,AC304)</f>
        <v/>
      </c>
      <c r="AE304" s="0">
        <f>X304*Y304+Z304*AA304+AB304*AC304</f>
        <v/>
      </c>
      <c r="AF304" s="0">
        <f>TEXTJOIN(", ",TRUE,IF(AND(X304&gt;0,Y304&gt;0),TEXT(X304,"0.00")&amp;"ct x "&amp;Y304,""),IF(AND(Z304&gt;0,AA304&gt;0),TEXT(Z304,"0.00")&amp;"ct x "&amp;AA304,""),IF(AND(AB304&gt;0,AC304&gt;0),TEXT(AB304,"0.00")&amp;"ct x "&amp;AC304,""))</f>
        <v/>
      </c>
      <c r="AG304" s="0">
        <f>X304*Y304*SUMIFS($AM$2:$AM$11,$AK$2:$AK$11,"&lt;="&amp;X304,$AL$2:$AL$11,"&gt;="&amp;X304)+Z304*AA304*SUMIFS($AM$2:$AM$11,$AK$2:$AK$11,"&lt;="&amp;Z304,$AL$2:$AL$11,"&gt;="&amp;Z304)+AB304*AC304*SUMIFS($AM$2:$AM$11,$AK$2:$AK$11,"&lt;="&amp;AB304,$AL$2:$AL$11,"&gt;="&amp;AB304)</f>
        <v/>
      </c>
      <c r="AH304" s="0">
        <f>AG304*(1-40%)</f>
        <v/>
      </c>
      <c r="AI304" s="0">
        <f>AH304*1.2</f>
        <v/>
      </c>
    </row>
    <row r="305">
      <c r="A305" s="26" t="n"/>
      <c r="B305" s="169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>
        <f>AG305</f>
        <v/>
      </c>
      <c r="T305" s="26">
        <f>AI305+Q305+P305</f>
        <v/>
      </c>
      <c r="U305" s="26" t="n"/>
      <c r="V305" s="26" t="n"/>
      <c r="W305" s="169" t="n"/>
      <c r="X305" s="26" t="n"/>
      <c r="Y305" s="26" t="n"/>
      <c r="Z305" s="26" t="n"/>
      <c r="AA305" s="26" t="n"/>
      <c r="AD305" s="0">
        <f>SUM(Y305,AA305,AC305)</f>
        <v/>
      </c>
      <c r="AE305" s="0">
        <f>X305*Y305+Z305*AA305+AB305*AC305</f>
        <v/>
      </c>
      <c r="AF305" s="0">
        <f>TEXTJOIN(", ",TRUE,IF(AND(X305&gt;0,Y305&gt;0),TEXT(X305,"0.00")&amp;"ct x "&amp;Y305,""),IF(AND(Z305&gt;0,AA305&gt;0),TEXT(Z305,"0.00")&amp;"ct x "&amp;AA305,""),IF(AND(AB305&gt;0,AC305&gt;0),TEXT(AB305,"0.00")&amp;"ct x "&amp;AC305,""))</f>
        <v/>
      </c>
      <c r="AG305" s="0">
        <f>X305*Y305*SUMIFS($AM$2:$AM$11,$AK$2:$AK$11,"&lt;="&amp;X305,$AL$2:$AL$11,"&gt;="&amp;X305)+Z305*AA305*SUMIFS($AM$2:$AM$11,$AK$2:$AK$11,"&lt;="&amp;Z305,$AL$2:$AL$11,"&gt;="&amp;Z305)+AB305*AC305*SUMIFS($AM$2:$AM$11,$AK$2:$AK$11,"&lt;="&amp;AB305,$AL$2:$AL$11,"&gt;="&amp;AB305)</f>
        <v/>
      </c>
      <c r="AH305" s="0">
        <f>AG305*(1-40%)</f>
        <v/>
      </c>
      <c r="AI305" s="0">
        <f>AH305*1.2</f>
        <v/>
      </c>
    </row>
    <row r="306">
      <c r="A306" s="26" t="n"/>
      <c r="B306" s="169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>
        <f>AG306</f>
        <v/>
      </c>
      <c r="T306" s="26">
        <f>AI306+Q306+P306</f>
        <v/>
      </c>
      <c r="U306" s="26" t="n"/>
      <c r="V306" s="26" t="n"/>
      <c r="W306" s="169" t="n"/>
      <c r="X306" s="26" t="n"/>
      <c r="Y306" s="26" t="n"/>
      <c r="Z306" s="26" t="n"/>
      <c r="AA306" s="26" t="n"/>
      <c r="AD306" s="0">
        <f>SUM(Y306,AA306,AC306)</f>
        <v/>
      </c>
      <c r="AE306" s="0">
        <f>X306*Y306+Z306*AA306+AB306*AC306</f>
        <v/>
      </c>
      <c r="AF306" s="0">
        <f>TEXTJOIN(", ",TRUE,IF(AND(X306&gt;0,Y306&gt;0),TEXT(X306,"0.00")&amp;"ct x "&amp;Y306,""),IF(AND(Z306&gt;0,AA306&gt;0),TEXT(Z306,"0.00")&amp;"ct x "&amp;AA306,""),IF(AND(AB306&gt;0,AC306&gt;0),TEXT(AB306,"0.00")&amp;"ct x "&amp;AC306,""))</f>
        <v/>
      </c>
      <c r="AG306" s="0">
        <f>X306*Y306*SUMIFS($AM$2:$AM$11,$AK$2:$AK$11,"&lt;="&amp;X306,$AL$2:$AL$11,"&gt;="&amp;X306)+Z306*AA306*SUMIFS($AM$2:$AM$11,$AK$2:$AK$11,"&lt;="&amp;Z306,$AL$2:$AL$11,"&gt;="&amp;Z306)+AB306*AC306*SUMIFS($AM$2:$AM$11,$AK$2:$AK$11,"&lt;="&amp;AB306,$AL$2:$AL$11,"&gt;="&amp;AB306)</f>
        <v/>
      </c>
      <c r="AH306" s="0">
        <f>AG306*(1-40%)</f>
        <v/>
      </c>
      <c r="AI306" s="0">
        <f>AH306*1.2</f>
        <v/>
      </c>
    </row>
    <row r="307">
      <c r="A307" s="26" t="n"/>
      <c r="B307" s="169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>
        <f>AG307</f>
        <v/>
      </c>
      <c r="T307" s="26">
        <f>AI307+Q307+P307</f>
        <v/>
      </c>
      <c r="U307" s="26" t="n"/>
      <c r="V307" s="26" t="n"/>
      <c r="W307" s="169" t="n"/>
      <c r="X307" s="26" t="n"/>
      <c r="Y307" s="26" t="n"/>
      <c r="Z307" s="26" t="n"/>
      <c r="AA307" s="26" t="n"/>
      <c r="AD307" s="0">
        <f>SUM(Y307,AA307,AC307)</f>
        <v/>
      </c>
      <c r="AE307" s="0">
        <f>X307*Y307+Z307*AA307+AB307*AC307</f>
        <v/>
      </c>
      <c r="AF307" s="0">
        <f>TEXTJOIN(", ",TRUE,IF(AND(X307&gt;0,Y307&gt;0),TEXT(X307,"0.00")&amp;"ct x "&amp;Y307,""),IF(AND(Z307&gt;0,AA307&gt;0),TEXT(Z307,"0.00")&amp;"ct x "&amp;AA307,""),IF(AND(AB307&gt;0,AC307&gt;0),TEXT(AB307,"0.00")&amp;"ct x "&amp;AC307,""))</f>
        <v/>
      </c>
      <c r="AG307" s="0">
        <f>X307*Y307*SUMIFS($AM$2:$AM$11,$AK$2:$AK$11,"&lt;="&amp;X307,$AL$2:$AL$11,"&gt;="&amp;X307)+Z307*AA307*SUMIFS($AM$2:$AM$11,$AK$2:$AK$11,"&lt;="&amp;Z307,$AL$2:$AL$11,"&gt;="&amp;Z307)+AB307*AC307*SUMIFS($AM$2:$AM$11,$AK$2:$AK$11,"&lt;="&amp;AB307,$AL$2:$AL$11,"&gt;="&amp;AB307)</f>
        <v/>
      </c>
      <c r="AH307" s="0">
        <f>AG307*(1-40%)</f>
        <v/>
      </c>
      <c r="AI307" s="0">
        <f>AH307*1.2</f>
        <v/>
      </c>
    </row>
    <row r="308">
      <c r="A308" s="26" t="n"/>
      <c r="B308" s="169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>
        <f>AG308</f>
        <v/>
      </c>
      <c r="T308" s="26">
        <f>AI308+Q308+P308</f>
        <v/>
      </c>
      <c r="U308" s="26" t="n"/>
      <c r="V308" s="26" t="n"/>
      <c r="W308" s="169" t="n"/>
      <c r="X308" s="26" t="n"/>
      <c r="Y308" s="26" t="n"/>
      <c r="Z308" s="26" t="n"/>
      <c r="AA308" s="26" t="n"/>
      <c r="AD308" s="0">
        <f>SUM(Y308,AA308,AC308)</f>
        <v/>
      </c>
      <c r="AE308" s="0">
        <f>X308*Y308+Z308*AA308+AB308*AC308</f>
        <v/>
      </c>
      <c r="AF308" s="0">
        <f>TEXTJOIN(", ",TRUE,IF(AND(X308&gt;0,Y308&gt;0),TEXT(X308,"0.00")&amp;"ct x "&amp;Y308,""),IF(AND(Z308&gt;0,AA308&gt;0),TEXT(Z308,"0.00")&amp;"ct x "&amp;AA308,""),IF(AND(AB308&gt;0,AC308&gt;0),TEXT(AB308,"0.00")&amp;"ct x "&amp;AC308,""))</f>
        <v/>
      </c>
      <c r="AG308" s="0">
        <f>X308*Y308*SUMIFS($AM$2:$AM$11,$AK$2:$AK$11,"&lt;="&amp;X308,$AL$2:$AL$11,"&gt;="&amp;X308)+Z308*AA308*SUMIFS($AM$2:$AM$11,$AK$2:$AK$11,"&lt;="&amp;Z308,$AL$2:$AL$11,"&gt;="&amp;Z308)+AB308*AC308*SUMIFS($AM$2:$AM$11,$AK$2:$AK$11,"&lt;="&amp;AB308,$AL$2:$AL$11,"&gt;="&amp;AB308)</f>
        <v/>
      </c>
      <c r="AH308" s="0">
        <f>AG308*(1-40%)</f>
        <v/>
      </c>
      <c r="AI308" s="0">
        <f>AH308*1.2</f>
        <v/>
      </c>
    </row>
    <row r="309">
      <c r="A309" s="26" t="n"/>
      <c r="B309" s="169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>
        <f>AG309</f>
        <v/>
      </c>
      <c r="T309" s="26">
        <f>AI309+Q309+P309</f>
        <v/>
      </c>
      <c r="U309" s="26" t="n"/>
      <c r="V309" s="26" t="n"/>
      <c r="W309" s="169" t="n"/>
      <c r="X309" s="26" t="n"/>
      <c r="Y309" s="26" t="n"/>
      <c r="Z309" s="26" t="n"/>
      <c r="AA309" s="26" t="n"/>
      <c r="AD309" s="0">
        <f>SUM(Y309,AA309,AC309)</f>
        <v/>
      </c>
      <c r="AE309" s="0">
        <f>X309*Y309+Z309*AA309+AB309*AC309</f>
        <v/>
      </c>
      <c r="AF309" s="0">
        <f>TEXTJOIN(", ",TRUE,IF(AND(X309&gt;0,Y309&gt;0),TEXT(X309,"0.00")&amp;"ct x "&amp;Y309,""),IF(AND(Z309&gt;0,AA309&gt;0),TEXT(Z309,"0.00")&amp;"ct x "&amp;AA309,""),IF(AND(AB309&gt;0,AC309&gt;0),TEXT(AB309,"0.00")&amp;"ct x "&amp;AC309,""))</f>
        <v/>
      </c>
      <c r="AG309" s="0">
        <f>X309*Y309*SUMIFS($AM$2:$AM$11,$AK$2:$AK$11,"&lt;="&amp;X309,$AL$2:$AL$11,"&gt;="&amp;X309)+Z309*AA309*SUMIFS($AM$2:$AM$11,$AK$2:$AK$11,"&lt;="&amp;Z309,$AL$2:$AL$11,"&gt;="&amp;Z309)+AB309*AC309*SUMIFS($AM$2:$AM$11,$AK$2:$AK$11,"&lt;="&amp;AB309,$AL$2:$AL$11,"&gt;="&amp;AB309)</f>
        <v/>
      </c>
      <c r="AH309" s="0">
        <f>AG309*(1-40%)</f>
        <v/>
      </c>
      <c r="AI309" s="0">
        <f>AH309*1.2</f>
        <v/>
      </c>
    </row>
    <row r="310">
      <c r="A310" s="26" t="n"/>
      <c r="B310" s="169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>
        <f>AG310</f>
        <v/>
      </c>
      <c r="T310" s="26">
        <f>AI310+Q310+P310</f>
        <v/>
      </c>
      <c r="U310" s="26" t="n"/>
      <c r="V310" s="26" t="n"/>
      <c r="W310" s="169" t="n"/>
      <c r="X310" s="26" t="n"/>
      <c r="Y310" s="26" t="n"/>
      <c r="Z310" s="26" t="n"/>
      <c r="AA310" s="26" t="n"/>
      <c r="AD310" s="0">
        <f>SUM(Y310,AA310,AC310)</f>
        <v/>
      </c>
      <c r="AE310" s="0">
        <f>X310*Y310+Z310*AA310+AB310*AC310</f>
        <v/>
      </c>
      <c r="AF310" s="0">
        <f>TEXTJOIN(", ",TRUE,IF(AND(X310&gt;0,Y310&gt;0),TEXT(X310,"0.00")&amp;"ct x "&amp;Y310,""),IF(AND(Z310&gt;0,AA310&gt;0),TEXT(Z310,"0.00")&amp;"ct x "&amp;AA310,""),IF(AND(AB310&gt;0,AC310&gt;0),TEXT(AB310,"0.00")&amp;"ct x "&amp;AC310,""))</f>
        <v/>
      </c>
      <c r="AG310" s="0">
        <f>X310*Y310*SUMIFS($AM$2:$AM$11,$AK$2:$AK$11,"&lt;="&amp;X310,$AL$2:$AL$11,"&gt;="&amp;X310)+Z310*AA310*SUMIFS($AM$2:$AM$11,$AK$2:$AK$11,"&lt;="&amp;Z310,$AL$2:$AL$11,"&gt;="&amp;Z310)+AB310*AC310*SUMIFS($AM$2:$AM$11,$AK$2:$AK$11,"&lt;="&amp;AB310,$AL$2:$AL$11,"&gt;="&amp;AB310)</f>
        <v/>
      </c>
      <c r="AH310" s="0">
        <f>AG310*(1-40%)</f>
        <v/>
      </c>
      <c r="AI310" s="0">
        <f>AH310*1.2</f>
        <v/>
      </c>
    </row>
    <row r="311">
      <c r="A311" s="26" t="n"/>
      <c r="B311" s="169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>
        <f>AG311</f>
        <v/>
      </c>
      <c r="T311" s="26">
        <f>AI311+Q311+P311</f>
        <v/>
      </c>
      <c r="U311" s="26" t="n"/>
      <c r="V311" s="26" t="n"/>
      <c r="W311" s="169" t="n"/>
      <c r="X311" s="26" t="n"/>
      <c r="Y311" s="26" t="n"/>
      <c r="Z311" s="26" t="n"/>
      <c r="AA311" s="26" t="n"/>
      <c r="AD311" s="0">
        <f>SUM(Y311,AA311,AC311)</f>
        <v/>
      </c>
      <c r="AE311" s="0">
        <f>X311*Y311+Z311*AA311+AB311*AC311</f>
        <v/>
      </c>
      <c r="AF311" s="0">
        <f>TEXTJOIN(", ",TRUE,IF(AND(X311&gt;0,Y311&gt;0),TEXT(X311,"0.00")&amp;"ct x "&amp;Y311,""),IF(AND(Z311&gt;0,AA311&gt;0),TEXT(Z311,"0.00")&amp;"ct x "&amp;AA311,""),IF(AND(AB311&gt;0,AC311&gt;0),TEXT(AB311,"0.00")&amp;"ct x "&amp;AC311,""))</f>
        <v/>
      </c>
      <c r="AG311" s="0">
        <f>X311*Y311*SUMIFS($AM$2:$AM$11,$AK$2:$AK$11,"&lt;="&amp;X311,$AL$2:$AL$11,"&gt;="&amp;X311)+Z311*AA311*SUMIFS($AM$2:$AM$11,$AK$2:$AK$11,"&lt;="&amp;Z311,$AL$2:$AL$11,"&gt;="&amp;Z311)+AB311*AC311*SUMIFS($AM$2:$AM$11,$AK$2:$AK$11,"&lt;="&amp;AB311,$AL$2:$AL$11,"&gt;="&amp;AB311)</f>
        <v/>
      </c>
      <c r="AH311" s="0">
        <f>AG311*(1-40%)</f>
        <v/>
      </c>
      <c r="AI311" s="0">
        <f>AH311*1.2</f>
        <v/>
      </c>
    </row>
    <row r="312">
      <c r="A312" s="26" t="n"/>
      <c r="B312" s="169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>
        <f>AG312</f>
        <v/>
      </c>
      <c r="T312" s="26">
        <f>AI312+Q312+P312</f>
        <v/>
      </c>
      <c r="U312" s="26" t="n"/>
      <c r="V312" s="26" t="n"/>
      <c r="W312" s="169" t="n"/>
      <c r="X312" s="26" t="n"/>
      <c r="Y312" s="26" t="n"/>
      <c r="Z312" s="26" t="n"/>
      <c r="AA312" s="26" t="n"/>
      <c r="AD312" s="0">
        <f>SUM(Y312,AA312,AC312)</f>
        <v/>
      </c>
      <c r="AE312" s="0">
        <f>X312*Y312+Z312*AA312+AB312*AC312</f>
        <v/>
      </c>
      <c r="AF312" s="0">
        <f>TEXTJOIN(", ",TRUE,IF(AND(X312&gt;0,Y312&gt;0),TEXT(X312,"0.00")&amp;"ct x "&amp;Y312,""),IF(AND(Z312&gt;0,AA312&gt;0),TEXT(Z312,"0.00")&amp;"ct x "&amp;AA312,""),IF(AND(AB312&gt;0,AC312&gt;0),TEXT(AB312,"0.00")&amp;"ct x "&amp;AC312,""))</f>
        <v/>
      </c>
      <c r="AG312" s="0">
        <f>X312*Y312*SUMIFS($AM$2:$AM$11,$AK$2:$AK$11,"&lt;="&amp;X312,$AL$2:$AL$11,"&gt;="&amp;X312)+Z312*AA312*SUMIFS($AM$2:$AM$11,$AK$2:$AK$11,"&lt;="&amp;Z312,$AL$2:$AL$11,"&gt;="&amp;Z312)+AB312*AC312*SUMIFS($AM$2:$AM$11,$AK$2:$AK$11,"&lt;="&amp;AB312,$AL$2:$AL$11,"&gt;="&amp;AB312)</f>
        <v/>
      </c>
      <c r="AH312" s="0">
        <f>AG312*(1-40%)</f>
        <v/>
      </c>
      <c r="AI312" s="0">
        <f>AH312*1.2</f>
        <v/>
      </c>
    </row>
    <row r="313">
      <c r="A313" s="26" t="n"/>
      <c r="B313" s="169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>
        <f>AG313</f>
        <v/>
      </c>
      <c r="T313" s="26">
        <f>AI313+Q313+P313</f>
        <v/>
      </c>
      <c r="U313" s="26" t="n"/>
      <c r="V313" s="26" t="n"/>
      <c r="W313" s="169" t="n"/>
      <c r="X313" s="26" t="n"/>
      <c r="Y313" s="26" t="n"/>
      <c r="Z313" s="26" t="n"/>
      <c r="AA313" s="26" t="n"/>
      <c r="AD313" s="0">
        <f>SUM(Y313,AA313,AC313)</f>
        <v/>
      </c>
      <c r="AE313" s="0">
        <f>X313*Y313+Z313*AA313+AB313*AC313</f>
        <v/>
      </c>
      <c r="AF313" s="0">
        <f>TEXTJOIN(", ",TRUE,IF(AND(X313&gt;0,Y313&gt;0),TEXT(X313,"0.00")&amp;"ct x "&amp;Y313,""),IF(AND(Z313&gt;0,AA313&gt;0),TEXT(Z313,"0.00")&amp;"ct x "&amp;AA313,""),IF(AND(AB313&gt;0,AC313&gt;0),TEXT(AB313,"0.00")&amp;"ct x "&amp;AC313,""))</f>
        <v/>
      </c>
      <c r="AG313" s="0">
        <f>X313*Y313*SUMIFS($AM$2:$AM$11,$AK$2:$AK$11,"&lt;="&amp;X313,$AL$2:$AL$11,"&gt;="&amp;X313)+Z313*AA313*SUMIFS($AM$2:$AM$11,$AK$2:$AK$11,"&lt;="&amp;Z313,$AL$2:$AL$11,"&gt;="&amp;Z313)+AB313*AC313*SUMIFS($AM$2:$AM$11,$AK$2:$AK$11,"&lt;="&amp;AB313,$AL$2:$AL$11,"&gt;="&amp;AB313)</f>
        <v/>
      </c>
      <c r="AH313" s="0">
        <f>AG313*(1-40%)</f>
        <v/>
      </c>
      <c r="AI313" s="0">
        <f>AH313*1.2</f>
        <v/>
      </c>
    </row>
    <row r="314">
      <c r="A314" s="26" t="n"/>
      <c r="B314" s="169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>
        <f>AG314</f>
        <v/>
      </c>
      <c r="T314" s="26">
        <f>AI314+Q314+P314</f>
        <v/>
      </c>
      <c r="U314" s="26" t="n"/>
      <c r="V314" s="26" t="n"/>
      <c r="W314" s="169" t="n"/>
      <c r="X314" s="26" t="n"/>
      <c r="Y314" s="26" t="n"/>
      <c r="Z314" s="26" t="n"/>
      <c r="AA314" s="26" t="n"/>
      <c r="AD314" s="0">
        <f>SUM(Y314,AA314,AC314)</f>
        <v/>
      </c>
      <c r="AE314" s="0">
        <f>X314*Y314+Z314*AA314+AB314*AC314</f>
        <v/>
      </c>
      <c r="AF314" s="0">
        <f>TEXTJOIN(", ",TRUE,IF(AND(X314&gt;0,Y314&gt;0),TEXT(X314,"0.00")&amp;"ct x "&amp;Y314,""),IF(AND(Z314&gt;0,AA314&gt;0),TEXT(Z314,"0.00")&amp;"ct x "&amp;AA314,""),IF(AND(AB314&gt;0,AC314&gt;0),TEXT(AB314,"0.00")&amp;"ct x "&amp;AC314,""))</f>
        <v/>
      </c>
      <c r="AG314" s="0">
        <f>X314*Y314*SUMIFS($AM$2:$AM$11,$AK$2:$AK$11,"&lt;="&amp;X314,$AL$2:$AL$11,"&gt;="&amp;X314)+Z314*AA314*SUMIFS($AM$2:$AM$11,$AK$2:$AK$11,"&lt;="&amp;Z314,$AL$2:$AL$11,"&gt;="&amp;Z314)+AB314*AC314*SUMIFS($AM$2:$AM$11,$AK$2:$AK$11,"&lt;="&amp;AB314,$AL$2:$AL$11,"&gt;="&amp;AB314)</f>
        <v/>
      </c>
      <c r="AH314" s="0">
        <f>AG314*(1-40%)</f>
        <v/>
      </c>
      <c r="AI314" s="0">
        <f>AH314*1.2</f>
        <v/>
      </c>
    </row>
    <row r="315">
      <c r="A315" s="26" t="n"/>
      <c r="B315" s="169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>
        <f>AG315</f>
        <v/>
      </c>
      <c r="T315" s="26">
        <f>AI315+Q315+P315</f>
        <v/>
      </c>
      <c r="U315" s="26" t="n"/>
      <c r="V315" s="26" t="n"/>
      <c r="W315" s="169" t="n"/>
      <c r="X315" s="26" t="n"/>
      <c r="Y315" s="26" t="n"/>
      <c r="Z315" s="26" t="n"/>
      <c r="AA315" s="26" t="n"/>
      <c r="AD315" s="0">
        <f>SUM(Y315,AA315,AC315)</f>
        <v/>
      </c>
      <c r="AE315" s="0">
        <f>X315*Y315+Z315*AA315+AB315*AC315</f>
        <v/>
      </c>
      <c r="AF315" s="0">
        <f>TEXTJOIN(", ",TRUE,IF(AND(X315&gt;0,Y315&gt;0),TEXT(X315,"0.00")&amp;"ct x "&amp;Y315,""),IF(AND(Z315&gt;0,AA315&gt;0),TEXT(Z315,"0.00")&amp;"ct x "&amp;AA315,""),IF(AND(AB315&gt;0,AC315&gt;0),TEXT(AB315,"0.00")&amp;"ct x "&amp;AC315,""))</f>
        <v/>
      </c>
      <c r="AG315" s="0">
        <f>X315*Y315*SUMIFS($AM$2:$AM$11,$AK$2:$AK$11,"&lt;="&amp;X315,$AL$2:$AL$11,"&gt;="&amp;X315)+Z315*AA315*SUMIFS($AM$2:$AM$11,$AK$2:$AK$11,"&lt;="&amp;Z315,$AL$2:$AL$11,"&gt;="&amp;Z315)+AB315*AC315*SUMIFS($AM$2:$AM$11,$AK$2:$AK$11,"&lt;="&amp;AB315,$AL$2:$AL$11,"&gt;="&amp;AB315)</f>
        <v/>
      </c>
      <c r="AH315" s="0">
        <f>AG315*(1-40%)</f>
        <v/>
      </c>
      <c r="AI315" s="0">
        <f>AH315*1.2</f>
        <v/>
      </c>
    </row>
    <row r="316">
      <c r="A316" s="26" t="n"/>
      <c r="B316" s="169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>
        <f>AG316</f>
        <v/>
      </c>
      <c r="T316" s="26">
        <f>AI316+Q316+P316</f>
        <v/>
      </c>
      <c r="U316" s="26" t="n"/>
      <c r="V316" s="26" t="n"/>
      <c r="W316" s="169" t="n"/>
      <c r="X316" s="26" t="n"/>
      <c r="Y316" s="26" t="n"/>
      <c r="Z316" s="26" t="n"/>
      <c r="AA316" s="26" t="n"/>
      <c r="AD316" s="0">
        <f>SUM(Y316,AA316,AC316)</f>
        <v/>
      </c>
      <c r="AE316" s="0">
        <f>X316*Y316+Z316*AA316+AB316*AC316</f>
        <v/>
      </c>
      <c r="AF316" s="0">
        <f>TEXTJOIN(", ",TRUE,IF(AND(X316&gt;0,Y316&gt;0),TEXT(X316,"0.00")&amp;"ct x "&amp;Y316,""),IF(AND(Z316&gt;0,AA316&gt;0),TEXT(Z316,"0.00")&amp;"ct x "&amp;AA316,""),IF(AND(AB316&gt;0,AC316&gt;0),TEXT(AB316,"0.00")&amp;"ct x "&amp;AC316,""))</f>
        <v/>
      </c>
      <c r="AG316" s="0">
        <f>X316*Y316*SUMIFS($AM$2:$AM$11,$AK$2:$AK$11,"&lt;="&amp;X316,$AL$2:$AL$11,"&gt;="&amp;X316)+Z316*AA316*SUMIFS($AM$2:$AM$11,$AK$2:$AK$11,"&lt;="&amp;Z316,$AL$2:$AL$11,"&gt;="&amp;Z316)+AB316*AC316*SUMIFS($AM$2:$AM$11,$AK$2:$AK$11,"&lt;="&amp;AB316,$AL$2:$AL$11,"&gt;="&amp;AB316)</f>
        <v/>
      </c>
      <c r="AH316" s="0">
        <f>AG316*(1-40%)</f>
        <v/>
      </c>
      <c r="AI316" s="0">
        <f>AH316*1.2</f>
        <v/>
      </c>
    </row>
    <row r="317">
      <c r="A317" s="26" t="n"/>
      <c r="B317" s="169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>
        <f>AG317</f>
        <v/>
      </c>
      <c r="T317" s="26">
        <f>AI317+Q317+P317</f>
        <v/>
      </c>
      <c r="U317" s="26" t="n"/>
      <c r="V317" s="26" t="n"/>
      <c r="W317" s="169" t="n"/>
      <c r="X317" s="26" t="n"/>
      <c r="Y317" s="26" t="n"/>
      <c r="Z317" s="26" t="n"/>
      <c r="AA317" s="26" t="n"/>
      <c r="AD317" s="0">
        <f>SUM(Y317,AA317,AC317)</f>
        <v/>
      </c>
      <c r="AE317" s="0">
        <f>X317*Y317+Z317*AA317+AB317*AC317</f>
        <v/>
      </c>
      <c r="AF317" s="0">
        <f>TEXTJOIN(", ",TRUE,IF(AND(X317&gt;0,Y317&gt;0),TEXT(X317,"0.00")&amp;"ct x "&amp;Y317,""),IF(AND(Z317&gt;0,AA317&gt;0),TEXT(Z317,"0.00")&amp;"ct x "&amp;AA317,""),IF(AND(AB317&gt;0,AC317&gt;0),TEXT(AB317,"0.00")&amp;"ct x "&amp;AC317,""))</f>
        <v/>
      </c>
      <c r="AG317" s="0">
        <f>X317*Y317*SUMIFS($AM$2:$AM$11,$AK$2:$AK$11,"&lt;="&amp;X317,$AL$2:$AL$11,"&gt;="&amp;X317)+Z317*AA317*SUMIFS($AM$2:$AM$11,$AK$2:$AK$11,"&lt;="&amp;Z317,$AL$2:$AL$11,"&gt;="&amp;Z317)+AB317*AC317*SUMIFS($AM$2:$AM$11,$AK$2:$AK$11,"&lt;="&amp;AB317,$AL$2:$AL$11,"&gt;="&amp;AB317)</f>
        <v/>
      </c>
      <c r="AH317" s="0">
        <f>AG317*(1-40%)</f>
        <v/>
      </c>
      <c r="AI317" s="0">
        <f>AH317*1.2</f>
        <v/>
      </c>
    </row>
    <row r="318">
      <c r="A318" s="26" t="n"/>
      <c r="B318" s="169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>
        <f>AG318</f>
        <v/>
      </c>
      <c r="T318" s="26">
        <f>AI318+Q318+P318</f>
        <v/>
      </c>
      <c r="U318" s="26" t="n"/>
      <c r="V318" s="26" t="n"/>
      <c r="W318" s="169" t="n"/>
      <c r="X318" s="26" t="n"/>
      <c r="Y318" s="26" t="n"/>
      <c r="Z318" s="26" t="n"/>
      <c r="AA318" s="26" t="n"/>
      <c r="AD318" s="0">
        <f>SUM(Y318,AA318,AC318)</f>
        <v/>
      </c>
      <c r="AE318" s="0">
        <f>X318*Y318+Z318*AA318+AB318*AC318</f>
        <v/>
      </c>
      <c r="AF318" s="0">
        <f>TEXTJOIN(", ",TRUE,IF(AND(X318&gt;0,Y318&gt;0),TEXT(X318,"0.00")&amp;"ct x "&amp;Y318,""),IF(AND(Z318&gt;0,AA318&gt;0),TEXT(Z318,"0.00")&amp;"ct x "&amp;AA318,""),IF(AND(AB318&gt;0,AC318&gt;0),TEXT(AB318,"0.00")&amp;"ct x "&amp;AC318,""))</f>
        <v/>
      </c>
      <c r="AG318" s="0">
        <f>X318*Y318*SUMIFS($AM$2:$AM$11,$AK$2:$AK$11,"&lt;="&amp;X318,$AL$2:$AL$11,"&gt;="&amp;X318)+Z318*AA318*SUMIFS($AM$2:$AM$11,$AK$2:$AK$11,"&lt;="&amp;Z318,$AL$2:$AL$11,"&gt;="&amp;Z318)+AB318*AC318*SUMIFS($AM$2:$AM$11,$AK$2:$AK$11,"&lt;="&amp;AB318,$AL$2:$AL$11,"&gt;="&amp;AB318)</f>
        <v/>
      </c>
      <c r="AH318" s="0">
        <f>AG318*(1-40%)</f>
        <v/>
      </c>
      <c r="AI318" s="0">
        <f>AH318*1.2</f>
        <v/>
      </c>
    </row>
    <row r="319">
      <c r="A319" s="26" t="n"/>
      <c r="B319" s="169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>
        <f>AG319</f>
        <v/>
      </c>
      <c r="T319" s="26">
        <f>AI319+Q319+P319</f>
        <v/>
      </c>
      <c r="U319" s="26" t="n"/>
      <c r="V319" s="26" t="n"/>
      <c r="W319" s="169" t="n"/>
      <c r="X319" s="26" t="n"/>
      <c r="Y319" s="26" t="n"/>
      <c r="Z319" s="26" t="n"/>
      <c r="AA319" s="26" t="n"/>
      <c r="AD319" s="0">
        <f>SUM(Y319,AA319,AC319)</f>
        <v/>
      </c>
      <c r="AE319" s="0">
        <f>X319*Y319+Z319*AA319+AB319*AC319</f>
        <v/>
      </c>
      <c r="AF319" s="0">
        <f>TEXTJOIN(", ",TRUE,IF(AND(X319&gt;0,Y319&gt;0),TEXT(X319,"0.00")&amp;"ct x "&amp;Y319,""),IF(AND(Z319&gt;0,AA319&gt;0),TEXT(Z319,"0.00")&amp;"ct x "&amp;AA319,""),IF(AND(AB319&gt;0,AC319&gt;0),TEXT(AB319,"0.00")&amp;"ct x "&amp;AC319,""))</f>
        <v/>
      </c>
      <c r="AG319" s="0">
        <f>X319*Y319*SUMIFS($AM$2:$AM$11,$AK$2:$AK$11,"&lt;="&amp;X319,$AL$2:$AL$11,"&gt;="&amp;X319)+Z319*AA319*SUMIFS($AM$2:$AM$11,$AK$2:$AK$11,"&lt;="&amp;Z319,$AL$2:$AL$11,"&gt;="&amp;Z319)+AB319*AC319*SUMIFS($AM$2:$AM$11,$AK$2:$AK$11,"&lt;="&amp;AB319,$AL$2:$AL$11,"&gt;="&amp;AB319)</f>
        <v/>
      </c>
      <c r="AH319" s="0">
        <f>AG319*(1-40%)</f>
        <v/>
      </c>
      <c r="AI319" s="0">
        <f>AH319*1.2</f>
        <v/>
      </c>
    </row>
    <row r="320">
      <c r="A320" s="26" t="n"/>
      <c r="B320" s="169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>
        <f>AG320</f>
        <v/>
      </c>
      <c r="T320" s="26">
        <f>AI320+Q320+P320</f>
        <v/>
      </c>
      <c r="U320" s="26" t="n"/>
      <c r="V320" s="26" t="n"/>
      <c r="W320" s="169" t="n"/>
      <c r="X320" s="26" t="n"/>
      <c r="Y320" s="26" t="n"/>
      <c r="Z320" s="26" t="n"/>
      <c r="AA320" s="26" t="n"/>
      <c r="AD320" s="0">
        <f>SUM(Y320,AA320,AC320)</f>
        <v/>
      </c>
      <c r="AE320" s="0">
        <f>X320*Y320+Z320*AA320+AB320*AC320</f>
        <v/>
      </c>
      <c r="AF320" s="0">
        <f>TEXTJOIN(", ",TRUE,IF(AND(X320&gt;0,Y320&gt;0),TEXT(X320,"0.00")&amp;"ct x "&amp;Y320,""),IF(AND(Z320&gt;0,AA320&gt;0),TEXT(Z320,"0.00")&amp;"ct x "&amp;AA320,""),IF(AND(AB320&gt;0,AC320&gt;0),TEXT(AB320,"0.00")&amp;"ct x "&amp;AC320,""))</f>
        <v/>
      </c>
      <c r="AG320" s="0">
        <f>X320*Y320*SUMIFS($AM$2:$AM$11,$AK$2:$AK$11,"&lt;="&amp;X320,$AL$2:$AL$11,"&gt;="&amp;X320)+Z320*AA320*SUMIFS($AM$2:$AM$11,$AK$2:$AK$11,"&lt;="&amp;Z320,$AL$2:$AL$11,"&gt;="&amp;Z320)+AB320*AC320*SUMIFS($AM$2:$AM$11,$AK$2:$AK$11,"&lt;="&amp;AB320,$AL$2:$AL$11,"&gt;="&amp;AB320)</f>
        <v/>
      </c>
      <c r="AH320" s="0">
        <f>AG320*(1-40%)</f>
        <v/>
      </c>
      <c r="AI320" s="0">
        <f>AH320*1.2</f>
        <v/>
      </c>
    </row>
    <row r="321">
      <c r="A321" s="26" t="n"/>
      <c r="B321" s="169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>
        <f>AG321</f>
        <v/>
      </c>
      <c r="T321" s="26">
        <f>AI321+Q321+P321</f>
        <v/>
      </c>
      <c r="U321" s="26" t="n"/>
      <c r="V321" s="26" t="n"/>
      <c r="W321" s="169" t="n"/>
      <c r="X321" s="26" t="n"/>
      <c r="Y321" s="26" t="n"/>
      <c r="Z321" s="26" t="n"/>
      <c r="AA321" s="26" t="n"/>
      <c r="AD321" s="0">
        <f>SUM(Y321,AA321,AC321)</f>
        <v/>
      </c>
      <c r="AE321" s="0">
        <f>X321*Y321+Z321*AA321+AB321*AC321</f>
        <v/>
      </c>
      <c r="AF321" s="0">
        <f>TEXTJOIN(", ",TRUE,IF(AND(X321&gt;0,Y321&gt;0),TEXT(X321,"0.00")&amp;"ct x "&amp;Y321,""),IF(AND(Z321&gt;0,AA321&gt;0),TEXT(Z321,"0.00")&amp;"ct x "&amp;AA321,""),IF(AND(AB321&gt;0,AC321&gt;0),TEXT(AB321,"0.00")&amp;"ct x "&amp;AC321,""))</f>
        <v/>
      </c>
      <c r="AG321" s="0">
        <f>X321*Y321*SUMIFS($AM$2:$AM$11,$AK$2:$AK$11,"&lt;="&amp;X321,$AL$2:$AL$11,"&gt;="&amp;X321)+Z321*AA321*SUMIFS($AM$2:$AM$11,$AK$2:$AK$11,"&lt;="&amp;Z321,$AL$2:$AL$11,"&gt;="&amp;Z321)+AB321*AC321*SUMIFS($AM$2:$AM$11,$AK$2:$AK$11,"&lt;="&amp;AB321,$AL$2:$AL$11,"&gt;="&amp;AB321)</f>
        <v/>
      </c>
      <c r="AH321" s="0">
        <f>AG321*(1-40%)</f>
        <v/>
      </c>
      <c r="AI321" s="0">
        <f>AH321*1.2</f>
        <v/>
      </c>
    </row>
    <row r="322">
      <c r="A322" s="26" t="n"/>
      <c r="B322" s="169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>
        <f>AG322</f>
        <v/>
      </c>
      <c r="T322" s="26">
        <f>AI322+Q322+P322</f>
        <v/>
      </c>
      <c r="U322" s="26" t="n"/>
      <c r="V322" s="26" t="n"/>
      <c r="W322" s="169" t="n"/>
      <c r="X322" s="26" t="n"/>
      <c r="Y322" s="26" t="n"/>
      <c r="Z322" s="26" t="n"/>
      <c r="AA322" s="26" t="n"/>
      <c r="AD322" s="0">
        <f>SUM(Y322,AA322,AC322)</f>
        <v/>
      </c>
      <c r="AE322" s="0">
        <f>X322*Y322+Z322*AA322+AB322*AC322</f>
        <v/>
      </c>
      <c r="AF322" s="0">
        <f>TEXTJOIN(", ",TRUE,IF(AND(X322&gt;0,Y322&gt;0),TEXT(X322,"0.00")&amp;"ct x "&amp;Y322,""),IF(AND(Z322&gt;0,AA322&gt;0),TEXT(Z322,"0.00")&amp;"ct x "&amp;AA322,""),IF(AND(AB322&gt;0,AC322&gt;0),TEXT(AB322,"0.00")&amp;"ct x "&amp;AC322,""))</f>
        <v/>
      </c>
      <c r="AG322" s="0">
        <f>X322*Y322*SUMIFS($AM$2:$AM$11,$AK$2:$AK$11,"&lt;="&amp;X322,$AL$2:$AL$11,"&gt;="&amp;X322)+Z322*AA322*SUMIFS($AM$2:$AM$11,$AK$2:$AK$11,"&lt;="&amp;Z322,$AL$2:$AL$11,"&gt;="&amp;Z322)+AB322*AC322*SUMIFS($AM$2:$AM$11,$AK$2:$AK$11,"&lt;="&amp;AB322,$AL$2:$AL$11,"&gt;="&amp;AB322)</f>
        <v/>
      </c>
      <c r="AH322" s="0">
        <f>AG322*(1-40%)</f>
        <v/>
      </c>
      <c r="AI322" s="0">
        <f>AH322*1.2</f>
        <v/>
      </c>
    </row>
    <row r="323">
      <c r="A323" s="26" t="n"/>
      <c r="B323" s="169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>
        <f>AG323</f>
        <v/>
      </c>
      <c r="T323" s="26">
        <f>AI323+Q323+P323</f>
        <v/>
      </c>
      <c r="U323" s="26" t="n"/>
      <c r="V323" s="26" t="n"/>
      <c r="W323" s="169" t="n"/>
      <c r="X323" s="26" t="n"/>
      <c r="Y323" s="26" t="n"/>
      <c r="Z323" s="26" t="n"/>
      <c r="AA323" s="26" t="n"/>
      <c r="AD323" s="0">
        <f>SUM(Y323,AA323,AC323)</f>
        <v/>
      </c>
      <c r="AE323" s="0">
        <f>X323*Y323+Z323*AA323+AB323*AC323</f>
        <v/>
      </c>
      <c r="AF323" s="0">
        <f>TEXTJOIN(", ",TRUE,IF(AND(X323&gt;0,Y323&gt;0),TEXT(X323,"0.00")&amp;"ct x "&amp;Y323,""),IF(AND(Z323&gt;0,AA323&gt;0),TEXT(Z323,"0.00")&amp;"ct x "&amp;AA323,""),IF(AND(AB323&gt;0,AC323&gt;0),TEXT(AB323,"0.00")&amp;"ct x "&amp;AC323,""))</f>
        <v/>
      </c>
      <c r="AG323" s="0">
        <f>X323*Y323*SUMIFS($AM$2:$AM$11,$AK$2:$AK$11,"&lt;="&amp;X323,$AL$2:$AL$11,"&gt;="&amp;X323)+Z323*AA323*SUMIFS($AM$2:$AM$11,$AK$2:$AK$11,"&lt;="&amp;Z323,$AL$2:$AL$11,"&gt;="&amp;Z323)+AB323*AC323*SUMIFS($AM$2:$AM$11,$AK$2:$AK$11,"&lt;="&amp;AB323,$AL$2:$AL$11,"&gt;="&amp;AB323)</f>
        <v/>
      </c>
      <c r="AH323" s="0">
        <f>AG323*(1-40%)</f>
        <v/>
      </c>
      <c r="AI323" s="0">
        <f>AH323*1.2</f>
        <v/>
      </c>
    </row>
    <row r="324">
      <c r="A324" s="26" t="n"/>
      <c r="B324" s="169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>
        <f>AG324</f>
        <v/>
      </c>
      <c r="T324" s="26">
        <f>AI324+Q324+P324</f>
        <v/>
      </c>
      <c r="U324" s="26" t="n"/>
      <c r="V324" s="26" t="n"/>
      <c r="W324" s="169" t="n"/>
      <c r="X324" s="26" t="n"/>
      <c r="Y324" s="26" t="n"/>
      <c r="Z324" s="26" t="n"/>
      <c r="AA324" s="26" t="n"/>
      <c r="AD324" s="0">
        <f>SUM(Y324,AA324,AC324)</f>
        <v/>
      </c>
      <c r="AE324" s="0">
        <f>X324*Y324+Z324*AA324+AB324*AC324</f>
        <v/>
      </c>
      <c r="AF324" s="0">
        <f>TEXTJOIN(", ",TRUE,IF(AND(X324&gt;0,Y324&gt;0),TEXT(X324,"0.00")&amp;"ct x "&amp;Y324,""),IF(AND(Z324&gt;0,AA324&gt;0),TEXT(Z324,"0.00")&amp;"ct x "&amp;AA324,""),IF(AND(AB324&gt;0,AC324&gt;0),TEXT(AB324,"0.00")&amp;"ct x "&amp;AC324,""))</f>
        <v/>
      </c>
      <c r="AG324" s="0">
        <f>X324*Y324*SUMIFS($AM$2:$AM$11,$AK$2:$AK$11,"&lt;="&amp;X324,$AL$2:$AL$11,"&gt;="&amp;X324)+Z324*AA324*SUMIFS($AM$2:$AM$11,$AK$2:$AK$11,"&lt;="&amp;Z324,$AL$2:$AL$11,"&gt;="&amp;Z324)+AB324*AC324*SUMIFS($AM$2:$AM$11,$AK$2:$AK$11,"&lt;="&amp;AB324,$AL$2:$AL$11,"&gt;="&amp;AB324)</f>
        <v/>
      </c>
      <c r="AH324" s="0">
        <f>AG324*(1-40%)</f>
        <v/>
      </c>
      <c r="AI324" s="0">
        <f>AH324*1.2</f>
        <v/>
      </c>
    </row>
    <row r="325">
      <c r="A325" s="26" t="n"/>
      <c r="B325" s="169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>
        <f>AG325</f>
        <v/>
      </c>
      <c r="T325" s="26">
        <f>AI325+Q325+P325</f>
        <v/>
      </c>
      <c r="U325" s="26" t="n"/>
      <c r="V325" s="26" t="n"/>
      <c r="W325" s="169" t="n"/>
      <c r="X325" s="26" t="n"/>
      <c r="Y325" s="26" t="n"/>
      <c r="Z325" s="26" t="n"/>
      <c r="AA325" s="26" t="n"/>
      <c r="AD325" s="0">
        <f>SUM(Y325,AA325,AC325)</f>
        <v/>
      </c>
      <c r="AE325" s="0">
        <f>X325*Y325+Z325*AA325+AB325*AC325</f>
        <v/>
      </c>
      <c r="AF325" s="0">
        <f>TEXTJOIN(", ",TRUE,IF(AND(X325&gt;0,Y325&gt;0),TEXT(X325,"0.00")&amp;"ct x "&amp;Y325,""),IF(AND(Z325&gt;0,AA325&gt;0),TEXT(Z325,"0.00")&amp;"ct x "&amp;AA325,""),IF(AND(AB325&gt;0,AC325&gt;0),TEXT(AB325,"0.00")&amp;"ct x "&amp;AC325,""))</f>
        <v/>
      </c>
      <c r="AG325" s="0">
        <f>X325*Y325*SUMIFS($AM$2:$AM$11,$AK$2:$AK$11,"&lt;="&amp;X325,$AL$2:$AL$11,"&gt;="&amp;X325)+Z325*AA325*SUMIFS($AM$2:$AM$11,$AK$2:$AK$11,"&lt;="&amp;Z325,$AL$2:$AL$11,"&gt;="&amp;Z325)+AB325*AC325*SUMIFS($AM$2:$AM$11,$AK$2:$AK$11,"&lt;="&amp;AB325,$AL$2:$AL$11,"&gt;="&amp;AB325)</f>
        <v/>
      </c>
      <c r="AH325" s="0">
        <f>AG325*(1-40%)</f>
        <v/>
      </c>
      <c r="AI325" s="0">
        <f>AH325*1.2</f>
        <v/>
      </c>
    </row>
    <row r="326">
      <c r="A326" s="26" t="n"/>
      <c r="B326" s="169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>
        <f>AG326</f>
        <v/>
      </c>
      <c r="T326" s="26">
        <f>AI326+Q326+P326</f>
        <v/>
      </c>
      <c r="U326" s="26" t="n"/>
      <c r="V326" s="26" t="n"/>
      <c r="W326" s="169" t="n"/>
      <c r="X326" s="26" t="n"/>
      <c r="Y326" s="26" t="n"/>
      <c r="Z326" s="26" t="n"/>
      <c r="AA326" s="26" t="n"/>
      <c r="AD326" s="0">
        <f>SUM(Y326,AA326,AC326)</f>
        <v/>
      </c>
      <c r="AE326" s="0">
        <f>X326*Y326+Z326*AA326+AB326*AC326</f>
        <v/>
      </c>
      <c r="AF326" s="0">
        <f>TEXTJOIN(", ",TRUE,IF(AND(X326&gt;0,Y326&gt;0),TEXT(X326,"0.00")&amp;"ct x "&amp;Y326,""),IF(AND(Z326&gt;0,AA326&gt;0),TEXT(Z326,"0.00")&amp;"ct x "&amp;AA326,""),IF(AND(AB326&gt;0,AC326&gt;0),TEXT(AB326,"0.00")&amp;"ct x "&amp;AC326,""))</f>
        <v/>
      </c>
      <c r="AG326" s="0">
        <f>X326*Y326*SUMIFS($AM$2:$AM$11,$AK$2:$AK$11,"&lt;="&amp;X326,$AL$2:$AL$11,"&gt;="&amp;X326)+Z326*AA326*SUMIFS($AM$2:$AM$11,$AK$2:$AK$11,"&lt;="&amp;Z326,$AL$2:$AL$11,"&gt;="&amp;Z326)+AB326*AC326*SUMIFS($AM$2:$AM$11,$AK$2:$AK$11,"&lt;="&amp;AB326,$AL$2:$AL$11,"&gt;="&amp;AB326)</f>
        <v/>
      </c>
      <c r="AH326" s="0">
        <f>AG326*(1-40%)</f>
        <v/>
      </c>
      <c r="AI326" s="0">
        <f>AH326*1.2</f>
        <v/>
      </c>
    </row>
    <row r="327">
      <c r="A327" s="26" t="n"/>
      <c r="B327" s="169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>
        <f>AG327</f>
        <v/>
      </c>
      <c r="T327" s="26">
        <f>AI327+Q327+P327</f>
        <v/>
      </c>
      <c r="U327" s="26" t="n"/>
      <c r="V327" s="26" t="n"/>
      <c r="W327" s="169" t="n"/>
      <c r="X327" s="26" t="n"/>
      <c r="Y327" s="26" t="n"/>
      <c r="Z327" s="26" t="n"/>
      <c r="AA327" s="26" t="n"/>
      <c r="AD327" s="0">
        <f>SUM(Y327,AA327,AC327)</f>
        <v/>
      </c>
      <c r="AE327" s="0">
        <f>X327*Y327+Z327*AA327+AB327*AC327</f>
        <v/>
      </c>
      <c r="AF327" s="0">
        <f>TEXTJOIN(", ",TRUE,IF(AND(X327&gt;0,Y327&gt;0),TEXT(X327,"0.00")&amp;"ct x "&amp;Y327,""),IF(AND(Z327&gt;0,AA327&gt;0),TEXT(Z327,"0.00")&amp;"ct x "&amp;AA327,""),IF(AND(AB327&gt;0,AC327&gt;0),TEXT(AB327,"0.00")&amp;"ct x "&amp;AC327,""))</f>
        <v/>
      </c>
      <c r="AG327" s="0">
        <f>X327*Y327*SUMIFS($AM$2:$AM$11,$AK$2:$AK$11,"&lt;="&amp;X327,$AL$2:$AL$11,"&gt;="&amp;X327)+Z327*AA327*SUMIFS($AM$2:$AM$11,$AK$2:$AK$11,"&lt;="&amp;Z327,$AL$2:$AL$11,"&gt;="&amp;Z327)+AB327*AC327*SUMIFS($AM$2:$AM$11,$AK$2:$AK$11,"&lt;="&amp;AB327,$AL$2:$AL$11,"&gt;="&amp;AB327)</f>
        <v/>
      </c>
      <c r="AH327" s="0">
        <f>AG327*(1-40%)</f>
        <v/>
      </c>
      <c r="AI327" s="0">
        <f>AH327*1.2</f>
        <v/>
      </c>
    </row>
    <row r="328">
      <c r="A328" s="26" t="n"/>
      <c r="B328" s="169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>
        <f>AG328</f>
        <v/>
      </c>
      <c r="T328" s="26">
        <f>AI328+Q328+P328</f>
        <v/>
      </c>
      <c r="U328" s="26" t="n"/>
      <c r="V328" s="26" t="n"/>
      <c r="W328" s="169" t="n"/>
      <c r="X328" s="26" t="n"/>
      <c r="Y328" s="26" t="n"/>
      <c r="Z328" s="26" t="n"/>
      <c r="AA328" s="26" t="n"/>
      <c r="AD328" s="0">
        <f>SUM(Y328,AA328,AC328)</f>
        <v/>
      </c>
      <c r="AE328" s="0">
        <f>X328*Y328+Z328*AA328+AB328*AC328</f>
        <v/>
      </c>
      <c r="AF328" s="0">
        <f>TEXTJOIN(", ",TRUE,IF(AND(X328&gt;0,Y328&gt;0),TEXT(X328,"0.00")&amp;"ct x "&amp;Y328,""),IF(AND(Z328&gt;0,AA328&gt;0),TEXT(Z328,"0.00")&amp;"ct x "&amp;AA328,""),IF(AND(AB328&gt;0,AC328&gt;0),TEXT(AB328,"0.00")&amp;"ct x "&amp;AC328,""))</f>
        <v/>
      </c>
      <c r="AG328" s="0">
        <f>X328*Y328*SUMIFS($AM$2:$AM$11,$AK$2:$AK$11,"&lt;="&amp;X328,$AL$2:$AL$11,"&gt;="&amp;X328)+Z328*AA328*SUMIFS($AM$2:$AM$11,$AK$2:$AK$11,"&lt;="&amp;Z328,$AL$2:$AL$11,"&gt;="&amp;Z328)+AB328*AC328*SUMIFS($AM$2:$AM$11,$AK$2:$AK$11,"&lt;="&amp;AB328,$AL$2:$AL$11,"&gt;="&amp;AB328)</f>
        <v/>
      </c>
      <c r="AH328" s="0">
        <f>AG328*(1-40%)</f>
        <v/>
      </c>
      <c r="AI328" s="0">
        <f>AH328*1.2</f>
        <v/>
      </c>
    </row>
    <row r="329">
      <c r="A329" s="26" t="n"/>
      <c r="B329" s="169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>
        <f>AG329</f>
        <v/>
      </c>
      <c r="T329" s="26">
        <f>AI329+Q329+P329</f>
        <v/>
      </c>
      <c r="U329" s="26" t="n"/>
      <c r="V329" s="26" t="n"/>
      <c r="W329" s="169" t="n"/>
      <c r="X329" s="26" t="n"/>
      <c r="Y329" s="26" t="n"/>
      <c r="Z329" s="26" t="n"/>
      <c r="AA329" s="26" t="n"/>
      <c r="AD329" s="0">
        <f>SUM(Y329,AA329,AC329)</f>
        <v/>
      </c>
      <c r="AE329" s="0">
        <f>X329*Y329+Z329*AA329+AB329*AC329</f>
        <v/>
      </c>
      <c r="AF329" s="0">
        <f>TEXTJOIN(", ",TRUE,IF(AND(X329&gt;0,Y329&gt;0),TEXT(X329,"0.00")&amp;"ct x "&amp;Y329,""),IF(AND(Z329&gt;0,AA329&gt;0),TEXT(Z329,"0.00")&amp;"ct x "&amp;AA329,""),IF(AND(AB329&gt;0,AC329&gt;0),TEXT(AB329,"0.00")&amp;"ct x "&amp;AC329,""))</f>
        <v/>
      </c>
      <c r="AG329" s="0">
        <f>X329*Y329*SUMIFS($AM$2:$AM$11,$AK$2:$AK$11,"&lt;="&amp;X329,$AL$2:$AL$11,"&gt;="&amp;X329)+Z329*AA329*SUMIFS($AM$2:$AM$11,$AK$2:$AK$11,"&lt;="&amp;Z329,$AL$2:$AL$11,"&gt;="&amp;Z329)+AB329*AC329*SUMIFS($AM$2:$AM$11,$AK$2:$AK$11,"&lt;="&amp;AB329,$AL$2:$AL$11,"&gt;="&amp;AB329)</f>
        <v/>
      </c>
      <c r="AH329" s="0">
        <f>AG329*(1-40%)</f>
        <v/>
      </c>
      <c r="AI329" s="0">
        <f>AH329*1.2</f>
        <v/>
      </c>
    </row>
    <row r="330">
      <c r="A330" s="26" t="n"/>
      <c r="B330" s="169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>
        <f>AG330</f>
        <v/>
      </c>
      <c r="T330" s="26">
        <f>AI330+Q330+P330</f>
        <v/>
      </c>
      <c r="U330" s="26" t="n"/>
      <c r="V330" s="26" t="n"/>
      <c r="W330" s="169" t="n"/>
      <c r="X330" s="26" t="n"/>
      <c r="Y330" s="26" t="n"/>
      <c r="Z330" s="26" t="n"/>
      <c r="AA330" s="26" t="n"/>
      <c r="AD330" s="0">
        <f>SUM(Y330,AA330,AC330)</f>
        <v/>
      </c>
      <c r="AE330" s="0">
        <f>X330*Y330+Z330*AA330+AB330*AC330</f>
        <v/>
      </c>
      <c r="AF330" s="0">
        <f>TEXTJOIN(", ",TRUE,IF(AND(X330&gt;0,Y330&gt;0),TEXT(X330,"0.00")&amp;"ct x "&amp;Y330,""),IF(AND(Z330&gt;0,AA330&gt;0),TEXT(Z330,"0.00")&amp;"ct x "&amp;AA330,""),IF(AND(AB330&gt;0,AC330&gt;0),TEXT(AB330,"0.00")&amp;"ct x "&amp;AC330,""))</f>
        <v/>
      </c>
      <c r="AG330" s="0">
        <f>X330*Y330*SUMIFS($AM$2:$AM$11,$AK$2:$AK$11,"&lt;="&amp;X330,$AL$2:$AL$11,"&gt;="&amp;X330)+Z330*AA330*SUMIFS($AM$2:$AM$11,$AK$2:$AK$11,"&lt;="&amp;Z330,$AL$2:$AL$11,"&gt;="&amp;Z330)+AB330*AC330*SUMIFS($AM$2:$AM$11,$AK$2:$AK$11,"&lt;="&amp;AB330,$AL$2:$AL$11,"&gt;="&amp;AB330)</f>
        <v/>
      </c>
      <c r="AH330" s="0">
        <f>AG330*(1-40%)</f>
        <v/>
      </c>
      <c r="AI330" s="0">
        <f>AH330*1.2</f>
        <v/>
      </c>
    </row>
    <row r="331">
      <c r="A331" s="26" t="n"/>
      <c r="B331" s="169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>
        <f>AG331</f>
        <v/>
      </c>
      <c r="T331" s="26">
        <f>AI331+Q331+P331</f>
        <v/>
      </c>
      <c r="U331" s="26" t="n"/>
      <c r="V331" s="26" t="n"/>
      <c r="W331" s="169" t="n"/>
      <c r="X331" s="26" t="n"/>
      <c r="Y331" s="26" t="n"/>
      <c r="Z331" s="26" t="n"/>
      <c r="AA331" s="26" t="n"/>
      <c r="AD331" s="0">
        <f>SUM(Y331,AA331,AC331)</f>
        <v/>
      </c>
      <c r="AE331" s="0">
        <f>X331*Y331+Z331*AA331+AB331*AC331</f>
        <v/>
      </c>
      <c r="AF331" s="0">
        <f>TEXTJOIN(", ",TRUE,IF(AND(X331&gt;0,Y331&gt;0),TEXT(X331,"0.00")&amp;"ct x "&amp;Y331,""),IF(AND(Z331&gt;0,AA331&gt;0),TEXT(Z331,"0.00")&amp;"ct x "&amp;AA331,""),IF(AND(AB331&gt;0,AC331&gt;0),TEXT(AB331,"0.00")&amp;"ct x "&amp;AC331,""))</f>
        <v/>
      </c>
      <c r="AG331" s="0">
        <f>X331*Y331*SUMIFS($AM$2:$AM$11,$AK$2:$AK$11,"&lt;="&amp;X331,$AL$2:$AL$11,"&gt;="&amp;X331)+Z331*AA331*SUMIFS($AM$2:$AM$11,$AK$2:$AK$11,"&lt;="&amp;Z331,$AL$2:$AL$11,"&gt;="&amp;Z331)+AB331*AC331*SUMIFS($AM$2:$AM$11,$AK$2:$AK$11,"&lt;="&amp;AB331,$AL$2:$AL$11,"&gt;="&amp;AB331)</f>
        <v/>
      </c>
      <c r="AH331" s="0">
        <f>AG331*(1-40%)</f>
        <v/>
      </c>
      <c r="AI331" s="0">
        <f>AH331*1.2</f>
        <v/>
      </c>
    </row>
    <row r="332">
      <c r="A332" s="26" t="n"/>
      <c r="B332" s="169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>
        <f>AG332</f>
        <v/>
      </c>
      <c r="T332" s="26">
        <f>AI332+Q332+P332</f>
        <v/>
      </c>
      <c r="U332" s="26" t="n"/>
      <c r="V332" s="26" t="n"/>
      <c r="W332" s="169" t="n"/>
      <c r="X332" s="26" t="n"/>
      <c r="Y332" s="26" t="n"/>
      <c r="Z332" s="26" t="n"/>
      <c r="AA332" s="26" t="n"/>
      <c r="AD332" s="0">
        <f>SUM(Y332,AA332,AC332)</f>
        <v/>
      </c>
      <c r="AE332" s="0">
        <f>X332*Y332+Z332*AA332+AB332*AC332</f>
        <v/>
      </c>
      <c r="AF332" s="0">
        <f>TEXTJOIN(", ",TRUE,IF(AND(X332&gt;0,Y332&gt;0),TEXT(X332,"0.00")&amp;"ct x "&amp;Y332,""),IF(AND(Z332&gt;0,AA332&gt;0),TEXT(Z332,"0.00")&amp;"ct x "&amp;AA332,""),IF(AND(AB332&gt;0,AC332&gt;0),TEXT(AB332,"0.00")&amp;"ct x "&amp;AC332,""))</f>
        <v/>
      </c>
      <c r="AG332" s="0">
        <f>X332*Y332*SUMIFS($AM$2:$AM$11,$AK$2:$AK$11,"&lt;="&amp;X332,$AL$2:$AL$11,"&gt;="&amp;X332)+Z332*AA332*SUMIFS($AM$2:$AM$11,$AK$2:$AK$11,"&lt;="&amp;Z332,$AL$2:$AL$11,"&gt;="&amp;Z332)+AB332*AC332*SUMIFS($AM$2:$AM$11,$AK$2:$AK$11,"&lt;="&amp;AB332,$AL$2:$AL$11,"&gt;="&amp;AB332)</f>
        <v/>
      </c>
      <c r="AH332" s="0">
        <f>AG332*(1-40%)</f>
        <v/>
      </c>
      <c r="AI332" s="0">
        <f>AH332*1.2</f>
        <v/>
      </c>
    </row>
    <row r="333">
      <c r="A333" s="26" t="n"/>
      <c r="B333" s="169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>
        <f>AG333</f>
        <v/>
      </c>
      <c r="T333" s="26">
        <f>AI333+Q333+P333</f>
        <v/>
      </c>
      <c r="U333" s="26" t="n"/>
      <c r="V333" s="26" t="n"/>
      <c r="W333" s="169" t="n"/>
      <c r="X333" s="26" t="n"/>
      <c r="Y333" s="26" t="n"/>
      <c r="Z333" s="26" t="n"/>
      <c r="AA333" s="26" t="n"/>
      <c r="AD333" s="0">
        <f>SUM(Y333,AA333,AC333)</f>
        <v/>
      </c>
      <c r="AE333" s="0">
        <f>X333*Y333+Z333*AA333+AB333*AC333</f>
        <v/>
      </c>
      <c r="AF333" s="0">
        <f>TEXTJOIN(", ",TRUE,IF(AND(X333&gt;0,Y333&gt;0),TEXT(X333,"0.00")&amp;"ct x "&amp;Y333,""),IF(AND(Z333&gt;0,AA333&gt;0),TEXT(Z333,"0.00")&amp;"ct x "&amp;AA333,""),IF(AND(AB333&gt;0,AC333&gt;0),TEXT(AB333,"0.00")&amp;"ct x "&amp;AC333,""))</f>
        <v/>
      </c>
      <c r="AG333" s="0">
        <f>X333*Y333*SUMIFS($AM$2:$AM$11,$AK$2:$AK$11,"&lt;="&amp;X333,$AL$2:$AL$11,"&gt;="&amp;X333)+Z333*AA333*SUMIFS($AM$2:$AM$11,$AK$2:$AK$11,"&lt;="&amp;Z333,$AL$2:$AL$11,"&gt;="&amp;Z333)+AB333*AC333*SUMIFS($AM$2:$AM$11,$AK$2:$AK$11,"&lt;="&amp;AB333,$AL$2:$AL$11,"&gt;="&amp;AB333)</f>
        <v/>
      </c>
      <c r="AH333" s="0">
        <f>AG333*(1-40%)</f>
        <v/>
      </c>
      <c r="AI333" s="0">
        <f>AH333*1.2</f>
        <v/>
      </c>
    </row>
    <row r="334">
      <c r="A334" s="26" t="n"/>
      <c r="B334" s="169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>
        <f>AG334</f>
        <v/>
      </c>
      <c r="T334" s="26">
        <f>AI334+Q334+P334</f>
        <v/>
      </c>
      <c r="U334" s="26" t="n"/>
      <c r="V334" s="26" t="n"/>
      <c r="W334" s="169" t="n"/>
      <c r="X334" s="26" t="n"/>
      <c r="Y334" s="26" t="n"/>
      <c r="Z334" s="26" t="n"/>
      <c r="AA334" s="26" t="n"/>
      <c r="AD334" s="0">
        <f>SUM(Y334,AA334,AC334)</f>
        <v/>
      </c>
      <c r="AE334" s="0">
        <f>X334*Y334+Z334*AA334+AB334*AC334</f>
        <v/>
      </c>
      <c r="AF334" s="0">
        <f>TEXTJOIN(", ",TRUE,IF(AND(X334&gt;0,Y334&gt;0),TEXT(X334,"0.00")&amp;"ct x "&amp;Y334,""),IF(AND(Z334&gt;0,AA334&gt;0),TEXT(Z334,"0.00")&amp;"ct x "&amp;AA334,""),IF(AND(AB334&gt;0,AC334&gt;0),TEXT(AB334,"0.00")&amp;"ct x "&amp;AC334,""))</f>
        <v/>
      </c>
      <c r="AG334" s="0">
        <f>X334*Y334*SUMIFS($AM$2:$AM$11,$AK$2:$AK$11,"&lt;="&amp;X334,$AL$2:$AL$11,"&gt;="&amp;X334)+Z334*AA334*SUMIFS($AM$2:$AM$11,$AK$2:$AK$11,"&lt;="&amp;Z334,$AL$2:$AL$11,"&gt;="&amp;Z334)+AB334*AC334*SUMIFS($AM$2:$AM$11,$AK$2:$AK$11,"&lt;="&amp;AB334,$AL$2:$AL$11,"&gt;="&amp;AB334)</f>
        <v/>
      </c>
      <c r="AH334" s="0">
        <f>AG334*(1-40%)</f>
        <v/>
      </c>
      <c r="AI334" s="0">
        <f>AH334*1.2</f>
        <v/>
      </c>
    </row>
    <row r="335">
      <c r="A335" s="26" t="n"/>
      <c r="B335" s="169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>
        <f>AG335</f>
        <v/>
      </c>
      <c r="T335" s="26">
        <f>AI335+Q335+P335</f>
        <v/>
      </c>
      <c r="U335" s="26" t="n"/>
      <c r="V335" s="26" t="n"/>
      <c r="W335" s="169" t="n"/>
      <c r="X335" s="26" t="n"/>
      <c r="Y335" s="26" t="n"/>
      <c r="Z335" s="26" t="n"/>
      <c r="AA335" s="26" t="n"/>
      <c r="AD335" s="0">
        <f>SUM(Y335,AA335,AC335)</f>
        <v/>
      </c>
      <c r="AE335" s="0">
        <f>X335*Y335+Z335*AA335+AB335*AC335</f>
        <v/>
      </c>
      <c r="AF335" s="0">
        <f>TEXTJOIN(", ",TRUE,IF(AND(X335&gt;0,Y335&gt;0),TEXT(X335,"0.00")&amp;"ct x "&amp;Y335,""),IF(AND(Z335&gt;0,AA335&gt;0),TEXT(Z335,"0.00")&amp;"ct x "&amp;AA335,""),IF(AND(AB335&gt;0,AC335&gt;0),TEXT(AB335,"0.00")&amp;"ct x "&amp;AC335,""))</f>
        <v/>
      </c>
      <c r="AG335" s="0">
        <f>X335*Y335*SUMIFS($AM$2:$AM$11,$AK$2:$AK$11,"&lt;="&amp;X335,$AL$2:$AL$11,"&gt;="&amp;X335)+Z335*AA335*SUMIFS($AM$2:$AM$11,$AK$2:$AK$11,"&lt;="&amp;Z335,$AL$2:$AL$11,"&gt;="&amp;Z335)+AB335*AC335*SUMIFS($AM$2:$AM$11,$AK$2:$AK$11,"&lt;="&amp;AB335,$AL$2:$AL$11,"&gt;="&amp;AB335)</f>
        <v/>
      </c>
      <c r="AH335" s="0">
        <f>AG335*(1-40%)</f>
        <v/>
      </c>
      <c r="AI335" s="0">
        <f>AH335*1.2</f>
        <v/>
      </c>
    </row>
    <row r="336">
      <c r="A336" s="26" t="n"/>
      <c r="B336" s="169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>
        <f>AG336</f>
        <v/>
      </c>
      <c r="T336" s="26">
        <f>AI336+Q336+P336</f>
        <v/>
      </c>
      <c r="U336" s="26" t="n"/>
      <c r="V336" s="26" t="n"/>
      <c r="W336" s="169" t="n"/>
      <c r="X336" s="26" t="n"/>
      <c r="Y336" s="26" t="n"/>
      <c r="Z336" s="26" t="n"/>
      <c r="AA336" s="26" t="n"/>
      <c r="AD336" s="0">
        <f>SUM(Y336,AA336,AC336)</f>
        <v/>
      </c>
      <c r="AE336" s="0">
        <f>X336*Y336+Z336*AA336+AB336*AC336</f>
        <v/>
      </c>
      <c r="AF336" s="0">
        <f>TEXTJOIN(", ",TRUE,IF(AND(X336&gt;0,Y336&gt;0),TEXT(X336,"0.00")&amp;"ct x "&amp;Y336,""),IF(AND(Z336&gt;0,AA336&gt;0),TEXT(Z336,"0.00")&amp;"ct x "&amp;AA336,""),IF(AND(AB336&gt;0,AC336&gt;0),TEXT(AB336,"0.00")&amp;"ct x "&amp;AC336,""))</f>
        <v/>
      </c>
      <c r="AG336" s="0">
        <f>X336*Y336*SUMIFS($AM$2:$AM$11,$AK$2:$AK$11,"&lt;="&amp;X336,$AL$2:$AL$11,"&gt;="&amp;X336)+Z336*AA336*SUMIFS($AM$2:$AM$11,$AK$2:$AK$11,"&lt;="&amp;Z336,$AL$2:$AL$11,"&gt;="&amp;Z336)+AB336*AC336*SUMIFS($AM$2:$AM$11,$AK$2:$AK$11,"&lt;="&amp;AB336,$AL$2:$AL$11,"&gt;="&amp;AB336)</f>
        <v/>
      </c>
      <c r="AH336" s="0">
        <f>AG336*(1-40%)</f>
        <v/>
      </c>
      <c r="AI336" s="0">
        <f>AH336*1.2</f>
        <v/>
      </c>
    </row>
    <row r="337">
      <c r="A337" s="26" t="n"/>
      <c r="B337" s="169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>
        <f>AG337</f>
        <v/>
      </c>
      <c r="T337" s="26">
        <f>AI337+Q337+P337</f>
        <v/>
      </c>
      <c r="U337" s="26" t="n"/>
      <c r="V337" s="26" t="n"/>
      <c r="W337" s="169" t="n"/>
      <c r="X337" s="26" t="n"/>
      <c r="Y337" s="26" t="n"/>
      <c r="Z337" s="26" t="n"/>
      <c r="AA337" s="26" t="n"/>
      <c r="AD337" s="0">
        <f>SUM(Y337,AA337,AC337)</f>
        <v/>
      </c>
      <c r="AE337" s="0">
        <f>X337*Y337+Z337*AA337+AB337*AC337</f>
        <v/>
      </c>
      <c r="AF337" s="0">
        <f>TEXTJOIN(", ",TRUE,IF(AND(X337&gt;0,Y337&gt;0),TEXT(X337,"0.00")&amp;"ct x "&amp;Y337,""),IF(AND(Z337&gt;0,AA337&gt;0),TEXT(Z337,"0.00")&amp;"ct x "&amp;AA337,""),IF(AND(AB337&gt;0,AC337&gt;0),TEXT(AB337,"0.00")&amp;"ct x "&amp;AC337,""))</f>
        <v/>
      </c>
      <c r="AG337" s="0">
        <f>X337*Y337*SUMIFS($AM$2:$AM$11,$AK$2:$AK$11,"&lt;="&amp;X337,$AL$2:$AL$11,"&gt;="&amp;X337)+Z337*AA337*SUMIFS($AM$2:$AM$11,$AK$2:$AK$11,"&lt;="&amp;Z337,$AL$2:$AL$11,"&gt;="&amp;Z337)+AB337*AC337*SUMIFS($AM$2:$AM$11,$AK$2:$AK$11,"&lt;="&amp;AB337,$AL$2:$AL$11,"&gt;="&amp;AB337)</f>
        <v/>
      </c>
      <c r="AH337" s="0">
        <f>AG337*(1-40%)</f>
        <v/>
      </c>
      <c r="AI337" s="0">
        <f>AH337*1.2</f>
        <v/>
      </c>
    </row>
    <row r="338">
      <c r="A338" s="26" t="n"/>
      <c r="B338" s="169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>
        <f>AG338</f>
        <v/>
      </c>
      <c r="T338" s="26">
        <f>AI338+Q338+P338</f>
        <v/>
      </c>
      <c r="U338" s="26" t="n"/>
      <c r="V338" s="26" t="n"/>
      <c r="W338" s="169" t="n"/>
      <c r="X338" s="26" t="n"/>
      <c r="Y338" s="26" t="n"/>
      <c r="Z338" s="26" t="n"/>
      <c r="AA338" s="26" t="n"/>
      <c r="AD338" s="0">
        <f>SUM(Y338,AA338,AC338)</f>
        <v/>
      </c>
      <c r="AE338" s="0">
        <f>X338*Y338+Z338*AA338+AB338*AC338</f>
        <v/>
      </c>
      <c r="AF338" s="0">
        <f>TEXTJOIN(", ",TRUE,IF(AND(X338&gt;0,Y338&gt;0),TEXT(X338,"0.00")&amp;"ct x "&amp;Y338,""),IF(AND(Z338&gt;0,AA338&gt;0),TEXT(Z338,"0.00")&amp;"ct x "&amp;AA338,""),IF(AND(AB338&gt;0,AC338&gt;0),TEXT(AB338,"0.00")&amp;"ct x "&amp;AC338,""))</f>
        <v/>
      </c>
      <c r="AG338" s="0">
        <f>X338*Y338*SUMIFS($AM$2:$AM$11,$AK$2:$AK$11,"&lt;="&amp;X338,$AL$2:$AL$11,"&gt;="&amp;X338)+Z338*AA338*SUMIFS($AM$2:$AM$11,$AK$2:$AK$11,"&lt;="&amp;Z338,$AL$2:$AL$11,"&gt;="&amp;Z338)+AB338*AC338*SUMIFS($AM$2:$AM$11,$AK$2:$AK$11,"&lt;="&amp;AB338,$AL$2:$AL$11,"&gt;="&amp;AB338)</f>
        <v/>
      </c>
      <c r="AH338" s="0">
        <f>AG338*(1-40%)</f>
        <v/>
      </c>
      <c r="AI338" s="0">
        <f>AH338*1.2</f>
        <v/>
      </c>
    </row>
    <row r="339">
      <c r="A339" s="26" t="n"/>
      <c r="B339" s="169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>
        <f>AG339</f>
        <v/>
      </c>
      <c r="T339" s="26">
        <f>AI339+Q339+P339</f>
        <v/>
      </c>
      <c r="U339" s="26" t="n"/>
      <c r="V339" s="26" t="n"/>
      <c r="W339" s="169" t="n"/>
      <c r="X339" s="26" t="n"/>
      <c r="Y339" s="26" t="n"/>
      <c r="Z339" s="26" t="n"/>
      <c r="AA339" s="26" t="n"/>
      <c r="AD339" s="0">
        <f>SUM(Y339,AA339,AC339)</f>
        <v/>
      </c>
      <c r="AE339" s="0">
        <f>X339*Y339+Z339*AA339+AB339*AC339</f>
        <v/>
      </c>
      <c r="AF339" s="0">
        <f>TEXTJOIN(", ",TRUE,IF(AND(X339&gt;0,Y339&gt;0),TEXT(X339,"0.00")&amp;"ct x "&amp;Y339,""),IF(AND(Z339&gt;0,AA339&gt;0),TEXT(Z339,"0.00")&amp;"ct x "&amp;AA339,""),IF(AND(AB339&gt;0,AC339&gt;0),TEXT(AB339,"0.00")&amp;"ct x "&amp;AC339,""))</f>
        <v/>
      </c>
      <c r="AG339" s="0">
        <f>X339*Y339*SUMIFS($AM$2:$AM$11,$AK$2:$AK$11,"&lt;="&amp;X339,$AL$2:$AL$11,"&gt;="&amp;X339)+Z339*AA339*SUMIFS($AM$2:$AM$11,$AK$2:$AK$11,"&lt;="&amp;Z339,$AL$2:$AL$11,"&gt;="&amp;Z339)+AB339*AC339*SUMIFS($AM$2:$AM$11,$AK$2:$AK$11,"&lt;="&amp;AB339,$AL$2:$AL$11,"&gt;="&amp;AB339)</f>
        <v/>
      </c>
      <c r="AH339" s="0">
        <f>AG339*(1-40%)</f>
        <v/>
      </c>
      <c r="AI339" s="0">
        <f>AH339*1.2</f>
        <v/>
      </c>
    </row>
    <row r="340">
      <c r="A340" s="26" t="n"/>
      <c r="B340" s="169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>
        <f>AG340</f>
        <v/>
      </c>
      <c r="T340" s="26">
        <f>AI340+Q340+P340</f>
        <v/>
      </c>
      <c r="U340" s="26" t="n"/>
      <c r="V340" s="26" t="n"/>
      <c r="W340" s="169" t="n"/>
      <c r="X340" s="26" t="n"/>
      <c r="Y340" s="26" t="n"/>
      <c r="Z340" s="26" t="n"/>
      <c r="AA340" s="26" t="n"/>
      <c r="AD340" s="0">
        <f>SUM(Y340,AA340,AC340)</f>
        <v/>
      </c>
      <c r="AE340" s="0">
        <f>X340*Y340+Z340*AA340+AB340*AC340</f>
        <v/>
      </c>
      <c r="AF340" s="0">
        <f>TEXTJOIN(", ",TRUE,IF(AND(X340&gt;0,Y340&gt;0),TEXT(X340,"0.00")&amp;"ct x "&amp;Y340,""),IF(AND(Z340&gt;0,AA340&gt;0),TEXT(Z340,"0.00")&amp;"ct x "&amp;AA340,""),IF(AND(AB340&gt;0,AC340&gt;0),TEXT(AB340,"0.00")&amp;"ct x "&amp;AC340,""))</f>
        <v/>
      </c>
      <c r="AG340" s="0">
        <f>X340*Y340*SUMIFS($AM$2:$AM$11,$AK$2:$AK$11,"&lt;="&amp;X340,$AL$2:$AL$11,"&gt;="&amp;X340)+Z340*AA340*SUMIFS($AM$2:$AM$11,$AK$2:$AK$11,"&lt;="&amp;Z340,$AL$2:$AL$11,"&gt;="&amp;Z340)+AB340*AC340*SUMIFS($AM$2:$AM$11,$AK$2:$AK$11,"&lt;="&amp;AB340,$AL$2:$AL$11,"&gt;="&amp;AB340)</f>
        <v/>
      </c>
      <c r="AH340" s="0">
        <f>AG340*(1-40%)</f>
        <v/>
      </c>
      <c r="AI340" s="0">
        <f>AH340*1.2</f>
        <v/>
      </c>
    </row>
    <row r="341">
      <c r="A341" s="26" t="n"/>
      <c r="B341" s="169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>
        <f>AG341</f>
        <v/>
      </c>
      <c r="T341" s="26">
        <f>AI341+Q341+P341</f>
        <v/>
      </c>
      <c r="U341" s="26" t="n"/>
      <c r="V341" s="26" t="n"/>
      <c r="W341" s="169" t="n"/>
      <c r="X341" s="26" t="n"/>
      <c r="Y341" s="26" t="n"/>
      <c r="Z341" s="26" t="n"/>
      <c r="AA341" s="26" t="n"/>
      <c r="AD341" s="0">
        <f>SUM(Y341,AA341,AC341)</f>
        <v/>
      </c>
      <c r="AE341" s="0">
        <f>X341*Y341+Z341*AA341+AB341*AC341</f>
        <v/>
      </c>
      <c r="AF341" s="0">
        <f>TEXTJOIN(", ",TRUE,IF(AND(X341&gt;0,Y341&gt;0),TEXT(X341,"0.00")&amp;"ct x "&amp;Y341,""),IF(AND(Z341&gt;0,AA341&gt;0),TEXT(Z341,"0.00")&amp;"ct x "&amp;AA341,""),IF(AND(AB341&gt;0,AC341&gt;0),TEXT(AB341,"0.00")&amp;"ct x "&amp;AC341,""))</f>
        <v/>
      </c>
      <c r="AG341" s="0">
        <f>X341*Y341*SUMIFS($AM$2:$AM$11,$AK$2:$AK$11,"&lt;="&amp;X341,$AL$2:$AL$11,"&gt;="&amp;X341)+Z341*AA341*SUMIFS($AM$2:$AM$11,$AK$2:$AK$11,"&lt;="&amp;Z341,$AL$2:$AL$11,"&gt;="&amp;Z341)+AB341*AC341*SUMIFS($AM$2:$AM$11,$AK$2:$AK$11,"&lt;="&amp;AB341,$AL$2:$AL$11,"&gt;="&amp;AB341)</f>
        <v/>
      </c>
      <c r="AH341" s="0">
        <f>AG341*(1-40%)</f>
        <v/>
      </c>
      <c r="AI341" s="0">
        <f>AH341*1.2</f>
        <v/>
      </c>
    </row>
    <row r="342">
      <c r="A342" s="26" t="n"/>
      <c r="B342" s="169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>
        <f>AG342</f>
        <v/>
      </c>
      <c r="T342" s="26">
        <f>AI342+Q342+P342</f>
        <v/>
      </c>
      <c r="U342" s="26" t="n"/>
      <c r="V342" s="26" t="n"/>
      <c r="W342" s="169" t="n"/>
      <c r="X342" s="26" t="n"/>
      <c r="Y342" s="26" t="n"/>
      <c r="Z342" s="26" t="n"/>
      <c r="AA342" s="26" t="n"/>
      <c r="AD342" s="0">
        <f>SUM(Y342,AA342,AC342)</f>
        <v/>
      </c>
      <c r="AE342" s="0">
        <f>X342*Y342+Z342*AA342+AB342*AC342</f>
        <v/>
      </c>
      <c r="AF342" s="0">
        <f>TEXTJOIN(", ",TRUE,IF(AND(X342&gt;0,Y342&gt;0),TEXT(X342,"0.00")&amp;"ct x "&amp;Y342,""),IF(AND(Z342&gt;0,AA342&gt;0),TEXT(Z342,"0.00")&amp;"ct x "&amp;AA342,""),IF(AND(AB342&gt;0,AC342&gt;0),TEXT(AB342,"0.00")&amp;"ct x "&amp;AC342,""))</f>
        <v/>
      </c>
      <c r="AG342" s="0">
        <f>X342*Y342*SUMIFS($AM$2:$AM$11,$AK$2:$AK$11,"&lt;="&amp;X342,$AL$2:$AL$11,"&gt;="&amp;X342)+Z342*AA342*SUMIFS($AM$2:$AM$11,$AK$2:$AK$11,"&lt;="&amp;Z342,$AL$2:$AL$11,"&gt;="&amp;Z342)+AB342*AC342*SUMIFS($AM$2:$AM$11,$AK$2:$AK$11,"&lt;="&amp;AB342,$AL$2:$AL$11,"&gt;="&amp;AB342)</f>
        <v/>
      </c>
      <c r="AH342" s="0">
        <f>AG342*(1-40%)</f>
        <v/>
      </c>
      <c r="AI342" s="0">
        <f>AH342*1.2</f>
        <v/>
      </c>
    </row>
    <row r="343">
      <c r="A343" s="26" t="n"/>
      <c r="B343" s="169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>
        <f>AG343</f>
        <v/>
      </c>
      <c r="T343" s="26">
        <f>AI343+Q343+P343</f>
        <v/>
      </c>
      <c r="U343" s="26" t="n"/>
      <c r="V343" s="26" t="n"/>
      <c r="W343" s="169" t="n"/>
      <c r="X343" s="26" t="n"/>
      <c r="Y343" s="26" t="n"/>
      <c r="Z343" s="26" t="n"/>
      <c r="AA343" s="26" t="n"/>
      <c r="AD343" s="0">
        <f>SUM(Y343,AA343,AC343)</f>
        <v/>
      </c>
      <c r="AE343" s="0">
        <f>X343*Y343+Z343*AA343+AB343*AC343</f>
        <v/>
      </c>
      <c r="AF343" s="0">
        <f>TEXTJOIN(", ",TRUE,IF(AND(X343&gt;0,Y343&gt;0),TEXT(X343,"0.00")&amp;"ct x "&amp;Y343,""),IF(AND(Z343&gt;0,AA343&gt;0),TEXT(Z343,"0.00")&amp;"ct x "&amp;AA343,""),IF(AND(AB343&gt;0,AC343&gt;0),TEXT(AB343,"0.00")&amp;"ct x "&amp;AC343,""))</f>
        <v/>
      </c>
      <c r="AG343" s="0">
        <f>X343*Y343*SUMIFS($AM$2:$AM$11,$AK$2:$AK$11,"&lt;="&amp;X343,$AL$2:$AL$11,"&gt;="&amp;X343)+Z343*AA343*SUMIFS($AM$2:$AM$11,$AK$2:$AK$11,"&lt;="&amp;Z343,$AL$2:$AL$11,"&gt;="&amp;Z343)+AB343*AC343*SUMIFS($AM$2:$AM$11,$AK$2:$AK$11,"&lt;="&amp;AB343,$AL$2:$AL$11,"&gt;="&amp;AB343)</f>
        <v/>
      </c>
      <c r="AH343" s="0">
        <f>AG343*(1-40%)</f>
        <v/>
      </c>
      <c r="AI343" s="0">
        <f>AH343*1.2</f>
        <v/>
      </c>
    </row>
    <row r="344">
      <c r="A344" s="26" t="n"/>
      <c r="B344" s="169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>
        <f>AG344</f>
        <v/>
      </c>
      <c r="T344" s="26">
        <f>AI344+Q344+P344</f>
        <v/>
      </c>
      <c r="U344" s="26" t="n"/>
      <c r="V344" s="26" t="n"/>
      <c r="W344" s="169" t="n"/>
      <c r="X344" s="26" t="n"/>
      <c r="Y344" s="26" t="n"/>
      <c r="Z344" s="26" t="n"/>
      <c r="AA344" s="26" t="n"/>
      <c r="AD344" s="0">
        <f>SUM(Y344,AA344,AC344)</f>
        <v/>
      </c>
      <c r="AE344" s="0">
        <f>X344*Y344+Z344*AA344+AB344*AC344</f>
        <v/>
      </c>
      <c r="AF344" s="0">
        <f>TEXTJOIN(", ",TRUE,IF(AND(X344&gt;0,Y344&gt;0),TEXT(X344,"0.00")&amp;"ct x "&amp;Y344,""),IF(AND(Z344&gt;0,AA344&gt;0),TEXT(Z344,"0.00")&amp;"ct x "&amp;AA344,""),IF(AND(AB344&gt;0,AC344&gt;0),TEXT(AB344,"0.00")&amp;"ct x "&amp;AC344,""))</f>
        <v/>
      </c>
      <c r="AG344" s="0">
        <f>X344*Y344*SUMIFS($AM$2:$AM$11,$AK$2:$AK$11,"&lt;="&amp;X344,$AL$2:$AL$11,"&gt;="&amp;X344)+Z344*AA344*SUMIFS($AM$2:$AM$11,$AK$2:$AK$11,"&lt;="&amp;Z344,$AL$2:$AL$11,"&gt;="&amp;Z344)+AB344*AC344*SUMIFS($AM$2:$AM$11,$AK$2:$AK$11,"&lt;="&amp;AB344,$AL$2:$AL$11,"&gt;="&amp;AB344)</f>
        <v/>
      </c>
      <c r="AH344" s="0">
        <f>AG344*(1-40%)</f>
        <v/>
      </c>
      <c r="AI344" s="0">
        <f>AH344*1.2</f>
        <v/>
      </c>
    </row>
    <row r="345">
      <c r="A345" s="26" t="n"/>
      <c r="B345" s="169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>
        <f>AG345</f>
        <v/>
      </c>
      <c r="T345" s="26">
        <f>AI345+Q345+P345</f>
        <v/>
      </c>
      <c r="U345" s="26" t="n"/>
      <c r="V345" s="26" t="n"/>
      <c r="W345" s="169" t="n"/>
      <c r="X345" s="26" t="n"/>
      <c r="Y345" s="26" t="n"/>
      <c r="Z345" s="26" t="n"/>
      <c r="AA345" s="26" t="n"/>
      <c r="AD345" s="0">
        <f>SUM(Y345,AA345,AC345)</f>
        <v/>
      </c>
      <c r="AE345" s="0">
        <f>X345*Y345+Z345*AA345+AB345*AC345</f>
        <v/>
      </c>
      <c r="AF345" s="0">
        <f>TEXTJOIN(", ",TRUE,IF(AND(X345&gt;0,Y345&gt;0),TEXT(X345,"0.00")&amp;"ct x "&amp;Y345,""),IF(AND(Z345&gt;0,AA345&gt;0),TEXT(Z345,"0.00")&amp;"ct x "&amp;AA345,""),IF(AND(AB345&gt;0,AC345&gt;0),TEXT(AB345,"0.00")&amp;"ct x "&amp;AC345,""))</f>
        <v/>
      </c>
      <c r="AG345" s="0">
        <f>X345*Y345*SUMIFS($AM$2:$AM$11,$AK$2:$AK$11,"&lt;="&amp;X345,$AL$2:$AL$11,"&gt;="&amp;X345)+Z345*AA345*SUMIFS($AM$2:$AM$11,$AK$2:$AK$11,"&lt;="&amp;Z345,$AL$2:$AL$11,"&gt;="&amp;Z345)+AB345*AC345*SUMIFS($AM$2:$AM$11,$AK$2:$AK$11,"&lt;="&amp;AB345,$AL$2:$AL$11,"&gt;="&amp;AB345)</f>
        <v/>
      </c>
      <c r="AH345" s="0">
        <f>AG345*(1-40%)</f>
        <v/>
      </c>
      <c r="AI345" s="0">
        <f>AH345*1.2</f>
        <v/>
      </c>
    </row>
    <row r="346">
      <c r="A346" s="26" t="n"/>
      <c r="B346" s="169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>
        <f>AG346</f>
        <v/>
      </c>
      <c r="T346" s="26">
        <f>AI346+Q346+P346</f>
        <v/>
      </c>
      <c r="U346" s="26" t="n"/>
      <c r="V346" s="26" t="n"/>
      <c r="W346" s="169" t="n"/>
      <c r="X346" s="26" t="n"/>
      <c r="Y346" s="26" t="n"/>
      <c r="Z346" s="26" t="n"/>
      <c r="AA346" s="26" t="n"/>
      <c r="AD346" s="0">
        <f>SUM(Y346,AA346,AC346)</f>
        <v/>
      </c>
      <c r="AE346" s="0">
        <f>X346*Y346+Z346*AA346+AB346*AC346</f>
        <v/>
      </c>
      <c r="AF346" s="0">
        <f>TEXTJOIN(", ",TRUE,IF(AND(X346&gt;0,Y346&gt;0),TEXT(X346,"0.00")&amp;"ct x "&amp;Y346,""),IF(AND(Z346&gt;0,AA346&gt;0),TEXT(Z346,"0.00")&amp;"ct x "&amp;AA346,""),IF(AND(AB346&gt;0,AC346&gt;0),TEXT(AB346,"0.00")&amp;"ct x "&amp;AC346,""))</f>
        <v/>
      </c>
      <c r="AG346" s="0">
        <f>X346*Y346*SUMIFS($AM$2:$AM$11,$AK$2:$AK$11,"&lt;="&amp;X346,$AL$2:$AL$11,"&gt;="&amp;X346)+Z346*AA346*SUMIFS($AM$2:$AM$11,$AK$2:$AK$11,"&lt;="&amp;Z346,$AL$2:$AL$11,"&gt;="&amp;Z346)+AB346*AC346*SUMIFS($AM$2:$AM$11,$AK$2:$AK$11,"&lt;="&amp;AB346,$AL$2:$AL$11,"&gt;="&amp;AB346)</f>
        <v/>
      </c>
      <c r="AH346" s="0">
        <f>AG346*(1-40%)</f>
        <v/>
      </c>
      <c r="AI346" s="0">
        <f>AH346*1.2</f>
        <v/>
      </c>
    </row>
    <row r="347">
      <c r="A347" s="26" t="n"/>
      <c r="B347" s="169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>
        <f>AG347</f>
        <v/>
      </c>
      <c r="T347" s="26">
        <f>AI347+Q347+P347</f>
        <v/>
      </c>
      <c r="U347" s="26" t="n"/>
      <c r="V347" s="26" t="n"/>
      <c r="W347" s="169" t="n"/>
      <c r="X347" s="26" t="n"/>
      <c r="Y347" s="26" t="n"/>
      <c r="Z347" s="26" t="n"/>
      <c r="AA347" s="26" t="n"/>
      <c r="AD347" s="0">
        <f>SUM(Y347,AA347,AC347)</f>
        <v/>
      </c>
      <c r="AE347" s="0">
        <f>X347*Y347+Z347*AA347+AB347*AC347</f>
        <v/>
      </c>
      <c r="AF347" s="0">
        <f>TEXTJOIN(", ",TRUE,IF(AND(X347&gt;0,Y347&gt;0),TEXT(X347,"0.00")&amp;"ct x "&amp;Y347,""),IF(AND(Z347&gt;0,AA347&gt;0),TEXT(Z347,"0.00")&amp;"ct x "&amp;AA347,""),IF(AND(AB347&gt;0,AC347&gt;0),TEXT(AB347,"0.00")&amp;"ct x "&amp;AC347,""))</f>
        <v/>
      </c>
      <c r="AG347" s="0">
        <f>X347*Y347*SUMIFS($AM$2:$AM$11,$AK$2:$AK$11,"&lt;="&amp;X347,$AL$2:$AL$11,"&gt;="&amp;X347)+Z347*AA347*SUMIFS($AM$2:$AM$11,$AK$2:$AK$11,"&lt;="&amp;Z347,$AL$2:$AL$11,"&gt;="&amp;Z347)+AB347*AC347*SUMIFS($AM$2:$AM$11,$AK$2:$AK$11,"&lt;="&amp;AB347,$AL$2:$AL$11,"&gt;="&amp;AB347)</f>
        <v/>
      </c>
      <c r="AH347" s="0">
        <f>AG347*(1-40%)</f>
        <v/>
      </c>
      <c r="AI347" s="0">
        <f>AH347*1.2</f>
        <v/>
      </c>
    </row>
    <row r="348">
      <c r="A348" s="26" t="n"/>
      <c r="B348" s="169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>
        <f>AG348</f>
        <v/>
      </c>
      <c r="T348" s="26">
        <f>AI348+Q348+P348</f>
        <v/>
      </c>
      <c r="U348" s="26" t="n"/>
      <c r="V348" s="26" t="n"/>
      <c r="W348" s="169" t="n"/>
      <c r="X348" s="26" t="n"/>
      <c r="Y348" s="26" t="n"/>
      <c r="Z348" s="26" t="n"/>
      <c r="AA348" s="26" t="n"/>
      <c r="AD348" s="0">
        <f>SUM(Y348,AA348,AC348)</f>
        <v/>
      </c>
      <c r="AE348" s="0">
        <f>X348*Y348+Z348*AA348+AB348*AC348</f>
        <v/>
      </c>
      <c r="AF348" s="0">
        <f>TEXTJOIN(", ",TRUE,IF(AND(X348&gt;0,Y348&gt;0),TEXT(X348,"0.00")&amp;"ct x "&amp;Y348,""),IF(AND(Z348&gt;0,AA348&gt;0),TEXT(Z348,"0.00")&amp;"ct x "&amp;AA348,""),IF(AND(AB348&gt;0,AC348&gt;0),TEXT(AB348,"0.00")&amp;"ct x "&amp;AC348,""))</f>
        <v/>
      </c>
      <c r="AG348" s="0">
        <f>X348*Y348*SUMIFS($AM$2:$AM$11,$AK$2:$AK$11,"&lt;="&amp;X348,$AL$2:$AL$11,"&gt;="&amp;X348)+Z348*AA348*SUMIFS($AM$2:$AM$11,$AK$2:$AK$11,"&lt;="&amp;Z348,$AL$2:$AL$11,"&gt;="&amp;Z348)+AB348*AC348*SUMIFS($AM$2:$AM$11,$AK$2:$AK$11,"&lt;="&amp;AB348,$AL$2:$AL$11,"&gt;="&amp;AB348)</f>
        <v/>
      </c>
      <c r="AH348" s="0">
        <f>AG348*(1-40%)</f>
        <v/>
      </c>
      <c r="AI348" s="0">
        <f>AH348*1.2</f>
        <v/>
      </c>
    </row>
    <row r="349">
      <c r="A349" s="26" t="n"/>
      <c r="B349" s="169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>
        <f>AG349</f>
        <v/>
      </c>
      <c r="T349" s="26">
        <f>AI349+Q349+P349</f>
        <v/>
      </c>
      <c r="U349" s="26" t="n"/>
      <c r="V349" s="26" t="n"/>
      <c r="W349" s="169" t="n"/>
      <c r="X349" s="26" t="n"/>
      <c r="Y349" s="26" t="n"/>
      <c r="Z349" s="26" t="n"/>
      <c r="AA349" s="26" t="n"/>
      <c r="AD349" s="0">
        <f>SUM(Y349,AA349,AC349)</f>
        <v/>
      </c>
      <c r="AE349" s="0">
        <f>X349*Y349+Z349*AA349+AB349*AC349</f>
        <v/>
      </c>
      <c r="AF349" s="0">
        <f>TEXTJOIN(", ",TRUE,IF(AND(X349&gt;0,Y349&gt;0),TEXT(X349,"0.00")&amp;"ct x "&amp;Y349,""),IF(AND(Z349&gt;0,AA349&gt;0),TEXT(Z349,"0.00")&amp;"ct x "&amp;AA349,""),IF(AND(AB349&gt;0,AC349&gt;0),TEXT(AB349,"0.00")&amp;"ct x "&amp;AC349,""))</f>
        <v/>
      </c>
      <c r="AG349" s="0">
        <f>X349*Y349*SUMIFS($AM$2:$AM$11,$AK$2:$AK$11,"&lt;="&amp;X349,$AL$2:$AL$11,"&gt;="&amp;X349)+Z349*AA349*SUMIFS($AM$2:$AM$11,$AK$2:$AK$11,"&lt;="&amp;Z349,$AL$2:$AL$11,"&gt;="&amp;Z349)+AB349*AC349*SUMIFS($AM$2:$AM$11,$AK$2:$AK$11,"&lt;="&amp;AB349,$AL$2:$AL$11,"&gt;="&amp;AB349)</f>
        <v/>
      </c>
      <c r="AH349" s="0">
        <f>AG349*(1-40%)</f>
        <v/>
      </c>
      <c r="AI349" s="0">
        <f>AH349*1.2</f>
        <v/>
      </c>
    </row>
    <row r="350">
      <c r="A350" s="26" t="n"/>
      <c r="B350" s="169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>
        <f>AG350</f>
        <v/>
      </c>
      <c r="T350" s="26">
        <f>AI350+Q350+P350</f>
        <v/>
      </c>
      <c r="U350" s="26" t="n"/>
      <c r="V350" s="26" t="n"/>
      <c r="W350" s="169" t="n"/>
      <c r="X350" s="26" t="n"/>
      <c r="Y350" s="26" t="n"/>
      <c r="Z350" s="26" t="n"/>
      <c r="AA350" s="26" t="n"/>
      <c r="AD350" s="0">
        <f>SUM(Y350,AA350,AC350)</f>
        <v/>
      </c>
      <c r="AE350" s="0">
        <f>X350*Y350+Z350*AA350+AB350*AC350</f>
        <v/>
      </c>
      <c r="AF350" s="0">
        <f>TEXTJOIN(", ",TRUE,IF(AND(X350&gt;0,Y350&gt;0),TEXT(X350,"0.00")&amp;"ct x "&amp;Y350,""),IF(AND(Z350&gt;0,AA350&gt;0),TEXT(Z350,"0.00")&amp;"ct x "&amp;AA350,""),IF(AND(AB350&gt;0,AC350&gt;0),TEXT(AB350,"0.00")&amp;"ct x "&amp;AC350,""))</f>
        <v/>
      </c>
      <c r="AG350" s="0">
        <f>X350*Y350*SUMIFS($AM$2:$AM$11,$AK$2:$AK$11,"&lt;="&amp;X350,$AL$2:$AL$11,"&gt;="&amp;X350)+Z350*AA350*SUMIFS($AM$2:$AM$11,$AK$2:$AK$11,"&lt;="&amp;Z350,$AL$2:$AL$11,"&gt;="&amp;Z350)+AB350*AC350*SUMIFS($AM$2:$AM$11,$AK$2:$AK$11,"&lt;="&amp;AB350,$AL$2:$AL$11,"&gt;="&amp;AB350)</f>
        <v/>
      </c>
      <c r="AH350" s="0">
        <f>AG350*(1-40%)</f>
        <v/>
      </c>
      <c r="AI350" s="0">
        <f>AH350*1.2</f>
        <v/>
      </c>
    </row>
    <row r="351">
      <c r="A351" s="26" t="n"/>
      <c r="B351" s="169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>
        <f>AG351</f>
        <v/>
      </c>
      <c r="T351" s="26">
        <f>AI351+Q351+P351</f>
        <v/>
      </c>
      <c r="U351" s="26" t="n"/>
      <c r="V351" s="26" t="n"/>
      <c r="W351" s="169" t="n"/>
      <c r="X351" s="26" t="n"/>
      <c r="Y351" s="26" t="n"/>
      <c r="Z351" s="26" t="n"/>
      <c r="AA351" s="26" t="n"/>
      <c r="AD351" s="0">
        <f>SUM(Y351,AA351,AC351)</f>
        <v/>
      </c>
      <c r="AE351" s="0">
        <f>X351*Y351+Z351*AA351+AB351*AC351</f>
        <v/>
      </c>
      <c r="AF351" s="0">
        <f>TEXTJOIN(", ",TRUE,IF(AND(X351&gt;0,Y351&gt;0),TEXT(X351,"0.00")&amp;"ct x "&amp;Y351,""),IF(AND(Z351&gt;0,AA351&gt;0),TEXT(Z351,"0.00")&amp;"ct x "&amp;AA351,""),IF(AND(AB351&gt;0,AC351&gt;0),TEXT(AB351,"0.00")&amp;"ct x "&amp;AC351,""))</f>
        <v/>
      </c>
      <c r="AG351" s="0">
        <f>X351*Y351*SUMIFS($AM$2:$AM$11,$AK$2:$AK$11,"&lt;="&amp;X351,$AL$2:$AL$11,"&gt;="&amp;X351)+Z351*AA351*SUMIFS($AM$2:$AM$11,$AK$2:$AK$11,"&lt;="&amp;Z351,$AL$2:$AL$11,"&gt;="&amp;Z351)+AB351*AC351*SUMIFS($AM$2:$AM$11,$AK$2:$AK$11,"&lt;="&amp;AB351,$AL$2:$AL$11,"&gt;="&amp;AB351)</f>
        <v/>
      </c>
      <c r="AH351" s="0">
        <f>AG351*(1-40%)</f>
        <v/>
      </c>
      <c r="AI351" s="0">
        <f>AH351*1.2</f>
        <v/>
      </c>
    </row>
    <row r="352">
      <c r="A352" s="26" t="n"/>
      <c r="B352" s="169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>
        <f>AG352</f>
        <v/>
      </c>
      <c r="T352" s="26">
        <f>AI352+Q352+P352</f>
        <v/>
      </c>
      <c r="U352" s="26" t="n"/>
      <c r="V352" s="26" t="n"/>
      <c r="W352" s="169" t="n"/>
      <c r="X352" s="26" t="n"/>
      <c r="Y352" s="26" t="n"/>
      <c r="Z352" s="26" t="n"/>
      <c r="AA352" s="26" t="n"/>
      <c r="AD352" s="0">
        <f>SUM(Y352,AA352,AC352)</f>
        <v/>
      </c>
      <c r="AE352" s="0">
        <f>X352*Y352+Z352*AA352+AB352*AC352</f>
        <v/>
      </c>
      <c r="AF352" s="0">
        <f>TEXTJOIN(", ",TRUE,IF(AND(X352&gt;0,Y352&gt;0),TEXT(X352,"0.00")&amp;"ct x "&amp;Y352,""),IF(AND(Z352&gt;0,AA352&gt;0),TEXT(Z352,"0.00")&amp;"ct x "&amp;AA352,""),IF(AND(AB352&gt;0,AC352&gt;0),TEXT(AB352,"0.00")&amp;"ct x "&amp;AC352,""))</f>
        <v/>
      </c>
      <c r="AG352" s="0">
        <f>X352*Y352*SUMIFS($AM$2:$AM$11,$AK$2:$AK$11,"&lt;="&amp;X352,$AL$2:$AL$11,"&gt;="&amp;X352)+Z352*AA352*SUMIFS($AM$2:$AM$11,$AK$2:$AK$11,"&lt;="&amp;Z352,$AL$2:$AL$11,"&gt;="&amp;Z352)+AB352*AC352*SUMIFS($AM$2:$AM$11,$AK$2:$AK$11,"&lt;="&amp;AB352,$AL$2:$AL$11,"&gt;="&amp;AB352)</f>
        <v/>
      </c>
      <c r="AH352" s="0">
        <f>AG352*(1-40%)</f>
        <v/>
      </c>
      <c r="AI352" s="0">
        <f>AH352*1.2</f>
        <v/>
      </c>
    </row>
    <row r="353">
      <c r="A353" s="26" t="n"/>
      <c r="B353" s="169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>
        <f>AG353</f>
        <v/>
      </c>
      <c r="T353" s="26">
        <f>AI353+Q353+P353</f>
        <v/>
      </c>
      <c r="U353" s="26" t="n"/>
      <c r="V353" s="26" t="n"/>
      <c r="W353" s="169" t="n"/>
      <c r="X353" s="26" t="n"/>
      <c r="Y353" s="26" t="n"/>
      <c r="Z353" s="26" t="n"/>
      <c r="AA353" s="26" t="n"/>
      <c r="AD353" s="0">
        <f>SUM(Y353,AA353,AC353)</f>
        <v/>
      </c>
      <c r="AE353" s="0">
        <f>X353*Y353+Z353*AA353+AB353*AC353</f>
        <v/>
      </c>
      <c r="AF353" s="0">
        <f>TEXTJOIN(", ",TRUE,IF(AND(X353&gt;0,Y353&gt;0),TEXT(X353,"0.00")&amp;"ct x "&amp;Y353,""),IF(AND(Z353&gt;0,AA353&gt;0),TEXT(Z353,"0.00")&amp;"ct x "&amp;AA353,""),IF(AND(AB353&gt;0,AC353&gt;0),TEXT(AB353,"0.00")&amp;"ct x "&amp;AC353,""))</f>
        <v/>
      </c>
      <c r="AG353" s="0">
        <f>X353*Y353*SUMIFS($AM$2:$AM$11,$AK$2:$AK$11,"&lt;="&amp;X353,$AL$2:$AL$11,"&gt;="&amp;X353)+Z353*AA353*SUMIFS($AM$2:$AM$11,$AK$2:$AK$11,"&lt;="&amp;Z353,$AL$2:$AL$11,"&gt;="&amp;Z353)+AB353*AC353*SUMIFS($AM$2:$AM$11,$AK$2:$AK$11,"&lt;="&amp;AB353,$AL$2:$AL$11,"&gt;="&amp;AB353)</f>
        <v/>
      </c>
      <c r="AH353" s="0">
        <f>AG353*(1-40%)</f>
        <v/>
      </c>
      <c r="AI353" s="0">
        <f>AH353*1.2</f>
        <v/>
      </c>
    </row>
    <row r="354">
      <c r="A354" s="26" t="n"/>
      <c r="B354" s="169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>
        <f>AG354</f>
        <v/>
      </c>
      <c r="T354" s="26">
        <f>AI354+Q354+P354</f>
        <v/>
      </c>
      <c r="U354" s="26" t="n"/>
      <c r="V354" s="26" t="n"/>
      <c r="W354" s="169" t="n"/>
      <c r="X354" s="26" t="n"/>
      <c r="Y354" s="26" t="n"/>
      <c r="Z354" s="26" t="n"/>
      <c r="AA354" s="26" t="n"/>
      <c r="AD354" s="0">
        <f>SUM(Y354,AA354,AC354)</f>
        <v/>
      </c>
      <c r="AE354" s="0">
        <f>X354*Y354+Z354*AA354+AB354*AC354</f>
        <v/>
      </c>
      <c r="AF354" s="0">
        <f>TEXTJOIN(", ",TRUE,IF(AND(X354&gt;0,Y354&gt;0),TEXT(X354,"0.00")&amp;"ct x "&amp;Y354,""),IF(AND(Z354&gt;0,AA354&gt;0),TEXT(Z354,"0.00")&amp;"ct x "&amp;AA354,""),IF(AND(AB354&gt;0,AC354&gt;0),TEXT(AB354,"0.00")&amp;"ct x "&amp;AC354,""))</f>
        <v/>
      </c>
      <c r="AG354" s="0">
        <f>X354*Y354*SUMIFS($AM$2:$AM$11,$AK$2:$AK$11,"&lt;="&amp;X354,$AL$2:$AL$11,"&gt;="&amp;X354)+Z354*AA354*SUMIFS($AM$2:$AM$11,$AK$2:$AK$11,"&lt;="&amp;Z354,$AL$2:$AL$11,"&gt;="&amp;Z354)+AB354*AC354*SUMIFS($AM$2:$AM$11,$AK$2:$AK$11,"&lt;="&amp;AB354,$AL$2:$AL$11,"&gt;="&amp;AB354)</f>
        <v/>
      </c>
      <c r="AH354" s="0">
        <f>AG354*(1-40%)</f>
        <v/>
      </c>
      <c r="AI354" s="0">
        <f>AH354*1.2</f>
        <v/>
      </c>
    </row>
    <row r="355">
      <c r="A355" s="26" t="n"/>
      <c r="B355" s="169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>
        <f>AG355</f>
        <v/>
      </c>
      <c r="T355" s="26">
        <f>AI355+Q355+P355</f>
        <v/>
      </c>
      <c r="U355" s="26" t="n"/>
      <c r="V355" s="26" t="n"/>
      <c r="W355" s="169" t="n"/>
      <c r="X355" s="26" t="n"/>
      <c r="Y355" s="26" t="n"/>
      <c r="Z355" s="26" t="n"/>
      <c r="AA355" s="26" t="n"/>
      <c r="AD355" s="0">
        <f>SUM(Y355,AA355,AC355)</f>
        <v/>
      </c>
      <c r="AE355" s="0">
        <f>X355*Y355+Z355*AA355+AB355*AC355</f>
        <v/>
      </c>
      <c r="AF355" s="0">
        <f>TEXTJOIN(", ",TRUE,IF(AND(X355&gt;0,Y355&gt;0),TEXT(X355,"0.00")&amp;"ct x "&amp;Y355,""),IF(AND(Z355&gt;0,AA355&gt;0),TEXT(Z355,"0.00")&amp;"ct x "&amp;AA355,""),IF(AND(AB355&gt;0,AC355&gt;0),TEXT(AB355,"0.00")&amp;"ct x "&amp;AC355,""))</f>
        <v/>
      </c>
      <c r="AG355" s="0">
        <f>X355*Y355*SUMIFS($AM$2:$AM$11,$AK$2:$AK$11,"&lt;="&amp;X355,$AL$2:$AL$11,"&gt;="&amp;X355)+Z355*AA355*SUMIFS($AM$2:$AM$11,$AK$2:$AK$11,"&lt;="&amp;Z355,$AL$2:$AL$11,"&gt;="&amp;Z355)+AB355*AC355*SUMIFS($AM$2:$AM$11,$AK$2:$AK$11,"&lt;="&amp;AB355,$AL$2:$AL$11,"&gt;="&amp;AB355)</f>
        <v/>
      </c>
      <c r="AH355" s="0">
        <f>AG355*(1-40%)</f>
        <v/>
      </c>
      <c r="AI355" s="0">
        <f>AH355*1.2</f>
        <v/>
      </c>
    </row>
    <row r="356">
      <c r="A356" s="26" t="n"/>
      <c r="B356" s="169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>
        <f>AG356</f>
        <v/>
      </c>
      <c r="T356" s="26">
        <f>AI356+Q356+P356</f>
        <v/>
      </c>
      <c r="U356" s="26" t="n"/>
      <c r="V356" s="26" t="n"/>
      <c r="W356" s="169" t="n"/>
      <c r="X356" s="26" t="n"/>
      <c r="Y356" s="26" t="n"/>
      <c r="Z356" s="26" t="n"/>
      <c r="AA356" s="26" t="n"/>
      <c r="AD356" s="0">
        <f>SUM(Y356,AA356,AC356)</f>
        <v/>
      </c>
      <c r="AE356" s="0">
        <f>X356*Y356+Z356*AA356+AB356*AC356</f>
        <v/>
      </c>
      <c r="AF356" s="0">
        <f>TEXTJOIN(", ",TRUE,IF(AND(X356&gt;0,Y356&gt;0),TEXT(X356,"0.00")&amp;"ct x "&amp;Y356,""),IF(AND(Z356&gt;0,AA356&gt;0),TEXT(Z356,"0.00")&amp;"ct x "&amp;AA356,""),IF(AND(AB356&gt;0,AC356&gt;0),TEXT(AB356,"0.00")&amp;"ct x "&amp;AC356,""))</f>
        <v/>
      </c>
      <c r="AG356" s="0">
        <f>X356*Y356*SUMIFS($AM$2:$AM$11,$AK$2:$AK$11,"&lt;="&amp;X356,$AL$2:$AL$11,"&gt;="&amp;X356)+Z356*AA356*SUMIFS($AM$2:$AM$11,$AK$2:$AK$11,"&lt;="&amp;Z356,$AL$2:$AL$11,"&gt;="&amp;Z356)+AB356*AC356*SUMIFS($AM$2:$AM$11,$AK$2:$AK$11,"&lt;="&amp;AB356,$AL$2:$AL$11,"&gt;="&amp;AB356)</f>
        <v/>
      </c>
      <c r="AH356" s="0">
        <f>AG356*(1-40%)</f>
        <v/>
      </c>
      <c r="AI356" s="0">
        <f>AH356*1.2</f>
        <v/>
      </c>
    </row>
    <row r="357">
      <c r="A357" s="26" t="n"/>
      <c r="B357" s="169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>
        <f>AG357</f>
        <v/>
      </c>
      <c r="T357" s="26">
        <f>AI357+Q357+P357</f>
        <v/>
      </c>
      <c r="U357" s="26" t="n"/>
      <c r="V357" s="26" t="n"/>
      <c r="W357" s="169" t="n"/>
      <c r="X357" s="26" t="n"/>
      <c r="Y357" s="26" t="n"/>
      <c r="Z357" s="26" t="n"/>
      <c r="AA357" s="26" t="n"/>
      <c r="AD357" s="0">
        <f>SUM(Y357,AA357,AC357)</f>
        <v/>
      </c>
      <c r="AE357" s="0">
        <f>X357*Y357+Z357*AA357+AB357*AC357</f>
        <v/>
      </c>
      <c r="AF357" s="0">
        <f>TEXTJOIN(", ",TRUE,IF(AND(X357&gt;0,Y357&gt;0),TEXT(X357,"0.00")&amp;"ct x "&amp;Y357,""),IF(AND(Z357&gt;0,AA357&gt;0),TEXT(Z357,"0.00")&amp;"ct x "&amp;AA357,""),IF(AND(AB357&gt;0,AC357&gt;0),TEXT(AB357,"0.00")&amp;"ct x "&amp;AC357,""))</f>
        <v/>
      </c>
      <c r="AG357" s="0">
        <f>X357*Y357*SUMIFS($AM$2:$AM$11,$AK$2:$AK$11,"&lt;="&amp;X357,$AL$2:$AL$11,"&gt;="&amp;X357)+Z357*AA357*SUMIFS($AM$2:$AM$11,$AK$2:$AK$11,"&lt;="&amp;Z357,$AL$2:$AL$11,"&gt;="&amp;Z357)+AB357*AC357*SUMIFS($AM$2:$AM$11,$AK$2:$AK$11,"&lt;="&amp;AB357,$AL$2:$AL$11,"&gt;="&amp;AB357)</f>
        <v/>
      </c>
      <c r="AH357" s="0">
        <f>AG357*(1-40%)</f>
        <v/>
      </c>
      <c r="AI357" s="0">
        <f>AH357*1.2</f>
        <v/>
      </c>
    </row>
    <row r="358">
      <c r="A358" s="26" t="n"/>
      <c r="B358" s="169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>
        <f>AG358</f>
        <v/>
      </c>
      <c r="T358" s="26">
        <f>AI358+Q358+P358</f>
        <v/>
      </c>
      <c r="U358" s="26" t="n"/>
      <c r="V358" s="26" t="n"/>
      <c r="W358" s="169" t="n"/>
      <c r="X358" s="26" t="n"/>
      <c r="Y358" s="26" t="n"/>
      <c r="Z358" s="26" t="n"/>
      <c r="AA358" s="26" t="n"/>
      <c r="AD358" s="0">
        <f>SUM(Y358,AA358,AC358)</f>
        <v/>
      </c>
      <c r="AE358" s="0">
        <f>X358*Y358+Z358*AA358+AB358*AC358</f>
        <v/>
      </c>
      <c r="AF358" s="0">
        <f>TEXTJOIN(", ",TRUE,IF(AND(X358&gt;0,Y358&gt;0),TEXT(X358,"0.00")&amp;"ct x "&amp;Y358,""),IF(AND(Z358&gt;0,AA358&gt;0),TEXT(Z358,"0.00")&amp;"ct x "&amp;AA358,""),IF(AND(AB358&gt;0,AC358&gt;0),TEXT(AB358,"0.00")&amp;"ct x "&amp;AC358,""))</f>
        <v/>
      </c>
      <c r="AG358" s="0">
        <f>X358*Y358*SUMIFS($AM$2:$AM$11,$AK$2:$AK$11,"&lt;="&amp;X358,$AL$2:$AL$11,"&gt;="&amp;X358)+Z358*AA358*SUMIFS($AM$2:$AM$11,$AK$2:$AK$11,"&lt;="&amp;Z358,$AL$2:$AL$11,"&gt;="&amp;Z358)+AB358*AC358*SUMIFS($AM$2:$AM$11,$AK$2:$AK$11,"&lt;="&amp;AB358,$AL$2:$AL$11,"&gt;="&amp;AB358)</f>
        <v/>
      </c>
      <c r="AH358" s="0">
        <f>AG358*(1-40%)</f>
        <v/>
      </c>
      <c r="AI358" s="0">
        <f>AH358*1.2</f>
        <v/>
      </c>
    </row>
    <row r="359">
      <c r="A359" s="26" t="n"/>
      <c r="B359" s="169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>
        <f>AG359</f>
        <v/>
      </c>
      <c r="T359" s="26">
        <f>AI359+Q359+P359</f>
        <v/>
      </c>
      <c r="U359" s="26" t="n"/>
      <c r="V359" s="26" t="n"/>
      <c r="W359" s="169" t="n"/>
      <c r="X359" s="26" t="n"/>
      <c r="Y359" s="26" t="n"/>
      <c r="Z359" s="26" t="n"/>
      <c r="AA359" s="26" t="n"/>
      <c r="AD359" s="0">
        <f>SUM(Y359,AA359,AC359)</f>
        <v/>
      </c>
      <c r="AE359" s="0">
        <f>X359*Y359+Z359*AA359+AB359*AC359</f>
        <v/>
      </c>
      <c r="AF359" s="0">
        <f>TEXTJOIN(", ",TRUE,IF(AND(X359&gt;0,Y359&gt;0),TEXT(X359,"0.00")&amp;"ct x "&amp;Y359,""),IF(AND(Z359&gt;0,AA359&gt;0),TEXT(Z359,"0.00")&amp;"ct x "&amp;AA359,""),IF(AND(AB359&gt;0,AC359&gt;0),TEXT(AB359,"0.00")&amp;"ct x "&amp;AC359,""))</f>
        <v/>
      </c>
      <c r="AG359" s="0">
        <f>X359*Y359*SUMIFS($AM$2:$AM$11,$AK$2:$AK$11,"&lt;="&amp;X359,$AL$2:$AL$11,"&gt;="&amp;X359)+Z359*AA359*SUMIFS($AM$2:$AM$11,$AK$2:$AK$11,"&lt;="&amp;Z359,$AL$2:$AL$11,"&gt;="&amp;Z359)+AB359*AC359*SUMIFS($AM$2:$AM$11,$AK$2:$AK$11,"&lt;="&amp;AB359,$AL$2:$AL$11,"&gt;="&amp;AB359)</f>
        <v/>
      </c>
      <c r="AH359" s="0">
        <f>AG359*(1-40%)</f>
        <v/>
      </c>
      <c r="AI359" s="0">
        <f>AH359*1.2</f>
        <v/>
      </c>
    </row>
    <row r="360">
      <c r="A360" s="26" t="n"/>
      <c r="B360" s="169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>
        <f>AG360</f>
        <v/>
      </c>
      <c r="T360" s="26">
        <f>AI360+Q360+P360</f>
        <v/>
      </c>
      <c r="U360" s="26" t="n"/>
      <c r="V360" s="26" t="n"/>
      <c r="W360" s="169" t="n"/>
      <c r="X360" s="26" t="n"/>
      <c r="Y360" s="26" t="n"/>
      <c r="Z360" s="26" t="n"/>
      <c r="AA360" s="26" t="n"/>
      <c r="AD360" s="0">
        <f>SUM(Y360,AA360,AC360)</f>
        <v/>
      </c>
      <c r="AE360" s="0">
        <f>X360*Y360+Z360*AA360+AB360*AC360</f>
        <v/>
      </c>
      <c r="AF360" s="0">
        <f>TEXTJOIN(", ",TRUE,IF(AND(X360&gt;0,Y360&gt;0),TEXT(X360,"0.00")&amp;"ct x "&amp;Y360,""),IF(AND(Z360&gt;0,AA360&gt;0),TEXT(Z360,"0.00")&amp;"ct x "&amp;AA360,""),IF(AND(AB360&gt;0,AC360&gt;0),TEXT(AB360,"0.00")&amp;"ct x "&amp;AC360,""))</f>
        <v/>
      </c>
      <c r="AG360" s="0">
        <f>X360*Y360*SUMIFS($AM$2:$AM$11,$AK$2:$AK$11,"&lt;="&amp;X360,$AL$2:$AL$11,"&gt;="&amp;X360)+Z360*AA360*SUMIFS($AM$2:$AM$11,$AK$2:$AK$11,"&lt;="&amp;Z360,$AL$2:$AL$11,"&gt;="&amp;Z360)+AB360*AC360*SUMIFS($AM$2:$AM$11,$AK$2:$AK$11,"&lt;="&amp;AB360,$AL$2:$AL$11,"&gt;="&amp;AB360)</f>
        <v/>
      </c>
      <c r="AH360" s="0">
        <f>AG360*(1-40%)</f>
        <v/>
      </c>
      <c r="AI360" s="0">
        <f>AH360*1.2</f>
        <v/>
      </c>
    </row>
    <row r="361">
      <c r="A361" s="26" t="n"/>
      <c r="B361" s="169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>
        <f>AG361</f>
        <v/>
      </c>
      <c r="T361" s="26">
        <f>AI361+Q361+P361</f>
        <v/>
      </c>
      <c r="U361" s="26" t="n"/>
      <c r="V361" s="26" t="n"/>
      <c r="W361" s="169" t="n"/>
      <c r="X361" s="26" t="n"/>
      <c r="Y361" s="26" t="n"/>
      <c r="Z361" s="26" t="n"/>
      <c r="AA361" s="26" t="n"/>
      <c r="AD361" s="0">
        <f>SUM(Y361,AA361,AC361)</f>
        <v/>
      </c>
      <c r="AE361" s="0">
        <f>X361*Y361+Z361*AA361+AB361*AC361</f>
        <v/>
      </c>
      <c r="AF361" s="0">
        <f>TEXTJOIN(", ",TRUE,IF(AND(X361&gt;0,Y361&gt;0),TEXT(X361,"0.00")&amp;"ct x "&amp;Y361,""),IF(AND(Z361&gt;0,AA361&gt;0),TEXT(Z361,"0.00")&amp;"ct x "&amp;AA361,""),IF(AND(AB361&gt;0,AC361&gt;0),TEXT(AB361,"0.00")&amp;"ct x "&amp;AC361,""))</f>
        <v/>
      </c>
      <c r="AG361" s="0">
        <f>X361*Y361*SUMIFS($AM$2:$AM$11,$AK$2:$AK$11,"&lt;="&amp;X361,$AL$2:$AL$11,"&gt;="&amp;X361)+Z361*AA361*SUMIFS($AM$2:$AM$11,$AK$2:$AK$11,"&lt;="&amp;Z361,$AL$2:$AL$11,"&gt;="&amp;Z361)+AB361*AC361*SUMIFS($AM$2:$AM$11,$AK$2:$AK$11,"&lt;="&amp;AB361,$AL$2:$AL$11,"&gt;="&amp;AB361)</f>
        <v/>
      </c>
      <c r="AH361" s="0">
        <f>AG361*(1-40%)</f>
        <v/>
      </c>
      <c r="AI361" s="0">
        <f>AH361*1.2</f>
        <v/>
      </c>
    </row>
    <row r="362">
      <c r="A362" s="26" t="n"/>
      <c r="B362" s="169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>
        <f>AG362</f>
        <v/>
      </c>
      <c r="T362" s="26">
        <f>AI362+Q362+P362</f>
        <v/>
      </c>
      <c r="U362" s="26" t="n"/>
      <c r="V362" s="26" t="n"/>
      <c r="W362" s="169" t="n"/>
      <c r="X362" s="26" t="n"/>
      <c r="Y362" s="26" t="n"/>
      <c r="Z362" s="26" t="n"/>
      <c r="AA362" s="26" t="n"/>
      <c r="AD362" s="0">
        <f>SUM(Y362,AA362,AC362)</f>
        <v/>
      </c>
      <c r="AE362" s="0">
        <f>X362*Y362+Z362*AA362+AB362*AC362</f>
        <v/>
      </c>
      <c r="AF362" s="0">
        <f>TEXTJOIN(", ",TRUE,IF(AND(X362&gt;0,Y362&gt;0),TEXT(X362,"0.00")&amp;"ct x "&amp;Y362,""),IF(AND(Z362&gt;0,AA362&gt;0),TEXT(Z362,"0.00")&amp;"ct x "&amp;AA362,""),IF(AND(AB362&gt;0,AC362&gt;0),TEXT(AB362,"0.00")&amp;"ct x "&amp;AC362,""))</f>
        <v/>
      </c>
      <c r="AG362" s="0">
        <f>X362*Y362*SUMIFS($AM$2:$AM$11,$AK$2:$AK$11,"&lt;="&amp;X362,$AL$2:$AL$11,"&gt;="&amp;X362)+Z362*AA362*SUMIFS($AM$2:$AM$11,$AK$2:$AK$11,"&lt;="&amp;Z362,$AL$2:$AL$11,"&gt;="&amp;Z362)+AB362*AC362*SUMIFS($AM$2:$AM$11,$AK$2:$AK$11,"&lt;="&amp;AB362,$AL$2:$AL$11,"&gt;="&amp;AB362)</f>
        <v/>
      </c>
      <c r="AH362" s="0">
        <f>AG362*(1-40%)</f>
        <v/>
      </c>
      <c r="AI362" s="0">
        <f>AH362*1.2</f>
        <v/>
      </c>
    </row>
    <row r="363">
      <c r="A363" s="26" t="n"/>
      <c r="B363" s="169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>
        <f>AG363</f>
        <v/>
      </c>
      <c r="T363" s="26">
        <f>AI363+Q363+P363</f>
        <v/>
      </c>
      <c r="U363" s="26" t="n"/>
      <c r="V363" s="26" t="n"/>
      <c r="W363" s="169" t="n"/>
      <c r="X363" s="26" t="n"/>
      <c r="Y363" s="26" t="n"/>
      <c r="Z363" s="26" t="n"/>
      <c r="AA363" s="26" t="n"/>
      <c r="AD363" s="0">
        <f>SUM(Y363,AA363,AC363)</f>
        <v/>
      </c>
      <c r="AE363" s="0">
        <f>X363*Y363+Z363*AA363+AB363*AC363</f>
        <v/>
      </c>
      <c r="AF363" s="0">
        <f>TEXTJOIN(", ",TRUE,IF(AND(X363&gt;0,Y363&gt;0),TEXT(X363,"0.00")&amp;"ct x "&amp;Y363,""),IF(AND(Z363&gt;0,AA363&gt;0),TEXT(Z363,"0.00")&amp;"ct x "&amp;AA363,""),IF(AND(AB363&gt;0,AC363&gt;0),TEXT(AB363,"0.00")&amp;"ct x "&amp;AC363,""))</f>
        <v/>
      </c>
      <c r="AG363" s="0">
        <f>X363*Y363*SUMIFS($AM$2:$AM$11,$AK$2:$AK$11,"&lt;="&amp;X363,$AL$2:$AL$11,"&gt;="&amp;X363)+Z363*AA363*SUMIFS($AM$2:$AM$11,$AK$2:$AK$11,"&lt;="&amp;Z363,$AL$2:$AL$11,"&gt;="&amp;Z363)+AB363*AC363*SUMIFS($AM$2:$AM$11,$AK$2:$AK$11,"&lt;="&amp;AB363,$AL$2:$AL$11,"&gt;="&amp;AB363)</f>
        <v/>
      </c>
      <c r="AH363" s="0">
        <f>AG363*(1-40%)</f>
        <v/>
      </c>
      <c r="AI363" s="0">
        <f>AH363*1.2</f>
        <v/>
      </c>
    </row>
    <row r="364">
      <c r="A364" s="26" t="n"/>
      <c r="B364" s="169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>
        <f>AG364</f>
        <v/>
      </c>
      <c r="T364" s="26">
        <f>AI364+Q364+P364</f>
        <v/>
      </c>
      <c r="U364" s="26" t="n"/>
      <c r="V364" s="26" t="n"/>
      <c r="W364" s="169" t="n"/>
      <c r="X364" s="26" t="n"/>
      <c r="Y364" s="26" t="n"/>
      <c r="Z364" s="26" t="n"/>
      <c r="AA364" s="26" t="n"/>
      <c r="AD364" s="0">
        <f>SUM(Y364,AA364,AC364)</f>
        <v/>
      </c>
      <c r="AE364" s="0">
        <f>X364*Y364+Z364*AA364+AB364*AC364</f>
        <v/>
      </c>
      <c r="AF364" s="0">
        <f>TEXTJOIN(", ",TRUE,IF(AND(X364&gt;0,Y364&gt;0),TEXT(X364,"0.00")&amp;"ct x "&amp;Y364,""),IF(AND(Z364&gt;0,AA364&gt;0),TEXT(Z364,"0.00")&amp;"ct x "&amp;AA364,""),IF(AND(AB364&gt;0,AC364&gt;0),TEXT(AB364,"0.00")&amp;"ct x "&amp;AC364,""))</f>
        <v/>
      </c>
      <c r="AG364" s="0">
        <f>X364*Y364*SUMIFS($AM$2:$AM$11,$AK$2:$AK$11,"&lt;="&amp;X364,$AL$2:$AL$11,"&gt;="&amp;X364)+Z364*AA364*SUMIFS($AM$2:$AM$11,$AK$2:$AK$11,"&lt;="&amp;Z364,$AL$2:$AL$11,"&gt;="&amp;Z364)+AB364*AC364*SUMIFS($AM$2:$AM$11,$AK$2:$AK$11,"&lt;="&amp;AB364,$AL$2:$AL$11,"&gt;="&amp;AB364)</f>
        <v/>
      </c>
      <c r="AH364" s="0">
        <f>AG364*(1-40%)</f>
        <v/>
      </c>
      <c r="AI364" s="0">
        <f>AH364*1.2</f>
        <v/>
      </c>
    </row>
    <row r="365">
      <c r="A365" s="26" t="n"/>
      <c r="B365" s="169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>
        <f>AG365</f>
        <v/>
      </c>
      <c r="T365" s="26">
        <f>AI365+Q365+P365</f>
        <v/>
      </c>
      <c r="U365" s="26" t="n"/>
      <c r="V365" s="26" t="n"/>
      <c r="W365" s="169" t="n"/>
      <c r="X365" s="26" t="n"/>
      <c r="Y365" s="26" t="n"/>
      <c r="Z365" s="26" t="n"/>
      <c r="AA365" s="26" t="n"/>
      <c r="AD365" s="0">
        <f>SUM(Y365,AA365,AC365)</f>
        <v/>
      </c>
      <c r="AE365" s="0">
        <f>X365*Y365+Z365*AA365+AB365*AC365</f>
        <v/>
      </c>
      <c r="AF365" s="0">
        <f>TEXTJOIN(", ",TRUE,IF(AND(X365&gt;0,Y365&gt;0),TEXT(X365,"0.00")&amp;"ct x "&amp;Y365,""),IF(AND(Z365&gt;0,AA365&gt;0),TEXT(Z365,"0.00")&amp;"ct x "&amp;AA365,""),IF(AND(AB365&gt;0,AC365&gt;0),TEXT(AB365,"0.00")&amp;"ct x "&amp;AC365,""))</f>
        <v/>
      </c>
      <c r="AG365" s="0">
        <f>X365*Y365*SUMIFS($AM$2:$AM$11,$AK$2:$AK$11,"&lt;="&amp;X365,$AL$2:$AL$11,"&gt;="&amp;X365)+Z365*AA365*SUMIFS($AM$2:$AM$11,$AK$2:$AK$11,"&lt;="&amp;Z365,$AL$2:$AL$11,"&gt;="&amp;Z365)+AB365*AC365*SUMIFS($AM$2:$AM$11,$AK$2:$AK$11,"&lt;="&amp;AB365,$AL$2:$AL$11,"&gt;="&amp;AB365)</f>
        <v/>
      </c>
      <c r="AH365" s="0">
        <f>AG365*(1-40%)</f>
        <v/>
      </c>
      <c r="AI365" s="0">
        <f>AH365*1.2</f>
        <v/>
      </c>
    </row>
    <row r="366">
      <c r="A366" s="26" t="n"/>
      <c r="B366" s="169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>
        <f>AG366</f>
        <v/>
      </c>
      <c r="T366" s="26">
        <f>AI366+Q366+P366</f>
        <v/>
      </c>
      <c r="U366" s="26" t="n"/>
      <c r="V366" s="26" t="n"/>
      <c r="W366" s="169" t="n"/>
      <c r="X366" s="26" t="n"/>
      <c r="Y366" s="26" t="n"/>
      <c r="Z366" s="26" t="n"/>
      <c r="AA366" s="26" t="n"/>
      <c r="AD366" s="0">
        <f>SUM(Y366,AA366,AC366)</f>
        <v/>
      </c>
      <c r="AE366" s="0">
        <f>X366*Y366+Z366*AA366+AB366*AC366</f>
        <v/>
      </c>
      <c r="AF366" s="0">
        <f>TEXTJOIN(", ",TRUE,IF(AND(X366&gt;0,Y366&gt;0),TEXT(X366,"0.00")&amp;"ct x "&amp;Y366,""),IF(AND(Z366&gt;0,AA366&gt;0),TEXT(Z366,"0.00")&amp;"ct x "&amp;AA366,""),IF(AND(AB366&gt;0,AC366&gt;0),TEXT(AB366,"0.00")&amp;"ct x "&amp;AC366,""))</f>
        <v/>
      </c>
      <c r="AG366" s="0">
        <f>X366*Y366*SUMIFS($AM$2:$AM$11,$AK$2:$AK$11,"&lt;="&amp;X366,$AL$2:$AL$11,"&gt;="&amp;X366)+Z366*AA366*SUMIFS($AM$2:$AM$11,$AK$2:$AK$11,"&lt;="&amp;Z366,$AL$2:$AL$11,"&gt;="&amp;Z366)+AB366*AC366*SUMIFS($AM$2:$AM$11,$AK$2:$AK$11,"&lt;="&amp;AB366,$AL$2:$AL$11,"&gt;="&amp;AB366)</f>
        <v/>
      </c>
      <c r="AH366" s="0">
        <f>AG366*(1-40%)</f>
        <v/>
      </c>
      <c r="AI366" s="0">
        <f>AH366*1.2</f>
        <v/>
      </c>
    </row>
    <row r="367">
      <c r="A367" s="26" t="n"/>
      <c r="B367" s="169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>
        <f>AG367</f>
        <v/>
      </c>
      <c r="T367" s="26">
        <f>AI367+Q367+P367</f>
        <v/>
      </c>
      <c r="U367" s="26" t="n"/>
      <c r="V367" s="26" t="n"/>
      <c r="W367" s="169" t="n"/>
      <c r="X367" s="26" t="n"/>
      <c r="Y367" s="26" t="n"/>
      <c r="Z367" s="26" t="n"/>
      <c r="AA367" s="26" t="n"/>
      <c r="AD367" s="0">
        <f>SUM(Y367,AA367,AC367)</f>
        <v/>
      </c>
      <c r="AE367" s="0">
        <f>X367*Y367+Z367*AA367+AB367*AC367</f>
        <v/>
      </c>
      <c r="AF367" s="0">
        <f>TEXTJOIN(", ",TRUE,IF(AND(X367&gt;0,Y367&gt;0),TEXT(X367,"0.00")&amp;"ct x "&amp;Y367,""),IF(AND(Z367&gt;0,AA367&gt;0),TEXT(Z367,"0.00")&amp;"ct x "&amp;AA367,""),IF(AND(AB367&gt;0,AC367&gt;0),TEXT(AB367,"0.00")&amp;"ct x "&amp;AC367,""))</f>
        <v/>
      </c>
      <c r="AG367" s="0">
        <f>X367*Y367*SUMIFS($AM$2:$AM$11,$AK$2:$AK$11,"&lt;="&amp;X367,$AL$2:$AL$11,"&gt;="&amp;X367)+Z367*AA367*SUMIFS($AM$2:$AM$11,$AK$2:$AK$11,"&lt;="&amp;Z367,$AL$2:$AL$11,"&gt;="&amp;Z367)+AB367*AC367*SUMIFS($AM$2:$AM$11,$AK$2:$AK$11,"&lt;="&amp;AB367,$AL$2:$AL$11,"&gt;="&amp;AB367)</f>
        <v/>
      </c>
      <c r="AH367" s="0">
        <f>AG367*(1-40%)</f>
        <v/>
      </c>
      <c r="AI367" s="0">
        <f>AH367*1.2</f>
        <v/>
      </c>
    </row>
    <row r="368">
      <c r="A368" s="26" t="n"/>
      <c r="B368" s="169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>
        <f>AG368</f>
        <v/>
      </c>
      <c r="T368" s="26">
        <f>AI368+Q368+P368</f>
        <v/>
      </c>
      <c r="U368" s="26" t="n"/>
      <c r="V368" s="26" t="n"/>
      <c r="W368" s="169" t="n"/>
      <c r="X368" s="26" t="n"/>
      <c r="Y368" s="26" t="n"/>
      <c r="Z368" s="26" t="n"/>
      <c r="AA368" s="26" t="n"/>
      <c r="AD368" s="0">
        <f>SUM(Y368,AA368,AC368)</f>
        <v/>
      </c>
      <c r="AE368" s="0">
        <f>X368*Y368+Z368*AA368+AB368*AC368</f>
        <v/>
      </c>
      <c r="AF368" s="0">
        <f>TEXTJOIN(", ",TRUE,IF(AND(X368&gt;0,Y368&gt;0),TEXT(X368,"0.00")&amp;"ct x "&amp;Y368,""),IF(AND(Z368&gt;0,AA368&gt;0),TEXT(Z368,"0.00")&amp;"ct x "&amp;AA368,""),IF(AND(AB368&gt;0,AC368&gt;0),TEXT(AB368,"0.00")&amp;"ct x "&amp;AC368,""))</f>
        <v/>
      </c>
      <c r="AG368" s="0">
        <f>X368*Y368*SUMIFS($AM$2:$AM$11,$AK$2:$AK$11,"&lt;="&amp;X368,$AL$2:$AL$11,"&gt;="&amp;X368)+Z368*AA368*SUMIFS($AM$2:$AM$11,$AK$2:$AK$11,"&lt;="&amp;Z368,$AL$2:$AL$11,"&gt;="&amp;Z368)+AB368*AC368*SUMIFS($AM$2:$AM$11,$AK$2:$AK$11,"&lt;="&amp;AB368,$AL$2:$AL$11,"&gt;="&amp;AB368)</f>
        <v/>
      </c>
      <c r="AH368" s="0">
        <f>AG368*(1-40%)</f>
        <v/>
      </c>
      <c r="AI368" s="0">
        <f>AH368*1.2</f>
        <v/>
      </c>
    </row>
    <row r="369">
      <c r="A369" s="26" t="n"/>
      <c r="B369" s="169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>
        <f>AG369</f>
        <v/>
      </c>
      <c r="T369" s="26">
        <f>AI369+Q369+P369</f>
        <v/>
      </c>
      <c r="U369" s="26" t="n"/>
      <c r="V369" s="26" t="n"/>
      <c r="W369" s="169" t="n"/>
      <c r="X369" s="26" t="n"/>
      <c r="Y369" s="26" t="n"/>
      <c r="Z369" s="26" t="n"/>
      <c r="AA369" s="26" t="n"/>
      <c r="AD369" s="0">
        <f>SUM(Y369,AA369,AC369)</f>
        <v/>
      </c>
      <c r="AE369" s="0">
        <f>X369*Y369+Z369*AA369+AB369*AC369</f>
        <v/>
      </c>
      <c r="AF369" s="0">
        <f>TEXTJOIN(", ",TRUE,IF(AND(X369&gt;0,Y369&gt;0),TEXT(X369,"0.00")&amp;"ct x "&amp;Y369,""),IF(AND(Z369&gt;0,AA369&gt;0),TEXT(Z369,"0.00")&amp;"ct x "&amp;AA369,""),IF(AND(AB369&gt;0,AC369&gt;0),TEXT(AB369,"0.00")&amp;"ct x "&amp;AC369,""))</f>
        <v/>
      </c>
      <c r="AG369" s="0">
        <f>X369*Y369*SUMIFS($AM$2:$AM$11,$AK$2:$AK$11,"&lt;="&amp;X369,$AL$2:$AL$11,"&gt;="&amp;X369)+Z369*AA369*SUMIFS($AM$2:$AM$11,$AK$2:$AK$11,"&lt;="&amp;Z369,$AL$2:$AL$11,"&gt;="&amp;Z369)+AB369*AC369*SUMIFS($AM$2:$AM$11,$AK$2:$AK$11,"&lt;="&amp;AB369,$AL$2:$AL$11,"&gt;="&amp;AB369)</f>
        <v/>
      </c>
      <c r="AH369" s="0">
        <f>AG369*(1-40%)</f>
        <v/>
      </c>
      <c r="AI369" s="0">
        <f>AH369*1.2</f>
        <v/>
      </c>
    </row>
    <row r="370">
      <c r="A370" s="26" t="n"/>
      <c r="B370" s="169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>
        <f>AG370</f>
        <v/>
      </c>
      <c r="T370" s="26">
        <f>AI370+Q370+P370</f>
        <v/>
      </c>
      <c r="U370" s="26" t="n"/>
      <c r="V370" s="26" t="n"/>
      <c r="W370" s="169" t="n"/>
      <c r="X370" s="26" t="n"/>
      <c r="Y370" s="26" t="n"/>
      <c r="Z370" s="26" t="n"/>
      <c r="AA370" s="26" t="n"/>
      <c r="AD370" s="0">
        <f>SUM(Y370,AA370,AC370)</f>
        <v/>
      </c>
      <c r="AE370" s="0">
        <f>X370*Y370+Z370*AA370+AB370*AC370</f>
        <v/>
      </c>
      <c r="AF370" s="0">
        <f>TEXTJOIN(", ",TRUE,IF(AND(X370&gt;0,Y370&gt;0),TEXT(X370,"0.00")&amp;"ct x "&amp;Y370,""),IF(AND(Z370&gt;0,AA370&gt;0),TEXT(Z370,"0.00")&amp;"ct x "&amp;AA370,""),IF(AND(AB370&gt;0,AC370&gt;0),TEXT(AB370,"0.00")&amp;"ct x "&amp;AC370,""))</f>
        <v/>
      </c>
      <c r="AG370" s="0">
        <f>X370*Y370*SUMIFS($AM$2:$AM$11,$AK$2:$AK$11,"&lt;="&amp;X370,$AL$2:$AL$11,"&gt;="&amp;X370)+Z370*AA370*SUMIFS($AM$2:$AM$11,$AK$2:$AK$11,"&lt;="&amp;Z370,$AL$2:$AL$11,"&gt;="&amp;Z370)+AB370*AC370*SUMIFS($AM$2:$AM$11,$AK$2:$AK$11,"&lt;="&amp;AB370,$AL$2:$AL$11,"&gt;="&amp;AB370)</f>
        <v/>
      </c>
      <c r="AH370" s="0">
        <f>AG370*(1-40%)</f>
        <v/>
      </c>
      <c r="AI370" s="0">
        <f>AH370*1.2</f>
        <v/>
      </c>
    </row>
    <row r="371">
      <c r="A371" s="26" t="n"/>
      <c r="B371" s="169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>
        <f>AG371</f>
        <v/>
      </c>
      <c r="T371" s="26">
        <f>AI371+Q371+P371</f>
        <v/>
      </c>
      <c r="U371" s="26" t="n"/>
      <c r="V371" s="26" t="n"/>
      <c r="W371" s="169" t="n"/>
      <c r="X371" s="26" t="n"/>
      <c r="Y371" s="26" t="n"/>
      <c r="Z371" s="26" t="n"/>
      <c r="AA371" s="26" t="n"/>
      <c r="AD371" s="0">
        <f>SUM(Y371,AA371,AC371)</f>
        <v/>
      </c>
      <c r="AE371" s="0">
        <f>X371*Y371+Z371*AA371+AB371*AC371</f>
        <v/>
      </c>
      <c r="AF371" s="0">
        <f>TEXTJOIN(", ",TRUE,IF(AND(X371&gt;0,Y371&gt;0),TEXT(X371,"0.00")&amp;"ct x "&amp;Y371,""),IF(AND(Z371&gt;0,AA371&gt;0),TEXT(Z371,"0.00")&amp;"ct x "&amp;AA371,""),IF(AND(AB371&gt;0,AC371&gt;0),TEXT(AB371,"0.00")&amp;"ct x "&amp;AC371,""))</f>
        <v/>
      </c>
      <c r="AG371" s="0">
        <f>X371*Y371*SUMIFS($AM$2:$AM$11,$AK$2:$AK$11,"&lt;="&amp;X371,$AL$2:$AL$11,"&gt;="&amp;X371)+Z371*AA371*SUMIFS($AM$2:$AM$11,$AK$2:$AK$11,"&lt;="&amp;Z371,$AL$2:$AL$11,"&gt;="&amp;Z371)+AB371*AC371*SUMIFS($AM$2:$AM$11,$AK$2:$AK$11,"&lt;="&amp;AB371,$AL$2:$AL$11,"&gt;="&amp;AB371)</f>
        <v/>
      </c>
      <c r="AH371" s="0">
        <f>AG371*(1-40%)</f>
        <v/>
      </c>
      <c r="AI371" s="0">
        <f>AH371*1.2</f>
        <v/>
      </c>
    </row>
    <row r="372">
      <c r="A372" s="26" t="n"/>
      <c r="B372" s="169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>
        <f>AG372</f>
        <v/>
      </c>
      <c r="T372" s="26">
        <f>AI372+Q372+P372</f>
        <v/>
      </c>
      <c r="U372" s="26" t="n"/>
      <c r="V372" s="26" t="n"/>
      <c r="W372" s="169" t="n"/>
      <c r="X372" s="26" t="n"/>
      <c r="Y372" s="26" t="n"/>
      <c r="Z372" s="26" t="n"/>
      <c r="AA372" s="26" t="n"/>
      <c r="AD372" s="0">
        <f>SUM(Y372,AA372,AC372)</f>
        <v/>
      </c>
      <c r="AE372" s="0">
        <f>X372*Y372+Z372*AA372+AB372*AC372</f>
        <v/>
      </c>
      <c r="AF372" s="0">
        <f>TEXTJOIN(", ",TRUE,IF(AND(X372&gt;0,Y372&gt;0),TEXT(X372,"0.00")&amp;"ct x "&amp;Y372,""),IF(AND(Z372&gt;0,AA372&gt;0),TEXT(Z372,"0.00")&amp;"ct x "&amp;AA372,""),IF(AND(AB372&gt;0,AC372&gt;0),TEXT(AB372,"0.00")&amp;"ct x "&amp;AC372,""))</f>
        <v/>
      </c>
      <c r="AG372" s="0">
        <f>X372*Y372*SUMIFS($AM$2:$AM$11,$AK$2:$AK$11,"&lt;="&amp;X372,$AL$2:$AL$11,"&gt;="&amp;X372)+Z372*AA372*SUMIFS($AM$2:$AM$11,$AK$2:$AK$11,"&lt;="&amp;Z372,$AL$2:$AL$11,"&gt;="&amp;Z372)+AB372*AC372*SUMIFS($AM$2:$AM$11,$AK$2:$AK$11,"&lt;="&amp;AB372,$AL$2:$AL$11,"&gt;="&amp;AB372)</f>
        <v/>
      </c>
      <c r="AH372" s="0">
        <f>AG372*(1-40%)</f>
        <v/>
      </c>
      <c r="AI372" s="0">
        <f>AH372*1.2</f>
        <v/>
      </c>
    </row>
    <row r="373">
      <c r="A373" s="26" t="n"/>
      <c r="B373" s="169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>
        <f>AG373</f>
        <v/>
      </c>
      <c r="T373" s="26">
        <f>AI373+Q373+P373</f>
        <v/>
      </c>
      <c r="U373" s="26" t="n"/>
      <c r="V373" s="26" t="n"/>
      <c r="W373" s="169" t="n"/>
      <c r="X373" s="26" t="n"/>
      <c r="Y373" s="26" t="n"/>
      <c r="Z373" s="26" t="n"/>
      <c r="AA373" s="26" t="n"/>
      <c r="AD373" s="0">
        <f>SUM(Y373,AA373,AC373)</f>
        <v/>
      </c>
      <c r="AE373" s="0">
        <f>X373*Y373+Z373*AA373+AB373*AC373</f>
        <v/>
      </c>
      <c r="AF373" s="0">
        <f>TEXTJOIN(", ",TRUE,IF(AND(X373&gt;0,Y373&gt;0),TEXT(X373,"0.00")&amp;"ct x "&amp;Y373,""),IF(AND(Z373&gt;0,AA373&gt;0),TEXT(Z373,"0.00")&amp;"ct x "&amp;AA373,""),IF(AND(AB373&gt;0,AC373&gt;0),TEXT(AB373,"0.00")&amp;"ct x "&amp;AC373,""))</f>
        <v/>
      </c>
      <c r="AG373" s="0">
        <f>X373*Y373*SUMIFS($AM$2:$AM$11,$AK$2:$AK$11,"&lt;="&amp;X373,$AL$2:$AL$11,"&gt;="&amp;X373)+Z373*AA373*SUMIFS($AM$2:$AM$11,$AK$2:$AK$11,"&lt;="&amp;Z373,$AL$2:$AL$11,"&gt;="&amp;Z373)+AB373*AC373*SUMIFS($AM$2:$AM$11,$AK$2:$AK$11,"&lt;="&amp;AB373,$AL$2:$AL$11,"&gt;="&amp;AB373)</f>
        <v/>
      </c>
      <c r="AH373" s="0">
        <f>AG373*(1-40%)</f>
        <v/>
      </c>
      <c r="AI373" s="0">
        <f>AH373*1.2</f>
        <v/>
      </c>
    </row>
    <row r="374">
      <c r="A374" s="26" t="n"/>
      <c r="B374" s="169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>
        <f>AG374</f>
        <v/>
      </c>
      <c r="T374" s="26">
        <f>AI374+Q374+P374</f>
        <v/>
      </c>
      <c r="U374" s="26" t="n"/>
      <c r="V374" s="26" t="n"/>
      <c r="W374" s="169" t="n"/>
      <c r="X374" s="26" t="n"/>
      <c r="Y374" s="26" t="n"/>
      <c r="Z374" s="26" t="n"/>
      <c r="AA374" s="26" t="n"/>
      <c r="AD374" s="0">
        <f>SUM(Y374,AA374,AC374)</f>
        <v/>
      </c>
      <c r="AE374" s="0">
        <f>X374*Y374+Z374*AA374+AB374*AC374</f>
        <v/>
      </c>
      <c r="AF374" s="0">
        <f>TEXTJOIN(", ",TRUE,IF(AND(X374&gt;0,Y374&gt;0),TEXT(X374,"0.00")&amp;"ct x "&amp;Y374,""),IF(AND(Z374&gt;0,AA374&gt;0),TEXT(Z374,"0.00")&amp;"ct x "&amp;AA374,""),IF(AND(AB374&gt;0,AC374&gt;0),TEXT(AB374,"0.00")&amp;"ct x "&amp;AC374,""))</f>
        <v/>
      </c>
      <c r="AG374" s="0">
        <f>X374*Y374*SUMIFS($AM$2:$AM$11,$AK$2:$AK$11,"&lt;="&amp;X374,$AL$2:$AL$11,"&gt;="&amp;X374)+Z374*AA374*SUMIFS($AM$2:$AM$11,$AK$2:$AK$11,"&lt;="&amp;Z374,$AL$2:$AL$11,"&gt;="&amp;Z374)+AB374*AC374*SUMIFS($AM$2:$AM$11,$AK$2:$AK$11,"&lt;="&amp;AB374,$AL$2:$AL$11,"&gt;="&amp;AB374)</f>
        <v/>
      </c>
      <c r="AH374" s="0">
        <f>AG374*(1-40%)</f>
        <v/>
      </c>
      <c r="AI374" s="0">
        <f>AH374*1.2</f>
        <v/>
      </c>
    </row>
    <row r="375">
      <c r="A375" s="26" t="n"/>
      <c r="B375" s="169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>
        <f>AG375</f>
        <v/>
      </c>
      <c r="T375" s="26">
        <f>AI375+Q375+P375</f>
        <v/>
      </c>
      <c r="U375" s="26" t="n"/>
      <c r="V375" s="26" t="n"/>
      <c r="W375" s="169" t="n"/>
      <c r="X375" s="26" t="n"/>
      <c r="Y375" s="26" t="n"/>
      <c r="Z375" s="26" t="n"/>
      <c r="AA375" s="26" t="n"/>
      <c r="AD375" s="0">
        <f>SUM(Y375,AA375,AC375)</f>
        <v/>
      </c>
      <c r="AE375" s="0">
        <f>X375*Y375+Z375*AA375+AB375*AC375</f>
        <v/>
      </c>
      <c r="AF375" s="0">
        <f>TEXTJOIN(", ",TRUE,IF(AND(X375&gt;0,Y375&gt;0),TEXT(X375,"0.00")&amp;"ct x "&amp;Y375,""),IF(AND(Z375&gt;0,AA375&gt;0),TEXT(Z375,"0.00")&amp;"ct x "&amp;AA375,""),IF(AND(AB375&gt;0,AC375&gt;0),TEXT(AB375,"0.00")&amp;"ct x "&amp;AC375,""))</f>
        <v/>
      </c>
      <c r="AG375" s="0">
        <f>X375*Y375*SUMIFS($AM$2:$AM$11,$AK$2:$AK$11,"&lt;="&amp;X375,$AL$2:$AL$11,"&gt;="&amp;X375)+Z375*AA375*SUMIFS($AM$2:$AM$11,$AK$2:$AK$11,"&lt;="&amp;Z375,$AL$2:$AL$11,"&gt;="&amp;Z375)+AB375*AC375*SUMIFS($AM$2:$AM$11,$AK$2:$AK$11,"&lt;="&amp;AB375,$AL$2:$AL$11,"&gt;="&amp;AB375)</f>
        <v/>
      </c>
      <c r="AH375" s="0">
        <f>AG375*(1-40%)</f>
        <v/>
      </c>
      <c r="AI375" s="0">
        <f>AH375*1.2</f>
        <v/>
      </c>
    </row>
    <row r="376">
      <c r="A376" s="26" t="n"/>
      <c r="B376" s="169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>
        <f>AG376</f>
        <v/>
      </c>
      <c r="T376" s="26">
        <f>AI376+Q376+P376</f>
        <v/>
      </c>
      <c r="U376" s="26" t="n"/>
      <c r="V376" s="26" t="n"/>
      <c r="W376" s="169" t="n"/>
      <c r="X376" s="26" t="n"/>
      <c r="Y376" s="26" t="n"/>
      <c r="Z376" s="26" t="n"/>
      <c r="AA376" s="26" t="n"/>
      <c r="AD376" s="0">
        <f>SUM(Y376,AA376,AC376)</f>
        <v/>
      </c>
      <c r="AE376" s="0">
        <f>X376*Y376+Z376*AA376+AB376*AC376</f>
        <v/>
      </c>
      <c r="AF376" s="0">
        <f>TEXTJOIN(", ",TRUE,IF(AND(X376&gt;0,Y376&gt;0),TEXT(X376,"0.00")&amp;"ct x "&amp;Y376,""),IF(AND(Z376&gt;0,AA376&gt;0),TEXT(Z376,"0.00")&amp;"ct x "&amp;AA376,""),IF(AND(AB376&gt;0,AC376&gt;0),TEXT(AB376,"0.00")&amp;"ct x "&amp;AC376,""))</f>
        <v/>
      </c>
      <c r="AG376" s="0">
        <f>X376*Y376*SUMIFS($AM$2:$AM$11,$AK$2:$AK$11,"&lt;="&amp;X376,$AL$2:$AL$11,"&gt;="&amp;X376)+Z376*AA376*SUMIFS($AM$2:$AM$11,$AK$2:$AK$11,"&lt;="&amp;Z376,$AL$2:$AL$11,"&gt;="&amp;Z376)+AB376*AC376*SUMIFS($AM$2:$AM$11,$AK$2:$AK$11,"&lt;="&amp;AB376,$AL$2:$AL$11,"&gt;="&amp;AB376)</f>
        <v/>
      </c>
      <c r="AH376" s="0">
        <f>AG376*(1-40%)</f>
        <v/>
      </c>
      <c r="AI376" s="0">
        <f>AH376*1.2</f>
        <v/>
      </c>
    </row>
    <row r="377">
      <c r="A377" s="26" t="n"/>
      <c r="B377" s="169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>
        <f>AG377</f>
        <v/>
      </c>
      <c r="T377" s="26">
        <f>AI377+Q377+P377</f>
        <v/>
      </c>
      <c r="U377" s="26" t="n"/>
      <c r="V377" s="26" t="n"/>
      <c r="W377" s="169" t="n"/>
      <c r="X377" s="26" t="n"/>
      <c r="Y377" s="26" t="n"/>
      <c r="Z377" s="26" t="n"/>
      <c r="AA377" s="26" t="n"/>
      <c r="AD377" s="0">
        <f>SUM(Y377,AA377,AC377)</f>
        <v/>
      </c>
      <c r="AE377" s="0">
        <f>X377*Y377+Z377*AA377+AB377*AC377</f>
        <v/>
      </c>
      <c r="AF377" s="0">
        <f>TEXTJOIN(", ",TRUE,IF(AND(X377&gt;0,Y377&gt;0),TEXT(X377,"0.00")&amp;"ct x "&amp;Y377,""),IF(AND(Z377&gt;0,AA377&gt;0),TEXT(Z377,"0.00")&amp;"ct x "&amp;AA377,""),IF(AND(AB377&gt;0,AC377&gt;0),TEXT(AB377,"0.00")&amp;"ct x "&amp;AC377,""))</f>
        <v/>
      </c>
      <c r="AG377" s="0">
        <f>X377*Y377*SUMIFS($AM$2:$AM$11,$AK$2:$AK$11,"&lt;="&amp;X377,$AL$2:$AL$11,"&gt;="&amp;X377)+Z377*AA377*SUMIFS($AM$2:$AM$11,$AK$2:$AK$11,"&lt;="&amp;Z377,$AL$2:$AL$11,"&gt;="&amp;Z377)+AB377*AC377*SUMIFS($AM$2:$AM$11,$AK$2:$AK$11,"&lt;="&amp;AB377,$AL$2:$AL$11,"&gt;="&amp;AB377)</f>
        <v/>
      </c>
      <c r="AH377" s="0">
        <f>AG377*(1-40%)</f>
        <v/>
      </c>
      <c r="AI377" s="0">
        <f>AH377*1.2</f>
        <v/>
      </c>
    </row>
    <row r="378">
      <c r="A378" s="26" t="n"/>
      <c r="B378" s="169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>
        <f>AG378</f>
        <v/>
      </c>
      <c r="T378" s="26">
        <f>AI378+Q378+P378</f>
        <v/>
      </c>
      <c r="U378" s="26" t="n"/>
      <c r="V378" s="26" t="n"/>
      <c r="W378" s="169" t="n"/>
      <c r="X378" s="26" t="n"/>
      <c r="Y378" s="26" t="n"/>
      <c r="Z378" s="26" t="n"/>
      <c r="AA378" s="26" t="n"/>
      <c r="AD378" s="0">
        <f>SUM(Y378,AA378,AC378)</f>
        <v/>
      </c>
      <c r="AE378" s="0">
        <f>X378*Y378+Z378*AA378+AB378*AC378</f>
        <v/>
      </c>
      <c r="AF378" s="0">
        <f>TEXTJOIN(", ",TRUE,IF(AND(X378&gt;0,Y378&gt;0),TEXT(X378,"0.00")&amp;"ct x "&amp;Y378,""),IF(AND(Z378&gt;0,AA378&gt;0),TEXT(Z378,"0.00")&amp;"ct x "&amp;AA378,""),IF(AND(AB378&gt;0,AC378&gt;0),TEXT(AB378,"0.00")&amp;"ct x "&amp;AC378,""))</f>
        <v/>
      </c>
      <c r="AG378" s="0">
        <f>X378*Y378*SUMIFS($AM$2:$AM$11,$AK$2:$AK$11,"&lt;="&amp;X378,$AL$2:$AL$11,"&gt;="&amp;X378)+Z378*AA378*SUMIFS($AM$2:$AM$11,$AK$2:$AK$11,"&lt;="&amp;Z378,$AL$2:$AL$11,"&gt;="&amp;Z378)+AB378*AC378*SUMIFS($AM$2:$AM$11,$AK$2:$AK$11,"&lt;="&amp;AB378,$AL$2:$AL$11,"&gt;="&amp;AB378)</f>
        <v/>
      </c>
      <c r="AH378" s="0">
        <f>AG378*(1-40%)</f>
        <v/>
      </c>
      <c r="AI378" s="0">
        <f>AH378*1.2</f>
        <v/>
      </c>
    </row>
    <row r="379">
      <c r="A379" s="26" t="n"/>
      <c r="B379" s="169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>
        <f>AG379</f>
        <v/>
      </c>
      <c r="T379" s="26">
        <f>AI379+Q379+P379</f>
        <v/>
      </c>
      <c r="U379" s="26" t="n"/>
      <c r="V379" s="26" t="n"/>
      <c r="W379" s="169" t="n"/>
      <c r="X379" s="26" t="n"/>
      <c r="Y379" s="26" t="n"/>
      <c r="Z379" s="26" t="n"/>
      <c r="AA379" s="26" t="n"/>
      <c r="AD379" s="0">
        <f>SUM(Y379,AA379,AC379)</f>
        <v/>
      </c>
      <c r="AE379" s="0">
        <f>X379*Y379+Z379*AA379+AB379*AC379</f>
        <v/>
      </c>
      <c r="AF379" s="0">
        <f>TEXTJOIN(", ",TRUE,IF(AND(X379&gt;0,Y379&gt;0),TEXT(X379,"0.00")&amp;"ct x "&amp;Y379,""),IF(AND(Z379&gt;0,AA379&gt;0),TEXT(Z379,"0.00")&amp;"ct x "&amp;AA379,""),IF(AND(AB379&gt;0,AC379&gt;0),TEXT(AB379,"0.00")&amp;"ct x "&amp;AC379,""))</f>
        <v/>
      </c>
      <c r="AG379" s="0">
        <f>X379*Y379*SUMIFS($AM$2:$AM$11,$AK$2:$AK$11,"&lt;="&amp;X379,$AL$2:$AL$11,"&gt;="&amp;X379)+Z379*AA379*SUMIFS($AM$2:$AM$11,$AK$2:$AK$11,"&lt;="&amp;Z379,$AL$2:$AL$11,"&gt;="&amp;Z379)+AB379*AC379*SUMIFS($AM$2:$AM$11,$AK$2:$AK$11,"&lt;="&amp;AB379,$AL$2:$AL$11,"&gt;="&amp;AB379)</f>
        <v/>
      </c>
      <c r="AH379" s="0">
        <f>AG379*(1-40%)</f>
        <v/>
      </c>
      <c r="AI379" s="0">
        <f>AH379*1.2</f>
        <v/>
      </c>
    </row>
    <row r="380">
      <c r="A380" s="26" t="n"/>
      <c r="B380" s="169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>
        <f>AG380</f>
        <v/>
      </c>
      <c r="T380" s="26">
        <f>AI380+Q380+P380</f>
        <v/>
      </c>
      <c r="U380" s="26" t="n"/>
      <c r="V380" s="26" t="n"/>
      <c r="W380" s="169" t="n"/>
      <c r="X380" s="26" t="n"/>
      <c r="Y380" s="26" t="n"/>
      <c r="Z380" s="26" t="n"/>
      <c r="AA380" s="26" t="n"/>
      <c r="AD380" s="0">
        <f>SUM(Y380,AA380,AC380)</f>
        <v/>
      </c>
      <c r="AE380" s="0">
        <f>X380*Y380+Z380*AA380+AB380*AC380</f>
        <v/>
      </c>
      <c r="AF380" s="0">
        <f>TEXTJOIN(", ",TRUE,IF(AND(X380&gt;0,Y380&gt;0),TEXT(X380,"0.00")&amp;"ct x "&amp;Y380,""),IF(AND(Z380&gt;0,AA380&gt;0),TEXT(Z380,"0.00")&amp;"ct x "&amp;AA380,""),IF(AND(AB380&gt;0,AC380&gt;0),TEXT(AB380,"0.00")&amp;"ct x "&amp;AC380,""))</f>
        <v/>
      </c>
      <c r="AG380" s="0">
        <f>X380*Y380*SUMIFS($AM$2:$AM$11,$AK$2:$AK$11,"&lt;="&amp;X380,$AL$2:$AL$11,"&gt;="&amp;X380)+Z380*AA380*SUMIFS($AM$2:$AM$11,$AK$2:$AK$11,"&lt;="&amp;Z380,$AL$2:$AL$11,"&gt;="&amp;Z380)+AB380*AC380*SUMIFS($AM$2:$AM$11,$AK$2:$AK$11,"&lt;="&amp;AB380,$AL$2:$AL$11,"&gt;="&amp;AB380)</f>
        <v/>
      </c>
      <c r="AH380" s="0">
        <f>AG380*(1-40%)</f>
        <v/>
      </c>
      <c r="AI380" s="0">
        <f>AH380*1.2</f>
        <v/>
      </c>
    </row>
    <row r="381">
      <c r="A381" s="26" t="n"/>
      <c r="B381" s="169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>
        <f>AG381</f>
        <v/>
      </c>
      <c r="T381" s="26">
        <f>AI381+Q381+P381</f>
        <v/>
      </c>
      <c r="U381" s="26" t="n"/>
      <c r="V381" s="26" t="n"/>
      <c r="W381" s="169" t="n"/>
      <c r="X381" s="26" t="n"/>
      <c r="Y381" s="26" t="n"/>
      <c r="Z381" s="26" t="n"/>
      <c r="AA381" s="26" t="n"/>
      <c r="AD381" s="0">
        <f>SUM(Y381,AA381,AC381)</f>
        <v/>
      </c>
      <c r="AE381" s="0">
        <f>X381*Y381+Z381*AA381+AB381*AC381</f>
        <v/>
      </c>
      <c r="AF381" s="0">
        <f>TEXTJOIN(", ",TRUE,IF(AND(X381&gt;0,Y381&gt;0),TEXT(X381,"0.00")&amp;"ct x "&amp;Y381,""),IF(AND(Z381&gt;0,AA381&gt;0),TEXT(Z381,"0.00")&amp;"ct x "&amp;AA381,""),IF(AND(AB381&gt;0,AC381&gt;0),TEXT(AB381,"0.00")&amp;"ct x "&amp;AC381,""))</f>
        <v/>
      </c>
      <c r="AG381" s="0">
        <f>X381*Y381*SUMIFS($AM$2:$AM$11,$AK$2:$AK$11,"&lt;="&amp;X381,$AL$2:$AL$11,"&gt;="&amp;X381)+Z381*AA381*SUMIFS($AM$2:$AM$11,$AK$2:$AK$11,"&lt;="&amp;Z381,$AL$2:$AL$11,"&gt;="&amp;Z381)+AB381*AC381*SUMIFS($AM$2:$AM$11,$AK$2:$AK$11,"&lt;="&amp;AB381,$AL$2:$AL$11,"&gt;="&amp;AB381)</f>
        <v/>
      </c>
      <c r="AH381" s="0">
        <f>AG381*(1-40%)</f>
        <v/>
      </c>
      <c r="AI381" s="0">
        <f>AH381*1.2</f>
        <v/>
      </c>
    </row>
    <row r="382">
      <c r="A382" s="26" t="n"/>
      <c r="B382" s="169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>
        <f>AG382</f>
        <v/>
      </c>
      <c r="T382" s="26">
        <f>AI382+Q382+P382</f>
        <v/>
      </c>
      <c r="U382" s="26" t="n"/>
      <c r="V382" s="26" t="n"/>
      <c r="W382" s="169" t="n"/>
      <c r="X382" s="26" t="n"/>
      <c r="Y382" s="26" t="n"/>
      <c r="Z382" s="26" t="n"/>
      <c r="AA382" s="26" t="n"/>
      <c r="AD382" s="0">
        <f>SUM(Y382,AA382,AC382)</f>
        <v/>
      </c>
      <c r="AE382" s="0">
        <f>X382*Y382+Z382*AA382+AB382*AC382</f>
        <v/>
      </c>
      <c r="AF382" s="0">
        <f>TEXTJOIN(", ",TRUE,IF(AND(X382&gt;0,Y382&gt;0),TEXT(X382,"0.00")&amp;"ct x "&amp;Y382,""),IF(AND(Z382&gt;0,AA382&gt;0),TEXT(Z382,"0.00")&amp;"ct x "&amp;AA382,""),IF(AND(AB382&gt;0,AC382&gt;0),TEXT(AB382,"0.00")&amp;"ct x "&amp;AC382,""))</f>
        <v/>
      </c>
      <c r="AG382" s="0">
        <f>X382*Y382*SUMIFS($AM$2:$AM$11,$AK$2:$AK$11,"&lt;="&amp;X382,$AL$2:$AL$11,"&gt;="&amp;X382)+Z382*AA382*SUMIFS($AM$2:$AM$11,$AK$2:$AK$11,"&lt;="&amp;Z382,$AL$2:$AL$11,"&gt;="&amp;Z382)+AB382*AC382*SUMIFS($AM$2:$AM$11,$AK$2:$AK$11,"&lt;="&amp;AB382,$AL$2:$AL$11,"&gt;="&amp;AB382)</f>
        <v/>
      </c>
      <c r="AH382" s="0">
        <f>AG382*(1-40%)</f>
        <v/>
      </c>
      <c r="AI382" s="0">
        <f>AH382*1.2</f>
        <v/>
      </c>
    </row>
    <row r="383">
      <c r="A383" s="26" t="n"/>
      <c r="B383" s="169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>
        <f>AG383</f>
        <v/>
      </c>
      <c r="T383" s="26">
        <f>AI383+Q383+P383</f>
        <v/>
      </c>
      <c r="U383" s="26" t="n"/>
      <c r="V383" s="26" t="n"/>
      <c r="W383" s="169" t="n"/>
      <c r="X383" s="26" t="n"/>
      <c r="Y383" s="26" t="n"/>
      <c r="Z383" s="26" t="n"/>
      <c r="AA383" s="26" t="n"/>
      <c r="AD383" s="0">
        <f>SUM(Y383,AA383,AC383)</f>
        <v/>
      </c>
      <c r="AE383" s="0">
        <f>X383*Y383+Z383*AA383+AB383*AC383</f>
        <v/>
      </c>
      <c r="AF383" s="0">
        <f>TEXTJOIN(", ",TRUE,IF(AND(X383&gt;0,Y383&gt;0),TEXT(X383,"0.00")&amp;"ct x "&amp;Y383,""),IF(AND(Z383&gt;0,AA383&gt;0),TEXT(Z383,"0.00")&amp;"ct x "&amp;AA383,""),IF(AND(AB383&gt;0,AC383&gt;0),TEXT(AB383,"0.00")&amp;"ct x "&amp;AC383,""))</f>
        <v/>
      </c>
      <c r="AG383" s="0">
        <f>X383*Y383*SUMIFS($AM$2:$AM$11,$AK$2:$AK$11,"&lt;="&amp;X383,$AL$2:$AL$11,"&gt;="&amp;X383)+Z383*AA383*SUMIFS($AM$2:$AM$11,$AK$2:$AK$11,"&lt;="&amp;Z383,$AL$2:$AL$11,"&gt;="&amp;Z383)+AB383*AC383*SUMIFS($AM$2:$AM$11,$AK$2:$AK$11,"&lt;="&amp;AB383,$AL$2:$AL$11,"&gt;="&amp;AB383)</f>
        <v/>
      </c>
      <c r="AH383" s="0">
        <f>AG383*(1-40%)</f>
        <v/>
      </c>
      <c r="AI383" s="0">
        <f>AH383*1.2</f>
        <v/>
      </c>
    </row>
    <row r="384">
      <c r="A384" s="26" t="n"/>
      <c r="B384" s="169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>
        <f>AG384</f>
        <v/>
      </c>
      <c r="T384" s="26">
        <f>AI384+Q384+P384</f>
        <v/>
      </c>
      <c r="U384" s="26" t="n"/>
      <c r="V384" s="26" t="n"/>
      <c r="W384" s="169" t="n"/>
      <c r="X384" s="26" t="n"/>
      <c r="Y384" s="26" t="n"/>
      <c r="Z384" s="26" t="n"/>
      <c r="AA384" s="26" t="n"/>
      <c r="AD384" s="0">
        <f>SUM(Y384,AA384,AC384)</f>
        <v/>
      </c>
      <c r="AE384" s="0">
        <f>X384*Y384+Z384*AA384+AB384*AC384</f>
        <v/>
      </c>
      <c r="AF384" s="0">
        <f>TEXTJOIN(", ",TRUE,IF(AND(X384&gt;0,Y384&gt;0),TEXT(X384,"0.00")&amp;"ct x "&amp;Y384,""),IF(AND(Z384&gt;0,AA384&gt;0),TEXT(Z384,"0.00")&amp;"ct x "&amp;AA384,""),IF(AND(AB384&gt;0,AC384&gt;0),TEXT(AB384,"0.00")&amp;"ct x "&amp;AC384,""))</f>
        <v/>
      </c>
      <c r="AG384" s="0">
        <f>X384*Y384*SUMIFS($AM$2:$AM$11,$AK$2:$AK$11,"&lt;="&amp;X384,$AL$2:$AL$11,"&gt;="&amp;X384)+Z384*AA384*SUMIFS($AM$2:$AM$11,$AK$2:$AK$11,"&lt;="&amp;Z384,$AL$2:$AL$11,"&gt;="&amp;Z384)+AB384*AC384*SUMIFS($AM$2:$AM$11,$AK$2:$AK$11,"&lt;="&amp;AB384,$AL$2:$AL$11,"&gt;="&amp;AB384)</f>
        <v/>
      </c>
      <c r="AH384" s="0">
        <f>AG384*(1-40%)</f>
        <v/>
      </c>
      <c r="AI384" s="0">
        <f>AH384*1.2</f>
        <v/>
      </c>
    </row>
    <row r="385">
      <c r="A385" s="26" t="n"/>
      <c r="B385" s="169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>
        <f>AG385</f>
        <v/>
      </c>
      <c r="T385" s="26">
        <f>AI385+Q385+P385</f>
        <v/>
      </c>
      <c r="U385" s="26" t="n"/>
      <c r="V385" s="26" t="n"/>
      <c r="W385" s="169" t="n"/>
      <c r="X385" s="26" t="n"/>
      <c r="Y385" s="26" t="n"/>
      <c r="Z385" s="26" t="n"/>
      <c r="AA385" s="26" t="n"/>
      <c r="AD385" s="0">
        <f>SUM(Y385,AA385,AC385)</f>
        <v/>
      </c>
      <c r="AE385" s="0">
        <f>X385*Y385+Z385*AA385+AB385*AC385</f>
        <v/>
      </c>
      <c r="AF385" s="0">
        <f>TEXTJOIN(", ",TRUE,IF(AND(X385&gt;0,Y385&gt;0),TEXT(X385,"0.00")&amp;"ct x "&amp;Y385,""),IF(AND(Z385&gt;0,AA385&gt;0),TEXT(Z385,"0.00")&amp;"ct x "&amp;AA385,""),IF(AND(AB385&gt;0,AC385&gt;0),TEXT(AB385,"0.00")&amp;"ct x "&amp;AC385,""))</f>
        <v/>
      </c>
      <c r="AG385" s="0">
        <f>X385*Y385*SUMIFS($AM$2:$AM$11,$AK$2:$AK$11,"&lt;="&amp;X385,$AL$2:$AL$11,"&gt;="&amp;X385)+Z385*AA385*SUMIFS($AM$2:$AM$11,$AK$2:$AK$11,"&lt;="&amp;Z385,$AL$2:$AL$11,"&gt;="&amp;Z385)+AB385*AC385*SUMIFS($AM$2:$AM$11,$AK$2:$AK$11,"&lt;="&amp;AB385,$AL$2:$AL$11,"&gt;="&amp;AB385)</f>
        <v/>
      </c>
      <c r="AH385" s="0">
        <f>AG385*(1-40%)</f>
        <v/>
      </c>
      <c r="AI385" s="0">
        <f>AH385*1.2</f>
        <v/>
      </c>
    </row>
    <row r="386">
      <c r="A386" s="26" t="n"/>
      <c r="B386" s="169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>
        <f>AG386</f>
        <v/>
      </c>
      <c r="T386" s="26">
        <f>AI386+Q386+P386</f>
        <v/>
      </c>
      <c r="U386" s="26" t="n"/>
      <c r="V386" s="26" t="n"/>
      <c r="W386" s="169" t="n"/>
      <c r="X386" s="26" t="n"/>
      <c r="Y386" s="26" t="n"/>
      <c r="Z386" s="26" t="n"/>
      <c r="AA386" s="26" t="n"/>
      <c r="AD386" s="0">
        <f>SUM(Y386,AA386,AC386)</f>
        <v/>
      </c>
      <c r="AE386" s="0">
        <f>X386*Y386+Z386*AA386+AB386*AC386</f>
        <v/>
      </c>
      <c r="AF386" s="0">
        <f>TEXTJOIN(", ",TRUE,IF(AND(X386&gt;0,Y386&gt;0),TEXT(X386,"0.00")&amp;"ct x "&amp;Y386,""),IF(AND(Z386&gt;0,AA386&gt;0),TEXT(Z386,"0.00")&amp;"ct x "&amp;AA386,""),IF(AND(AB386&gt;0,AC386&gt;0),TEXT(AB386,"0.00")&amp;"ct x "&amp;AC386,""))</f>
        <v/>
      </c>
      <c r="AG386" s="0">
        <f>X386*Y386*SUMIFS($AM$2:$AM$11,$AK$2:$AK$11,"&lt;="&amp;X386,$AL$2:$AL$11,"&gt;="&amp;X386)+Z386*AA386*SUMIFS($AM$2:$AM$11,$AK$2:$AK$11,"&lt;="&amp;Z386,$AL$2:$AL$11,"&gt;="&amp;Z386)+AB386*AC386*SUMIFS($AM$2:$AM$11,$AK$2:$AK$11,"&lt;="&amp;AB386,$AL$2:$AL$11,"&gt;="&amp;AB386)</f>
        <v/>
      </c>
      <c r="AH386" s="0">
        <f>AG386*(1-40%)</f>
        <v/>
      </c>
      <c r="AI386" s="0">
        <f>AH386*1.2</f>
        <v/>
      </c>
    </row>
    <row r="387">
      <c r="A387" s="26" t="n"/>
      <c r="B387" s="169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>
        <f>AG387</f>
        <v/>
      </c>
      <c r="T387" s="26">
        <f>AI387+Q387+P387</f>
        <v/>
      </c>
      <c r="U387" s="26" t="n"/>
      <c r="V387" s="26" t="n"/>
      <c r="W387" s="169" t="n"/>
      <c r="X387" s="26" t="n"/>
      <c r="Y387" s="26" t="n"/>
      <c r="Z387" s="26" t="n"/>
      <c r="AA387" s="26" t="n"/>
      <c r="AD387" s="0">
        <f>SUM(Y387,AA387,AC387)</f>
        <v/>
      </c>
      <c r="AE387" s="0">
        <f>X387*Y387+Z387*AA387+AB387*AC387</f>
        <v/>
      </c>
      <c r="AF387" s="0">
        <f>TEXTJOIN(", ",TRUE,IF(AND(X387&gt;0,Y387&gt;0),TEXT(X387,"0.00")&amp;"ct x "&amp;Y387,""),IF(AND(Z387&gt;0,AA387&gt;0),TEXT(Z387,"0.00")&amp;"ct x "&amp;AA387,""),IF(AND(AB387&gt;0,AC387&gt;0),TEXT(AB387,"0.00")&amp;"ct x "&amp;AC387,""))</f>
        <v/>
      </c>
      <c r="AG387" s="0">
        <f>X387*Y387*SUMIFS($AM$2:$AM$11,$AK$2:$AK$11,"&lt;="&amp;X387,$AL$2:$AL$11,"&gt;="&amp;X387)+Z387*AA387*SUMIFS($AM$2:$AM$11,$AK$2:$AK$11,"&lt;="&amp;Z387,$AL$2:$AL$11,"&gt;="&amp;Z387)+AB387*AC387*SUMIFS($AM$2:$AM$11,$AK$2:$AK$11,"&lt;="&amp;AB387,$AL$2:$AL$11,"&gt;="&amp;AB387)</f>
        <v/>
      </c>
      <c r="AH387" s="0">
        <f>AG387*(1-40%)</f>
        <v/>
      </c>
      <c r="AI387" s="0">
        <f>AH387*1.2</f>
        <v/>
      </c>
    </row>
    <row r="388">
      <c r="A388" s="26" t="n"/>
      <c r="B388" s="169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>
        <f>AG388</f>
        <v/>
      </c>
      <c r="T388" s="26">
        <f>AI388+Q388+P388</f>
        <v/>
      </c>
      <c r="U388" s="26" t="n"/>
      <c r="V388" s="26" t="n"/>
      <c r="W388" s="169" t="n"/>
      <c r="X388" s="26" t="n"/>
      <c r="Y388" s="26" t="n"/>
      <c r="Z388" s="26" t="n"/>
      <c r="AA388" s="26" t="n"/>
      <c r="AD388" s="0">
        <f>SUM(Y388,AA388,AC388)</f>
        <v/>
      </c>
      <c r="AE388" s="0">
        <f>X388*Y388+Z388*AA388+AB388*AC388</f>
        <v/>
      </c>
      <c r="AF388" s="0">
        <f>TEXTJOIN(", ",TRUE,IF(AND(X388&gt;0,Y388&gt;0),TEXT(X388,"0.00")&amp;"ct x "&amp;Y388,""),IF(AND(Z388&gt;0,AA388&gt;0),TEXT(Z388,"0.00")&amp;"ct x "&amp;AA388,""),IF(AND(AB388&gt;0,AC388&gt;0),TEXT(AB388,"0.00")&amp;"ct x "&amp;AC388,""))</f>
        <v/>
      </c>
      <c r="AG388" s="0">
        <f>X388*Y388*SUMIFS($AM$2:$AM$11,$AK$2:$AK$11,"&lt;="&amp;X388,$AL$2:$AL$11,"&gt;="&amp;X388)+Z388*AA388*SUMIFS($AM$2:$AM$11,$AK$2:$AK$11,"&lt;="&amp;Z388,$AL$2:$AL$11,"&gt;="&amp;Z388)+AB388*AC388*SUMIFS($AM$2:$AM$11,$AK$2:$AK$11,"&lt;="&amp;AB388,$AL$2:$AL$11,"&gt;="&amp;AB388)</f>
        <v/>
      </c>
      <c r="AH388" s="0">
        <f>AG388*(1-40%)</f>
        <v/>
      </c>
      <c r="AI388" s="0">
        <f>AH388*1.2</f>
        <v/>
      </c>
    </row>
    <row r="389">
      <c r="A389" s="26" t="n"/>
      <c r="B389" s="169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>
        <f>AG389</f>
        <v/>
      </c>
      <c r="T389" s="26">
        <f>AI389+Q389+P389</f>
        <v/>
      </c>
      <c r="U389" s="26" t="n"/>
      <c r="V389" s="26" t="n"/>
      <c r="W389" s="169" t="n"/>
      <c r="X389" s="26" t="n"/>
      <c r="Y389" s="26" t="n"/>
      <c r="Z389" s="26" t="n"/>
      <c r="AA389" s="26" t="n"/>
      <c r="AD389" s="0">
        <f>SUM(Y389,AA389,AC389)</f>
        <v/>
      </c>
      <c r="AE389" s="0">
        <f>X389*Y389+Z389*AA389+AB389*AC389</f>
        <v/>
      </c>
      <c r="AF389" s="0">
        <f>TEXTJOIN(", ",TRUE,IF(AND(X389&gt;0,Y389&gt;0),TEXT(X389,"0.00")&amp;"ct x "&amp;Y389,""),IF(AND(Z389&gt;0,AA389&gt;0),TEXT(Z389,"0.00")&amp;"ct x "&amp;AA389,""),IF(AND(AB389&gt;0,AC389&gt;0),TEXT(AB389,"0.00")&amp;"ct x "&amp;AC389,""))</f>
        <v/>
      </c>
      <c r="AG389" s="0">
        <f>X389*Y389*SUMIFS($AM$2:$AM$11,$AK$2:$AK$11,"&lt;="&amp;X389,$AL$2:$AL$11,"&gt;="&amp;X389)+Z389*AA389*SUMIFS($AM$2:$AM$11,$AK$2:$AK$11,"&lt;="&amp;Z389,$AL$2:$AL$11,"&gt;="&amp;Z389)+AB389*AC389*SUMIFS($AM$2:$AM$11,$AK$2:$AK$11,"&lt;="&amp;AB389,$AL$2:$AL$11,"&gt;="&amp;AB389)</f>
        <v/>
      </c>
      <c r="AH389" s="0">
        <f>AG389*(1-40%)</f>
        <v/>
      </c>
      <c r="AI389" s="0">
        <f>AH389*1.2</f>
        <v/>
      </c>
    </row>
    <row r="390">
      <c r="A390" s="26" t="n"/>
      <c r="B390" s="169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>
        <f>AG390</f>
        <v/>
      </c>
      <c r="T390" s="26">
        <f>AI390+Q390+P390</f>
        <v/>
      </c>
      <c r="U390" s="26" t="n"/>
      <c r="V390" s="26" t="n"/>
      <c r="W390" s="169" t="n"/>
      <c r="X390" s="26" t="n"/>
      <c r="Y390" s="26" t="n"/>
      <c r="Z390" s="26" t="n"/>
      <c r="AA390" s="26" t="n"/>
      <c r="AD390" s="0">
        <f>SUM(Y390,AA390,AC390)</f>
        <v/>
      </c>
      <c r="AE390" s="0">
        <f>X390*Y390+Z390*AA390+AB390*AC390</f>
        <v/>
      </c>
      <c r="AF390" s="0">
        <f>TEXTJOIN(", ",TRUE,IF(AND(X390&gt;0,Y390&gt;0),TEXT(X390,"0.00")&amp;"ct x "&amp;Y390,""),IF(AND(Z390&gt;0,AA390&gt;0),TEXT(Z390,"0.00")&amp;"ct x "&amp;AA390,""),IF(AND(AB390&gt;0,AC390&gt;0),TEXT(AB390,"0.00")&amp;"ct x "&amp;AC390,""))</f>
        <v/>
      </c>
      <c r="AG390" s="0">
        <f>X390*Y390*SUMIFS($AM$2:$AM$11,$AK$2:$AK$11,"&lt;="&amp;X390,$AL$2:$AL$11,"&gt;="&amp;X390)+Z390*AA390*SUMIFS($AM$2:$AM$11,$AK$2:$AK$11,"&lt;="&amp;Z390,$AL$2:$AL$11,"&gt;="&amp;Z390)+AB390*AC390*SUMIFS($AM$2:$AM$11,$AK$2:$AK$11,"&lt;="&amp;AB390,$AL$2:$AL$11,"&gt;="&amp;AB390)</f>
        <v/>
      </c>
      <c r="AH390" s="0">
        <f>AG390*(1-40%)</f>
        <v/>
      </c>
      <c r="AI390" s="0">
        <f>AH390*1.2</f>
        <v/>
      </c>
    </row>
    <row r="391">
      <c r="A391" s="26" t="n"/>
      <c r="B391" s="169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>
        <f>AG391</f>
        <v/>
      </c>
      <c r="T391" s="26">
        <f>AI391+Q391+P391</f>
        <v/>
      </c>
      <c r="U391" s="26" t="n"/>
      <c r="V391" s="26" t="n"/>
      <c r="W391" s="169" t="n"/>
      <c r="X391" s="26" t="n"/>
      <c r="Y391" s="26" t="n"/>
      <c r="Z391" s="26" t="n"/>
      <c r="AA391" s="26" t="n"/>
      <c r="AD391" s="0">
        <f>SUM(Y391,AA391,AC391)</f>
        <v/>
      </c>
      <c r="AE391" s="0">
        <f>X391*Y391+Z391*AA391+AB391*AC391</f>
        <v/>
      </c>
      <c r="AF391" s="0">
        <f>TEXTJOIN(", ",TRUE,IF(AND(X391&gt;0,Y391&gt;0),TEXT(X391,"0.00")&amp;"ct x "&amp;Y391,""),IF(AND(Z391&gt;0,AA391&gt;0),TEXT(Z391,"0.00")&amp;"ct x "&amp;AA391,""),IF(AND(AB391&gt;0,AC391&gt;0),TEXT(AB391,"0.00")&amp;"ct x "&amp;AC391,""))</f>
        <v/>
      </c>
      <c r="AG391" s="0">
        <f>X391*Y391*SUMIFS($AM$2:$AM$11,$AK$2:$AK$11,"&lt;="&amp;X391,$AL$2:$AL$11,"&gt;="&amp;X391)+Z391*AA391*SUMIFS($AM$2:$AM$11,$AK$2:$AK$11,"&lt;="&amp;Z391,$AL$2:$AL$11,"&gt;="&amp;Z391)+AB391*AC391*SUMIFS($AM$2:$AM$11,$AK$2:$AK$11,"&lt;="&amp;AB391,$AL$2:$AL$11,"&gt;="&amp;AB391)</f>
        <v/>
      </c>
      <c r="AH391" s="0">
        <f>AG391*(1-40%)</f>
        <v/>
      </c>
      <c r="AI391" s="0">
        <f>AH391*1.2</f>
        <v/>
      </c>
    </row>
    <row r="392">
      <c r="A392" s="26" t="n"/>
      <c r="B392" s="169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>
        <f>AG392</f>
        <v/>
      </c>
      <c r="T392" s="26">
        <f>AI392+Q392+P392</f>
        <v/>
      </c>
      <c r="U392" s="26" t="n"/>
      <c r="V392" s="26" t="n"/>
      <c r="W392" s="169" t="n"/>
      <c r="X392" s="26" t="n"/>
      <c r="Y392" s="26" t="n"/>
      <c r="Z392" s="26" t="n"/>
      <c r="AA392" s="26" t="n"/>
      <c r="AD392" s="0">
        <f>SUM(Y392,AA392,AC392)</f>
        <v/>
      </c>
      <c r="AE392" s="0">
        <f>X392*Y392+Z392*AA392+AB392*AC392</f>
        <v/>
      </c>
      <c r="AF392" s="0">
        <f>TEXTJOIN(", ",TRUE,IF(AND(X392&gt;0,Y392&gt;0),TEXT(X392,"0.00")&amp;"ct x "&amp;Y392,""),IF(AND(Z392&gt;0,AA392&gt;0),TEXT(Z392,"0.00")&amp;"ct x "&amp;AA392,""),IF(AND(AB392&gt;0,AC392&gt;0),TEXT(AB392,"0.00")&amp;"ct x "&amp;AC392,""))</f>
        <v/>
      </c>
      <c r="AG392" s="0">
        <f>X392*Y392*SUMIFS($AM$2:$AM$11,$AK$2:$AK$11,"&lt;="&amp;X392,$AL$2:$AL$11,"&gt;="&amp;X392)+Z392*AA392*SUMIFS($AM$2:$AM$11,$AK$2:$AK$11,"&lt;="&amp;Z392,$AL$2:$AL$11,"&gt;="&amp;Z392)+AB392*AC392*SUMIFS($AM$2:$AM$11,$AK$2:$AK$11,"&lt;="&amp;AB392,$AL$2:$AL$11,"&gt;="&amp;AB392)</f>
        <v/>
      </c>
      <c r="AH392" s="0">
        <f>AG392*(1-40%)</f>
        <v/>
      </c>
      <c r="AI392" s="0">
        <f>AH392*1.2</f>
        <v/>
      </c>
    </row>
    <row r="393">
      <c r="A393" s="26" t="n"/>
      <c r="B393" s="169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>
        <f>AG393</f>
        <v/>
      </c>
      <c r="T393" s="26">
        <f>AI393+Q393+P393</f>
        <v/>
      </c>
      <c r="U393" s="26" t="n"/>
      <c r="V393" s="26" t="n"/>
      <c r="W393" s="169" t="n"/>
      <c r="X393" s="26" t="n"/>
      <c r="Y393" s="26" t="n"/>
      <c r="Z393" s="26" t="n"/>
      <c r="AA393" s="26" t="n"/>
      <c r="AD393" s="0">
        <f>SUM(Y393,AA393,AC393)</f>
        <v/>
      </c>
      <c r="AE393" s="0">
        <f>X393*Y393+Z393*AA393+AB393*AC393</f>
        <v/>
      </c>
      <c r="AF393" s="0">
        <f>TEXTJOIN(", ",TRUE,IF(AND(X393&gt;0,Y393&gt;0),TEXT(X393,"0.00")&amp;"ct x "&amp;Y393,""),IF(AND(Z393&gt;0,AA393&gt;0),TEXT(Z393,"0.00")&amp;"ct x "&amp;AA393,""),IF(AND(AB393&gt;0,AC393&gt;0),TEXT(AB393,"0.00")&amp;"ct x "&amp;AC393,""))</f>
        <v/>
      </c>
      <c r="AG393" s="0">
        <f>X393*Y393*SUMIFS($AM$2:$AM$11,$AK$2:$AK$11,"&lt;="&amp;X393,$AL$2:$AL$11,"&gt;="&amp;X393)+Z393*AA393*SUMIFS($AM$2:$AM$11,$AK$2:$AK$11,"&lt;="&amp;Z393,$AL$2:$AL$11,"&gt;="&amp;Z393)+AB393*AC393*SUMIFS($AM$2:$AM$11,$AK$2:$AK$11,"&lt;="&amp;AB393,$AL$2:$AL$11,"&gt;="&amp;AB393)</f>
        <v/>
      </c>
      <c r="AH393" s="0">
        <f>AG393*(1-40%)</f>
        <v/>
      </c>
      <c r="AI393" s="0">
        <f>AH393*1.2</f>
        <v/>
      </c>
    </row>
    <row r="394">
      <c r="A394" s="26" t="n"/>
      <c r="B394" s="169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>
        <f>AG394</f>
        <v/>
      </c>
      <c r="T394" s="26">
        <f>AI394+Q394+P394</f>
        <v/>
      </c>
      <c r="U394" s="26" t="n"/>
      <c r="V394" s="26" t="n"/>
      <c r="W394" s="169" t="n"/>
      <c r="X394" s="26" t="n"/>
      <c r="Y394" s="26" t="n"/>
      <c r="Z394" s="26" t="n"/>
      <c r="AA394" s="26" t="n"/>
      <c r="AD394" s="0">
        <f>SUM(Y394,AA394,AC394)</f>
        <v/>
      </c>
      <c r="AE394" s="0">
        <f>X394*Y394+Z394*AA394+AB394*AC394</f>
        <v/>
      </c>
      <c r="AF394" s="0">
        <f>TEXTJOIN(", ",TRUE,IF(AND(X394&gt;0,Y394&gt;0),TEXT(X394,"0.00")&amp;"ct x "&amp;Y394,""),IF(AND(Z394&gt;0,AA394&gt;0),TEXT(Z394,"0.00")&amp;"ct x "&amp;AA394,""),IF(AND(AB394&gt;0,AC394&gt;0),TEXT(AB394,"0.00")&amp;"ct x "&amp;AC394,""))</f>
        <v/>
      </c>
      <c r="AG394" s="0">
        <f>X394*Y394*SUMIFS($AM$2:$AM$11,$AK$2:$AK$11,"&lt;="&amp;X394,$AL$2:$AL$11,"&gt;="&amp;X394)+Z394*AA394*SUMIFS($AM$2:$AM$11,$AK$2:$AK$11,"&lt;="&amp;Z394,$AL$2:$AL$11,"&gt;="&amp;Z394)+AB394*AC394*SUMIFS($AM$2:$AM$11,$AK$2:$AK$11,"&lt;="&amp;AB394,$AL$2:$AL$11,"&gt;="&amp;AB394)</f>
        <v/>
      </c>
      <c r="AH394" s="0">
        <f>AG394*(1-40%)</f>
        <v/>
      </c>
      <c r="AI394" s="0">
        <f>AH394*1.2</f>
        <v/>
      </c>
    </row>
    <row r="395">
      <c r="A395" s="26" t="n"/>
      <c r="B395" s="169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>
        <f>AG395</f>
        <v/>
      </c>
      <c r="T395" s="26">
        <f>AI395+Q395+P395</f>
        <v/>
      </c>
      <c r="U395" s="26" t="n"/>
      <c r="V395" s="26" t="n"/>
      <c r="W395" s="169" t="n"/>
      <c r="X395" s="26" t="n"/>
      <c r="Y395" s="26" t="n"/>
      <c r="Z395" s="26" t="n"/>
      <c r="AA395" s="26" t="n"/>
      <c r="AD395" s="0">
        <f>SUM(Y395,AA395,AC395)</f>
        <v/>
      </c>
      <c r="AE395" s="0">
        <f>X395*Y395+Z395*AA395+AB395*AC395</f>
        <v/>
      </c>
      <c r="AF395" s="0">
        <f>TEXTJOIN(", ",TRUE,IF(AND(X395&gt;0,Y395&gt;0),TEXT(X395,"0.00")&amp;"ct x "&amp;Y395,""),IF(AND(Z395&gt;0,AA395&gt;0),TEXT(Z395,"0.00")&amp;"ct x "&amp;AA395,""),IF(AND(AB395&gt;0,AC395&gt;0),TEXT(AB395,"0.00")&amp;"ct x "&amp;AC395,""))</f>
        <v/>
      </c>
      <c r="AG395" s="0">
        <f>X395*Y395*SUMIFS($AM$2:$AM$11,$AK$2:$AK$11,"&lt;="&amp;X395,$AL$2:$AL$11,"&gt;="&amp;X395)+Z395*AA395*SUMIFS($AM$2:$AM$11,$AK$2:$AK$11,"&lt;="&amp;Z395,$AL$2:$AL$11,"&gt;="&amp;Z395)+AB395*AC395*SUMIFS($AM$2:$AM$11,$AK$2:$AK$11,"&lt;="&amp;AB395,$AL$2:$AL$11,"&gt;="&amp;AB395)</f>
        <v/>
      </c>
      <c r="AH395" s="0">
        <f>AG395*(1-40%)</f>
        <v/>
      </c>
      <c r="AI395" s="0">
        <f>AH395*1.2</f>
        <v/>
      </c>
    </row>
    <row r="396">
      <c r="A396" s="26" t="n"/>
      <c r="B396" s="169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>
        <f>AG396</f>
        <v/>
      </c>
      <c r="T396" s="26">
        <f>AI396+Q396+P396</f>
        <v/>
      </c>
      <c r="U396" s="26" t="n"/>
      <c r="V396" s="26" t="n"/>
      <c r="W396" s="169" t="n"/>
      <c r="X396" s="26" t="n"/>
      <c r="Y396" s="26" t="n"/>
      <c r="Z396" s="26" t="n"/>
      <c r="AA396" s="26" t="n"/>
      <c r="AD396" s="0">
        <f>SUM(Y396,AA396,AC396)</f>
        <v/>
      </c>
      <c r="AE396" s="0">
        <f>X396*Y396+Z396*AA396+AB396*AC396</f>
        <v/>
      </c>
      <c r="AF396" s="0">
        <f>TEXTJOIN(", ",TRUE,IF(AND(X396&gt;0,Y396&gt;0),TEXT(X396,"0.00")&amp;"ct x "&amp;Y396,""),IF(AND(Z396&gt;0,AA396&gt;0),TEXT(Z396,"0.00")&amp;"ct x "&amp;AA396,""),IF(AND(AB396&gt;0,AC396&gt;0),TEXT(AB396,"0.00")&amp;"ct x "&amp;AC396,""))</f>
        <v/>
      </c>
      <c r="AG396" s="0">
        <f>X396*Y396*SUMIFS($AM$2:$AM$11,$AK$2:$AK$11,"&lt;="&amp;X396,$AL$2:$AL$11,"&gt;="&amp;X396)+Z396*AA396*SUMIFS($AM$2:$AM$11,$AK$2:$AK$11,"&lt;="&amp;Z396,$AL$2:$AL$11,"&gt;="&amp;Z396)+AB396*AC396*SUMIFS($AM$2:$AM$11,$AK$2:$AK$11,"&lt;="&amp;AB396,$AL$2:$AL$11,"&gt;="&amp;AB396)</f>
        <v/>
      </c>
      <c r="AH396" s="0">
        <f>AG396*(1-40%)</f>
        <v/>
      </c>
      <c r="AI396" s="0">
        <f>AH396*1.2</f>
        <v/>
      </c>
    </row>
    <row r="397">
      <c r="A397" s="26" t="n"/>
      <c r="B397" s="169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>
        <f>AG397</f>
        <v/>
      </c>
      <c r="T397" s="26">
        <f>AI397+Q397+P397</f>
        <v/>
      </c>
      <c r="U397" s="26" t="n"/>
      <c r="V397" s="26" t="n"/>
      <c r="W397" s="169" t="n"/>
      <c r="X397" s="26" t="n"/>
      <c r="Y397" s="26" t="n"/>
      <c r="Z397" s="26" t="n"/>
      <c r="AA397" s="26" t="n"/>
      <c r="AD397" s="0">
        <f>SUM(Y397,AA397,AC397)</f>
        <v/>
      </c>
      <c r="AE397" s="0">
        <f>X397*Y397+Z397*AA397+AB397*AC397</f>
        <v/>
      </c>
      <c r="AF397" s="0">
        <f>TEXTJOIN(", ",TRUE,IF(AND(X397&gt;0,Y397&gt;0),TEXT(X397,"0.00")&amp;"ct x "&amp;Y397,""),IF(AND(Z397&gt;0,AA397&gt;0),TEXT(Z397,"0.00")&amp;"ct x "&amp;AA397,""),IF(AND(AB397&gt;0,AC397&gt;0),TEXT(AB397,"0.00")&amp;"ct x "&amp;AC397,""))</f>
        <v/>
      </c>
      <c r="AG397" s="0">
        <f>X397*Y397*SUMIFS($AM$2:$AM$11,$AK$2:$AK$11,"&lt;="&amp;X397,$AL$2:$AL$11,"&gt;="&amp;X397)+Z397*AA397*SUMIFS($AM$2:$AM$11,$AK$2:$AK$11,"&lt;="&amp;Z397,$AL$2:$AL$11,"&gt;="&amp;Z397)+AB397*AC397*SUMIFS($AM$2:$AM$11,$AK$2:$AK$11,"&lt;="&amp;AB397,$AL$2:$AL$11,"&gt;="&amp;AB397)</f>
        <v/>
      </c>
      <c r="AH397" s="0">
        <f>AG397*(1-40%)</f>
        <v/>
      </c>
      <c r="AI397" s="0">
        <f>AH397*1.2</f>
        <v/>
      </c>
    </row>
    <row r="398">
      <c r="A398" s="26" t="n"/>
      <c r="B398" s="169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>
        <f>AG398</f>
        <v/>
      </c>
      <c r="T398" s="26">
        <f>AI398+Q398+P398</f>
        <v/>
      </c>
      <c r="U398" s="26" t="n"/>
      <c r="V398" s="26" t="n"/>
      <c r="W398" s="169" t="n"/>
      <c r="X398" s="26" t="n"/>
      <c r="Y398" s="26" t="n"/>
      <c r="Z398" s="26" t="n"/>
      <c r="AA398" s="26" t="n"/>
      <c r="AD398" s="0">
        <f>SUM(Y398,AA398,AC398)</f>
        <v/>
      </c>
      <c r="AE398" s="0">
        <f>X398*Y398+Z398*AA398+AB398*AC398</f>
        <v/>
      </c>
      <c r="AF398" s="0">
        <f>TEXTJOIN(", ",TRUE,IF(AND(X398&gt;0,Y398&gt;0),TEXT(X398,"0.00")&amp;"ct x "&amp;Y398,""),IF(AND(Z398&gt;0,AA398&gt;0),TEXT(Z398,"0.00")&amp;"ct x "&amp;AA398,""),IF(AND(AB398&gt;0,AC398&gt;0),TEXT(AB398,"0.00")&amp;"ct x "&amp;AC398,""))</f>
        <v/>
      </c>
      <c r="AG398" s="0">
        <f>X398*Y398*SUMIFS($AM$2:$AM$11,$AK$2:$AK$11,"&lt;="&amp;X398,$AL$2:$AL$11,"&gt;="&amp;X398)+Z398*AA398*SUMIFS($AM$2:$AM$11,$AK$2:$AK$11,"&lt;="&amp;Z398,$AL$2:$AL$11,"&gt;="&amp;Z398)+AB398*AC398*SUMIFS($AM$2:$AM$11,$AK$2:$AK$11,"&lt;="&amp;AB398,$AL$2:$AL$11,"&gt;="&amp;AB398)</f>
        <v/>
      </c>
      <c r="AH398" s="0">
        <f>AG398*(1-40%)</f>
        <v/>
      </c>
      <c r="AI398" s="0">
        <f>AH398*1.2</f>
        <v/>
      </c>
    </row>
    <row r="399">
      <c r="A399" s="26" t="n"/>
      <c r="B399" s="169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>
        <f>AG399</f>
        <v/>
      </c>
      <c r="T399" s="26">
        <f>AI399+Q399+P399</f>
        <v/>
      </c>
      <c r="U399" s="26" t="n"/>
      <c r="V399" s="26" t="n"/>
      <c r="W399" s="169" t="n"/>
      <c r="X399" s="26" t="n"/>
      <c r="Y399" s="26" t="n"/>
      <c r="Z399" s="26" t="n"/>
      <c r="AA399" s="26" t="n"/>
      <c r="AD399" s="0">
        <f>SUM(Y399,AA399,AC399)</f>
        <v/>
      </c>
      <c r="AE399" s="0">
        <f>X399*Y399+Z399*AA399+AB399*AC399</f>
        <v/>
      </c>
      <c r="AF399" s="0">
        <f>TEXTJOIN(", ",TRUE,IF(AND(X399&gt;0,Y399&gt;0),TEXT(X399,"0.00")&amp;"ct x "&amp;Y399,""),IF(AND(Z399&gt;0,AA399&gt;0),TEXT(Z399,"0.00")&amp;"ct x "&amp;AA399,""),IF(AND(AB399&gt;0,AC399&gt;0),TEXT(AB399,"0.00")&amp;"ct x "&amp;AC399,""))</f>
        <v/>
      </c>
      <c r="AG399" s="0">
        <f>X399*Y399*SUMIFS($AM$2:$AM$11,$AK$2:$AK$11,"&lt;="&amp;X399,$AL$2:$AL$11,"&gt;="&amp;X399)+Z399*AA399*SUMIFS($AM$2:$AM$11,$AK$2:$AK$11,"&lt;="&amp;Z399,$AL$2:$AL$11,"&gt;="&amp;Z399)+AB399*AC399*SUMIFS($AM$2:$AM$11,$AK$2:$AK$11,"&lt;="&amp;AB399,$AL$2:$AL$11,"&gt;="&amp;AB399)</f>
        <v/>
      </c>
      <c r="AH399" s="0">
        <f>AG399*(1-40%)</f>
        <v/>
      </c>
      <c r="AI399" s="0">
        <f>AH399*1.2</f>
        <v/>
      </c>
    </row>
    <row r="400">
      <c r="A400" s="26" t="n"/>
      <c r="B400" s="169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>
        <f>AG400</f>
        <v/>
      </c>
      <c r="T400" s="26">
        <f>AI400+Q400+P400</f>
        <v/>
      </c>
      <c r="U400" s="26" t="n"/>
      <c r="V400" s="26" t="n"/>
      <c r="W400" s="169" t="n"/>
      <c r="X400" s="26" t="n"/>
      <c r="Y400" s="26" t="n"/>
      <c r="Z400" s="26" t="n"/>
      <c r="AA400" s="26" t="n"/>
      <c r="AD400" s="0">
        <f>SUM(Y400,AA400,AC400)</f>
        <v/>
      </c>
      <c r="AE400" s="0">
        <f>X400*Y400+Z400*AA400+AB400*AC400</f>
        <v/>
      </c>
      <c r="AF400" s="0">
        <f>TEXTJOIN(", ",TRUE,IF(AND(X400&gt;0,Y400&gt;0),TEXT(X400,"0.00")&amp;"ct x "&amp;Y400,""),IF(AND(Z400&gt;0,AA400&gt;0),TEXT(Z400,"0.00")&amp;"ct x "&amp;AA400,""),IF(AND(AB400&gt;0,AC400&gt;0),TEXT(AB400,"0.00")&amp;"ct x "&amp;AC400,""))</f>
        <v/>
      </c>
      <c r="AG400" s="0">
        <f>X400*Y400*SUMIFS($AM$2:$AM$11,$AK$2:$AK$11,"&lt;="&amp;X400,$AL$2:$AL$11,"&gt;="&amp;X400)+Z400*AA400*SUMIFS($AM$2:$AM$11,$AK$2:$AK$11,"&lt;="&amp;Z400,$AL$2:$AL$11,"&gt;="&amp;Z400)+AB400*AC400*SUMIFS($AM$2:$AM$11,$AK$2:$AK$11,"&lt;="&amp;AB400,$AL$2:$AL$11,"&gt;="&amp;AB400)</f>
        <v/>
      </c>
      <c r="AH400" s="0">
        <f>AG400*(1-40%)</f>
        <v/>
      </c>
      <c r="AI400" s="0">
        <f>AH400*1.2</f>
        <v/>
      </c>
    </row>
    <row r="401">
      <c r="A401" s="26" t="n"/>
      <c r="B401" s="169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>
        <f>AG401</f>
        <v/>
      </c>
      <c r="T401" s="26">
        <f>AI401+Q401+P401</f>
        <v/>
      </c>
      <c r="U401" s="26" t="n"/>
      <c r="V401" s="26" t="n"/>
      <c r="W401" s="169" t="n"/>
      <c r="X401" s="26" t="n"/>
      <c r="Y401" s="26" t="n"/>
      <c r="Z401" s="26" t="n"/>
      <c r="AA401" s="26" t="n"/>
      <c r="AD401" s="0">
        <f>SUM(Y401,AA401,AC401)</f>
        <v/>
      </c>
      <c r="AE401" s="0">
        <f>X401*Y401+Z401*AA401+AB401*AC401</f>
        <v/>
      </c>
      <c r="AF401" s="0">
        <f>TEXTJOIN(", ",TRUE,IF(AND(X401&gt;0,Y401&gt;0),TEXT(X401,"0.00")&amp;"ct x "&amp;Y401,""),IF(AND(Z401&gt;0,AA401&gt;0),TEXT(Z401,"0.00")&amp;"ct x "&amp;AA401,""),IF(AND(AB401&gt;0,AC401&gt;0),TEXT(AB401,"0.00")&amp;"ct x "&amp;AC401,""))</f>
        <v/>
      </c>
      <c r="AG401" s="0">
        <f>X401*Y401*SUMIFS($AM$2:$AM$11,$AK$2:$AK$11,"&lt;="&amp;X401,$AL$2:$AL$11,"&gt;="&amp;X401)+Z401*AA401*SUMIFS($AM$2:$AM$11,$AK$2:$AK$11,"&lt;="&amp;Z401,$AL$2:$AL$11,"&gt;="&amp;Z401)+AB401*AC401*SUMIFS($AM$2:$AM$11,$AK$2:$AK$11,"&lt;="&amp;AB401,$AL$2:$AL$11,"&gt;="&amp;AB401)</f>
        <v/>
      </c>
      <c r="AH401" s="0">
        <f>AG401*(1-40%)</f>
        <v/>
      </c>
      <c r="AI401" s="0">
        <f>AH401*1.2</f>
        <v/>
      </c>
    </row>
    <row r="402">
      <c r="A402" s="26" t="n"/>
      <c r="B402" s="169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>
        <f>AG402</f>
        <v/>
      </c>
      <c r="T402" s="26">
        <f>AI402+Q402+P402</f>
        <v/>
      </c>
      <c r="U402" s="26" t="n"/>
      <c r="V402" s="26" t="n"/>
      <c r="W402" s="169" t="n"/>
      <c r="X402" s="26" t="n"/>
      <c r="Y402" s="26" t="n"/>
      <c r="Z402" s="26" t="n"/>
      <c r="AA402" s="26" t="n"/>
      <c r="AD402" s="0">
        <f>SUM(Y402,AA402,AC402)</f>
        <v/>
      </c>
      <c r="AE402" s="0">
        <f>X402*Y402+Z402*AA402+AB402*AC402</f>
        <v/>
      </c>
      <c r="AF402" s="0">
        <f>TEXTJOIN(", ",TRUE,IF(AND(X402&gt;0,Y402&gt;0),TEXT(X402,"0.00")&amp;"ct x "&amp;Y402,""),IF(AND(Z402&gt;0,AA402&gt;0),TEXT(Z402,"0.00")&amp;"ct x "&amp;AA402,""),IF(AND(AB402&gt;0,AC402&gt;0),TEXT(AB402,"0.00")&amp;"ct x "&amp;AC402,""))</f>
        <v/>
      </c>
      <c r="AG402" s="0">
        <f>X402*Y402*SUMIFS($AM$2:$AM$11,$AK$2:$AK$11,"&lt;="&amp;X402,$AL$2:$AL$11,"&gt;="&amp;X402)+Z402*AA402*SUMIFS($AM$2:$AM$11,$AK$2:$AK$11,"&lt;="&amp;Z402,$AL$2:$AL$11,"&gt;="&amp;Z402)+AB402*AC402*SUMIFS($AM$2:$AM$11,$AK$2:$AK$11,"&lt;="&amp;AB402,$AL$2:$AL$11,"&gt;="&amp;AB402)</f>
        <v/>
      </c>
      <c r="AH402" s="0">
        <f>AG402*(1-40%)</f>
        <v/>
      </c>
      <c r="AI402" s="0">
        <f>AH402*1.2</f>
        <v/>
      </c>
    </row>
    <row r="403">
      <c r="A403" s="26" t="n"/>
      <c r="B403" s="169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>
        <f>AG403</f>
        <v/>
      </c>
      <c r="T403" s="26">
        <f>AI403+Q403+P403</f>
        <v/>
      </c>
      <c r="U403" s="26" t="n"/>
      <c r="V403" s="26" t="n"/>
      <c r="W403" s="169" t="n"/>
      <c r="X403" s="26" t="n"/>
      <c r="Y403" s="26" t="n"/>
      <c r="Z403" s="26" t="n"/>
      <c r="AA403" s="26" t="n"/>
      <c r="AD403" s="0">
        <f>SUM(Y403,AA403,AC403)</f>
        <v/>
      </c>
      <c r="AE403" s="0">
        <f>X403*Y403+Z403*AA403+AB403*AC403</f>
        <v/>
      </c>
      <c r="AF403" s="0">
        <f>TEXTJOIN(", ",TRUE,IF(AND(X403&gt;0,Y403&gt;0),TEXT(X403,"0.00")&amp;"ct x "&amp;Y403,""),IF(AND(Z403&gt;0,AA403&gt;0),TEXT(Z403,"0.00")&amp;"ct x "&amp;AA403,""),IF(AND(AB403&gt;0,AC403&gt;0),TEXT(AB403,"0.00")&amp;"ct x "&amp;AC403,""))</f>
        <v/>
      </c>
      <c r="AG403" s="0">
        <f>X403*Y403*SUMIFS($AM$2:$AM$11,$AK$2:$AK$11,"&lt;="&amp;X403,$AL$2:$AL$11,"&gt;="&amp;X403)+Z403*AA403*SUMIFS($AM$2:$AM$11,$AK$2:$AK$11,"&lt;="&amp;Z403,$AL$2:$AL$11,"&gt;="&amp;Z403)+AB403*AC403*SUMIFS($AM$2:$AM$11,$AK$2:$AK$11,"&lt;="&amp;AB403,$AL$2:$AL$11,"&gt;="&amp;AB403)</f>
        <v/>
      </c>
      <c r="AH403" s="0">
        <f>AG403*(1-40%)</f>
        <v/>
      </c>
      <c r="AI403" s="0">
        <f>AH403*1.2</f>
        <v/>
      </c>
    </row>
    <row r="404">
      <c r="A404" s="26" t="n"/>
      <c r="B404" s="169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>
        <f>AG404</f>
        <v/>
      </c>
      <c r="T404" s="26">
        <f>AI404+Q404+P404</f>
        <v/>
      </c>
      <c r="U404" s="26" t="n"/>
      <c r="V404" s="26" t="n"/>
      <c r="W404" s="169" t="n"/>
      <c r="X404" s="26" t="n"/>
      <c r="Y404" s="26" t="n"/>
      <c r="Z404" s="26" t="n"/>
      <c r="AA404" s="26" t="n"/>
      <c r="AD404" s="0">
        <f>SUM(Y404,AA404,AC404)</f>
        <v/>
      </c>
      <c r="AE404" s="0">
        <f>X404*Y404+Z404*AA404+AB404*AC404</f>
        <v/>
      </c>
      <c r="AF404" s="0">
        <f>TEXTJOIN(", ",TRUE,IF(AND(X404&gt;0,Y404&gt;0),TEXT(X404,"0.00")&amp;"ct x "&amp;Y404,""),IF(AND(Z404&gt;0,AA404&gt;0),TEXT(Z404,"0.00")&amp;"ct x "&amp;AA404,""),IF(AND(AB404&gt;0,AC404&gt;0),TEXT(AB404,"0.00")&amp;"ct x "&amp;AC404,""))</f>
        <v/>
      </c>
      <c r="AG404" s="0">
        <f>X404*Y404*SUMIFS($AM$2:$AM$11,$AK$2:$AK$11,"&lt;="&amp;X404,$AL$2:$AL$11,"&gt;="&amp;X404)+Z404*AA404*SUMIFS($AM$2:$AM$11,$AK$2:$AK$11,"&lt;="&amp;Z404,$AL$2:$AL$11,"&gt;="&amp;Z404)+AB404*AC404*SUMIFS($AM$2:$AM$11,$AK$2:$AK$11,"&lt;="&amp;AB404,$AL$2:$AL$11,"&gt;="&amp;AB404)</f>
        <v/>
      </c>
      <c r="AH404" s="0">
        <f>AG404*(1-40%)</f>
        <v/>
      </c>
      <c r="AI404" s="0">
        <f>AH404*1.2</f>
        <v/>
      </c>
    </row>
    <row r="405">
      <c r="A405" s="26" t="n"/>
      <c r="B405" s="169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>
        <f>AG405</f>
        <v/>
      </c>
      <c r="T405" s="26">
        <f>AI405+Q405+P405</f>
        <v/>
      </c>
      <c r="U405" s="26" t="n"/>
      <c r="V405" s="26" t="n"/>
      <c r="W405" s="169" t="n"/>
      <c r="X405" s="26" t="n"/>
      <c r="Y405" s="26" t="n"/>
      <c r="Z405" s="26" t="n"/>
      <c r="AA405" s="26" t="n"/>
      <c r="AD405" s="0">
        <f>SUM(Y405,AA405,AC405)</f>
        <v/>
      </c>
      <c r="AE405" s="0">
        <f>X405*Y405+Z405*AA405+AB405*AC405</f>
        <v/>
      </c>
      <c r="AF405" s="0">
        <f>TEXTJOIN(", ",TRUE,IF(AND(X405&gt;0,Y405&gt;0),TEXT(X405,"0.00")&amp;"ct x "&amp;Y405,""),IF(AND(Z405&gt;0,AA405&gt;0),TEXT(Z405,"0.00")&amp;"ct x "&amp;AA405,""),IF(AND(AB405&gt;0,AC405&gt;0),TEXT(AB405,"0.00")&amp;"ct x "&amp;AC405,""))</f>
        <v/>
      </c>
      <c r="AG405" s="0">
        <f>X405*Y405*SUMIFS($AM$2:$AM$11,$AK$2:$AK$11,"&lt;="&amp;X405,$AL$2:$AL$11,"&gt;="&amp;X405)+Z405*AA405*SUMIFS($AM$2:$AM$11,$AK$2:$AK$11,"&lt;="&amp;Z405,$AL$2:$AL$11,"&gt;="&amp;Z405)+AB405*AC405*SUMIFS($AM$2:$AM$11,$AK$2:$AK$11,"&lt;="&amp;AB405,$AL$2:$AL$11,"&gt;="&amp;AB405)</f>
        <v/>
      </c>
      <c r="AH405" s="0">
        <f>AG405*(1-40%)</f>
        <v/>
      </c>
      <c r="AI405" s="0">
        <f>AH405*1.2</f>
        <v/>
      </c>
    </row>
    <row r="406">
      <c r="A406" s="26" t="n"/>
      <c r="B406" s="169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>
        <f>AG406</f>
        <v/>
      </c>
      <c r="T406" s="26">
        <f>AI406+Q406+P406</f>
        <v/>
      </c>
      <c r="U406" s="26" t="n"/>
      <c r="V406" s="26" t="n"/>
      <c r="W406" s="169" t="n"/>
      <c r="X406" s="26" t="n"/>
      <c r="Y406" s="26" t="n"/>
      <c r="Z406" s="26" t="n"/>
      <c r="AA406" s="26" t="n"/>
      <c r="AD406" s="0">
        <f>SUM(Y406,AA406,AC406)</f>
        <v/>
      </c>
      <c r="AE406" s="0">
        <f>X406*Y406+Z406*AA406+AB406*AC406</f>
        <v/>
      </c>
      <c r="AF406" s="0">
        <f>TEXTJOIN(", ",TRUE,IF(AND(X406&gt;0,Y406&gt;0),TEXT(X406,"0.00")&amp;"ct x "&amp;Y406,""),IF(AND(Z406&gt;0,AA406&gt;0),TEXT(Z406,"0.00")&amp;"ct x "&amp;AA406,""),IF(AND(AB406&gt;0,AC406&gt;0),TEXT(AB406,"0.00")&amp;"ct x "&amp;AC406,""))</f>
        <v/>
      </c>
      <c r="AG406" s="0">
        <f>X406*Y406*SUMIFS($AM$2:$AM$11,$AK$2:$AK$11,"&lt;="&amp;X406,$AL$2:$AL$11,"&gt;="&amp;X406)+Z406*AA406*SUMIFS($AM$2:$AM$11,$AK$2:$AK$11,"&lt;="&amp;Z406,$AL$2:$AL$11,"&gt;="&amp;Z406)+AB406*AC406*SUMIFS($AM$2:$AM$11,$AK$2:$AK$11,"&lt;="&amp;AB406,$AL$2:$AL$11,"&gt;="&amp;AB406)</f>
        <v/>
      </c>
      <c r="AH406" s="0">
        <f>AG406*(1-40%)</f>
        <v/>
      </c>
      <c r="AI406" s="0">
        <f>AH406*1.2</f>
        <v/>
      </c>
    </row>
    <row r="407">
      <c r="A407" s="26" t="n"/>
      <c r="B407" s="169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>
        <f>AG407</f>
        <v/>
      </c>
      <c r="T407" s="26">
        <f>AI407+Q407+P407</f>
        <v/>
      </c>
      <c r="U407" s="26" t="n"/>
      <c r="V407" s="26" t="n"/>
      <c r="W407" s="169" t="n"/>
      <c r="X407" s="26" t="n"/>
      <c r="Y407" s="26" t="n"/>
      <c r="Z407" s="26" t="n"/>
      <c r="AA407" s="26" t="n"/>
      <c r="AD407" s="0">
        <f>SUM(Y407,AA407,AC407)</f>
        <v/>
      </c>
      <c r="AE407" s="0">
        <f>X407*Y407+Z407*AA407+AB407*AC407</f>
        <v/>
      </c>
      <c r="AF407" s="0">
        <f>TEXTJOIN(", ",TRUE,IF(AND(X407&gt;0,Y407&gt;0),TEXT(X407,"0.00")&amp;"ct x "&amp;Y407,""),IF(AND(Z407&gt;0,AA407&gt;0),TEXT(Z407,"0.00")&amp;"ct x "&amp;AA407,""),IF(AND(AB407&gt;0,AC407&gt;0),TEXT(AB407,"0.00")&amp;"ct x "&amp;AC407,""))</f>
        <v/>
      </c>
      <c r="AG407" s="0">
        <f>X407*Y407*SUMIFS($AM$2:$AM$11,$AK$2:$AK$11,"&lt;="&amp;X407,$AL$2:$AL$11,"&gt;="&amp;X407)+Z407*AA407*SUMIFS($AM$2:$AM$11,$AK$2:$AK$11,"&lt;="&amp;Z407,$AL$2:$AL$11,"&gt;="&amp;Z407)+AB407*AC407*SUMIFS($AM$2:$AM$11,$AK$2:$AK$11,"&lt;="&amp;AB407,$AL$2:$AL$11,"&gt;="&amp;AB407)</f>
        <v/>
      </c>
      <c r="AH407" s="0">
        <f>AG407*(1-40%)</f>
        <v/>
      </c>
      <c r="AI407" s="0">
        <f>AH407*1.2</f>
        <v/>
      </c>
    </row>
    <row r="408">
      <c r="A408" s="26" t="n"/>
      <c r="B408" s="169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>
        <f>AG408</f>
        <v/>
      </c>
      <c r="T408" s="26">
        <f>AI408+Q408+P408</f>
        <v/>
      </c>
      <c r="U408" s="26" t="n"/>
      <c r="V408" s="26" t="n"/>
      <c r="W408" s="169" t="n"/>
      <c r="X408" s="26" t="n"/>
      <c r="Y408" s="26" t="n"/>
      <c r="Z408" s="26" t="n"/>
      <c r="AA408" s="26" t="n"/>
      <c r="AD408" s="0">
        <f>SUM(Y408,AA408,AC408)</f>
        <v/>
      </c>
      <c r="AE408" s="0">
        <f>X408*Y408+Z408*AA408+AB408*AC408</f>
        <v/>
      </c>
      <c r="AF408" s="0">
        <f>TEXTJOIN(", ",TRUE,IF(AND(X408&gt;0,Y408&gt;0),TEXT(X408,"0.00")&amp;"ct x "&amp;Y408,""),IF(AND(Z408&gt;0,AA408&gt;0),TEXT(Z408,"0.00")&amp;"ct x "&amp;AA408,""),IF(AND(AB408&gt;0,AC408&gt;0),TEXT(AB408,"0.00")&amp;"ct x "&amp;AC408,""))</f>
        <v/>
      </c>
      <c r="AG408" s="0">
        <f>X408*Y408*SUMIFS($AM$2:$AM$11,$AK$2:$AK$11,"&lt;="&amp;X408,$AL$2:$AL$11,"&gt;="&amp;X408)+Z408*AA408*SUMIFS($AM$2:$AM$11,$AK$2:$AK$11,"&lt;="&amp;Z408,$AL$2:$AL$11,"&gt;="&amp;Z408)+AB408*AC408*SUMIFS($AM$2:$AM$11,$AK$2:$AK$11,"&lt;="&amp;AB408,$AL$2:$AL$11,"&gt;="&amp;AB408)</f>
        <v/>
      </c>
      <c r="AH408" s="0">
        <f>AG408*(1-40%)</f>
        <v/>
      </c>
      <c r="AI408" s="0">
        <f>AH408*1.2</f>
        <v/>
      </c>
    </row>
    <row r="409">
      <c r="A409" s="26" t="n"/>
      <c r="B409" s="169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>
        <f>AG409</f>
        <v/>
      </c>
      <c r="T409" s="26">
        <f>AI409+Q409+P409</f>
        <v/>
      </c>
      <c r="U409" s="26" t="n"/>
      <c r="V409" s="26" t="n"/>
      <c r="W409" s="169" t="n"/>
      <c r="X409" s="26" t="n"/>
      <c r="Y409" s="26" t="n"/>
      <c r="Z409" s="26" t="n"/>
      <c r="AA409" s="26" t="n"/>
      <c r="AD409" s="0">
        <f>SUM(Y409,AA409,AC409)</f>
        <v/>
      </c>
      <c r="AE409" s="0">
        <f>X409*Y409+Z409*AA409+AB409*AC409</f>
        <v/>
      </c>
      <c r="AF409" s="0">
        <f>TEXTJOIN(", ",TRUE,IF(AND(X409&gt;0,Y409&gt;0),TEXT(X409,"0.00")&amp;"ct x "&amp;Y409,""),IF(AND(Z409&gt;0,AA409&gt;0),TEXT(Z409,"0.00")&amp;"ct x "&amp;AA409,""),IF(AND(AB409&gt;0,AC409&gt;0),TEXT(AB409,"0.00")&amp;"ct x "&amp;AC409,""))</f>
        <v/>
      </c>
      <c r="AG409" s="0">
        <f>X409*Y409*SUMIFS($AM$2:$AM$11,$AK$2:$AK$11,"&lt;="&amp;X409,$AL$2:$AL$11,"&gt;="&amp;X409)+Z409*AA409*SUMIFS($AM$2:$AM$11,$AK$2:$AK$11,"&lt;="&amp;Z409,$AL$2:$AL$11,"&gt;="&amp;Z409)+AB409*AC409*SUMIFS($AM$2:$AM$11,$AK$2:$AK$11,"&lt;="&amp;AB409,$AL$2:$AL$11,"&gt;="&amp;AB409)</f>
        <v/>
      </c>
      <c r="AH409" s="0">
        <f>AG409*(1-40%)</f>
        <v/>
      </c>
      <c r="AI409" s="0">
        <f>AH409*1.2</f>
        <v/>
      </c>
    </row>
    <row r="410">
      <c r="A410" s="26" t="n"/>
      <c r="B410" s="169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>
        <f>AG410</f>
        <v/>
      </c>
      <c r="T410" s="26">
        <f>AI410+Q410+P410</f>
        <v/>
      </c>
      <c r="U410" s="26" t="n"/>
      <c r="V410" s="26" t="n"/>
      <c r="W410" s="169" t="n"/>
      <c r="X410" s="26" t="n"/>
      <c r="Y410" s="26" t="n"/>
      <c r="Z410" s="26" t="n"/>
      <c r="AA410" s="26" t="n"/>
      <c r="AD410" s="0">
        <f>SUM(Y410,AA410,AC410)</f>
        <v/>
      </c>
      <c r="AE410" s="0">
        <f>X410*Y410+Z410*AA410+AB410*AC410</f>
        <v/>
      </c>
      <c r="AF410" s="0">
        <f>TEXTJOIN(", ",TRUE,IF(AND(X410&gt;0,Y410&gt;0),TEXT(X410,"0.00")&amp;"ct x "&amp;Y410,""),IF(AND(Z410&gt;0,AA410&gt;0),TEXT(Z410,"0.00")&amp;"ct x "&amp;AA410,""),IF(AND(AB410&gt;0,AC410&gt;0),TEXT(AB410,"0.00")&amp;"ct x "&amp;AC410,""))</f>
        <v/>
      </c>
      <c r="AG410" s="0">
        <f>X410*Y410*SUMIFS($AM$2:$AM$11,$AK$2:$AK$11,"&lt;="&amp;X410,$AL$2:$AL$11,"&gt;="&amp;X410)+Z410*AA410*SUMIFS($AM$2:$AM$11,$AK$2:$AK$11,"&lt;="&amp;Z410,$AL$2:$AL$11,"&gt;="&amp;Z410)+AB410*AC410*SUMIFS($AM$2:$AM$11,$AK$2:$AK$11,"&lt;="&amp;AB410,$AL$2:$AL$11,"&gt;="&amp;AB410)</f>
        <v/>
      </c>
      <c r="AH410" s="0">
        <f>AG410*(1-40%)</f>
        <v/>
      </c>
      <c r="AI410" s="0">
        <f>AH410*1.2</f>
        <v/>
      </c>
    </row>
    <row r="411">
      <c r="A411" s="26" t="n"/>
      <c r="B411" s="169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>
        <f>AG411</f>
        <v/>
      </c>
      <c r="T411" s="26">
        <f>AI411+Q411+P411</f>
        <v/>
      </c>
      <c r="U411" s="26" t="n"/>
      <c r="V411" s="26" t="n"/>
      <c r="W411" s="169" t="n"/>
      <c r="X411" s="26" t="n"/>
      <c r="Y411" s="26" t="n"/>
      <c r="Z411" s="26" t="n"/>
      <c r="AA411" s="26" t="n"/>
      <c r="AD411" s="0">
        <f>SUM(Y411,AA411,AC411)</f>
        <v/>
      </c>
      <c r="AE411" s="0">
        <f>X411*Y411+Z411*AA411+AB411*AC411</f>
        <v/>
      </c>
      <c r="AF411" s="0">
        <f>TEXTJOIN(", ",TRUE,IF(AND(X411&gt;0,Y411&gt;0),TEXT(X411,"0.00")&amp;"ct x "&amp;Y411,""),IF(AND(Z411&gt;0,AA411&gt;0),TEXT(Z411,"0.00")&amp;"ct x "&amp;AA411,""),IF(AND(AB411&gt;0,AC411&gt;0),TEXT(AB411,"0.00")&amp;"ct x "&amp;AC411,""))</f>
        <v/>
      </c>
      <c r="AG411" s="0">
        <f>X411*Y411*SUMIFS($AM$2:$AM$11,$AK$2:$AK$11,"&lt;="&amp;X411,$AL$2:$AL$11,"&gt;="&amp;X411)+Z411*AA411*SUMIFS($AM$2:$AM$11,$AK$2:$AK$11,"&lt;="&amp;Z411,$AL$2:$AL$11,"&gt;="&amp;Z411)+AB411*AC411*SUMIFS($AM$2:$AM$11,$AK$2:$AK$11,"&lt;="&amp;AB411,$AL$2:$AL$11,"&gt;="&amp;AB411)</f>
        <v/>
      </c>
      <c r="AH411" s="0">
        <f>AG411*(1-40%)</f>
        <v/>
      </c>
      <c r="AI411" s="0">
        <f>AH411*1.2</f>
        <v/>
      </c>
    </row>
    <row r="412">
      <c r="A412" s="26" t="n"/>
      <c r="B412" s="169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>
        <f>AG412</f>
        <v/>
      </c>
      <c r="T412" s="26">
        <f>AI412+Q412+P412</f>
        <v/>
      </c>
      <c r="U412" s="26" t="n"/>
      <c r="V412" s="26" t="n"/>
      <c r="W412" s="169" t="n"/>
      <c r="X412" s="26" t="n"/>
      <c r="Y412" s="26" t="n"/>
      <c r="Z412" s="26" t="n"/>
      <c r="AA412" s="26" t="n"/>
      <c r="AD412" s="0">
        <f>SUM(Y412,AA412,AC412)</f>
        <v/>
      </c>
      <c r="AE412" s="0">
        <f>X412*Y412+Z412*AA412+AB412*AC412</f>
        <v/>
      </c>
      <c r="AF412" s="0">
        <f>TEXTJOIN(", ",TRUE,IF(AND(X412&gt;0,Y412&gt;0),TEXT(X412,"0.00")&amp;"ct x "&amp;Y412,""),IF(AND(Z412&gt;0,AA412&gt;0),TEXT(Z412,"0.00")&amp;"ct x "&amp;AA412,""),IF(AND(AB412&gt;0,AC412&gt;0),TEXT(AB412,"0.00")&amp;"ct x "&amp;AC412,""))</f>
        <v/>
      </c>
      <c r="AG412" s="0">
        <f>X412*Y412*SUMIFS($AM$2:$AM$11,$AK$2:$AK$11,"&lt;="&amp;X412,$AL$2:$AL$11,"&gt;="&amp;X412)+Z412*AA412*SUMIFS($AM$2:$AM$11,$AK$2:$AK$11,"&lt;="&amp;Z412,$AL$2:$AL$11,"&gt;="&amp;Z412)+AB412*AC412*SUMIFS($AM$2:$AM$11,$AK$2:$AK$11,"&lt;="&amp;AB412,$AL$2:$AL$11,"&gt;="&amp;AB412)</f>
        <v/>
      </c>
      <c r="AH412" s="0">
        <f>AG412*(1-40%)</f>
        <v/>
      </c>
      <c r="AI412" s="0">
        <f>AH412*1.2</f>
        <v/>
      </c>
    </row>
    <row r="413">
      <c r="A413" s="26" t="n"/>
      <c r="B413" s="169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>
        <f>AG413</f>
        <v/>
      </c>
      <c r="T413" s="26">
        <f>AI413+Q413+P413</f>
        <v/>
      </c>
      <c r="U413" s="26" t="n"/>
      <c r="V413" s="26" t="n"/>
      <c r="W413" s="169" t="n"/>
      <c r="X413" s="26" t="n"/>
      <c r="Y413" s="26" t="n"/>
      <c r="Z413" s="26" t="n"/>
      <c r="AA413" s="26" t="n"/>
      <c r="AD413" s="0">
        <f>SUM(Y413,AA413,AC413)</f>
        <v/>
      </c>
      <c r="AE413" s="0">
        <f>X413*Y413+Z413*AA413+AB413*AC413</f>
        <v/>
      </c>
      <c r="AF413" s="0">
        <f>TEXTJOIN(", ",TRUE,IF(AND(X413&gt;0,Y413&gt;0),TEXT(X413,"0.00")&amp;"ct x "&amp;Y413,""),IF(AND(Z413&gt;0,AA413&gt;0),TEXT(Z413,"0.00")&amp;"ct x "&amp;AA413,""),IF(AND(AB413&gt;0,AC413&gt;0),TEXT(AB413,"0.00")&amp;"ct x "&amp;AC413,""))</f>
        <v/>
      </c>
      <c r="AG413" s="0">
        <f>X413*Y413*SUMIFS($AM$2:$AM$11,$AK$2:$AK$11,"&lt;="&amp;X413,$AL$2:$AL$11,"&gt;="&amp;X413)+Z413*AA413*SUMIFS($AM$2:$AM$11,$AK$2:$AK$11,"&lt;="&amp;Z413,$AL$2:$AL$11,"&gt;="&amp;Z413)+AB413*AC413*SUMIFS($AM$2:$AM$11,$AK$2:$AK$11,"&lt;="&amp;AB413,$AL$2:$AL$11,"&gt;="&amp;AB413)</f>
        <v/>
      </c>
      <c r="AH413" s="0">
        <f>AG413*(1-40%)</f>
        <v/>
      </c>
      <c r="AI413" s="0">
        <f>AH413*1.2</f>
        <v/>
      </c>
    </row>
    <row r="414">
      <c r="A414" s="26" t="n"/>
      <c r="B414" s="169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>
        <f>AG414</f>
        <v/>
      </c>
      <c r="T414" s="26">
        <f>AI414+Q414+P414</f>
        <v/>
      </c>
      <c r="U414" s="26" t="n"/>
      <c r="V414" s="26" t="n"/>
      <c r="W414" s="169" t="n"/>
      <c r="X414" s="26" t="n"/>
      <c r="Y414" s="26" t="n"/>
      <c r="Z414" s="26" t="n"/>
      <c r="AA414" s="26" t="n"/>
      <c r="AD414" s="0">
        <f>SUM(Y414,AA414,AC414)</f>
        <v/>
      </c>
      <c r="AE414" s="0">
        <f>X414*Y414+Z414*AA414+AB414*AC414</f>
        <v/>
      </c>
      <c r="AF414" s="0">
        <f>TEXTJOIN(", ",TRUE,IF(AND(X414&gt;0,Y414&gt;0),TEXT(X414,"0.00")&amp;"ct x "&amp;Y414,""),IF(AND(Z414&gt;0,AA414&gt;0),TEXT(Z414,"0.00")&amp;"ct x "&amp;AA414,""),IF(AND(AB414&gt;0,AC414&gt;0),TEXT(AB414,"0.00")&amp;"ct x "&amp;AC414,""))</f>
        <v/>
      </c>
      <c r="AG414" s="0">
        <f>X414*Y414*SUMIFS($AM$2:$AM$11,$AK$2:$AK$11,"&lt;="&amp;X414,$AL$2:$AL$11,"&gt;="&amp;X414)+Z414*AA414*SUMIFS($AM$2:$AM$11,$AK$2:$AK$11,"&lt;="&amp;Z414,$AL$2:$AL$11,"&gt;="&amp;Z414)+AB414*AC414*SUMIFS($AM$2:$AM$11,$AK$2:$AK$11,"&lt;="&amp;AB414,$AL$2:$AL$11,"&gt;="&amp;AB414)</f>
        <v/>
      </c>
      <c r="AH414" s="0">
        <f>AG414*(1-40%)</f>
        <v/>
      </c>
      <c r="AI414" s="0">
        <f>AH414*1.2</f>
        <v/>
      </c>
    </row>
    <row r="415">
      <c r="A415" s="26" t="n"/>
      <c r="B415" s="169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>
        <f>AG415</f>
        <v/>
      </c>
      <c r="T415" s="26">
        <f>AI415+Q415+P415</f>
        <v/>
      </c>
      <c r="U415" s="26" t="n"/>
      <c r="V415" s="26" t="n"/>
      <c r="W415" s="169" t="n"/>
      <c r="X415" s="26" t="n"/>
      <c r="Y415" s="26" t="n"/>
      <c r="Z415" s="26" t="n"/>
      <c r="AA415" s="26" t="n"/>
      <c r="AD415" s="0">
        <f>SUM(Y415,AA415,AC415)</f>
        <v/>
      </c>
      <c r="AE415" s="0">
        <f>X415*Y415+Z415*AA415+AB415*AC415</f>
        <v/>
      </c>
      <c r="AF415" s="0">
        <f>TEXTJOIN(", ",TRUE,IF(AND(X415&gt;0,Y415&gt;0),TEXT(X415,"0.00")&amp;"ct x "&amp;Y415,""),IF(AND(Z415&gt;0,AA415&gt;0),TEXT(Z415,"0.00")&amp;"ct x "&amp;AA415,""),IF(AND(AB415&gt;0,AC415&gt;0),TEXT(AB415,"0.00")&amp;"ct x "&amp;AC415,""))</f>
        <v/>
      </c>
      <c r="AG415" s="0">
        <f>X415*Y415*SUMIFS($AM$2:$AM$11,$AK$2:$AK$11,"&lt;="&amp;X415,$AL$2:$AL$11,"&gt;="&amp;X415)+Z415*AA415*SUMIFS($AM$2:$AM$11,$AK$2:$AK$11,"&lt;="&amp;Z415,$AL$2:$AL$11,"&gt;="&amp;Z415)+AB415*AC415*SUMIFS($AM$2:$AM$11,$AK$2:$AK$11,"&lt;="&amp;AB415,$AL$2:$AL$11,"&gt;="&amp;AB415)</f>
        <v/>
      </c>
      <c r="AH415" s="0">
        <f>AG415*(1-40%)</f>
        <v/>
      </c>
      <c r="AI415" s="0">
        <f>AH415*1.2</f>
        <v/>
      </c>
    </row>
    <row r="416">
      <c r="A416" s="26" t="n"/>
      <c r="B416" s="169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>
        <f>AG416</f>
        <v/>
      </c>
      <c r="T416" s="26">
        <f>AI416+Q416+P416</f>
        <v/>
      </c>
      <c r="U416" s="26" t="n"/>
      <c r="V416" s="26" t="n"/>
      <c r="W416" s="169" t="n"/>
      <c r="X416" s="26" t="n"/>
      <c r="Y416" s="26" t="n"/>
      <c r="Z416" s="26" t="n"/>
      <c r="AA416" s="26" t="n"/>
      <c r="AD416" s="0">
        <f>SUM(Y416,AA416,AC416)</f>
        <v/>
      </c>
      <c r="AE416" s="0">
        <f>X416*Y416+Z416*AA416+AB416*AC416</f>
        <v/>
      </c>
      <c r="AF416" s="0">
        <f>TEXTJOIN(", ",TRUE,IF(AND(X416&gt;0,Y416&gt;0),TEXT(X416,"0.00")&amp;"ct x "&amp;Y416,""),IF(AND(Z416&gt;0,AA416&gt;0),TEXT(Z416,"0.00")&amp;"ct x "&amp;AA416,""),IF(AND(AB416&gt;0,AC416&gt;0),TEXT(AB416,"0.00")&amp;"ct x "&amp;AC416,""))</f>
        <v/>
      </c>
      <c r="AG416" s="0">
        <f>X416*Y416*SUMIFS($AM$2:$AM$11,$AK$2:$AK$11,"&lt;="&amp;X416,$AL$2:$AL$11,"&gt;="&amp;X416)+Z416*AA416*SUMIFS($AM$2:$AM$11,$AK$2:$AK$11,"&lt;="&amp;Z416,$AL$2:$AL$11,"&gt;="&amp;Z416)+AB416*AC416*SUMIFS($AM$2:$AM$11,$AK$2:$AK$11,"&lt;="&amp;AB416,$AL$2:$AL$11,"&gt;="&amp;AB416)</f>
        <v/>
      </c>
      <c r="AH416" s="0">
        <f>AG416*(1-40%)</f>
        <v/>
      </c>
      <c r="AI416" s="0">
        <f>AH416*1.2</f>
        <v/>
      </c>
    </row>
    <row r="417">
      <c r="A417" s="26" t="n"/>
      <c r="B417" s="169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>
        <f>AG417</f>
        <v/>
      </c>
      <c r="T417" s="26">
        <f>AI417+Q417+P417</f>
        <v/>
      </c>
      <c r="U417" s="26" t="n"/>
      <c r="V417" s="26" t="n"/>
      <c r="W417" s="169" t="n"/>
      <c r="X417" s="26" t="n"/>
      <c r="Y417" s="26" t="n"/>
      <c r="Z417" s="26" t="n"/>
      <c r="AA417" s="26" t="n"/>
      <c r="AD417" s="0">
        <f>SUM(Y417,AA417,AC417)</f>
        <v/>
      </c>
      <c r="AE417" s="0">
        <f>X417*Y417+Z417*AA417+AB417*AC417</f>
        <v/>
      </c>
      <c r="AF417" s="0">
        <f>TEXTJOIN(", ",TRUE,IF(AND(X417&gt;0,Y417&gt;0),TEXT(X417,"0.00")&amp;"ct x "&amp;Y417,""),IF(AND(Z417&gt;0,AA417&gt;0),TEXT(Z417,"0.00")&amp;"ct x "&amp;AA417,""),IF(AND(AB417&gt;0,AC417&gt;0),TEXT(AB417,"0.00")&amp;"ct x "&amp;AC417,""))</f>
        <v/>
      </c>
      <c r="AG417" s="0">
        <f>X417*Y417*SUMIFS($AM$2:$AM$11,$AK$2:$AK$11,"&lt;="&amp;X417,$AL$2:$AL$11,"&gt;="&amp;X417)+Z417*AA417*SUMIFS($AM$2:$AM$11,$AK$2:$AK$11,"&lt;="&amp;Z417,$AL$2:$AL$11,"&gt;="&amp;Z417)+AB417*AC417*SUMIFS($AM$2:$AM$11,$AK$2:$AK$11,"&lt;="&amp;AB417,$AL$2:$AL$11,"&gt;="&amp;AB417)</f>
        <v/>
      </c>
      <c r="AH417" s="0">
        <f>AG417*(1-40%)</f>
        <v/>
      </c>
      <c r="AI417" s="0">
        <f>AH417*1.2</f>
        <v/>
      </c>
    </row>
    <row r="418">
      <c r="A418" s="26" t="n"/>
      <c r="B418" s="169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>
        <f>AG418</f>
        <v/>
      </c>
      <c r="T418" s="26">
        <f>AI418+Q418+P418</f>
        <v/>
      </c>
      <c r="U418" s="26" t="n"/>
      <c r="V418" s="26" t="n"/>
      <c r="W418" s="169" t="n"/>
      <c r="X418" s="26" t="n"/>
      <c r="Y418" s="26" t="n"/>
      <c r="Z418" s="26" t="n"/>
      <c r="AA418" s="26" t="n"/>
      <c r="AD418" s="0">
        <f>SUM(Y418,AA418,AC418)</f>
        <v/>
      </c>
      <c r="AE418" s="0">
        <f>X418*Y418+Z418*AA418+AB418*AC418</f>
        <v/>
      </c>
      <c r="AF418" s="0">
        <f>TEXTJOIN(", ",TRUE,IF(AND(X418&gt;0,Y418&gt;0),TEXT(X418,"0.00")&amp;"ct x "&amp;Y418,""),IF(AND(Z418&gt;0,AA418&gt;0),TEXT(Z418,"0.00")&amp;"ct x "&amp;AA418,""),IF(AND(AB418&gt;0,AC418&gt;0),TEXT(AB418,"0.00")&amp;"ct x "&amp;AC418,""))</f>
        <v/>
      </c>
      <c r="AG418" s="0">
        <f>X418*Y418*SUMIFS($AM$2:$AM$11,$AK$2:$AK$11,"&lt;="&amp;X418,$AL$2:$AL$11,"&gt;="&amp;X418)+Z418*AA418*SUMIFS($AM$2:$AM$11,$AK$2:$AK$11,"&lt;="&amp;Z418,$AL$2:$AL$11,"&gt;="&amp;Z418)+AB418*AC418*SUMIFS($AM$2:$AM$11,$AK$2:$AK$11,"&lt;="&amp;AB418,$AL$2:$AL$11,"&gt;="&amp;AB418)</f>
        <v/>
      </c>
      <c r="AH418" s="0">
        <f>AG418*(1-40%)</f>
        <v/>
      </c>
      <c r="AI418" s="0">
        <f>AH418*1.2</f>
        <v/>
      </c>
    </row>
    <row r="419">
      <c r="A419" s="26" t="n"/>
      <c r="B419" s="169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>
        <f>AG419</f>
        <v/>
      </c>
      <c r="T419" s="26">
        <f>AI419+Q419+P419</f>
        <v/>
      </c>
      <c r="U419" s="26" t="n"/>
      <c r="V419" s="26" t="n"/>
      <c r="W419" s="169" t="n"/>
      <c r="X419" s="26" t="n"/>
      <c r="Y419" s="26" t="n"/>
      <c r="Z419" s="26" t="n"/>
      <c r="AA419" s="26" t="n"/>
      <c r="AD419" s="0">
        <f>SUM(Y419,AA419,AC419)</f>
        <v/>
      </c>
      <c r="AE419" s="0">
        <f>X419*Y419+Z419*AA419+AB419*AC419</f>
        <v/>
      </c>
      <c r="AF419" s="0">
        <f>TEXTJOIN(", ",TRUE,IF(AND(X419&gt;0,Y419&gt;0),TEXT(X419,"0.00")&amp;"ct x "&amp;Y419,""),IF(AND(Z419&gt;0,AA419&gt;0),TEXT(Z419,"0.00")&amp;"ct x "&amp;AA419,""),IF(AND(AB419&gt;0,AC419&gt;0),TEXT(AB419,"0.00")&amp;"ct x "&amp;AC419,""))</f>
        <v/>
      </c>
      <c r="AG419" s="0">
        <f>X419*Y419*SUMIFS($AM$2:$AM$11,$AK$2:$AK$11,"&lt;="&amp;X419,$AL$2:$AL$11,"&gt;="&amp;X419)+Z419*AA419*SUMIFS($AM$2:$AM$11,$AK$2:$AK$11,"&lt;="&amp;Z419,$AL$2:$AL$11,"&gt;="&amp;Z419)+AB419*AC419*SUMIFS($AM$2:$AM$11,$AK$2:$AK$11,"&lt;="&amp;AB419,$AL$2:$AL$11,"&gt;="&amp;AB419)</f>
        <v/>
      </c>
      <c r="AH419" s="0">
        <f>AG419*(1-40%)</f>
        <v/>
      </c>
      <c r="AI419" s="0">
        <f>AH419*1.2</f>
        <v/>
      </c>
    </row>
    <row r="420">
      <c r="A420" s="26" t="n"/>
      <c r="B420" s="169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>
        <f>AG420</f>
        <v/>
      </c>
      <c r="T420" s="26">
        <f>AI420+Q420+P420</f>
        <v/>
      </c>
      <c r="U420" s="26" t="n"/>
      <c r="V420" s="26" t="n"/>
      <c r="W420" s="169" t="n"/>
      <c r="X420" s="26" t="n"/>
      <c r="Y420" s="26" t="n"/>
      <c r="Z420" s="26" t="n"/>
      <c r="AA420" s="26" t="n"/>
      <c r="AD420" s="0">
        <f>SUM(Y420,AA420,AC420)</f>
        <v/>
      </c>
      <c r="AE420" s="0">
        <f>X420*Y420+Z420*AA420+AB420*AC420</f>
        <v/>
      </c>
      <c r="AF420" s="0">
        <f>TEXTJOIN(", ",TRUE,IF(AND(X420&gt;0,Y420&gt;0),TEXT(X420,"0.00")&amp;"ct x "&amp;Y420,""),IF(AND(Z420&gt;0,AA420&gt;0),TEXT(Z420,"0.00")&amp;"ct x "&amp;AA420,""),IF(AND(AB420&gt;0,AC420&gt;0),TEXT(AB420,"0.00")&amp;"ct x "&amp;AC420,""))</f>
        <v/>
      </c>
      <c r="AG420" s="0">
        <f>X420*Y420*SUMIFS($AM$2:$AM$11,$AK$2:$AK$11,"&lt;="&amp;X420,$AL$2:$AL$11,"&gt;="&amp;X420)+Z420*AA420*SUMIFS($AM$2:$AM$11,$AK$2:$AK$11,"&lt;="&amp;Z420,$AL$2:$AL$11,"&gt;="&amp;Z420)+AB420*AC420*SUMIFS($AM$2:$AM$11,$AK$2:$AK$11,"&lt;="&amp;AB420,$AL$2:$AL$11,"&gt;="&amp;AB420)</f>
        <v/>
      </c>
      <c r="AH420" s="0">
        <f>AG420*(1-40%)</f>
        <v/>
      </c>
      <c r="AI420" s="0">
        <f>AH420*1.2</f>
        <v/>
      </c>
    </row>
    <row r="421">
      <c r="A421" s="26" t="n"/>
      <c r="B421" s="169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>
        <f>AG421</f>
        <v/>
      </c>
      <c r="T421" s="26">
        <f>AI421+Q421+P421</f>
        <v/>
      </c>
      <c r="U421" s="26" t="n"/>
      <c r="V421" s="26" t="n"/>
      <c r="W421" s="169" t="n"/>
      <c r="X421" s="26" t="n"/>
      <c r="Y421" s="26" t="n"/>
      <c r="Z421" s="26" t="n"/>
      <c r="AA421" s="26" t="n"/>
      <c r="AD421" s="0">
        <f>SUM(Y421,AA421,AC421)</f>
        <v/>
      </c>
      <c r="AE421" s="0">
        <f>X421*Y421+Z421*AA421+AB421*AC421</f>
        <v/>
      </c>
      <c r="AF421" s="0">
        <f>TEXTJOIN(", ",TRUE,IF(AND(X421&gt;0,Y421&gt;0),TEXT(X421,"0.00")&amp;"ct x "&amp;Y421,""),IF(AND(Z421&gt;0,AA421&gt;0),TEXT(Z421,"0.00")&amp;"ct x "&amp;AA421,""),IF(AND(AB421&gt;0,AC421&gt;0),TEXT(AB421,"0.00")&amp;"ct x "&amp;AC421,""))</f>
        <v/>
      </c>
      <c r="AG421" s="0">
        <f>X421*Y421*SUMIFS($AM$2:$AM$11,$AK$2:$AK$11,"&lt;="&amp;X421,$AL$2:$AL$11,"&gt;="&amp;X421)+Z421*AA421*SUMIFS($AM$2:$AM$11,$AK$2:$AK$11,"&lt;="&amp;Z421,$AL$2:$AL$11,"&gt;="&amp;Z421)+AB421*AC421*SUMIFS($AM$2:$AM$11,$AK$2:$AK$11,"&lt;="&amp;AB421,$AL$2:$AL$11,"&gt;="&amp;AB421)</f>
        <v/>
      </c>
      <c r="AH421" s="0">
        <f>AG421*(1-40%)</f>
        <v/>
      </c>
      <c r="AI421" s="0">
        <f>AH421*1.2</f>
        <v/>
      </c>
    </row>
    <row r="422">
      <c r="A422" s="26" t="n"/>
      <c r="B422" s="169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>
        <f>AG422</f>
        <v/>
      </c>
      <c r="T422" s="26">
        <f>AI422+Q422+P422</f>
        <v/>
      </c>
      <c r="U422" s="26" t="n"/>
      <c r="V422" s="26" t="n"/>
      <c r="W422" s="169" t="n"/>
      <c r="X422" s="26" t="n"/>
      <c r="Y422" s="26" t="n"/>
      <c r="Z422" s="26" t="n"/>
      <c r="AA422" s="26" t="n"/>
      <c r="AD422" s="0">
        <f>SUM(Y422,AA422,AC422)</f>
        <v/>
      </c>
      <c r="AE422" s="0">
        <f>X422*Y422+Z422*AA422+AB422*AC422</f>
        <v/>
      </c>
      <c r="AF422" s="0">
        <f>TEXTJOIN(", ",TRUE,IF(AND(X422&gt;0,Y422&gt;0),TEXT(X422,"0.00")&amp;"ct x "&amp;Y422,""),IF(AND(Z422&gt;0,AA422&gt;0),TEXT(Z422,"0.00")&amp;"ct x "&amp;AA422,""),IF(AND(AB422&gt;0,AC422&gt;0),TEXT(AB422,"0.00")&amp;"ct x "&amp;AC422,""))</f>
        <v/>
      </c>
      <c r="AG422" s="0">
        <f>X422*Y422*SUMIFS($AM$2:$AM$11,$AK$2:$AK$11,"&lt;="&amp;X422,$AL$2:$AL$11,"&gt;="&amp;X422)+Z422*AA422*SUMIFS($AM$2:$AM$11,$AK$2:$AK$11,"&lt;="&amp;Z422,$AL$2:$AL$11,"&gt;="&amp;Z422)+AB422*AC422*SUMIFS($AM$2:$AM$11,$AK$2:$AK$11,"&lt;="&amp;AB422,$AL$2:$AL$11,"&gt;="&amp;AB422)</f>
        <v/>
      </c>
      <c r="AH422" s="0">
        <f>AG422*(1-40%)</f>
        <v/>
      </c>
      <c r="AI422" s="0">
        <f>AH422*1.2</f>
        <v/>
      </c>
    </row>
    <row r="423">
      <c r="A423" s="26" t="n"/>
      <c r="B423" s="169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>
        <f>AG423</f>
        <v/>
      </c>
      <c r="T423" s="26">
        <f>AI423+Q423+P423</f>
        <v/>
      </c>
      <c r="U423" s="26" t="n"/>
      <c r="V423" s="26" t="n"/>
      <c r="W423" s="169" t="n"/>
      <c r="X423" s="26" t="n"/>
      <c r="Y423" s="26" t="n"/>
      <c r="Z423" s="26" t="n"/>
      <c r="AA423" s="26" t="n"/>
      <c r="AD423" s="0">
        <f>SUM(Y423,AA423,AC423)</f>
        <v/>
      </c>
      <c r="AE423" s="0">
        <f>X423*Y423+Z423*AA423+AB423*AC423</f>
        <v/>
      </c>
      <c r="AF423" s="0">
        <f>TEXTJOIN(", ",TRUE,IF(AND(X423&gt;0,Y423&gt;0),TEXT(X423,"0.00")&amp;"ct x "&amp;Y423,""),IF(AND(Z423&gt;0,AA423&gt;0),TEXT(Z423,"0.00")&amp;"ct x "&amp;AA423,""),IF(AND(AB423&gt;0,AC423&gt;0),TEXT(AB423,"0.00")&amp;"ct x "&amp;AC423,""))</f>
        <v/>
      </c>
      <c r="AG423" s="0">
        <f>X423*Y423*SUMIFS($AM$2:$AM$11,$AK$2:$AK$11,"&lt;="&amp;X423,$AL$2:$AL$11,"&gt;="&amp;X423)+Z423*AA423*SUMIFS($AM$2:$AM$11,$AK$2:$AK$11,"&lt;="&amp;Z423,$AL$2:$AL$11,"&gt;="&amp;Z423)+AB423*AC423*SUMIFS($AM$2:$AM$11,$AK$2:$AK$11,"&lt;="&amp;AB423,$AL$2:$AL$11,"&gt;="&amp;AB423)</f>
        <v/>
      </c>
      <c r="AH423" s="0">
        <f>AG423*(1-40%)</f>
        <v/>
      </c>
      <c r="AI423" s="0">
        <f>AH423*1.2</f>
        <v/>
      </c>
    </row>
    <row r="424">
      <c r="A424" s="26" t="n"/>
      <c r="B424" s="169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>
        <f>AG424</f>
        <v/>
      </c>
      <c r="T424" s="26">
        <f>AI424+Q424+P424</f>
        <v/>
      </c>
      <c r="U424" s="26" t="n"/>
      <c r="V424" s="26" t="n"/>
      <c r="W424" s="169" t="n"/>
      <c r="X424" s="26" t="n"/>
      <c r="Y424" s="26" t="n"/>
      <c r="Z424" s="26" t="n"/>
      <c r="AA424" s="26" t="n"/>
      <c r="AD424" s="0">
        <f>SUM(Y424,AA424,AC424)</f>
        <v/>
      </c>
      <c r="AE424" s="0">
        <f>X424*Y424+Z424*AA424+AB424*AC424</f>
        <v/>
      </c>
      <c r="AF424" s="0">
        <f>TEXTJOIN(", ",TRUE,IF(AND(X424&gt;0,Y424&gt;0),TEXT(X424,"0.00")&amp;"ct x "&amp;Y424,""),IF(AND(Z424&gt;0,AA424&gt;0),TEXT(Z424,"0.00")&amp;"ct x "&amp;AA424,""),IF(AND(AB424&gt;0,AC424&gt;0),TEXT(AB424,"0.00")&amp;"ct x "&amp;AC424,""))</f>
        <v/>
      </c>
      <c r="AG424" s="0">
        <f>X424*Y424*SUMIFS($AM$2:$AM$11,$AK$2:$AK$11,"&lt;="&amp;X424,$AL$2:$AL$11,"&gt;="&amp;X424)+Z424*AA424*SUMIFS($AM$2:$AM$11,$AK$2:$AK$11,"&lt;="&amp;Z424,$AL$2:$AL$11,"&gt;="&amp;Z424)+AB424*AC424*SUMIFS($AM$2:$AM$11,$AK$2:$AK$11,"&lt;="&amp;AB424,$AL$2:$AL$11,"&gt;="&amp;AB424)</f>
        <v/>
      </c>
      <c r="AH424" s="0">
        <f>AG424*(1-40%)</f>
        <v/>
      </c>
      <c r="AI424" s="0">
        <f>AH424*1.2</f>
        <v/>
      </c>
    </row>
    <row r="425">
      <c r="A425" s="26" t="n"/>
      <c r="B425" s="169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>
        <f>AG425</f>
        <v/>
      </c>
      <c r="T425" s="26">
        <f>AI425+Q425+P425</f>
        <v/>
      </c>
      <c r="U425" s="26" t="n"/>
      <c r="V425" s="26" t="n"/>
      <c r="W425" s="169" t="n"/>
      <c r="X425" s="26" t="n"/>
      <c r="Y425" s="26" t="n"/>
      <c r="Z425" s="26" t="n"/>
      <c r="AA425" s="26" t="n"/>
      <c r="AD425" s="0">
        <f>SUM(Y425,AA425,AC425)</f>
        <v/>
      </c>
      <c r="AE425" s="0">
        <f>X425*Y425+Z425*AA425+AB425*AC425</f>
        <v/>
      </c>
      <c r="AF425" s="0">
        <f>TEXTJOIN(", ",TRUE,IF(AND(X425&gt;0,Y425&gt;0),TEXT(X425,"0.00")&amp;"ct x "&amp;Y425,""),IF(AND(Z425&gt;0,AA425&gt;0),TEXT(Z425,"0.00")&amp;"ct x "&amp;AA425,""),IF(AND(AB425&gt;0,AC425&gt;0),TEXT(AB425,"0.00")&amp;"ct x "&amp;AC425,""))</f>
        <v/>
      </c>
      <c r="AG425" s="0">
        <f>X425*Y425*SUMIFS($AM$2:$AM$11,$AK$2:$AK$11,"&lt;="&amp;X425,$AL$2:$AL$11,"&gt;="&amp;X425)+Z425*AA425*SUMIFS($AM$2:$AM$11,$AK$2:$AK$11,"&lt;="&amp;Z425,$AL$2:$AL$11,"&gt;="&amp;Z425)+AB425*AC425*SUMIFS($AM$2:$AM$11,$AK$2:$AK$11,"&lt;="&amp;AB425,$AL$2:$AL$11,"&gt;="&amp;AB425)</f>
        <v/>
      </c>
      <c r="AH425" s="0">
        <f>AG425*(1-40%)</f>
        <v/>
      </c>
      <c r="AI425" s="0">
        <f>AH425*1.2</f>
        <v/>
      </c>
    </row>
    <row r="426">
      <c r="A426" s="26" t="n"/>
      <c r="B426" s="169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>
        <f>AG426</f>
        <v/>
      </c>
      <c r="T426" s="26">
        <f>AI426+Q426+P426</f>
        <v/>
      </c>
      <c r="U426" s="26" t="n"/>
      <c r="V426" s="26" t="n"/>
      <c r="W426" s="169" t="n"/>
      <c r="X426" s="26" t="n"/>
      <c r="Y426" s="26" t="n"/>
      <c r="Z426" s="26" t="n"/>
      <c r="AA426" s="26" t="n"/>
      <c r="AD426" s="0">
        <f>SUM(Y426,AA426,AC426)</f>
        <v/>
      </c>
      <c r="AE426" s="0">
        <f>X426*Y426+Z426*AA426+AB426*AC426</f>
        <v/>
      </c>
      <c r="AF426" s="0">
        <f>TEXTJOIN(", ",TRUE,IF(AND(X426&gt;0,Y426&gt;0),TEXT(X426,"0.00")&amp;"ct x "&amp;Y426,""),IF(AND(Z426&gt;0,AA426&gt;0),TEXT(Z426,"0.00")&amp;"ct x "&amp;AA426,""),IF(AND(AB426&gt;0,AC426&gt;0),TEXT(AB426,"0.00")&amp;"ct x "&amp;AC426,""))</f>
        <v/>
      </c>
      <c r="AG426" s="0">
        <f>X426*Y426*SUMIFS($AM$2:$AM$11,$AK$2:$AK$11,"&lt;="&amp;X426,$AL$2:$AL$11,"&gt;="&amp;X426)+Z426*AA426*SUMIFS($AM$2:$AM$11,$AK$2:$AK$11,"&lt;="&amp;Z426,$AL$2:$AL$11,"&gt;="&amp;Z426)+AB426*AC426*SUMIFS($AM$2:$AM$11,$AK$2:$AK$11,"&lt;="&amp;AB426,$AL$2:$AL$11,"&gt;="&amp;AB426)</f>
        <v/>
      </c>
      <c r="AH426" s="0">
        <f>AG426*(1-40%)</f>
        <v/>
      </c>
      <c r="AI426" s="0">
        <f>AH426*1.2</f>
        <v/>
      </c>
    </row>
    <row r="427">
      <c r="A427" s="26" t="n"/>
      <c r="B427" s="169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>
        <f>AG427</f>
        <v/>
      </c>
      <c r="T427" s="26">
        <f>AI427+Q427+P427</f>
        <v/>
      </c>
      <c r="U427" s="26" t="n"/>
      <c r="V427" s="26" t="n"/>
      <c r="W427" s="169" t="n"/>
      <c r="X427" s="26" t="n"/>
      <c r="Y427" s="26" t="n"/>
      <c r="Z427" s="26" t="n"/>
      <c r="AA427" s="26" t="n"/>
      <c r="AD427" s="0">
        <f>SUM(Y427,AA427,AC427)</f>
        <v/>
      </c>
      <c r="AE427" s="0">
        <f>X427*Y427+Z427*AA427+AB427*AC427</f>
        <v/>
      </c>
      <c r="AF427" s="0">
        <f>TEXTJOIN(", ",TRUE,IF(AND(X427&gt;0,Y427&gt;0),TEXT(X427,"0.00")&amp;"ct x "&amp;Y427,""),IF(AND(Z427&gt;0,AA427&gt;0),TEXT(Z427,"0.00")&amp;"ct x "&amp;AA427,""),IF(AND(AB427&gt;0,AC427&gt;0),TEXT(AB427,"0.00")&amp;"ct x "&amp;AC427,""))</f>
        <v/>
      </c>
      <c r="AG427" s="0">
        <f>X427*Y427*SUMIFS($AM$2:$AM$11,$AK$2:$AK$11,"&lt;="&amp;X427,$AL$2:$AL$11,"&gt;="&amp;X427)+Z427*AA427*SUMIFS($AM$2:$AM$11,$AK$2:$AK$11,"&lt;="&amp;Z427,$AL$2:$AL$11,"&gt;="&amp;Z427)+AB427*AC427*SUMIFS($AM$2:$AM$11,$AK$2:$AK$11,"&lt;="&amp;AB427,$AL$2:$AL$11,"&gt;="&amp;AB427)</f>
        <v/>
      </c>
      <c r="AH427" s="0">
        <f>AG427*(1-40%)</f>
        <v/>
      </c>
      <c r="AI427" s="0">
        <f>AH427*1.2</f>
        <v/>
      </c>
    </row>
    <row r="428">
      <c r="A428" s="26" t="n"/>
      <c r="B428" s="169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>
        <f>AG428</f>
        <v/>
      </c>
      <c r="T428" s="26">
        <f>AI428+Q428+P428</f>
        <v/>
      </c>
      <c r="U428" s="26" t="n"/>
      <c r="V428" s="26" t="n"/>
      <c r="W428" s="169" t="n"/>
      <c r="X428" s="26" t="n"/>
      <c r="Y428" s="26" t="n"/>
      <c r="Z428" s="26" t="n"/>
      <c r="AA428" s="26" t="n"/>
      <c r="AD428" s="0">
        <f>SUM(Y428,AA428,AC428)</f>
        <v/>
      </c>
      <c r="AE428" s="0">
        <f>X428*Y428+Z428*AA428+AB428*AC428</f>
        <v/>
      </c>
      <c r="AF428" s="0">
        <f>TEXTJOIN(", ",TRUE,IF(AND(X428&gt;0,Y428&gt;0),TEXT(X428,"0.00")&amp;"ct x "&amp;Y428,""),IF(AND(Z428&gt;0,AA428&gt;0),TEXT(Z428,"0.00")&amp;"ct x "&amp;AA428,""),IF(AND(AB428&gt;0,AC428&gt;0),TEXT(AB428,"0.00")&amp;"ct x "&amp;AC428,""))</f>
        <v/>
      </c>
      <c r="AG428" s="0">
        <f>X428*Y428*SUMIFS($AM$2:$AM$11,$AK$2:$AK$11,"&lt;="&amp;X428,$AL$2:$AL$11,"&gt;="&amp;X428)+Z428*AA428*SUMIFS($AM$2:$AM$11,$AK$2:$AK$11,"&lt;="&amp;Z428,$AL$2:$AL$11,"&gt;="&amp;Z428)+AB428*AC428*SUMIFS($AM$2:$AM$11,$AK$2:$AK$11,"&lt;="&amp;AB428,$AL$2:$AL$11,"&gt;="&amp;AB428)</f>
        <v/>
      </c>
      <c r="AH428" s="0">
        <f>AG428*(1-40%)</f>
        <v/>
      </c>
      <c r="AI428" s="0">
        <f>AH428*1.2</f>
        <v/>
      </c>
    </row>
    <row r="429">
      <c r="A429" s="26" t="n"/>
      <c r="B429" s="169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>
        <f>AG429</f>
        <v/>
      </c>
      <c r="T429" s="26">
        <f>AI429+Q429+P429</f>
        <v/>
      </c>
      <c r="U429" s="26" t="n"/>
      <c r="V429" s="26" t="n"/>
      <c r="W429" s="169" t="n"/>
      <c r="X429" s="26" t="n"/>
      <c r="Y429" s="26" t="n"/>
      <c r="Z429" s="26" t="n"/>
      <c r="AA429" s="26" t="n"/>
      <c r="AD429" s="0">
        <f>SUM(Y429,AA429,AC429)</f>
        <v/>
      </c>
      <c r="AE429" s="0">
        <f>X429*Y429+Z429*AA429+AB429*AC429</f>
        <v/>
      </c>
      <c r="AF429" s="0">
        <f>TEXTJOIN(", ",TRUE,IF(AND(X429&gt;0,Y429&gt;0),TEXT(X429,"0.00")&amp;"ct x "&amp;Y429,""),IF(AND(Z429&gt;0,AA429&gt;0),TEXT(Z429,"0.00")&amp;"ct x "&amp;AA429,""),IF(AND(AB429&gt;0,AC429&gt;0),TEXT(AB429,"0.00")&amp;"ct x "&amp;AC429,""))</f>
        <v/>
      </c>
      <c r="AG429" s="0">
        <f>X429*Y429*SUMIFS($AM$2:$AM$11,$AK$2:$AK$11,"&lt;="&amp;X429,$AL$2:$AL$11,"&gt;="&amp;X429)+Z429*AA429*SUMIFS($AM$2:$AM$11,$AK$2:$AK$11,"&lt;="&amp;Z429,$AL$2:$AL$11,"&gt;="&amp;Z429)+AB429*AC429*SUMIFS($AM$2:$AM$11,$AK$2:$AK$11,"&lt;="&amp;AB429,$AL$2:$AL$11,"&gt;="&amp;AB429)</f>
        <v/>
      </c>
      <c r="AH429" s="0">
        <f>AG429*(1-40%)</f>
        <v/>
      </c>
      <c r="AI429" s="0">
        <f>AH429*1.2</f>
        <v/>
      </c>
    </row>
    <row r="430">
      <c r="A430" s="26" t="n"/>
      <c r="B430" s="169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>
        <f>AG430</f>
        <v/>
      </c>
      <c r="T430" s="26">
        <f>AI430+Q430+P430</f>
        <v/>
      </c>
      <c r="U430" s="26" t="n"/>
      <c r="V430" s="26" t="n"/>
      <c r="W430" s="169" t="n"/>
      <c r="X430" s="26" t="n"/>
      <c r="Y430" s="26" t="n"/>
      <c r="Z430" s="26" t="n"/>
      <c r="AA430" s="26" t="n"/>
      <c r="AD430" s="0">
        <f>SUM(Y430,AA430,AC430)</f>
        <v/>
      </c>
      <c r="AE430" s="0">
        <f>X430*Y430+Z430*AA430+AB430*AC430</f>
        <v/>
      </c>
      <c r="AF430" s="0">
        <f>TEXTJOIN(", ",TRUE,IF(AND(X430&gt;0,Y430&gt;0),TEXT(X430,"0.00")&amp;"ct x "&amp;Y430,""),IF(AND(Z430&gt;0,AA430&gt;0),TEXT(Z430,"0.00")&amp;"ct x "&amp;AA430,""),IF(AND(AB430&gt;0,AC430&gt;0),TEXT(AB430,"0.00")&amp;"ct x "&amp;AC430,""))</f>
        <v/>
      </c>
      <c r="AG430" s="0">
        <f>X430*Y430*SUMIFS($AM$2:$AM$11,$AK$2:$AK$11,"&lt;="&amp;X430,$AL$2:$AL$11,"&gt;="&amp;X430)+Z430*AA430*SUMIFS($AM$2:$AM$11,$AK$2:$AK$11,"&lt;="&amp;Z430,$AL$2:$AL$11,"&gt;="&amp;Z430)+AB430*AC430*SUMIFS($AM$2:$AM$11,$AK$2:$AK$11,"&lt;="&amp;AB430,$AL$2:$AL$11,"&gt;="&amp;AB430)</f>
        <v/>
      </c>
      <c r="AH430" s="0">
        <f>AG430*(1-40%)</f>
        <v/>
      </c>
      <c r="AI430" s="0">
        <f>AH430*1.2</f>
        <v/>
      </c>
    </row>
    <row r="431">
      <c r="A431" s="26" t="n"/>
      <c r="B431" s="169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>
        <f>AG431</f>
        <v/>
      </c>
      <c r="T431" s="26">
        <f>AI431+Q431+P431</f>
        <v/>
      </c>
      <c r="U431" s="26" t="n"/>
      <c r="V431" s="26" t="n"/>
      <c r="W431" s="169" t="n"/>
      <c r="X431" s="26" t="n"/>
      <c r="Y431" s="26" t="n"/>
      <c r="Z431" s="26" t="n"/>
      <c r="AA431" s="26" t="n"/>
      <c r="AD431" s="0">
        <f>SUM(Y431,AA431,AC431)</f>
        <v/>
      </c>
      <c r="AE431" s="0">
        <f>X431*Y431+Z431*AA431+AB431*AC431</f>
        <v/>
      </c>
      <c r="AF431" s="0">
        <f>TEXTJOIN(", ",TRUE,IF(AND(X431&gt;0,Y431&gt;0),TEXT(X431,"0.00")&amp;"ct x "&amp;Y431,""),IF(AND(Z431&gt;0,AA431&gt;0),TEXT(Z431,"0.00")&amp;"ct x "&amp;AA431,""),IF(AND(AB431&gt;0,AC431&gt;0),TEXT(AB431,"0.00")&amp;"ct x "&amp;AC431,""))</f>
        <v/>
      </c>
      <c r="AG431" s="0">
        <f>X431*Y431*SUMIFS($AM$2:$AM$11,$AK$2:$AK$11,"&lt;="&amp;X431,$AL$2:$AL$11,"&gt;="&amp;X431)+Z431*AA431*SUMIFS($AM$2:$AM$11,$AK$2:$AK$11,"&lt;="&amp;Z431,$AL$2:$AL$11,"&gt;="&amp;Z431)+AB431*AC431*SUMIFS($AM$2:$AM$11,$AK$2:$AK$11,"&lt;="&amp;AB431,$AL$2:$AL$11,"&gt;="&amp;AB431)</f>
        <v/>
      </c>
      <c r="AH431" s="0">
        <f>AG431*(1-40%)</f>
        <v/>
      </c>
      <c r="AI431" s="0">
        <f>AH431*1.2</f>
        <v/>
      </c>
    </row>
    <row r="432">
      <c r="A432" s="26" t="n"/>
      <c r="B432" s="169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>
        <f>AG432</f>
        <v/>
      </c>
      <c r="T432" s="26">
        <f>AI432+Q432+P432</f>
        <v/>
      </c>
      <c r="U432" s="26" t="n"/>
      <c r="V432" s="26" t="n"/>
      <c r="W432" s="169" t="n"/>
      <c r="X432" s="26" t="n"/>
      <c r="Y432" s="26" t="n"/>
      <c r="Z432" s="26" t="n"/>
      <c r="AA432" s="26" t="n"/>
      <c r="AD432" s="0">
        <f>SUM(Y432,AA432,AC432)</f>
        <v/>
      </c>
      <c r="AE432" s="0">
        <f>X432*Y432+Z432*AA432+AB432*AC432</f>
        <v/>
      </c>
      <c r="AF432" s="0">
        <f>TEXTJOIN(", ",TRUE,IF(AND(X432&gt;0,Y432&gt;0),TEXT(X432,"0.00")&amp;"ct x "&amp;Y432,""),IF(AND(Z432&gt;0,AA432&gt;0),TEXT(Z432,"0.00")&amp;"ct x "&amp;AA432,""),IF(AND(AB432&gt;0,AC432&gt;0),TEXT(AB432,"0.00")&amp;"ct x "&amp;AC432,""))</f>
        <v/>
      </c>
      <c r="AG432" s="0">
        <f>X432*Y432*SUMIFS($AM$2:$AM$11,$AK$2:$AK$11,"&lt;="&amp;X432,$AL$2:$AL$11,"&gt;="&amp;X432)+Z432*AA432*SUMIFS($AM$2:$AM$11,$AK$2:$AK$11,"&lt;="&amp;Z432,$AL$2:$AL$11,"&gt;="&amp;Z432)+AB432*AC432*SUMIFS($AM$2:$AM$11,$AK$2:$AK$11,"&lt;="&amp;AB432,$AL$2:$AL$11,"&gt;="&amp;AB432)</f>
        <v/>
      </c>
      <c r="AH432" s="0">
        <f>AG432*(1-40%)</f>
        <v/>
      </c>
      <c r="AI432" s="0">
        <f>AH432*1.2</f>
        <v/>
      </c>
    </row>
    <row r="433">
      <c r="A433" s="26" t="n"/>
      <c r="B433" s="169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>
        <f>AG433</f>
        <v/>
      </c>
      <c r="T433" s="26">
        <f>AI433+Q433+P433</f>
        <v/>
      </c>
      <c r="U433" s="26" t="n"/>
      <c r="V433" s="26" t="n"/>
      <c r="W433" s="169" t="n"/>
      <c r="X433" s="26" t="n"/>
      <c r="Y433" s="26" t="n"/>
      <c r="Z433" s="26" t="n"/>
      <c r="AA433" s="26" t="n"/>
      <c r="AD433" s="0">
        <f>SUM(Y433,AA433,AC433)</f>
        <v/>
      </c>
      <c r="AE433" s="0">
        <f>X433*Y433+Z433*AA433+AB433*AC433</f>
        <v/>
      </c>
      <c r="AF433" s="0">
        <f>TEXTJOIN(", ",TRUE,IF(AND(X433&gt;0,Y433&gt;0),TEXT(X433,"0.00")&amp;"ct x "&amp;Y433,""),IF(AND(Z433&gt;0,AA433&gt;0),TEXT(Z433,"0.00")&amp;"ct x "&amp;AA433,""),IF(AND(AB433&gt;0,AC433&gt;0),TEXT(AB433,"0.00")&amp;"ct x "&amp;AC433,""))</f>
        <v/>
      </c>
      <c r="AG433" s="0">
        <f>X433*Y433*SUMIFS($AM$2:$AM$11,$AK$2:$AK$11,"&lt;="&amp;X433,$AL$2:$AL$11,"&gt;="&amp;X433)+Z433*AA433*SUMIFS($AM$2:$AM$11,$AK$2:$AK$11,"&lt;="&amp;Z433,$AL$2:$AL$11,"&gt;="&amp;Z433)+AB433*AC433*SUMIFS($AM$2:$AM$11,$AK$2:$AK$11,"&lt;="&amp;AB433,$AL$2:$AL$11,"&gt;="&amp;AB433)</f>
        <v/>
      </c>
      <c r="AH433" s="0">
        <f>AG433*(1-40%)</f>
        <v/>
      </c>
      <c r="AI433" s="0">
        <f>AH433*1.2</f>
        <v/>
      </c>
    </row>
    <row r="434">
      <c r="A434" s="26" t="n"/>
      <c r="B434" s="169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>
        <f>AG434</f>
        <v/>
      </c>
      <c r="T434" s="26">
        <f>AI434+Q434+P434</f>
        <v/>
      </c>
      <c r="U434" s="26" t="n"/>
      <c r="V434" s="26" t="n"/>
      <c r="W434" s="169" t="n"/>
      <c r="X434" s="26" t="n"/>
      <c r="Y434" s="26" t="n"/>
      <c r="Z434" s="26" t="n"/>
      <c r="AA434" s="26" t="n"/>
      <c r="AD434" s="0">
        <f>SUM(Y434,AA434,AC434)</f>
        <v/>
      </c>
      <c r="AE434" s="0">
        <f>X434*Y434+Z434*AA434+AB434*AC434</f>
        <v/>
      </c>
      <c r="AF434" s="0">
        <f>TEXTJOIN(", ",TRUE,IF(AND(X434&gt;0,Y434&gt;0),TEXT(X434,"0.00")&amp;"ct x "&amp;Y434,""),IF(AND(Z434&gt;0,AA434&gt;0),TEXT(Z434,"0.00")&amp;"ct x "&amp;AA434,""),IF(AND(AB434&gt;0,AC434&gt;0),TEXT(AB434,"0.00")&amp;"ct x "&amp;AC434,""))</f>
        <v/>
      </c>
      <c r="AG434" s="0">
        <f>X434*Y434*SUMIFS($AM$2:$AM$11,$AK$2:$AK$11,"&lt;="&amp;X434,$AL$2:$AL$11,"&gt;="&amp;X434)+Z434*AA434*SUMIFS($AM$2:$AM$11,$AK$2:$AK$11,"&lt;="&amp;Z434,$AL$2:$AL$11,"&gt;="&amp;Z434)+AB434*AC434*SUMIFS($AM$2:$AM$11,$AK$2:$AK$11,"&lt;="&amp;AB434,$AL$2:$AL$11,"&gt;="&amp;AB434)</f>
        <v/>
      </c>
      <c r="AH434" s="0">
        <f>AG434*(1-40%)</f>
        <v/>
      </c>
      <c r="AI434" s="0">
        <f>AH434*1.2</f>
        <v/>
      </c>
    </row>
    <row r="435">
      <c r="A435" s="26" t="n"/>
      <c r="B435" s="169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>
        <f>AG435</f>
        <v/>
      </c>
      <c r="T435" s="26">
        <f>AI435+Q435+P435</f>
        <v/>
      </c>
      <c r="U435" s="26" t="n"/>
      <c r="V435" s="26" t="n"/>
      <c r="W435" s="169" t="n"/>
      <c r="X435" s="26" t="n"/>
      <c r="Y435" s="26" t="n"/>
      <c r="Z435" s="26" t="n"/>
      <c r="AA435" s="26" t="n"/>
      <c r="AD435" s="0">
        <f>SUM(Y435,AA435,AC435)</f>
        <v/>
      </c>
      <c r="AE435" s="0">
        <f>X435*Y435+Z435*AA435+AB435*AC435</f>
        <v/>
      </c>
      <c r="AF435" s="0">
        <f>TEXTJOIN(", ",TRUE,IF(AND(X435&gt;0,Y435&gt;0),TEXT(X435,"0.00")&amp;"ct x "&amp;Y435,""),IF(AND(Z435&gt;0,AA435&gt;0),TEXT(Z435,"0.00")&amp;"ct x "&amp;AA435,""),IF(AND(AB435&gt;0,AC435&gt;0),TEXT(AB435,"0.00")&amp;"ct x "&amp;AC435,""))</f>
        <v/>
      </c>
      <c r="AG435" s="0">
        <f>X435*Y435*SUMIFS($AM$2:$AM$11,$AK$2:$AK$11,"&lt;="&amp;X435,$AL$2:$AL$11,"&gt;="&amp;X435)+Z435*AA435*SUMIFS($AM$2:$AM$11,$AK$2:$AK$11,"&lt;="&amp;Z435,$AL$2:$AL$11,"&gt;="&amp;Z435)+AB435*AC435*SUMIFS($AM$2:$AM$11,$AK$2:$AK$11,"&lt;="&amp;AB435,$AL$2:$AL$11,"&gt;="&amp;AB435)</f>
        <v/>
      </c>
      <c r="AH435" s="0">
        <f>AG435*(1-40%)</f>
        <v/>
      </c>
      <c r="AI435" s="0">
        <f>AH435*1.2</f>
        <v/>
      </c>
    </row>
    <row r="436">
      <c r="A436" s="26" t="n"/>
      <c r="B436" s="169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>
        <f>AG436</f>
        <v/>
      </c>
      <c r="T436" s="26">
        <f>AI436+Q436+P436</f>
        <v/>
      </c>
      <c r="U436" s="26" t="n"/>
      <c r="V436" s="26" t="n"/>
      <c r="W436" s="169" t="n"/>
      <c r="X436" s="26" t="n"/>
      <c r="Y436" s="26" t="n"/>
      <c r="Z436" s="26" t="n"/>
      <c r="AA436" s="26" t="n"/>
      <c r="AD436" s="0">
        <f>SUM(Y436,AA436,AC436)</f>
        <v/>
      </c>
      <c r="AE436" s="0">
        <f>X436*Y436+Z436*AA436+AB436*AC436</f>
        <v/>
      </c>
      <c r="AF436" s="0">
        <f>TEXTJOIN(", ",TRUE,IF(AND(X436&gt;0,Y436&gt;0),TEXT(X436,"0.00")&amp;"ct x "&amp;Y436,""),IF(AND(Z436&gt;0,AA436&gt;0),TEXT(Z436,"0.00")&amp;"ct x "&amp;AA436,""),IF(AND(AB436&gt;0,AC436&gt;0),TEXT(AB436,"0.00")&amp;"ct x "&amp;AC436,""))</f>
        <v/>
      </c>
      <c r="AG436" s="0">
        <f>X436*Y436*SUMIFS($AM$2:$AM$11,$AK$2:$AK$11,"&lt;="&amp;X436,$AL$2:$AL$11,"&gt;="&amp;X436)+Z436*AA436*SUMIFS($AM$2:$AM$11,$AK$2:$AK$11,"&lt;="&amp;Z436,$AL$2:$AL$11,"&gt;="&amp;Z436)+AB436*AC436*SUMIFS($AM$2:$AM$11,$AK$2:$AK$11,"&lt;="&amp;AB436,$AL$2:$AL$11,"&gt;="&amp;AB436)</f>
        <v/>
      </c>
      <c r="AH436" s="0">
        <f>AG436*(1-40%)</f>
        <v/>
      </c>
      <c r="AI436" s="0">
        <f>AH436*1.2</f>
        <v/>
      </c>
    </row>
    <row r="437">
      <c r="A437" s="26" t="n"/>
      <c r="B437" s="169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>
        <f>AG437</f>
        <v/>
      </c>
      <c r="T437" s="26">
        <f>AI437+Q437+P437</f>
        <v/>
      </c>
      <c r="U437" s="26" t="n"/>
      <c r="V437" s="26" t="n"/>
      <c r="W437" s="169" t="n"/>
      <c r="X437" s="26" t="n"/>
      <c r="Y437" s="26" t="n"/>
      <c r="Z437" s="26" t="n"/>
      <c r="AA437" s="26" t="n"/>
      <c r="AD437" s="0">
        <f>SUM(Y437,AA437,AC437)</f>
        <v/>
      </c>
      <c r="AE437" s="0">
        <f>X437*Y437+Z437*AA437+AB437*AC437</f>
        <v/>
      </c>
      <c r="AF437" s="0">
        <f>TEXTJOIN(", ",TRUE,IF(AND(X437&gt;0,Y437&gt;0),TEXT(X437,"0.00")&amp;"ct x "&amp;Y437,""),IF(AND(Z437&gt;0,AA437&gt;0),TEXT(Z437,"0.00")&amp;"ct x "&amp;AA437,""),IF(AND(AB437&gt;0,AC437&gt;0),TEXT(AB437,"0.00")&amp;"ct x "&amp;AC437,""))</f>
        <v/>
      </c>
      <c r="AG437" s="0">
        <f>X437*Y437*SUMIFS($AM$2:$AM$11,$AK$2:$AK$11,"&lt;="&amp;X437,$AL$2:$AL$11,"&gt;="&amp;X437)+Z437*AA437*SUMIFS($AM$2:$AM$11,$AK$2:$AK$11,"&lt;="&amp;Z437,$AL$2:$AL$11,"&gt;="&amp;Z437)+AB437*AC437*SUMIFS($AM$2:$AM$11,$AK$2:$AK$11,"&lt;="&amp;AB437,$AL$2:$AL$11,"&gt;="&amp;AB437)</f>
        <v/>
      </c>
      <c r="AH437" s="0">
        <f>AG437*(1-40%)</f>
        <v/>
      </c>
      <c r="AI437" s="0">
        <f>AH437*1.2</f>
        <v/>
      </c>
    </row>
    <row r="438">
      <c r="A438" s="26" t="n"/>
      <c r="B438" s="169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>
        <f>AG438</f>
        <v/>
      </c>
      <c r="T438" s="26">
        <f>AI438+Q438+P438</f>
        <v/>
      </c>
      <c r="U438" s="26" t="n"/>
      <c r="V438" s="26" t="n"/>
      <c r="W438" s="169" t="n"/>
      <c r="X438" s="26" t="n"/>
      <c r="Y438" s="26" t="n"/>
      <c r="Z438" s="26" t="n"/>
      <c r="AA438" s="26" t="n"/>
      <c r="AD438" s="0">
        <f>SUM(Y438,AA438,AC438)</f>
        <v/>
      </c>
      <c r="AE438" s="0">
        <f>X438*Y438+Z438*AA438+AB438*AC438</f>
        <v/>
      </c>
      <c r="AF438" s="0">
        <f>TEXTJOIN(", ",TRUE,IF(AND(X438&gt;0,Y438&gt;0),TEXT(X438,"0.00")&amp;"ct x "&amp;Y438,""),IF(AND(Z438&gt;0,AA438&gt;0),TEXT(Z438,"0.00")&amp;"ct x "&amp;AA438,""),IF(AND(AB438&gt;0,AC438&gt;0),TEXT(AB438,"0.00")&amp;"ct x "&amp;AC438,""))</f>
        <v/>
      </c>
      <c r="AG438" s="0">
        <f>X438*Y438*SUMIFS($AM$2:$AM$11,$AK$2:$AK$11,"&lt;="&amp;X438,$AL$2:$AL$11,"&gt;="&amp;X438)+Z438*AA438*SUMIFS($AM$2:$AM$11,$AK$2:$AK$11,"&lt;="&amp;Z438,$AL$2:$AL$11,"&gt;="&amp;Z438)+AB438*AC438*SUMIFS($AM$2:$AM$11,$AK$2:$AK$11,"&lt;="&amp;AB438,$AL$2:$AL$11,"&gt;="&amp;AB438)</f>
        <v/>
      </c>
      <c r="AH438" s="0">
        <f>AG438*(1-40%)</f>
        <v/>
      </c>
      <c r="AI438" s="0">
        <f>AH438*1.2</f>
        <v/>
      </c>
    </row>
    <row r="439">
      <c r="A439" s="26" t="n"/>
      <c r="B439" s="169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>
        <f>AG439</f>
        <v/>
      </c>
      <c r="T439" s="26">
        <f>AI439+Q439+P439</f>
        <v/>
      </c>
      <c r="U439" s="26" t="n"/>
      <c r="V439" s="26" t="n"/>
      <c r="W439" s="169" t="n"/>
      <c r="X439" s="26" t="n"/>
      <c r="Y439" s="26" t="n"/>
      <c r="Z439" s="26" t="n"/>
      <c r="AA439" s="26" t="n"/>
      <c r="AD439" s="0">
        <f>SUM(Y439,AA439,AC439)</f>
        <v/>
      </c>
      <c r="AE439" s="0">
        <f>X439*Y439+Z439*AA439+AB439*AC439</f>
        <v/>
      </c>
      <c r="AF439" s="0">
        <f>TEXTJOIN(", ",TRUE,IF(AND(X439&gt;0,Y439&gt;0),TEXT(X439,"0.00")&amp;"ct x "&amp;Y439,""),IF(AND(Z439&gt;0,AA439&gt;0),TEXT(Z439,"0.00")&amp;"ct x "&amp;AA439,""),IF(AND(AB439&gt;0,AC439&gt;0),TEXT(AB439,"0.00")&amp;"ct x "&amp;AC439,""))</f>
        <v/>
      </c>
      <c r="AG439" s="0">
        <f>X439*Y439*SUMIFS($AM$2:$AM$11,$AK$2:$AK$11,"&lt;="&amp;X439,$AL$2:$AL$11,"&gt;="&amp;X439)+Z439*AA439*SUMIFS($AM$2:$AM$11,$AK$2:$AK$11,"&lt;="&amp;Z439,$AL$2:$AL$11,"&gt;="&amp;Z439)+AB439*AC439*SUMIFS($AM$2:$AM$11,$AK$2:$AK$11,"&lt;="&amp;AB439,$AL$2:$AL$11,"&gt;="&amp;AB439)</f>
        <v/>
      </c>
      <c r="AH439" s="0">
        <f>AG439*(1-40%)</f>
        <v/>
      </c>
      <c r="AI439" s="0">
        <f>AH439*1.2</f>
        <v/>
      </c>
    </row>
    <row r="440">
      <c r="A440" s="26" t="n"/>
      <c r="B440" s="169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>
        <f>AG440</f>
        <v/>
      </c>
      <c r="T440" s="26">
        <f>AI440+Q440+P440</f>
        <v/>
      </c>
      <c r="U440" s="26" t="n"/>
      <c r="V440" s="26" t="n"/>
      <c r="W440" s="169" t="n"/>
      <c r="X440" s="26" t="n"/>
      <c r="Y440" s="26" t="n"/>
      <c r="Z440" s="26" t="n"/>
      <c r="AA440" s="26" t="n"/>
      <c r="AD440" s="0">
        <f>SUM(Y440,AA440,AC440)</f>
        <v/>
      </c>
      <c r="AE440" s="0">
        <f>X440*Y440+Z440*AA440+AB440*AC440</f>
        <v/>
      </c>
      <c r="AF440" s="0">
        <f>TEXTJOIN(", ",TRUE,IF(AND(X440&gt;0,Y440&gt;0),TEXT(X440,"0.00")&amp;"ct x "&amp;Y440,""),IF(AND(Z440&gt;0,AA440&gt;0),TEXT(Z440,"0.00")&amp;"ct x "&amp;AA440,""),IF(AND(AB440&gt;0,AC440&gt;0),TEXT(AB440,"0.00")&amp;"ct x "&amp;AC440,""))</f>
        <v/>
      </c>
      <c r="AG440" s="0">
        <f>X440*Y440*SUMIFS($AM$2:$AM$11,$AK$2:$AK$11,"&lt;="&amp;X440,$AL$2:$AL$11,"&gt;="&amp;X440)+Z440*AA440*SUMIFS($AM$2:$AM$11,$AK$2:$AK$11,"&lt;="&amp;Z440,$AL$2:$AL$11,"&gt;="&amp;Z440)+AB440*AC440*SUMIFS($AM$2:$AM$11,$AK$2:$AK$11,"&lt;="&amp;AB440,$AL$2:$AL$11,"&gt;="&amp;AB440)</f>
        <v/>
      </c>
      <c r="AH440" s="0">
        <f>AG440*(1-40%)</f>
        <v/>
      </c>
      <c r="AI440" s="0">
        <f>AH440*1.2</f>
        <v/>
      </c>
    </row>
    <row r="441">
      <c r="A441" s="26" t="n"/>
      <c r="B441" s="169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>
        <f>AG441</f>
        <v/>
      </c>
      <c r="T441" s="26">
        <f>AI441+Q441+P441</f>
        <v/>
      </c>
      <c r="U441" s="26" t="n"/>
      <c r="V441" s="26" t="n"/>
      <c r="W441" s="169" t="n"/>
      <c r="X441" s="26" t="n"/>
      <c r="Y441" s="26" t="n"/>
      <c r="Z441" s="26" t="n"/>
      <c r="AA441" s="26" t="n"/>
      <c r="AD441" s="0">
        <f>SUM(Y441,AA441,AC441)</f>
        <v/>
      </c>
      <c r="AE441" s="0">
        <f>X441*Y441+Z441*AA441+AB441*AC441</f>
        <v/>
      </c>
      <c r="AF441" s="0">
        <f>TEXTJOIN(", ",TRUE,IF(AND(X441&gt;0,Y441&gt;0),TEXT(X441,"0.00")&amp;"ct x "&amp;Y441,""),IF(AND(Z441&gt;0,AA441&gt;0),TEXT(Z441,"0.00")&amp;"ct x "&amp;AA441,""),IF(AND(AB441&gt;0,AC441&gt;0),TEXT(AB441,"0.00")&amp;"ct x "&amp;AC441,""))</f>
        <v/>
      </c>
      <c r="AG441" s="0">
        <f>X441*Y441*SUMIFS($AM$2:$AM$11,$AK$2:$AK$11,"&lt;="&amp;X441,$AL$2:$AL$11,"&gt;="&amp;X441)+Z441*AA441*SUMIFS($AM$2:$AM$11,$AK$2:$AK$11,"&lt;="&amp;Z441,$AL$2:$AL$11,"&gt;="&amp;Z441)+AB441*AC441*SUMIFS($AM$2:$AM$11,$AK$2:$AK$11,"&lt;="&amp;AB441,$AL$2:$AL$11,"&gt;="&amp;AB441)</f>
        <v/>
      </c>
      <c r="AH441" s="0">
        <f>AG441*(1-40%)</f>
        <v/>
      </c>
      <c r="AI441" s="0">
        <f>AH441*1.2</f>
        <v/>
      </c>
    </row>
    <row r="442">
      <c r="A442" s="26" t="n"/>
      <c r="B442" s="169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>
        <f>AG442</f>
        <v/>
      </c>
      <c r="T442" s="26">
        <f>AI442+Q442+P442</f>
        <v/>
      </c>
      <c r="U442" s="26" t="n"/>
      <c r="V442" s="26" t="n"/>
      <c r="W442" s="169" t="n"/>
      <c r="X442" s="26" t="n"/>
      <c r="Y442" s="26" t="n"/>
      <c r="Z442" s="26" t="n"/>
      <c r="AA442" s="26" t="n"/>
      <c r="AD442" s="0">
        <f>SUM(Y442,AA442,AC442)</f>
        <v/>
      </c>
      <c r="AE442" s="0">
        <f>X442*Y442+Z442*AA442+AB442*AC442</f>
        <v/>
      </c>
      <c r="AF442" s="0">
        <f>TEXTJOIN(", ",TRUE,IF(AND(X442&gt;0,Y442&gt;0),TEXT(X442,"0.00")&amp;"ct x "&amp;Y442,""),IF(AND(Z442&gt;0,AA442&gt;0),TEXT(Z442,"0.00")&amp;"ct x "&amp;AA442,""),IF(AND(AB442&gt;0,AC442&gt;0),TEXT(AB442,"0.00")&amp;"ct x "&amp;AC442,""))</f>
        <v/>
      </c>
      <c r="AG442" s="0">
        <f>X442*Y442*SUMIFS($AM$2:$AM$11,$AK$2:$AK$11,"&lt;="&amp;X442,$AL$2:$AL$11,"&gt;="&amp;X442)+Z442*AA442*SUMIFS($AM$2:$AM$11,$AK$2:$AK$11,"&lt;="&amp;Z442,$AL$2:$AL$11,"&gt;="&amp;Z442)+AB442*AC442*SUMIFS($AM$2:$AM$11,$AK$2:$AK$11,"&lt;="&amp;AB442,$AL$2:$AL$11,"&gt;="&amp;AB442)</f>
        <v/>
      </c>
      <c r="AH442" s="0">
        <f>AG442*(1-40%)</f>
        <v/>
      </c>
      <c r="AI442" s="0">
        <f>AH442*1.2</f>
        <v/>
      </c>
    </row>
    <row r="443">
      <c r="A443" s="26" t="n"/>
      <c r="B443" s="169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>
        <f>AG443</f>
        <v/>
      </c>
      <c r="T443" s="26">
        <f>AI443+Q443+P443</f>
        <v/>
      </c>
      <c r="U443" s="26" t="n"/>
      <c r="V443" s="26" t="n"/>
      <c r="W443" s="169" t="n"/>
      <c r="X443" s="26" t="n"/>
      <c r="Y443" s="26" t="n"/>
      <c r="Z443" s="26" t="n"/>
      <c r="AA443" s="26" t="n"/>
      <c r="AD443" s="0">
        <f>SUM(Y443,AA443,AC443)</f>
        <v/>
      </c>
      <c r="AE443" s="0">
        <f>X443*Y443+Z443*AA443+AB443*AC443</f>
        <v/>
      </c>
      <c r="AF443" s="0">
        <f>TEXTJOIN(", ",TRUE,IF(AND(X443&gt;0,Y443&gt;0),TEXT(X443,"0.00")&amp;"ct x "&amp;Y443,""),IF(AND(Z443&gt;0,AA443&gt;0),TEXT(Z443,"0.00")&amp;"ct x "&amp;AA443,""),IF(AND(AB443&gt;0,AC443&gt;0),TEXT(AB443,"0.00")&amp;"ct x "&amp;AC443,""))</f>
        <v/>
      </c>
      <c r="AG443" s="0">
        <f>X443*Y443*SUMIFS($AM$2:$AM$11,$AK$2:$AK$11,"&lt;="&amp;X443,$AL$2:$AL$11,"&gt;="&amp;X443)+Z443*AA443*SUMIFS($AM$2:$AM$11,$AK$2:$AK$11,"&lt;="&amp;Z443,$AL$2:$AL$11,"&gt;="&amp;Z443)+AB443*AC443*SUMIFS($AM$2:$AM$11,$AK$2:$AK$11,"&lt;="&amp;AB443,$AL$2:$AL$11,"&gt;="&amp;AB443)</f>
        <v/>
      </c>
      <c r="AH443" s="0">
        <f>AG443*(1-40%)</f>
        <v/>
      </c>
      <c r="AI443" s="0">
        <f>AH443*1.2</f>
        <v/>
      </c>
    </row>
    <row r="444">
      <c r="A444" s="26" t="n"/>
      <c r="B444" s="169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>
        <f>AG444</f>
        <v/>
      </c>
      <c r="T444" s="26">
        <f>AI444+Q444+P444</f>
        <v/>
      </c>
      <c r="U444" s="26" t="n"/>
      <c r="V444" s="26" t="n"/>
      <c r="W444" s="169" t="n"/>
      <c r="X444" s="26" t="n"/>
      <c r="Y444" s="26" t="n"/>
      <c r="Z444" s="26" t="n"/>
      <c r="AA444" s="26" t="n"/>
      <c r="AD444" s="0">
        <f>SUM(Y444,AA444,AC444)</f>
        <v/>
      </c>
      <c r="AE444" s="0">
        <f>X444*Y444+Z444*AA444+AB444*AC444</f>
        <v/>
      </c>
      <c r="AF444" s="0">
        <f>TEXTJOIN(", ",TRUE,IF(AND(X444&gt;0,Y444&gt;0),TEXT(X444,"0.00")&amp;"ct x "&amp;Y444,""),IF(AND(Z444&gt;0,AA444&gt;0),TEXT(Z444,"0.00")&amp;"ct x "&amp;AA444,""),IF(AND(AB444&gt;0,AC444&gt;0),TEXT(AB444,"0.00")&amp;"ct x "&amp;AC444,""))</f>
        <v/>
      </c>
      <c r="AG444" s="0">
        <f>X444*Y444*SUMIFS($AM$2:$AM$11,$AK$2:$AK$11,"&lt;="&amp;X444,$AL$2:$AL$11,"&gt;="&amp;X444)+Z444*AA444*SUMIFS($AM$2:$AM$11,$AK$2:$AK$11,"&lt;="&amp;Z444,$AL$2:$AL$11,"&gt;="&amp;Z444)+AB444*AC444*SUMIFS($AM$2:$AM$11,$AK$2:$AK$11,"&lt;="&amp;AB444,$AL$2:$AL$11,"&gt;="&amp;AB444)</f>
        <v/>
      </c>
      <c r="AH444" s="0">
        <f>AG444*(1-40%)</f>
        <v/>
      </c>
      <c r="AI444" s="0">
        <f>AH444*1.2</f>
        <v/>
      </c>
    </row>
    <row r="445">
      <c r="A445" s="26" t="n"/>
      <c r="B445" s="169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>
        <f>AG445</f>
        <v/>
      </c>
      <c r="T445" s="26">
        <f>AI445+Q445+P445</f>
        <v/>
      </c>
      <c r="U445" s="26" t="n"/>
      <c r="V445" s="26" t="n"/>
      <c r="W445" s="169" t="n"/>
      <c r="X445" s="26" t="n"/>
      <c r="Y445" s="26" t="n"/>
      <c r="Z445" s="26" t="n"/>
      <c r="AA445" s="26" t="n"/>
      <c r="AD445" s="0">
        <f>SUM(Y445,AA445,AC445)</f>
        <v/>
      </c>
      <c r="AE445" s="0">
        <f>X445*Y445+Z445*AA445+AB445*AC445</f>
        <v/>
      </c>
      <c r="AF445" s="0">
        <f>TEXTJOIN(", ",TRUE,IF(AND(X445&gt;0,Y445&gt;0),TEXT(X445,"0.00")&amp;"ct x "&amp;Y445,""),IF(AND(Z445&gt;0,AA445&gt;0),TEXT(Z445,"0.00")&amp;"ct x "&amp;AA445,""),IF(AND(AB445&gt;0,AC445&gt;0),TEXT(AB445,"0.00")&amp;"ct x "&amp;AC445,""))</f>
        <v/>
      </c>
      <c r="AG445" s="0">
        <f>X445*Y445*SUMIFS($AM$2:$AM$11,$AK$2:$AK$11,"&lt;="&amp;X445,$AL$2:$AL$11,"&gt;="&amp;X445)+Z445*AA445*SUMIFS($AM$2:$AM$11,$AK$2:$AK$11,"&lt;="&amp;Z445,$AL$2:$AL$11,"&gt;="&amp;Z445)+AB445*AC445*SUMIFS($AM$2:$AM$11,$AK$2:$AK$11,"&lt;="&amp;AB445,$AL$2:$AL$11,"&gt;="&amp;AB445)</f>
        <v/>
      </c>
      <c r="AH445" s="0">
        <f>AG445*(1-40%)</f>
        <v/>
      </c>
      <c r="AI445" s="0">
        <f>AH445*1.2</f>
        <v/>
      </c>
    </row>
    <row r="446">
      <c r="A446" s="26" t="n"/>
      <c r="B446" s="169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>
        <f>AG446</f>
        <v/>
      </c>
      <c r="T446" s="26">
        <f>AI446+Q446+P446</f>
        <v/>
      </c>
      <c r="U446" s="26" t="n"/>
      <c r="V446" s="26" t="n"/>
      <c r="W446" s="169" t="n"/>
      <c r="X446" s="26" t="n"/>
      <c r="Y446" s="26" t="n"/>
      <c r="Z446" s="26" t="n"/>
      <c r="AA446" s="26" t="n"/>
      <c r="AD446" s="0">
        <f>SUM(Y446,AA446,AC446)</f>
        <v/>
      </c>
      <c r="AE446" s="0">
        <f>X446*Y446+Z446*AA446+AB446*AC446</f>
        <v/>
      </c>
      <c r="AF446" s="0">
        <f>TEXTJOIN(", ",TRUE,IF(AND(X446&gt;0,Y446&gt;0),TEXT(X446,"0.00")&amp;"ct x "&amp;Y446,""),IF(AND(Z446&gt;0,AA446&gt;0),TEXT(Z446,"0.00")&amp;"ct x "&amp;AA446,""),IF(AND(AB446&gt;0,AC446&gt;0),TEXT(AB446,"0.00")&amp;"ct x "&amp;AC446,""))</f>
        <v/>
      </c>
      <c r="AG446" s="0">
        <f>X446*Y446*SUMIFS($AM$2:$AM$11,$AK$2:$AK$11,"&lt;="&amp;X446,$AL$2:$AL$11,"&gt;="&amp;X446)+Z446*AA446*SUMIFS($AM$2:$AM$11,$AK$2:$AK$11,"&lt;="&amp;Z446,$AL$2:$AL$11,"&gt;="&amp;Z446)+AB446*AC446*SUMIFS($AM$2:$AM$11,$AK$2:$AK$11,"&lt;="&amp;AB446,$AL$2:$AL$11,"&gt;="&amp;AB446)</f>
        <v/>
      </c>
      <c r="AH446" s="0">
        <f>AG446*(1-40%)</f>
        <v/>
      </c>
      <c r="AI446" s="0">
        <f>AH446*1.2</f>
        <v/>
      </c>
    </row>
    <row r="447">
      <c r="A447" s="26" t="n"/>
      <c r="B447" s="169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>
        <f>AG447</f>
        <v/>
      </c>
      <c r="T447" s="26">
        <f>AI447+Q447+P447</f>
        <v/>
      </c>
      <c r="U447" s="26" t="n"/>
      <c r="V447" s="26" t="n"/>
      <c r="W447" s="169" t="n"/>
      <c r="X447" s="26" t="n"/>
      <c r="Y447" s="26" t="n"/>
      <c r="Z447" s="26" t="n"/>
      <c r="AA447" s="26" t="n"/>
      <c r="AD447" s="0">
        <f>SUM(Y447,AA447,AC447)</f>
        <v/>
      </c>
      <c r="AE447" s="0">
        <f>X447*Y447+Z447*AA447+AB447*AC447</f>
        <v/>
      </c>
      <c r="AF447" s="0">
        <f>TEXTJOIN(", ",TRUE,IF(AND(X447&gt;0,Y447&gt;0),TEXT(X447,"0.00")&amp;"ct x "&amp;Y447,""),IF(AND(Z447&gt;0,AA447&gt;0),TEXT(Z447,"0.00")&amp;"ct x "&amp;AA447,""),IF(AND(AB447&gt;0,AC447&gt;0),TEXT(AB447,"0.00")&amp;"ct x "&amp;AC447,""))</f>
        <v/>
      </c>
      <c r="AG447" s="0">
        <f>X447*Y447*SUMIFS($AM$2:$AM$11,$AK$2:$AK$11,"&lt;="&amp;X447,$AL$2:$AL$11,"&gt;="&amp;X447)+Z447*AA447*SUMIFS($AM$2:$AM$11,$AK$2:$AK$11,"&lt;="&amp;Z447,$AL$2:$AL$11,"&gt;="&amp;Z447)+AB447*AC447*SUMIFS($AM$2:$AM$11,$AK$2:$AK$11,"&lt;="&amp;AB447,$AL$2:$AL$11,"&gt;="&amp;AB447)</f>
        <v/>
      </c>
      <c r="AH447" s="0">
        <f>AG447*(1-40%)</f>
        <v/>
      </c>
      <c r="AI447" s="0">
        <f>AH447*1.2</f>
        <v/>
      </c>
    </row>
    <row r="448">
      <c r="A448" s="26" t="n"/>
      <c r="B448" s="169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>
        <f>AG448</f>
        <v/>
      </c>
      <c r="T448" s="26">
        <f>AI448+Q448+P448</f>
        <v/>
      </c>
      <c r="U448" s="26" t="n"/>
      <c r="V448" s="26" t="n"/>
      <c r="W448" s="169" t="n"/>
      <c r="X448" s="26" t="n"/>
      <c r="Y448" s="26" t="n"/>
      <c r="Z448" s="26" t="n"/>
      <c r="AA448" s="26" t="n"/>
      <c r="AD448" s="0">
        <f>SUM(Y448,AA448,AC448)</f>
        <v/>
      </c>
      <c r="AE448" s="0">
        <f>X448*Y448+Z448*AA448+AB448*AC448</f>
        <v/>
      </c>
      <c r="AF448" s="0">
        <f>TEXTJOIN(", ",TRUE,IF(AND(X448&gt;0,Y448&gt;0),TEXT(X448,"0.00")&amp;"ct x "&amp;Y448,""),IF(AND(Z448&gt;0,AA448&gt;0),TEXT(Z448,"0.00")&amp;"ct x "&amp;AA448,""),IF(AND(AB448&gt;0,AC448&gt;0),TEXT(AB448,"0.00")&amp;"ct x "&amp;AC448,""))</f>
        <v/>
      </c>
      <c r="AG448" s="0">
        <f>X448*Y448*SUMIFS($AM$2:$AM$11,$AK$2:$AK$11,"&lt;="&amp;X448,$AL$2:$AL$11,"&gt;="&amp;X448)+Z448*AA448*SUMIFS($AM$2:$AM$11,$AK$2:$AK$11,"&lt;="&amp;Z448,$AL$2:$AL$11,"&gt;="&amp;Z448)+AB448*AC448*SUMIFS($AM$2:$AM$11,$AK$2:$AK$11,"&lt;="&amp;AB448,$AL$2:$AL$11,"&gt;="&amp;AB448)</f>
        <v/>
      </c>
      <c r="AH448" s="0">
        <f>AG448*(1-40%)</f>
        <v/>
      </c>
      <c r="AI448" s="0">
        <f>AH448*1.2</f>
        <v/>
      </c>
    </row>
    <row r="449">
      <c r="A449" s="26" t="n"/>
      <c r="B449" s="169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>
        <f>AG449</f>
        <v/>
      </c>
      <c r="T449" s="26">
        <f>AI449+Q449+P449</f>
        <v/>
      </c>
      <c r="U449" s="26" t="n"/>
      <c r="V449" s="26" t="n"/>
      <c r="W449" s="169" t="n"/>
      <c r="X449" s="26" t="n"/>
      <c r="Y449" s="26" t="n"/>
      <c r="Z449" s="26" t="n"/>
      <c r="AA449" s="26" t="n"/>
      <c r="AD449" s="0">
        <f>SUM(Y449,AA449,AC449)</f>
        <v/>
      </c>
      <c r="AE449" s="0">
        <f>X449*Y449+Z449*AA449+AB449*AC449</f>
        <v/>
      </c>
      <c r="AF449" s="0">
        <f>TEXTJOIN(", ",TRUE,IF(AND(X449&gt;0,Y449&gt;0),TEXT(X449,"0.00")&amp;"ct x "&amp;Y449,""),IF(AND(Z449&gt;0,AA449&gt;0),TEXT(Z449,"0.00")&amp;"ct x "&amp;AA449,""),IF(AND(AB449&gt;0,AC449&gt;0),TEXT(AB449,"0.00")&amp;"ct x "&amp;AC449,""))</f>
        <v/>
      </c>
      <c r="AG449" s="0">
        <f>X449*Y449*SUMIFS($AM$2:$AM$11,$AK$2:$AK$11,"&lt;="&amp;X449,$AL$2:$AL$11,"&gt;="&amp;X449)+Z449*AA449*SUMIFS($AM$2:$AM$11,$AK$2:$AK$11,"&lt;="&amp;Z449,$AL$2:$AL$11,"&gt;="&amp;Z449)+AB449*AC449*SUMIFS($AM$2:$AM$11,$AK$2:$AK$11,"&lt;="&amp;AB449,$AL$2:$AL$11,"&gt;="&amp;AB449)</f>
        <v/>
      </c>
      <c r="AH449" s="0">
        <f>AG449*(1-40%)</f>
        <v/>
      </c>
      <c r="AI449" s="0">
        <f>AH449*1.2</f>
        <v/>
      </c>
    </row>
    <row r="450">
      <c r="A450" s="26" t="n"/>
      <c r="B450" s="169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>
        <f>AG450</f>
        <v/>
      </c>
      <c r="T450" s="26">
        <f>AI450+Q450+P450</f>
        <v/>
      </c>
      <c r="U450" s="26" t="n"/>
      <c r="V450" s="26" t="n"/>
      <c r="W450" s="169" t="n"/>
      <c r="X450" s="26" t="n"/>
      <c r="Y450" s="26" t="n"/>
      <c r="Z450" s="26" t="n"/>
      <c r="AA450" s="26" t="n"/>
      <c r="AD450" s="0">
        <f>SUM(Y450,AA450,AC450)</f>
        <v/>
      </c>
      <c r="AE450" s="0">
        <f>X450*Y450+Z450*AA450+AB450*AC450</f>
        <v/>
      </c>
      <c r="AF450" s="0">
        <f>TEXTJOIN(", ",TRUE,IF(AND(X450&gt;0,Y450&gt;0),TEXT(X450,"0.00")&amp;"ct x "&amp;Y450,""),IF(AND(Z450&gt;0,AA450&gt;0),TEXT(Z450,"0.00")&amp;"ct x "&amp;AA450,""),IF(AND(AB450&gt;0,AC450&gt;0),TEXT(AB450,"0.00")&amp;"ct x "&amp;AC450,""))</f>
        <v/>
      </c>
      <c r="AG450" s="0">
        <f>X450*Y450*SUMIFS($AM$2:$AM$11,$AK$2:$AK$11,"&lt;="&amp;X450,$AL$2:$AL$11,"&gt;="&amp;X450)+Z450*AA450*SUMIFS($AM$2:$AM$11,$AK$2:$AK$11,"&lt;="&amp;Z450,$AL$2:$AL$11,"&gt;="&amp;Z450)+AB450*AC450*SUMIFS($AM$2:$AM$11,$AK$2:$AK$11,"&lt;="&amp;AB450,$AL$2:$AL$11,"&gt;="&amp;AB450)</f>
        <v/>
      </c>
      <c r="AH450" s="0">
        <f>AG450*(1-40%)</f>
        <v/>
      </c>
      <c r="AI450" s="0">
        <f>AH450*1.2</f>
        <v/>
      </c>
    </row>
    <row r="451">
      <c r="A451" s="26" t="n"/>
      <c r="B451" s="169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>
        <f>AG451</f>
        <v/>
      </c>
      <c r="T451" s="26">
        <f>AI451+Q451+P451</f>
        <v/>
      </c>
      <c r="U451" s="26" t="n"/>
      <c r="V451" s="26" t="n"/>
      <c r="W451" s="169" t="n"/>
      <c r="X451" s="26" t="n"/>
      <c r="Y451" s="26" t="n"/>
      <c r="Z451" s="26" t="n"/>
      <c r="AA451" s="26" t="n"/>
      <c r="AD451" s="0">
        <f>SUM(Y451,AA451,AC451)</f>
        <v/>
      </c>
      <c r="AE451" s="0">
        <f>X451*Y451+Z451*AA451+AB451*AC451</f>
        <v/>
      </c>
      <c r="AF451" s="0">
        <f>TEXTJOIN(", ",TRUE,IF(AND(X451&gt;0,Y451&gt;0),TEXT(X451,"0.00")&amp;"ct x "&amp;Y451,""),IF(AND(Z451&gt;0,AA451&gt;0),TEXT(Z451,"0.00")&amp;"ct x "&amp;AA451,""),IF(AND(AB451&gt;0,AC451&gt;0),TEXT(AB451,"0.00")&amp;"ct x "&amp;AC451,""))</f>
        <v/>
      </c>
      <c r="AG451" s="0">
        <f>X451*Y451*SUMIFS($AM$2:$AM$11,$AK$2:$AK$11,"&lt;="&amp;X451,$AL$2:$AL$11,"&gt;="&amp;X451)+Z451*AA451*SUMIFS($AM$2:$AM$11,$AK$2:$AK$11,"&lt;="&amp;Z451,$AL$2:$AL$11,"&gt;="&amp;Z451)+AB451*AC451*SUMIFS($AM$2:$AM$11,$AK$2:$AK$11,"&lt;="&amp;AB451,$AL$2:$AL$11,"&gt;="&amp;AB451)</f>
        <v/>
      </c>
      <c r="AH451" s="0">
        <f>AG451*(1-40%)</f>
        <v/>
      </c>
      <c r="AI451" s="0">
        <f>AH451*1.2</f>
        <v/>
      </c>
    </row>
    <row r="452">
      <c r="A452" s="26" t="n"/>
      <c r="B452" s="169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>
        <f>AG452</f>
        <v/>
      </c>
      <c r="T452" s="26">
        <f>AI452+Q452+P452</f>
        <v/>
      </c>
      <c r="U452" s="26" t="n"/>
      <c r="V452" s="26" t="n"/>
      <c r="W452" s="169" t="n"/>
      <c r="X452" s="26" t="n"/>
      <c r="Y452" s="26" t="n"/>
      <c r="Z452" s="26" t="n"/>
      <c r="AA452" s="26" t="n"/>
      <c r="AD452" s="0">
        <f>SUM(Y452,AA452,AC452)</f>
        <v/>
      </c>
      <c r="AE452" s="0">
        <f>X452*Y452+Z452*AA452+AB452*AC452</f>
        <v/>
      </c>
      <c r="AF452" s="0">
        <f>TEXTJOIN(", ",TRUE,IF(AND(X452&gt;0,Y452&gt;0),TEXT(X452,"0.00")&amp;"ct x "&amp;Y452,""),IF(AND(Z452&gt;0,AA452&gt;0),TEXT(Z452,"0.00")&amp;"ct x "&amp;AA452,""),IF(AND(AB452&gt;0,AC452&gt;0),TEXT(AB452,"0.00")&amp;"ct x "&amp;AC452,""))</f>
        <v/>
      </c>
      <c r="AG452" s="0">
        <f>X452*Y452*SUMIFS($AM$2:$AM$11,$AK$2:$AK$11,"&lt;="&amp;X452,$AL$2:$AL$11,"&gt;="&amp;X452)+Z452*AA452*SUMIFS($AM$2:$AM$11,$AK$2:$AK$11,"&lt;="&amp;Z452,$AL$2:$AL$11,"&gt;="&amp;Z452)+AB452*AC452*SUMIFS($AM$2:$AM$11,$AK$2:$AK$11,"&lt;="&amp;AB452,$AL$2:$AL$11,"&gt;="&amp;AB452)</f>
        <v/>
      </c>
      <c r="AH452" s="0">
        <f>AG452*(1-40%)</f>
        <v/>
      </c>
      <c r="AI452" s="0">
        <f>AH452*1.2</f>
        <v/>
      </c>
    </row>
    <row r="453">
      <c r="A453" s="26" t="n"/>
      <c r="B453" s="169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>
        <f>AG453</f>
        <v/>
      </c>
      <c r="T453" s="26">
        <f>AI453+Q453+P453</f>
        <v/>
      </c>
      <c r="U453" s="26" t="n"/>
      <c r="V453" s="26" t="n"/>
      <c r="W453" s="169" t="n"/>
      <c r="X453" s="26" t="n"/>
      <c r="Y453" s="26" t="n"/>
      <c r="Z453" s="26" t="n"/>
      <c r="AA453" s="26" t="n"/>
      <c r="AD453" s="0">
        <f>SUM(Y453,AA453,AC453)</f>
        <v/>
      </c>
      <c r="AE453" s="0">
        <f>X453*Y453+Z453*AA453+AB453*AC453</f>
        <v/>
      </c>
      <c r="AF453" s="0">
        <f>TEXTJOIN(", ",TRUE,IF(AND(X453&gt;0,Y453&gt;0),TEXT(X453,"0.00")&amp;"ct x "&amp;Y453,""),IF(AND(Z453&gt;0,AA453&gt;0),TEXT(Z453,"0.00")&amp;"ct x "&amp;AA453,""),IF(AND(AB453&gt;0,AC453&gt;0),TEXT(AB453,"0.00")&amp;"ct x "&amp;AC453,""))</f>
        <v/>
      </c>
      <c r="AG453" s="0">
        <f>X453*Y453*SUMIFS($AM$2:$AM$11,$AK$2:$AK$11,"&lt;="&amp;X453,$AL$2:$AL$11,"&gt;="&amp;X453)+Z453*AA453*SUMIFS($AM$2:$AM$11,$AK$2:$AK$11,"&lt;="&amp;Z453,$AL$2:$AL$11,"&gt;="&amp;Z453)+AB453*AC453*SUMIFS($AM$2:$AM$11,$AK$2:$AK$11,"&lt;="&amp;AB453,$AL$2:$AL$11,"&gt;="&amp;AB453)</f>
        <v/>
      </c>
      <c r="AH453" s="0">
        <f>AG453*(1-40%)</f>
        <v/>
      </c>
      <c r="AI453" s="0">
        <f>AH453*1.2</f>
        <v/>
      </c>
    </row>
    <row r="454">
      <c r="A454" s="26" t="n"/>
      <c r="B454" s="169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>
        <f>AG454</f>
        <v/>
      </c>
      <c r="T454" s="26">
        <f>AI454+Q454+P454</f>
        <v/>
      </c>
      <c r="U454" s="26" t="n"/>
      <c r="V454" s="26" t="n"/>
      <c r="W454" s="169" t="n"/>
      <c r="X454" s="26" t="n"/>
      <c r="Y454" s="26" t="n"/>
      <c r="Z454" s="26" t="n"/>
      <c r="AA454" s="26" t="n"/>
      <c r="AD454" s="0">
        <f>SUM(Y454,AA454,AC454)</f>
        <v/>
      </c>
      <c r="AE454" s="0">
        <f>X454*Y454+Z454*AA454+AB454*AC454</f>
        <v/>
      </c>
      <c r="AF454" s="0">
        <f>TEXTJOIN(", ",TRUE,IF(AND(X454&gt;0,Y454&gt;0),TEXT(X454,"0.00")&amp;"ct x "&amp;Y454,""),IF(AND(Z454&gt;0,AA454&gt;0),TEXT(Z454,"0.00")&amp;"ct x "&amp;AA454,""),IF(AND(AB454&gt;0,AC454&gt;0),TEXT(AB454,"0.00")&amp;"ct x "&amp;AC454,""))</f>
        <v/>
      </c>
      <c r="AG454" s="0">
        <f>X454*Y454*SUMIFS($AM$2:$AM$11,$AK$2:$AK$11,"&lt;="&amp;X454,$AL$2:$AL$11,"&gt;="&amp;X454)+Z454*AA454*SUMIFS($AM$2:$AM$11,$AK$2:$AK$11,"&lt;="&amp;Z454,$AL$2:$AL$11,"&gt;="&amp;Z454)+AB454*AC454*SUMIFS($AM$2:$AM$11,$AK$2:$AK$11,"&lt;="&amp;AB454,$AL$2:$AL$11,"&gt;="&amp;AB454)</f>
        <v/>
      </c>
      <c r="AH454" s="0">
        <f>AG454*(1-40%)</f>
        <v/>
      </c>
      <c r="AI454" s="0">
        <f>AH454*1.2</f>
        <v/>
      </c>
    </row>
    <row r="455">
      <c r="A455" s="26" t="n"/>
      <c r="B455" s="169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>
        <f>AG455</f>
        <v/>
      </c>
      <c r="T455" s="26">
        <f>AI455+Q455+P455</f>
        <v/>
      </c>
      <c r="U455" s="26" t="n"/>
      <c r="V455" s="26" t="n"/>
      <c r="W455" s="169" t="n"/>
      <c r="X455" s="26" t="n"/>
      <c r="Y455" s="26" t="n"/>
      <c r="Z455" s="26" t="n"/>
      <c r="AA455" s="26" t="n"/>
      <c r="AD455" s="0">
        <f>SUM(Y455,AA455,AC455)</f>
        <v/>
      </c>
      <c r="AE455" s="0">
        <f>X455*Y455+Z455*AA455+AB455*AC455</f>
        <v/>
      </c>
      <c r="AF455" s="0">
        <f>TEXTJOIN(", ",TRUE,IF(AND(X455&gt;0,Y455&gt;0),TEXT(X455,"0.00")&amp;"ct x "&amp;Y455,""),IF(AND(Z455&gt;0,AA455&gt;0),TEXT(Z455,"0.00")&amp;"ct x "&amp;AA455,""),IF(AND(AB455&gt;0,AC455&gt;0),TEXT(AB455,"0.00")&amp;"ct x "&amp;AC455,""))</f>
        <v/>
      </c>
      <c r="AG455" s="0">
        <f>X455*Y455*SUMIFS($AM$2:$AM$11,$AK$2:$AK$11,"&lt;="&amp;X455,$AL$2:$AL$11,"&gt;="&amp;X455)+Z455*AA455*SUMIFS($AM$2:$AM$11,$AK$2:$AK$11,"&lt;="&amp;Z455,$AL$2:$AL$11,"&gt;="&amp;Z455)+AB455*AC455*SUMIFS($AM$2:$AM$11,$AK$2:$AK$11,"&lt;="&amp;AB455,$AL$2:$AL$11,"&gt;="&amp;AB455)</f>
        <v/>
      </c>
      <c r="AH455" s="0">
        <f>AG455*(1-40%)</f>
        <v/>
      </c>
      <c r="AI455" s="0">
        <f>AH455*1.2</f>
        <v/>
      </c>
    </row>
    <row r="456">
      <c r="A456" s="26" t="n"/>
      <c r="B456" s="169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>
        <f>AG456</f>
        <v/>
      </c>
      <c r="T456" s="26">
        <f>AI456+Q456+P456</f>
        <v/>
      </c>
      <c r="U456" s="26" t="n"/>
      <c r="V456" s="26" t="n"/>
      <c r="W456" s="169" t="n"/>
      <c r="X456" s="26" t="n"/>
      <c r="Y456" s="26" t="n"/>
      <c r="Z456" s="26" t="n"/>
      <c r="AA456" s="26" t="n"/>
      <c r="AD456" s="0">
        <f>SUM(Y456,AA456,AC456)</f>
        <v/>
      </c>
      <c r="AE456" s="0">
        <f>X456*Y456+Z456*AA456+AB456*AC456</f>
        <v/>
      </c>
      <c r="AF456" s="0">
        <f>TEXTJOIN(", ",TRUE,IF(AND(X456&gt;0,Y456&gt;0),TEXT(X456,"0.00")&amp;"ct x "&amp;Y456,""),IF(AND(Z456&gt;0,AA456&gt;0),TEXT(Z456,"0.00")&amp;"ct x "&amp;AA456,""),IF(AND(AB456&gt;0,AC456&gt;0),TEXT(AB456,"0.00")&amp;"ct x "&amp;AC456,""))</f>
        <v/>
      </c>
      <c r="AG456" s="0">
        <f>X456*Y456*SUMIFS($AM$2:$AM$11,$AK$2:$AK$11,"&lt;="&amp;X456,$AL$2:$AL$11,"&gt;="&amp;X456)+Z456*AA456*SUMIFS($AM$2:$AM$11,$AK$2:$AK$11,"&lt;="&amp;Z456,$AL$2:$AL$11,"&gt;="&amp;Z456)+AB456*AC456*SUMIFS($AM$2:$AM$11,$AK$2:$AK$11,"&lt;="&amp;AB456,$AL$2:$AL$11,"&gt;="&amp;AB456)</f>
        <v/>
      </c>
      <c r="AH456" s="0">
        <f>AG456*(1-40%)</f>
        <v/>
      </c>
      <c r="AI456" s="0">
        <f>AH456*1.2</f>
        <v/>
      </c>
    </row>
    <row r="457">
      <c r="A457" s="26" t="n"/>
      <c r="B457" s="169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>
        <f>AG457</f>
        <v/>
      </c>
      <c r="T457" s="26">
        <f>AI457+Q457+P457</f>
        <v/>
      </c>
      <c r="U457" s="26" t="n"/>
      <c r="V457" s="26" t="n"/>
      <c r="W457" s="169" t="n"/>
      <c r="X457" s="26" t="n"/>
      <c r="Y457" s="26" t="n"/>
      <c r="Z457" s="26" t="n"/>
      <c r="AA457" s="26" t="n"/>
      <c r="AD457" s="0">
        <f>SUM(Y457,AA457,AC457)</f>
        <v/>
      </c>
      <c r="AE457" s="0">
        <f>X457*Y457+Z457*AA457+AB457*AC457</f>
        <v/>
      </c>
      <c r="AF457" s="0">
        <f>TEXTJOIN(", ",TRUE,IF(AND(X457&gt;0,Y457&gt;0),TEXT(X457,"0.00")&amp;"ct x "&amp;Y457,""),IF(AND(Z457&gt;0,AA457&gt;0),TEXT(Z457,"0.00")&amp;"ct x "&amp;AA457,""),IF(AND(AB457&gt;0,AC457&gt;0),TEXT(AB457,"0.00")&amp;"ct x "&amp;AC457,""))</f>
        <v/>
      </c>
      <c r="AG457" s="0">
        <f>X457*Y457*SUMIFS($AM$2:$AM$11,$AK$2:$AK$11,"&lt;="&amp;X457,$AL$2:$AL$11,"&gt;="&amp;X457)+Z457*AA457*SUMIFS($AM$2:$AM$11,$AK$2:$AK$11,"&lt;="&amp;Z457,$AL$2:$AL$11,"&gt;="&amp;Z457)+AB457*AC457*SUMIFS($AM$2:$AM$11,$AK$2:$AK$11,"&lt;="&amp;AB457,$AL$2:$AL$11,"&gt;="&amp;AB457)</f>
        <v/>
      </c>
      <c r="AH457" s="0">
        <f>AG457*(1-40%)</f>
        <v/>
      </c>
      <c r="AI457" s="0">
        <f>AH457*1.2</f>
        <v/>
      </c>
    </row>
    <row r="458">
      <c r="A458" s="26" t="n"/>
      <c r="B458" s="169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>
        <f>AG458</f>
        <v/>
      </c>
      <c r="T458" s="26">
        <f>AI458+Q458+P458</f>
        <v/>
      </c>
      <c r="U458" s="26" t="n"/>
      <c r="V458" s="26" t="n"/>
      <c r="W458" s="169" t="n"/>
      <c r="X458" s="26" t="n"/>
      <c r="Y458" s="26" t="n"/>
      <c r="Z458" s="26" t="n"/>
      <c r="AA458" s="26" t="n"/>
      <c r="AD458" s="0">
        <f>SUM(Y458,AA458,AC458)</f>
        <v/>
      </c>
      <c r="AE458" s="0">
        <f>X458*Y458+Z458*AA458+AB458*AC458</f>
        <v/>
      </c>
      <c r="AF458" s="0">
        <f>TEXTJOIN(", ",TRUE,IF(AND(X458&gt;0,Y458&gt;0),TEXT(X458,"0.00")&amp;"ct x "&amp;Y458,""),IF(AND(Z458&gt;0,AA458&gt;0),TEXT(Z458,"0.00")&amp;"ct x "&amp;AA458,""),IF(AND(AB458&gt;0,AC458&gt;0),TEXT(AB458,"0.00")&amp;"ct x "&amp;AC458,""))</f>
        <v/>
      </c>
      <c r="AG458" s="0">
        <f>X458*Y458*SUMIFS($AM$2:$AM$11,$AK$2:$AK$11,"&lt;="&amp;X458,$AL$2:$AL$11,"&gt;="&amp;X458)+Z458*AA458*SUMIFS($AM$2:$AM$11,$AK$2:$AK$11,"&lt;="&amp;Z458,$AL$2:$AL$11,"&gt;="&amp;Z458)+AB458*AC458*SUMIFS($AM$2:$AM$11,$AK$2:$AK$11,"&lt;="&amp;AB458,$AL$2:$AL$11,"&gt;="&amp;AB458)</f>
        <v/>
      </c>
      <c r="AH458" s="0">
        <f>AG458*(1-40%)</f>
        <v/>
      </c>
      <c r="AI458" s="0">
        <f>AH458*1.2</f>
        <v/>
      </c>
    </row>
    <row r="459">
      <c r="A459" s="26" t="n"/>
      <c r="B459" s="169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>
        <f>AG459</f>
        <v/>
      </c>
      <c r="T459" s="26">
        <f>AI459+Q459+P459</f>
        <v/>
      </c>
      <c r="U459" s="26" t="n"/>
      <c r="V459" s="26" t="n"/>
      <c r="W459" s="169" t="n"/>
      <c r="X459" s="26" t="n"/>
      <c r="Y459" s="26" t="n"/>
      <c r="Z459" s="26" t="n"/>
      <c r="AA459" s="26" t="n"/>
      <c r="AD459" s="0">
        <f>SUM(Y459,AA459,AC459)</f>
        <v/>
      </c>
      <c r="AE459" s="0">
        <f>X459*Y459+Z459*AA459+AB459*AC459</f>
        <v/>
      </c>
      <c r="AF459" s="0">
        <f>TEXTJOIN(", ",TRUE,IF(AND(X459&gt;0,Y459&gt;0),TEXT(X459,"0.00")&amp;"ct x "&amp;Y459,""),IF(AND(Z459&gt;0,AA459&gt;0),TEXT(Z459,"0.00")&amp;"ct x "&amp;AA459,""),IF(AND(AB459&gt;0,AC459&gt;0),TEXT(AB459,"0.00")&amp;"ct x "&amp;AC459,""))</f>
        <v/>
      </c>
      <c r="AG459" s="0">
        <f>X459*Y459*SUMIFS($AM$2:$AM$11,$AK$2:$AK$11,"&lt;="&amp;X459,$AL$2:$AL$11,"&gt;="&amp;X459)+Z459*AA459*SUMIFS($AM$2:$AM$11,$AK$2:$AK$11,"&lt;="&amp;Z459,$AL$2:$AL$11,"&gt;="&amp;Z459)+AB459*AC459*SUMIFS($AM$2:$AM$11,$AK$2:$AK$11,"&lt;="&amp;AB459,$AL$2:$AL$11,"&gt;="&amp;AB459)</f>
        <v/>
      </c>
      <c r="AH459" s="0">
        <f>AG459*(1-40%)</f>
        <v/>
      </c>
      <c r="AI459" s="0">
        <f>AH459*1.2</f>
        <v/>
      </c>
    </row>
    <row r="460">
      <c r="A460" s="26" t="n"/>
      <c r="B460" s="169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>
        <f>AG460</f>
        <v/>
      </c>
      <c r="T460" s="26">
        <f>AI460+Q460+P460</f>
        <v/>
      </c>
      <c r="U460" s="26" t="n"/>
      <c r="V460" s="26" t="n"/>
      <c r="W460" s="169" t="n"/>
      <c r="X460" s="26" t="n"/>
      <c r="Y460" s="26" t="n"/>
      <c r="Z460" s="26" t="n"/>
      <c r="AA460" s="26" t="n"/>
      <c r="AD460" s="0">
        <f>SUM(Y460,AA460,AC460)</f>
        <v/>
      </c>
      <c r="AE460" s="0">
        <f>X460*Y460+Z460*AA460+AB460*AC460</f>
        <v/>
      </c>
      <c r="AF460" s="0">
        <f>TEXTJOIN(", ",TRUE,IF(AND(X460&gt;0,Y460&gt;0),TEXT(X460,"0.00")&amp;"ct x "&amp;Y460,""),IF(AND(Z460&gt;0,AA460&gt;0),TEXT(Z460,"0.00")&amp;"ct x "&amp;AA460,""),IF(AND(AB460&gt;0,AC460&gt;0),TEXT(AB460,"0.00")&amp;"ct x "&amp;AC460,""))</f>
        <v/>
      </c>
      <c r="AG460" s="0">
        <f>X460*Y460*SUMIFS($AM$2:$AM$11,$AK$2:$AK$11,"&lt;="&amp;X460,$AL$2:$AL$11,"&gt;="&amp;X460)+Z460*AA460*SUMIFS($AM$2:$AM$11,$AK$2:$AK$11,"&lt;="&amp;Z460,$AL$2:$AL$11,"&gt;="&amp;Z460)+AB460*AC460*SUMIFS($AM$2:$AM$11,$AK$2:$AK$11,"&lt;="&amp;AB460,$AL$2:$AL$11,"&gt;="&amp;AB460)</f>
        <v/>
      </c>
      <c r="AH460" s="0">
        <f>AG460*(1-40%)</f>
        <v/>
      </c>
      <c r="AI460" s="0">
        <f>AH460*1.2</f>
        <v/>
      </c>
    </row>
    <row r="461">
      <c r="A461" s="26" t="n"/>
      <c r="B461" s="169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>
        <f>AG461</f>
        <v/>
      </c>
      <c r="T461" s="26">
        <f>AI461+Q461+P461</f>
        <v/>
      </c>
      <c r="U461" s="26" t="n"/>
      <c r="V461" s="26" t="n"/>
      <c r="W461" s="169" t="n"/>
      <c r="X461" s="26" t="n"/>
      <c r="Y461" s="26" t="n"/>
      <c r="Z461" s="26" t="n"/>
      <c r="AA461" s="26" t="n"/>
      <c r="AD461" s="0">
        <f>SUM(Y461,AA461,AC461)</f>
        <v/>
      </c>
      <c r="AE461" s="0">
        <f>X461*Y461+Z461*AA461+AB461*AC461</f>
        <v/>
      </c>
      <c r="AF461" s="0">
        <f>TEXTJOIN(", ",TRUE,IF(AND(X461&gt;0,Y461&gt;0),TEXT(X461,"0.00")&amp;"ct x "&amp;Y461,""),IF(AND(Z461&gt;0,AA461&gt;0),TEXT(Z461,"0.00")&amp;"ct x "&amp;AA461,""),IF(AND(AB461&gt;0,AC461&gt;0),TEXT(AB461,"0.00")&amp;"ct x "&amp;AC461,""))</f>
        <v/>
      </c>
      <c r="AG461" s="0">
        <f>X461*Y461*SUMIFS($AM$2:$AM$11,$AK$2:$AK$11,"&lt;="&amp;X461,$AL$2:$AL$11,"&gt;="&amp;X461)+Z461*AA461*SUMIFS($AM$2:$AM$11,$AK$2:$AK$11,"&lt;="&amp;Z461,$AL$2:$AL$11,"&gt;="&amp;Z461)+AB461*AC461*SUMIFS($AM$2:$AM$11,$AK$2:$AK$11,"&lt;="&amp;AB461,$AL$2:$AL$11,"&gt;="&amp;AB461)</f>
        <v/>
      </c>
      <c r="AH461" s="0">
        <f>AG461*(1-40%)</f>
        <v/>
      </c>
      <c r="AI461" s="0">
        <f>AH461*1.2</f>
        <v/>
      </c>
    </row>
    <row r="462">
      <c r="A462" s="26" t="n"/>
      <c r="B462" s="169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>
        <f>AG462</f>
        <v/>
      </c>
      <c r="T462" s="26">
        <f>AI462+Q462+P462</f>
        <v/>
      </c>
      <c r="U462" s="26" t="n"/>
      <c r="V462" s="26" t="n"/>
      <c r="W462" s="169" t="n"/>
      <c r="X462" s="26" t="n"/>
      <c r="Y462" s="26" t="n"/>
      <c r="Z462" s="26" t="n"/>
      <c r="AA462" s="26" t="n"/>
      <c r="AD462" s="0">
        <f>SUM(Y462,AA462,AC462)</f>
        <v/>
      </c>
      <c r="AE462" s="0">
        <f>X462*Y462+Z462*AA462+AB462*AC462</f>
        <v/>
      </c>
      <c r="AF462" s="0">
        <f>TEXTJOIN(", ",TRUE,IF(AND(X462&gt;0,Y462&gt;0),TEXT(X462,"0.00")&amp;"ct x "&amp;Y462,""),IF(AND(Z462&gt;0,AA462&gt;0),TEXT(Z462,"0.00")&amp;"ct x "&amp;AA462,""),IF(AND(AB462&gt;0,AC462&gt;0),TEXT(AB462,"0.00")&amp;"ct x "&amp;AC462,""))</f>
        <v/>
      </c>
      <c r="AG462" s="0">
        <f>X462*Y462*SUMIFS($AM$2:$AM$11,$AK$2:$AK$11,"&lt;="&amp;X462,$AL$2:$AL$11,"&gt;="&amp;X462)+Z462*AA462*SUMIFS($AM$2:$AM$11,$AK$2:$AK$11,"&lt;="&amp;Z462,$AL$2:$AL$11,"&gt;="&amp;Z462)+AB462*AC462*SUMIFS($AM$2:$AM$11,$AK$2:$AK$11,"&lt;="&amp;AB462,$AL$2:$AL$11,"&gt;="&amp;AB462)</f>
        <v/>
      </c>
      <c r="AH462" s="0">
        <f>AG462*(1-40%)</f>
        <v/>
      </c>
      <c r="AI462" s="0">
        <f>AH462*1.2</f>
        <v/>
      </c>
    </row>
    <row r="463">
      <c r="A463" s="26" t="n"/>
      <c r="B463" s="169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>
        <f>AG463</f>
        <v/>
      </c>
      <c r="T463" s="26">
        <f>AI463+Q463+P463</f>
        <v/>
      </c>
      <c r="U463" s="26" t="n"/>
      <c r="V463" s="26" t="n"/>
      <c r="W463" s="169" t="n"/>
      <c r="X463" s="26" t="n"/>
      <c r="Y463" s="26" t="n"/>
      <c r="Z463" s="26" t="n"/>
      <c r="AA463" s="26" t="n"/>
      <c r="AD463" s="0">
        <f>SUM(Y463,AA463,AC463)</f>
        <v/>
      </c>
      <c r="AE463" s="0">
        <f>X463*Y463+Z463*AA463+AB463*AC463</f>
        <v/>
      </c>
      <c r="AF463" s="0">
        <f>TEXTJOIN(", ",TRUE,IF(AND(X463&gt;0,Y463&gt;0),TEXT(X463,"0.00")&amp;"ct x "&amp;Y463,""),IF(AND(Z463&gt;0,AA463&gt;0),TEXT(Z463,"0.00")&amp;"ct x "&amp;AA463,""),IF(AND(AB463&gt;0,AC463&gt;0),TEXT(AB463,"0.00")&amp;"ct x "&amp;AC463,""))</f>
        <v/>
      </c>
      <c r="AG463" s="0">
        <f>X463*Y463*SUMIFS($AM$2:$AM$11,$AK$2:$AK$11,"&lt;="&amp;X463,$AL$2:$AL$11,"&gt;="&amp;X463)+Z463*AA463*SUMIFS($AM$2:$AM$11,$AK$2:$AK$11,"&lt;="&amp;Z463,$AL$2:$AL$11,"&gt;="&amp;Z463)+AB463*AC463*SUMIFS($AM$2:$AM$11,$AK$2:$AK$11,"&lt;="&amp;AB463,$AL$2:$AL$11,"&gt;="&amp;AB463)</f>
        <v/>
      </c>
      <c r="AH463" s="0">
        <f>AG463*(1-40%)</f>
        <v/>
      </c>
      <c r="AI463" s="0">
        <f>AH463*1.2</f>
        <v/>
      </c>
    </row>
    <row r="464">
      <c r="A464" s="26" t="n"/>
      <c r="B464" s="169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>
        <f>AG464</f>
        <v/>
      </c>
      <c r="T464" s="26">
        <f>AI464+Q464+P464</f>
        <v/>
      </c>
      <c r="U464" s="26" t="n"/>
      <c r="V464" s="26" t="n"/>
      <c r="W464" s="169" t="n"/>
      <c r="X464" s="26" t="n"/>
      <c r="Y464" s="26" t="n"/>
      <c r="Z464" s="26" t="n"/>
      <c r="AA464" s="26" t="n"/>
      <c r="AD464" s="0">
        <f>SUM(Y464,AA464,AC464)</f>
        <v/>
      </c>
      <c r="AE464" s="0">
        <f>X464*Y464+Z464*AA464+AB464*AC464</f>
        <v/>
      </c>
      <c r="AF464" s="0">
        <f>TEXTJOIN(", ",TRUE,IF(AND(X464&gt;0,Y464&gt;0),TEXT(X464,"0.00")&amp;"ct x "&amp;Y464,""),IF(AND(Z464&gt;0,AA464&gt;0),TEXT(Z464,"0.00")&amp;"ct x "&amp;AA464,""),IF(AND(AB464&gt;0,AC464&gt;0),TEXT(AB464,"0.00")&amp;"ct x "&amp;AC464,""))</f>
        <v/>
      </c>
      <c r="AG464" s="0">
        <f>X464*Y464*SUMIFS($AM$2:$AM$11,$AK$2:$AK$11,"&lt;="&amp;X464,$AL$2:$AL$11,"&gt;="&amp;X464)+Z464*AA464*SUMIFS($AM$2:$AM$11,$AK$2:$AK$11,"&lt;="&amp;Z464,$AL$2:$AL$11,"&gt;="&amp;Z464)+AB464*AC464*SUMIFS($AM$2:$AM$11,$AK$2:$AK$11,"&lt;="&amp;AB464,$AL$2:$AL$11,"&gt;="&amp;AB464)</f>
        <v/>
      </c>
      <c r="AH464" s="0">
        <f>AG464*(1-40%)</f>
        <v/>
      </c>
      <c r="AI464" s="0">
        <f>AH464*1.2</f>
        <v/>
      </c>
    </row>
    <row r="465">
      <c r="A465" s="26" t="n"/>
      <c r="B465" s="169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>
        <f>AG465</f>
        <v/>
      </c>
      <c r="T465" s="26">
        <f>AI465+Q465+P465</f>
        <v/>
      </c>
      <c r="U465" s="26" t="n"/>
      <c r="V465" s="26" t="n"/>
      <c r="W465" s="169" t="n"/>
      <c r="X465" s="26" t="n"/>
      <c r="Y465" s="26" t="n"/>
      <c r="Z465" s="26" t="n"/>
      <c r="AA465" s="26" t="n"/>
      <c r="AD465" s="0">
        <f>SUM(Y465,AA465,AC465)</f>
        <v/>
      </c>
      <c r="AE465" s="0">
        <f>X465*Y465+Z465*AA465+AB465*AC465</f>
        <v/>
      </c>
      <c r="AF465" s="0">
        <f>TEXTJOIN(", ",TRUE,IF(AND(X465&gt;0,Y465&gt;0),TEXT(X465,"0.00")&amp;"ct x "&amp;Y465,""),IF(AND(Z465&gt;0,AA465&gt;0),TEXT(Z465,"0.00")&amp;"ct x "&amp;AA465,""),IF(AND(AB465&gt;0,AC465&gt;0),TEXT(AB465,"0.00")&amp;"ct x "&amp;AC465,""))</f>
        <v/>
      </c>
      <c r="AG465" s="0">
        <f>X465*Y465*SUMIFS($AM$2:$AM$11,$AK$2:$AK$11,"&lt;="&amp;X465,$AL$2:$AL$11,"&gt;="&amp;X465)+Z465*AA465*SUMIFS($AM$2:$AM$11,$AK$2:$AK$11,"&lt;="&amp;Z465,$AL$2:$AL$11,"&gt;="&amp;Z465)+AB465*AC465*SUMIFS($AM$2:$AM$11,$AK$2:$AK$11,"&lt;="&amp;AB465,$AL$2:$AL$11,"&gt;="&amp;AB465)</f>
        <v/>
      </c>
      <c r="AH465" s="0">
        <f>AG465*(1-40%)</f>
        <v/>
      </c>
      <c r="AI465" s="0">
        <f>AH465*1.2</f>
        <v/>
      </c>
    </row>
    <row r="466">
      <c r="A466" s="26" t="n"/>
      <c r="B466" s="169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>
        <f>AG466</f>
        <v/>
      </c>
      <c r="T466" s="26">
        <f>AI466+Q466+P466</f>
        <v/>
      </c>
      <c r="U466" s="26" t="n"/>
      <c r="V466" s="26" t="n"/>
      <c r="W466" s="169" t="n"/>
      <c r="X466" s="26" t="n"/>
      <c r="Y466" s="26" t="n"/>
      <c r="Z466" s="26" t="n"/>
      <c r="AA466" s="26" t="n"/>
      <c r="AD466" s="0">
        <f>SUM(Y466,AA466,AC466)</f>
        <v/>
      </c>
      <c r="AE466" s="0">
        <f>X466*Y466+Z466*AA466+AB466*AC466</f>
        <v/>
      </c>
      <c r="AF466" s="0">
        <f>TEXTJOIN(", ",TRUE,IF(AND(X466&gt;0,Y466&gt;0),TEXT(X466,"0.00")&amp;"ct x "&amp;Y466,""),IF(AND(Z466&gt;0,AA466&gt;0),TEXT(Z466,"0.00")&amp;"ct x "&amp;AA466,""),IF(AND(AB466&gt;0,AC466&gt;0),TEXT(AB466,"0.00")&amp;"ct x "&amp;AC466,""))</f>
        <v/>
      </c>
      <c r="AG466" s="0">
        <f>X466*Y466*SUMIFS($AM$2:$AM$11,$AK$2:$AK$11,"&lt;="&amp;X466,$AL$2:$AL$11,"&gt;="&amp;X466)+Z466*AA466*SUMIFS($AM$2:$AM$11,$AK$2:$AK$11,"&lt;="&amp;Z466,$AL$2:$AL$11,"&gt;="&amp;Z466)+AB466*AC466*SUMIFS($AM$2:$AM$11,$AK$2:$AK$11,"&lt;="&amp;AB466,$AL$2:$AL$11,"&gt;="&amp;AB466)</f>
        <v/>
      </c>
      <c r="AH466" s="0">
        <f>AG466*(1-40%)</f>
        <v/>
      </c>
      <c r="AI466" s="0">
        <f>AH466*1.2</f>
        <v/>
      </c>
    </row>
    <row r="467">
      <c r="A467" s="26" t="n"/>
      <c r="B467" s="169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>
        <f>AG467</f>
        <v/>
      </c>
      <c r="T467" s="26">
        <f>AI467+Q467+P467</f>
        <v/>
      </c>
      <c r="U467" s="26" t="n"/>
      <c r="V467" s="26" t="n"/>
      <c r="W467" s="169" t="n"/>
      <c r="X467" s="26" t="n"/>
      <c r="Y467" s="26" t="n"/>
      <c r="Z467" s="26" t="n"/>
      <c r="AA467" s="26" t="n"/>
      <c r="AD467" s="0">
        <f>SUM(Y467,AA467,AC467)</f>
        <v/>
      </c>
      <c r="AE467" s="0">
        <f>X467*Y467+Z467*AA467+AB467*AC467</f>
        <v/>
      </c>
      <c r="AF467" s="0">
        <f>TEXTJOIN(", ",TRUE,IF(AND(X467&gt;0,Y467&gt;0),TEXT(X467,"0.00")&amp;"ct x "&amp;Y467,""),IF(AND(Z467&gt;0,AA467&gt;0),TEXT(Z467,"0.00")&amp;"ct x "&amp;AA467,""),IF(AND(AB467&gt;0,AC467&gt;0),TEXT(AB467,"0.00")&amp;"ct x "&amp;AC467,""))</f>
        <v/>
      </c>
      <c r="AG467" s="0">
        <f>X467*Y467*SUMIFS($AM$2:$AM$11,$AK$2:$AK$11,"&lt;="&amp;X467,$AL$2:$AL$11,"&gt;="&amp;X467)+Z467*AA467*SUMIFS($AM$2:$AM$11,$AK$2:$AK$11,"&lt;="&amp;Z467,$AL$2:$AL$11,"&gt;="&amp;Z467)+AB467*AC467*SUMIFS($AM$2:$AM$11,$AK$2:$AK$11,"&lt;="&amp;AB467,$AL$2:$AL$11,"&gt;="&amp;AB467)</f>
        <v/>
      </c>
      <c r="AH467" s="0">
        <f>AG467*(1-40%)</f>
        <v/>
      </c>
      <c r="AI467" s="0">
        <f>AH467*1.2</f>
        <v/>
      </c>
    </row>
    <row r="468">
      <c r="A468" s="26" t="n"/>
      <c r="B468" s="169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>
        <f>AG468</f>
        <v/>
      </c>
      <c r="T468" s="26">
        <f>AI468+Q468+P468</f>
        <v/>
      </c>
      <c r="U468" s="26" t="n"/>
      <c r="V468" s="26" t="n"/>
      <c r="W468" s="169" t="n"/>
      <c r="X468" s="26" t="n"/>
      <c r="Y468" s="26" t="n"/>
      <c r="Z468" s="26" t="n"/>
      <c r="AA468" s="26" t="n"/>
      <c r="AD468" s="0">
        <f>SUM(Y468,AA468,AC468)</f>
        <v/>
      </c>
      <c r="AE468" s="0">
        <f>X468*Y468+Z468*AA468+AB468*AC468</f>
        <v/>
      </c>
      <c r="AF468" s="0">
        <f>TEXTJOIN(", ",TRUE,IF(AND(X468&gt;0,Y468&gt;0),TEXT(X468,"0.00")&amp;"ct x "&amp;Y468,""),IF(AND(Z468&gt;0,AA468&gt;0),TEXT(Z468,"0.00")&amp;"ct x "&amp;AA468,""),IF(AND(AB468&gt;0,AC468&gt;0),TEXT(AB468,"0.00")&amp;"ct x "&amp;AC468,""))</f>
        <v/>
      </c>
      <c r="AG468" s="0">
        <f>X468*Y468*SUMIFS($AM$2:$AM$11,$AK$2:$AK$11,"&lt;="&amp;X468,$AL$2:$AL$11,"&gt;="&amp;X468)+Z468*AA468*SUMIFS($AM$2:$AM$11,$AK$2:$AK$11,"&lt;="&amp;Z468,$AL$2:$AL$11,"&gt;="&amp;Z468)+AB468*AC468*SUMIFS($AM$2:$AM$11,$AK$2:$AK$11,"&lt;="&amp;AB468,$AL$2:$AL$11,"&gt;="&amp;AB468)</f>
        <v/>
      </c>
      <c r="AH468" s="0">
        <f>AG468*(1-40%)</f>
        <v/>
      </c>
      <c r="AI468" s="0">
        <f>AH468*1.2</f>
        <v/>
      </c>
    </row>
    <row r="469">
      <c r="A469" s="26" t="n"/>
      <c r="B469" s="169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>
        <f>AG469</f>
        <v/>
      </c>
      <c r="T469" s="26">
        <f>AI469+Q469+P469</f>
        <v/>
      </c>
      <c r="U469" s="26" t="n"/>
      <c r="V469" s="26" t="n"/>
      <c r="W469" s="169" t="n"/>
      <c r="X469" s="26" t="n"/>
      <c r="Y469" s="26" t="n"/>
      <c r="Z469" s="26" t="n"/>
      <c r="AA469" s="26" t="n"/>
      <c r="AD469" s="0">
        <f>SUM(Y469,AA469,AC469)</f>
        <v/>
      </c>
      <c r="AE469" s="0">
        <f>X469*Y469+Z469*AA469+AB469*AC469</f>
        <v/>
      </c>
      <c r="AF469" s="0">
        <f>TEXTJOIN(", ",TRUE,IF(AND(X469&gt;0,Y469&gt;0),TEXT(X469,"0.00")&amp;"ct x "&amp;Y469,""),IF(AND(Z469&gt;0,AA469&gt;0),TEXT(Z469,"0.00")&amp;"ct x "&amp;AA469,""),IF(AND(AB469&gt;0,AC469&gt;0),TEXT(AB469,"0.00")&amp;"ct x "&amp;AC469,""))</f>
        <v/>
      </c>
      <c r="AG469" s="0">
        <f>X469*Y469*SUMIFS($AM$2:$AM$11,$AK$2:$AK$11,"&lt;="&amp;X469,$AL$2:$AL$11,"&gt;="&amp;X469)+Z469*AA469*SUMIFS($AM$2:$AM$11,$AK$2:$AK$11,"&lt;="&amp;Z469,$AL$2:$AL$11,"&gt;="&amp;Z469)+AB469*AC469*SUMIFS($AM$2:$AM$11,$AK$2:$AK$11,"&lt;="&amp;AB469,$AL$2:$AL$11,"&gt;="&amp;AB469)</f>
        <v/>
      </c>
      <c r="AH469" s="0">
        <f>AG469*(1-40%)</f>
        <v/>
      </c>
      <c r="AI469" s="0">
        <f>AH469*1.2</f>
        <v/>
      </c>
    </row>
    <row r="470">
      <c r="A470" s="26" t="n"/>
      <c r="B470" s="169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>
        <f>AG470</f>
        <v/>
      </c>
      <c r="T470" s="26">
        <f>AI470+Q470+P470</f>
        <v/>
      </c>
      <c r="U470" s="26" t="n"/>
      <c r="V470" s="26" t="n"/>
      <c r="W470" s="169" t="n"/>
      <c r="X470" s="26" t="n"/>
      <c r="Y470" s="26" t="n"/>
      <c r="Z470" s="26" t="n"/>
      <c r="AA470" s="26" t="n"/>
      <c r="AD470" s="0">
        <f>SUM(Y470,AA470,AC470)</f>
        <v/>
      </c>
      <c r="AE470" s="0">
        <f>X470*Y470+Z470*AA470+AB470*AC470</f>
        <v/>
      </c>
      <c r="AF470" s="0">
        <f>TEXTJOIN(", ",TRUE,IF(AND(X470&gt;0,Y470&gt;0),TEXT(X470,"0.00")&amp;"ct x "&amp;Y470,""),IF(AND(Z470&gt;0,AA470&gt;0),TEXT(Z470,"0.00")&amp;"ct x "&amp;AA470,""),IF(AND(AB470&gt;0,AC470&gt;0),TEXT(AB470,"0.00")&amp;"ct x "&amp;AC470,""))</f>
        <v/>
      </c>
      <c r="AG470" s="0">
        <f>X470*Y470*SUMIFS($AM$2:$AM$11,$AK$2:$AK$11,"&lt;="&amp;X470,$AL$2:$AL$11,"&gt;="&amp;X470)+Z470*AA470*SUMIFS($AM$2:$AM$11,$AK$2:$AK$11,"&lt;="&amp;Z470,$AL$2:$AL$11,"&gt;="&amp;Z470)+AB470*AC470*SUMIFS($AM$2:$AM$11,$AK$2:$AK$11,"&lt;="&amp;AB470,$AL$2:$AL$11,"&gt;="&amp;AB470)</f>
        <v/>
      </c>
      <c r="AH470" s="0">
        <f>AG470*(1-40%)</f>
        <v/>
      </c>
      <c r="AI470" s="0">
        <f>AH470*1.2</f>
        <v/>
      </c>
    </row>
    <row r="471">
      <c r="A471" s="26" t="n"/>
      <c r="B471" s="169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>
        <f>AG471</f>
        <v/>
      </c>
      <c r="T471" s="26">
        <f>AI471+Q471+P471</f>
        <v/>
      </c>
      <c r="U471" s="26" t="n"/>
      <c r="V471" s="26" t="n"/>
      <c r="W471" s="169" t="n"/>
      <c r="X471" s="26" t="n"/>
      <c r="Y471" s="26" t="n"/>
      <c r="Z471" s="26" t="n"/>
      <c r="AA471" s="26" t="n"/>
      <c r="AD471" s="0">
        <f>SUM(Y471,AA471,AC471)</f>
        <v/>
      </c>
      <c r="AE471" s="0">
        <f>X471*Y471+Z471*AA471+AB471*AC471</f>
        <v/>
      </c>
      <c r="AF471" s="0">
        <f>TEXTJOIN(", ",TRUE,IF(AND(X471&gt;0,Y471&gt;0),TEXT(X471,"0.00")&amp;"ct x "&amp;Y471,""),IF(AND(Z471&gt;0,AA471&gt;0),TEXT(Z471,"0.00")&amp;"ct x "&amp;AA471,""),IF(AND(AB471&gt;0,AC471&gt;0),TEXT(AB471,"0.00")&amp;"ct x "&amp;AC471,""))</f>
        <v/>
      </c>
      <c r="AG471" s="0">
        <f>X471*Y471*SUMIFS($AM$2:$AM$11,$AK$2:$AK$11,"&lt;="&amp;X471,$AL$2:$AL$11,"&gt;="&amp;X471)+Z471*AA471*SUMIFS($AM$2:$AM$11,$AK$2:$AK$11,"&lt;="&amp;Z471,$AL$2:$AL$11,"&gt;="&amp;Z471)+AB471*AC471*SUMIFS($AM$2:$AM$11,$AK$2:$AK$11,"&lt;="&amp;AB471,$AL$2:$AL$11,"&gt;="&amp;AB471)</f>
        <v/>
      </c>
      <c r="AH471" s="0">
        <f>AG471*(1-40%)</f>
        <v/>
      </c>
      <c r="AI471" s="0">
        <f>AH471*1.2</f>
        <v/>
      </c>
    </row>
    <row r="472">
      <c r="A472" s="26" t="n"/>
      <c r="B472" s="169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>
        <f>AG472</f>
        <v/>
      </c>
      <c r="T472" s="26">
        <f>AI472+Q472+P472</f>
        <v/>
      </c>
      <c r="U472" s="26" t="n"/>
      <c r="V472" s="26" t="n"/>
      <c r="W472" s="169" t="n"/>
      <c r="X472" s="26" t="n"/>
      <c r="Y472" s="26" t="n"/>
      <c r="Z472" s="26" t="n"/>
      <c r="AA472" s="26" t="n"/>
      <c r="AD472" s="0">
        <f>SUM(Y472,AA472,AC472)</f>
        <v/>
      </c>
      <c r="AE472" s="0">
        <f>X472*Y472+Z472*AA472+AB472*AC472</f>
        <v/>
      </c>
      <c r="AF472" s="0">
        <f>TEXTJOIN(", ",TRUE,IF(AND(X472&gt;0,Y472&gt;0),TEXT(X472,"0.00")&amp;"ct x "&amp;Y472,""),IF(AND(Z472&gt;0,AA472&gt;0),TEXT(Z472,"0.00")&amp;"ct x "&amp;AA472,""),IF(AND(AB472&gt;0,AC472&gt;0),TEXT(AB472,"0.00")&amp;"ct x "&amp;AC472,""))</f>
        <v/>
      </c>
      <c r="AG472" s="0">
        <f>X472*Y472*SUMIFS($AM$2:$AM$11,$AK$2:$AK$11,"&lt;="&amp;X472,$AL$2:$AL$11,"&gt;="&amp;X472)+Z472*AA472*SUMIFS($AM$2:$AM$11,$AK$2:$AK$11,"&lt;="&amp;Z472,$AL$2:$AL$11,"&gt;="&amp;Z472)+AB472*AC472*SUMIFS($AM$2:$AM$11,$AK$2:$AK$11,"&lt;="&amp;AB472,$AL$2:$AL$11,"&gt;="&amp;AB472)</f>
        <v/>
      </c>
      <c r="AH472" s="0">
        <f>AG472*(1-40%)</f>
        <v/>
      </c>
      <c r="AI472" s="0">
        <f>AH472*1.2</f>
        <v/>
      </c>
    </row>
    <row r="473">
      <c r="A473" s="26" t="n"/>
      <c r="B473" s="169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>
        <f>AG473</f>
        <v/>
      </c>
      <c r="T473" s="26">
        <f>AI473+Q473+P473</f>
        <v/>
      </c>
      <c r="U473" s="26" t="n"/>
      <c r="V473" s="26" t="n"/>
      <c r="W473" s="169" t="n"/>
      <c r="X473" s="26" t="n"/>
      <c r="Y473" s="26" t="n"/>
      <c r="Z473" s="26" t="n"/>
      <c r="AA473" s="26" t="n"/>
      <c r="AD473" s="0">
        <f>SUM(Y473,AA473,AC473)</f>
        <v/>
      </c>
      <c r="AE473" s="0">
        <f>X473*Y473+Z473*AA473+AB473*AC473</f>
        <v/>
      </c>
      <c r="AF473" s="0">
        <f>TEXTJOIN(", ",TRUE,IF(AND(X473&gt;0,Y473&gt;0),TEXT(X473,"0.00")&amp;"ct x "&amp;Y473,""),IF(AND(Z473&gt;0,AA473&gt;0),TEXT(Z473,"0.00")&amp;"ct x "&amp;AA473,""),IF(AND(AB473&gt;0,AC473&gt;0),TEXT(AB473,"0.00")&amp;"ct x "&amp;AC473,""))</f>
        <v/>
      </c>
      <c r="AG473" s="0">
        <f>X473*Y473*SUMIFS($AM$2:$AM$11,$AK$2:$AK$11,"&lt;="&amp;X473,$AL$2:$AL$11,"&gt;="&amp;X473)+Z473*AA473*SUMIFS($AM$2:$AM$11,$AK$2:$AK$11,"&lt;="&amp;Z473,$AL$2:$AL$11,"&gt;="&amp;Z473)+AB473*AC473*SUMIFS($AM$2:$AM$11,$AK$2:$AK$11,"&lt;="&amp;AB473,$AL$2:$AL$11,"&gt;="&amp;AB473)</f>
        <v/>
      </c>
      <c r="AH473" s="0">
        <f>AG473*(1-40%)</f>
        <v/>
      </c>
      <c r="AI473" s="0">
        <f>AH473*1.2</f>
        <v/>
      </c>
    </row>
    <row r="474">
      <c r="A474" s="26" t="n"/>
      <c r="B474" s="169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>
        <f>AG474</f>
        <v/>
      </c>
      <c r="T474" s="26">
        <f>AI474+Q474+P474</f>
        <v/>
      </c>
      <c r="U474" s="26" t="n"/>
      <c r="V474" s="26" t="n"/>
      <c r="W474" s="169" t="n"/>
      <c r="X474" s="26" t="n"/>
      <c r="Y474" s="26" t="n"/>
      <c r="Z474" s="26" t="n"/>
      <c r="AA474" s="26" t="n"/>
      <c r="AD474" s="0">
        <f>SUM(Y474,AA474,AC474)</f>
        <v/>
      </c>
      <c r="AE474" s="0">
        <f>X474*Y474+Z474*AA474+AB474*AC474</f>
        <v/>
      </c>
      <c r="AF474" s="0">
        <f>TEXTJOIN(", ",TRUE,IF(AND(X474&gt;0,Y474&gt;0),TEXT(X474,"0.00")&amp;"ct x "&amp;Y474,""),IF(AND(Z474&gt;0,AA474&gt;0),TEXT(Z474,"0.00")&amp;"ct x "&amp;AA474,""),IF(AND(AB474&gt;0,AC474&gt;0),TEXT(AB474,"0.00")&amp;"ct x "&amp;AC474,""))</f>
        <v/>
      </c>
      <c r="AG474" s="0">
        <f>X474*Y474*SUMIFS($AM$2:$AM$11,$AK$2:$AK$11,"&lt;="&amp;X474,$AL$2:$AL$11,"&gt;="&amp;X474)+Z474*AA474*SUMIFS($AM$2:$AM$11,$AK$2:$AK$11,"&lt;="&amp;Z474,$AL$2:$AL$11,"&gt;="&amp;Z474)+AB474*AC474*SUMIFS($AM$2:$AM$11,$AK$2:$AK$11,"&lt;="&amp;AB474,$AL$2:$AL$11,"&gt;="&amp;AB474)</f>
        <v/>
      </c>
      <c r="AH474" s="0">
        <f>AG474*(1-40%)</f>
        <v/>
      </c>
      <c r="AI474" s="0">
        <f>AH474*1.2</f>
        <v/>
      </c>
    </row>
    <row r="475">
      <c r="A475" s="26" t="n"/>
      <c r="B475" s="169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>
        <f>AG475</f>
        <v/>
      </c>
      <c r="T475" s="26">
        <f>AI475+Q475+P475</f>
        <v/>
      </c>
      <c r="U475" s="26" t="n"/>
      <c r="V475" s="26" t="n"/>
      <c r="W475" s="169" t="n"/>
      <c r="X475" s="26" t="n"/>
      <c r="Y475" s="26" t="n"/>
      <c r="Z475" s="26" t="n"/>
      <c r="AA475" s="26" t="n"/>
      <c r="AD475" s="0">
        <f>SUM(Y475,AA475,AC475)</f>
        <v/>
      </c>
      <c r="AE475" s="0">
        <f>X475*Y475+Z475*AA475+AB475*AC475</f>
        <v/>
      </c>
      <c r="AF475" s="0">
        <f>TEXTJOIN(", ",TRUE,IF(AND(X475&gt;0,Y475&gt;0),TEXT(X475,"0.00")&amp;"ct x "&amp;Y475,""),IF(AND(Z475&gt;0,AA475&gt;0),TEXT(Z475,"0.00")&amp;"ct x "&amp;AA475,""),IF(AND(AB475&gt;0,AC475&gt;0),TEXT(AB475,"0.00")&amp;"ct x "&amp;AC475,""))</f>
        <v/>
      </c>
      <c r="AG475" s="0">
        <f>X475*Y475*SUMIFS($AM$2:$AM$11,$AK$2:$AK$11,"&lt;="&amp;X475,$AL$2:$AL$11,"&gt;="&amp;X475)+Z475*AA475*SUMIFS($AM$2:$AM$11,$AK$2:$AK$11,"&lt;="&amp;Z475,$AL$2:$AL$11,"&gt;="&amp;Z475)+AB475*AC475*SUMIFS($AM$2:$AM$11,$AK$2:$AK$11,"&lt;="&amp;AB475,$AL$2:$AL$11,"&gt;="&amp;AB475)</f>
        <v/>
      </c>
      <c r="AH475" s="0">
        <f>AG475*(1-40%)</f>
        <v/>
      </c>
      <c r="AI475" s="0">
        <f>AH475*1.2</f>
        <v/>
      </c>
    </row>
    <row r="476">
      <c r="A476" s="26" t="n"/>
      <c r="B476" s="169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>
        <f>AG476</f>
        <v/>
      </c>
      <c r="T476" s="26">
        <f>AI476+Q476+P476</f>
        <v/>
      </c>
      <c r="U476" s="26" t="n"/>
      <c r="V476" s="26" t="n"/>
      <c r="W476" s="169" t="n"/>
      <c r="X476" s="26" t="n"/>
      <c r="Y476" s="26" t="n"/>
      <c r="Z476" s="26" t="n"/>
      <c r="AA476" s="26" t="n"/>
      <c r="AD476" s="0">
        <f>SUM(Y476,AA476,AC476)</f>
        <v/>
      </c>
      <c r="AE476" s="0">
        <f>X476*Y476+Z476*AA476+AB476*AC476</f>
        <v/>
      </c>
      <c r="AF476" s="0">
        <f>TEXTJOIN(", ",TRUE,IF(AND(X476&gt;0,Y476&gt;0),TEXT(X476,"0.00")&amp;"ct x "&amp;Y476,""),IF(AND(Z476&gt;0,AA476&gt;0),TEXT(Z476,"0.00")&amp;"ct x "&amp;AA476,""),IF(AND(AB476&gt;0,AC476&gt;0),TEXT(AB476,"0.00")&amp;"ct x "&amp;AC476,""))</f>
        <v/>
      </c>
      <c r="AG476" s="0">
        <f>X476*Y476*SUMIFS($AM$2:$AM$11,$AK$2:$AK$11,"&lt;="&amp;X476,$AL$2:$AL$11,"&gt;="&amp;X476)+Z476*AA476*SUMIFS($AM$2:$AM$11,$AK$2:$AK$11,"&lt;="&amp;Z476,$AL$2:$AL$11,"&gt;="&amp;Z476)+AB476*AC476*SUMIFS($AM$2:$AM$11,$AK$2:$AK$11,"&lt;="&amp;AB476,$AL$2:$AL$11,"&gt;="&amp;AB476)</f>
        <v/>
      </c>
      <c r="AH476" s="0">
        <f>AG476*(1-40%)</f>
        <v/>
      </c>
      <c r="AI476" s="0">
        <f>AH476*1.2</f>
        <v/>
      </c>
    </row>
    <row r="477">
      <c r="A477" s="26" t="n"/>
      <c r="B477" s="169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>
        <f>AG477</f>
        <v/>
      </c>
      <c r="T477" s="26">
        <f>AI477+Q477+P477</f>
        <v/>
      </c>
      <c r="U477" s="26" t="n"/>
      <c r="V477" s="26" t="n"/>
      <c r="W477" s="169" t="n"/>
      <c r="X477" s="26" t="n"/>
      <c r="Y477" s="26" t="n"/>
      <c r="Z477" s="26" t="n"/>
      <c r="AA477" s="26" t="n"/>
      <c r="AD477" s="0">
        <f>SUM(Y477,AA477,AC477)</f>
        <v/>
      </c>
      <c r="AE477" s="0">
        <f>X477*Y477+Z477*AA477+AB477*AC477</f>
        <v/>
      </c>
      <c r="AF477" s="0">
        <f>TEXTJOIN(", ",TRUE,IF(AND(X477&gt;0,Y477&gt;0),TEXT(X477,"0.00")&amp;"ct x "&amp;Y477,""),IF(AND(Z477&gt;0,AA477&gt;0),TEXT(Z477,"0.00")&amp;"ct x "&amp;AA477,""),IF(AND(AB477&gt;0,AC477&gt;0),TEXT(AB477,"0.00")&amp;"ct x "&amp;AC477,""))</f>
        <v/>
      </c>
      <c r="AG477" s="0">
        <f>X477*Y477*SUMIFS($AM$2:$AM$11,$AK$2:$AK$11,"&lt;="&amp;X477,$AL$2:$AL$11,"&gt;="&amp;X477)+Z477*AA477*SUMIFS($AM$2:$AM$11,$AK$2:$AK$11,"&lt;="&amp;Z477,$AL$2:$AL$11,"&gt;="&amp;Z477)+AB477*AC477*SUMIFS($AM$2:$AM$11,$AK$2:$AK$11,"&lt;="&amp;AB477,$AL$2:$AL$11,"&gt;="&amp;AB477)</f>
        <v/>
      </c>
      <c r="AH477" s="0">
        <f>AG477*(1-40%)</f>
        <v/>
      </c>
      <c r="AI477" s="0">
        <f>AH477*1.2</f>
        <v/>
      </c>
    </row>
    <row r="478">
      <c r="A478" s="26" t="n"/>
      <c r="B478" s="169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>
        <f>AG478</f>
        <v/>
      </c>
      <c r="T478" s="26">
        <f>AI478+Q478+P478</f>
        <v/>
      </c>
      <c r="U478" s="26" t="n"/>
      <c r="V478" s="26" t="n"/>
      <c r="W478" s="169" t="n"/>
      <c r="X478" s="26" t="n"/>
      <c r="Y478" s="26" t="n"/>
      <c r="Z478" s="26" t="n"/>
      <c r="AA478" s="26" t="n"/>
      <c r="AD478" s="0">
        <f>SUM(Y478,AA478,AC478)</f>
        <v/>
      </c>
      <c r="AE478" s="0">
        <f>X478*Y478+Z478*AA478+AB478*AC478</f>
        <v/>
      </c>
      <c r="AF478" s="0">
        <f>TEXTJOIN(", ",TRUE,IF(AND(X478&gt;0,Y478&gt;0),TEXT(X478,"0.00")&amp;"ct x "&amp;Y478,""),IF(AND(Z478&gt;0,AA478&gt;0),TEXT(Z478,"0.00")&amp;"ct x "&amp;AA478,""),IF(AND(AB478&gt;0,AC478&gt;0),TEXT(AB478,"0.00")&amp;"ct x "&amp;AC478,""))</f>
        <v/>
      </c>
      <c r="AG478" s="0">
        <f>X478*Y478*SUMIFS($AM$2:$AM$11,$AK$2:$AK$11,"&lt;="&amp;X478,$AL$2:$AL$11,"&gt;="&amp;X478)+Z478*AA478*SUMIFS($AM$2:$AM$11,$AK$2:$AK$11,"&lt;="&amp;Z478,$AL$2:$AL$11,"&gt;="&amp;Z478)+AB478*AC478*SUMIFS($AM$2:$AM$11,$AK$2:$AK$11,"&lt;="&amp;AB478,$AL$2:$AL$11,"&gt;="&amp;AB478)</f>
        <v/>
      </c>
      <c r="AH478" s="0">
        <f>AG478*(1-40%)</f>
        <v/>
      </c>
      <c r="AI478" s="0">
        <f>AH478*1.2</f>
        <v/>
      </c>
    </row>
    <row r="479">
      <c r="A479" s="26" t="n"/>
      <c r="B479" s="169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>
        <f>AG479</f>
        <v/>
      </c>
      <c r="T479" s="26">
        <f>AI479+Q479+P479</f>
        <v/>
      </c>
      <c r="U479" s="26" t="n"/>
      <c r="V479" s="26" t="n"/>
      <c r="W479" s="169" t="n"/>
      <c r="X479" s="26" t="n"/>
      <c r="Y479" s="26" t="n"/>
      <c r="Z479" s="26" t="n"/>
      <c r="AA479" s="26" t="n"/>
      <c r="AD479" s="0">
        <f>SUM(Y479,AA479,AC479)</f>
        <v/>
      </c>
      <c r="AE479" s="0">
        <f>X479*Y479+Z479*AA479+AB479*AC479</f>
        <v/>
      </c>
      <c r="AF479" s="0">
        <f>TEXTJOIN(", ",TRUE,IF(AND(X479&gt;0,Y479&gt;0),TEXT(X479,"0.00")&amp;"ct x "&amp;Y479,""),IF(AND(Z479&gt;0,AA479&gt;0),TEXT(Z479,"0.00")&amp;"ct x "&amp;AA479,""),IF(AND(AB479&gt;0,AC479&gt;0),TEXT(AB479,"0.00")&amp;"ct x "&amp;AC479,""))</f>
        <v/>
      </c>
      <c r="AG479" s="0">
        <f>X479*Y479*SUMIFS($AM$2:$AM$11,$AK$2:$AK$11,"&lt;="&amp;X479,$AL$2:$AL$11,"&gt;="&amp;X479)+Z479*AA479*SUMIFS($AM$2:$AM$11,$AK$2:$AK$11,"&lt;="&amp;Z479,$AL$2:$AL$11,"&gt;="&amp;Z479)+AB479*AC479*SUMIFS($AM$2:$AM$11,$AK$2:$AK$11,"&lt;="&amp;AB479,$AL$2:$AL$11,"&gt;="&amp;AB479)</f>
        <v/>
      </c>
      <c r="AH479" s="0">
        <f>AG479*(1-40%)</f>
        <v/>
      </c>
      <c r="AI479" s="0">
        <f>AH479*1.2</f>
        <v/>
      </c>
    </row>
    <row r="480">
      <c r="A480" s="26" t="n"/>
      <c r="B480" s="169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>
        <f>AG480</f>
        <v/>
      </c>
      <c r="T480" s="26">
        <f>AI480+Q480+P480</f>
        <v/>
      </c>
      <c r="U480" s="26" t="n"/>
      <c r="V480" s="26" t="n"/>
      <c r="W480" s="169" t="n"/>
      <c r="X480" s="26" t="n"/>
      <c r="Y480" s="26" t="n"/>
      <c r="Z480" s="26" t="n"/>
      <c r="AA480" s="26" t="n"/>
      <c r="AD480" s="0">
        <f>SUM(Y480,AA480,AC480)</f>
        <v/>
      </c>
      <c r="AE480" s="0">
        <f>X480*Y480+Z480*AA480+AB480*AC480</f>
        <v/>
      </c>
      <c r="AF480" s="0">
        <f>TEXTJOIN(", ",TRUE,IF(AND(X480&gt;0,Y480&gt;0),TEXT(X480,"0.00")&amp;"ct x "&amp;Y480,""),IF(AND(Z480&gt;0,AA480&gt;0),TEXT(Z480,"0.00")&amp;"ct x "&amp;AA480,""),IF(AND(AB480&gt;0,AC480&gt;0),TEXT(AB480,"0.00")&amp;"ct x "&amp;AC480,""))</f>
        <v/>
      </c>
      <c r="AG480" s="0">
        <f>X480*Y480*SUMIFS($AM$2:$AM$11,$AK$2:$AK$11,"&lt;="&amp;X480,$AL$2:$AL$11,"&gt;="&amp;X480)+Z480*AA480*SUMIFS($AM$2:$AM$11,$AK$2:$AK$11,"&lt;="&amp;Z480,$AL$2:$AL$11,"&gt;="&amp;Z480)+AB480*AC480*SUMIFS($AM$2:$AM$11,$AK$2:$AK$11,"&lt;="&amp;AB480,$AL$2:$AL$11,"&gt;="&amp;AB480)</f>
        <v/>
      </c>
      <c r="AH480" s="0">
        <f>AG480*(1-40%)</f>
        <v/>
      </c>
      <c r="AI480" s="0">
        <f>AH480*1.2</f>
        <v/>
      </c>
    </row>
    <row r="481">
      <c r="A481" s="26" t="n"/>
      <c r="B481" s="169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>
        <f>AG481</f>
        <v/>
      </c>
      <c r="T481" s="26">
        <f>AI481+Q481+P481</f>
        <v/>
      </c>
      <c r="U481" s="26" t="n"/>
      <c r="V481" s="26" t="n"/>
      <c r="W481" s="169" t="n"/>
      <c r="X481" s="26" t="n"/>
      <c r="Y481" s="26" t="n"/>
      <c r="Z481" s="26" t="n"/>
      <c r="AA481" s="26" t="n"/>
      <c r="AD481" s="0">
        <f>SUM(Y481,AA481,AC481)</f>
        <v/>
      </c>
      <c r="AE481" s="0">
        <f>X481*Y481+Z481*AA481+AB481*AC481</f>
        <v/>
      </c>
      <c r="AF481" s="0">
        <f>TEXTJOIN(", ",TRUE,IF(AND(X481&gt;0,Y481&gt;0),TEXT(X481,"0.00")&amp;"ct x "&amp;Y481,""),IF(AND(Z481&gt;0,AA481&gt;0),TEXT(Z481,"0.00")&amp;"ct x "&amp;AA481,""),IF(AND(AB481&gt;0,AC481&gt;0),TEXT(AB481,"0.00")&amp;"ct x "&amp;AC481,""))</f>
        <v/>
      </c>
      <c r="AG481" s="0">
        <f>X481*Y481*SUMIFS($AM$2:$AM$11,$AK$2:$AK$11,"&lt;="&amp;X481,$AL$2:$AL$11,"&gt;="&amp;X481)+Z481*AA481*SUMIFS($AM$2:$AM$11,$AK$2:$AK$11,"&lt;="&amp;Z481,$AL$2:$AL$11,"&gt;="&amp;Z481)+AB481*AC481*SUMIFS($AM$2:$AM$11,$AK$2:$AK$11,"&lt;="&amp;AB481,$AL$2:$AL$11,"&gt;="&amp;AB481)</f>
        <v/>
      </c>
      <c r="AH481" s="0">
        <f>AG481*(1-40%)</f>
        <v/>
      </c>
      <c r="AI481" s="0">
        <f>AH481*1.2</f>
        <v/>
      </c>
    </row>
    <row r="482">
      <c r="A482" s="26" t="n"/>
      <c r="B482" s="169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>
        <f>AG482</f>
        <v/>
      </c>
      <c r="T482" s="26">
        <f>AI482+Q482+P482</f>
        <v/>
      </c>
      <c r="U482" s="26" t="n"/>
      <c r="V482" s="26" t="n"/>
      <c r="W482" s="169" t="n"/>
      <c r="X482" s="26" t="n"/>
      <c r="Y482" s="26" t="n"/>
      <c r="Z482" s="26" t="n"/>
      <c r="AA482" s="26" t="n"/>
      <c r="AD482" s="0">
        <f>SUM(Y482,AA482,AC482)</f>
        <v/>
      </c>
      <c r="AE482" s="0">
        <f>X482*Y482+Z482*AA482+AB482*AC482</f>
        <v/>
      </c>
      <c r="AF482" s="0">
        <f>TEXTJOIN(", ",TRUE,IF(AND(X482&gt;0,Y482&gt;0),TEXT(X482,"0.00")&amp;"ct x "&amp;Y482,""),IF(AND(Z482&gt;0,AA482&gt;0),TEXT(Z482,"0.00")&amp;"ct x "&amp;AA482,""),IF(AND(AB482&gt;0,AC482&gt;0),TEXT(AB482,"0.00")&amp;"ct x "&amp;AC482,""))</f>
        <v/>
      </c>
      <c r="AG482" s="0">
        <f>X482*Y482*SUMIFS($AM$2:$AM$11,$AK$2:$AK$11,"&lt;="&amp;X482,$AL$2:$AL$11,"&gt;="&amp;X482)+Z482*AA482*SUMIFS($AM$2:$AM$11,$AK$2:$AK$11,"&lt;="&amp;Z482,$AL$2:$AL$11,"&gt;="&amp;Z482)+AB482*AC482*SUMIFS($AM$2:$AM$11,$AK$2:$AK$11,"&lt;="&amp;AB482,$AL$2:$AL$11,"&gt;="&amp;AB482)</f>
        <v/>
      </c>
      <c r="AH482" s="0">
        <f>AG482*(1-40%)</f>
        <v/>
      </c>
      <c r="AI482" s="0">
        <f>AH482*1.2</f>
        <v/>
      </c>
    </row>
    <row r="483">
      <c r="A483" s="26" t="n"/>
      <c r="B483" s="169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>
        <f>AG483</f>
        <v/>
      </c>
      <c r="T483" s="26">
        <f>AI483+Q483+P483</f>
        <v/>
      </c>
      <c r="U483" s="26" t="n"/>
      <c r="V483" s="26" t="n"/>
      <c r="W483" s="169" t="n"/>
      <c r="X483" s="26" t="n"/>
      <c r="Y483" s="26" t="n"/>
      <c r="Z483" s="26" t="n"/>
      <c r="AA483" s="26" t="n"/>
      <c r="AD483" s="0">
        <f>SUM(Y483,AA483,AC483)</f>
        <v/>
      </c>
      <c r="AE483" s="0">
        <f>X483*Y483+Z483*AA483+AB483*AC483</f>
        <v/>
      </c>
      <c r="AF483" s="0">
        <f>TEXTJOIN(", ",TRUE,IF(AND(X483&gt;0,Y483&gt;0),TEXT(X483,"0.00")&amp;"ct x "&amp;Y483,""),IF(AND(Z483&gt;0,AA483&gt;0),TEXT(Z483,"0.00")&amp;"ct x "&amp;AA483,""),IF(AND(AB483&gt;0,AC483&gt;0),TEXT(AB483,"0.00")&amp;"ct x "&amp;AC483,""))</f>
        <v/>
      </c>
      <c r="AG483" s="0">
        <f>X483*Y483*SUMIFS($AM$2:$AM$11,$AK$2:$AK$11,"&lt;="&amp;X483,$AL$2:$AL$11,"&gt;="&amp;X483)+Z483*AA483*SUMIFS($AM$2:$AM$11,$AK$2:$AK$11,"&lt;="&amp;Z483,$AL$2:$AL$11,"&gt;="&amp;Z483)+AB483*AC483*SUMIFS($AM$2:$AM$11,$AK$2:$AK$11,"&lt;="&amp;AB483,$AL$2:$AL$11,"&gt;="&amp;AB483)</f>
        <v/>
      </c>
      <c r="AH483" s="0">
        <f>AG483*(1-40%)</f>
        <v/>
      </c>
      <c r="AI483" s="0">
        <f>AH483*1.2</f>
        <v/>
      </c>
    </row>
    <row r="484">
      <c r="A484" s="26" t="n"/>
      <c r="B484" s="169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>
        <f>AG484</f>
        <v/>
      </c>
      <c r="T484" s="26">
        <f>AI484+Q484+P484</f>
        <v/>
      </c>
      <c r="U484" s="26" t="n"/>
      <c r="V484" s="26" t="n"/>
      <c r="W484" s="169" t="n"/>
      <c r="X484" s="26" t="n"/>
      <c r="Y484" s="26" t="n"/>
      <c r="Z484" s="26" t="n"/>
      <c r="AA484" s="26" t="n"/>
      <c r="AD484" s="0">
        <f>SUM(Y484,AA484,AC484)</f>
        <v/>
      </c>
      <c r="AE484" s="0">
        <f>X484*Y484+Z484*AA484+AB484*AC484</f>
        <v/>
      </c>
      <c r="AF484" s="0">
        <f>TEXTJOIN(", ",TRUE,IF(AND(X484&gt;0,Y484&gt;0),TEXT(X484,"0.00")&amp;"ct x "&amp;Y484,""),IF(AND(Z484&gt;0,AA484&gt;0),TEXT(Z484,"0.00")&amp;"ct x "&amp;AA484,""),IF(AND(AB484&gt;0,AC484&gt;0),TEXT(AB484,"0.00")&amp;"ct x "&amp;AC484,""))</f>
        <v/>
      </c>
      <c r="AG484" s="0">
        <f>X484*Y484*SUMIFS($AM$2:$AM$11,$AK$2:$AK$11,"&lt;="&amp;X484,$AL$2:$AL$11,"&gt;="&amp;X484)+Z484*AA484*SUMIFS($AM$2:$AM$11,$AK$2:$AK$11,"&lt;="&amp;Z484,$AL$2:$AL$11,"&gt;="&amp;Z484)+AB484*AC484*SUMIFS($AM$2:$AM$11,$AK$2:$AK$11,"&lt;="&amp;AB484,$AL$2:$AL$11,"&gt;="&amp;AB484)</f>
        <v/>
      </c>
      <c r="AH484" s="0">
        <f>AG484*(1-40%)</f>
        <v/>
      </c>
      <c r="AI484" s="0">
        <f>AH484*1.2</f>
        <v/>
      </c>
    </row>
    <row r="485">
      <c r="A485" s="26" t="n"/>
      <c r="B485" s="169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>
        <f>AG485</f>
        <v/>
      </c>
      <c r="T485" s="26">
        <f>AI485+Q485+P485</f>
        <v/>
      </c>
      <c r="U485" s="26" t="n"/>
      <c r="V485" s="26" t="n"/>
      <c r="W485" s="169" t="n"/>
      <c r="X485" s="26" t="n"/>
      <c r="Y485" s="26" t="n"/>
      <c r="Z485" s="26" t="n"/>
      <c r="AA485" s="26" t="n"/>
      <c r="AD485" s="0">
        <f>SUM(Y485,AA485,AC485)</f>
        <v/>
      </c>
      <c r="AE485" s="0">
        <f>X485*Y485+Z485*AA485+AB485*AC485</f>
        <v/>
      </c>
      <c r="AF485" s="0">
        <f>TEXTJOIN(", ",TRUE,IF(AND(X485&gt;0,Y485&gt;0),TEXT(X485,"0.00")&amp;"ct x "&amp;Y485,""),IF(AND(Z485&gt;0,AA485&gt;0),TEXT(Z485,"0.00")&amp;"ct x "&amp;AA485,""),IF(AND(AB485&gt;0,AC485&gt;0),TEXT(AB485,"0.00")&amp;"ct x "&amp;AC485,""))</f>
        <v/>
      </c>
      <c r="AG485" s="0">
        <f>X485*Y485*SUMIFS($AM$2:$AM$11,$AK$2:$AK$11,"&lt;="&amp;X485,$AL$2:$AL$11,"&gt;="&amp;X485)+Z485*AA485*SUMIFS($AM$2:$AM$11,$AK$2:$AK$11,"&lt;="&amp;Z485,$AL$2:$AL$11,"&gt;="&amp;Z485)+AB485*AC485*SUMIFS($AM$2:$AM$11,$AK$2:$AK$11,"&lt;="&amp;AB485,$AL$2:$AL$11,"&gt;="&amp;AB485)</f>
        <v/>
      </c>
      <c r="AH485" s="0">
        <f>AG485*(1-40%)</f>
        <v/>
      </c>
      <c r="AI485" s="0">
        <f>AH485*1.2</f>
        <v/>
      </c>
    </row>
    <row r="486">
      <c r="A486" s="26" t="n"/>
      <c r="B486" s="169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>
        <f>AG486</f>
        <v/>
      </c>
      <c r="T486" s="26">
        <f>AI486+Q486+P486</f>
        <v/>
      </c>
      <c r="U486" s="26" t="n"/>
      <c r="V486" s="26" t="n"/>
      <c r="W486" s="169" t="n"/>
      <c r="X486" s="26" t="n"/>
      <c r="Y486" s="26" t="n"/>
      <c r="Z486" s="26" t="n"/>
      <c r="AA486" s="26" t="n"/>
      <c r="AD486" s="0">
        <f>SUM(Y486,AA486,AC486)</f>
        <v/>
      </c>
      <c r="AE486" s="0">
        <f>X486*Y486+Z486*AA486+AB486*AC486</f>
        <v/>
      </c>
      <c r="AF486" s="0">
        <f>TEXTJOIN(", ",TRUE,IF(AND(X486&gt;0,Y486&gt;0),TEXT(X486,"0.00")&amp;"ct x "&amp;Y486,""),IF(AND(Z486&gt;0,AA486&gt;0),TEXT(Z486,"0.00")&amp;"ct x "&amp;AA486,""),IF(AND(AB486&gt;0,AC486&gt;0),TEXT(AB486,"0.00")&amp;"ct x "&amp;AC486,""))</f>
        <v/>
      </c>
      <c r="AG486" s="0">
        <f>X486*Y486*SUMIFS($AM$2:$AM$11,$AK$2:$AK$11,"&lt;="&amp;X486,$AL$2:$AL$11,"&gt;="&amp;X486)+Z486*AA486*SUMIFS($AM$2:$AM$11,$AK$2:$AK$11,"&lt;="&amp;Z486,$AL$2:$AL$11,"&gt;="&amp;Z486)+AB486*AC486*SUMIFS($AM$2:$AM$11,$AK$2:$AK$11,"&lt;="&amp;AB486,$AL$2:$AL$11,"&gt;="&amp;AB486)</f>
        <v/>
      </c>
      <c r="AH486" s="0">
        <f>AG486*(1-40%)</f>
        <v/>
      </c>
      <c r="AI486" s="0">
        <f>AH486*1.2</f>
        <v/>
      </c>
    </row>
    <row r="487">
      <c r="A487" s="26" t="n"/>
      <c r="B487" s="169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>
        <f>AG487</f>
        <v/>
      </c>
      <c r="T487" s="26">
        <f>AI487+Q487+P487</f>
        <v/>
      </c>
      <c r="U487" s="26" t="n"/>
      <c r="V487" s="26" t="n"/>
      <c r="W487" s="169" t="n"/>
      <c r="X487" s="26" t="n"/>
      <c r="Y487" s="26" t="n"/>
      <c r="Z487" s="26" t="n"/>
      <c r="AA487" s="26" t="n"/>
      <c r="AD487" s="0">
        <f>SUM(Y487,AA487,AC487)</f>
        <v/>
      </c>
      <c r="AE487" s="0">
        <f>X487*Y487+Z487*AA487+AB487*AC487</f>
        <v/>
      </c>
      <c r="AF487" s="0">
        <f>TEXTJOIN(", ",TRUE,IF(AND(X487&gt;0,Y487&gt;0),TEXT(X487,"0.00")&amp;"ct x "&amp;Y487,""),IF(AND(Z487&gt;0,AA487&gt;0),TEXT(Z487,"0.00")&amp;"ct x "&amp;AA487,""),IF(AND(AB487&gt;0,AC487&gt;0),TEXT(AB487,"0.00")&amp;"ct x "&amp;AC487,""))</f>
        <v/>
      </c>
      <c r="AG487" s="0">
        <f>X487*Y487*SUMIFS($AM$2:$AM$11,$AK$2:$AK$11,"&lt;="&amp;X487,$AL$2:$AL$11,"&gt;="&amp;X487)+Z487*AA487*SUMIFS($AM$2:$AM$11,$AK$2:$AK$11,"&lt;="&amp;Z487,$AL$2:$AL$11,"&gt;="&amp;Z487)+AB487*AC487*SUMIFS($AM$2:$AM$11,$AK$2:$AK$11,"&lt;="&amp;AB487,$AL$2:$AL$11,"&gt;="&amp;AB487)</f>
        <v/>
      </c>
      <c r="AH487" s="0">
        <f>AG487*(1-40%)</f>
        <v/>
      </c>
      <c r="AI487" s="0">
        <f>AH487*1.2</f>
        <v/>
      </c>
    </row>
    <row r="488">
      <c r="A488" s="26" t="n"/>
      <c r="B488" s="169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>
        <f>AG488</f>
        <v/>
      </c>
      <c r="T488" s="26">
        <f>AI488+Q488+P488</f>
        <v/>
      </c>
      <c r="U488" s="26" t="n"/>
      <c r="V488" s="26" t="n"/>
      <c r="W488" s="169" t="n"/>
      <c r="X488" s="26" t="n"/>
      <c r="Y488" s="26" t="n"/>
      <c r="Z488" s="26" t="n"/>
      <c r="AA488" s="26" t="n"/>
      <c r="AD488" s="0">
        <f>SUM(Y488,AA488,AC488)</f>
        <v/>
      </c>
      <c r="AE488" s="0">
        <f>X488*Y488+Z488*AA488+AB488*AC488</f>
        <v/>
      </c>
      <c r="AF488" s="0">
        <f>TEXTJOIN(", ",TRUE,IF(AND(X488&gt;0,Y488&gt;0),TEXT(X488,"0.00")&amp;"ct x "&amp;Y488,""),IF(AND(Z488&gt;0,AA488&gt;0),TEXT(Z488,"0.00")&amp;"ct x "&amp;AA488,""),IF(AND(AB488&gt;0,AC488&gt;0),TEXT(AB488,"0.00")&amp;"ct x "&amp;AC488,""))</f>
        <v/>
      </c>
      <c r="AG488" s="0">
        <f>X488*Y488*SUMIFS($AM$2:$AM$11,$AK$2:$AK$11,"&lt;="&amp;X488,$AL$2:$AL$11,"&gt;="&amp;X488)+Z488*AA488*SUMIFS($AM$2:$AM$11,$AK$2:$AK$11,"&lt;="&amp;Z488,$AL$2:$AL$11,"&gt;="&amp;Z488)+AB488*AC488*SUMIFS($AM$2:$AM$11,$AK$2:$AK$11,"&lt;="&amp;AB488,$AL$2:$AL$11,"&gt;="&amp;AB488)</f>
        <v/>
      </c>
      <c r="AH488" s="0">
        <f>AG488*(1-40%)</f>
        <v/>
      </c>
      <c r="AI488" s="0">
        <f>AH488*1.2</f>
        <v/>
      </c>
    </row>
    <row r="489">
      <c r="A489" s="26" t="n"/>
      <c r="B489" s="169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>
        <f>AG489</f>
        <v/>
      </c>
      <c r="T489" s="26">
        <f>AI489+Q489+P489</f>
        <v/>
      </c>
      <c r="U489" s="26" t="n"/>
      <c r="V489" s="26" t="n"/>
      <c r="W489" s="169" t="n"/>
      <c r="X489" s="26" t="n"/>
      <c r="Y489" s="26" t="n"/>
      <c r="Z489" s="26" t="n"/>
      <c r="AA489" s="26" t="n"/>
      <c r="AD489" s="0">
        <f>SUM(Y489,AA489,AC489)</f>
        <v/>
      </c>
      <c r="AE489" s="0">
        <f>X489*Y489+Z489*AA489+AB489*AC489</f>
        <v/>
      </c>
      <c r="AF489" s="0">
        <f>TEXTJOIN(", ",TRUE,IF(AND(X489&gt;0,Y489&gt;0),TEXT(X489,"0.00")&amp;"ct x "&amp;Y489,""),IF(AND(Z489&gt;0,AA489&gt;0),TEXT(Z489,"0.00")&amp;"ct x "&amp;AA489,""),IF(AND(AB489&gt;0,AC489&gt;0),TEXT(AB489,"0.00")&amp;"ct x "&amp;AC489,""))</f>
        <v/>
      </c>
      <c r="AG489" s="0">
        <f>X489*Y489*SUMIFS($AM$2:$AM$11,$AK$2:$AK$11,"&lt;="&amp;X489,$AL$2:$AL$11,"&gt;="&amp;X489)+Z489*AA489*SUMIFS($AM$2:$AM$11,$AK$2:$AK$11,"&lt;="&amp;Z489,$AL$2:$AL$11,"&gt;="&amp;Z489)+AB489*AC489*SUMIFS($AM$2:$AM$11,$AK$2:$AK$11,"&lt;="&amp;AB489,$AL$2:$AL$11,"&gt;="&amp;AB489)</f>
        <v/>
      </c>
      <c r="AH489" s="0">
        <f>AG489*(1-40%)</f>
        <v/>
      </c>
      <c r="AI489" s="0">
        <f>AH489*1.2</f>
        <v/>
      </c>
    </row>
    <row r="490">
      <c r="A490" s="26" t="n"/>
      <c r="B490" s="169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>
        <f>AG490</f>
        <v/>
      </c>
      <c r="T490" s="26">
        <f>AI490+Q490+P490</f>
        <v/>
      </c>
      <c r="U490" s="26" t="n"/>
      <c r="V490" s="26" t="n"/>
      <c r="W490" s="169" t="n"/>
      <c r="X490" s="26" t="n"/>
      <c r="Y490" s="26" t="n"/>
      <c r="Z490" s="26" t="n"/>
      <c r="AA490" s="26" t="n"/>
      <c r="AD490" s="0">
        <f>SUM(Y490,AA490,AC490)</f>
        <v/>
      </c>
      <c r="AE490" s="0">
        <f>X490*Y490+Z490*AA490+AB490*AC490</f>
        <v/>
      </c>
      <c r="AF490" s="0">
        <f>TEXTJOIN(", ",TRUE,IF(AND(X490&gt;0,Y490&gt;0),TEXT(X490,"0.00")&amp;"ct x "&amp;Y490,""),IF(AND(Z490&gt;0,AA490&gt;0),TEXT(Z490,"0.00")&amp;"ct x "&amp;AA490,""),IF(AND(AB490&gt;0,AC490&gt;0),TEXT(AB490,"0.00")&amp;"ct x "&amp;AC490,""))</f>
        <v/>
      </c>
      <c r="AG490" s="0">
        <f>X490*Y490*SUMIFS($AM$2:$AM$11,$AK$2:$AK$11,"&lt;="&amp;X490,$AL$2:$AL$11,"&gt;="&amp;X490)+Z490*AA490*SUMIFS($AM$2:$AM$11,$AK$2:$AK$11,"&lt;="&amp;Z490,$AL$2:$AL$11,"&gt;="&amp;Z490)+AB490*AC490*SUMIFS($AM$2:$AM$11,$AK$2:$AK$11,"&lt;="&amp;AB490,$AL$2:$AL$11,"&gt;="&amp;AB490)</f>
        <v/>
      </c>
      <c r="AH490" s="0">
        <f>AG490*(1-40%)</f>
        <v/>
      </c>
      <c r="AI490" s="0">
        <f>AH490*1.2</f>
        <v/>
      </c>
    </row>
    <row r="491">
      <c r="A491" s="26" t="n"/>
      <c r="B491" s="169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>
        <f>AG491</f>
        <v/>
      </c>
      <c r="T491" s="26">
        <f>AI491+Q491+P491</f>
        <v/>
      </c>
      <c r="U491" s="26" t="n"/>
      <c r="V491" s="26" t="n"/>
      <c r="W491" s="169" t="n"/>
      <c r="X491" s="26" t="n"/>
      <c r="Y491" s="26" t="n"/>
      <c r="Z491" s="26" t="n"/>
      <c r="AA491" s="26" t="n"/>
      <c r="AD491" s="0">
        <f>SUM(Y491,AA491,AC491)</f>
        <v/>
      </c>
      <c r="AE491" s="0">
        <f>X491*Y491+Z491*AA491+AB491*AC491</f>
        <v/>
      </c>
      <c r="AF491" s="0">
        <f>TEXTJOIN(", ",TRUE,IF(AND(X491&gt;0,Y491&gt;0),TEXT(X491,"0.00")&amp;"ct x "&amp;Y491,""),IF(AND(Z491&gt;0,AA491&gt;0),TEXT(Z491,"0.00")&amp;"ct x "&amp;AA491,""),IF(AND(AB491&gt;0,AC491&gt;0),TEXT(AB491,"0.00")&amp;"ct x "&amp;AC491,""))</f>
        <v/>
      </c>
      <c r="AG491" s="0">
        <f>X491*Y491*SUMIFS($AM$2:$AM$11,$AK$2:$AK$11,"&lt;="&amp;X491,$AL$2:$AL$11,"&gt;="&amp;X491)+Z491*AA491*SUMIFS($AM$2:$AM$11,$AK$2:$AK$11,"&lt;="&amp;Z491,$AL$2:$AL$11,"&gt;="&amp;Z491)+AB491*AC491*SUMIFS($AM$2:$AM$11,$AK$2:$AK$11,"&lt;="&amp;AB491,$AL$2:$AL$11,"&gt;="&amp;AB491)</f>
        <v/>
      </c>
      <c r="AH491" s="0">
        <f>AG491*(1-40%)</f>
        <v/>
      </c>
      <c r="AI491" s="0">
        <f>AH491*1.2</f>
        <v/>
      </c>
    </row>
    <row r="492">
      <c r="A492" s="26" t="n"/>
      <c r="B492" s="169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>
        <f>AG492</f>
        <v/>
      </c>
      <c r="T492" s="26">
        <f>AI492+Q492+P492</f>
        <v/>
      </c>
      <c r="U492" s="26" t="n"/>
      <c r="V492" s="26" t="n"/>
      <c r="W492" s="169" t="n"/>
      <c r="X492" s="26" t="n"/>
      <c r="Y492" s="26" t="n"/>
      <c r="Z492" s="26" t="n"/>
      <c r="AA492" s="26" t="n"/>
      <c r="AD492" s="0">
        <f>SUM(Y492,AA492,AC492)</f>
        <v/>
      </c>
      <c r="AE492" s="0">
        <f>X492*Y492+Z492*AA492+AB492*AC492</f>
        <v/>
      </c>
      <c r="AF492" s="0">
        <f>TEXTJOIN(", ",TRUE,IF(AND(X492&gt;0,Y492&gt;0),TEXT(X492,"0.00")&amp;"ct x "&amp;Y492,""),IF(AND(Z492&gt;0,AA492&gt;0),TEXT(Z492,"0.00")&amp;"ct x "&amp;AA492,""),IF(AND(AB492&gt;0,AC492&gt;0),TEXT(AB492,"0.00")&amp;"ct x "&amp;AC492,""))</f>
        <v/>
      </c>
      <c r="AG492" s="0">
        <f>X492*Y492*SUMIFS($AM$2:$AM$11,$AK$2:$AK$11,"&lt;="&amp;X492,$AL$2:$AL$11,"&gt;="&amp;X492)+Z492*AA492*SUMIFS($AM$2:$AM$11,$AK$2:$AK$11,"&lt;="&amp;Z492,$AL$2:$AL$11,"&gt;="&amp;Z492)+AB492*AC492*SUMIFS($AM$2:$AM$11,$AK$2:$AK$11,"&lt;="&amp;AB492,$AL$2:$AL$11,"&gt;="&amp;AB492)</f>
        <v/>
      </c>
      <c r="AH492" s="0">
        <f>AG492*(1-40%)</f>
        <v/>
      </c>
      <c r="AI492" s="0">
        <f>AH492*1.2</f>
        <v/>
      </c>
    </row>
    <row r="493">
      <c r="A493" s="26" t="n"/>
      <c r="B493" s="169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>
        <f>AG493</f>
        <v/>
      </c>
      <c r="T493" s="26">
        <f>AI493+Q493+P493</f>
        <v/>
      </c>
      <c r="U493" s="26" t="n"/>
      <c r="V493" s="26" t="n"/>
      <c r="W493" s="169" t="n"/>
      <c r="X493" s="26" t="n"/>
      <c r="Y493" s="26" t="n"/>
      <c r="Z493" s="26" t="n"/>
      <c r="AA493" s="26" t="n"/>
      <c r="AD493" s="0">
        <f>SUM(Y493,AA493,AC493)</f>
        <v/>
      </c>
      <c r="AE493" s="0">
        <f>X493*Y493+Z493*AA493+AB493*AC493</f>
        <v/>
      </c>
      <c r="AF493" s="0">
        <f>TEXTJOIN(", ",TRUE,IF(AND(X493&gt;0,Y493&gt;0),TEXT(X493,"0.00")&amp;"ct x "&amp;Y493,""),IF(AND(Z493&gt;0,AA493&gt;0),TEXT(Z493,"0.00")&amp;"ct x "&amp;AA493,""),IF(AND(AB493&gt;0,AC493&gt;0),TEXT(AB493,"0.00")&amp;"ct x "&amp;AC493,""))</f>
        <v/>
      </c>
      <c r="AG493" s="0">
        <f>X493*Y493*SUMIFS($AM$2:$AM$11,$AK$2:$AK$11,"&lt;="&amp;X493,$AL$2:$AL$11,"&gt;="&amp;X493)+Z493*AA493*SUMIFS($AM$2:$AM$11,$AK$2:$AK$11,"&lt;="&amp;Z493,$AL$2:$AL$11,"&gt;="&amp;Z493)+AB493*AC493*SUMIFS($AM$2:$AM$11,$AK$2:$AK$11,"&lt;="&amp;AB493,$AL$2:$AL$11,"&gt;="&amp;AB493)</f>
        <v/>
      </c>
      <c r="AH493" s="0">
        <f>AG493*(1-40%)</f>
        <v/>
      </c>
      <c r="AI493" s="0">
        <f>AH493*1.2</f>
        <v/>
      </c>
    </row>
    <row r="494">
      <c r="A494" s="26" t="n"/>
      <c r="B494" s="169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>
        <f>AG494</f>
        <v/>
      </c>
      <c r="T494" s="26">
        <f>AI494+Q494+P494</f>
        <v/>
      </c>
      <c r="U494" s="26" t="n"/>
      <c r="V494" s="26" t="n"/>
      <c r="W494" s="169" t="n"/>
      <c r="X494" s="26" t="n"/>
      <c r="Y494" s="26" t="n"/>
      <c r="Z494" s="26" t="n"/>
      <c r="AA494" s="26" t="n"/>
      <c r="AD494" s="0">
        <f>SUM(Y494,AA494,AC494)</f>
        <v/>
      </c>
      <c r="AE494" s="0">
        <f>X494*Y494+Z494*AA494+AB494*AC494</f>
        <v/>
      </c>
      <c r="AF494" s="0">
        <f>TEXTJOIN(", ",TRUE,IF(AND(X494&gt;0,Y494&gt;0),TEXT(X494,"0.00")&amp;"ct x "&amp;Y494,""),IF(AND(Z494&gt;0,AA494&gt;0),TEXT(Z494,"0.00")&amp;"ct x "&amp;AA494,""),IF(AND(AB494&gt;0,AC494&gt;0),TEXT(AB494,"0.00")&amp;"ct x "&amp;AC494,""))</f>
        <v/>
      </c>
      <c r="AG494" s="0">
        <f>X494*Y494*SUMIFS($AM$2:$AM$11,$AK$2:$AK$11,"&lt;="&amp;X494,$AL$2:$AL$11,"&gt;="&amp;X494)+Z494*AA494*SUMIFS($AM$2:$AM$11,$AK$2:$AK$11,"&lt;="&amp;Z494,$AL$2:$AL$11,"&gt;="&amp;Z494)+AB494*AC494*SUMIFS($AM$2:$AM$11,$AK$2:$AK$11,"&lt;="&amp;AB494,$AL$2:$AL$11,"&gt;="&amp;AB494)</f>
        <v/>
      </c>
      <c r="AH494" s="0">
        <f>AG494*(1-40%)</f>
        <v/>
      </c>
      <c r="AI494" s="0">
        <f>AH494*1.2</f>
        <v/>
      </c>
    </row>
    <row r="495">
      <c r="A495" s="26" t="n"/>
      <c r="B495" s="169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>
        <f>AG495</f>
        <v/>
      </c>
      <c r="T495" s="26">
        <f>AI495+Q495+P495</f>
        <v/>
      </c>
      <c r="U495" s="26" t="n"/>
      <c r="V495" s="26" t="n"/>
      <c r="W495" s="169" t="n"/>
      <c r="X495" s="26" t="n"/>
      <c r="Y495" s="26" t="n"/>
      <c r="Z495" s="26" t="n"/>
      <c r="AA495" s="26" t="n"/>
      <c r="AD495" s="0">
        <f>SUM(Y495,AA495,AC495)</f>
        <v/>
      </c>
      <c r="AE495" s="0">
        <f>X495*Y495+Z495*AA495+AB495*AC495</f>
        <v/>
      </c>
      <c r="AF495" s="0">
        <f>TEXTJOIN(", ",TRUE,IF(AND(X495&gt;0,Y495&gt;0),TEXT(X495,"0.00")&amp;"ct x "&amp;Y495,""),IF(AND(Z495&gt;0,AA495&gt;0),TEXT(Z495,"0.00")&amp;"ct x "&amp;AA495,""),IF(AND(AB495&gt;0,AC495&gt;0),TEXT(AB495,"0.00")&amp;"ct x "&amp;AC495,""))</f>
        <v/>
      </c>
      <c r="AG495" s="0">
        <f>X495*Y495*SUMIFS($AM$2:$AM$11,$AK$2:$AK$11,"&lt;="&amp;X495,$AL$2:$AL$11,"&gt;="&amp;X495)+Z495*AA495*SUMIFS($AM$2:$AM$11,$AK$2:$AK$11,"&lt;="&amp;Z495,$AL$2:$AL$11,"&gt;="&amp;Z495)+AB495*AC495*SUMIFS($AM$2:$AM$11,$AK$2:$AK$11,"&lt;="&amp;AB495,$AL$2:$AL$11,"&gt;="&amp;AB495)</f>
        <v/>
      </c>
      <c r="AH495" s="0">
        <f>AG495*(1-40%)</f>
        <v/>
      </c>
      <c r="AI495" s="0">
        <f>AH495*1.2</f>
        <v/>
      </c>
    </row>
    <row r="496">
      <c r="A496" s="26" t="n"/>
      <c r="B496" s="169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>
        <f>AG496</f>
        <v/>
      </c>
      <c r="T496" s="26">
        <f>AI496+Q496+P496</f>
        <v/>
      </c>
      <c r="U496" s="26" t="n"/>
      <c r="V496" s="26" t="n"/>
      <c r="W496" s="169" t="n"/>
      <c r="X496" s="26" t="n"/>
      <c r="Y496" s="26" t="n"/>
      <c r="Z496" s="26" t="n"/>
      <c r="AA496" s="26" t="n"/>
      <c r="AD496" s="0">
        <f>SUM(Y496,AA496,AC496)</f>
        <v/>
      </c>
      <c r="AE496" s="0">
        <f>X496*Y496+Z496*AA496+AB496*AC496</f>
        <v/>
      </c>
      <c r="AF496" s="0">
        <f>TEXTJOIN(", ",TRUE,IF(AND(X496&gt;0,Y496&gt;0),TEXT(X496,"0.00")&amp;"ct x "&amp;Y496,""),IF(AND(Z496&gt;0,AA496&gt;0),TEXT(Z496,"0.00")&amp;"ct x "&amp;AA496,""),IF(AND(AB496&gt;0,AC496&gt;0),TEXT(AB496,"0.00")&amp;"ct x "&amp;AC496,""))</f>
        <v/>
      </c>
      <c r="AG496" s="0">
        <f>X496*Y496*SUMIFS($AM$2:$AM$11,$AK$2:$AK$11,"&lt;="&amp;X496,$AL$2:$AL$11,"&gt;="&amp;X496)+Z496*AA496*SUMIFS($AM$2:$AM$11,$AK$2:$AK$11,"&lt;="&amp;Z496,$AL$2:$AL$11,"&gt;="&amp;Z496)+AB496*AC496*SUMIFS($AM$2:$AM$11,$AK$2:$AK$11,"&lt;="&amp;AB496,$AL$2:$AL$11,"&gt;="&amp;AB496)</f>
        <v/>
      </c>
      <c r="AH496" s="0">
        <f>AG496*(1-40%)</f>
        <v/>
      </c>
      <c r="AI496" s="0">
        <f>AH496*1.2</f>
        <v/>
      </c>
    </row>
    <row r="497">
      <c r="A497" s="26" t="n"/>
      <c r="B497" s="169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>
        <f>AG497</f>
        <v/>
      </c>
      <c r="T497" s="26">
        <f>AI497+Q497+P497</f>
        <v/>
      </c>
      <c r="U497" s="26" t="n"/>
      <c r="V497" s="26" t="n"/>
      <c r="W497" s="169" t="n"/>
      <c r="X497" s="26" t="n"/>
      <c r="Y497" s="26" t="n"/>
      <c r="Z497" s="26" t="n"/>
      <c r="AA497" s="26" t="n"/>
      <c r="AD497" s="0">
        <f>SUM(Y497,AA497,AC497)</f>
        <v/>
      </c>
      <c r="AE497" s="0">
        <f>X497*Y497+Z497*AA497+AB497*AC497</f>
        <v/>
      </c>
      <c r="AF497" s="0">
        <f>TEXTJOIN(", ",TRUE,IF(AND(X497&gt;0,Y497&gt;0),TEXT(X497,"0.00")&amp;"ct x "&amp;Y497,""),IF(AND(Z497&gt;0,AA497&gt;0),TEXT(Z497,"0.00")&amp;"ct x "&amp;AA497,""),IF(AND(AB497&gt;0,AC497&gt;0),TEXT(AB497,"0.00")&amp;"ct x "&amp;AC497,""))</f>
        <v/>
      </c>
      <c r="AG497" s="0">
        <f>X497*Y497*SUMIFS($AM$2:$AM$11,$AK$2:$AK$11,"&lt;="&amp;X497,$AL$2:$AL$11,"&gt;="&amp;X497)+Z497*AA497*SUMIFS($AM$2:$AM$11,$AK$2:$AK$11,"&lt;="&amp;Z497,$AL$2:$AL$11,"&gt;="&amp;Z497)+AB497*AC497*SUMIFS($AM$2:$AM$11,$AK$2:$AK$11,"&lt;="&amp;AB497,$AL$2:$AL$11,"&gt;="&amp;AB497)</f>
        <v/>
      </c>
      <c r="AH497" s="0">
        <f>AG497*(1-40%)</f>
        <v/>
      </c>
      <c r="AI497" s="0">
        <f>AH497*1.2</f>
        <v/>
      </c>
    </row>
    <row r="498">
      <c r="A498" s="26" t="n"/>
      <c r="B498" s="169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>
        <f>AG498</f>
        <v/>
      </c>
      <c r="T498" s="26">
        <f>AI498+Q498+P498</f>
        <v/>
      </c>
      <c r="U498" s="26" t="n"/>
      <c r="V498" s="26" t="n"/>
      <c r="W498" s="169" t="n"/>
      <c r="X498" s="26" t="n"/>
      <c r="Y498" s="26" t="n"/>
      <c r="Z498" s="26" t="n"/>
      <c r="AA498" s="26" t="n"/>
      <c r="AD498" s="0">
        <f>SUM(Y498,AA498,AC498)</f>
        <v/>
      </c>
      <c r="AE498" s="0">
        <f>X498*Y498+Z498*AA498+AB498*AC498</f>
        <v/>
      </c>
      <c r="AF498" s="0">
        <f>TEXTJOIN(", ",TRUE,IF(AND(X498&gt;0,Y498&gt;0),TEXT(X498,"0.00")&amp;"ct x "&amp;Y498,""),IF(AND(Z498&gt;0,AA498&gt;0),TEXT(Z498,"0.00")&amp;"ct x "&amp;AA498,""),IF(AND(AB498&gt;0,AC498&gt;0),TEXT(AB498,"0.00")&amp;"ct x "&amp;AC498,""))</f>
        <v/>
      </c>
      <c r="AG498" s="0">
        <f>X498*Y498*SUMIFS($AM$2:$AM$11,$AK$2:$AK$11,"&lt;="&amp;X498,$AL$2:$AL$11,"&gt;="&amp;X498)+Z498*AA498*SUMIFS($AM$2:$AM$11,$AK$2:$AK$11,"&lt;="&amp;Z498,$AL$2:$AL$11,"&gt;="&amp;Z498)+AB498*AC498*SUMIFS($AM$2:$AM$11,$AK$2:$AK$11,"&lt;="&amp;AB498,$AL$2:$AL$11,"&gt;="&amp;AB498)</f>
        <v/>
      </c>
      <c r="AH498" s="0">
        <f>AG498*(1-40%)</f>
        <v/>
      </c>
      <c r="AI498" s="0">
        <f>AH498*1.2</f>
        <v/>
      </c>
    </row>
    <row r="499">
      <c r="A499" s="26" t="n"/>
      <c r="B499" s="169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>
        <f>AG499</f>
        <v/>
      </c>
      <c r="T499" s="26">
        <f>AI499+Q499+P499</f>
        <v/>
      </c>
      <c r="U499" s="26" t="n"/>
      <c r="V499" s="26" t="n"/>
      <c r="W499" s="169" t="n"/>
      <c r="X499" s="26" t="n"/>
      <c r="Y499" s="26" t="n"/>
      <c r="Z499" s="26" t="n"/>
      <c r="AA499" s="26" t="n"/>
      <c r="AD499" s="0">
        <f>SUM(Y499,AA499,AC499)</f>
        <v/>
      </c>
      <c r="AE499" s="0">
        <f>X499*Y499+Z499*AA499+AB499*AC499</f>
        <v/>
      </c>
      <c r="AF499" s="0">
        <f>TEXTJOIN(", ",TRUE,IF(AND(X499&gt;0,Y499&gt;0),TEXT(X499,"0.00")&amp;"ct x "&amp;Y499,""),IF(AND(Z499&gt;0,AA499&gt;0),TEXT(Z499,"0.00")&amp;"ct x "&amp;AA499,""),IF(AND(AB499&gt;0,AC499&gt;0),TEXT(AB499,"0.00")&amp;"ct x "&amp;AC499,""))</f>
        <v/>
      </c>
      <c r="AG499" s="0">
        <f>X499*Y499*SUMIFS($AM$2:$AM$11,$AK$2:$AK$11,"&lt;="&amp;X499,$AL$2:$AL$11,"&gt;="&amp;X499)+Z499*AA499*SUMIFS($AM$2:$AM$11,$AK$2:$AK$11,"&lt;="&amp;Z499,$AL$2:$AL$11,"&gt;="&amp;Z499)+AB499*AC499*SUMIFS($AM$2:$AM$11,$AK$2:$AK$11,"&lt;="&amp;AB499,$AL$2:$AL$11,"&gt;="&amp;AB499)</f>
        <v/>
      </c>
      <c r="AH499" s="0">
        <f>AG499*(1-40%)</f>
        <v/>
      </c>
      <c r="AI499" s="0">
        <f>AH499*1.2</f>
        <v/>
      </c>
    </row>
    <row r="500">
      <c r="A500" s="26" t="n"/>
      <c r="B500" s="169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>
        <f>AG500</f>
        <v/>
      </c>
      <c r="T500" s="26">
        <f>AI500+Q500+P500</f>
        <v/>
      </c>
      <c r="U500" s="26" t="n"/>
      <c r="V500" s="26" t="n"/>
      <c r="W500" s="169" t="n"/>
      <c r="X500" s="26" t="n"/>
      <c r="Y500" s="26" t="n"/>
      <c r="Z500" s="26" t="n"/>
      <c r="AA500" s="26" t="n"/>
      <c r="AD500" s="0">
        <f>SUM(Y500,AA500,AC500)</f>
        <v/>
      </c>
      <c r="AE500" s="0">
        <f>X500*Y500+Z500*AA500+AB500*AC500</f>
        <v/>
      </c>
      <c r="AF500" s="0">
        <f>TEXTJOIN(", ",TRUE,IF(AND(X500&gt;0,Y500&gt;0),TEXT(X500,"0.00")&amp;"ct x "&amp;Y500,""),IF(AND(Z500&gt;0,AA500&gt;0),TEXT(Z500,"0.00")&amp;"ct x "&amp;AA500,""),IF(AND(AB500&gt;0,AC500&gt;0),TEXT(AB500,"0.00")&amp;"ct x "&amp;AC500,""))</f>
        <v/>
      </c>
      <c r="AG500" s="0">
        <f>X500*Y500*SUMIFS($AM$2:$AM$11,$AK$2:$AK$11,"&lt;="&amp;X500,$AL$2:$AL$11,"&gt;="&amp;X500)+Z500*AA500*SUMIFS($AM$2:$AM$11,$AK$2:$AK$11,"&lt;="&amp;Z500,$AL$2:$AL$11,"&gt;="&amp;Z500)+AB500*AC500*SUMIFS($AM$2:$AM$11,$AK$2:$AK$11,"&lt;="&amp;AB500,$AL$2:$AL$11,"&gt;="&amp;AB500)</f>
        <v/>
      </c>
      <c r="AH500" s="0">
        <f>AG500*(1-40%)</f>
        <v/>
      </c>
      <c r="AI500" s="0">
        <f>AH500*1.2</f>
        <v/>
      </c>
    </row>
    <row r="501">
      <c r="A501" s="26" t="n"/>
      <c r="B501" s="169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>
        <f>AG501</f>
        <v/>
      </c>
      <c r="T501" s="26">
        <f>AI501+Q501+P501</f>
        <v/>
      </c>
      <c r="U501" s="26" t="n"/>
      <c r="V501" s="26" t="n"/>
      <c r="W501" s="169" t="n"/>
      <c r="X501" s="26" t="n"/>
      <c r="Y501" s="26" t="n"/>
      <c r="Z501" s="26" t="n"/>
      <c r="AA501" s="26" t="n"/>
      <c r="AD501" s="0">
        <f>SUM(Y501,AA501,AC501)</f>
        <v/>
      </c>
      <c r="AE501" s="0">
        <f>X501*Y501+Z501*AA501+AB501*AC501</f>
        <v/>
      </c>
      <c r="AF501" s="0">
        <f>TEXTJOIN(", ",TRUE,IF(AND(X501&gt;0,Y501&gt;0),TEXT(X501,"0.00")&amp;"ct x "&amp;Y501,""),IF(AND(Z501&gt;0,AA501&gt;0),TEXT(Z501,"0.00")&amp;"ct x "&amp;AA501,""),IF(AND(AB501&gt;0,AC501&gt;0),TEXT(AB501,"0.00")&amp;"ct x "&amp;AC501,""))</f>
        <v/>
      </c>
      <c r="AG501" s="0">
        <f>X501*Y501*SUMIFS($AM$2:$AM$11,$AK$2:$AK$11,"&lt;="&amp;X501,$AL$2:$AL$11,"&gt;="&amp;X501)+Z501*AA501*SUMIFS($AM$2:$AM$11,$AK$2:$AK$11,"&lt;="&amp;Z501,$AL$2:$AL$11,"&gt;="&amp;Z501)+AB501*AC501*SUMIFS($AM$2:$AM$11,$AK$2:$AK$11,"&lt;="&amp;AB501,$AL$2:$AL$11,"&gt;="&amp;AB501)</f>
        <v/>
      </c>
      <c r="AH501" s="0">
        <f>AG501*(1-40%)</f>
        <v/>
      </c>
      <c r="AI501" s="0">
        <f>AH501*1.2</f>
        <v/>
      </c>
    </row>
    <row r="502">
      <c r="A502" s="26" t="n"/>
      <c r="B502" s="169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>
        <f>AG502</f>
        <v/>
      </c>
      <c r="T502" s="26">
        <f>AI502+Q502+P502</f>
        <v/>
      </c>
      <c r="U502" s="26" t="n"/>
      <c r="V502" s="26" t="n"/>
      <c r="W502" s="169" t="n"/>
      <c r="X502" s="26" t="n"/>
      <c r="Y502" s="26" t="n"/>
      <c r="Z502" s="26" t="n"/>
      <c r="AA502" s="26" t="n"/>
      <c r="AD502" s="0">
        <f>SUM(Y502,AA502,AC502)</f>
        <v/>
      </c>
      <c r="AE502" s="0">
        <f>X502*Y502+Z502*AA502+AB502*AC502</f>
        <v/>
      </c>
      <c r="AF502" s="0">
        <f>TEXTJOIN(", ",TRUE,IF(AND(X502&gt;0,Y502&gt;0),TEXT(X502,"0.00")&amp;"ct x "&amp;Y502,""),IF(AND(Z502&gt;0,AA502&gt;0),TEXT(Z502,"0.00")&amp;"ct x "&amp;AA502,""),IF(AND(AB502&gt;0,AC502&gt;0),TEXT(AB502,"0.00")&amp;"ct x "&amp;AC502,""))</f>
        <v/>
      </c>
      <c r="AG502" s="0">
        <f>X502*Y502*SUMIFS($AM$2:$AM$11,$AK$2:$AK$11,"&lt;="&amp;X502,$AL$2:$AL$11,"&gt;="&amp;X502)+Z502*AA502*SUMIFS($AM$2:$AM$11,$AK$2:$AK$11,"&lt;="&amp;Z502,$AL$2:$AL$11,"&gt;="&amp;Z502)+AB502*AC502*SUMIFS($AM$2:$AM$11,$AK$2:$AK$11,"&lt;="&amp;AB502,$AL$2:$AL$11,"&gt;="&amp;AB502)</f>
        <v/>
      </c>
      <c r="AH502" s="0">
        <f>AG502*(1-40%)</f>
        <v/>
      </c>
      <c r="AI502" s="0">
        <f>AH502*1.2</f>
        <v/>
      </c>
    </row>
    <row r="503">
      <c r="A503" s="26" t="n"/>
      <c r="B503" s="169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>
        <f>AG503</f>
        <v/>
      </c>
      <c r="T503" s="26">
        <f>AI503+Q503+P503</f>
        <v/>
      </c>
      <c r="U503" s="26" t="n"/>
      <c r="V503" s="26" t="n"/>
      <c r="W503" s="169" t="n"/>
      <c r="X503" s="26" t="n"/>
      <c r="Y503" s="26" t="n"/>
      <c r="Z503" s="26" t="n"/>
      <c r="AA503" s="26" t="n"/>
      <c r="AD503" s="0">
        <f>SUM(Y503,AA503,AC503)</f>
        <v/>
      </c>
      <c r="AE503" s="0">
        <f>X503*Y503+Z503*AA503+AB503*AC503</f>
        <v/>
      </c>
      <c r="AF503" s="0">
        <f>TEXTJOIN(", ",TRUE,IF(AND(X503&gt;0,Y503&gt;0),TEXT(X503,"0.00")&amp;"ct x "&amp;Y503,""),IF(AND(Z503&gt;0,AA503&gt;0),TEXT(Z503,"0.00")&amp;"ct x "&amp;AA503,""),IF(AND(AB503&gt;0,AC503&gt;0),TEXT(AB503,"0.00")&amp;"ct x "&amp;AC503,""))</f>
        <v/>
      </c>
      <c r="AG503" s="0">
        <f>X503*Y503*SUMIFS($AM$2:$AM$11,$AK$2:$AK$11,"&lt;="&amp;X503,$AL$2:$AL$11,"&gt;="&amp;X503)+Z503*AA503*SUMIFS($AM$2:$AM$11,$AK$2:$AK$11,"&lt;="&amp;Z503,$AL$2:$AL$11,"&gt;="&amp;Z503)+AB503*AC503*SUMIFS($AM$2:$AM$11,$AK$2:$AK$11,"&lt;="&amp;AB503,$AL$2:$AL$11,"&gt;="&amp;AB503)</f>
        <v/>
      </c>
      <c r="AH503" s="0">
        <f>AG503*(1-40%)</f>
        <v/>
      </c>
      <c r="AI503" s="0">
        <f>AH503*1.2</f>
        <v/>
      </c>
    </row>
    <row r="504">
      <c r="A504" s="26" t="n"/>
      <c r="B504" s="169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>
        <f>AG504</f>
        <v/>
      </c>
      <c r="T504" s="26">
        <f>AI504+Q504+P504</f>
        <v/>
      </c>
      <c r="U504" s="26" t="n"/>
      <c r="V504" s="26" t="n"/>
      <c r="W504" s="169" t="n"/>
      <c r="X504" s="26" t="n"/>
      <c r="Y504" s="26" t="n"/>
      <c r="Z504" s="26" t="n"/>
      <c r="AA504" s="26" t="n"/>
      <c r="AD504" s="0">
        <f>SUM(Y504,AA504,AC504)</f>
        <v/>
      </c>
      <c r="AE504" s="0">
        <f>X504*Y504+Z504*AA504+AB504*AC504</f>
        <v/>
      </c>
      <c r="AF504" s="0">
        <f>TEXTJOIN(", ",TRUE,IF(AND(X504&gt;0,Y504&gt;0),TEXT(X504,"0.00")&amp;"ct x "&amp;Y504,""),IF(AND(Z504&gt;0,AA504&gt;0),TEXT(Z504,"0.00")&amp;"ct x "&amp;AA504,""),IF(AND(AB504&gt;0,AC504&gt;0),TEXT(AB504,"0.00")&amp;"ct x "&amp;AC504,""))</f>
        <v/>
      </c>
      <c r="AG504" s="0">
        <f>X504*Y504*SUMIFS($AM$2:$AM$11,$AK$2:$AK$11,"&lt;="&amp;X504,$AL$2:$AL$11,"&gt;="&amp;X504)+Z504*AA504*SUMIFS($AM$2:$AM$11,$AK$2:$AK$11,"&lt;="&amp;Z504,$AL$2:$AL$11,"&gt;="&amp;Z504)+AB504*AC504*SUMIFS($AM$2:$AM$11,$AK$2:$AK$11,"&lt;="&amp;AB504,$AL$2:$AL$11,"&gt;="&amp;AB504)</f>
        <v/>
      </c>
      <c r="AH504" s="0">
        <f>AG504*(1-40%)</f>
        <v/>
      </c>
      <c r="AI504" s="0">
        <f>AH504*1.2</f>
        <v/>
      </c>
    </row>
    <row r="505">
      <c r="A505" s="26" t="n"/>
      <c r="B505" s="169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>
        <f>AG505</f>
        <v/>
      </c>
      <c r="T505" s="26">
        <f>AI505+Q505+P505</f>
        <v/>
      </c>
      <c r="U505" s="26" t="n"/>
      <c r="V505" s="26" t="n"/>
      <c r="W505" s="169" t="n"/>
      <c r="X505" s="26" t="n"/>
      <c r="Y505" s="26" t="n"/>
      <c r="Z505" s="26" t="n"/>
      <c r="AA505" s="26" t="n"/>
      <c r="AD505" s="0">
        <f>SUM(Y505,AA505,AC505)</f>
        <v/>
      </c>
      <c r="AE505" s="0">
        <f>X505*Y505+Z505*AA505+AB505*AC505</f>
        <v/>
      </c>
      <c r="AF505" s="0">
        <f>TEXTJOIN(", ",TRUE,IF(AND(X505&gt;0,Y505&gt;0),TEXT(X505,"0.00")&amp;"ct x "&amp;Y505,""),IF(AND(Z505&gt;0,AA505&gt;0),TEXT(Z505,"0.00")&amp;"ct x "&amp;AA505,""),IF(AND(AB505&gt;0,AC505&gt;0),TEXT(AB505,"0.00")&amp;"ct x "&amp;AC505,""))</f>
        <v/>
      </c>
      <c r="AG505" s="0">
        <f>X505*Y505*SUMIFS($AM$2:$AM$11,$AK$2:$AK$11,"&lt;="&amp;X505,$AL$2:$AL$11,"&gt;="&amp;X505)+Z505*AA505*SUMIFS($AM$2:$AM$11,$AK$2:$AK$11,"&lt;="&amp;Z505,$AL$2:$AL$11,"&gt;="&amp;Z505)+AB505*AC505*SUMIFS($AM$2:$AM$11,$AK$2:$AK$11,"&lt;="&amp;AB505,$AL$2:$AL$11,"&gt;="&amp;AB505)</f>
        <v/>
      </c>
      <c r="AH505" s="0">
        <f>AG505*(1-40%)</f>
        <v/>
      </c>
      <c r="AI505" s="0">
        <f>AH505*1.2</f>
        <v/>
      </c>
    </row>
    <row r="506">
      <c r="A506" s="26" t="n"/>
      <c r="B506" s="169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>
        <f>AG506</f>
        <v/>
      </c>
      <c r="T506" s="26">
        <f>AI506+Q506+P506</f>
        <v/>
      </c>
      <c r="U506" s="26" t="n"/>
      <c r="V506" s="26" t="n"/>
      <c r="W506" s="169" t="n"/>
      <c r="X506" s="26" t="n"/>
      <c r="Y506" s="26" t="n"/>
      <c r="Z506" s="26" t="n"/>
      <c r="AA506" s="26" t="n"/>
      <c r="AD506" s="0">
        <f>SUM(Y506,AA506,AC506)</f>
        <v/>
      </c>
      <c r="AE506" s="0">
        <f>X506*Y506+Z506*AA506+AB506*AC506</f>
        <v/>
      </c>
      <c r="AF506" s="0">
        <f>TEXTJOIN(", ",TRUE,IF(AND(X506&gt;0,Y506&gt;0),TEXT(X506,"0.00")&amp;"ct x "&amp;Y506,""),IF(AND(Z506&gt;0,AA506&gt;0),TEXT(Z506,"0.00")&amp;"ct x "&amp;AA506,""),IF(AND(AB506&gt;0,AC506&gt;0),TEXT(AB506,"0.00")&amp;"ct x "&amp;AC506,""))</f>
        <v/>
      </c>
      <c r="AG506" s="0">
        <f>X506*Y506*SUMIFS($AM$2:$AM$11,$AK$2:$AK$11,"&lt;="&amp;X506,$AL$2:$AL$11,"&gt;="&amp;X506)+Z506*AA506*SUMIFS($AM$2:$AM$11,$AK$2:$AK$11,"&lt;="&amp;Z506,$AL$2:$AL$11,"&gt;="&amp;Z506)+AB506*AC506*SUMIFS($AM$2:$AM$11,$AK$2:$AK$11,"&lt;="&amp;AB506,$AL$2:$AL$11,"&gt;="&amp;AB506)</f>
        <v/>
      </c>
      <c r="AH506" s="0">
        <f>AG506*(1-40%)</f>
        <v/>
      </c>
      <c r="AI506" s="0">
        <f>AH506*1.2</f>
        <v/>
      </c>
    </row>
    <row r="507">
      <c r="A507" s="26" t="n"/>
      <c r="B507" s="169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>
        <f>AG507</f>
        <v/>
      </c>
      <c r="T507" s="26">
        <f>AI507+Q507+P507</f>
        <v/>
      </c>
      <c r="U507" s="26" t="n"/>
      <c r="V507" s="26" t="n"/>
      <c r="W507" s="169" t="n"/>
      <c r="X507" s="26" t="n"/>
      <c r="Y507" s="26" t="n"/>
      <c r="Z507" s="26" t="n"/>
      <c r="AA507" s="26" t="n"/>
      <c r="AD507" s="0">
        <f>SUM(Y507,AA507,AC507)</f>
        <v/>
      </c>
      <c r="AE507" s="0">
        <f>X507*Y507+Z507*AA507+AB507*AC507</f>
        <v/>
      </c>
      <c r="AF507" s="0">
        <f>TEXTJOIN(", ",TRUE,IF(AND(X507&gt;0,Y507&gt;0),TEXT(X507,"0.00")&amp;"ct x "&amp;Y507,""),IF(AND(Z507&gt;0,AA507&gt;0),TEXT(Z507,"0.00")&amp;"ct x "&amp;AA507,""),IF(AND(AB507&gt;0,AC507&gt;0),TEXT(AB507,"0.00")&amp;"ct x "&amp;AC507,""))</f>
        <v/>
      </c>
      <c r="AG507" s="0">
        <f>X507*Y507*SUMIFS($AM$2:$AM$11,$AK$2:$AK$11,"&lt;="&amp;X507,$AL$2:$AL$11,"&gt;="&amp;X507)+Z507*AA507*SUMIFS($AM$2:$AM$11,$AK$2:$AK$11,"&lt;="&amp;Z507,$AL$2:$AL$11,"&gt;="&amp;Z507)+AB507*AC507*SUMIFS($AM$2:$AM$11,$AK$2:$AK$11,"&lt;="&amp;AB507,$AL$2:$AL$11,"&gt;="&amp;AB507)</f>
        <v/>
      </c>
      <c r="AH507" s="0">
        <f>AG507*(1-40%)</f>
        <v/>
      </c>
      <c r="AI507" s="0">
        <f>AH507*1.2</f>
        <v/>
      </c>
    </row>
    <row r="508">
      <c r="A508" s="26" t="n"/>
      <c r="B508" s="169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>
        <f>AG508</f>
        <v/>
      </c>
      <c r="T508" s="26">
        <f>AI508+Q508+P508</f>
        <v/>
      </c>
      <c r="U508" s="26" t="n"/>
      <c r="V508" s="26" t="n"/>
      <c r="W508" s="169" t="n"/>
      <c r="X508" s="26" t="n"/>
      <c r="Y508" s="26" t="n"/>
      <c r="Z508" s="26" t="n"/>
      <c r="AA508" s="26" t="n"/>
      <c r="AD508" s="0">
        <f>SUM(Y508,AA508,AC508)</f>
        <v/>
      </c>
      <c r="AE508" s="0">
        <f>X508*Y508+Z508*AA508+AB508*AC508</f>
        <v/>
      </c>
      <c r="AF508" s="0">
        <f>TEXTJOIN(", ",TRUE,IF(AND(X508&gt;0,Y508&gt;0),TEXT(X508,"0.00")&amp;"ct x "&amp;Y508,""),IF(AND(Z508&gt;0,AA508&gt;0),TEXT(Z508,"0.00")&amp;"ct x "&amp;AA508,""),IF(AND(AB508&gt;0,AC508&gt;0),TEXT(AB508,"0.00")&amp;"ct x "&amp;AC508,""))</f>
        <v/>
      </c>
      <c r="AG508" s="0">
        <f>X508*Y508*SUMIFS($AM$2:$AM$11,$AK$2:$AK$11,"&lt;="&amp;X508,$AL$2:$AL$11,"&gt;="&amp;X508)+Z508*AA508*SUMIFS($AM$2:$AM$11,$AK$2:$AK$11,"&lt;="&amp;Z508,$AL$2:$AL$11,"&gt;="&amp;Z508)+AB508*AC508*SUMIFS($AM$2:$AM$11,$AK$2:$AK$11,"&lt;="&amp;AB508,$AL$2:$AL$11,"&gt;="&amp;AB508)</f>
        <v/>
      </c>
      <c r="AH508" s="0">
        <f>AG508*(1-40%)</f>
        <v/>
      </c>
      <c r="AI508" s="0">
        <f>AH508*1.2</f>
        <v/>
      </c>
    </row>
    <row r="509">
      <c r="A509" s="26" t="n"/>
      <c r="B509" s="169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>
        <f>AG509</f>
        <v/>
      </c>
      <c r="T509" s="26">
        <f>AI509+Q509+P509</f>
        <v/>
      </c>
      <c r="U509" s="26" t="n"/>
      <c r="V509" s="26" t="n"/>
      <c r="W509" s="169" t="n"/>
      <c r="X509" s="26" t="n"/>
      <c r="Y509" s="26" t="n"/>
      <c r="Z509" s="26" t="n"/>
      <c r="AA509" s="26" t="n"/>
      <c r="AD509" s="0">
        <f>SUM(Y509,AA509,AC509)</f>
        <v/>
      </c>
      <c r="AE509" s="0">
        <f>X509*Y509+Z509*AA509+AB509*AC509</f>
        <v/>
      </c>
      <c r="AF509" s="0">
        <f>TEXTJOIN(", ",TRUE,IF(AND(X509&gt;0,Y509&gt;0),TEXT(X509,"0.00")&amp;"ct x "&amp;Y509,""),IF(AND(Z509&gt;0,AA509&gt;0),TEXT(Z509,"0.00")&amp;"ct x "&amp;AA509,""),IF(AND(AB509&gt;0,AC509&gt;0),TEXT(AB509,"0.00")&amp;"ct x "&amp;AC509,""))</f>
        <v/>
      </c>
      <c r="AG509" s="0">
        <f>X509*Y509*SUMIFS($AM$2:$AM$11,$AK$2:$AK$11,"&lt;="&amp;X509,$AL$2:$AL$11,"&gt;="&amp;X509)+Z509*AA509*SUMIFS($AM$2:$AM$11,$AK$2:$AK$11,"&lt;="&amp;Z509,$AL$2:$AL$11,"&gt;="&amp;Z509)+AB509*AC509*SUMIFS($AM$2:$AM$11,$AK$2:$AK$11,"&lt;="&amp;AB509,$AL$2:$AL$11,"&gt;="&amp;AB509)</f>
        <v/>
      </c>
      <c r="AH509" s="0">
        <f>AG509*(1-40%)</f>
        <v/>
      </c>
      <c r="AI509" s="0">
        <f>AH509*1.2</f>
        <v/>
      </c>
    </row>
    <row r="510">
      <c r="A510" s="26" t="n"/>
      <c r="B510" s="169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>
        <f>AG510</f>
        <v/>
      </c>
      <c r="T510" s="26">
        <f>AI510+Q510+P510</f>
        <v/>
      </c>
      <c r="U510" s="26" t="n"/>
      <c r="V510" s="26" t="n"/>
      <c r="W510" s="169" t="n"/>
      <c r="X510" s="26" t="n"/>
      <c r="Y510" s="26" t="n"/>
      <c r="Z510" s="26" t="n"/>
      <c r="AA510" s="26" t="n"/>
      <c r="AD510" s="0">
        <f>SUM(Y510,AA510,AC510)</f>
        <v/>
      </c>
      <c r="AE510" s="0">
        <f>X510*Y510+Z510*AA510+AB510*AC510</f>
        <v/>
      </c>
      <c r="AF510" s="0">
        <f>TEXTJOIN(", ",TRUE,IF(AND(X510&gt;0,Y510&gt;0),TEXT(X510,"0.00")&amp;"ct x "&amp;Y510,""),IF(AND(Z510&gt;0,AA510&gt;0),TEXT(Z510,"0.00")&amp;"ct x "&amp;AA510,""),IF(AND(AB510&gt;0,AC510&gt;0),TEXT(AB510,"0.00")&amp;"ct x "&amp;AC510,""))</f>
        <v/>
      </c>
      <c r="AG510" s="0">
        <f>X510*Y510*SUMIFS($AM$2:$AM$11,$AK$2:$AK$11,"&lt;="&amp;X510,$AL$2:$AL$11,"&gt;="&amp;X510)+Z510*AA510*SUMIFS($AM$2:$AM$11,$AK$2:$AK$11,"&lt;="&amp;Z510,$AL$2:$AL$11,"&gt;="&amp;Z510)+AB510*AC510*SUMIFS($AM$2:$AM$11,$AK$2:$AK$11,"&lt;="&amp;AB510,$AL$2:$AL$11,"&gt;="&amp;AB510)</f>
        <v/>
      </c>
      <c r="AH510" s="0">
        <f>AG510*(1-40%)</f>
        <v/>
      </c>
      <c r="AI510" s="0">
        <f>AH510*1.2</f>
        <v/>
      </c>
    </row>
    <row r="511">
      <c r="A511" s="26" t="n"/>
      <c r="B511" s="169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>
        <f>AG511</f>
        <v/>
      </c>
      <c r="T511" s="26">
        <f>AI511+Q511+P511</f>
        <v/>
      </c>
      <c r="U511" s="26" t="n"/>
      <c r="V511" s="26" t="n"/>
      <c r="W511" s="169" t="n"/>
      <c r="X511" s="26" t="n"/>
      <c r="Y511" s="26" t="n"/>
      <c r="Z511" s="26" t="n"/>
      <c r="AA511" s="26" t="n"/>
      <c r="AD511" s="0">
        <f>SUM(Y511,AA511,AC511)</f>
        <v/>
      </c>
      <c r="AE511" s="0">
        <f>X511*Y511+Z511*AA511+AB511*AC511</f>
        <v/>
      </c>
      <c r="AF511" s="0">
        <f>TEXTJOIN(", ",TRUE,IF(AND(X511&gt;0,Y511&gt;0),TEXT(X511,"0.00")&amp;"ct x "&amp;Y511,""),IF(AND(Z511&gt;0,AA511&gt;0),TEXT(Z511,"0.00")&amp;"ct x "&amp;AA511,""),IF(AND(AB511&gt;0,AC511&gt;0),TEXT(AB511,"0.00")&amp;"ct x "&amp;AC511,""))</f>
        <v/>
      </c>
      <c r="AG511" s="0">
        <f>X511*Y511*SUMIFS($AM$2:$AM$11,$AK$2:$AK$11,"&lt;="&amp;X511,$AL$2:$AL$11,"&gt;="&amp;X511)+Z511*AA511*SUMIFS($AM$2:$AM$11,$AK$2:$AK$11,"&lt;="&amp;Z511,$AL$2:$AL$11,"&gt;="&amp;Z511)+AB511*AC511*SUMIFS($AM$2:$AM$11,$AK$2:$AK$11,"&lt;="&amp;AB511,$AL$2:$AL$11,"&gt;="&amp;AB511)</f>
        <v/>
      </c>
      <c r="AH511" s="0">
        <f>AG511*(1-40%)</f>
        <v/>
      </c>
      <c r="AI511" s="0">
        <f>AH511*1.2</f>
        <v/>
      </c>
    </row>
    <row r="512">
      <c r="A512" s="26" t="n"/>
      <c r="B512" s="169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>
        <f>AG512</f>
        <v/>
      </c>
      <c r="T512" s="26">
        <f>AI512+Q512+P512</f>
        <v/>
      </c>
      <c r="U512" s="26" t="n"/>
      <c r="V512" s="26" t="n"/>
      <c r="W512" s="169" t="n"/>
      <c r="X512" s="26" t="n"/>
      <c r="Y512" s="26" t="n"/>
      <c r="Z512" s="26" t="n"/>
      <c r="AA512" s="26" t="n"/>
      <c r="AD512" s="0">
        <f>SUM(Y512,AA512,AC512)</f>
        <v/>
      </c>
      <c r="AE512" s="0">
        <f>X512*Y512+Z512*AA512+AB512*AC512</f>
        <v/>
      </c>
      <c r="AF512" s="0">
        <f>TEXTJOIN(", ",TRUE,IF(AND(X512&gt;0,Y512&gt;0),TEXT(X512,"0.00")&amp;"ct x "&amp;Y512,""),IF(AND(Z512&gt;0,AA512&gt;0),TEXT(Z512,"0.00")&amp;"ct x "&amp;AA512,""),IF(AND(AB512&gt;0,AC512&gt;0),TEXT(AB512,"0.00")&amp;"ct x "&amp;AC512,""))</f>
        <v/>
      </c>
      <c r="AG512" s="0">
        <f>X512*Y512*SUMIFS($AM$2:$AM$11,$AK$2:$AK$11,"&lt;="&amp;X512,$AL$2:$AL$11,"&gt;="&amp;X512)+Z512*AA512*SUMIFS($AM$2:$AM$11,$AK$2:$AK$11,"&lt;="&amp;Z512,$AL$2:$AL$11,"&gt;="&amp;Z512)+AB512*AC512*SUMIFS($AM$2:$AM$11,$AK$2:$AK$11,"&lt;="&amp;AB512,$AL$2:$AL$11,"&gt;="&amp;AB512)</f>
        <v/>
      </c>
      <c r="AH512" s="0">
        <f>AG512*(1-40%)</f>
        <v/>
      </c>
      <c r="AI512" s="0">
        <f>AH512*1.2</f>
        <v/>
      </c>
    </row>
    <row r="513">
      <c r="A513" s="26" t="n"/>
      <c r="B513" s="169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>
        <f>AG513</f>
        <v/>
      </c>
      <c r="T513" s="26">
        <f>AI513+Q513+P513</f>
        <v/>
      </c>
      <c r="U513" s="26" t="n"/>
      <c r="V513" s="26" t="n"/>
      <c r="W513" s="169" t="n"/>
      <c r="X513" s="26" t="n"/>
      <c r="Y513" s="26" t="n"/>
      <c r="Z513" s="26" t="n"/>
      <c r="AA513" s="26" t="n"/>
      <c r="AD513" s="0">
        <f>SUM(Y513,AA513,AC513)</f>
        <v/>
      </c>
      <c r="AE513" s="0">
        <f>X513*Y513+Z513*AA513+AB513*AC513</f>
        <v/>
      </c>
      <c r="AF513" s="0">
        <f>TEXTJOIN(", ",TRUE,IF(AND(X513&gt;0,Y513&gt;0),TEXT(X513,"0.00")&amp;"ct x "&amp;Y513,""),IF(AND(Z513&gt;0,AA513&gt;0),TEXT(Z513,"0.00")&amp;"ct x "&amp;AA513,""),IF(AND(AB513&gt;0,AC513&gt;0),TEXT(AB513,"0.00")&amp;"ct x "&amp;AC513,""))</f>
        <v/>
      </c>
      <c r="AG513" s="0">
        <f>X513*Y513*SUMIFS($AM$2:$AM$11,$AK$2:$AK$11,"&lt;="&amp;X513,$AL$2:$AL$11,"&gt;="&amp;X513)+Z513*AA513*SUMIFS($AM$2:$AM$11,$AK$2:$AK$11,"&lt;="&amp;Z513,$AL$2:$AL$11,"&gt;="&amp;Z513)+AB513*AC513*SUMIFS($AM$2:$AM$11,$AK$2:$AK$11,"&lt;="&amp;AB513,$AL$2:$AL$11,"&gt;="&amp;AB513)</f>
        <v/>
      </c>
      <c r="AH513" s="0">
        <f>AG513*(1-40%)</f>
        <v/>
      </c>
      <c r="AI513" s="0">
        <f>AH513*1.2</f>
        <v/>
      </c>
    </row>
    <row r="514">
      <c r="A514" s="26" t="n"/>
      <c r="B514" s="169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>
        <f>AG514</f>
        <v/>
      </c>
      <c r="T514" s="26">
        <f>AI514+Q514+P514</f>
        <v/>
      </c>
      <c r="U514" s="26" t="n"/>
      <c r="V514" s="26" t="n"/>
      <c r="W514" s="169" t="n"/>
      <c r="X514" s="26" t="n"/>
      <c r="Y514" s="26" t="n"/>
      <c r="Z514" s="26" t="n"/>
      <c r="AA514" s="26" t="n"/>
      <c r="AD514" s="0">
        <f>SUM(Y514,AA514,AC514)</f>
        <v/>
      </c>
      <c r="AE514" s="0">
        <f>X514*Y514+Z514*AA514+AB514*AC514</f>
        <v/>
      </c>
      <c r="AF514" s="0">
        <f>TEXTJOIN(", ",TRUE,IF(AND(X514&gt;0,Y514&gt;0),TEXT(X514,"0.00")&amp;"ct x "&amp;Y514,""),IF(AND(Z514&gt;0,AA514&gt;0),TEXT(Z514,"0.00")&amp;"ct x "&amp;AA514,""),IF(AND(AB514&gt;0,AC514&gt;0),TEXT(AB514,"0.00")&amp;"ct x "&amp;AC514,""))</f>
        <v/>
      </c>
      <c r="AG514" s="0">
        <f>X514*Y514*SUMIFS($AM$2:$AM$11,$AK$2:$AK$11,"&lt;="&amp;X514,$AL$2:$AL$11,"&gt;="&amp;X514)+Z514*AA514*SUMIFS($AM$2:$AM$11,$AK$2:$AK$11,"&lt;="&amp;Z514,$AL$2:$AL$11,"&gt;="&amp;Z514)+AB514*AC514*SUMIFS($AM$2:$AM$11,$AK$2:$AK$11,"&lt;="&amp;AB514,$AL$2:$AL$11,"&gt;="&amp;AB514)</f>
        <v/>
      </c>
      <c r="AH514" s="0">
        <f>AG514*(1-40%)</f>
        <v/>
      </c>
      <c r="AI514" s="0">
        <f>AH514*1.2</f>
        <v/>
      </c>
    </row>
    <row r="515">
      <c r="A515" s="26" t="n"/>
      <c r="B515" s="169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>
        <f>AG515</f>
        <v/>
      </c>
      <c r="T515" s="26">
        <f>AI515+Q515+P515</f>
        <v/>
      </c>
      <c r="U515" s="26" t="n"/>
      <c r="V515" s="26" t="n"/>
      <c r="W515" s="169" t="n"/>
      <c r="X515" s="26" t="n"/>
      <c r="Y515" s="26" t="n"/>
      <c r="Z515" s="26" t="n"/>
      <c r="AA515" s="26" t="n"/>
      <c r="AD515" s="0">
        <f>SUM(Y515,AA515,AC515)</f>
        <v/>
      </c>
      <c r="AE515" s="0">
        <f>X515*Y515+Z515*AA515+AB515*AC515</f>
        <v/>
      </c>
      <c r="AF515" s="0">
        <f>TEXTJOIN(", ",TRUE,IF(AND(X515&gt;0,Y515&gt;0),TEXT(X515,"0.00")&amp;"ct x "&amp;Y515,""),IF(AND(Z515&gt;0,AA515&gt;0),TEXT(Z515,"0.00")&amp;"ct x "&amp;AA515,""),IF(AND(AB515&gt;0,AC515&gt;0),TEXT(AB515,"0.00")&amp;"ct x "&amp;AC515,""))</f>
        <v/>
      </c>
      <c r="AG515" s="0">
        <f>X515*Y515*SUMIFS($AM$2:$AM$11,$AK$2:$AK$11,"&lt;="&amp;X515,$AL$2:$AL$11,"&gt;="&amp;X515)+Z515*AA515*SUMIFS($AM$2:$AM$11,$AK$2:$AK$11,"&lt;="&amp;Z515,$AL$2:$AL$11,"&gt;="&amp;Z515)+AB515*AC515*SUMIFS($AM$2:$AM$11,$AK$2:$AK$11,"&lt;="&amp;AB515,$AL$2:$AL$11,"&gt;="&amp;AB515)</f>
        <v/>
      </c>
      <c r="AH515" s="0">
        <f>AG515*(1-40%)</f>
        <v/>
      </c>
      <c r="AI515" s="0">
        <f>AH515*1.2</f>
        <v/>
      </c>
    </row>
    <row r="516">
      <c r="A516" s="26" t="n"/>
      <c r="B516" s="169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>
        <f>AG516</f>
        <v/>
      </c>
      <c r="T516" s="26">
        <f>AI516+Q516+P516</f>
        <v/>
      </c>
      <c r="U516" s="26" t="n"/>
      <c r="V516" s="26" t="n"/>
      <c r="W516" s="169" t="n"/>
      <c r="X516" s="26" t="n"/>
      <c r="Y516" s="26" t="n"/>
      <c r="Z516" s="26" t="n"/>
      <c r="AA516" s="26" t="n"/>
      <c r="AD516" s="0">
        <f>SUM(Y516,AA516,AC516)</f>
        <v/>
      </c>
      <c r="AE516" s="0">
        <f>X516*Y516+Z516*AA516+AB516*AC516</f>
        <v/>
      </c>
      <c r="AF516" s="0">
        <f>TEXTJOIN(", ",TRUE,IF(AND(X516&gt;0,Y516&gt;0),TEXT(X516,"0.00")&amp;"ct x "&amp;Y516,""),IF(AND(Z516&gt;0,AA516&gt;0),TEXT(Z516,"0.00")&amp;"ct x "&amp;AA516,""),IF(AND(AB516&gt;0,AC516&gt;0),TEXT(AB516,"0.00")&amp;"ct x "&amp;AC516,""))</f>
        <v/>
      </c>
      <c r="AG516" s="0">
        <f>X516*Y516*SUMIFS($AM$2:$AM$11,$AK$2:$AK$11,"&lt;="&amp;X516,$AL$2:$AL$11,"&gt;="&amp;X516)+Z516*AA516*SUMIFS($AM$2:$AM$11,$AK$2:$AK$11,"&lt;="&amp;Z516,$AL$2:$AL$11,"&gt;="&amp;Z516)+AB516*AC516*SUMIFS($AM$2:$AM$11,$AK$2:$AK$11,"&lt;="&amp;AB516,$AL$2:$AL$11,"&gt;="&amp;AB516)</f>
        <v/>
      </c>
      <c r="AH516" s="0">
        <f>AG516*(1-40%)</f>
        <v/>
      </c>
      <c r="AI516" s="0">
        <f>AH516*1.2</f>
        <v/>
      </c>
    </row>
    <row r="517">
      <c r="A517" s="26" t="n"/>
      <c r="B517" s="169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>
        <f>AG517</f>
        <v/>
      </c>
      <c r="T517" s="26">
        <f>AI517+Q517+P517</f>
        <v/>
      </c>
      <c r="U517" s="26" t="n"/>
      <c r="V517" s="26" t="n"/>
      <c r="W517" s="169" t="n"/>
      <c r="X517" s="26" t="n"/>
      <c r="Y517" s="26" t="n"/>
      <c r="Z517" s="26" t="n"/>
      <c r="AA517" s="26" t="n"/>
      <c r="AD517" s="0">
        <f>SUM(Y517,AA517,AC517)</f>
        <v/>
      </c>
      <c r="AE517" s="0">
        <f>X517*Y517+Z517*AA517+AB517*AC517</f>
        <v/>
      </c>
      <c r="AF517" s="0">
        <f>TEXTJOIN(", ",TRUE,IF(AND(X517&gt;0,Y517&gt;0),TEXT(X517,"0.00")&amp;"ct x "&amp;Y517,""),IF(AND(Z517&gt;0,AA517&gt;0),TEXT(Z517,"0.00")&amp;"ct x "&amp;AA517,""),IF(AND(AB517&gt;0,AC517&gt;0),TEXT(AB517,"0.00")&amp;"ct x "&amp;AC517,""))</f>
        <v/>
      </c>
      <c r="AG517" s="0">
        <f>X517*Y517*SUMIFS($AM$2:$AM$11,$AK$2:$AK$11,"&lt;="&amp;X517,$AL$2:$AL$11,"&gt;="&amp;X517)+Z517*AA517*SUMIFS($AM$2:$AM$11,$AK$2:$AK$11,"&lt;="&amp;Z517,$AL$2:$AL$11,"&gt;="&amp;Z517)+AB517*AC517*SUMIFS($AM$2:$AM$11,$AK$2:$AK$11,"&lt;="&amp;AB517,$AL$2:$AL$11,"&gt;="&amp;AB517)</f>
        <v/>
      </c>
      <c r="AH517" s="0">
        <f>AG517*(1-40%)</f>
        <v/>
      </c>
      <c r="AI517" s="0">
        <f>AH517*1.2</f>
        <v/>
      </c>
    </row>
    <row r="518">
      <c r="A518" s="26" t="n"/>
      <c r="B518" s="169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>
        <f>AG518</f>
        <v/>
      </c>
      <c r="T518" s="26">
        <f>AI518+Q518+P518</f>
        <v/>
      </c>
      <c r="U518" s="26" t="n"/>
      <c r="V518" s="26" t="n"/>
      <c r="W518" s="169" t="n"/>
      <c r="X518" s="26" t="n"/>
      <c r="Y518" s="26" t="n"/>
      <c r="Z518" s="26" t="n"/>
      <c r="AA518" s="26" t="n"/>
      <c r="AD518" s="0">
        <f>SUM(Y518,AA518,AC518)</f>
        <v/>
      </c>
      <c r="AE518" s="0">
        <f>X518*Y518+Z518*AA518+AB518*AC518</f>
        <v/>
      </c>
      <c r="AF518" s="0">
        <f>TEXTJOIN(", ",TRUE,IF(AND(X518&gt;0,Y518&gt;0),TEXT(X518,"0.00")&amp;"ct x "&amp;Y518,""),IF(AND(Z518&gt;0,AA518&gt;0),TEXT(Z518,"0.00")&amp;"ct x "&amp;AA518,""),IF(AND(AB518&gt;0,AC518&gt;0),TEXT(AB518,"0.00")&amp;"ct x "&amp;AC518,""))</f>
        <v/>
      </c>
      <c r="AG518" s="0">
        <f>X518*Y518*SUMIFS($AM$2:$AM$11,$AK$2:$AK$11,"&lt;="&amp;X518,$AL$2:$AL$11,"&gt;="&amp;X518)+Z518*AA518*SUMIFS($AM$2:$AM$11,$AK$2:$AK$11,"&lt;="&amp;Z518,$AL$2:$AL$11,"&gt;="&amp;Z518)+AB518*AC518*SUMIFS($AM$2:$AM$11,$AK$2:$AK$11,"&lt;="&amp;AB518,$AL$2:$AL$11,"&gt;="&amp;AB518)</f>
        <v/>
      </c>
      <c r="AH518" s="0">
        <f>AG518*(1-40%)</f>
        <v/>
      </c>
      <c r="AI518" s="0">
        <f>AH518*1.2</f>
        <v/>
      </c>
    </row>
    <row r="519">
      <c r="A519" s="26" t="n"/>
      <c r="B519" s="169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>
        <f>AG519</f>
        <v/>
      </c>
      <c r="T519" s="26">
        <f>AI519+Q519+P519</f>
        <v/>
      </c>
      <c r="U519" s="26" t="n"/>
      <c r="V519" s="26" t="n"/>
      <c r="W519" s="169" t="n"/>
      <c r="X519" s="26" t="n"/>
      <c r="Y519" s="26" t="n"/>
      <c r="Z519" s="26" t="n"/>
      <c r="AA519" s="26" t="n"/>
      <c r="AD519" s="0">
        <f>SUM(Y519,AA519,AC519)</f>
        <v/>
      </c>
      <c r="AE519" s="0">
        <f>X519*Y519+Z519*AA519+AB519*AC519</f>
        <v/>
      </c>
      <c r="AF519" s="0">
        <f>TEXTJOIN(", ",TRUE,IF(AND(X519&gt;0,Y519&gt;0),TEXT(X519,"0.00")&amp;"ct x "&amp;Y519,""),IF(AND(Z519&gt;0,AA519&gt;0),TEXT(Z519,"0.00")&amp;"ct x "&amp;AA519,""),IF(AND(AB519&gt;0,AC519&gt;0),TEXT(AB519,"0.00")&amp;"ct x "&amp;AC519,""))</f>
        <v/>
      </c>
      <c r="AG519" s="0">
        <f>X519*Y519*SUMIFS($AM$2:$AM$11,$AK$2:$AK$11,"&lt;="&amp;X519,$AL$2:$AL$11,"&gt;="&amp;X519)+Z519*AA519*SUMIFS($AM$2:$AM$11,$AK$2:$AK$11,"&lt;="&amp;Z519,$AL$2:$AL$11,"&gt;="&amp;Z519)+AB519*AC519*SUMIFS($AM$2:$AM$11,$AK$2:$AK$11,"&lt;="&amp;AB519,$AL$2:$AL$11,"&gt;="&amp;AB519)</f>
        <v/>
      </c>
      <c r="AH519" s="0">
        <f>AG519*(1-40%)</f>
        <v/>
      </c>
      <c r="AI519" s="0">
        <f>AH519*1.2</f>
        <v/>
      </c>
    </row>
    <row r="520">
      <c r="A520" s="26" t="n"/>
      <c r="B520" s="169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>
        <f>AG520</f>
        <v/>
      </c>
      <c r="T520" s="26">
        <f>AI520+Q520+P520</f>
        <v/>
      </c>
      <c r="U520" s="26" t="n"/>
      <c r="V520" s="26" t="n"/>
      <c r="W520" s="169" t="n"/>
      <c r="X520" s="26" t="n"/>
      <c r="Y520" s="26" t="n"/>
      <c r="Z520" s="26" t="n"/>
      <c r="AA520" s="26" t="n"/>
      <c r="AD520" s="0">
        <f>SUM(Y520,AA520,AC520)</f>
        <v/>
      </c>
      <c r="AE520" s="0">
        <f>X520*Y520+Z520*AA520+AB520*AC520</f>
        <v/>
      </c>
      <c r="AF520" s="0">
        <f>TEXTJOIN(", ",TRUE,IF(AND(X520&gt;0,Y520&gt;0),TEXT(X520,"0.00")&amp;"ct x "&amp;Y520,""),IF(AND(Z520&gt;0,AA520&gt;0),TEXT(Z520,"0.00")&amp;"ct x "&amp;AA520,""),IF(AND(AB520&gt;0,AC520&gt;0),TEXT(AB520,"0.00")&amp;"ct x "&amp;AC520,""))</f>
        <v/>
      </c>
      <c r="AG520" s="0">
        <f>X520*Y520*SUMIFS($AM$2:$AM$11,$AK$2:$AK$11,"&lt;="&amp;X520,$AL$2:$AL$11,"&gt;="&amp;X520)+Z520*AA520*SUMIFS($AM$2:$AM$11,$AK$2:$AK$11,"&lt;="&amp;Z520,$AL$2:$AL$11,"&gt;="&amp;Z520)+AB520*AC520*SUMIFS($AM$2:$AM$11,$AK$2:$AK$11,"&lt;="&amp;AB520,$AL$2:$AL$11,"&gt;="&amp;AB520)</f>
        <v/>
      </c>
      <c r="AH520" s="0">
        <f>AG520*(1-40%)</f>
        <v/>
      </c>
      <c r="AI520" s="0">
        <f>AH520*1.2</f>
        <v/>
      </c>
    </row>
    <row r="521">
      <c r="A521" s="26" t="n"/>
      <c r="B521" s="169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>
        <f>AG521</f>
        <v/>
      </c>
      <c r="T521" s="26">
        <f>AI521+Q521+P521</f>
        <v/>
      </c>
      <c r="U521" s="26" t="n"/>
      <c r="V521" s="26" t="n"/>
      <c r="W521" s="169" t="n"/>
      <c r="X521" s="26" t="n"/>
      <c r="Y521" s="26" t="n"/>
      <c r="Z521" s="26" t="n"/>
      <c r="AA521" s="26" t="n"/>
      <c r="AD521" s="0">
        <f>SUM(Y521,AA521,AC521)</f>
        <v/>
      </c>
      <c r="AE521" s="0">
        <f>X521*Y521+Z521*AA521+AB521*AC521</f>
        <v/>
      </c>
      <c r="AF521" s="0">
        <f>TEXTJOIN(", ",TRUE,IF(AND(X521&gt;0,Y521&gt;0),TEXT(X521,"0.00")&amp;"ct x "&amp;Y521,""),IF(AND(Z521&gt;0,AA521&gt;0),TEXT(Z521,"0.00")&amp;"ct x "&amp;AA521,""),IF(AND(AB521&gt;0,AC521&gt;0),TEXT(AB521,"0.00")&amp;"ct x "&amp;AC521,""))</f>
        <v/>
      </c>
      <c r="AG521" s="0">
        <f>X521*Y521*SUMIFS($AM$2:$AM$11,$AK$2:$AK$11,"&lt;="&amp;X521,$AL$2:$AL$11,"&gt;="&amp;X521)+Z521*AA521*SUMIFS($AM$2:$AM$11,$AK$2:$AK$11,"&lt;="&amp;Z521,$AL$2:$AL$11,"&gt;="&amp;Z521)+AB521*AC521*SUMIFS($AM$2:$AM$11,$AK$2:$AK$11,"&lt;="&amp;AB521,$AL$2:$AL$11,"&gt;="&amp;AB521)</f>
        <v/>
      </c>
      <c r="AH521" s="0">
        <f>AG521*(1-40%)</f>
        <v/>
      </c>
      <c r="AI521" s="0">
        <f>AH521*1.2</f>
        <v/>
      </c>
    </row>
    <row r="522">
      <c r="A522" s="26" t="n"/>
      <c r="B522" s="169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>
        <f>AG522</f>
        <v/>
      </c>
      <c r="T522" s="26">
        <f>AI522+Q522+P522</f>
        <v/>
      </c>
      <c r="U522" s="26" t="n"/>
      <c r="V522" s="26" t="n"/>
      <c r="W522" s="169" t="n"/>
      <c r="X522" s="26" t="n"/>
      <c r="Y522" s="26" t="n"/>
      <c r="Z522" s="26" t="n"/>
      <c r="AA522" s="26" t="n"/>
      <c r="AD522" s="0">
        <f>SUM(Y522,AA522,AC522)</f>
        <v/>
      </c>
      <c r="AE522" s="0">
        <f>X522*Y522+Z522*AA522+AB522*AC522</f>
        <v/>
      </c>
      <c r="AF522" s="0">
        <f>TEXTJOIN(", ",TRUE,IF(AND(X522&gt;0,Y522&gt;0),TEXT(X522,"0.00")&amp;"ct x "&amp;Y522,""),IF(AND(Z522&gt;0,AA522&gt;0),TEXT(Z522,"0.00")&amp;"ct x "&amp;AA522,""),IF(AND(AB522&gt;0,AC522&gt;0),TEXT(AB522,"0.00")&amp;"ct x "&amp;AC522,""))</f>
        <v/>
      </c>
      <c r="AG522" s="0">
        <f>X522*Y522*SUMIFS($AM$2:$AM$11,$AK$2:$AK$11,"&lt;="&amp;X522,$AL$2:$AL$11,"&gt;="&amp;X522)+Z522*AA522*SUMIFS($AM$2:$AM$11,$AK$2:$AK$11,"&lt;="&amp;Z522,$AL$2:$AL$11,"&gt;="&amp;Z522)+AB522*AC522*SUMIFS($AM$2:$AM$11,$AK$2:$AK$11,"&lt;="&amp;AB522,$AL$2:$AL$11,"&gt;="&amp;AB522)</f>
        <v/>
      </c>
      <c r="AH522" s="0">
        <f>AG522*(1-40%)</f>
        <v/>
      </c>
      <c r="AI522" s="0">
        <f>AH522*1.2</f>
        <v/>
      </c>
    </row>
    <row r="523">
      <c r="A523" s="26" t="n"/>
      <c r="B523" s="169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>
        <f>AG523</f>
        <v/>
      </c>
      <c r="T523" s="26">
        <f>AI523+Q523+P523</f>
        <v/>
      </c>
      <c r="U523" s="26" t="n"/>
      <c r="V523" s="26" t="n"/>
      <c r="W523" s="169" t="n"/>
      <c r="X523" s="26" t="n"/>
      <c r="Y523" s="26" t="n"/>
      <c r="Z523" s="26" t="n"/>
      <c r="AA523" s="26" t="n"/>
      <c r="AD523" s="0">
        <f>SUM(Y523,AA523,AC523)</f>
        <v/>
      </c>
      <c r="AE523" s="0">
        <f>X523*Y523+Z523*AA523+AB523*AC523</f>
        <v/>
      </c>
      <c r="AF523" s="0">
        <f>TEXTJOIN(", ",TRUE,IF(AND(X523&gt;0,Y523&gt;0),TEXT(X523,"0.00")&amp;"ct x "&amp;Y523,""),IF(AND(Z523&gt;0,AA523&gt;0),TEXT(Z523,"0.00")&amp;"ct x "&amp;AA523,""),IF(AND(AB523&gt;0,AC523&gt;0),TEXT(AB523,"0.00")&amp;"ct x "&amp;AC523,""))</f>
        <v/>
      </c>
      <c r="AG523" s="0">
        <f>X523*Y523*SUMIFS($AM$2:$AM$11,$AK$2:$AK$11,"&lt;="&amp;X523,$AL$2:$AL$11,"&gt;="&amp;X523)+Z523*AA523*SUMIFS($AM$2:$AM$11,$AK$2:$AK$11,"&lt;="&amp;Z523,$AL$2:$AL$11,"&gt;="&amp;Z523)+AB523*AC523*SUMIFS($AM$2:$AM$11,$AK$2:$AK$11,"&lt;="&amp;AB523,$AL$2:$AL$11,"&gt;="&amp;AB523)</f>
        <v/>
      </c>
      <c r="AH523" s="0">
        <f>AG523*(1-40%)</f>
        <v/>
      </c>
      <c r="AI523" s="0">
        <f>AH523*1.2</f>
        <v/>
      </c>
    </row>
    <row r="524">
      <c r="A524" s="26" t="n"/>
      <c r="B524" s="169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>
        <f>AG524</f>
        <v/>
      </c>
      <c r="T524" s="26">
        <f>AI524+Q524+P524</f>
        <v/>
      </c>
      <c r="U524" s="26" t="n"/>
      <c r="V524" s="26" t="n"/>
      <c r="W524" s="169" t="n"/>
      <c r="X524" s="26" t="n"/>
      <c r="Y524" s="26" t="n"/>
      <c r="Z524" s="26" t="n"/>
      <c r="AA524" s="26" t="n"/>
      <c r="AD524" s="0">
        <f>SUM(Y524,AA524,AC524)</f>
        <v/>
      </c>
      <c r="AE524" s="0">
        <f>X524*Y524+Z524*AA524+AB524*AC524</f>
        <v/>
      </c>
      <c r="AF524" s="0">
        <f>TEXTJOIN(", ",TRUE,IF(AND(X524&gt;0,Y524&gt;0),TEXT(X524,"0.00")&amp;"ct x "&amp;Y524,""),IF(AND(Z524&gt;0,AA524&gt;0),TEXT(Z524,"0.00")&amp;"ct x "&amp;AA524,""),IF(AND(AB524&gt;0,AC524&gt;0),TEXT(AB524,"0.00")&amp;"ct x "&amp;AC524,""))</f>
        <v/>
      </c>
      <c r="AG524" s="0">
        <f>X524*Y524*SUMIFS($AM$2:$AM$11,$AK$2:$AK$11,"&lt;="&amp;X524,$AL$2:$AL$11,"&gt;="&amp;X524)+Z524*AA524*SUMIFS($AM$2:$AM$11,$AK$2:$AK$11,"&lt;="&amp;Z524,$AL$2:$AL$11,"&gt;="&amp;Z524)+AB524*AC524*SUMIFS($AM$2:$AM$11,$AK$2:$AK$11,"&lt;="&amp;AB524,$AL$2:$AL$11,"&gt;="&amp;AB524)</f>
        <v/>
      </c>
      <c r="AH524" s="0">
        <f>AG524*(1-40%)</f>
        <v/>
      </c>
      <c r="AI524" s="0">
        <f>AH524*1.2</f>
        <v/>
      </c>
    </row>
    <row r="525">
      <c r="A525" s="26" t="n"/>
      <c r="B525" s="169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>
        <f>AG525</f>
        <v/>
      </c>
      <c r="T525" s="26">
        <f>AI525+Q525+P525</f>
        <v/>
      </c>
      <c r="U525" s="26" t="n"/>
      <c r="V525" s="26" t="n"/>
      <c r="W525" s="169" t="n"/>
      <c r="X525" s="26" t="n"/>
      <c r="Y525" s="26" t="n"/>
      <c r="Z525" s="26" t="n"/>
      <c r="AA525" s="26" t="n"/>
      <c r="AD525" s="0">
        <f>SUM(Y525,AA525,AC525)</f>
        <v/>
      </c>
      <c r="AE525" s="0">
        <f>X525*Y525+Z525*AA525+AB525*AC525</f>
        <v/>
      </c>
      <c r="AF525" s="0">
        <f>TEXTJOIN(", ",TRUE,IF(AND(X525&gt;0,Y525&gt;0),TEXT(X525,"0.00")&amp;"ct x "&amp;Y525,""),IF(AND(Z525&gt;0,AA525&gt;0),TEXT(Z525,"0.00")&amp;"ct x "&amp;AA525,""),IF(AND(AB525&gt;0,AC525&gt;0),TEXT(AB525,"0.00")&amp;"ct x "&amp;AC525,""))</f>
        <v/>
      </c>
      <c r="AG525" s="0">
        <f>X525*Y525*SUMIFS($AM$2:$AM$11,$AK$2:$AK$11,"&lt;="&amp;X525,$AL$2:$AL$11,"&gt;="&amp;X525)+Z525*AA525*SUMIFS($AM$2:$AM$11,$AK$2:$AK$11,"&lt;="&amp;Z525,$AL$2:$AL$11,"&gt;="&amp;Z525)+AB525*AC525*SUMIFS($AM$2:$AM$11,$AK$2:$AK$11,"&lt;="&amp;AB525,$AL$2:$AL$11,"&gt;="&amp;AB525)</f>
        <v/>
      </c>
      <c r="AH525" s="0">
        <f>AG525*(1-40%)</f>
        <v/>
      </c>
      <c r="AI525" s="0">
        <f>AH525*1.2</f>
        <v/>
      </c>
    </row>
    <row r="526">
      <c r="A526" s="26" t="n"/>
      <c r="B526" s="169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>
        <f>AG526</f>
        <v/>
      </c>
      <c r="T526" s="26">
        <f>AI526+Q526+P526</f>
        <v/>
      </c>
      <c r="U526" s="26" t="n"/>
      <c r="V526" s="26" t="n"/>
      <c r="W526" s="169" t="n"/>
      <c r="X526" s="26" t="n"/>
      <c r="Y526" s="26" t="n"/>
      <c r="Z526" s="26" t="n"/>
      <c r="AA526" s="26" t="n"/>
      <c r="AD526" s="0">
        <f>SUM(Y526,AA526,AC526)</f>
        <v/>
      </c>
      <c r="AE526" s="0">
        <f>X526*Y526+Z526*AA526+AB526*AC526</f>
        <v/>
      </c>
      <c r="AF526" s="0">
        <f>TEXTJOIN(", ",TRUE,IF(AND(X526&gt;0,Y526&gt;0),TEXT(X526,"0.00")&amp;"ct x "&amp;Y526,""),IF(AND(Z526&gt;0,AA526&gt;0),TEXT(Z526,"0.00")&amp;"ct x "&amp;AA526,""),IF(AND(AB526&gt;0,AC526&gt;0),TEXT(AB526,"0.00")&amp;"ct x "&amp;AC526,""))</f>
        <v/>
      </c>
      <c r="AG526" s="0">
        <f>X526*Y526*SUMIFS($AM$2:$AM$11,$AK$2:$AK$11,"&lt;="&amp;X526,$AL$2:$AL$11,"&gt;="&amp;X526)+Z526*AA526*SUMIFS($AM$2:$AM$11,$AK$2:$AK$11,"&lt;="&amp;Z526,$AL$2:$AL$11,"&gt;="&amp;Z526)+AB526*AC526*SUMIFS($AM$2:$AM$11,$AK$2:$AK$11,"&lt;="&amp;AB526,$AL$2:$AL$11,"&gt;="&amp;AB526)</f>
        <v/>
      </c>
      <c r="AH526" s="0">
        <f>AG526*(1-40%)</f>
        <v/>
      </c>
      <c r="AI526" s="0">
        <f>AH526*1.2</f>
        <v/>
      </c>
    </row>
    <row r="527">
      <c r="A527" s="26" t="n"/>
      <c r="B527" s="169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>
        <f>AG527</f>
        <v/>
      </c>
      <c r="T527" s="26">
        <f>AI527+Q527+P527</f>
        <v/>
      </c>
      <c r="U527" s="26" t="n"/>
      <c r="V527" s="26" t="n"/>
      <c r="W527" s="169" t="n"/>
      <c r="X527" s="26" t="n"/>
      <c r="Y527" s="26" t="n"/>
      <c r="Z527" s="26" t="n"/>
      <c r="AA527" s="26" t="n"/>
      <c r="AD527" s="0">
        <f>SUM(Y527,AA527,AC527)</f>
        <v/>
      </c>
      <c r="AE527" s="0">
        <f>X527*Y527+Z527*AA527+AB527*AC527</f>
        <v/>
      </c>
      <c r="AF527" s="0">
        <f>TEXTJOIN(", ",TRUE,IF(AND(X527&gt;0,Y527&gt;0),TEXT(X527,"0.00")&amp;"ct x "&amp;Y527,""),IF(AND(Z527&gt;0,AA527&gt;0),TEXT(Z527,"0.00")&amp;"ct x "&amp;AA527,""),IF(AND(AB527&gt;0,AC527&gt;0),TEXT(AB527,"0.00")&amp;"ct x "&amp;AC527,""))</f>
        <v/>
      </c>
      <c r="AG527" s="0">
        <f>X527*Y527*SUMIFS($AM$2:$AM$11,$AK$2:$AK$11,"&lt;="&amp;X527,$AL$2:$AL$11,"&gt;="&amp;X527)+Z527*AA527*SUMIFS($AM$2:$AM$11,$AK$2:$AK$11,"&lt;="&amp;Z527,$AL$2:$AL$11,"&gt;="&amp;Z527)+AB527*AC527*SUMIFS($AM$2:$AM$11,$AK$2:$AK$11,"&lt;="&amp;AB527,$AL$2:$AL$11,"&gt;="&amp;AB527)</f>
        <v/>
      </c>
      <c r="AH527" s="0">
        <f>AG527*(1-40%)</f>
        <v/>
      </c>
      <c r="AI527" s="0">
        <f>AH527*1.2</f>
        <v/>
      </c>
    </row>
    <row r="528">
      <c r="A528" s="26" t="n"/>
      <c r="B528" s="169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>
        <f>AG528</f>
        <v/>
      </c>
      <c r="T528" s="26">
        <f>AI528+Q528+P528</f>
        <v/>
      </c>
      <c r="U528" s="26" t="n"/>
      <c r="V528" s="26" t="n"/>
      <c r="W528" s="169" t="n"/>
      <c r="X528" s="26" t="n"/>
      <c r="Y528" s="26" t="n"/>
      <c r="Z528" s="26" t="n"/>
      <c r="AA528" s="26" t="n"/>
      <c r="AD528" s="0">
        <f>SUM(Y528,AA528,AC528)</f>
        <v/>
      </c>
      <c r="AE528" s="0">
        <f>X528*Y528+Z528*AA528+AB528*AC528</f>
        <v/>
      </c>
      <c r="AF528" s="0">
        <f>TEXTJOIN(", ",TRUE,IF(AND(X528&gt;0,Y528&gt;0),TEXT(X528,"0.00")&amp;"ct x "&amp;Y528,""),IF(AND(Z528&gt;0,AA528&gt;0),TEXT(Z528,"0.00")&amp;"ct x "&amp;AA528,""),IF(AND(AB528&gt;0,AC528&gt;0),TEXT(AB528,"0.00")&amp;"ct x "&amp;AC528,""))</f>
        <v/>
      </c>
      <c r="AG528" s="0">
        <f>X528*Y528*SUMIFS($AM$2:$AM$11,$AK$2:$AK$11,"&lt;="&amp;X528,$AL$2:$AL$11,"&gt;="&amp;X528)+Z528*AA528*SUMIFS($AM$2:$AM$11,$AK$2:$AK$11,"&lt;="&amp;Z528,$AL$2:$AL$11,"&gt;="&amp;Z528)+AB528*AC528*SUMIFS($AM$2:$AM$11,$AK$2:$AK$11,"&lt;="&amp;AB528,$AL$2:$AL$11,"&gt;="&amp;AB528)</f>
        <v/>
      </c>
      <c r="AH528" s="0">
        <f>AG528*(1-40%)</f>
        <v/>
      </c>
      <c r="AI528" s="0">
        <f>AH528*1.2</f>
        <v/>
      </c>
    </row>
    <row r="529">
      <c r="A529" s="26" t="n"/>
      <c r="B529" s="169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>
        <f>AG529</f>
        <v/>
      </c>
      <c r="T529" s="26">
        <f>AI529+Q529+P529</f>
        <v/>
      </c>
      <c r="U529" s="26" t="n"/>
      <c r="V529" s="26" t="n"/>
      <c r="W529" s="169" t="n"/>
      <c r="X529" s="26" t="n"/>
      <c r="Y529" s="26" t="n"/>
      <c r="Z529" s="26" t="n"/>
      <c r="AA529" s="26" t="n"/>
      <c r="AD529" s="0">
        <f>SUM(Y529,AA529,AC529)</f>
        <v/>
      </c>
      <c r="AE529" s="0">
        <f>X529*Y529+Z529*AA529+AB529*AC529</f>
        <v/>
      </c>
      <c r="AF529" s="0">
        <f>TEXTJOIN(", ",TRUE,IF(AND(X529&gt;0,Y529&gt;0),TEXT(X529,"0.00")&amp;"ct x "&amp;Y529,""),IF(AND(Z529&gt;0,AA529&gt;0),TEXT(Z529,"0.00")&amp;"ct x "&amp;AA529,""),IF(AND(AB529&gt;0,AC529&gt;0),TEXT(AB529,"0.00")&amp;"ct x "&amp;AC529,""))</f>
        <v/>
      </c>
      <c r="AG529" s="0">
        <f>X529*Y529*SUMIFS($AM$2:$AM$11,$AK$2:$AK$11,"&lt;="&amp;X529,$AL$2:$AL$11,"&gt;="&amp;X529)+Z529*AA529*SUMIFS($AM$2:$AM$11,$AK$2:$AK$11,"&lt;="&amp;Z529,$AL$2:$AL$11,"&gt;="&amp;Z529)+AB529*AC529*SUMIFS($AM$2:$AM$11,$AK$2:$AK$11,"&lt;="&amp;AB529,$AL$2:$AL$11,"&gt;="&amp;AB529)</f>
        <v/>
      </c>
      <c r="AH529" s="0">
        <f>AG529*(1-40%)</f>
        <v/>
      </c>
      <c r="AI529" s="0">
        <f>AH529*1.2</f>
        <v/>
      </c>
    </row>
    <row r="530">
      <c r="A530" s="26" t="n"/>
      <c r="B530" s="169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>
        <f>AG530</f>
        <v/>
      </c>
      <c r="T530" s="26">
        <f>AI530+Q530+P530</f>
        <v/>
      </c>
      <c r="U530" s="26" t="n"/>
      <c r="V530" s="26" t="n"/>
      <c r="W530" s="169" t="n"/>
      <c r="X530" s="26" t="n"/>
      <c r="Y530" s="26" t="n"/>
      <c r="Z530" s="26" t="n"/>
      <c r="AA530" s="26" t="n"/>
      <c r="AD530" s="0">
        <f>SUM(Y530,AA530,AC530)</f>
        <v/>
      </c>
      <c r="AE530" s="0">
        <f>X530*Y530+Z530*AA530+AB530*AC530</f>
        <v/>
      </c>
      <c r="AF530" s="0">
        <f>TEXTJOIN(", ",TRUE,IF(AND(X530&gt;0,Y530&gt;0),TEXT(X530,"0.00")&amp;"ct x "&amp;Y530,""),IF(AND(Z530&gt;0,AA530&gt;0),TEXT(Z530,"0.00")&amp;"ct x "&amp;AA530,""),IF(AND(AB530&gt;0,AC530&gt;0),TEXT(AB530,"0.00")&amp;"ct x "&amp;AC530,""))</f>
        <v/>
      </c>
      <c r="AG530" s="0">
        <f>X530*Y530*SUMIFS($AM$2:$AM$11,$AK$2:$AK$11,"&lt;="&amp;X530,$AL$2:$AL$11,"&gt;="&amp;X530)+Z530*AA530*SUMIFS($AM$2:$AM$11,$AK$2:$AK$11,"&lt;="&amp;Z530,$AL$2:$AL$11,"&gt;="&amp;Z530)+AB530*AC530*SUMIFS($AM$2:$AM$11,$AK$2:$AK$11,"&lt;="&amp;AB530,$AL$2:$AL$11,"&gt;="&amp;AB530)</f>
        <v/>
      </c>
      <c r="AH530" s="0">
        <f>AG530*(1-40%)</f>
        <v/>
      </c>
      <c r="AI530" s="0">
        <f>AH530*1.2</f>
        <v/>
      </c>
    </row>
    <row r="531">
      <c r="A531" s="26" t="n"/>
      <c r="B531" s="169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>
        <f>AG531</f>
        <v/>
      </c>
      <c r="T531" s="26">
        <f>AI531+Q531+P531</f>
        <v/>
      </c>
      <c r="U531" s="26" t="n"/>
      <c r="V531" s="26" t="n"/>
      <c r="W531" s="169" t="n"/>
      <c r="X531" s="26" t="n"/>
      <c r="Y531" s="26" t="n"/>
      <c r="Z531" s="26" t="n"/>
      <c r="AA531" s="26" t="n"/>
      <c r="AD531" s="0">
        <f>SUM(Y531,AA531,AC531)</f>
        <v/>
      </c>
      <c r="AE531" s="0">
        <f>X531*Y531+Z531*AA531+AB531*AC531</f>
        <v/>
      </c>
      <c r="AF531" s="0">
        <f>TEXTJOIN(", ",TRUE,IF(AND(X531&gt;0,Y531&gt;0),TEXT(X531,"0.00")&amp;"ct x "&amp;Y531,""),IF(AND(Z531&gt;0,AA531&gt;0),TEXT(Z531,"0.00")&amp;"ct x "&amp;AA531,""),IF(AND(AB531&gt;0,AC531&gt;0),TEXT(AB531,"0.00")&amp;"ct x "&amp;AC531,""))</f>
        <v/>
      </c>
      <c r="AG531" s="0">
        <f>X531*Y531*SUMIFS($AM$2:$AM$11,$AK$2:$AK$11,"&lt;="&amp;X531,$AL$2:$AL$11,"&gt;="&amp;X531)+Z531*AA531*SUMIFS($AM$2:$AM$11,$AK$2:$AK$11,"&lt;="&amp;Z531,$AL$2:$AL$11,"&gt;="&amp;Z531)+AB531*AC531*SUMIFS($AM$2:$AM$11,$AK$2:$AK$11,"&lt;="&amp;AB531,$AL$2:$AL$11,"&gt;="&amp;AB531)</f>
        <v/>
      </c>
      <c r="AH531" s="0">
        <f>AG531*(1-40%)</f>
        <v/>
      </c>
      <c r="AI531" s="0">
        <f>AH531*1.2</f>
        <v/>
      </c>
    </row>
    <row r="532">
      <c r="A532" s="26" t="n"/>
      <c r="B532" s="169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>
        <f>AG532</f>
        <v/>
      </c>
      <c r="T532" s="26">
        <f>AI532+Q532+P532</f>
        <v/>
      </c>
      <c r="U532" s="26" t="n"/>
      <c r="V532" s="26" t="n"/>
      <c r="W532" s="169" t="n"/>
      <c r="X532" s="26" t="n"/>
      <c r="Y532" s="26" t="n"/>
      <c r="Z532" s="26" t="n"/>
      <c r="AA532" s="26" t="n"/>
      <c r="AD532" s="0">
        <f>SUM(Y532,AA532,AC532)</f>
        <v/>
      </c>
      <c r="AE532" s="0">
        <f>X532*Y532+Z532*AA532+AB532*AC532</f>
        <v/>
      </c>
      <c r="AF532" s="0">
        <f>TEXTJOIN(", ",TRUE,IF(AND(X532&gt;0,Y532&gt;0),TEXT(X532,"0.00")&amp;"ct x "&amp;Y532,""),IF(AND(Z532&gt;0,AA532&gt;0),TEXT(Z532,"0.00")&amp;"ct x "&amp;AA532,""),IF(AND(AB532&gt;0,AC532&gt;0),TEXT(AB532,"0.00")&amp;"ct x "&amp;AC532,""))</f>
        <v/>
      </c>
      <c r="AG532" s="0">
        <f>X532*Y532*SUMIFS($AM$2:$AM$11,$AK$2:$AK$11,"&lt;="&amp;X532,$AL$2:$AL$11,"&gt;="&amp;X532)+Z532*AA532*SUMIFS($AM$2:$AM$11,$AK$2:$AK$11,"&lt;="&amp;Z532,$AL$2:$AL$11,"&gt;="&amp;Z532)+AB532*AC532*SUMIFS($AM$2:$AM$11,$AK$2:$AK$11,"&lt;="&amp;AB532,$AL$2:$AL$11,"&gt;="&amp;AB532)</f>
        <v/>
      </c>
      <c r="AH532" s="0">
        <f>AG532*(1-40%)</f>
        <v/>
      </c>
      <c r="AI532" s="0">
        <f>AH532*1.2</f>
        <v/>
      </c>
    </row>
    <row r="533">
      <c r="A533" s="26" t="n"/>
      <c r="B533" s="169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>
        <f>AG533</f>
        <v/>
      </c>
      <c r="T533" s="26">
        <f>AI533+Q533+P533</f>
        <v/>
      </c>
      <c r="U533" s="26" t="n"/>
      <c r="V533" s="26" t="n"/>
      <c r="W533" s="169" t="n"/>
      <c r="X533" s="26" t="n"/>
      <c r="Y533" s="26" t="n"/>
      <c r="Z533" s="26" t="n"/>
      <c r="AA533" s="26" t="n"/>
      <c r="AD533" s="0">
        <f>SUM(Y533,AA533,AC533)</f>
        <v/>
      </c>
      <c r="AE533" s="0">
        <f>X533*Y533+Z533*AA533+AB533*AC533</f>
        <v/>
      </c>
      <c r="AF533" s="0">
        <f>TEXTJOIN(", ",TRUE,IF(AND(X533&gt;0,Y533&gt;0),TEXT(X533,"0.00")&amp;"ct x "&amp;Y533,""),IF(AND(Z533&gt;0,AA533&gt;0),TEXT(Z533,"0.00")&amp;"ct x "&amp;AA533,""),IF(AND(AB533&gt;0,AC533&gt;0),TEXT(AB533,"0.00")&amp;"ct x "&amp;AC533,""))</f>
        <v/>
      </c>
      <c r="AG533" s="0">
        <f>X533*Y533*SUMIFS($AM$2:$AM$11,$AK$2:$AK$11,"&lt;="&amp;X533,$AL$2:$AL$11,"&gt;="&amp;X533)+Z533*AA533*SUMIFS($AM$2:$AM$11,$AK$2:$AK$11,"&lt;="&amp;Z533,$AL$2:$AL$11,"&gt;="&amp;Z533)+AB533*AC533*SUMIFS($AM$2:$AM$11,$AK$2:$AK$11,"&lt;="&amp;AB533,$AL$2:$AL$11,"&gt;="&amp;AB533)</f>
        <v/>
      </c>
      <c r="AH533" s="0">
        <f>AG533*(1-40%)</f>
        <v/>
      </c>
      <c r="AI533" s="0">
        <f>AH533*1.2</f>
        <v/>
      </c>
    </row>
    <row r="534">
      <c r="A534" s="26" t="n"/>
      <c r="B534" s="169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>
        <f>AG534</f>
        <v/>
      </c>
      <c r="T534" s="26">
        <f>AI534+Q534+P534</f>
        <v/>
      </c>
      <c r="U534" s="26" t="n"/>
      <c r="V534" s="26" t="n"/>
      <c r="W534" s="169" t="n"/>
      <c r="X534" s="26" t="n"/>
      <c r="Y534" s="26" t="n"/>
      <c r="Z534" s="26" t="n"/>
      <c r="AA534" s="26" t="n"/>
      <c r="AD534" s="0">
        <f>SUM(Y534,AA534,AC534)</f>
        <v/>
      </c>
      <c r="AE534" s="0">
        <f>X534*Y534+Z534*AA534+AB534*AC534</f>
        <v/>
      </c>
      <c r="AF534" s="0">
        <f>TEXTJOIN(", ",TRUE,IF(AND(X534&gt;0,Y534&gt;0),TEXT(X534,"0.00")&amp;"ct x "&amp;Y534,""),IF(AND(Z534&gt;0,AA534&gt;0),TEXT(Z534,"0.00")&amp;"ct x "&amp;AA534,""),IF(AND(AB534&gt;0,AC534&gt;0),TEXT(AB534,"0.00")&amp;"ct x "&amp;AC534,""))</f>
        <v/>
      </c>
      <c r="AG534" s="0">
        <f>X534*Y534*SUMIFS($AM$2:$AM$11,$AK$2:$AK$11,"&lt;="&amp;X534,$AL$2:$AL$11,"&gt;="&amp;X534)+Z534*AA534*SUMIFS($AM$2:$AM$11,$AK$2:$AK$11,"&lt;="&amp;Z534,$AL$2:$AL$11,"&gt;="&amp;Z534)+AB534*AC534*SUMIFS($AM$2:$AM$11,$AK$2:$AK$11,"&lt;="&amp;AB534,$AL$2:$AL$11,"&gt;="&amp;AB534)</f>
        <v/>
      </c>
      <c r="AH534" s="0">
        <f>AG534*(1-40%)</f>
        <v/>
      </c>
      <c r="AI534" s="0">
        <f>AH534*1.2</f>
        <v/>
      </c>
    </row>
    <row r="535">
      <c r="A535" s="26" t="n"/>
      <c r="B535" s="169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>
        <f>AG535</f>
        <v/>
      </c>
      <c r="T535" s="26">
        <f>AI535+Q535+P535</f>
        <v/>
      </c>
      <c r="U535" s="26" t="n"/>
      <c r="V535" s="26" t="n"/>
      <c r="W535" s="169" t="n"/>
      <c r="X535" s="26" t="n"/>
      <c r="Y535" s="26" t="n"/>
      <c r="Z535" s="26" t="n"/>
      <c r="AA535" s="26" t="n"/>
      <c r="AD535" s="0">
        <f>SUM(Y535,AA535,AC535)</f>
        <v/>
      </c>
      <c r="AE535" s="0">
        <f>X535*Y535+Z535*AA535+AB535*AC535</f>
        <v/>
      </c>
      <c r="AF535" s="0">
        <f>TEXTJOIN(", ",TRUE,IF(AND(X535&gt;0,Y535&gt;0),TEXT(X535,"0.00")&amp;"ct x "&amp;Y535,""),IF(AND(Z535&gt;0,AA535&gt;0),TEXT(Z535,"0.00")&amp;"ct x "&amp;AA535,""),IF(AND(AB535&gt;0,AC535&gt;0),TEXT(AB535,"0.00")&amp;"ct x "&amp;AC535,""))</f>
        <v/>
      </c>
      <c r="AG535" s="0">
        <f>X535*Y535*SUMIFS($AM$2:$AM$11,$AK$2:$AK$11,"&lt;="&amp;X535,$AL$2:$AL$11,"&gt;="&amp;X535)+Z535*AA535*SUMIFS($AM$2:$AM$11,$AK$2:$AK$11,"&lt;="&amp;Z535,$AL$2:$AL$11,"&gt;="&amp;Z535)+AB535*AC535*SUMIFS($AM$2:$AM$11,$AK$2:$AK$11,"&lt;="&amp;AB535,$AL$2:$AL$11,"&gt;="&amp;AB535)</f>
        <v/>
      </c>
      <c r="AH535" s="0">
        <f>AG535*(1-40%)</f>
        <v/>
      </c>
      <c r="AI535" s="0">
        <f>AH535*1.2</f>
        <v/>
      </c>
    </row>
    <row r="536">
      <c r="A536" s="26" t="n"/>
      <c r="B536" s="169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>
        <f>AG536</f>
        <v/>
      </c>
      <c r="T536" s="26">
        <f>AI536+Q536+P536</f>
        <v/>
      </c>
      <c r="U536" s="26" t="n"/>
      <c r="V536" s="26" t="n"/>
      <c r="W536" s="169" t="n"/>
      <c r="X536" s="26" t="n"/>
      <c r="Y536" s="26" t="n"/>
      <c r="Z536" s="26" t="n"/>
      <c r="AA536" s="26" t="n"/>
      <c r="AD536" s="0">
        <f>SUM(Y536,AA536,AC536)</f>
        <v/>
      </c>
      <c r="AE536" s="0">
        <f>X536*Y536+Z536*AA536+AB536*AC536</f>
        <v/>
      </c>
      <c r="AF536" s="0">
        <f>TEXTJOIN(", ",TRUE,IF(AND(X536&gt;0,Y536&gt;0),TEXT(X536,"0.00")&amp;"ct x "&amp;Y536,""),IF(AND(Z536&gt;0,AA536&gt;0),TEXT(Z536,"0.00")&amp;"ct x "&amp;AA536,""),IF(AND(AB536&gt;0,AC536&gt;0),TEXT(AB536,"0.00")&amp;"ct x "&amp;AC536,""))</f>
        <v/>
      </c>
      <c r="AG536" s="0">
        <f>X536*Y536*SUMIFS($AM$2:$AM$11,$AK$2:$AK$11,"&lt;="&amp;X536,$AL$2:$AL$11,"&gt;="&amp;X536)+Z536*AA536*SUMIFS($AM$2:$AM$11,$AK$2:$AK$11,"&lt;="&amp;Z536,$AL$2:$AL$11,"&gt;="&amp;Z536)+AB536*AC536*SUMIFS($AM$2:$AM$11,$AK$2:$AK$11,"&lt;="&amp;AB536,$AL$2:$AL$11,"&gt;="&amp;AB536)</f>
        <v/>
      </c>
      <c r="AH536" s="0">
        <f>AG536*(1-40%)</f>
        <v/>
      </c>
      <c r="AI536" s="0">
        <f>AH536*1.2</f>
        <v/>
      </c>
    </row>
    <row r="537">
      <c r="A537" s="26" t="n"/>
      <c r="B537" s="169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>
        <f>AG537</f>
        <v/>
      </c>
      <c r="T537" s="26">
        <f>AI537+Q537+P537</f>
        <v/>
      </c>
      <c r="U537" s="26" t="n"/>
      <c r="V537" s="26" t="n"/>
      <c r="W537" s="169" t="n"/>
      <c r="X537" s="26" t="n"/>
      <c r="Y537" s="26" t="n"/>
      <c r="Z537" s="26" t="n"/>
      <c r="AA537" s="26" t="n"/>
      <c r="AD537" s="0">
        <f>SUM(Y537,AA537,AC537)</f>
        <v/>
      </c>
      <c r="AE537" s="0">
        <f>X537*Y537+Z537*AA537+AB537*AC537</f>
        <v/>
      </c>
      <c r="AF537" s="0">
        <f>TEXTJOIN(", ",TRUE,IF(AND(X537&gt;0,Y537&gt;0),TEXT(X537,"0.00")&amp;"ct x "&amp;Y537,""),IF(AND(Z537&gt;0,AA537&gt;0),TEXT(Z537,"0.00")&amp;"ct x "&amp;AA537,""),IF(AND(AB537&gt;0,AC537&gt;0),TEXT(AB537,"0.00")&amp;"ct x "&amp;AC537,""))</f>
        <v/>
      </c>
      <c r="AG537" s="0">
        <f>X537*Y537*SUMIFS($AM$2:$AM$11,$AK$2:$AK$11,"&lt;="&amp;X537,$AL$2:$AL$11,"&gt;="&amp;X537)+Z537*AA537*SUMIFS($AM$2:$AM$11,$AK$2:$AK$11,"&lt;="&amp;Z537,$AL$2:$AL$11,"&gt;="&amp;Z537)+AB537*AC537*SUMIFS($AM$2:$AM$11,$AK$2:$AK$11,"&lt;="&amp;AB537,$AL$2:$AL$11,"&gt;="&amp;AB537)</f>
        <v/>
      </c>
      <c r="AH537" s="0">
        <f>AG537*(1-40%)</f>
        <v/>
      </c>
      <c r="AI537" s="0">
        <f>AH537*1.2</f>
        <v/>
      </c>
    </row>
    <row r="538">
      <c r="A538" s="26" t="n"/>
      <c r="B538" s="169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>
        <f>AG538</f>
        <v/>
      </c>
      <c r="T538" s="26">
        <f>AI538+Q538+P538</f>
        <v/>
      </c>
      <c r="U538" s="26" t="n"/>
      <c r="V538" s="26" t="n"/>
      <c r="W538" s="169" t="n"/>
      <c r="X538" s="26" t="n"/>
      <c r="Y538" s="26" t="n"/>
      <c r="Z538" s="26" t="n"/>
      <c r="AA538" s="26" t="n"/>
      <c r="AD538" s="0">
        <f>SUM(Y538,AA538,AC538)</f>
        <v/>
      </c>
      <c r="AE538" s="0">
        <f>X538*Y538+Z538*AA538+AB538*AC538</f>
        <v/>
      </c>
      <c r="AF538" s="0">
        <f>TEXTJOIN(", ",TRUE,IF(AND(X538&gt;0,Y538&gt;0),TEXT(X538,"0.00")&amp;"ct x "&amp;Y538,""),IF(AND(Z538&gt;0,AA538&gt;0),TEXT(Z538,"0.00")&amp;"ct x "&amp;AA538,""),IF(AND(AB538&gt;0,AC538&gt;0),TEXT(AB538,"0.00")&amp;"ct x "&amp;AC538,""))</f>
        <v/>
      </c>
      <c r="AG538" s="0">
        <f>X538*Y538*SUMIFS($AM$2:$AM$11,$AK$2:$AK$11,"&lt;="&amp;X538,$AL$2:$AL$11,"&gt;="&amp;X538)+Z538*AA538*SUMIFS($AM$2:$AM$11,$AK$2:$AK$11,"&lt;="&amp;Z538,$AL$2:$AL$11,"&gt;="&amp;Z538)+AB538*AC538*SUMIFS($AM$2:$AM$11,$AK$2:$AK$11,"&lt;="&amp;AB538,$AL$2:$AL$11,"&gt;="&amp;AB538)</f>
        <v/>
      </c>
      <c r="AH538" s="0">
        <f>AG538*(1-40%)</f>
        <v/>
      </c>
      <c r="AI538" s="0">
        <f>AH538*1.2</f>
        <v/>
      </c>
    </row>
    <row r="539">
      <c r="A539" s="26" t="n"/>
      <c r="B539" s="169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>
        <f>AG539</f>
        <v/>
      </c>
      <c r="T539" s="26">
        <f>AI539+Q539+P539</f>
        <v/>
      </c>
      <c r="U539" s="26" t="n"/>
      <c r="V539" s="26" t="n"/>
      <c r="W539" s="169" t="n"/>
      <c r="X539" s="26" t="n"/>
      <c r="Y539" s="26" t="n"/>
      <c r="Z539" s="26" t="n"/>
      <c r="AA539" s="26" t="n"/>
      <c r="AD539" s="0">
        <f>SUM(Y539,AA539,AC539)</f>
        <v/>
      </c>
      <c r="AE539" s="0">
        <f>X539*Y539+Z539*AA539+AB539*AC539</f>
        <v/>
      </c>
      <c r="AF539" s="0">
        <f>TEXTJOIN(", ",TRUE,IF(AND(X539&gt;0,Y539&gt;0),TEXT(X539,"0.00")&amp;"ct x "&amp;Y539,""),IF(AND(Z539&gt;0,AA539&gt;0),TEXT(Z539,"0.00")&amp;"ct x "&amp;AA539,""),IF(AND(AB539&gt;0,AC539&gt;0),TEXT(AB539,"0.00")&amp;"ct x "&amp;AC539,""))</f>
        <v/>
      </c>
      <c r="AG539" s="0">
        <f>X539*Y539*SUMIFS($AM$2:$AM$11,$AK$2:$AK$11,"&lt;="&amp;X539,$AL$2:$AL$11,"&gt;="&amp;X539)+Z539*AA539*SUMIFS($AM$2:$AM$11,$AK$2:$AK$11,"&lt;="&amp;Z539,$AL$2:$AL$11,"&gt;="&amp;Z539)+AB539*AC539*SUMIFS($AM$2:$AM$11,$AK$2:$AK$11,"&lt;="&amp;AB539,$AL$2:$AL$11,"&gt;="&amp;AB539)</f>
        <v/>
      </c>
      <c r="AH539" s="0">
        <f>AG539*(1-40%)</f>
        <v/>
      </c>
      <c r="AI539" s="0">
        <f>AH539*1.2</f>
        <v/>
      </c>
    </row>
    <row r="540">
      <c r="A540" s="26" t="n"/>
      <c r="B540" s="169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>
        <f>AG540</f>
        <v/>
      </c>
      <c r="T540" s="26">
        <f>AI540+Q540+P540</f>
        <v/>
      </c>
      <c r="U540" s="26" t="n"/>
      <c r="V540" s="26" t="n"/>
      <c r="W540" s="169" t="n"/>
      <c r="X540" s="26" t="n"/>
      <c r="Y540" s="26" t="n"/>
      <c r="Z540" s="26" t="n"/>
      <c r="AA540" s="26" t="n"/>
      <c r="AD540" s="0">
        <f>SUM(Y540,AA540,AC540)</f>
        <v/>
      </c>
      <c r="AE540" s="0">
        <f>X540*Y540+Z540*AA540+AB540*AC540</f>
        <v/>
      </c>
      <c r="AF540" s="0">
        <f>TEXTJOIN(", ",TRUE,IF(AND(X540&gt;0,Y540&gt;0),TEXT(X540,"0.00")&amp;"ct x "&amp;Y540,""),IF(AND(Z540&gt;0,AA540&gt;0),TEXT(Z540,"0.00")&amp;"ct x "&amp;AA540,""),IF(AND(AB540&gt;0,AC540&gt;0),TEXT(AB540,"0.00")&amp;"ct x "&amp;AC540,""))</f>
        <v/>
      </c>
      <c r="AG540" s="0">
        <f>X540*Y540*SUMIFS($AM$2:$AM$11,$AK$2:$AK$11,"&lt;="&amp;X540,$AL$2:$AL$11,"&gt;="&amp;X540)+Z540*AA540*SUMIFS($AM$2:$AM$11,$AK$2:$AK$11,"&lt;="&amp;Z540,$AL$2:$AL$11,"&gt;="&amp;Z540)+AB540*AC540*SUMIFS($AM$2:$AM$11,$AK$2:$AK$11,"&lt;="&amp;AB540,$AL$2:$AL$11,"&gt;="&amp;AB540)</f>
        <v/>
      </c>
      <c r="AH540" s="0">
        <f>AG540*(1-40%)</f>
        <v/>
      </c>
      <c r="AI540" s="0">
        <f>AH540*1.2</f>
        <v/>
      </c>
    </row>
    <row r="541">
      <c r="A541" s="26" t="n"/>
      <c r="B541" s="169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>
        <f>AG541</f>
        <v/>
      </c>
      <c r="T541" s="26">
        <f>AI541+Q541+P541</f>
        <v/>
      </c>
      <c r="U541" s="26" t="n"/>
      <c r="V541" s="26" t="n"/>
      <c r="W541" s="169" t="n"/>
      <c r="X541" s="26" t="n"/>
      <c r="Y541" s="26" t="n"/>
      <c r="Z541" s="26" t="n"/>
      <c r="AA541" s="26" t="n"/>
      <c r="AD541" s="0">
        <f>SUM(Y541,AA541,AC541)</f>
        <v/>
      </c>
      <c r="AE541" s="0">
        <f>X541*Y541+Z541*AA541+AB541*AC541</f>
        <v/>
      </c>
      <c r="AF541" s="0">
        <f>TEXTJOIN(", ",TRUE,IF(AND(X541&gt;0,Y541&gt;0),TEXT(X541,"0.00")&amp;"ct x "&amp;Y541,""),IF(AND(Z541&gt;0,AA541&gt;0),TEXT(Z541,"0.00")&amp;"ct x "&amp;AA541,""),IF(AND(AB541&gt;0,AC541&gt;0),TEXT(AB541,"0.00")&amp;"ct x "&amp;AC541,""))</f>
        <v/>
      </c>
      <c r="AG541" s="0">
        <f>X541*Y541*SUMIFS($AM$2:$AM$11,$AK$2:$AK$11,"&lt;="&amp;X541,$AL$2:$AL$11,"&gt;="&amp;X541)+Z541*AA541*SUMIFS($AM$2:$AM$11,$AK$2:$AK$11,"&lt;="&amp;Z541,$AL$2:$AL$11,"&gt;="&amp;Z541)+AB541*AC541*SUMIFS($AM$2:$AM$11,$AK$2:$AK$11,"&lt;="&amp;AB541,$AL$2:$AL$11,"&gt;="&amp;AB541)</f>
        <v/>
      </c>
      <c r="AH541" s="0">
        <f>AG541*(1-40%)</f>
        <v/>
      </c>
      <c r="AI541" s="0">
        <f>AH541*1.2</f>
        <v/>
      </c>
    </row>
    <row r="542">
      <c r="A542" s="26" t="n"/>
      <c r="B542" s="169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>
        <f>AG542</f>
        <v/>
      </c>
      <c r="T542" s="26">
        <f>AI542+Q542+P542</f>
        <v/>
      </c>
      <c r="U542" s="26" t="n"/>
      <c r="V542" s="26" t="n"/>
      <c r="W542" s="169" t="n"/>
      <c r="X542" s="26" t="n"/>
      <c r="Y542" s="26" t="n"/>
      <c r="Z542" s="26" t="n"/>
      <c r="AA542" s="26" t="n"/>
      <c r="AD542" s="0">
        <f>SUM(Y542,AA542,AC542)</f>
        <v/>
      </c>
      <c r="AE542" s="0">
        <f>X542*Y542+Z542*AA542+AB542*AC542</f>
        <v/>
      </c>
      <c r="AF542" s="0">
        <f>TEXTJOIN(", ",TRUE,IF(AND(X542&gt;0,Y542&gt;0),TEXT(X542,"0.00")&amp;"ct x "&amp;Y542,""),IF(AND(Z542&gt;0,AA542&gt;0),TEXT(Z542,"0.00")&amp;"ct x "&amp;AA542,""),IF(AND(AB542&gt;0,AC542&gt;0),TEXT(AB542,"0.00")&amp;"ct x "&amp;AC542,""))</f>
        <v/>
      </c>
      <c r="AG542" s="0">
        <f>X542*Y542*SUMIFS($AM$2:$AM$11,$AK$2:$AK$11,"&lt;="&amp;X542,$AL$2:$AL$11,"&gt;="&amp;X542)+Z542*AA542*SUMIFS($AM$2:$AM$11,$AK$2:$AK$11,"&lt;="&amp;Z542,$AL$2:$AL$11,"&gt;="&amp;Z542)+AB542*AC542*SUMIFS($AM$2:$AM$11,$AK$2:$AK$11,"&lt;="&amp;AB542,$AL$2:$AL$11,"&gt;="&amp;AB542)</f>
        <v/>
      </c>
      <c r="AH542" s="0">
        <f>AG542*(1-40%)</f>
        <v/>
      </c>
      <c r="AI542" s="0">
        <f>AH542*1.2</f>
        <v/>
      </c>
    </row>
    <row r="543">
      <c r="A543" s="26" t="n"/>
      <c r="B543" s="169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>
        <f>AG543</f>
        <v/>
      </c>
      <c r="T543" s="26">
        <f>AI543+Q543+P543</f>
        <v/>
      </c>
      <c r="U543" s="26" t="n"/>
      <c r="V543" s="26" t="n"/>
      <c r="W543" s="169" t="n"/>
      <c r="X543" s="26" t="n"/>
      <c r="Y543" s="26" t="n"/>
      <c r="Z543" s="26" t="n"/>
      <c r="AA543" s="26" t="n"/>
      <c r="AD543" s="0">
        <f>SUM(Y543,AA543,AC543)</f>
        <v/>
      </c>
      <c r="AE543" s="0">
        <f>X543*Y543+Z543*AA543+AB543*AC543</f>
        <v/>
      </c>
      <c r="AF543" s="0">
        <f>TEXTJOIN(", ",TRUE,IF(AND(X543&gt;0,Y543&gt;0),TEXT(X543,"0.00")&amp;"ct x "&amp;Y543,""),IF(AND(Z543&gt;0,AA543&gt;0),TEXT(Z543,"0.00")&amp;"ct x "&amp;AA543,""),IF(AND(AB543&gt;0,AC543&gt;0),TEXT(AB543,"0.00")&amp;"ct x "&amp;AC543,""))</f>
        <v/>
      </c>
      <c r="AG543" s="0">
        <f>X543*Y543*SUMIFS($AM$2:$AM$11,$AK$2:$AK$11,"&lt;="&amp;X543,$AL$2:$AL$11,"&gt;="&amp;X543)+Z543*AA543*SUMIFS($AM$2:$AM$11,$AK$2:$AK$11,"&lt;="&amp;Z543,$AL$2:$AL$11,"&gt;="&amp;Z543)+AB543*AC543*SUMIFS($AM$2:$AM$11,$AK$2:$AK$11,"&lt;="&amp;AB543,$AL$2:$AL$11,"&gt;="&amp;AB543)</f>
        <v/>
      </c>
      <c r="AH543" s="0">
        <f>AG543*(1-40%)</f>
        <v/>
      </c>
      <c r="AI543" s="0">
        <f>AH543*1.2</f>
        <v/>
      </c>
    </row>
    <row r="544">
      <c r="A544" s="26" t="n"/>
      <c r="B544" s="169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>
        <f>AG544</f>
        <v/>
      </c>
      <c r="T544" s="26">
        <f>AI544+Q544+P544</f>
        <v/>
      </c>
      <c r="U544" s="26" t="n"/>
      <c r="V544" s="26" t="n"/>
      <c r="W544" s="169" t="n"/>
      <c r="X544" s="26" t="n"/>
      <c r="Y544" s="26" t="n"/>
      <c r="Z544" s="26" t="n"/>
      <c r="AA544" s="26" t="n"/>
      <c r="AD544" s="0">
        <f>SUM(Y544,AA544,AC544)</f>
        <v/>
      </c>
      <c r="AE544" s="0">
        <f>X544*Y544+Z544*AA544+AB544*AC544</f>
        <v/>
      </c>
      <c r="AF544" s="0">
        <f>TEXTJOIN(", ",TRUE,IF(AND(X544&gt;0,Y544&gt;0),TEXT(X544,"0.00")&amp;"ct x "&amp;Y544,""),IF(AND(Z544&gt;0,AA544&gt;0),TEXT(Z544,"0.00")&amp;"ct x "&amp;AA544,""),IF(AND(AB544&gt;0,AC544&gt;0),TEXT(AB544,"0.00")&amp;"ct x "&amp;AC544,""))</f>
        <v/>
      </c>
      <c r="AG544" s="0">
        <f>X544*Y544*SUMIFS($AM$2:$AM$11,$AK$2:$AK$11,"&lt;="&amp;X544,$AL$2:$AL$11,"&gt;="&amp;X544)+Z544*AA544*SUMIFS($AM$2:$AM$11,$AK$2:$AK$11,"&lt;="&amp;Z544,$AL$2:$AL$11,"&gt;="&amp;Z544)+AB544*AC544*SUMIFS($AM$2:$AM$11,$AK$2:$AK$11,"&lt;="&amp;AB544,$AL$2:$AL$11,"&gt;="&amp;AB544)</f>
        <v/>
      </c>
      <c r="AH544" s="0">
        <f>AG544*(1-40%)</f>
        <v/>
      </c>
      <c r="AI544" s="0">
        <f>AH544*1.2</f>
        <v/>
      </c>
    </row>
    <row r="545">
      <c r="A545" s="26" t="n"/>
      <c r="B545" s="169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>
        <f>AG545</f>
        <v/>
      </c>
      <c r="T545" s="26">
        <f>AI545+Q545+P545</f>
        <v/>
      </c>
      <c r="U545" s="26" t="n"/>
      <c r="V545" s="26" t="n"/>
      <c r="W545" s="169" t="n"/>
      <c r="X545" s="26" t="n"/>
      <c r="Y545" s="26" t="n"/>
      <c r="Z545" s="26" t="n"/>
      <c r="AA545" s="26" t="n"/>
      <c r="AD545" s="0">
        <f>SUM(Y545,AA545,AC545)</f>
        <v/>
      </c>
      <c r="AE545" s="0">
        <f>X545*Y545+Z545*AA545+AB545*AC545</f>
        <v/>
      </c>
      <c r="AF545" s="0">
        <f>TEXTJOIN(", ",TRUE,IF(AND(X545&gt;0,Y545&gt;0),TEXT(X545,"0.00")&amp;"ct x "&amp;Y545,""),IF(AND(Z545&gt;0,AA545&gt;0),TEXT(Z545,"0.00")&amp;"ct x "&amp;AA545,""),IF(AND(AB545&gt;0,AC545&gt;0),TEXT(AB545,"0.00")&amp;"ct x "&amp;AC545,""))</f>
        <v/>
      </c>
      <c r="AG545" s="0">
        <f>X545*Y545*SUMIFS($AM$2:$AM$11,$AK$2:$AK$11,"&lt;="&amp;X545,$AL$2:$AL$11,"&gt;="&amp;X545)+Z545*AA545*SUMIFS($AM$2:$AM$11,$AK$2:$AK$11,"&lt;="&amp;Z545,$AL$2:$AL$11,"&gt;="&amp;Z545)+AB545*AC545*SUMIFS($AM$2:$AM$11,$AK$2:$AK$11,"&lt;="&amp;AB545,$AL$2:$AL$11,"&gt;="&amp;AB545)</f>
        <v/>
      </c>
      <c r="AH545" s="0">
        <f>AG545*(1-40%)</f>
        <v/>
      </c>
      <c r="AI545" s="0">
        <f>AH545*1.2</f>
        <v/>
      </c>
    </row>
    <row r="546">
      <c r="A546" s="26" t="n"/>
      <c r="B546" s="169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>
        <f>AG546</f>
        <v/>
      </c>
      <c r="T546" s="26">
        <f>AI546+Q546+P546</f>
        <v/>
      </c>
      <c r="U546" s="26" t="n"/>
      <c r="V546" s="26" t="n"/>
      <c r="W546" s="169" t="n"/>
      <c r="X546" s="26" t="n"/>
      <c r="Y546" s="26" t="n"/>
      <c r="Z546" s="26" t="n"/>
      <c r="AA546" s="26" t="n"/>
      <c r="AD546" s="0">
        <f>SUM(Y546,AA546,AC546)</f>
        <v/>
      </c>
      <c r="AE546" s="0">
        <f>X546*Y546+Z546*AA546+AB546*AC546</f>
        <v/>
      </c>
      <c r="AF546" s="0">
        <f>TEXTJOIN(", ",TRUE,IF(AND(X546&gt;0,Y546&gt;0),TEXT(X546,"0.00")&amp;"ct x "&amp;Y546,""),IF(AND(Z546&gt;0,AA546&gt;0),TEXT(Z546,"0.00")&amp;"ct x "&amp;AA546,""),IF(AND(AB546&gt;0,AC546&gt;0),TEXT(AB546,"0.00")&amp;"ct x "&amp;AC546,""))</f>
        <v/>
      </c>
      <c r="AG546" s="0">
        <f>X546*Y546*SUMIFS($AM$2:$AM$11,$AK$2:$AK$11,"&lt;="&amp;X546,$AL$2:$AL$11,"&gt;="&amp;X546)+Z546*AA546*SUMIFS($AM$2:$AM$11,$AK$2:$AK$11,"&lt;="&amp;Z546,$AL$2:$AL$11,"&gt;="&amp;Z546)+AB546*AC546*SUMIFS($AM$2:$AM$11,$AK$2:$AK$11,"&lt;="&amp;AB546,$AL$2:$AL$11,"&gt;="&amp;AB546)</f>
        <v/>
      </c>
      <c r="AH546" s="0">
        <f>AG546*(1-40%)</f>
        <v/>
      </c>
      <c r="AI546" s="0">
        <f>AH546*1.2</f>
        <v/>
      </c>
    </row>
    <row r="547">
      <c r="A547" s="26" t="n"/>
      <c r="B547" s="169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>
        <f>AG547</f>
        <v/>
      </c>
      <c r="T547" s="26">
        <f>AI547+Q547+P547</f>
        <v/>
      </c>
      <c r="U547" s="26" t="n"/>
      <c r="V547" s="26" t="n"/>
      <c r="W547" s="169" t="n"/>
      <c r="X547" s="26" t="n"/>
      <c r="Y547" s="26" t="n"/>
      <c r="Z547" s="26" t="n"/>
      <c r="AA547" s="26" t="n"/>
      <c r="AD547" s="0">
        <f>SUM(Y547,AA547,AC547)</f>
        <v/>
      </c>
      <c r="AE547" s="0">
        <f>X547*Y547+Z547*AA547+AB547*AC547</f>
        <v/>
      </c>
      <c r="AF547" s="0">
        <f>TEXTJOIN(", ",TRUE,IF(AND(X547&gt;0,Y547&gt;0),TEXT(X547,"0.00")&amp;"ct x "&amp;Y547,""),IF(AND(Z547&gt;0,AA547&gt;0),TEXT(Z547,"0.00")&amp;"ct x "&amp;AA547,""),IF(AND(AB547&gt;0,AC547&gt;0),TEXT(AB547,"0.00")&amp;"ct x "&amp;AC547,""))</f>
        <v/>
      </c>
      <c r="AG547" s="0">
        <f>X547*Y547*SUMIFS($AM$2:$AM$11,$AK$2:$AK$11,"&lt;="&amp;X547,$AL$2:$AL$11,"&gt;="&amp;X547)+Z547*AA547*SUMIFS($AM$2:$AM$11,$AK$2:$AK$11,"&lt;="&amp;Z547,$AL$2:$AL$11,"&gt;="&amp;Z547)+AB547*AC547*SUMIFS($AM$2:$AM$11,$AK$2:$AK$11,"&lt;="&amp;AB547,$AL$2:$AL$11,"&gt;="&amp;AB547)</f>
        <v/>
      </c>
      <c r="AH547" s="0">
        <f>AG547*(1-40%)</f>
        <v/>
      </c>
      <c r="AI547" s="0">
        <f>AH547*1.2</f>
        <v/>
      </c>
    </row>
    <row r="548">
      <c r="A548" s="26" t="n"/>
      <c r="B548" s="169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>
        <f>AG548</f>
        <v/>
      </c>
      <c r="T548" s="26">
        <f>AI548+Q548+P548</f>
        <v/>
      </c>
      <c r="U548" s="26" t="n"/>
      <c r="V548" s="26" t="n"/>
      <c r="W548" s="169" t="n"/>
      <c r="X548" s="26" t="n"/>
      <c r="Y548" s="26" t="n"/>
      <c r="Z548" s="26" t="n"/>
      <c r="AA548" s="26" t="n"/>
      <c r="AD548" s="0">
        <f>SUM(Y548,AA548,AC548)</f>
        <v/>
      </c>
      <c r="AE548" s="0">
        <f>X548*Y548+Z548*AA548+AB548*AC548</f>
        <v/>
      </c>
      <c r="AF548" s="0">
        <f>TEXTJOIN(", ",TRUE,IF(AND(X548&gt;0,Y548&gt;0),TEXT(X548,"0.00")&amp;"ct x "&amp;Y548,""),IF(AND(Z548&gt;0,AA548&gt;0),TEXT(Z548,"0.00")&amp;"ct x "&amp;AA548,""),IF(AND(AB548&gt;0,AC548&gt;0),TEXT(AB548,"0.00")&amp;"ct x "&amp;AC548,""))</f>
        <v/>
      </c>
      <c r="AG548" s="0">
        <f>X548*Y548*SUMIFS($AM$2:$AM$11,$AK$2:$AK$11,"&lt;="&amp;X548,$AL$2:$AL$11,"&gt;="&amp;X548)+Z548*AA548*SUMIFS($AM$2:$AM$11,$AK$2:$AK$11,"&lt;="&amp;Z548,$AL$2:$AL$11,"&gt;="&amp;Z548)+AB548*AC548*SUMIFS($AM$2:$AM$11,$AK$2:$AK$11,"&lt;="&amp;AB548,$AL$2:$AL$11,"&gt;="&amp;AB548)</f>
        <v/>
      </c>
      <c r="AH548" s="0">
        <f>AG548*(1-40%)</f>
        <v/>
      </c>
      <c r="AI548" s="0">
        <f>AH548*1.2</f>
        <v/>
      </c>
    </row>
    <row r="549">
      <c r="A549" s="26" t="n"/>
      <c r="B549" s="169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>
        <f>AG549</f>
        <v/>
      </c>
      <c r="T549" s="26">
        <f>AI549+Q549+P549</f>
        <v/>
      </c>
      <c r="U549" s="26" t="n"/>
      <c r="V549" s="26" t="n"/>
      <c r="W549" s="169" t="n"/>
      <c r="X549" s="26" t="n"/>
      <c r="Y549" s="26" t="n"/>
      <c r="Z549" s="26" t="n"/>
      <c r="AA549" s="26" t="n"/>
      <c r="AD549" s="0">
        <f>SUM(Y549,AA549,AC549)</f>
        <v/>
      </c>
      <c r="AE549" s="0">
        <f>X549*Y549+Z549*AA549+AB549*AC549</f>
        <v/>
      </c>
      <c r="AF549" s="0">
        <f>TEXTJOIN(", ",TRUE,IF(AND(X549&gt;0,Y549&gt;0),TEXT(X549,"0.00")&amp;"ct x "&amp;Y549,""),IF(AND(Z549&gt;0,AA549&gt;0),TEXT(Z549,"0.00")&amp;"ct x "&amp;AA549,""),IF(AND(AB549&gt;0,AC549&gt;0),TEXT(AB549,"0.00")&amp;"ct x "&amp;AC549,""))</f>
        <v/>
      </c>
      <c r="AG549" s="0">
        <f>X549*Y549*SUMIFS($AM$2:$AM$11,$AK$2:$AK$11,"&lt;="&amp;X549,$AL$2:$AL$11,"&gt;="&amp;X549)+Z549*AA549*SUMIFS($AM$2:$AM$11,$AK$2:$AK$11,"&lt;="&amp;Z549,$AL$2:$AL$11,"&gt;="&amp;Z549)+AB549*AC549*SUMIFS($AM$2:$AM$11,$AK$2:$AK$11,"&lt;="&amp;AB549,$AL$2:$AL$11,"&gt;="&amp;AB549)</f>
        <v/>
      </c>
      <c r="AH549" s="0">
        <f>AG549*(1-40%)</f>
        <v/>
      </c>
      <c r="AI549" s="0">
        <f>AH549*1.2</f>
        <v/>
      </c>
    </row>
    <row r="550">
      <c r="A550" s="26" t="n"/>
      <c r="B550" s="169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>
        <f>AG550</f>
        <v/>
      </c>
      <c r="T550" s="26">
        <f>AI550+Q550+P550</f>
        <v/>
      </c>
      <c r="U550" s="26" t="n"/>
      <c r="V550" s="26" t="n"/>
      <c r="W550" s="169" t="n"/>
      <c r="X550" s="26" t="n"/>
      <c r="Y550" s="26" t="n"/>
      <c r="Z550" s="26" t="n"/>
      <c r="AA550" s="26" t="n"/>
      <c r="AD550" s="0">
        <f>SUM(Y550,AA550,AC550)</f>
        <v/>
      </c>
      <c r="AE550" s="0">
        <f>X550*Y550+Z550*AA550+AB550*AC550</f>
        <v/>
      </c>
      <c r="AF550" s="0">
        <f>TEXTJOIN(", ",TRUE,IF(AND(X550&gt;0,Y550&gt;0),TEXT(X550,"0.00")&amp;"ct x "&amp;Y550,""),IF(AND(Z550&gt;0,AA550&gt;0),TEXT(Z550,"0.00")&amp;"ct x "&amp;AA550,""),IF(AND(AB550&gt;0,AC550&gt;0),TEXT(AB550,"0.00")&amp;"ct x "&amp;AC550,""))</f>
        <v/>
      </c>
      <c r="AG550" s="0">
        <f>X550*Y550*SUMIFS($AM$2:$AM$11,$AK$2:$AK$11,"&lt;="&amp;X550,$AL$2:$AL$11,"&gt;="&amp;X550)+Z550*AA550*SUMIFS($AM$2:$AM$11,$AK$2:$AK$11,"&lt;="&amp;Z550,$AL$2:$AL$11,"&gt;="&amp;Z550)+AB550*AC550*SUMIFS($AM$2:$AM$11,$AK$2:$AK$11,"&lt;="&amp;AB550,$AL$2:$AL$11,"&gt;="&amp;AB550)</f>
        <v/>
      </c>
      <c r="AH550" s="0">
        <f>AG550*(1-40%)</f>
        <v/>
      </c>
      <c r="AI550" s="0">
        <f>AH550*1.2</f>
        <v/>
      </c>
    </row>
    <row r="551">
      <c r="A551" s="26" t="n"/>
      <c r="B551" s="169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>
        <f>AG551</f>
        <v/>
      </c>
      <c r="T551" s="26">
        <f>AI551+Q551+P551</f>
        <v/>
      </c>
      <c r="U551" s="26" t="n"/>
      <c r="V551" s="26" t="n"/>
      <c r="W551" s="169" t="n"/>
      <c r="X551" s="26" t="n"/>
      <c r="Y551" s="26" t="n"/>
      <c r="Z551" s="26" t="n"/>
      <c r="AA551" s="26" t="n"/>
      <c r="AD551" s="0">
        <f>SUM(Y551,AA551,AC551)</f>
        <v/>
      </c>
      <c r="AE551" s="0">
        <f>X551*Y551+Z551*AA551+AB551*AC551</f>
        <v/>
      </c>
      <c r="AF551" s="0">
        <f>TEXTJOIN(", ",TRUE,IF(AND(X551&gt;0,Y551&gt;0),TEXT(X551,"0.00")&amp;"ct x "&amp;Y551,""),IF(AND(Z551&gt;0,AA551&gt;0),TEXT(Z551,"0.00")&amp;"ct x "&amp;AA551,""),IF(AND(AB551&gt;0,AC551&gt;0),TEXT(AB551,"0.00")&amp;"ct x "&amp;AC551,""))</f>
        <v/>
      </c>
      <c r="AG551" s="0">
        <f>X551*Y551*SUMIFS($AM$2:$AM$11,$AK$2:$AK$11,"&lt;="&amp;X551,$AL$2:$AL$11,"&gt;="&amp;X551)+Z551*AA551*SUMIFS($AM$2:$AM$11,$AK$2:$AK$11,"&lt;="&amp;Z551,$AL$2:$AL$11,"&gt;="&amp;Z551)+AB551*AC551*SUMIFS($AM$2:$AM$11,$AK$2:$AK$11,"&lt;="&amp;AB551,$AL$2:$AL$11,"&gt;="&amp;AB551)</f>
        <v/>
      </c>
      <c r="AH551" s="0">
        <f>AG551*(1-40%)</f>
        <v/>
      </c>
      <c r="AI551" s="0">
        <f>AH551*1.2</f>
        <v/>
      </c>
    </row>
    <row r="552">
      <c r="A552" s="26" t="n"/>
      <c r="B552" s="169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>
        <f>AG552</f>
        <v/>
      </c>
      <c r="T552" s="26">
        <f>AI552+Q552+P552</f>
        <v/>
      </c>
      <c r="U552" s="26" t="n"/>
      <c r="V552" s="26" t="n"/>
      <c r="W552" s="169" t="n"/>
      <c r="X552" s="26" t="n"/>
      <c r="Y552" s="26" t="n"/>
      <c r="Z552" s="26" t="n"/>
      <c r="AA552" s="26" t="n"/>
      <c r="AD552" s="0">
        <f>SUM(Y552,AA552,AC552)</f>
        <v/>
      </c>
      <c r="AE552" s="0">
        <f>X552*Y552+Z552*AA552+AB552*AC552</f>
        <v/>
      </c>
      <c r="AF552" s="0">
        <f>TEXTJOIN(", ",TRUE,IF(AND(X552&gt;0,Y552&gt;0),TEXT(X552,"0.00")&amp;"ct x "&amp;Y552,""),IF(AND(Z552&gt;0,AA552&gt;0),TEXT(Z552,"0.00")&amp;"ct x "&amp;AA552,""),IF(AND(AB552&gt;0,AC552&gt;0),TEXT(AB552,"0.00")&amp;"ct x "&amp;AC552,""))</f>
        <v/>
      </c>
      <c r="AG552" s="0">
        <f>X552*Y552*SUMIFS($AM$2:$AM$11,$AK$2:$AK$11,"&lt;="&amp;X552,$AL$2:$AL$11,"&gt;="&amp;X552)+Z552*AA552*SUMIFS($AM$2:$AM$11,$AK$2:$AK$11,"&lt;="&amp;Z552,$AL$2:$AL$11,"&gt;="&amp;Z552)+AB552*AC552*SUMIFS($AM$2:$AM$11,$AK$2:$AK$11,"&lt;="&amp;AB552,$AL$2:$AL$11,"&gt;="&amp;AB552)</f>
        <v/>
      </c>
      <c r="AH552" s="0">
        <f>AG552*(1-40%)</f>
        <v/>
      </c>
      <c r="AI552" s="0">
        <f>AH552*1.2</f>
        <v/>
      </c>
    </row>
    <row r="553">
      <c r="A553" s="26" t="n"/>
      <c r="B553" s="169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>
        <f>AG553</f>
        <v/>
      </c>
      <c r="T553" s="26">
        <f>AI553+Q553+P553</f>
        <v/>
      </c>
      <c r="U553" s="26" t="n"/>
      <c r="V553" s="26" t="n"/>
      <c r="W553" s="169" t="n"/>
      <c r="X553" s="26" t="n"/>
      <c r="Y553" s="26" t="n"/>
      <c r="Z553" s="26" t="n"/>
      <c r="AA553" s="26" t="n"/>
      <c r="AD553" s="0">
        <f>SUM(Y553,AA553,AC553)</f>
        <v/>
      </c>
      <c r="AE553" s="0">
        <f>X553*Y553+Z553*AA553+AB553*AC553</f>
        <v/>
      </c>
      <c r="AF553" s="0">
        <f>TEXTJOIN(", ",TRUE,IF(AND(X553&gt;0,Y553&gt;0),TEXT(X553,"0.00")&amp;"ct x "&amp;Y553,""),IF(AND(Z553&gt;0,AA553&gt;0),TEXT(Z553,"0.00")&amp;"ct x "&amp;AA553,""),IF(AND(AB553&gt;0,AC553&gt;0),TEXT(AB553,"0.00")&amp;"ct x "&amp;AC553,""))</f>
        <v/>
      </c>
      <c r="AG553" s="0">
        <f>X553*Y553*SUMIFS($AM$2:$AM$11,$AK$2:$AK$11,"&lt;="&amp;X553,$AL$2:$AL$11,"&gt;="&amp;X553)+Z553*AA553*SUMIFS($AM$2:$AM$11,$AK$2:$AK$11,"&lt;="&amp;Z553,$AL$2:$AL$11,"&gt;="&amp;Z553)+AB553*AC553*SUMIFS($AM$2:$AM$11,$AK$2:$AK$11,"&lt;="&amp;AB553,$AL$2:$AL$11,"&gt;="&amp;AB553)</f>
        <v/>
      </c>
      <c r="AH553" s="0">
        <f>AG553*(1-40%)</f>
        <v/>
      </c>
      <c r="AI553" s="0">
        <f>AH553*1.2</f>
        <v/>
      </c>
    </row>
    <row r="554">
      <c r="A554" s="26" t="n"/>
      <c r="B554" s="169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>
        <f>AG554</f>
        <v/>
      </c>
      <c r="T554" s="26">
        <f>AI554+Q554+P554</f>
        <v/>
      </c>
      <c r="U554" s="26" t="n"/>
      <c r="V554" s="26" t="n"/>
      <c r="W554" s="169" t="n"/>
      <c r="X554" s="26" t="n"/>
      <c r="Y554" s="26" t="n"/>
      <c r="Z554" s="26" t="n"/>
      <c r="AA554" s="26" t="n"/>
      <c r="AD554" s="0">
        <f>SUM(Y554,AA554,AC554)</f>
        <v/>
      </c>
      <c r="AE554" s="0">
        <f>X554*Y554+Z554*AA554+AB554*AC554</f>
        <v/>
      </c>
      <c r="AF554" s="0">
        <f>TEXTJOIN(", ",TRUE,IF(AND(X554&gt;0,Y554&gt;0),TEXT(X554,"0.00")&amp;"ct x "&amp;Y554,""),IF(AND(Z554&gt;0,AA554&gt;0),TEXT(Z554,"0.00")&amp;"ct x "&amp;AA554,""),IF(AND(AB554&gt;0,AC554&gt;0),TEXT(AB554,"0.00")&amp;"ct x "&amp;AC554,""))</f>
        <v/>
      </c>
      <c r="AG554" s="0">
        <f>X554*Y554*SUMIFS($AM$2:$AM$11,$AK$2:$AK$11,"&lt;="&amp;X554,$AL$2:$AL$11,"&gt;="&amp;X554)+Z554*AA554*SUMIFS($AM$2:$AM$11,$AK$2:$AK$11,"&lt;="&amp;Z554,$AL$2:$AL$11,"&gt;="&amp;Z554)+AB554*AC554*SUMIFS($AM$2:$AM$11,$AK$2:$AK$11,"&lt;="&amp;AB554,$AL$2:$AL$11,"&gt;="&amp;AB554)</f>
        <v/>
      </c>
      <c r="AH554" s="0">
        <f>AG554*(1-40%)</f>
        <v/>
      </c>
      <c r="AI554" s="0">
        <f>AH554*1.2</f>
        <v/>
      </c>
    </row>
    <row r="555">
      <c r="A555" s="26" t="n"/>
      <c r="B555" s="169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>
        <f>AG555</f>
        <v/>
      </c>
      <c r="T555" s="26">
        <f>AI555+Q555+P555</f>
        <v/>
      </c>
      <c r="U555" s="26" t="n"/>
      <c r="V555" s="26" t="n"/>
      <c r="W555" s="169" t="n"/>
      <c r="X555" s="26" t="n"/>
      <c r="Y555" s="26" t="n"/>
      <c r="Z555" s="26" t="n"/>
      <c r="AA555" s="26" t="n"/>
      <c r="AD555" s="0">
        <f>SUM(Y555,AA555,AC555)</f>
        <v/>
      </c>
      <c r="AE555" s="0">
        <f>X555*Y555+Z555*AA555+AB555*AC555</f>
        <v/>
      </c>
      <c r="AF555" s="0">
        <f>TEXTJOIN(", ",TRUE,IF(AND(X555&gt;0,Y555&gt;0),TEXT(X555,"0.00")&amp;"ct x "&amp;Y555,""),IF(AND(Z555&gt;0,AA555&gt;0),TEXT(Z555,"0.00")&amp;"ct x "&amp;AA555,""),IF(AND(AB555&gt;0,AC555&gt;0),TEXT(AB555,"0.00")&amp;"ct x "&amp;AC555,""))</f>
        <v/>
      </c>
      <c r="AG555" s="0">
        <f>X555*Y555*SUMIFS($AM$2:$AM$11,$AK$2:$AK$11,"&lt;="&amp;X555,$AL$2:$AL$11,"&gt;="&amp;X555)+Z555*AA555*SUMIFS($AM$2:$AM$11,$AK$2:$AK$11,"&lt;="&amp;Z555,$AL$2:$AL$11,"&gt;="&amp;Z555)+AB555*AC555*SUMIFS($AM$2:$AM$11,$AK$2:$AK$11,"&lt;="&amp;AB555,$AL$2:$AL$11,"&gt;="&amp;AB555)</f>
        <v/>
      </c>
      <c r="AH555" s="0">
        <f>AG555*(1-40%)</f>
        <v/>
      </c>
      <c r="AI555" s="0">
        <f>AH555*1.2</f>
        <v/>
      </c>
    </row>
    <row r="556">
      <c r="A556" s="26" t="n"/>
      <c r="B556" s="169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>
        <f>AG556</f>
        <v/>
      </c>
      <c r="T556" s="26">
        <f>AI556+Q556+P556</f>
        <v/>
      </c>
      <c r="U556" s="26" t="n"/>
      <c r="V556" s="26" t="n"/>
      <c r="W556" s="169" t="n"/>
      <c r="X556" s="26" t="n"/>
      <c r="Y556" s="26" t="n"/>
      <c r="Z556" s="26" t="n"/>
      <c r="AA556" s="26" t="n"/>
      <c r="AD556" s="0">
        <f>SUM(Y556,AA556,AC556)</f>
        <v/>
      </c>
      <c r="AE556" s="0">
        <f>X556*Y556+Z556*AA556+AB556*AC556</f>
        <v/>
      </c>
      <c r="AF556" s="0">
        <f>TEXTJOIN(", ",TRUE,IF(AND(X556&gt;0,Y556&gt;0),TEXT(X556,"0.00")&amp;"ct x "&amp;Y556,""),IF(AND(Z556&gt;0,AA556&gt;0),TEXT(Z556,"0.00")&amp;"ct x "&amp;AA556,""),IF(AND(AB556&gt;0,AC556&gt;0),TEXT(AB556,"0.00")&amp;"ct x "&amp;AC556,""))</f>
        <v/>
      </c>
      <c r="AG556" s="0">
        <f>X556*Y556*SUMIFS($AM$2:$AM$11,$AK$2:$AK$11,"&lt;="&amp;X556,$AL$2:$AL$11,"&gt;="&amp;X556)+Z556*AA556*SUMIFS($AM$2:$AM$11,$AK$2:$AK$11,"&lt;="&amp;Z556,$AL$2:$AL$11,"&gt;="&amp;Z556)+AB556*AC556*SUMIFS($AM$2:$AM$11,$AK$2:$AK$11,"&lt;="&amp;AB556,$AL$2:$AL$11,"&gt;="&amp;AB556)</f>
        <v/>
      </c>
      <c r="AH556" s="0">
        <f>AG556*(1-40%)</f>
        <v/>
      </c>
      <c r="AI556" s="0">
        <f>AH556*1.2</f>
        <v/>
      </c>
    </row>
    <row r="557">
      <c r="A557" s="26" t="n"/>
      <c r="B557" s="169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>
        <f>AG557</f>
        <v/>
      </c>
      <c r="T557" s="26">
        <f>AI557+Q557+P557</f>
        <v/>
      </c>
      <c r="U557" s="26" t="n"/>
      <c r="V557" s="26" t="n"/>
      <c r="W557" s="169" t="n"/>
      <c r="X557" s="26" t="n"/>
      <c r="Y557" s="26" t="n"/>
      <c r="Z557" s="26" t="n"/>
      <c r="AA557" s="26" t="n"/>
      <c r="AD557" s="0">
        <f>SUM(Y557,AA557,AC557)</f>
        <v/>
      </c>
      <c r="AE557" s="0">
        <f>X557*Y557+Z557*AA557+AB557*AC557</f>
        <v/>
      </c>
      <c r="AF557" s="0">
        <f>TEXTJOIN(", ",TRUE,IF(AND(X557&gt;0,Y557&gt;0),TEXT(X557,"0.00")&amp;"ct x "&amp;Y557,""),IF(AND(Z557&gt;0,AA557&gt;0),TEXT(Z557,"0.00")&amp;"ct x "&amp;AA557,""),IF(AND(AB557&gt;0,AC557&gt;0),TEXT(AB557,"0.00")&amp;"ct x "&amp;AC557,""))</f>
        <v/>
      </c>
      <c r="AG557" s="0">
        <f>X557*Y557*SUMIFS($AM$2:$AM$11,$AK$2:$AK$11,"&lt;="&amp;X557,$AL$2:$AL$11,"&gt;="&amp;X557)+Z557*AA557*SUMIFS($AM$2:$AM$11,$AK$2:$AK$11,"&lt;="&amp;Z557,$AL$2:$AL$11,"&gt;="&amp;Z557)+AB557*AC557*SUMIFS($AM$2:$AM$11,$AK$2:$AK$11,"&lt;="&amp;AB557,$AL$2:$AL$11,"&gt;="&amp;AB557)</f>
        <v/>
      </c>
      <c r="AH557" s="0">
        <f>AG557*(1-40%)</f>
        <v/>
      </c>
      <c r="AI557" s="0">
        <f>AH557*1.2</f>
        <v/>
      </c>
    </row>
    <row r="558">
      <c r="A558" s="26" t="n"/>
      <c r="B558" s="169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>
        <f>AG558</f>
        <v/>
      </c>
      <c r="T558" s="26">
        <f>AI558+Q558+P558</f>
        <v/>
      </c>
      <c r="U558" s="26" t="n"/>
      <c r="V558" s="26" t="n"/>
      <c r="W558" s="169" t="n"/>
      <c r="X558" s="26" t="n"/>
      <c r="Y558" s="26" t="n"/>
      <c r="Z558" s="26" t="n"/>
      <c r="AA558" s="26" t="n"/>
      <c r="AD558" s="0">
        <f>SUM(Y558,AA558,AC558)</f>
        <v/>
      </c>
      <c r="AE558" s="0">
        <f>X558*Y558+Z558*AA558+AB558*AC558</f>
        <v/>
      </c>
      <c r="AF558" s="0">
        <f>TEXTJOIN(", ",TRUE,IF(AND(X558&gt;0,Y558&gt;0),TEXT(X558,"0.00")&amp;"ct x "&amp;Y558,""),IF(AND(Z558&gt;0,AA558&gt;0),TEXT(Z558,"0.00")&amp;"ct x "&amp;AA558,""),IF(AND(AB558&gt;0,AC558&gt;0),TEXT(AB558,"0.00")&amp;"ct x "&amp;AC558,""))</f>
        <v/>
      </c>
      <c r="AG558" s="0">
        <f>X558*Y558*SUMIFS($AM$2:$AM$11,$AK$2:$AK$11,"&lt;="&amp;X558,$AL$2:$AL$11,"&gt;="&amp;X558)+Z558*AA558*SUMIFS($AM$2:$AM$11,$AK$2:$AK$11,"&lt;="&amp;Z558,$AL$2:$AL$11,"&gt;="&amp;Z558)+AB558*AC558*SUMIFS($AM$2:$AM$11,$AK$2:$AK$11,"&lt;="&amp;AB558,$AL$2:$AL$11,"&gt;="&amp;AB558)</f>
        <v/>
      </c>
      <c r="AH558" s="0">
        <f>AG558*(1-40%)</f>
        <v/>
      </c>
      <c r="AI558" s="0">
        <f>AH558*1.2</f>
        <v/>
      </c>
    </row>
    <row r="559">
      <c r="A559" s="26" t="n"/>
      <c r="B559" s="169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>
        <f>AG559</f>
        <v/>
      </c>
      <c r="T559" s="26">
        <f>AI559+Q559+P559</f>
        <v/>
      </c>
      <c r="U559" s="26" t="n"/>
      <c r="V559" s="26" t="n"/>
      <c r="W559" s="169" t="n"/>
      <c r="X559" s="26" t="n"/>
      <c r="Y559" s="26" t="n"/>
      <c r="Z559" s="26" t="n"/>
      <c r="AA559" s="26" t="n"/>
      <c r="AD559" s="0">
        <f>SUM(Y559,AA559,AC559)</f>
        <v/>
      </c>
      <c r="AE559" s="0">
        <f>X559*Y559+Z559*AA559+AB559*AC559</f>
        <v/>
      </c>
      <c r="AF559" s="0">
        <f>TEXTJOIN(", ",TRUE,IF(AND(X559&gt;0,Y559&gt;0),TEXT(X559,"0.00")&amp;"ct x "&amp;Y559,""),IF(AND(Z559&gt;0,AA559&gt;0),TEXT(Z559,"0.00")&amp;"ct x "&amp;AA559,""),IF(AND(AB559&gt;0,AC559&gt;0),TEXT(AB559,"0.00")&amp;"ct x "&amp;AC559,""))</f>
        <v/>
      </c>
      <c r="AG559" s="0">
        <f>X559*Y559*SUMIFS($AM$2:$AM$11,$AK$2:$AK$11,"&lt;="&amp;X559,$AL$2:$AL$11,"&gt;="&amp;X559)+Z559*AA559*SUMIFS($AM$2:$AM$11,$AK$2:$AK$11,"&lt;="&amp;Z559,$AL$2:$AL$11,"&gt;="&amp;Z559)+AB559*AC559*SUMIFS($AM$2:$AM$11,$AK$2:$AK$11,"&lt;="&amp;AB559,$AL$2:$AL$11,"&gt;="&amp;AB559)</f>
        <v/>
      </c>
      <c r="AH559" s="0">
        <f>AG559*(1-40%)</f>
        <v/>
      </c>
      <c r="AI559" s="0">
        <f>AH559*1.2</f>
        <v/>
      </c>
    </row>
    <row r="560">
      <c r="A560" s="26" t="n"/>
      <c r="B560" s="169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>
        <f>AG560</f>
        <v/>
      </c>
      <c r="T560" s="26">
        <f>AI560+Q560+P560</f>
        <v/>
      </c>
      <c r="U560" s="26" t="n"/>
      <c r="V560" s="26" t="n"/>
      <c r="W560" s="169" t="n"/>
      <c r="X560" s="26" t="n"/>
      <c r="Y560" s="26" t="n"/>
      <c r="Z560" s="26" t="n"/>
      <c r="AA560" s="26" t="n"/>
      <c r="AD560" s="0">
        <f>SUM(Y560,AA560,AC560)</f>
        <v/>
      </c>
      <c r="AE560" s="0">
        <f>X560*Y560+Z560*AA560+AB560*AC560</f>
        <v/>
      </c>
      <c r="AF560" s="0">
        <f>TEXTJOIN(", ",TRUE,IF(AND(X560&gt;0,Y560&gt;0),TEXT(X560,"0.00")&amp;"ct x "&amp;Y560,""),IF(AND(Z560&gt;0,AA560&gt;0),TEXT(Z560,"0.00")&amp;"ct x "&amp;AA560,""),IF(AND(AB560&gt;0,AC560&gt;0),TEXT(AB560,"0.00")&amp;"ct x "&amp;AC560,""))</f>
        <v/>
      </c>
      <c r="AG560" s="0">
        <f>X560*Y560*SUMIFS($AM$2:$AM$11,$AK$2:$AK$11,"&lt;="&amp;X560,$AL$2:$AL$11,"&gt;="&amp;X560)+Z560*AA560*SUMIFS($AM$2:$AM$11,$AK$2:$AK$11,"&lt;="&amp;Z560,$AL$2:$AL$11,"&gt;="&amp;Z560)+AB560*AC560*SUMIFS($AM$2:$AM$11,$AK$2:$AK$11,"&lt;="&amp;AB560,$AL$2:$AL$11,"&gt;="&amp;AB560)</f>
        <v/>
      </c>
      <c r="AH560" s="0">
        <f>AG560*(1-40%)</f>
        <v/>
      </c>
      <c r="AI560" s="0">
        <f>AH560*1.2</f>
        <v/>
      </c>
    </row>
    <row r="561">
      <c r="A561" s="26" t="n"/>
      <c r="B561" s="169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>
        <f>AG561</f>
        <v/>
      </c>
      <c r="T561" s="26">
        <f>AI561+Q561+P561</f>
        <v/>
      </c>
      <c r="U561" s="26" t="n"/>
      <c r="V561" s="26" t="n"/>
      <c r="W561" s="169" t="n"/>
      <c r="X561" s="26" t="n"/>
      <c r="Y561" s="26" t="n"/>
      <c r="Z561" s="26" t="n"/>
      <c r="AA561" s="26" t="n"/>
      <c r="AD561" s="0">
        <f>SUM(Y561,AA561,AC561)</f>
        <v/>
      </c>
      <c r="AE561" s="0">
        <f>X561*Y561+Z561*AA561+AB561*AC561</f>
        <v/>
      </c>
      <c r="AF561" s="0">
        <f>TEXTJOIN(", ",TRUE,IF(AND(X561&gt;0,Y561&gt;0),TEXT(X561,"0.00")&amp;"ct x "&amp;Y561,""),IF(AND(Z561&gt;0,AA561&gt;0),TEXT(Z561,"0.00")&amp;"ct x "&amp;AA561,""),IF(AND(AB561&gt;0,AC561&gt;0),TEXT(AB561,"0.00")&amp;"ct x "&amp;AC561,""))</f>
        <v/>
      </c>
      <c r="AG561" s="0">
        <f>X561*Y561*SUMIFS($AM$2:$AM$11,$AK$2:$AK$11,"&lt;="&amp;X561,$AL$2:$AL$11,"&gt;="&amp;X561)+Z561*AA561*SUMIFS($AM$2:$AM$11,$AK$2:$AK$11,"&lt;="&amp;Z561,$AL$2:$AL$11,"&gt;="&amp;Z561)+AB561*AC561*SUMIFS($AM$2:$AM$11,$AK$2:$AK$11,"&lt;="&amp;AB561,$AL$2:$AL$11,"&gt;="&amp;AB561)</f>
        <v/>
      </c>
      <c r="AH561" s="0">
        <f>AG561*(1-40%)</f>
        <v/>
      </c>
      <c r="AI561" s="0">
        <f>AH561*1.2</f>
        <v/>
      </c>
    </row>
    <row r="562">
      <c r="A562" s="26" t="n"/>
      <c r="B562" s="169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>
        <f>AG562</f>
        <v/>
      </c>
      <c r="T562" s="26">
        <f>AI562+Q562+P562</f>
        <v/>
      </c>
      <c r="U562" s="26" t="n"/>
      <c r="V562" s="26" t="n"/>
      <c r="W562" s="169" t="n"/>
      <c r="X562" s="26" t="n"/>
      <c r="Y562" s="26" t="n"/>
      <c r="Z562" s="26" t="n"/>
      <c r="AA562" s="26" t="n"/>
      <c r="AD562" s="0">
        <f>SUM(Y562,AA562,AC562)</f>
        <v/>
      </c>
      <c r="AE562" s="0">
        <f>X562*Y562+Z562*AA562+AB562*AC562</f>
        <v/>
      </c>
      <c r="AF562" s="0">
        <f>TEXTJOIN(", ",TRUE,IF(AND(X562&gt;0,Y562&gt;0),TEXT(X562,"0.00")&amp;"ct x "&amp;Y562,""),IF(AND(Z562&gt;0,AA562&gt;0),TEXT(Z562,"0.00")&amp;"ct x "&amp;AA562,""),IF(AND(AB562&gt;0,AC562&gt;0),TEXT(AB562,"0.00")&amp;"ct x "&amp;AC562,""))</f>
        <v/>
      </c>
      <c r="AG562" s="0">
        <f>X562*Y562*SUMIFS($AM$2:$AM$11,$AK$2:$AK$11,"&lt;="&amp;X562,$AL$2:$AL$11,"&gt;="&amp;X562)+Z562*AA562*SUMIFS($AM$2:$AM$11,$AK$2:$AK$11,"&lt;="&amp;Z562,$AL$2:$AL$11,"&gt;="&amp;Z562)+AB562*AC562*SUMIFS($AM$2:$AM$11,$AK$2:$AK$11,"&lt;="&amp;AB562,$AL$2:$AL$11,"&gt;="&amp;AB562)</f>
        <v/>
      </c>
      <c r="AH562" s="0">
        <f>AG562*(1-40%)</f>
        <v/>
      </c>
      <c r="AI562" s="0">
        <f>AH562*1.2</f>
        <v/>
      </c>
    </row>
    <row r="563">
      <c r="A563" s="26" t="n"/>
      <c r="B563" s="169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>
        <f>AG563</f>
        <v/>
      </c>
      <c r="T563" s="26">
        <f>AI563+Q563+P563</f>
        <v/>
      </c>
      <c r="U563" s="26" t="n"/>
      <c r="V563" s="26" t="n"/>
      <c r="W563" s="169" t="n"/>
      <c r="X563" s="26" t="n"/>
      <c r="Y563" s="26" t="n"/>
      <c r="Z563" s="26" t="n"/>
      <c r="AA563" s="26" t="n"/>
      <c r="AD563" s="0">
        <f>SUM(Y563,AA563,AC563)</f>
        <v/>
      </c>
      <c r="AE563" s="0">
        <f>X563*Y563+Z563*AA563+AB563*AC563</f>
        <v/>
      </c>
      <c r="AF563" s="0">
        <f>TEXTJOIN(", ",TRUE,IF(AND(X563&gt;0,Y563&gt;0),TEXT(X563,"0.00")&amp;"ct x "&amp;Y563,""),IF(AND(Z563&gt;0,AA563&gt;0),TEXT(Z563,"0.00")&amp;"ct x "&amp;AA563,""),IF(AND(AB563&gt;0,AC563&gt;0),TEXT(AB563,"0.00")&amp;"ct x "&amp;AC563,""))</f>
        <v/>
      </c>
      <c r="AG563" s="0">
        <f>X563*Y563*SUMIFS($AM$2:$AM$11,$AK$2:$AK$11,"&lt;="&amp;X563,$AL$2:$AL$11,"&gt;="&amp;X563)+Z563*AA563*SUMIFS($AM$2:$AM$11,$AK$2:$AK$11,"&lt;="&amp;Z563,$AL$2:$AL$11,"&gt;="&amp;Z563)+AB563*AC563*SUMIFS($AM$2:$AM$11,$AK$2:$AK$11,"&lt;="&amp;AB563,$AL$2:$AL$11,"&gt;="&amp;AB563)</f>
        <v/>
      </c>
      <c r="AH563" s="0">
        <f>AG563*(1-40%)</f>
        <v/>
      </c>
      <c r="AI563" s="0">
        <f>AH563*1.2</f>
        <v/>
      </c>
    </row>
    <row r="564">
      <c r="A564" s="26" t="n"/>
      <c r="B564" s="169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>
        <f>AG564</f>
        <v/>
      </c>
      <c r="T564" s="26">
        <f>AI564+Q564+P564</f>
        <v/>
      </c>
      <c r="U564" s="26" t="n"/>
      <c r="V564" s="26" t="n"/>
      <c r="W564" s="169" t="n"/>
      <c r="X564" s="26" t="n"/>
      <c r="Y564" s="26" t="n"/>
      <c r="Z564" s="26" t="n"/>
      <c r="AA564" s="26" t="n"/>
      <c r="AD564" s="0">
        <f>SUM(Y564,AA564,AC564)</f>
        <v/>
      </c>
      <c r="AE564" s="0">
        <f>X564*Y564+Z564*AA564+AB564*AC564</f>
        <v/>
      </c>
      <c r="AF564" s="0">
        <f>TEXTJOIN(", ",TRUE,IF(AND(X564&gt;0,Y564&gt;0),TEXT(X564,"0.00")&amp;"ct x "&amp;Y564,""),IF(AND(Z564&gt;0,AA564&gt;0),TEXT(Z564,"0.00")&amp;"ct x "&amp;AA564,""),IF(AND(AB564&gt;0,AC564&gt;0),TEXT(AB564,"0.00")&amp;"ct x "&amp;AC564,""))</f>
        <v/>
      </c>
      <c r="AG564" s="0">
        <f>X564*Y564*SUMIFS($AM$2:$AM$11,$AK$2:$AK$11,"&lt;="&amp;X564,$AL$2:$AL$11,"&gt;="&amp;X564)+Z564*AA564*SUMIFS($AM$2:$AM$11,$AK$2:$AK$11,"&lt;="&amp;Z564,$AL$2:$AL$11,"&gt;="&amp;Z564)+AB564*AC564*SUMIFS($AM$2:$AM$11,$AK$2:$AK$11,"&lt;="&amp;AB564,$AL$2:$AL$11,"&gt;="&amp;AB564)</f>
        <v/>
      </c>
      <c r="AH564" s="0">
        <f>AG564*(1-40%)</f>
        <v/>
      </c>
      <c r="AI564" s="0">
        <f>AH564*1.2</f>
        <v/>
      </c>
    </row>
    <row r="565">
      <c r="A565" s="26" t="n"/>
      <c r="B565" s="169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>
        <f>AG565</f>
        <v/>
      </c>
      <c r="T565" s="26">
        <f>AI565+Q565+P565</f>
        <v/>
      </c>
      <c r="U565" s="26" t="n"/>
      <c r="V565" s="26" t="n"/>
      <c r="W565" s="169" t="n"/>
      <c r="X565" s="26" t="n"/>
      <c r="Y565" s="26" t="n"/>
      <c r="Z565" s="26" t="n"/>
      <c r="AA565" s="26" t="n"/>
      <c r="AD565" s="0">
        <f>SUM(Y565,AA565,AC565)</f>
        <v/>
      </c>
      <c r="AE565" s="0">
        <f>X565*Y565+Z565*AA565+AB565*AC565</f>
        <v/>
      </c>
      <c r="AF565" s="0">
        <f>TEXTJOIN(", ",TRUE,IF(AND(X565&gt;0,Y565&gt;0),TEXT(X565,"0.00")&amp;"ct x "&amp;Y565,""),IF(AND(Z565&gt;0,AA565&gt;0),TEXT(Z565,"0.00")&amp;"ct x "&amp;AA565,""),IF(AND(AB565&gt;0,AC565&gt;0),TEXT(AB565,"0.00")&amp;"ct x "&amp;AC565,""))</f>
        <v/>
      </c>
      <c r="AG565" s="0">
        <f>X565*Y565*SUMIFS($AM$2:$AM$11,$AK$2:$AK$11,"&lt;="&amp;X565,$AL$2:$AL$11,"&gt;="&amp;X565)+Z565*AA565*SUMIFS($AM$2:$AM$11,$AK$2:$AK$11,"&lt;="&amp;Z565,$AL$2:$AL$11,"&gt;="&amp;Z565)+AB565*AC565*SUMIFS($AM$2:$AM$11,$AK$2:$AK$11,"&lt;="&amp;AB565,$AL$2:$AL$11,"&gt;="&amp;AB565)</f>
        <v/>
      </c>
      <c r="AH565" s="0">
        <f>AG565*(1-40%)</f>
        <v/>
      </c>
      <c r="AI565" s="0">
        <f>AH565*1.2</f>
        <v/>
      </c>
    </row>
    <row r="566">
      <c r="A566" s="26" t="n"/>
      <c r="B566" s="169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>
        <f>AG566</f>
        <v/>
      </c>
      <c r="T566" s="26">
        <f>AI566+Q566+P566</f>
        <v/>
      </c>
      <c r="U566" s="26" t="n"/>
      <c r="V566" s="26" t="n"/>
      <c r="W566" s="169" t="n"/>
      <c r="X566" s="26" t="n"/>
      <c r="Y566" s="26" t="n"/>
      <c r="Z566" s="26" t="n"/>
      <c r="AA566" s="26" t="n"/>
      <c r="AD566" s="0">
        <f>SUM(Y566,AA566,AC566)</f>
        <v/>
      </c>
      <c r="AE566" s="0">
        <f>X566*Y566+Z566*AA566+AB566*AC566</f>
        <v/>
      </c>
      <c r="AF566" s="0">
        <f>TEXTJOIN(", ",TRUE,IF(AND(X566&gt;0,Y566&gt;0),TEXT(X566,"0.00")&amp;"ct x "&amp;Y566,""),IF(AND(Z566&gt;0,AA566&gt;0),TEXT(Z566,"0.00")&amp;"ct x "&amp;AA566,""),IF(AND(AB566&gt;0,AC566&gt;0),TEXT(AB566,"0.00")&amp;"ct x "&amp;AC566,""))</f>
        <v/>
      </c>
      <c r="AG566" s="0">
        <f>X566*Y566*SUMIFS($AM$2:$AM$11,$AK$2:$AK$11,"&lt;="&amp;X566,$AL$2:$AL$11,"&gt;="&amp;X566)+Z566*AA566*SUMIFS($AM$2:$AM$11,$AK$2:$AK$11,"&lt;="&amp;Z566,$AL$2:$AL$11,"&gt;="&amp;Z566)+AB566*AC566*SUMIFS($AM$2:$AM$11,$AK$2:$AK$11,"&lt;="&amp;AB566,$AL$2:$AL$11,"&gt;="&amp;AB566)</f>
        <v/>
      </c>
      <c r="AH566" s="0">
        <f>AG566*(1-40%)</f>
        <v/>
      </c>
      <c r="AI566" s="0">
        <f>AH566*1.2</f>
        <v/>
      </c>
    </row>
    <row r="567">
      <c r="A567" s="26" t="n"/>
      <c r="B567" s="169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>
        <f>AG567</f>
        <v/>
      </c>
      <c r="T567" s="26">
        <f>AI567+Q567+P567</f>
        <v/>
      </c>
      <c r="U567" s="26" t="n"/>
      <c r="V567" s="26" t="n"/>
      <c r="W567" s="169" t="n"/>
      <c r="X567" s="26" t="n"/>
      <c r="Y567" s="26" t="n"/>
      <c r="Z567" s="26" t="n"/>
      <c r="AA567" s="26" t="n"/>
      <c r="AD567" s="0">
        <f>SUM(Y567,AA567,AC567)</f>
        <v/>
      </c>
      <c r="AE567" s="0">
        <f>X567*Y567+Z567*AA567+AB567*AC567</f>
        <v/>
      </c>
      <c r="AF567" s="0">
        <f>TEXTJOIN(", ",TRUE,IF(AND(X567&gt;0,Y567&gt;0),TEXT(X567,"0.00")&amp;"ct x "&amp;Y567,""),IF(AND(Z567&gt;0,AA567&gt;0),TEXT(Z567,"0.00")&amp;"ct x "&amp;AA567,""),IF(AND(AB567&gt;0,AC567&gt;0),TEXT(AB567,"0.00")&amp;"ct x "&amp;AC567,""))</f>
        <v/>
      </c>
      <c r="AG567" s="0">
        <f>X567*Y567*SUMIFS($AM$2:$AM$11,$AK$2:$AK$11,"&lt;="&amp;X567,$AL$2:$AL$11,"&gt;="&amp;X567)+Z567*AA567*SUMIFS($AM$2:$AM$11,$AK$2:$AK$11,"&lt;="&amp;Z567,$AL$2:$AL$11,"&gt;="&amp;Z567)+AB567*AC567*SUMIFS($AM$2:$AM$11,$AK$2:$AK$11,"&lt;="&amp;AB567,$AL$2:$AL$11,"&gt;="&amp;AB567)</f>
        <v/>
      </c>
      <c r="AH567" s="0">
        <f>AG567*(1-40%)</f>
        <v/>
      </c>
      <c r="AI567" s="0">
        <f>AH567*1.2</f>
        <v/>
      </c>
    </row>
    <row r="568">
      <c r="A568" s="26" t="n"/>
      <c r="B568" s="169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>
        <f>AG568</f>
        <v/>
      </c>
      <c r="T568" s="26">
        <f>AI568+Q568+P568</f>
        <v/>
      </c>
      <c r="U568" s="26" t="n"/>
      <c r="V568" s="26" t="n"/>
      <c r="W568" s="169" t="n"/>
      <c r="X568" s="26" t="n"/>
      <c r="Y568" s="26" t="n"/>
      <c r="Z568" s="26" t="n"/>
      <c r="AA568" s="26" t="n"/>
      <c r="AD568" s="0">
        <f>SUM(Y568,AA568,AC568)</f>
        <v/>
      </c>
      <c r="AE568" s="0">
        <f>X568*Y568+Z568*AA568+AB568*AC568</f>
        <v/>
      </c>
      <c r="AF568" s="0">
        <f>TEXTJOIN(", ",TRUE,IF(AND(X568&gt;0,Y568&gt;0),TEXT(X568,"0.00")&amp;"ct x "&amp;Y568,""),IF(AND(Z568&gt;0,AA568&gt;0),TEXT(Z568,"0.00")&amp;"ct x "&amp;AA568,""),IF(AND(AB568&gt;0,AC568&gt;0),TEXT(AB568,"0.00")&amp;"ct x "&amp;AC568,""))</f>
        <v/>
      </c>
      <c r="AG568" s="0">
        <f>X568*Y568*SUMIFS($AM$2:$AM$11,$AK$2:$AK$11,"&lt;="&amp;X568,$AL$2:$AL$11,"&gt;="&amp;X568)+Z568*AA568*SUMIFS($AM$2:$AM$11,$AK$2:$AK$11,"&lt;="&amp;Z568,$AL$2:$AL$11,"&gt;="&amp;Z568)+AB568*AC568*SUMIFS($AM$2:$AM$11,$AK$2:$AK$11,"&lt;="&amp;AB568,$AL$2:$AL$11,"&gt;="&amp;AB568)</f>
        <v/>
      </c>
      <c r="AH568" s="0">
        <f>AG568*(1-40%)</f>
        <v/>
      </c>
      <c r="AI568" s="0">
        <f>AH568*1.2</f>
        <v/>
      </c>
    </row>
    <row r="569">
      <c r="A569" s="26" t="n"/>
      <c r="B569" s="169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>
        <f>AG569</f>
        <v/>
      </c>
      <c r="T569" s="26">
        <f>AI569+Q569+P569</f>
        <v/>
      </c>
      <c r="U569" s="26" t="n"/>
      <c r="V569" s="26" t="n"/>
      <c r="W569" s="169" t="n"/>
      <c r="X569" s="26" t="n"/>
      <c r="Y569" s="26" t="n"/>
      <c r="Z569" s="26" t="n"/>
      <c r="AA569" s="26" t="n"/>
      <c r="AD569" s="0">
        <f>SUM(Y569,AA569,AC569)</f>
        <v/>
      </c>
      <c r="AE569" s="0">
        <f>X569*Y569+Z569*AA569+AB569*AC569</f>
        <v/>
      </c>
      <c r="AF569" s="0">
        <f>TEXTJOIN(", ",TRUE,IF(AND(X569&gt;0,Y569&gt;0),TEXT(X569,"0.00")&amp;"ct x "&amp;Y569,""),IF(AND(Z569&gt;0,AA569&gt;0),TEXT(Z569,"0.00")&amp;"ct x "&amp;AA569,""),IF(AND(AB569&gt;0,AC569&gt;0),TEXT(AB569,"0.00")&amp;"ct x "&amp;AC569,""))</f>
        <v/>
      </c>
      <c r="AG569" s="0">
        <f>X569*Y569*SUMIFS($AM$2:$AM$11,$AK$2:$AK$11,"&lt;="&amp;X569,$AL$2:$AL$11,"&gt;="&amp;X569)+Z569*AA569*SUMIFS($AM$2:$AM$11,$AK$2:$AK$11,"&lt;="&amp;Z569,$AL$2:$AL$11,"&gt;="&amp;Z569)+AB569*AC569*SUMIFS($AM$2:$AM$11,$AK$2:$AK$11,"&lt;="&amp;AB569,$AL$2:$AL$11,"&gt;="&amp;AB569)</f>
        <v/>
      </c>
      <c r="AH569" s="0">
        <f>AG569*(1-40%)</f>
        <v/>
      </c>
      <c r="AI569" s="0">
        <f>AH569*1.2</f>
        <v/>
      </c>
    </row>
    <row r="570">
      <c r="A570" s="26" t="n"/>
      <c r="B570" s="169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>
        <f>AG570</f>
        <v/>
      </c>
      <c r="T570" s="26">
        <f>AI570+Q570+P570</f>
        <v/>
      </c>
      <c r="U570" s="26" t="n"/>
      <c r="V570" s="26" t="n"/>
      <c r="W570" s="169" t="n"/>
      <c r="X570" s="26" t="n"/>
      <c r="Y570" s="26" t="n"/>
      <c r="Z570" s="26" t="n"/>
      <c r="AA570" s="26" t="n"/>
      <c r="AD570" s="0">
        <f>SUM(Y570,AA570,AC570)</f>
        <v/>
      </c>
      <c r="AE570" s="0">
        <f>X570*Y570+Z570*AA570+AB570*AC570</f>
        <v/>
      </c>
      <c r="AF570" s="0">
        <f>TEXTJOIN(", ",TRUE,IF(AND(X570&gt;0,Y570&gt;0),TEXT(X570,"0.00")&amp;"ct x "&amp;Y570,""),IF(AND(Z570&gt;0,AA570&gt;0),TEXT(Z570,"0.00")&amp;"ct x "&amp;AA570,""),IF(AND(AB570&gt;0,AC570&gt;0),TEXT(AB570,"0.00")&amp;"ct x "&amp;AC570,""))</f>
        <v/>
      </c>
      <c r="AG570" s="0">
        <f>X570*Y570*SUMIFS($AM$2:$AM$11,$AK$2:$AK$11,"&lt;="&amp;X570,$AL$2:$AL$11,"&gt;="&amp;X570)+Z570*AA570*SUMIFS($AM$2:$AM$11,$AK$2:$AK$11,"&lt;="&amp;Z570,$AL$2:$AL$11,"&gt;="&amp;Z570)+AB570*AC570*SUMIFS($AM$2:$AM$11,$AK$2:$AK$11,"&lt;="&amp;AB570,$AL$2:$AL$11,"&gt;="&amp;AB570)</f>
        <v/>
      </c>
      <c r="AH570" s="0">
        <f>AG570*(1-40%)</f>
        <v/>
      </c>
      <c r="AI570" s="0">
        <f>AH570*1.2</f>
        <v/>
      </c>
    </row>
    <row r="571">
      <c r="A571" s="26" t="n"/>
      <c r="B571" s="169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>
        <f>AG571</f>
        <v/>
      </c>
      <c r="T571" s="26">
        <f>AI571+Q571+P571</f>
        <v/>
      </c>
      <c r="U571" s="26" t="n"/>
      <c r="V571" s="26" t="n"/>
      <c r="W571" s="169" t="n"/>
      <c r="X571" s="26" t="n"/>
      <c r="Y571" s="26" t="n"/>
      <c r="Z571" s="26" t="n"/>
      <c r="AA571" s="26" t="n"/>
      <c r="AD571" s="0">
        <f>SUM(Y571,AA571,AC571)</f>
        <v/>
      </c>
      <c r="AE571" s="0">
        <f>X571*Y571+Z571*AA571+AB571*AC571</f>
        <v/>
      </c>
      <c r="AF571" s="0">
        <f>TEXTJOIN(", ",TRUE,IF(AND(X571&gt;0,Y571&gt;0),TEXT(X571,"0.00")&amp;"ct x "&amp;Y571,""),IF(AND(Z571&gt;0,AA571&gt;0),TEXT(Z571,"0.00")&amp;"ct x "&amp;AA571,""),IF(AND(AB571&gt;0,AC571&gt;0),TEXT(AB571,"0.00")&amp;"ct x "&amp;AC571,""))</f>
        <v/>
      </c>
      <c r="AG571" s="0">
        <f>X571*Y571*SUMIFS($AM$2:$AM$11,$AK$2:$AK$11,"&lt;="&amp;X571,$AL$2:$AL$11,"&gt;="&amp;X571)+Z571*AA571*SUMIFS($AM$2:$AM$11,$AK$2:$AK$11,"&lt;="&amp;Z571,$AL$2:$AL$11,"&gt;="&amp;Z571)+AB571*AC571*SUMIFS($AM$2:$AM$11,$AK$2:$AK$11,"&lt;="&amp;AB571,$AL$2:$AL$11,"&gt;="&amp;AB571)</f>
        <v/>
      </c>
      <c r="AH571" s="0">
        <f>AG571*(1-40%)</f>
        <v/>
      </c>
      <c r="AI571" s="0">
        <f>AH571*1.2</f>
        <v/>
      </c>
    </row>
    <row r="572">
      <c r="A572" s="26" t="n"/>
      <c r="B572" s="169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>
        <f>AG572</f>
        <v/>
      </c>
      <c r="T572" s="26">
        <f>AI572+Q572+P572</f>
        <v/>
      </c>
      <c r="U572" s="26" t="n"/>
      <c r="V572" s="26" t="n"/>
      <c r="W572" s="169" t="n"/>
      <c r="X572" s="26" t="n"/>
      <c r="Y572" s="26" t="n"/>
      <c r="Z572" s="26" t="n"/>
      <c r="AA572" s="26" t="n"/>
      <c r="AD572" s="0">
        <f>SUM(Y572,AA572,AC572)</f>
        <v/>
      </c>
      <c r="AE572" s="0">
        <f>X572*Y572+Z572*AA572+AB572*AC572</f>
        <v/>
      </c>
      <c r="AF572" s="0">
        <f>TEXTJOIN(", ",TRUE,IF(AND(X572&gt;0,Y572&gt;0),TEXT(X572,"0.00")&amp;"ct x "&amp;Y572,""),IF(AND(Z572&gt;0,AA572&gt;0),TEXT(Z572,"0.00")&amp;"ct x "&amp;AA572,""),IF(AND(AB572&gt;0,AC572&gt;0),TEXT(AB572,"0.00")&amp;"ct x "&amp;AC572,""))</f>
        <v/>
      </c>
      <c r="AG572" s="0">
        <f>X572*Y572*SUMIFS($AM$2:$AM$11,$AK$2:$AK$11,"&lt;="&amp;X572,$AL$2:$AL$11,"&gt;="&amp;X572)+Z572*AA572*SUMIFS($AM$2:$AM$11,$AK$2:$AK$11,"&lt;="&amp;Z572,$AL$2:$AL$11,"&gt;="&amp;Z572)+AB572*AC572*SUMIFS($AM$2:$AM$11,$AK$2:$AK$11,"&lt;="&amp;AB572,$AL$2:$AL$11,"&gt;="&amp;AB572)</f>
        <v/>
      </c>
      <c r="AH572" s="0">
        <f>AG572*(1-40%)</f>
        <v/>
      </c>
      <c r="AI572" s="0">
        <f>AH572*1.2</f>
        <v/>
      </c>
    </row>
    <row r="573">
      <c r="A573" s="26" t="n"/>
      <c r="B573" s="169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>
        <f>AG573</f>
        <v/>
      </c>
      <c r="T573" s="26">
        <f>AI573+Q573+P573</f>
        <v/>
      </c>
      <c r="U573" s="26" t="n"/>
      <c r="V573" s="26" t="n"/>
      <c r="W573" s="169" t="n"/>
      <c r="X573" s="26" t="n"/>
      <c r="Y573" s="26" t="n"/>
      <c r="Z573" s="26" t="n"/>
      <c r="AA573" s="26" t="n"/>
      <c r="AD573" s="0">
        <f>SUM(Y573,AA573,AC573)</f>
        <v/>
      </c>
      <c r="AE573" s="0">
        <f>X573*Y573+Z573*AA573+AB573*AC573</f>
        <v/>
      </c>
      <c r="AF573" s="0">
        <f>TEXTJOIN(", ",TRUE,IF(AND(X573&gt;0,Y573&gt;0),TEXT(X573,"0.00")&amp;"ct x "&amp;Y573,""),IF(AND(Z573&gt;0,AA573&gt;0),TEXT(Z573,"0.00")&amp;"ct x "&amp;AA573,""),IF(AND(AB573&gt;0,AC573&gt;0),TEXT(AB573,"0.00")&amp;"ct x "&amp;AC573,""))</f>
        <v/>
      </c>
      <c r="AG573" s="0">
        <f>X573*Y573*SUMIFS($AM$2:$AM$11,$AK$2:$AK$11,"&lt;="&amp;X573,$AL$2:$AL$11,"&gt;="&amp;X573)+Z573*AA573*SUMIFS($AM$2:$AM$11,$AK$2:$AK$11,"&lt;="&amp;Z573,$AL$2:$AL$11,"&gt;="&amp;Z573)+AB573*AC573*SUMIFS($AM$2:$AM$11,$AK$2:$AK$11,"&lt;="&amp;AB573,$AL$2:$AL$11,"&gt;="&amp;AB573)</f>
        <v/>
      </c>
      <c r="AH573" s="0">
        <f>AG573*(1-40%)</f>
        <v/>
      </c>
      <c r="AI573" s="0">
        <f>AH573*1.2</f>
        <v/>
      </c>
    </row>
    <row r="574">
      <c r="A574" s="26" t="n"/>
      <c r="B574" s="169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>
        <f>AG574</f>
        <v/>
      </c>
      <c r="T574" s="26">
        <f>AI574+Q574+P574</f>
        <v/>
      </c>
      <c r="U574" s="26" t="n"/>
      <c r="V574" s="26" t="n"/>
      <c r="W574" s="169" t="n"/>
      <c r="X574" s="26" t="n"/>
      <c r="Y574" s="26" t="n"/>
      <c r="Z574" s="26" t="n"/>
      <c r="AA574" s="26" t="n"/>
      <c r="AD574" s="0">
        <f>SUM(Y574,AA574,AC574)</f>
        <v/>
      </c>
      <c r="AE574" s="0">
        <f>X574*Y574+Z574*AA574+AB574*AC574</f>
        <v/>
      </c>
      <c r="AF574" s="0">
        <f>TEXTJOIN(", ",TRUE,IF(AND(X574&gt;0,Y574&gt;0),TEXT(X574,"0.00")&amp;"ct x "&amp;Y574,""),IF(AND(Z574&gt;0,AA574&gt;0),TEXT(Z574,"0.00")&amp;"ct x "&amp;AA574,""),IF(AND(AB574&gt;0,AC574&gt;0),TEXT(AB574,"0.00")&amp;"ct x "&amp;AC574,""))</f>
        <v/>
      </c>
      <c r="AG574" s="0">
        <f>X574*Y574*SUMIFS($AM$2:$AM$11,$AK$2:$AK$11,"&lt;="&amp;X574,$AL$2:$AL$11,"&gt;="&amp;X574)+Z574*AA574*SUMIFS($AM$2:$AM$11,$AK$2:$AK$11,"&lt;="&amp;Z574,$AL$2:$AL$11,"&gt;="&amp;Z574)+AB574*AC574*SUMIFS($AM$2:$AM$11,$AK$2:$AK$11,"&lt;="&amp;AB574,$AL$2:$AL$11,"&gt;="&amp;AB574)</f>
        <v/>
      </c>
      <c r="AH574" s="0">
        <f>AG574*(1-40%)</f>
        <v/>
      </c>
      <c r="AI574" s="0">
        <f>AH574*1.2</f>
        <v/>
      </c>
    </row>
    <row r="575">
      <c r="A575" s="26" t="n"/>
      <c r="B575" s="169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>
        <f>AG575</f>
        <v/>
      </c>
      <c r="T575" s="26">
        <f>AI575+Q575+P575</f>
        <v/>
      </c>
      <c r="U575" s="26" t="n"/>
      <c r="V575" s="26" t="n"/>
      <c r="W575" s="169" t="n"/>
      <c r="X575" s="26" t="n"/>
      <c r="Y575" s="26" t="n"/>
      <c r="Z575" s="26" t="n"/>
      <c r="AA575" s="26" t="n"/>
      <c r="AD575" s="0">
        <f>SUM(Y575,AA575,AC575)</f>
        <v/>
      </c>
      <c r="AE575" s="0">
        <f>X575*Y575+Z575*AA575+AB575*AC575</f>
        <v/>
      </c>
      <c r="AF575" s="0">
        <f>TEXTJOIN(", ",TRUE,IF(AND(X575&gt;0,Y575&gt;0),TEXT(X575,"0.00")&amp;"ct x "&amp;Y575,""),IF(AND(Z575&gt;0,AA575&gt;0),TEXT(Z575,"0.00")&amp;"ct x "&amp;AA575,""),IF(AND(AB575&gt;0,AC575&gt;0),TEXT(AB575,"0.00")&amp;"ct x "&amp;AC575,""))</f>
        <v/>
      </c>
      <c r="AG575" s="0">
        <f>X575*Y575*SUMIFS($AM$2:$AM$11,$AK$2:$AK$11,"&lt;="&amp;X575,$AL$2:$AL$11,"&gt;="&amp;X575)+Z575*AA575*SUMIFS($AM$2:$AM$11,$AK$2:$AK$11,"&lt;="&amp;Z575,$AL$2:$AL$11,"&gt;="&amp;Z575)+AB575*AC575*SUMIFS($AM$2:$AM$11,$AK$2:$AK$11,"&lt;="&amp;AB575,$AL$2:$AL$11,"&gt;="&amp;AB575)</f>
        <v/>
      </c>
      <c r="AH575" s="0">
        <f>AG575*(1-40%)</f>
        <v/>
      </c>
      <c r="AI575" s="0">
        <f>AH575*1.2</f>
        <v/>
      </c>
    </row>
    <row r="576">
      <c r="A576" s="26" t="n"/>
      <c r="B576" s="169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>
        <f>AG576</f>
        <v/>
      </c>
      <c r="T576" s="26">
        <f>AI576+Q576+P576</f>
        <v/>
      </c>
      <c r="U576" s="26" t="n"/>
      <c r="V576" s="26" t="n"/>
      <c r="W576" s="169" t="n"/>
      <c r="X576" s="26" t="n"/>
      <c r="Y576" s="26" t="n"/>
      <c r="Z576" s="26" t="n"/>
      <c r="AA576" s="26" t="n"/>
      <c r="AD576" s="0">
        <f>SUM(Y576,AA576,AC576)</f>
        <v/>
      </c>
      <c r="AE576" s="0">
        <f>X576*Y576+Z576*AA576+AB576*AC576</f>
        <v/>
      </c>
      <c r="AF576" s="0">
        <f>TEXTJOIN(", ",TRUE,IF(AND(X576&gt;0,Y576&gt;0),TEXT(X576,"0.00")&amp;"ct x "&amp;Y576,""),IF(AND(Z576&gt;0,AA576&gt;0),TEXT(Z576,"0.00")&amp;"ct x "&amp;AA576,""),IF(AND(AB576&gt;0,AC576&gt;0),TEXT(AB576,"0.00")&amp;"ct x "&amp;AC576,""))</f>
        <v/>
      </c>
      <c r="AG576" s="0">
        <f>X576*Y576*SUMIFS($AM$2:$AM$11,$AK$2:$AK$11,"&lt;="&amp;X576,$AL$2:$AL$11,"&gt;="&amp;X576)+Z576*AA576*SUMIFS($AM$2:$AM$11,$AK$2:$AK$11,"&lt;="&amp;Z576,$AL$2:$AL$11,"&gt;="&amp;Z576)+AB576*AC576*SUMIFS($AM$2:$AM$11,$AK$2:$AK$11,"&lt;="&amp;AB576,$AL$2:$AL$11,"&gt;="&amp;AB576)</f>
        <v/>
      </c>
      <c r="AH576" s="0">
        <f>AG576*(1-40%)</f>
        <v/>
      </c>
      <c r="AI576" s="0">
        <f>AH576*1.2</f>
        <v/>
      </c>
    </row>
    <row r="577">
      <c r="A577" s="26" t="n"/>
      <c r="B577" s="169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>
        <f>AG577</f>
        <v/>
      </c>
      <c r="T577" s="26">
        <f>AI577+Q577+P577</f>
        <v/>
      </c>
      <c r="U577" s="26" t="n"/>
      <c r="V577" s="26" t="n"/>
      <c r="W577" s="169" t="n"/>
      <c r="X577" s="26" t="n"/>
      <c r="Y577" s="26" t="n"/>
      <c r="Z577" s="26" t="n"/>
      <c r="AA577" s="26" t="n"/>
      <c r="AD577" s="0">
        <f>SUM(Y577,AA577,AC577)</f>
        <v/>
      </c>
      <c r="AE577" s="0">
        <f>X577*Y577+Z577*AA577+AB577*AC577</f>
        <v/>
      </c>
      <c r="AF577" s="0">
        <f>TEXTJOIN(", ",TRUE,IF(AND(X577&gt;0,Y577&gt;0),TEXT(X577,"0.00")&amp;"ct x "&amp;Y577,""),IF(AND(Z577&gt;0,AA577&gt;0),TEXT(Z577,"0.00")&amp;"ct x "&amp;AA577,""),IF(AND(AB577&gt;0,AC577&gt;0),TEXT(AB577,"0.00")&amp;"ct x "&amp;AC577,""))</f>
        <v/>
      </c>
      <c r="AG577" s="0">
        <f>X577*Y577*SUMIFS($AM$2:$AM$11,$AK$2:$AK$11,"&lt;="&amp;X577,$AL$2:$AL$11,"&gt;="&amp;X577)+Z577*AA577*SUMIFS($AM$2:$AM$11,$AK$2:$AK$11,"&lt;="&amp;Z577,$AL$2:$AL$11,"&gt;="&amp;Z577)+AB577*AC577*SUMIFS($AM$2:$AM$11,$AK$2:$AK$11,"&lt;="&amp;AB577,$AL$2:$AL$11,"&gt;="&amp;AB577)</f>
        <v/>
      </c>
      <c r="AH577" s="0">
        <f>AG577*(1-40%)</f>
        <v/>
      </c>
      <c r="AI577" s="0">
        <f>AH577*1.2</f>
        <v/>
      </c>
    </row>
    <row r="578">
      <c r="A578" s="26" t="n"/>
      <c r="B578" s="169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>
        <f>AG578</f>
        <v/>
      </c>
      <c r="T578" s="26">
        <f>AI578+Q578+P578</f>
        <v/>
      </c>
      <c r="U578" s="26" t="n"/>
      <c r="V578" s="26" t="n"/>
      <c r="W578" s="169" t="n"/>
      <c r="X578" s="26" t="n"/>
      <c r="Y578" s="26" t="n"/>
      <c r="Z578" s="26" t="n"/>
      <c r="AA578" s="26" t="n"/>
      <c r="AD578" s="0">
        <f>SUM(Y578,AA578,AC578)</f>
        <v/>
      </c>
      <c r="AE578" s="0">
        <f>X578*Y578+Z578*AA578+AB578*AC578</f>
        <v/>
      </c>
      <c r="AF578" s="0">
        <f>TEXTJOIN(", ",TRUE,IF(AND(X578&gt;0,Y578&gt;0),TEXT(X578,"0.00")&amp;"ct x "&amp;Y578,""),IF(AND(Z578&gt;0,AA578&gt;0),TEXT(Z578,"0.00")&amp;"ct x "&amp;AA578,""),IF(AND(AB578&gt;0,AC578&gt;0),TEXT(AB578,"0.00")&amp;"ct x "&amp;AC578,""))</f>
        <v/>
      </c>
      <c r="AG578" s="0">
        <f>X578*Y578*SUMIFS($AM$2:$AM$11,$AK$2:$AK$11,"&lt;="&amp;X578,$AL$2:$AL$11,"&gt;="&amp;X578)+Z578*AA578*SUMIFS($AM$2:$AM$11,$AK$2:$AK$11,"&lt;="&amp;Z578,$AL$2:$AL$11,"&gt;="&amp;Z578)+AB578*AC578*SUMIFS($AM$2:$AM$11,$AK$2:$AK$11,"&lt;="&amp;AB578,$AL$2:$AL$11,"&gt;="&amp;AB578)</f>
        <v/>
      </c>
      <c r="AH578" s="0">
        <f>AG578*(1-40%)</f>
        <v/>
      </c>
      <c r="AI578" s="0">
        <f>AH578*1.2</f>
        <v/>
      </c>
    </row>
    <row r="579">
      <c r="A579" s="26" t="n"/>
      <c r="B579" s="169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>
        <f>AG579</f>
        <v/>
      </c>
      <c r="T579" s="26">
        <f>AI579+Q579+P579</f>
        <v/>
      </c>
      <c r="U579" s="26" t="n"/>
      <c r="V579" s="26" t="n"/>
      <c r="W579" s="169" t="n"/>
      <c r="X579" s="26" t="n"/>
      <c r="Y579" s="26" t="n"/>
      <c r="Z579" s="26" t="n"/>
      <c r="AA579" s="26" t="n"/>
      <c r="AD579" s="0">
        <f>SUM(Y579,AA579,AC579)</f>
        <v/>
      </c>
      <c r="AE579" s="0">
        <f>X579*Y579+Z579*AA579+AB579*AC579</f>
        <v/>
      </c>
      <c r="AF579" s="0">
        <f>TEXTJOIN(", ",TRUE,IF(AND(X579&gt;0,Y579&gt;0),TEXT(X579,"0.00")&amp;"ct x "&amp;Y579,""),IF(AND(Z579&gt;0,AA579&gt;0),TEXT(Z579,"0.00")&amp;"ct x "&amp;AA579,""),IF(AND(AB579&gt;0,AC579&gt;0),TEXT(AB579,"0.00")&amp;"ct x "&amp;AC579,""))</f>
        <v/>
      </c>
      <c r="AG579" s="0">
        <f>X579*Y579*SUMIFS($AM$2:$AM$11,$AK$2:$AK$11,"&lt;="&amp;X579,$AL$2:$AL$11,"&gt;="&amp;X579)+Z579*AA579*SUMIFS($AM$2:$AM$11,$AK$2:$AK$11,"&lt;="&amp;Z579,$AL$2:$AL$11,"&gt;="&amp;Z579)+AB579*AC579*SUMIFS($AM$2:$AM$11,$AK$2:$AK$11,"&lt;="&amp;AB579,$AL$2:$AL$11,"&gt;="&amp;AB579)</f>
        <v/>
      </c>
      <c r="AH579" s="0">
        <f>AG579*(1-40%)</f>
        <v/>
      </c>
      <c r="AI579" s="0">
        <f>AH579*1.2</f>
        <v/>
      </c>
    </row>
    <row r="580">
      <c r="A580" s="26" t="n"/>
      <c r="B580" s="169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>
        <f>AG580</f>
        <v/>
      </c>
      <c r="T580" s="26">
        <f>AI580+Q580+P580</f>
        <v/>
      </c>
      <c r="U580" s="26" t="n"/>
      <c r="V580" s="26" t="n"/>
      <c r="W580" s="169" t="n"/>
      <c r="X580" s="26" t="n"/>
      <c r="Y580" s="26" t="n"/>
      <c r="Z580" s="26" t="n"/>
      <c r="AA580" s="26" t="n"/>
      <c r="AD580" s="0">
        <f>SUM(Y580,AA580,AC580)</f>
        <v/>
      </c>
      <c r="AE580" s="0">
        <f>X580*Y580+Z580*AA580+AB580*AC580</f>
        <v/>
      </c>
      <c r="AF580" s="0">
        <f>TEXTJOIN(", ",TRUE,IF(AND(X580&gt;0,Y580&gt;0),TEXT(X580,"0.00")&amp;"ct x "&amp;Y580,""),IF(AND(Z580&gt;0,AA580&gt;0),TEXT(Z580,"0.00")&amp;"ct x "&amp;AA580,""),IF(AND(AB580&gt;0,AC580&gt;0),TEXT(AB580,"0.00")&amp;"ct x "&amp;AC580,""))</f>
        <v/>
      </c>
      <c r="AG580" s="0">
        <f>X580*Y580*SUMIFS($AM$2:$AM$11,$AK$2:$AK$11,"&lt;="&amp;X580,$AL$2:$AL$11,"&gt;="&amp;X580)+Z580*AA580*SUMIFS($AM$2:$AM$11,$AK$2:$AK$11,"&lt;="&amp;Z580,$AL$2:$AL$11,"&gt;="&amp;Z580)+AB580*AC580*SUMIFS($AM$2:$AM$11,$AK$2:$AK$11,"&lt;="&amp;AB580,$AL$2:$AL$11,"&gt;="&amp;AB580)</f>
        <v/>
      </c>
      <c r="AH580" s="0">
        <f>AG580*(1-40%)</f>
        <v/>
      </c>
      <c r="AI580" s="0">
        <f>AH580*1.2</f>
        <v/>
      </c>
    </row>
    <row r="581">
      <c r="A581" s="26" t="n"/>
      <c r="B581" s="169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>
        <f>AG581</f>
        <v/>
      </c>
      <c r="T581" s="26">
        <f>AI581+Q581+P581</f>
        <v/>
      </c>
      <c r="U581" s="26" t="n"/>
      <c r="V581" s="26" t="n"/>
      <c r="W581" s="169" t="n"/>
      <c r="X581" s="26" t="n"/>
      <c r="Y581" s="26" t="n"/>
      <c r="Z581" s="26" t="n"/>
      <c r="AA581" s="26" t="n"/>
      <c r="AD581" s="0">
        <f>SUM(Y581,AA581,AC581)</f>
        <v/>
      </c>
      <c r="AE581" s="0">
        <f>X581*Y581+Z581*AA581+AB581*AC581</f>
        <v/>
      </c>
      <c r="AF581" s="0">
        <f>TEXTJOIN(", ",TRUE,IF(AND(X581&gt;0,Y581&gt;0),TEXT(X581,"0.00")&amp;"ct x "&amp;Y581,""),IF(AND(Z581&gt;0,AA581&gt;0),TEXT(Z581,"0.00")&amp;"ct x "&amp;AA581,""),IF(AND(AB581&gt;0,AC581&gt;0),TEXT(AB581,"0.00")&amp;"ct x "&amp;AC581,""))</f>
        <v/>
      </c>
      <c r="AG581" s="0">
        <f>X581*Y581*SUMIFS($AM$2:$AM$11,$AK$2:$AK$11,"&lt;="&amp;X581,$AL$2:$AL$11,"&gt;="&amp;X581)+Z581*AA581*SUMIFS($AM$2:$AM$11,$AK$2:$AK$11,"&lt;="&amp;Z581,$AL$2:$AL$11,"&gt;="&amp;Z581)+AB581*AC581*SUMIFS($AM$2:$AM$11,$AK$2:$AK$11,"&lt;="&amp;AB581,$AL$2:$AL$11,"&gt;="&amp;AB581)</f>
        <v/>
      </c>
      <c r="AH581" s="0">
        <f>AG581*(1-40%)</f>
        <v/>
      </c>
      <c r="AI581" s="0">
        <f>AH581*1.2</f>
        <v/>
      </c>
    </row>
    <row r="582">
      <c r="A582" s="26" t="n"/>
      <c r="B582" s="169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>
        <f>AG582</f>
        <v/>
      </c>
      <c r="T582" s="26">
        <f>AI582+Q582+P582</f>
        <v/>
      </c>
      <c r="U582" s="26" t="n"/>
      <c r="V582" s="26" t="n"/>
      <c r="W582" s="169" t="n"/>
      <c r="X582" s="26" t="n"/>
      <c r="Y582" s="26" t="n"/>
      <c r="Z582" s="26" t="n"/>
      <c r="AA582" s="26" t="n"/>
      <c r="AD582" s="0">
        <f>SUM(Y582,AA582,AC582)</f>
        <v/>
      </c>
      <c r="AE582" s="0">
        <f>X582*Y582+Z582*AA582+AB582*AC582</f>
        <v/>
      </c>
      <c r="AF582" s="0">
        <f>TEXTJOIN(", ",TRUE,IF(AND(X582&gt;0,Y582&gt;0),TEXT(X582,"0.00")&amp;"ct x "&amp;Y582,""),IF(AND(Z582&gt;0,AA582&gt;0),TEXT(Z582,"0.00")&amp;"ct x "&amp;AA582,""),IF(AND(AB582&gt;0,AC582&gt;0),TEXT(AB582,"0.00")&amp;"ct x "&amp;AC582,""))</f>
        <v/>
      </c>
      <c r="AG582" s="0">
        <f>X582*Y582*SUMIFS($AM$2:$AM$11,$AK$2:$AK$11,"&lt;="&amp;X582,$AL$2:$AL$11,"&gt;="&amp;X582)+Z582*AA582*SUMIFS($AM$2:$AM$11,$AK$2:$AK$11,"&lt;="&amp;Z582,$AL$2:$AL$11,"&gt;="&amp;Z582)+AB582*AC582*SUMIFS($AM$2:$AM$11,$AK$2:$AK$11,"&lt;="&amp;AB582,$AL$2:$AL$11,"&gt;="&amp;AB582)</f>
        <v/>
      </c>
      <c r="AH582" s="0">
        <f>AG582*(1-40%)</f>
        <v/>
      </c>
      <c r="AI582" s="0">
        <f>AH582*1.2</f>
        <v/>
      </c>
    </row>
    <row r="583">
      <c r="A583" s="26" t="n"/>
      <c r="B583" s="169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>
        <f>AG583</f>
        <v/>
      </c>
      <c r="T583" s="26">
        <f>AI583+Q583+P583</f>
        <v/>
      </c>
      <c r="U583" s="26" t="n"/>
      <c r="V583" s="26" t="n"/>
      <c r="W583" s="169" t="n"/>
      <c r="X583" s="26" t="n"/>
      <c r="Y583" s="26" t="n"/>
      <c r="Z583" s="26" t="n"/>
      <c r="AA583" s="26" t="n"/>
      <c r="AD583" s="0">
        <f>SUM(Y583,AA583,AC583)</f>
        <v/>
      </c>
      <c r="AE583" s="0">
        <f>X583*Y583+Z583*AA583+AB583*AC583</f>
        <v/>
      </c>
      <c r="AF583" s="0">
        <f>TEXTJOIN(", ",TRUE,IF(AND(X583&gt;0,Y583&gt;0),TEXT(X583,"0.00")&amp;"ct x "&amp;Y583,""),IF(AND(Z583&gt;0,AA583&gt;0),TEXT(Z583,"0.00")&amp;"ct x "&amp;AA583,""),IF(AND(AB583&gt;0,AC583&gt;0),TEXT(AB583,"0.00")&amp;"ct x "&amp;AC583,""))</f>
        <v/>
      </c>
      <c r="AG583" s="0">
        <f>X583*Y583*SUMIFS($AM$2:$AM$11,$AK$2:$AK$11,"&lt;="&amp;X583,$AL$2:$AL$11,"&gt;="&amp;X583)+Z583*AA583*SUMIFS($AM$2:$AM$11,$AK$2:$AK$11,"&lt;="&amp;Z583,$AL$2:$AL$11,"&gt;="&amp;Z583)+AB583*AC583*SUMIFS($AM$2:$AM$11,$AK$2:$AK$11,"&lt;="&amp;AB583,$AL$2:$AL$11,"&gt;="&amp;AB583)</f>
        <v/>
      </c>
      <c r="AH583" s="0">
        <f>AG583*(1-40%)</f>
        <v/>
      </c>
      <c r="AI583" s="0">
        <f>AH583*1.2</f>
        <v/>
      </c>
    </row>
    <row r="584">
      <c r="A584" s="26" t="n"/>
      <c r="B584" s="169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>
        <f>AG584</f>
        <v/>
      </c>
      <c r="T584" s="26">
        <f>AI584+Q584+P584</f>
        <v/>
      </c>
      <c r="U584" s="26" t="n"/>
      <c r="V584" s="26" t="n"/>
      <c r="W584" s="169" t="n"/>
      <c r="X584" s="26" t="n"/>
      <c r="Y584" s="26" t="n"/>
      <c r="Z584" s="26" t="n"/>
      <c r="AA584" s="26" t="n"/>
      <c r="AD584" s="0">
        <f>SUM(Y584,AA584,AC584)</f>
        <v/>
      </c>
      <c r="AE584" s="0">
        <f>X584*Y584+Z584*AA584+AB584*AC584</f>
        <v/>
      </c>
      <c r="AF584" s="0">
        <f>TEXTJOIN(", ",TRUE,IF(AND(X584&gt;0,Y584&gt;0),TEXT(X584,"0.00")&amp;"ct x "&amp;Y584,""),IF(AND(Z584&gt;0,AA584&gt;0),TEXT(Z584,"0.00")&amp;"ct x "&amp;AA584,""),IF(AND(AB584&gt;0,AC584&gt;0),TEXT(AB584,"0.00")&amp;"ct x "&amp;AC584,""))</f>
        <v/>
      </c>
      <c r="AG584" s="0">
        <f>X584*Y584*SUMIFS($AM$2:$AM$11,$AK$2:$AK$11,"&lt;="&amp;X584,$AL$2:$AL$11,"&gt;="&amp;X584)+Z584*AA584*SUMIFS($AM$2:$AM$11,$AK$2:$AK$11,"&lt;="&amp;Z584,$AL$2:$AL$11,"&gt;="&amp;Z584)+AB584*AC584*SUMIFS($AM$2:$AM$11,$AK$2:$AK$11,"&lt;="&amp;AB584,$AL$2:$AL$11,"&gt;="&amp;AB584)</f>
        <v/>
      </c>
      <c r="AH584" s="0">
        <f>AG584*(1-40%)</f>
        <v/>
      </c>
      <c r="AI584" s="0">
        <f>AH584*1.2</f>
        <v/>
      </c>
    </row>
    <row r="585">
      <c r="A585" s="26" t="n"/>
      <c r="B585" s="169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>
        <f>AG585</f>
        <v/>
      </c>
      <c r="T585" s="26">
        <f>AI585+Q585+P585</f>
        <v/>
      </c>
      <c r="U585" s="26" t="n"/>
      <c r="V585" s="26" t="n"/>
      <c r="W585" s="169" t="n"/>
      <c r="X585" s="26" t="n"/>
      <c r="Y585" s="26" t="n"/>
      <c r="Z585" s="26" t="n"/>
      <c r="AA585" s="26" t="n"/>
      <c r="AD585" s="0">
        <f>SUM(Y585,AA585,AC585)</f>
        <v/>
      </c>
      <c r="AE585" s="0">
        <f>X585*Y585+Z585*AA585+AB585*AC585</f>
        <v/>
      </c>
      <c r="AF585" s="0">
        <f>TEXTJOIN(", ",TRUE,IF(AND(X585&gt;0,Y585&gt;0),TEXT(X585,"0.00")&amp;"ct x "&amp;Y585,""),IF(AND(Z585&gt;0,AA585&gt;0),TEXT(Z585,"0.00")&amp;"ct x "&amp;AA585,""),IF(AND(AB585&gt;0,AC585&gt;0),TEXT(AB585,"0.00")&amp;"ct x "&amp;AC585,""))</f>
        <v/>
      </c>
      <c r="AG585" s="0">
        <f>X585*Y585*SUMIFS($AM$2:$AM$11,$AK$2:$AK$11,"&lt;="&amp;X585,$AL$2:$AL$11,"&gt;="&amp;X585)+Z585*AA585*SUMIFS($AM$2:$AM$11,$AK$2:$AK$11,"&lt;="&amp;Z585,$AL$2:$AL$11,"&gt;="&amp;Z585)+AB585*AC585*SUMIFS($AM$2:$AM$11,$AK$2:$AK$11,"&lt;="&amp;AB585,$AL$2:$AL$11,"&gt;="&amp;AB585)</f>
        <v/>
      </c>
      <c r="AH585" s="0">
        <f>AG585*(1-40%)</f>
        <v/>
      </c>
      <c r="AI585" s="0">
        <f>AH585*1.2</f>
        <v/>
      </c>
    </row>
    <row r="586">
      <c r="A586" s="26" t="n"/>
      <c r="B586" s="169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>
        <f>AG586</f>
        <v/>
      </c>
      <c r="T586" s="26">
        <f>AI586+Q586+P586</f>
        <v/>
      </c>
      <c r="U586" s="26" t="n"/>
      <c r="V586" s="26" t="n"/>
      <c r="W586" s="169" t="n"/>
      <c r="X586" s="26" t="n"/>
      <c r="Y586" s="26" t="n"/>
      <c r="Z586" s="26" t="n"/>
      <c r="AA586" s="26" t="n"/>
      <c r="AD586" s="0">
        <f>SUM(Y586,AA586,AC586)</f>
        <v/>
      </c>
      <c r="AE586" s="0">
        <f>X586*Y586+Z586*AA586+AB586*AC586</f>
        <v/>
      </c>
      <c r="AF586" s="0">
        <f>TEXTJOIN(", ",TRUE,IF(AND(X586&gt;0,Y586&gt;0),TEXT(X586,"0.00")&amp;"ct x "&amp;Y586,""),IF(AND(Z586&gt;0,AA586&gt;0),TEXT(Z586,"0.00")&amp;"ct x "&amp;AA586,""),IF(AND(AB586&gt;0,AC586&gt;0),TEXT(AB586,"0.00")&amp;"ct x "&amp;AC586,""))</f>
        <v/>
      </c>
      <c r="AG586" s="0">
        <f>X586*Y586*SUMIFS($AM$2:$AM$11,$AK$2:$AK$11,"&lt;="&amp;X586,$AL$2:$AL$11,"&gt;="&amp;X586)+Z586*AA586*SUMIFS($AM$2:$AM$11,$AK$2:$AK$11,"&lt;="&amp;Z586,$AL$2:$AL$11,"&gt;="&amp;Z586)+AB586*AC586*SUMIFS($AM$2:$AM$11,$AK$2:$AK$11,"&lt;="&amp;AB586,$AL$2:$AL$11,"&gt;="&amp;AB586)</f>
        <v/>
      </c>
      <c r="AH586" s="0">
        <f>AG586*(1-40%)</f>
        <v/>
      </c>
      <c r="AI586" s="0">
        <f>AH586*1.2</f>
        <v/>
      </c>
    </row>
    <row r="587">
      <c r="A587" s="26" t="n"/>
      <c r="B587" s="169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>
        <f>AG587</f>
        <v/>
      </c>
      <c r="T587" s="26">
        <f>AI587+Q587+P587</f>
        <v/>
      </c>
      <c r="U587" s="26" t="n"/>
      <c r="V587" s="26" t="n"/>
      <c r="W587" s="169" t="n"/>
      <c r="X587" s="26" t="n"/>
      <c r="Y587" s="26" t="n"/>
      <c r="Z587" s="26" t="n"/>
      <c r="AA587" s="26" t="n"/>
      <c r="AD587" s="0">
        <f>SUM(Y587,AA587,AC587)</f>
        <v/>
      </c>
      <c r="AE587" s="0">
        <f>X587*Y587+Z587*AA587+AB587*AC587</f>
        <v/>
      </c>
      <c r="AF587" s="0">
        <f>TEXTJOIN(", ",TRUE,IF(AND(X587&gt;0,Y587&gt;0),TEXT(X587,"0.00")&amp;"ct x "&amp;Y587,""),IF(AND(Z587&gt;0,AA587&gt;0),TEXT(Z587,"0.00")&amp;"ct x "&amp;AA587,""),IF(AND(AB587&gt;0,AC587&gt;0),TEXT(AB587,"0.00")&amp;"ct x "&amp;AC587,""))</f>
        <v/>
      </c>
      <c r="AG587" s="0">
        <f>X587*Y587*SUMIFS($AM$2:$AM$11,$AK$2:$AK$11,"&lt;="&amp;X587,$AL$2:$AL$11,"&gt;="&amp;X587)+Z587*AA587*SUMIFS($AM$2:$AM$11,$AK$2:$AK$11,"&lt;="&amp;Z587,$AL$2:$AL$11,"&gt;="&amp;Z587)+AB587*AC587*SUMIFS($AM$2:$AM$11,$AK$2:$AK$11,"&lt;="&amp;AB587,$AL$2:$AL$11,"&gt;="&amp;AB587)</f>
        <v/>
      </c>
      <c r="AH587" s="0">
        <f>AG587*(1-40%)</f>
        <v/>
      </c>
      <c r="AI587" s="0">
        <f>AH587*1.2</f>
        <v/>
      </c>
    </row>
    <row r="588">
      <c r="A588" s="26" t="n"/>
      <c r="B588" s="169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>
        <f>AG588</f>
        <v/>
      </c>
      <c r="T588" s="26">
        <f>AI588+Q588+P588</f>
        <v/>
      </c>
      <c r="U588" s="26" t="n"/>
      <c r="V588" s="26" t="n"/>
      <c r="W588" s="169" t="n"/>
      <c r="X588" s="26" t="n"/>
      <c r="Y588" s="26" t="n"/>
      <c r="Z588" s="26" t="n"/>
      <c r="AA588" s="26" t="n"/>
      <c r="AD588" s="0">
        <f>SUM(Y588,AA588,AC588)</f>
        <v/>
      </c>
      <c r="AE588" s="0">
        <f>X588*Y588+Z588*AA588+AB588*AC588</f>
        <v/>
      </c>
      <c r="AF588" s="0">
        <f>TEXTJOIN(", ",TRUE,IF(AND(X588&gt;0,Y588&gt;0),TEXT(X588,"0.00")&amp;"ct x "&amp;Y588,""),IF(AND(Z588&gt;0,AA588&gt;0),TEXT(Z588,"0.00")&amp;"ct x "&amp;AA588,""),IF(AND(AB588&gt;0,AC588&gt;0),TEXT(AB588,"0.00")&amp;"ct x "&amp;AC588,""))</f>
        <v/>
      </c>
      <c r="AG588" s="0">
        <f>X588*Y588*SUMIFS($AM$2:$AM$11,$AK$2:$AK$11,"&lt;="&amp;X588,$AL$2:$AL$11,"&gt;="&amp;X588)+Z588*AA588*SUMIFS($AM$2:$AM$11,$AK$2:$AK$11,"&lt;="&amp;Z588,$AL$2:$AL$11,"&gt;="&amp;Z588)+AB588*AC588*SUMIFS($AM$2:$AM$11,$AK$2:$AK$11,"&lt;="&amp;AB588,$AL$2:$AL$11,"&gt;="&amp;AB588)</f>
        <v/>
      </c>
      <c r="AH588" s="0">
        <f>AG588*(1-40%)</f>
        <v/>
      </c>
      <c r="AI588" s="0">
        <f>AH588*1.2</f>
        <v/>
      </c>
    </row>
    <row r="589">
      <c r="A589" s="26" t="n"/>
      <c r="B589" s="169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>
        <f>AG589</f>
        <v/>
      </c>
      <c r="T589" s="26">
        <f>AI589+Q589+P589</f>
        <v/>
      </c>
      <c r="U589" s="26" t="n"/>
      <c r="V589" s="26" t="n"/>
      <c r="W589" s="169" t="n"/>
      <c r="X589" s="26" t="n"/>
      <c r="Y589" s="26" t="n"/>
      <c r="Z589" s="26" t="n"/>
      <c r="AA589" s="26" t="n"/>
      <c r="AD589" s="0">
        <f>SUM(Y589,AA589,AC589)</f>
        <v/>
      </c>
      <c r="AE589" s="0">
        <f>X589*Y589+Z589*AA589+AB589*AC589</f>
        <v/>
      </c>
      <c r="AF589" s="0">
        <f>TEXTJOIN(", ",TRUE,IF(AND(X589&gt;0,Y589&gt;0),TEXT(X589,"0.00")&amp;"ct x "&amp;Y589,""),IF(AND(Z589&gt;0,AA589&gt;0),TEXT(Z589,"0.00")&amp;"ct x "&amp;AA589,""),IF(AND(AB589&gt;0,AC589&gt;0),TEXT(AB589,"0.00")&amp;"ct x "&amp;AC589,""))</f>
        <v/>
      </c>
      <c r="AG589" s="0">
        <f>X589*Y589*SUMIFS($AM$2:$AM$11,$AK$2:$AK$11,"&lt;="&amp;X589,$AL$2:$AL$11,"&gt;="&amp;X589)+Z589*AA589*SUMIFS($AM$2:$AM$11,$AK$2:$AK$11,"&lt;="&amp;Z589,$AL$2:$AL$11,"&gt;="&amp;Z589)+AB589*AC589*SUMIFS($AM$2:$AM$11,$AK$2:$AK$11,"&lt;="&amp;AB589,$AL$2:$AL$11,"&gt;="&amp;AB589)</f>
        <v/>
      </c>
      <c r="AH589" s="0">
        <f>AG589*(1-40%)</f>
        <v/>
      </c>
      <c r="AI589" s="0">
        <f>AH589*1.2</f>
        <v/>
      </c>
    </row>
    <row r="590">
      <c r="A590" s="26" t="n"/>
      <c r="B590" s="169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>
        <f>AG590</f>
        <v/>
      </c>
      <c r="T590" s="26">
        <f>AI590+Q590+P590</f>
        <v/>
      </c>
      <c r="U590" s="26" t="n"/>
      <c r="V590" s="26" t="n"/>
      <c r="W590" s="169" t="n"/>
      <c r="X590" s="26" t="n"/>
      <c r="Y590" s="26" t="n"/>
      <c r="Z590" s="26" t="n"/>
      <c r="AA590" s="26" t="n"/>
      <c r="AD590" s="0">
        <f>SUM(Y590,AA590,AC590)</f>
        <v/>
      </c>
      <c r="AE590" s="0">
        <f>X590*Y590+Z590*AA590+AB590*AC590</f>
        <v/>
      </c>
      <c r="AF590" s="0">
        <f>TEXTJOIN(", ",TRUE,IF(AND(X590&gt;0,Y590&gt;0),TEXT(X590,"0.00")&amp;"ct x "&amp;Y590,""),IF(AND(Z590&gt;0,AA590&gt;0),TEXT(Z590,"0.00")&amp;"ct x "&amp;AA590,""),IF(AND(AB590&gt;0,AC590&gt;0),TEXT(AB590,"0.00")&amp;"ct x "&amp;AC590,""))</f>
        <v/>
      </c>
      <c r="AG590" s="0">
        <f>X590*Y590*SUMIFS($AM$2:$AM$11,$AK$2:$AK$11,"&lt;="&amp;X590,$AL$2:$AL$11,"&gt;="&amp;X590)+Z590*AA590*SUMIFS($AM$2:$AM$11,$AK$2:$AK$11,"&lt;="&amp;Z590,$AL$2:$AL$11,"&gt;="&amp;Z590)+AB590*AC590*SUMIFS($AM$2:$AM$11,$AK$2:$AK$11,"&lt;="&amp;AB590,$AL$2:$AL$11,"&gt;="&amp;AB590)</f>
        <v/>
      </c>
      <c r="AH590" s="0">
        <f>AG590*(1-40%)</f>
        <v/>
      </c>
      <c r="AI590" s="0">
        <f>AH590*1.2</f>
        <v/>
      </c>
    </row>
    <row r="591">
      <c r="A591" s="26" t="n"/>
      <c r="B591" s="169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>
        <f>AG591</f>
        <v/>
      </c>
      <c r="T591" s="26">
        <f>AI591+Q591+P591</f>
        <v/>
      </c>
      <c r="U591" s="26" t="n"/>
      <c r="V591" s="26" t="n"/>
      <c r="W591" s="169" t="n"/>
      <c r="X591" s="26" t="n"/>
      <c r="Y591" s="26" t="n"/>
      <c r="Z591" s="26" t="n"/>
      <c r="AA591" s="26" t="n"/>
      <c r="AD591" s="0">
        <f>SUM(Y591,AA591,AC591)</f>
        <v/>
      </c>
      <c r="AE591" s="0">
        <f>X591*Y591+Z591*AA591+AB591*AC591</f>
        <v/>
      </c>
      <c r="AF591" s="0">
        <f>TEXTJOIN(", ",TRUE,IF(AND(X591&gt;0,Y591&gt;0),TEXT(X591,"0.00")&amp;"ct x "&amp;Y591,""),IF(AND(Z591&gt;0,AA591&gt;0),TEXT(Z591,"0.00")&amp;"ct x "&amp;AA591,""),IF(AND(AB591&gt;0,AC591&gt;0),TEXT(AB591,"0.00")&amp;"ct x "&amp;AC591,""))</f>
        <v/>
      </c>
      <c r="AG591" s="0">
        <f>X591*Y591*SUMIFS($AM$2:$AM$11,$AK$2:$AK$11,"&lt;="&amp;X591,$AL$2:$AL$11,"&gt;="&amp;X591)+Z591*AA591*SUMIFS($AM$2:$AM$11,$AK$2:$AK$11,"&lt;="&amp;Z591,$AL$2:$AL$11,"&gt;="&amp;Z591)+AB591*AC591*SUMIFS($AM$2:$AM$11,$AK$2:$AK$11,"&lt;="&amp;AB591,$AL$2:$AL$11,"&gt;="&amp;AB591)</f>
        <v/>
      </c>
      <c r="AH591" s="0">
        <f>AG591*(1-40%)</f>
        <v/>
      </c>
      <c r="AI591" s="0">
        <f>AH591*1.2</f>
        <v/>
      </c>
    </row>
    <row r="592">
      <c r="A592" s="26" t="n"/>
      <c r="B592" s="169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>
        <f>AG592</f>
        <v/>
      </c>
      <c r="T592" s="26">
        <f>AI592+Q592+P592</f>
        <v/>
      </c>
      <c r="U592" s="26" t="n"/>
      <c r="V592" s="26" t="n"/>
      <c r="W592" s="169" t="n"/>
      <c r="X592" s="26" t="n"/>
      <c r="Y592" s="26" t="n"/>
      <c r="Z592" s="26" t="n"/>
      <c r="AA592" s="26" t="n"/>
      <c r="AD592" s="0">
        <f>SUM(Y592,AA592,AC592)</f>
        <v/>
      </c>
      <c r="AE592" s="0">
        <f>X592*Y592+Z592*AA592+AB592*AC592</f>
        <v/>
      </c>
      <c r="AF592" s="0">
        <f>TEXTJOIN(", ",TRUE,IF(AND(X592&gt;0,Y592&gt;0),TEXT(X592,"0.00")&amp;"ct x "&amp;Y592,""),IF(AND(Z592&gt;0,AA592&gt;0),TEXT(Z592,"0.00")&amp;"ct x "&amp;AA592,""),IF(AND(AB592&gt;0,AC592&gt;0),TEXT(AB592,"0.00")&amp;"ct x "&amp;AC592,""))</f>
        <v/>
      </c>
      <c r="AG592" s="0">
        <f>X592*Y592*SUMIFS($AM$2:$AM$11,$AK$2:$AK$11,"&lt;="&amp;X592,$AL$2:$AL$11,"&gt;="&amp;X592)+Z592*AA592*SUMIFS($AM$2:$AM$11,$AK$2:$AK$11,"&lt;="&amp;Z592,$AL$2:$AL$11,"&gt;="&amp;Z592)+AB592*AC592*SUMIFS($AM$2:$AM$11,$AK$2:$AK$11,"&lt;="&amp;AB592,$AL$2:$AL$11,"&gt;="&amp;AB592)</f>
        <v/>
      </c>
      <c r="AH592" s="0">
        <f>AG592*(1-40%)</f>
        <v/>
      </c>
      <c r="AI592" s="0">
        <f>AH592*1.2</f>
        <v/>
      </c>
    </row>
    <row r="593">
      <c r="A593" s="26" t="n"/>
      <c r="B593" s="169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>
        <f>AG593</f>
        <v/>
      </c>
      <c r="T593" s="26">
        <f>AI593+Q593+P593</f>
        <v/>
      </c>
      <c r="U593" s="26" t="n"/>
      <c r="V593" s="26" t="n"/>
      <c r="W593" s="169" t="n"/>
      <c r="X593" s="26" t="n"/>
      <c r="Y593" s="26" t="n"/>
      <c r="Z593" s="26" t="n"/>
      <c r="AA593" s="26" t="n"/>
      <c r="AD593" s="0">
        <f>SUM(Y593,AA593,AC593)</f>
        <v/>
      </c>
      <c r="AE593" s="0">
        <f>X593*Y593+Z593*AA593+AB593*AC593</f>
        <v/>
      </c>
      <c r="AF593" s="0">
        <f>TEXTJOIN(", ",TRUE,IF(AND(X593&gt;0,Y593&gt;0),TEXT(X593,"0.00")&amp;"ct x "&amp;Y593,""),IF(AND(Z593&gt;0,AA593&gt;0),TEXT(Z593,"0.00")&amp;"ct x "&amp;AA593,""),IF(AND(AB593&gt;0,AC593&gt;0),TEXT(AB593,"0.00")&amp;"ct x "&amp;AC593,""))</f>
        <v/>
      </c>
      <c r="AG593" s="0">
        <f>X593*Y593*SUMIFS($AM$2:$AM$11,$AK$2:$AK$11,"&lt;="&amp;X593,$AL$2:$AL$11,"&gt;="&amp;X593)+Z593*AA593*SUMIFS($AM$2:$AM$11,$AK$2:$AK$11,"&lt;="&amp;Z593,$AL$2:$AL$11,"&gt;="&amp;Z593)+AB593*AC593*SUMIFS($AM$2:$AM$11,$AK$2:$AK$11,"&lt;="&amp;AB593,$AL$2:$AL$11,"&gt;="&amp;AB593)</f>
        <v/>
      </c>
      <c r="AH593" s="0">
        <f>AG593*(1-40%)</f>
        <v/>
      </c>
      <c r="AI593" s="0">
        <f>AH593*1.2</f>
        <v/>
      </c>
    </row>
    <row r="594">
      <c r="A594" s="26" t="n"/>
      <c r="B594" s="169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>
        <f>AG594</f>
        <v/>
      </c>
      <c r="T594" s="26">
        <f>AI594+Q594+P594</f>
        <v/>
      </c>
      <c r="U594" s="26" t="n"/>
      <c r="V594" s="26" t="n"/>
      <c r="W594" s="169" t="n"/>
      <c r="X594" s="26" t="n"/>
      <c r="Y594" s="26" t="n"/>
      <c r="Z594" s="26" t="n"/>
      <c r="AA594" s="26" t="n"/>
      <c r="AD594" s="0">
        <f>SUM(Y594,AA594,AC594)</f>
        <v/>
      </c>
      <c r="AE594" s="0">
        <f>X594*Y594+Z594*AA594+AB594*AC594</f>
        <v/>
      </c>
      <c r="AF594" s="0">
        <f>TEXTJOIN(", ",TRUE,IF(AND(X594&gt;0,Y594&gt;0),TEXT(X594,"0.00")&amp;"ct x "&amp;Y594,""),IF(AND(Z594&gt;0,AA594&gt;0),TEXT(Z594,"0.00")&amp;"ct x "&amp;AA594,""),IF(AND(AB594&gt;0,AC594&gt;0),TEXT(AB594,"0.00")&amp;"ct x "&amp;AC594,""))</f>
        <v/>
      </c>
      <c r="AG594" s="0">
        <f>X594*Y594*SUMIFS($AM$2:$AM$11,$AK$2:$AK$11,"&lt;="&amp;X594,$AL$2:$AL$11,"&gt;="&amp;X594)+Z594*AA594*SUMIFS($AM$2:$AM$11,$AK$2:$AK$11,"&lt;="&amp;Z594,$AL$2:$AL$11,"&gt;="&amp;Z594)+AB594*AC594*SUMIFS($AM$2:$AM$11,$AK$2:$AK$11,"&lt;="&amp;AB594,$AL$2:$AL$11,"&gt;="&amp;AB594)</f>
        <v/>
      </c>
      <c r="AH594" s="0">
        <f>AG594*(1-40%)</f>
        <v/>
      </c>
      <c r="AI594" s="0">
        <f>AH594*1.2</f>
        <v/>
      </c>
    </row>
    <row r="595">
      <c r="A595" s="26" t="n"/>
      <c r="B595" s="169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>
        <f>AG595</f>
        <v/>
      </c>
      <c r="T595" s="26">
        <f>AI595+Q595+P595</f>
        <v/>
      </c>
      <c r="U595" s="26" t="n"/>
      <c r="V595" s="26" t="n"/>
      <c r="W595" s="169" t="n"/>
      <c r="X595" s="26" t="n"/>
      <c r="Y595" s="26" t="n"/>
      <c r="Z595" s="26" t="n"/>
      <c r="AA595" s="26" t="n"/>
      <c r="AD595" s="0">
        <f>SUM(Y595,AA595,AC595)</f>
        <v/>
      </c>
      <c r="AE595" s="0">
        <f>X595*Y595+Z595*AA595+AB595*AC595</f>
        <v/>
      </c>
      <c r="AF595" s="0">
        <f>TEXTJOIN(", ",TRUE,IF(AND(X595&gt;0,Y595&gt;0),TEXT(X595,"0.00")&amp;"ct x "&amp;Y595,""),IF(AND(Z595&gt;0,AA595&gt;0),TEXT(Z595,"0.00")&amp;"ct x "&amp;AA595,""),IF(AND(AB595&gt;0,AC595&gt;0),TEXT(AB595,"0.00")&amp;"ct x "&amp;AC595,""))</f>
        <v/>
      </c>
      <c r="AG595" s="0">
        <f>X595*Y595*SUMIFS($AM$2:$AM$11,$AK$2:$AK$11,"&lt;="&amp;X595,$AL$2:$AL$11,"&gt;="&amp;X595)+Z595*AA595*SUMIFS($AM$2:$AM$11,$AK$2:$AK$11,"&lt;="&amp;Z595,$AL$2:$AL$11,"&gt;="&amp;Z595)+AB595*AC595*SUMIFS($AM$2:$AM$11,$AK$2:$AK$11,"&lt;="&amp;AB595,$AL$2:$AL$11,"&gt;="&amp;AB595)</f>
        <v/>
      </c>
      <c r="AH595" s="0">
        <f>AG595*(1-40%)</f>
        <v/>
      </c>
      <c r="AI595" s="0">
        <f>AH595*1.2</f>
        <v/>
      </c>
    </row>
    <row r="596">
      <c r="A596" s="26" t="n"/>
      <c r="B596" s="169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>
        <f>AG596</f>
        <v/>
      </c>
      <c r="T596" s="26">
        <f>AI596+Q596+P596</f>
        <v/>
      </c>
      <c r="U596" s="26" t="n"/>
      <c r="V596" s="26" t="n"/>
      <c r="W596" s="169" t="n"/>
      <c r="X596" s="26" t="n"/>
      <c r="Y596" s="26" t="n"/>
      <c r="Z596" s="26" t="n"/>
      <c r="AA596" s="26" t="n"/>
      <c r="AD596" s="0">
        <f>SUM(Y596,AA596,AC596)</f>
        <v/>
      </c>
      <c r="AE596" s="0">
        <f>X596*Y596+Z596*AA596+AB596*AC596</f>
        <v/>
      </c>
      <c r="AF596" s="0">
        <f>TEXTJOIN(", ",TRUE,IF(AND(X596&gt;0,Y596&gt;0),TEXT(X596,"0.00")&amp;"ct x "&amp;Y596,""),IF(AND(Z596&gt;0,AA596&gt;0),TEXT(Z596,"0.00")&amp;"ct x "&amp;AA596,""),IF(AND(AB596&gt;0,AC596&gt;0),TEXT(AB596,"0.00")&amp;"ct x "&amp;AC596,""))</f>
        <v/>
      </c>
      <c r="AG596" s="0">
        <f>X596*Y596*SUMIFS($AM$2:$AM$11,$AK$2:$AK$11,"&lt;="&amp;X596,$AL$2:$AL$11,"&gt;="&amp;X596)+Z596*AA596*SUMIFS($AM$2:$AM$11,$AK$2:$AK$11,"&lt;="&amp;Z596,$AL$2:$AL$11,"&gt;="&amp;Z596)+AB596*AC596*SUMIFS($AM$2:$AM$11,$AK$2:$AK$11,"&lt;="&amp;AB596,$AL$2:$AL$11,"&gt;="&amp;AB596)</f>
        <v/>
      </c>
      <c r="AH596" s="0">
        <f>AG596*(1-40%)</f>
        <v/>
      </c>
      <c r="AI596" s="0">
        <f>AH596*1.2</f>
        <v/>
      </c>
    </row>
    <row r="597">
      <c r="A597" s="26" t="n"/>
      <c r="B597" s="169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>
        <f>AG597</f>
        <v/>
      </c>
      <c r="T597" s="26">
        <f>AI597+Q597+P597</f>
        <v/>
      </c>
      <c r="U597" s="26" t="n"/>
      <c r="V597" s="26" t="n"/>
      <c r="W597" s="169" t="n"/>
      <c r="X597" s="26" t="n"/>
      <c r="Y597" s="26" t="n"/>
      <c r="Z597" s="26" t="n"/>
      <c r="AA597" s="26" t="n"/>
      <c r="AD597" s="0">
        <f>SUM(Y597,AA597,AC597)</f>
        <v/>
      </c>
      <c r="AE597" s="0">
        <f>X597*Y597+Z597*AA597+AB597*AC597</f>
        <v/>
      </c>
      <c r="AF597" s="0">
        <f>TEXTJOIN(", ",TRUE,IF(AND(X597&gt;0,Y597&gt;0),TEXT(X597,"0.00")&amp;"ct x "&amp;Y597,""),IF(AND(Z597&gt;0,AA597&gt;0),TEXT(Z597,"0.00")&amp;"ct x "&amp;AA597,""),IF(AND(AB597&gt;0,AC597&gt;0),TEXT(AB597,"0.00")&amp;"ct x "&amp;AC597,""))</f>
        <v/>
      </c>
      <c r="AG597" s="0">
        <f>X597*Y597*SUMIFS($AM$2:$AM$11,$AK$2:$AK$11,"&lt;="&amp;X597,$AL$2:$AL$11,"&gt;="&amp;X597)+Z597*AA597*SUMIFS($AM$2:$AM$11,$AK$2:$AK$11,"&lt;="&amp;Z597,$AL$2:$AL$11,"&gt;="&amp;Z597)+AB597*AC597*SUMIFS($AM$2:$AM$11,$AK$2:$AK$11,"&lt;="&amp;AB597,$AL$2:$AL$11,"&gt;="&amp;AB597)</f>
        <v/>
      </c>
      <c r="AH597" s="0">
        <f>AG597*(1-40%)</f>
        <v/>
      </c>
      <c r="AI597" s="0">
        <f>AH597*1.2</f>
        <v/>
      </c>
    </row>
    <row r="598">
      <c r="A598" s="26" t="n"/>
      <c r="B598" s="169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>
        <f>AG598</f>
        <v/>
      </c>
      <c r="T598" s="26">
        <f>AI598+Q598+P598</f>
        <v/>
      </c>
      <c r="U598" s="26" t="n"/>
      <c r="V598" s="26" t="n"/>
      <c r="W598" s="169" t="n"/>
      <c r="X598" s="26" t="n"/>
      <c r="Y598" s="26" t="n"/>
      <c r="Z598" s="26" t="n"/>
      <c r="AA598" s="26" t="n"/>
      <c r="AD598" s="0">
        <f>SUM(Y598,AA598,AC598)</f>
        <v/>
      </c>
      <c r="AE598" s="0">
        <f>X598*Y598+Z598*AA598+AB598*AC598</f>
        <v/>
      </c>
      <c r="AF598" s="0">
        <f>TEXTJOIN(", ",TRUE,IF(AND(X598&gt;0,Y598&gt;0),TEXT(X598,"0.00")&amp;"ct x "&amp;Y598,""),IF(AND(Z598&gt;0,AA598&gt;0),TEXT(Z598,"0.00")&amp;"ct x "&amp;AA598,""),IF(AND(AB598&gt;0,AC598&gt;0),TEXT(AB598,"0.00")&amp;"ct x "&amp;AC598,""))</f>
        <v/>
      </c>
      <c r="AG598" s="0">
        <f>X598*Y598*SUMIFS($AM$2:$AM$11,$AK$2:$AK$11,"&lt;="&amp;X598,$AL$2:$AL$11,"&gt;="&amp;X598)+Z598*AA598*SUMIFS($AM$2:$AM$11,$AK$2:$AK$11,"&lt;="&amp;Z598,$AL$2:$AL$11,"&gt;="&amp;Z598)+AB598*AC598*SUMIFS($AM$2:$AM$11,$AK$2:$AK$11,"&lt;="&amp;AB598,$AL$2:$AL$11,"&gt;="&amp;AB598)</f>
        <v/>
      </c>
      <c r="AH598" s="0">
        <f>AG598*(1-40%)</f>
        <v/>
      </c>
      <c r="AI598" s="0">
        <f>AH598*1.2</f>
        <v/>
      </c>
    </row>
    <row r="599">
      <c r="A599" s="26" t="n"/>
      <c r="B599" s="169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>
        <f>AG599</f>
        <v/>
      </c>
      <c r="T599" s="26">
        <f>AI599+Q599+P599</f>
        <v/>
      </c>
      <c r="U599" s="26" t="n"/>
      <c r="V599" s="26" t="n"/>
      <c r="W599" s="169" t="n"/>
      <c r="X599" s="26" t="n"/>
      <c r="Y599" s="26" t="n"/>
      <c r="Z599" s="26" t="n"/>
      <c r="AA599" s="26" t="n"/>
      <c r="AD599" s="0">
        <f>SUM(Y599,AA599,AC599)</f>
        <v/>
      </c>
      <c r="AE599" s="0">
        <f>X599*Y599+Z599*AA599+AB599*AC599</f>
        <v/>
      </c>
      <c r="AF599" s="0">
        <f>TEXTJOIN(", ",TRUE,IF(AND(X599&gt;0,Y599&gt;0),TEXT(X599,"0.00")&amp;"ct x "&amp;Y599,""),IF(AND(Z599&gt;0,AA599&gt;0),TEXT(Z599,"0.00")&amp;"ct x "&amp;AA599,""),IF(AND(AB599&gt;0,AC599&gt;0),TEXT(AB599,"0.00")&amp;"ct x "&amp;AC599,""))</f>
        <v/>
      </c>
      <c r="AG599" s="0">
        <f>X599*Y599*SUMIFS($AM$2:$AM$11,$AK$2:$AK$11,"&lt;="&amp;X599,$AL$2:$AL$11,"&gt;="&amp;X599)+Z599*AA599*SUMIFS($AM$2:$AM$11,$AK$2:$AK$11,"&lt;="&amp;Z599,$AL$2:$AL$11,"&gt;="&amp;Z599)+AB599*AC599*SUMIFS($AM$2:$AM$11,$AK$2:$AK$11,"&lt;="&amp;AB599,$AL$2:$AL$11,"&gt;="&amp;AB599)</f>
        <v/>
      </c>
      <c r="AH599" s="0">
        <f>AG599*(1-40%)</f>
        <v/>
      </c>
      <c r="AI599" s="0">
        <f>AH599*1.2</f>
        <v/>
      </c>
    </row>
    <row r="600">
      <c r="A600" s="26" t="n"/>
      <c r="B600" s="169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>
        <f>AG600</f>
        <v/>
      </c>
      <c r="T600" s="26">
        <f>AI600+Q600+P600</f>
        <v/>
      </c>
      <c r="U600" s="26" t="n"/>
      <c r="V600" s="26" t="n"/>
      <c r="W600" s="169" t="n"/>
      <c r="X600" s="26" t="n"/>
      <c r="Y600" s="26" t="n"/>
      <c r="Z600" s="26" t="n"/>
      <c r="AA600" s="26" t="n"/>
      <c r="AD600" s="0">
        <f>SUM(Y600,AA600,AC600)</f>
        <v/>
      </c>
      <c r="AE600" s="0">
        <f>X600*Y600+Z600*AA600+AB600*AC600</f>
        <v/>
      </c>
      <c r="AF600" s="0">
        <f>TEXTJOIN(", ",TRUE,IF(AND(X600&gt;0,Y600&gt;0),TEXT(X600,"0.00")&amp;"ct x "&amp;Y600,""),IF(AND(Z600&gt;0,AA600&gt;0),TEXT(Z600,"0.00")&amp;"ct x "&amp;AA600,""),IF(AND(AB600&gt;0,AC600&gt;0),TEXT(AB600,"0.00")&amp;"ct x "&amp;AC600,""))</f>
        <v/>
      </c>
      <c r="AG600" s="0">
        <f>X600*Y600*SUMIFS($AM$2:$AM$11,$AK$2:$AK$11,"&lt;="&amp;X600,$AL$2:$AL$11,"&gt;="&amp;X600)+Z600*AA600*SUMIFS($AM$2:$AM$11,$AK$2:$AK$11,"&lt;="&amp;Z600,$AL$2:$AL$11,"&gt;="&amp;Z600)+AB600*AC600*SUMIFS($AM$2:$AM$11,$AK$2:$AK$11,"&lt;="&amp;AB600,$AL$2:$AL$11,"&gt;="&amp;AB600)</f>
        <v/>
      </c>
      <c r="AH600" s="0">
        <f>AG600*(1-40%)</f>
        <v/>
      </c>
      <c r="AI600" s="0">
        <f>AH600*1.2</f>
        <v/>
      </c>
    </row>
    <row r="601">
      <c r="A601" s="26" t="n"/>
      <c r="B601" s="169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>
        <f>AG601</f>
        <v/>
      </c>
      <c r="T601" s="26">
        <f>AI601+Q601+P601</f>
        <v/>
      </c>
      <c r="U601" s="26" t="n"/>
      <c r="V601" s="26" t="n"/>
      <c r="W601" s="169" t="n"/>
      <c r="X601" s="26" t="n"/>
      <c r="Y601" s="26" t="n"/>
      <c r="Z601" s="26" t="n"/>
      <c r="AA601" s="26" t="n"/>
      <c r="AD601" s="0">
        <f>SUM(Y601,AA601,AC601)</f>
        <v/>
      </c>
      <c r="AE601" s="0">
        <f>X601*Y601+Z601*AA601+AB601*AC601</f>
        <v/>
      </c>
      <c r="AF601" s="0">
        <f>TEXTJOIN(", ",TRUE,IF(AND(X601&gt;0,Y601&gt;0),TEXT(X601,"0.00")&amp;"ct x "&amp;Y601,""),IF(AND(Z601&gt;0,AA601&gt;0),TEXT(Z601,"0.00")&amp;"ct x "&amp;AA601,""),IF(AND(AB601&gt;0,AC601&gt;0),TEXT(AB601,"0.00")&amp;"ct x "&amp;AC601,""))</f>
        <v/>
      </c>
      <c r="AG601" s="0">
        <f>X601*Y601*SUMIFS($AM$2:$AM$11,$AK$2:$AK$11,"&lt;="&amp;X601,$AL$2:$AL$11,"&gt;="&amp;X601)+Z601*AA601*SUMIFS($AM$2:$AM$11,$AK$2:$AK$11,"&lt;="&amp;Z601,$AL$2:$AL$11,"&gt;="&amp;Z601)+AB601*AC601*SUMIFS($AM$2:$AM$11,$AK$2:$AK$11,"&lt;="&amp;AB601,$AL$2:$AL$11,"&gt;="&amp;AB601)</f>
        <v/>
      </c>
      <c r="AH601" s="0">
        <f>AG601*(1-40%)</f>
        <v/>
      </c>
      <c r="AI601" s="0">
        <f>AH601*1.2</f>
        <v/>
      </c>
    </row>
    <row r="602">
      <c r="A602" s="26" t="n"/>
      <c r="B602" s="169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>
        <f>AG602</f>
        <v/>
      </c>
      <c r="T602" s="26">
        <f>AI602+Q602+P602</f>
        <v/>
      </c>
      <c r="U602" s="26" t="n"/>
      <c r="V602" s="26" t="n"/>
      <c r="W602" s="169" t="n"/>
      <c r="X602" s="26" t="n"/>
      <c r="Y602" s="26" t="n"/>
      <c r="Z602" s="26" t="n"/>
      <c r="AA602" s="26" t="n"/>
      <c r="AD602" s="0">
        <f>SUM(Y602,AA602,AC602)</f>
        <v/>
      </c>
      <c r="AE602" s="0">
        <f>X602*Y602+Z602*AA602+AB602*AC602</f>
        <v/>
      </c>
      <c r="AF602" s="0">
        <f>TEXTJOIN(", ",TRUE,IF(AND(X602&gt;0,Y602&gt;0),TEXT(X602,"0.00")&amp;"ct x "&amp;Y602,""),IF(AND(Z602&gt;0,AA602&gt;0),TEXT(Z602,"0.00")&amp;"ct x "&amp;AA602,""),IF(AND(AB602&gt;0,AC602&gt;0),TEXT(AB602,"0.00")&amp;"ct x "&amp;AC602,""))</f>
        <v/>
      </c>
      <c r="AG602" s="0">
        <f>X602*Y602*SUMIFS($AM$2:$AM$11,$AK$2:$AK$11,"&lt;="&amp;X602,$AL$2:$AL$11,"&gt;="&amp;X602)+Z602*AA602*SUMIFS($AM$2:$AM$11,$AK$2:$AK$11,"&lt;="&amp;Z602,$AL$2:$AL$11,"&gt;="&amp;Z602)+AB602*AC602*SUMIFS($AM$2:$AM$11,$AK$2:$AK$11,"&lt;="&amp;AB602,$AL$2:$AL$11,"&gt;="&amp;AB602)</f>
        <v/>
      </c>
      <c r="AH602" s="0">
        <f>AG602*(1-40%)</f>
        <v/>
      </c>
      <c r="AI602" s="0">
        <f>AH602*1.2</f>
        <v/>
      </c>
    </row>
    <row r="603">
      <c r="A603" s="26" t="n"/>
      <c r="B603" s="169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>
        <f>AG603</f>
        <v/>
      </c>
      <c r="T603" s="26">
        <f>AI603+Q603+P603</f>
        <v/>
      </c>
      <c r="U603" s="26" t="n"/>
      <c r="V603" s="26" t="n"/>
      <c r="W603" s="169" t="n"/>
      <c r="X603" s="26" t="n"/>
      <c r="Y603" s="26" t="n"/>
      <c r="Z603" s="26" t="n"/>
      <c r="AA603" s="26" t="n"/>
      <c r="AD603" s="0">
        <f>SUM(Y603,AA603,AC603)</f>
        <v/>
      </c>
      <c r="AE603" s="0">
        <f>X603*Y603+Z603*AA603+AB603*AC603</f>
        <v/>
      </c>
      <c r="AF603" s="0">
        <f>TEXTJOIN(", ",TRUE,IF(AND(X603&gt;0,Y603&gt;0),TEXT(X603,"0.00")&amp;"ct x "&amp;Y603,""),IF(AND(Z603&gt;0,AA603&gt;0),TEXT(Z603,"0.00")&amp;"ct x "&amp;AA603,""),IF(AND(AB603&gt;0,AC603&gt;0),TEXT(AB603,"0.00")&amp;"ct x "&amp;AC603,""))</f>
        <v/>
      </c>
      <c r="AG603" s="0">
        <f>X603*Y603*SUMIFS($AM$2:$AM$11,$AK$2:$AK$11,"&lt;="&amp;X603,$AL$2:$AL$11,"&gt;="&amp;X603)+Z603*AA603*SUMIFS($AM$2:$AM$11,$AK$2:$AK$11,"&lt;="&amp;Z603,$AL$2:$AL$11,"&gt;="&amp;Z603)+AB603*AC603*SUMIFS($AM$2:$AM$11,$AK$2:$AK$11,"&lt;="&amp;AB603,$AL$2:$AL$11,"&gt;="&amp;AB603)</f>
        <v/>
      </c>
      <c r="AH603" s="0">
        <f>AG603*(1-40%)</f>
        <v/>
      </c>
      <c r="AI603" s="0">
        <f>AH603*1.2</f>
        <v/>
      </c>
    </row>
    <row r="604">
      <c r="A604" s="26" t="n"/>
      <c r="B604" s="169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>
        <f>AG604</f>
        <v/>
      </c>
      <c r="T604" s="26">
        <f>AI604+Q604+P604</f>
        <v/>
      </c>
      <c r="U604" s="26" t="n"/>
      <c r="V604" s="26" t="n"/>
      <c r="W604" s="169" t="n"/>
      <c r="X604" s="26" t="n"/>
      <c r="Y604" s="26" t="n"/>
      <c r="Z604" s="26" t="n"/>
      <c r="AA604" s="26" t="n"/>
      <c r="AD604" s="0">
        <f>SUM(Y604,AA604,AC604)</f>
        <v/>
      </c>
      <c r="AE604" s="0">
        <f>X604*Y604+Z604*AA604+AB604*AC604</f>
        <v/>
      </c>
      <c r="AF604" s="0">
        <f>TEXTJOIN(", ",TRUE,IF(AND(X604&gt;0,Y604&gt;0),TEXT(X604,"0.00")&amp;"ct x "&amp;Y604,""),IF(AND(Z604&gt;0,AA604&gt;0),TEXT(Z604,"0.00")&amp;"ct x "&amp;AA604,""),IF(AND(AB604&gt;0,AC604&gt;0),TEXT(AB604,"0.00")&amp;"ct x "&amp;AC604,""))</f>
        <v/>
      </c>
      <c r="AG604" s="0">
        <f>X604*Y604*SUMIFS($AM$2:$AM$11,$AK$2:$AK$11,"&lt;="&amp;X604,$AL$2:$AL$11,"&gt;="&amp;X604)+Z604*AA604*SUMIFS($AM$2:$AM$11,$AK$2:$AK$11,"&lt;="&amp;Z604,$AL$2:$AL$11,"&gt;="&amp;Z604)+AB604*AC604*SUMIFS($AM$2:$AM$11,$AK$2:$AK$11,"&lt;="&amp;AB604,$AL$2:$AL$11,"&gt;="&amp;AB604)</f>
        <v/>
      </c>
      <c r="AH604" s="0">
        <f>AG604*(1-40%)</f>
        <v/>
      </c>
      <c r="AI604" s="0">
        <f>AH604*1.2</f>
        <v/>
      </c>
    </row>
    <row r="605">
      <c r="A605" s="26" t="n"/>
      <c r="B605" s="169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>
        <f>AG605</f>
        <v/>
      </c>
      <c r="T605" s="26">
        <f>AI605+Q605+P605</f>
        <v/>
      </c>
      <c r="U605" s="26" t="n"/>
      <c r="V605" s="26" t="n"/>
      <c r="W605" s="169" t="n"/>
      <c r="X605" s="26" t="n"/>
      <c r="Y605" s="26" t="n"/>
      <c r="Z605" s="26" t="n"/>
      <c r="AA605" s="26" t="n"/>
      <c r="AD605" s="0">
        <f>SUM(Y605,AA605,AC605)</f>
        <v/>
      </c>
      <c r="AE605" s="0">
        <f>X605*Y605+Z605*AA605+AB605*AC605</f>
        <v/>
      </c>
      <c r="AF605" s="0">
        <f>TEXTJOIN(", ",TRUE,IF(AND(X605&gt;0,Y605&gt;0),TEXT(X605,"0.00")&amp;"ct x "&amp;Y605,""),IF(AND(Z605&gt;0,AA605&gt;0),TEXT(Z605,"0.00")&amp;"ct x "&amp;AA605,""),IF(AND(AB605&gt;0,AC605&gt;0),TEXT(AB605,"0.00")&amp;"ct x "&amp;AC605,""))</f>
        <v/>
      </c>
      <c r="AG605" s="0">
        <f>X605*Y605*SUMIFS($AM$2:$AM$11,$AK$2:$AK$11,"&lt;="&amp;X605,$AL$2:$AL$11,"&gt;="&amp;X605)+Z605*AA605*SUMIFS($AM$2:$AM$11,$AK$2:$AK$11,"&lt;="&amp;Z605,$AL$2:$AL$11,"&gt;="&amp;Z605)+AB605*AC605*SUMIFS($AM$2:$AM$11,$AK$2:$AK$11,"&lt;="&amp;AB605,$AL$2:$AL$11,"&gt;="&amp;AB605)</f>
        <v/>
      </c>
      <c r="AH605" s="0">
        <f>AG605*(1-40%)</f>
        <v/>
      </c>
      <c r="AI605" s="0">
        <f>AH605*1.2</f>
        <v/>
      </c>
    </row>
    <row r="606">
      <c r="A606" s="26" t="n"/>
      <c r="B606" s="169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>
        <f>AG606</f>
        <v/>
      </c>
      <c r="T606" s="26">
        <f>AI606+Q606+P606</f>
        <v/>
      </c>
      <c r="U606" s="26" t="n"/>
      <c r="V606" s="26" t="n"/>
      <c r="W606" s="169" t="n"/>
      <c r="X606" s="26" t="n"/>
      <c r="Y606" s="26" t="n"/>
      <c r="Z606" s="26" t="n"/>
      <c r="AA606" s="26" t="n"/>
      <c r="AD606" s="0">
        <f>SUM(Y606,AA606,AC606)</f>
        <v/>
      </c>
      <c r="AE606" s="0">
        <f>X606*Y606+Z606*AA606+AB606*AC606</f>
        <v/>
      </c>
      <c r="AF606" s="0">
        <f>TEXTJOIN(", ",TRUE,IF(AND(X606&gt;0,Y606&gt;0),TEXT(X606,"0.00")&amp;"ct x "&amp;Y606,""),IF(AND(Z606&gt;0,AA606&gt;0),TEXT(Z606,"0.00")&amp;"ct x "&amp;AA606,""),IF(AND(AB606&gt;0,AC606&gt;0),TEXT(AB606,"0.00")&amp;"ct x "&amp;AC606,""))</f>
        <v/>
      </c>
      <c r="AG606" s="0">
        <f>X606*Y606*SUMIFS($AM$2:$AM$11,$AK$2:$AK$11,"&lt;="&amp;X606,$AL$2:$AL$11,"&gt;="&amp;X606)+Z606*AA606*SUMIFS($AM$2:$AM$11,$AK$2:$AK$11,"&lt;="&amp;Z606,$AL$2:$AL$11,"&gt;="&amp;Z606)+AB606*AC606*SUMIFS($AM$2:$AM$11,$AK$2:$AK$11,"&lt;="&amp;AB606,$AL$2:$AL$11,"&gt;="&amp;AB606)</f>
        <v/>
      </c>
      <c r="AH606" s="0">
        <f>AG606*(1-40%)</f>
        <v/>
      </c>
      <c r="AI606" s="0">
        <f>AH606*1.2</f>
        <v/>
      </c>
    </row>
    <row r="607">
      <c r="A607" s="26" t="n"/>
      <c r="B607" s="169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>
        <f>AG607</f>
        <v/>
      </c>
      <c r="T607" s="26">
        <f>AI607+Q607+P607</f>
        <v/>
      </c>
      <c r="U607" s="26" t="n"/>
      <c r="V607" s="26" t="n"/>
      <c r="W607" s="169" t="n"/>
      <c r="X607" s="26" t="n"/>
      <c r="Y607" s="26" t="n"/>
      <c r="Z607" s="26" t="n"/>
      <c r="AA607" s="26" t="n"/>
      <c r="AD607" s="0">
        <f>SUM(Y607,AA607,AC607)</f>
        <v/>
      </c>
      <c r="AE607" s="0">
        <f>X607*Y607+Z607*AA607+AB607*AC607</f>
        <v/>
      </c>
      <c r="AF607" s="0">
        <f>TEXTJOIN(", ",TRUE,IF(AND(X607&gt;0,Y607&gt;0),TEXT(X607,"0.00")&amp;"ct x "&amp;Y607,""),IF(AND(Z607&gt;0,AA607&gt;0),TEXT(Z607,"0.00")&amp;"ct x "&amp;AA607,""),IF(AND(AB607&gt;0,AC607&gt;0),TEXT(AB607,"0.00")&amp;"ct x "&amp;AC607,""))</f>
        <v/>
      </c>
      <c r="AG607" s="0">
        <f>X607*Y607*SUMIFS($AM$2:$AM$11,$AK$2:$AK$11,"&lt;="&amp;X607,$AL$2:$AL$11,"&gt;="&amp;X607)+Z607*AA607*SUMIFS($AM$2:$AM$11,$AK$2:$AK$11,"&lt;="&amp;Z607,$AL$2:$AL$11,"&gt;="&amp;Z607)+AB607*AC607*SUMIFS($AM$2:$AM$11,$AK$2:$AK$11,"&lt;="&amp;AB607,$AL$2:$AL$11,"&gt;="&amp;AB607)</f>
        <v/>
      </c>
      <c r="AH607" s="0">
        <f>AG607*(1-40%)</f>
        <v/>
      </c>
      <c r="AI607" s="0">
        <f>AH607*1.2</f>
        <v/>
      </c>
    </row>
    <row r="608">
      <c r="A608" s="26" t="n"/>
      <c r="B608" s="169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>
        <f>AG608</f>
        <v/>
      </c>
      <c r="T608" s="26">
        <f>AI608+Q608+P608</f>
        <v/>
      </c>
      <c r="U608" s="26" t="n"/>
      <c r="V608" s="26" t="n"/>
      <c r="W608" s="169" t="n"/>
      <c r="X608" s="26" t="n"/>
      <c r="Y608" s="26" t="n"/>
      <c r="Z608" s="26" t="n"/>
      <c r="AA608" s="26" t="n"/>
      <c r="AD608" s="0">
        <f>SUM(Y608,AA608,AC608)</f>
        <v/>
      </c>
      <c r="AE608" s="0">
        <f>X608*Y608+Z608*AA608+AB608*AC608</f>
        <v/>
      </c>
      <c r="AF608" s="0">
        <f>TEXTJOIN(", ",TRUE,IF(AND(X608&gt;0,Y608&gt;0),TEXT(X608,"0.00")&amp;"ct x "&amp;Y608,""),IF(AND(Z608&gt;0,AA608&gt;0),TEXT(Z608,"0.00")&amp;"ct x "&amp;AA608,""),IF(AND(AB608&gt;0,AC608&gt;0),TEXT(AB608,"0.00")&amp;"ct x "&amp;AC608,""))</f>
        <v/>
      </c>
      <c r="AG608" s="0">
        <f>X608*Y608*SUMIFS($AM$2:$AM$11,$AK$2:$AK$11,"&lt;="&amp;X608,$AL$2:$AL$11,"&gt;="&amp;X608)+Z608*AA608*SUMIFS($AM$2:$AM$11,$AK$2:$AK$11,"&lt;="&amp;Z608,$AL$2:$AL$11,"&gt;="&amp;Z608)+AB608*AC608*SUMIFS($AM$2:$AM$11,$AK$2:$AK$11,"&lt;="&amp;AB608,$AL$2:$AL$11,"&gt;="&amp;AB608)</f>
        <v/>
      </c>
      <c r="AH608" s="0">
        <f>AG608*(1-40%)</f>
        <v/>
      </c>
      <c r="AI608" s="0">
        <f>AH608*1.2</f>
        <v/>
      </c>
    </row>
    <row r="609">
      <c r="A609" s="26" t="n"/>
      <c r="B609" s="169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>
        <f>AG609</f>
        <v/>
      </c>
      <c r="T609" s="26">
        <f>AI609+Q609+P609</f>
        <v/>
      </c>
      <c r="U609" s="26" t="n"/>
      <c r="V609" s="26" t="n"/>
      <c r="W609" s="169" t="n"/>
      <c r="X609" s="26" t="n"/>
      <c r="Y609" s="26" t="n"/>
      <c r="Z609" s="26" t="n"/>
      <c r="AA609" s="26" t="n"/>
      <c r="AD609" s="0">
        <f>SUM(Y609,AA609,AC609)</f>
        <v/>
      </c>
      <c r="AE609" s="0">
        <f>X609*Y609+Z609*AA609+AB609*AC609</f>
        <v/>
      </c>
      <c r="AF609" s="0">
        <f>TEXTJOIN(", ",TRUE,IF(AND(X609&gt;0,Y609&gt;0),TEXT(X609,"0.00")&amp;"ct x "&amp;Y609,""),IF(AND(Z609&gt;0,AA609&gt;0),TEXT(Z609,"0.00")&amp;"ct x "&amp;AA609,""),IF(AND(AB609&gt;0,AC609&gt;0),TEXT(AB609,"0.00")&amp;"ct x "&amp;AC609,""))</f>
        <v/>
      </c>
      <c r="AG609" s="0">
        <f>X609*Y609*SUMIFS($AM$2:$AM$11,$AK$2:$AK$11,"&lt;="&amp;X609,$AL$2:$AL$11,"&gt;="&amp;X609)+Z609*AA609*SUMIFS($AM$2:$AM$11,$AK$2:$AK$11,"&lt;="&amp;Z609,$AL$2:$AL$11,"&gt;="&amp;Z609)+AB609*AC609*SUMIFS($AM$2:$AM$11,$AK$2:$AK$11,"&lt;="&amp;AB609,$AL$2:$AL$11,"&gt;="&amp;AB609)</f>
        <v/>
      </c>
      <c r="AH609" s="0">
        <f>AG609*(1-40%)</f>
        <v/>
      </c>
      <c r="AI609" s="0">
        <f>AH609*1.2</f>
        <v/>
      </c>
    </row>
    <row r="610">
      <c r="A610" s="26" t="n"/>
      <c r="B610" s="169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>
        <f>AG610</f>
        <v/>
      </c>
      <c r="T610" s="26">
        <f>AI610+Q610+P610</f>
        <v/>
      </c>
      <c r="U610" s="26" t="n"/>
      <c r="V610" s="26" t="n"/>
      <c r="W610" s="169" t="n"/>
      <c r="X610" s="26" t="n"/>
      <c r="Y610" s="26" t="n"/>
      <c r="Z610" s="26" t="n"/>
      <c r="AA610" s="26" t="n"/>
      <c r="AD610" s="0">
        <f>SUM(Y610,AA610,AC610)</f>
        <v/>
      </c>
      <c r="AE610" s="0">
        <f>X610*Y610+Z610*AA610+AB610*AC610</f>
        <v/>
      </c>
      <c r="AF610" s="0">
        <f>TEXTJOIN(", ",TRUE,IF(AND(X610&gt;0,Y610&gt;0),TEXT(X610,"0.00")&amp;"ct x "&amp;Y610,""),IF(AND(Z610&gt;0,AA610&gt;0),TEXT(Z610,"0.00")&amp;"ct x "&amp;AA610,""),IF(AND(AB610&gt;0,AC610&gt;0),TEXT(AB610,"0.00")&amp;"ct x "&amp;AC610,""))</f>
        <v/>
      </c>
      <c r="AG610" s="0">
        <f>X610*Y610*SUMIFS($AM$2:$AM$11,$AK$2:$AK$11,"&lt;="&amp;X610,$AL$2:$AL$11,"&gt;="&amp;X610)+Z610*AA610*SUMIFS($AM$2:$AM$11,$AK$2:$AK$11,"&lt;="&amp;Z610,$AL$2:$AL$11,"&gt;="&amp;Z610)+AB610*AC610*SUMIFS($AM$2:$AM$11,$AK$2:$AK$11,"&lt;="&amp;AB610,$AL$2:$AL$11,"&gt;="&amp;AB610)</f>
        <v/>
      </c>
      <c r="AH610" s="0">
        <f>AG610*(1-40%)</f>
        <v/>
      </c>
      <c r="AI610" s="0">
        <f>AH610*1.2</f>
        <v/>
      </c>
    </row>
    <row r="611">
      <c r="A611" s="26" t="n"/>
      <c r="B611" s="169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>
        <f>AG611</f>
        <v/>
      </c>
      <c r="T611" s="26">
        <f>AI611+Q611+P611</f>
        <v/>
      </c>
      <c r="U611" s="26" t="n"/>
      <c r="V611" s="26" t="n"/>
      <c r="W611" s="169" t="n"/>
      <c r="X611" s="26" t="n"/>
      <c r="Y611" s="26" t="n"/>
      <c r="Z611" s="26" t="n"/>
      <c r="AA611" s="26" t="n"/>
      <c r="AD611" s="0">
        <f>SUM(Y611,AA611,AC611)</f>
        <v/>
      </c>
      <c r="AE611" s="0">
        <f>X611*Y611+Z611*AA611+AB611*AC611</f>
        <v/>
      </c>
      <c r="AF611" s="0">
        <f>TEXTJOIN(", ",TRUE,IF(AND(X611&gt;0,Y611&gt;0),TEXT(X611,"0.00")&amp;"ct x "&amp;Y611,""),IF(AND(Z611&gt;0,AA611&gt;0),TEXT(Z611,"0.00")&amp;"ct x "&amp;AA611,""),IF(AND(AB611&gt;0,AC611&gt;0),TEXT(AB611,"0.00")&amp;"ct x "&amp;AC611,""))</f>
        <v/>
      </c>
      <c r="AG611" s="0">
        <f>X611*Y611*SUMIFS($AM$2:$AM$11,$AK$2:$AK$11,"&lt;="&amp;X611,$AL$2:$AL$11,"&gt;="&amp;X611)+Z611*AA611*SUMIFS($AM$2:$AM$11,$AK$2:$AK$11,"&lt;="&amp;Z611,$AL$2:$AL$11,"&gt;="&amp;Z611)+AB611*AC611*SUMIFS($AM$2:$AM$11,$AK$2:$AK$11,"&lt;="&amp;AB611,$AL$2:$AL$11,"&gt;="&amp;AB611)</f>
        <v/>
      </c>
      <c r="AH611" s="0">
        <f>AG611*(1-40%)</f>
        <v/>
      </c>
      <c r="AI611" s="0">
        <f>AH611*1.2</f>
        <v/>
      </c>
    </row>
    <row r="612">
      <c r="A612" s="26" t="n"/>
      <c r="B612" s="169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>
        <f>AG612</f>
        <v/>
      </c>
      <c r="T612" s="26">
        <f>AI612+Q612+P612</f>
        <v/>
      </c>
      <c r="U612" s="26" t="n"/>
      <c r="V612" s="26" t="n"/>
      <c r="W612" s="169" t="n"/>
      <c r="X612" s="26" t="n"/>
      <c r="Y612" s="26" t="n"/>
      <c r="Z612" s="26" t="n"/>
      <c r="AA612" s="26" t="n"/>
      <c r="AD612" s="0">
        <f>SUM(Y612,AA612,AC612)</f>
        <v/>
      </c>
      <c r="AE612" s="0">
        <f>X612*Y612+Z612*AA612+AB612*AC612</f>
        <v/>
      </c>
      <c r="AF612" s="0">
        <f>TEXTJOIN(", ",TRUE,IF(AND(X612&gt;0,Y612&gt;0),TEXT(X612,"0.00")&amp;"ct x "&amp;Y612,""),IF(AND(Z612&gt;0,AA612&gt;0),TEXT(Z612,"0.00")&amp;"ct x "&amp;AA612,""),IF(AND(AB612&gt;0,AC612&gt;0),TEXT(AB612,"0.00")&amp;"ct x "&amp;AC612,""))</f>
        <v/>
      </c>
      <c r="AG612" s="0">
        <f>X612*Y612*SUMIFS($AM$2:$AM$11,$AK$2:$AK$11,"&lt;="&amp;X612,$AL$2:$AL$11,"&gt;="&amp;X612)+Z612*AA612*SUMIFS($AM$2:$AM$11,$AK$2:$AK$11,"&lt;="&amp;Z612,$AL$2:$AL$11,"&gt;="&amp;Z612)+AB612*AC612*SUMIFS($AM$2:$AM$11,$AK$2:$AK$11,"&lt;="&amp;AB612,$AL$2:$AL$11,"&gt;="&amp;AB612)</f>
        <v/>
      </c>
      <c r="AH612" s="0">
        <f>AG612*(1-40%)</f>
        <v/>
      </c>
      <c r="AI612" s="0">
        <f>AH612*1.2</f>
        <v/>
      </c>
    </row>
    <row r="613">
      <c r="A613" s="26" t="n"/>
      <c r="B613" s="169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>
        <f>AG613</f>
        <v/>
      </c>
      <c r="T613" s="26">
        <f>AI613+Q613+P613</f>
        <v/>
      </c>
      <c r="U613" s="26" t="n"/>
      <c r="V613" s="26" t="n"/>
      <c r="W613" s="169" t="n"/>
      <c r="X613" s="26" t="n"/>
      <c r="Y613" s="26" t="n"/>
      <c r="Z613" s="26" t="n"/>
      <c r="AA613" s="26" t="n"/>
      <c r="AD613" s="0">
        <f>SUM(Y613,AA613,AC613)</f>
        <v/>
      </c>
      <c r="AE613" s="0">
        <f>X613*Y613+Z613*AA613+AB613*AC613</f>
        <v/>
      </c>
      <c r="AF613" s="0">
        <f>TEXTJOIN(", ",TRUE,IF(AND(X613&gt;0,Y613&gt;0),TEXT(X613,"0.00")&amp;"ct x "&amp;Y613,""),IF(AND(Z613&gt;0,AA613&gt;0),TEXT(Z613,"0.00")&amp;"ct x "&amp;AA613,""),IF(AND(AB613&gt;0,AC613&gt;0),TEXT(AB613,"0.00")&amp;"ct x "&amp;AC613,""))</f>
        <v/>
      </c>
      <c r="AG613" s="0">
        <f>X613*Y613*SUMIFS($AM$2:$AM$11,$AK$2:$AK$11,"&lt;="&amp;X613,$AL$2:$AL$11,"&gt;="&amp;X613)+Z613*AA613*SUMIFS($AM$2:$AM$11,$AK$2:$AK$11,"&lt;="&amp;Z613,$AL$2:$AL$11,"&gt;="&amp;Z613)+AB613*AC613*SUMIFS($AM$2:$AM$11,$AK$2:$AK$11,"&lt;="&amp;AB613,$AL$2:$AL$11,"&gt;="&amp;AB613)</f>
        <v/>
      </c>
      <c r="AH613" s="0">
        <f>AG613*(1-40%)</f>
        <v/>
      </c>
      <c r="AI613" s="0">
        <f>AH613*1.2</f>
        <v/>
      </c>
    </row>
    <row r="614">
      <c r="A614" s="26" t="n"/>
      <c r="B614" s="169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>
        <f>AG614</f>
        <v/>
      </c>
      <c r="T614" s="26">
        <f>AI614+Q614+P614</f>
        <v/>
      </c>
      <c r="U614" s="26" t="n"/>
      <c r="V614" s="26" t="n"/>
      <c r="W614" s="169" t="n"/>
      <c r="X614" s="26" t="n"/>
      <c r="Y614" s="26" t="n"/>
      <c r="Z614" s="26" t="n"/>
      <c r="AA614" s="26" t="n"/>
      <c r="AD614" s="0">
        <f>SUM(Y614,AA614,AC614)</f>
        <v/>
      </c>
      <c r="AE614" s="0">
        <f>X614*Y614+Z614*AA614+AB614*AC614</f>
        <v/>
      </c>
      <c r="AF614" s="0">
        <f>TEXTJOIN(", ",TRUE,IF(AND(X614&gt;0,Y614&gt;0),TEXT(X614,"0.00")&amp;"ct x "&amp;Y614,""),IF(AND(Z614&gt;0,AA614&gt;0),TEXT(Z614,"0.00")&amp;"ct x "&amp;AA614,""),IF(AND(AB614&gt;0,AC614&gt;0),TEXT(AB614,"0.00")&amp;"ct x "&amp;AC614,""))</f>
        <v/>
      </c>
      <c r="AG614" s="0">
        <f>X614*Y614*SUMIFS($AM$2:$AM$11,$AK$2:$AK$11,"&lt;="&amp;X614,$AL$2:$AL$11,"&gt;="&amp;X614)+Z614*AA614*SUMIFS($AM$2:$AM$11,$AK$2:$AK$11,"&lt;="&amp;Z614,$AL$2:$AL$11,"&gt;="&amp;Z614)+AB614*AC614*SUMIFS($AM$2:$AM$11,$AK$2:$AK$11,"&lt;="&amp;AB614,$AL$2:$AL$11,"&gt;="&amp;AB614)</f>
        <v/>
      </c>
      <c r="AH614" s="0">
        <f>AG614*(1-40%)</f>
        <v/>
      </c>
      <c r="AI614" s="0">
        <f>AH614*1.2</f>
        <v/>
      </c>
    </row>
    <row r="615">
      <c r="A615" s="26" t="n"/>
      <c r="B615" s="169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>
        <f>AG615</f>
        <v/>
      </c>
      <c r="T615" s="26">
        <f>AI615+Q615+P615</f>
        <v/>
      </c>
      <c r="U615" s="26" t="n"/>
      <c r="V615" s="26" t="n"/>
      <c r="W615" s="169" t="n"/>
      <c r="X615" s="26" t="n"/>
      <c r="Y615" s="26" t="n"/>
      <c r="Z615" s="26" t="n"/>
      <c r="AA615" s="26" t="n"/>
      <c r="AD615" s="0">
        <f>SUM(Y615,AA615,AC615)</f>
        <v/>
      </c>
      <c r="AE615" s="0">
        <f>X615*Y615+Z615*AA615+AB615*AC615</f>
        <v/>
      </c>
      <c r="AF615" s="0">
        <f>TEXTJOIN(", ",TRUE,IF(AND(X615&gt;0,Y615&gt;0),TEXT(X615,"0.00")&amp;"ct x "&amp;Y615,""),IF(AND(Z615&gt;0,AA615&gt;0),TEXT(Z615,"0.00")&amp;"ct x "&amp;AA615,""),IF(AND(AB615&gt;0,AC615&gt;0),TEXT(AB615,"0.00")&amp;"ct x "&amp;AC615,""))</f>
        <v/>
      </c>
      <c r="AG615" s="0">
        <f>X615*Y615*SUMIFS($AM$2:$AM$11,$AK$2:$AK$11,"&lt;="&amp;X615,$AL$2:$AL$11,"&gt;="&amp;X615)+Z615*AA615*SUMIFS($AM$2:$AM$11,$AK$2:$AK$11,"&lt;="&amp;Z615,$AL$2:$AL$11,"&gt;="&amp;Z615)+AB615*AC615*SUMIFS($AM$2:$AM$11,$AK$2:$AK$11,"&lt;="&amp;AB615,$AL$2:$AL$11,"&gt;="&amp;AB615)</f>
        <v/>
      </c>
      <c r="AH615" s="0">
        <f>AG615*(1-40%)</f>
        <v/>
      </c>
      <c r="AI615" s="0">
        <f>AH615*1.2</f>
        <v/>
      </c>
    </row>
    <row r="616">
      <c r="A616" s="26" t="n"/>
      <c r="B616" s="169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>
        <f>AG616</f>
        <v/>
      </c>
      <c r="T616" s="26">
        <f>AI616+Q616+P616</f>
        <v/>
      </c>
      <c r="U616" s="26" t="n"/>
      <c r="V616" s="26" t="n"/>
      <c r="W616" s="169" t="n"/>
      <c r="X616" s="26" t="n"/>
      <c r="Y616" s="26" t="n"/>
      <c r="Z616" s="26" t="n"/>
      <c r="AA616" s="26" t="n"/>
      <c r="AD616" s="0">
        <f>SUM(Y616,AA616,AC616)</f>
        <v/>
      </c>
      <c r="AE616" s="0">
        <f>X616*Y616+Z616*AA616+AB616*AC616</f>
        <v/>
      </c>
      <c r="AF616" s="0">
        <f>TEXTJOIN(", ",TRUE,IF(AND(X616&gt;0,Y616&gt;0),TEXT(X616,"0.00")&amp;"ct x "&amp;Y616,""),IF(AND(Z616&gt;0,AA616&gt;0),TEXT(Z616,"0.00")&amp;"ct x "&amp;AA616,""),IF(AND(AB616&gt;0,AC616&gt;0),TEXT(AB616,"0.00")&amp;"ct x "&amp;AC616,""))</f>
        <v/>
      </c>
      <c r="AG616" s="0">
        <f>X616*Y616*SUMIFS($AM$2:$AM$11,$AK$2:$AK$11,"&lt;="&amp;X616,$AL$2:$AL$11,"&gt;="&amp;X616)+Z616*AA616*SUMIFS($AM$2:$AM$11,$AK$2:$AK$11,"&lt;="&amp;Z616,$AL$2:$AL$11,"&gt;="&amp;Z616)+AB616*AC616*SUMIFS($AM$2:$AM$11,$AK$2:$AK$11,"&lt;="&amp;AB616,$AL$2:$AL$11,"&gt;="&amp;AB616)</f>
        <v/>
      </c>
      <c r="AH616" s="0">
        <f>AG616*(1-40%)</f>
        <v/>
      </c>
      <c r="AI616" s="0">
        <f>AH616*1.2</f>
        <v/>
      </c>
    </row>
    <row r="617">
      <c r="A617" s="26" t="n"/>
      <c r="B617" s="169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>
        <f>AG617</f>
        <v/>
      </c>
      <c r="T617" s="26">
        <f>AI617+Q617+P617</f>
        <v/>
      </c>
      <c r="U617" s="26" t="n"/>
      <c r="V617" s="26" t="n"/>
      <c r="W617" s="169" t="n"/>
      <c r="X617" s="26" t="n"/>
      <c r="Y617" s="26" t="n"/>
      <c r="Z617" s="26" t="n"/>
      <c r="AA617" s="26" t="n"/>
      <c r="AD617" s="0">
        <f>SUM(Y617,AA617,AC617)</f>
        <v/>
      </c>
      <c r="AE617" s="0">
        <f>X617*Y617+Z617*AA617+AB617*AC617</f>
        <v/>
      </c>
      <c r="AF617" s="0">
        <f>TEXTJOIN(", ",TRUE,IF(AND(X617&gt;0,Y617&gt;0),TEXT(X617,"0.00")&amp;"ct x "&amp;Y617,""),IF(AND(Z617&gt;0,AA617&gt;0),TEXT(Z617,"0.00")&amp;"ct x "&amp;AA617,""),IF(AND(AB617&gt;0,AC617&gt;0),TEXT(AB617,"0.00")&amp;"ct x "&amp;AC617,""))</f>
        <v/>
      </c>
      <c r="AG617" s="0">
        <f>X617*Y617*SUMIFS($AM$2:$AM$11,$AK$2:$AK$11,"&lt;="&amp;X617,$AL$2:$AL$11,"&gt;="&amp;X617)+Z617*AA617*SUMIFS($AM$2:$AM$11,$AK$2:$AK$11,"&lt;="&amp;Z617,$AL$2:$AL$11,"&gt;="&amp;Z617)+AB617*AC617*SUMIFS($AM$2:$AM$11,$AK$2:$AK$11,"&lt;="&amp;AB617,$AL$2:$AL$11,"&gt;="&amp;AB617)</f>
        <v/>
      </c>
      <c r="AH617" s="0">
        <f>AG617*(1-40%)</f>
        <v/>
      </c>
      <c r="AI617" s="0">
        <f>AH617*1.2</f>
        <v/>
      </c>
    </row>
    <row r="618">
      <c r="A618" s="26" t="n"/>
      <c r="B618" s="169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>
        <f>AG618</f>
        <v/>
      </c>
      <c r="T618" s="26">
        <f>AI618+Q618+P618</f>
        <v/>
      </c>
      <c r="U618" s="26" t="n"/>
      <c r="V618" s="26" t="n"/>
      <c r="W618" s="169" t="n"/>
      <c r="X618" s="26" t="n"/>
      <c r="Y618" s="26" t="n"/>
      <c r="Z618" s="26" t="n"/>
      <c r="AA618" s="26" t="n"/>
      <c r="AD618" s="0">
        <f>SUM(Y618,AA618,AC618)</f>
        <v/>
      </c>
      <c r="AE618" s="0">
        <f>X618*Y618+Z618*AA618+AB618*AC618</f>
        <v/>
      </c>
      <c r="AF618" s="0">
        <f>TEXTJOIN(", ",TRUE,IF(AND(X618&gt;0,Y618&gt;0),TEXT(X618,"0.00")&amp;"ct x "&amp;Y618,""),IF(AND(Z618&gt;0,AA618&gt;0),TEXT(Z618,"0.00")&amp;"ct x "&amp;AA618,""),IF(AND(AB618&gt;0,AC618&gt;0),TEXT(AB618,"0.00")&amp;"ct x "&amp;AC618,""))</f>
        <v/>
      </c>
      <c r="AG618" s="0">
        <f>X618*Y618*SUMIFS($AM$2:$AM$11,$AK$2:$AK$11,"&lt;="&amp;X618,$AL$2:$AL$11,"&gt;="&amp;X618)+Z618*AA618*SUMIFS($AM$2:$AM$11,$AK$2:$AK$11,"&lt;="&amp;Z618,$AL$2:$AL$11,"&gt;="&amp;Z618)+AB618*AC618*SUMIFS($AM$2:$AM$11,$AK$2:$AK$11,"&lt;="&amp;AB618,$AL$2:$AL$11,"&gt;="&amp;AB618)</f>
        <v/>
      </c>
      <c r="AH618" s="0">
        <f>AG618*(1-40%)</f>
        <v/>
      </c>
      <c r="AI618" s="0">
        <f>AH618*1.2</f>
        <v/>
      </c>
    </row>
    <row r="619">
      <c r="A619" s="26" t="n"/>
      <c r="B619" s="169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>
        <f>AG619</f>
        <v/>
      </c>
      <c r="T619" s="26">
        <f>AI619+Q619+P619</f>
        <v/>
      </c>
      <c r="U619" s="26" t="n"/>
      <c r="V619" s="26" t="n"/>
      <c r="W619" s="169" t="n"/>
      <c r="X619" s="26" t="n"/>
      <c r="Y619" s="26" t="n"/>
      <c r="Z619" s="26" t="n"/>
      <c r="AA619" s="26" t="n"/>
      <c r="AD619" s="0">
        <f>SUM(Y619,AA619,AC619)</f>
        <v/>
      </c>
      <c r="AE619" s="0">
        <f>X619*Y619+Z619*AA619+AB619*AC619</f>
        <v/>
      </c>
      <c r="AF619" s="0">
        <f>TEXTJOIN(", ",TRUE,IF(AND(X619&gt;0,Y619&gt;0),TEXT(X619,"0.00")&amp;"ct x "&amp;Y619,""),IF(AND(Z619&gt;0,AA619&gt;0),TEXT(Z619,"0.00")&amp;"ct x "&amp;AA619,""),IF(AND(AB619&gt;0,AC619&gt;0),TEXT(AB619,"0.00")&amp;"ct x "&amp;AC619,""))</f>
        <v/>
      </c>
      <c r="AG619" s="0">
        <f>X619*Y619*SUMIFS($AM$2:$AM$11,$AK$2:$AK$11,"&lt;="&amp;X619,$AL$2:$AL$11,"&gt;="&amp;X619)+Z619*AA619*SUMIFS($AM$2:$AM$11,$AK$2:$AK$11,"&lt;="&amp;Z619,$AL$2:$AL$11,"&gt;="&amp;Z619)+AB619*AC619*SUMIFS($AM$2:$AM$11,$AK$2:$AK$11,"&lt;="&amp;AB619,$AL$2:$AL$11,"&gt;="&amp;AB619)</f>
        <v/>
      </c>
      <c r="AH619" s="0">
        <f>AG619*(1-40%)</f>
        <v/>
      </c>
      <c r="AI619" s="0">
        <f>AH619*1.2</f>
        <v/>
      </c>
    </row>
    <row r="620">
      <c r="A620" s="26" t="n"/>
      <c r="B620" s="169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>
        <f>AG620</f>
        <v/>
      </c>
      <c r="T620" s="26">
        <f>AI620+Q620+P620</f>
        <v/>
      </c>
      <c r="U620" s="26" t="n"/>
      <c r="V620" s="26" t="n"/>
      <c r="W620" s="169" t="n"/>
      <c r="X620" s="26" t="n"/>
      <c r="Y620" s="26" t="n"/>
      <c r="Z620" s="26" t="n"/>
      <c r="AA620" s="26" t="n"/>
      <c r="AD620" s="0">
        <f>SUM(Y620,AA620,AC620)</f>
        <v/>
      </c>
      <c r="AE620" s="0">
        <f>X620*Y620+Z620*AA620+AB620*AC620</f>
        <v/>
      </c>
      <c r="AF620" s="0">
        <f>TEXTJOIN(", ",TRUE,IF(AND(X620&gt;0,Y620&gt;0),TEXT(X620,"0.00")&amp;"ct x "&amp;Y620,""),IF(AND(Z620&gt;0,AA620&gt;0),TEXT(Z620,"0.00")&amp;"ct x "&amp;AA620,""),IF(AND(AB620&gt;0,AC620&gt;0),TEXT(AB620,"0.00")&amp;"ct x "&amp;AC620,""))</f>
        <v/>
      </c>
      <c r="AG620" s="0">
        <f>X620*Y620*SUMIFS($AM$2:$AM$11,$AK$2:$AK$11,"&lt;="&amp;X620,$AL$2:$AL$11,"&gt;="&amp;X620)+Z620*AA620*SUMIFS($AM$2:$AM$11,$AK$2:$AK$11,"&lt;="&amp;Z620,$AL$2:$AL$11,"&gt;="&amp;Z620)+AB620*AC620*SUMIFS($AM$2:$AM$11,$AK$2:$AK$11,"&lt;="&amp;AB620,$AL$2:$AL$11,"&gt;="&amp;AB620)</f>
        <v/>
      </c>
      <c r="AH620" s="0">
        <f>AG620*(1-40%)</f>
        <v/>
      </c>
      <c r="AI620" s="0">
        <f>AH620*1.2</f>
        <v/>
      </c>
    </row>
    <row r="621">
      <c r="A621" s="26" t="n"/>
      <c r="B621" s="169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>
        <f>AG621</f>
        <v/>
      </c>
      <c r="T621" s="26">
        <f>AI621+Q621+P621</f>
        <v/>
      </c>
      <c r="U621" s="26" t="n"/>
      <c r="V621" s="26" t="n"/>
      <c r="W621" s="169" t="n"/>
      <c r="X621" s="26" t="n"/>
      <c r="Y621" s="26" t="n"/>
      <c r="Z621" s="26" t="n"/>
      <c r="AA621" s="26" t="n"/>
      <c r="AD621" s="0">
        <f>SUM(Y621,AA621,AC621)</f>
        <v/>
      </c>
      <c r="AE621" s="0">
        <f>X621*Y621+Z621*AA621+AB621*AC621</f>
        <v/>
      </c>
      <c r="AF621" s="0">
        <f>TEXTJOIN(", ",TRUE,IF(AND(X621&gt;0,Y621&gt;0),TEXT(X621,"0.00")&amp;"ct x "&amp;Y621,""),IF(AND(Z621&gt;0,AA621&gt;0),TEXT(Z621,"0.00")&amp;"ct x "&amp;AA621,""),IF(AND(AB621&gt;0,AC621&gt;0),TEXT(AB621,"0.00")&amp;"ct x "&amp;AC621,""))</f>
        <v/>
      </c>
      <c r="AG621" s="0">
        <f>X621*Y621*SUMIFS($AM$2:$AM$11,$AK$2:$AK$11,"&lt;="&amp;X621,$AL$2:$AL$11,"&gt;="&amp;X621)+Z621*AA621*SUMIFS($AM$2:$AM$11,$AK$2:$AK$11,"&lt;="&amp;Z621,$AL$2:$AL$11,"&gt;="&amp;Z621)+AB621*AC621*SUMIFS($AM$2:$AM$11,$AK$2:$AK$11,"&lt;="&amp;AB621,$AL$2:$AL$11,"&gt;="&amp;AB621)</f>
        <v/>
      </c>
      <c r="AH621" s="0">
        <f>AG621*(1-40%)</f>
        <v/>
      </c>
      <c r="AI621" s="0">
        <f>AH621*1.2</f>
        <v/>
      </c>
    </row>
    <row r="622">
      <c r="A622" s="26" t="n"/>
      <c r="B622" s="169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>
        <f>AG622</f>
        <v/>
      </c>
      <c r="T622" s="26">
        <f>AI622+Q622+P622</f>
        <v/>
      </c>
      <c r="U622" s="26" t="n"/>
      <c r="V622" s="26" t="n"/>
      <c r="W622" s="169" t="n"/>
      <c r="X622" s="26" t="n"/>
      <c r="Y622" s="26" t="n"/>
      <c r="Z622" s="26" t="n"/>
      <c r="AA622" s="26" t="n"/>
      <c r="AD622" s="0">
        <f>SUM(Y622,AA622,AC622)</f>
        <v/>
      </c>
      <c r="AE622" s="0">
        <f>X622*Y622+Z622*AA622+AB622*AC622</f>
        <v/>
      </c>
      <c r="AF622" s="0">
        <f>TEXTJOIN(", ",TRUE,IF(AND(X622&gt;0,Y622&gt;0),TEXT(X622,"0.00")&amp;"ct x "&amp;Y622,""),IF(AND(Z622&gt;0,AA622&gt;0),TEXT(Z622,"0.00")&amp;"ct x "&amp;AA622,""),IF(AND(AB622&gt;0,AC622&gt;0),TEXT(AB622,"0.00")&amp;"ct x "&amp;AC622,""))</f>
        <v/>
      </c>
      <c r="AG622" s="0">
        <f>X622*Y622*SUMIFS($AM$2:$AM$11,$AK$2:$AK$11,"&lt;="&amp;X622,$AL$2:$AL$11,"&gt;="&amp;X622)+Z622*AA622*SUMIFS($AM$2:$AM$11,$AK$2:$AK$11,"&lt;="&amp;Z622,$AL$2:$AL$11,"&gt;="&amp;Z622)+AB622*AC622*SUMIFS($AM$2:$AM$11,$AK$2:$AK$11,"&lt;="&amp;AB622,$AL$2:$AL$11,"&gt;="&amp;AB622)</f>
        <v/>
      </c>
      <c r="AH622" s="0">
        <f>AG622*(1-40%)</f>
        <v/>
      </c>
      <c r="AI622" s="0">
        <f>AH622*1.2</f>
        <v/>
      </c>
    </row>
    <row r="623">
      <c r="A623" s="26" t="n"/>
      <c r="B623" s="169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>
        <f>AG623</f>
        <v/>
      </c>
      <c r="T623" s="26">
        <f>AI623+Q623+P623</f>
        <v/>
      </c>
      <c r="U623" s="26" t="n"/>
      <c r="V623" s="26" t="n"/>
      <c r="W623" s="169" t="n"/>
      <c r="X623" s="26" t="n"/>
      <c r="Y623" s="26" t="n"/>
      <c r="Z623" s="26" t="n"/>
      <c r="AA623" s="26" t="n"/>
      <c r="AD623" s="0">
        <f>SUM(Y623,AA623,AC623)</f>
        <v/>
      </c>
      <c r="AE623" s="0">
        <f>X623*Y623+Z623*AA623+AB623*AC623</f>
        <v/>
      </c>
      <c r="AF623" s="0">
        <f>TEXTJOIN(", ",TRUE,IF(AND(X623&gt;0,Y623&gt;0),TEXT(X623,"0.00")&amp;"ct x "&amp;Y623,""),IF(AND(Z623&gt;0,AA623&gt;0),TEXT(Z623,"0.00")&amp;"ct x "&amp;AA623,""),IF(AND(AB623&gt;0,AC623&gt;0),TEXT(AB623,"0.00")&amp;"ct x "&amp;AC623,""))</f>
        <v/>
      </c>
      <c r="AG623" s="0">
        <f>X623*Y623*SUMIFS($AM$2:$AM$11,$AK$2:$AK$11,"&lt;="&amp;X623,$AL$2:$AL$11,"&gt;="&amp;X623)+Z623*AA623*SUMIFS($AM$2:$AM$11,$AK$2:$AK$11,"&lt;="&amp;Z623,$AL$2:$AL$11,"&gt;="&amp;Z623)+AB623*AC623*SUMIFS($AM$2:$AM$11,$AK$2:$AK$11,"&lt;="&amp;AB623,$AL$2:$AL$11,"&gt;="&amp;AB623)</f>
        <v/>
      </c>
      <c r="AH623" s="0">
        <f>AG623*(1-40%)</f>
        <v/>
      </c>
      <c r="AI623" s="0">
        <f>AH623*1.2</f>
        <v/>
      </c>
    </row>
    <row r="624">
      <c r="A624" s="26" t="n"/>
      <c r="B624" s="169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>
        <f>AG624</f>
        <v/>
      </c>
      <c r="T624" s="26">
        <f>AI624+Q624+P624</f>
        <v/>
      </c>
      <c r="U624" s="26" t="n"/>
      <c r="V624" s="26" t="n"/>
      <c r="W624" s="169" t="n"/>
      <c r="X624" s="26" t="n"/>
      <c r="Y624" s="26" t="n"/>
      <c r="Z624" s="26" t="n"/>
      <c r="AA624" s="26" t="n"/>
      <c r="AD624" s="0">
        <f>SUM(Y624,AA624,AC624)</f>
        <v/>
      </c>
      <c r="AE624" s="0">
        <f>X624*Y624+Z624*AA624+AB624*AC624</f>
        <v/>
      </c>
      <c r="AF624" s="0">
        <f>TEXTJOIN(", ",TRUE,IF(AND(X624&gt;0,Y624&gt;0),TEXT(X624,"0.00")&amp;"ct x "&amp;Y624,""),IF(AND(Z624&gt;0,AA624&gt;0),TEXT(Z624,"0.00")&amp;"ct x "&amp;AA624,""),IF(AND(AB624&gt;0,AC624&gt;0),TEXT(AB624,"0.00")&amp;"ct x "&amp;AC624,""))</f>
        <v/>
      </c>
      <c r="AG624" s="0">
        <f>X624*Y624*SUMIFS($AM$2:$AM$11,$AK$2:$AK$11,"&lt;="&amp;X624,$AL$2:$AL$11,"&gt;="&amp;X624)+Z624*AA624*SUMIFS($AM$2:$AM$11,$AK$2:$AK$11,"&lt;="&amp;Z624,$AL$2:$AL$11,"&gt;="&amp;Z624)+AB624*AC624*SUMIFS($AM$2:$AM$11,$AK$2:$AK$11,"&lt;="&amp;AB624,$AL$2:$AL$11,"&gt;="&amp;AB624)</f>
        <v/>
      </c>
      <c r="AH624" s="0">
        <f>AG624*(1-40%)</f>
        <v/>
      </c>
      <c r="AI624" s="0">
        <f>AH624*1.2</f>
        <v/>
      </c>
    </row>
    <row r="625">
      <c r="A625" s="26" t="n"/>
      <c r="B625" s="169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>
        <f>AG625</f>
        <v/>
      </c>
      <c r="T625" s="26">
        <f>AI625+Q625+P625</f>
        <v/>
      </c>
      <c r="U625" s="26" t="n"/>
      <c r="V625" s="26" t="n"/>
      <c r="W625" s="169" t="n"/>
      <c r="X625" s="26" t="n"/>
      <c r="Y625" s="26" t="n"/>
      <c r="Z625" s="26" t="n"/>
      <c r="AA625" s="26" t="n"/>
      <c r="AD625" s="0">
        <f>SUM(Y625,AA625,AC625)</f>
        <v/>
      </c>
      <c r="AE625" s="0">
        <f>X625*Y625+Z625*AA625+AB625*AC625</f>
        <v/>
      </c>
      <c r="AF625" s="0">
        <f>TEXTJOIN(", ",TRUE,IF(AND(X625&gt;0,Y625&gt;0),TEXT(X625,"0.00")&amp;"ct x "&amp;Y625,""),IF(AND(Z625&gt;0,AA625&gt;0),TEXT(Z625,"0.00")&amp;"ct x "&amp;AA625,""),IF(AND(AB625&gt;0,AC625&gt;0),TEXT(AB625,"0.00")&amp;"ct x "&amp;AC625,""))</f>
        <v/>
      </c>
      <c r="AG625" s="0">
        <f>X625*Y625*SUMIFS($AM$2:$AM$11,$AK$2:$AK$11,"&lt;="&amp;X625,$AL$2:$AL$11,"&gt;="&amp;X625)+Z625*AA625*SUMIFS($AM$2:$AM$11,$AK$2:$AK$11,"&lt;="&amp;Z625,$AL$2:$AL$11,"&gt;="&amp;Z625)+AB625*AC625*SUMIFS($AM$2:$AM$11,$AK$2:$AK$11,"&lt;="&amp;AB625,$AL$2:$AL$11,"&gt;="&amp;AB625)</f>
        <v/>
      </c>
      <c r="AH625" s="0">
        <f>AG625*(1-40%)</f>
        <v/>
      </c>
      <c r="AI625" s="0">
        <f>AH625*1.2</f>
        <v/>
      </c>
    </row>
    <row r="626">
      <c r="A626" s="26" t="n"/>
      <c r="B626" s="169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>
        <f>AG626</f>
        <v/>
      </c>
      <c r="T626" s="26">
        <f>AI626+Q626+P626</f>
        <v/>
      </c>
      <c r="U626" s="26" t="n"/>
      <c r="V626" s="26" t="n"/>
      <c r="W626" s="169" t="n"/>
      <c r="X626" s="26" t="n"/>
      <c r="Y626" s="26" t="n"/>
      <c r="Z626" s="26" t="n"/>
      <c r="AA626" s="26" t="n"/>
      <c r="AD626" s="0">
        <f>SUM(Y626,AA626,AC626)</f>
        <v/>
      </c>
      <c r="AE626" s="0">
        <f>X626*Y626+Z626*AA626+AB626*AC626</f>
        <v/>
      </c>
      <c r="AF626" s="0">
        <f>TEXTJOIN(", ",TRUE,IF(AND(X626&gt;0,Y626&gt;0),TEXT(X626,"0.00")&amp;"ct x "&amp;Y626,""),IF(AND(Z626&gt;0,AA626&gt;0),TEXT(Z626,"0.00")&amp;"ct x "&amp;AA626,""),IF(AND(AB626&gt;0,AC626&gt;0),TEXT(AB626,"0.00")&amp;"ct x "&amp;AC626,""))</f>
        <v/>
      </c>
      <c r="AG626" s="0">
        <f>X626*Y626*SUMIFS($AM$2:$AM$11,$AK$2:$AK$11,"&lt;="&amp;X626,$AL$2:$AL$11,"&gt;="&amp;X626)+Z626*AA626*SUMIFS($AM$2:$AM$11,$AK$2:$AK$11,"&lt;="&amp;Z626,$AL$2:$AL$11,"&gt;="&amp;Z626)+AB626*AC626*SUMIFS($AM$2:$AM$11,$AK$2:$AK$11,"&lt;="&amp;AB626,$AL$2:$AL$11,"&gt;="&amp;AB626)</f>
        <v/>
      </c>
      <c r="AH626" s="0">
        <f>AG626*(1-40%)</f>
        <v/>
      </c>
      <c r="AI626" s="0">
        <f>AH626*1.2</f>
        <v/>
      </c>
    </row>
    <row r="627">
      <c r="A627" s="26" t="n"/>
      <c r="B627" s="169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>
        <f>AG627</f>
        <v/>
      </c>
      <c r="T627" s="26">
        <f>AI627+Q627+P627</f>
        <v/>
      </c>
      <c r="U627" s="26" t="n"/>
      <c r="V627" s="26" t="n"/>
      <c r="W627" s="169" t="n"/>
      <c r="X627" s="26" t="n"/>
      <c r="Y627" s="26" t="n"/>
      <c r="Z627" s="26" t="n"/>
      <c r="AA627" s="26" t="n"/>
      <c r="AD627" s="0">
        <f>SUM(Y627,AA627,AC627)</f>
        <v/>
      </c>
      <c r="AE627" s="0">
        <f>X627*Y627+Z627*AA627+AB627*AC627</f>
        <v/>
      </c>
      <c r="AF627" s="0">
        <f>TEXTJOIN(", ",TRUE,IF(AND(X627&gt;0,Y627&gt;0),TEXT(X627,"0.00")&amp;"ct x "&amp;Y627,""),IF(AND(Z627&gt;0,AA627&gt;0),TEXT(Z627,"0.00")&amp;"ct x "&amp;AA627,""),IF(AND(AB627&gt;0,AC627&gt;0),TEXT(AB627,"0.00")&amp;"ct x "&amp;AC627,""))</f>
        <v/>
      </c>
      <c r="AG627" s="0">
        <f>X627*Y627*SUMIFS($AM$2:$AM$11,$AK$2:$AK$11,"&lt;="&amp;X627,$AL$2:$AL$11,"&gt;="&amp;X627)+Z627*AA627*SUMIFS($AM$2:$AM$11,$AK$2:$AK$11,"&lt;="&amp;Z627,$AL$2:$AL$11,"&gt;="&amp;Z627)+AB627*AC627*SUMIFS($AM$2:$AM$11,$AK$2:$AK$11,"&lt;="&amp;AB627,$AL$2:$AL$11,"&gt;="&amp;AB627)</f>
        <v/>
      </c>
      <c r="AH627" s="0">
        <f>AG627*(1-40%)</f>
        <v/>
      </c>
      <c r="AI627" s="0">
        <f>AH627*1.2</f>
        <v/>
      </c>
    </row>
    <row r="628">
      <c r="A628" s="26" t="n"/>
      <c r="B628" s="169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>
        <f>AG628</f>
        <v/>
      </c>
      <c r="T628" s="26">
        <f>AI628+Q628+P628</f>
        <v/>
      </c>
      <c r="U628" s="26" t="n"/>
      <c r="V628" s="26" t="n"/>
      <c r="W628" s="169" t="n"/>
      <c r="X628" s="26" t="n"/>
      <c r="Y628" s="26" t="n"/>
      <c r="Z628" s="26" t="n"/>
      <c r="AA628" s="26" t="n"/>
      <c r="AD628" s="0">
        <f>SUM(Y628,AA628,AC628)</f>
        <v/>
      </c>
      <c r="AE628" s="0">
        <f>X628*Y628+Z628*AA628+AB628*AC628</f>
        <v/>
      </c>
      <c r="AF628" s="0">
        <f>TEXTJOIN(", ",TRUE,IF(AND(X628&gt;0,Y628&gt;0),TEXT(X628,"0.00")&amp;"ct x "&amp;Y628,""),IF(AND(Z628&gt;0,AA628&gt;0),TEXT(Z628,"0.00")&amp;"ct x "&amp;AA628,""),IF(AND(AB628&gt;0,AC628&gt;0),TEXT(AB628,"0.00")&amp;"ct x "&amp;AC628,""))</f>
        <v/>
      </c>
      <c r="AG628" s="0">
        <f>X628*Y628*SUMIFS($AM$2:$AM$11,$AK$2:$AK$11,"&lt;="&amp;X628,$AL$2:$AL$11,"&gt;="&amp;X628)+Z628*AA628*SUMIFS($AM$2:$AM$11,$AK$2:$AK$11,"&lt;="&amp;Z628,$AL$2:$AL$11,"&gt;="&amp;Z628)+AB628*AC628*SUMIFS($AM$2:$AM$11,$AK$2:$AK$11,"&lt;="&amp;AB628,$AL$2:$AL$11,"&gt;="&amp;AB628)</f>
        <v/>
      </c>
      <c r="AH628" s="0">
        <f>AG628*(1-40%)</f>
        <v/>
      </c>
      <c r="AI628" s="0">
        <f>AH628*1.2</f>
        <v/>
      </c>
    </row>
    <row r="629">
      <c r="A629" s="26" t="n"/>
      <c r="B629" s="169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>
        <f>AG629</f>
        <v/>
      </c>
      <c r="T629" s="26">
        <f>AI629+Q629+P629</f>
        <v/>
      </c>
      <c r="U629" s="26" t="n"/>
      <c r="V629" s="26" t="n"/>
      <c r="W629" s="169" t="n"/>
      <c r="X629" s="26" t="n"/>
      <c r="Y629" s="26" t="n"/>
      <c r="Z629" s="26" t="n"/>
      <c r="AA629" s="26" t="n"/>
      <c r="AD629" s="0">
        <f>SUM(Y629,AA629,AC629)</f>
        <v/>
      </c>
      <c r="AE629" s="0">
        <f>X629*Y629+Z629*AA629+AB629*AC629</f>
        <v/>
      </c>
      <c r="AF629" s="0">
        <f>TEXTJOIN(", ",TRUE,IF(AND(X629&gt;0,Y629&gt;0),TEXT(X629,"0.00")&amp;"ct x "&amp;Y629,""),IF(AND(Z629&gt;0,AA629&gt;0),TEXT(Z629,"0.00")&amp;"ct x "&amp;AA629,""),IF(AND(AB629&gt;0,AC629&gt;0),TEXT(AB629,"0.00")&amp;"ct x "&amp;AC629,""))</f>
        <v/>
      </c>
      <c r="AG629" s="0">
        <f>X629*Y629*SUMIFS($AM$2:$AM$11,$AK$2:$AK$11,"&lt;="&amp;X629,$AL$2:$AL$11,"&gt;="&amp;X629)+Z629*AA629*SUMIFS($AM$2:$AM$11,$AK$2:$AK$11,"&lt;="&amp;Z629,$AL$2:$AL$11,"&gt;="&amp;Z629)+AB629*AC629*SUMIFS($AM$2:$AM$11,$AK$2:$AK$11,"&lt;="&amp;AB629,$AL$2:$AL$11,"&gt;="&amp;AB629)</f>
        <v/>
      </c>
      <c r="AH629" s="0">
        <f>AG629*(1-40%)</f>
        <v/>
      </c>
      <c r="AI629" s="0">
        <f>AH629*1.2</f>
        <v/>
      </c>
    </row>
    <row r="630">
      <c r="A630" s="26" t="n"/>
      <c r="B630" s="169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>
        <f>AG630</f>
        <v/>
      </c>
      <c r="T630" s="26">
        <f>AI630+Q630+P630</f>
        <v/>
      </c>
      <c r="U630" s="26" t="n"/>
      <c r="V630" s="26" t="n"/>
      <c r="W630" s="169" t="n"/>
      <c r="X630" s="26" t="n"/>
      <c r="Y630" s="26" t="n"/>
      <c r="Z630" s="26" t="n"/>
      <c r="AA630" s="26" t="n"/>
      <c r="AD630" s="0">
        <f>SUM(Y630,AA630,AC630)</f>
        <v/>
      </c>
      <c r="AE630" s="0">
        <f>X630*Y630+Z630*AA630+AB630*AC630</f>
        <v/>
      </c>
      <c r="AF630" s="0">
        <f>TEXTJOIN(", ",TRUE,IF(AND(X630&gt;0,Y630&gt;0),TEXT(X630,"0.00")&amp;"ct x "&amp;Y630,""),IF(AND(Z630&gt;0,AA630&gt;0),TEXT(Z630,"0.00")&amp;"ct x "&amp;AA630,""),IF(AND(AB630&gt;0,AC630&gt;0),TEXT(AB630,"0.00")&amp;"ct x "&amp;AC630,""))</f>
        <v/>
      </c>
      <c r="AG630" s="0">
        <f>X630*Y630*SUMIFS($AM$2:$AM$11,$AK$2:$AK$11,"&lt;="&amp;X630,$AL$2:$AL$11,"&gt;="&amp;X630)+Z630*AA630*SUMIFS($AM$2:$AM$11,$AK$2:$AK$11,"&lt;="&amp;Z630,$AL$2:$AL$11,"&gt;="&amp;Z630)+AB630*AC630*SUMIFS($AM$2:$AM$11,$AK$2:$AK$11,"&lt;="&amp;AB630,$AL$2:$AL$11,"&gt;="&amp;AB630)</f>
        <v/>
      </c>
      <c r="AH630" s="0">
        <f>AG630*(1-40%)</f>
        <v/>
      </c>
      <c r="AI630" s="0">
        <f>AH630*1.2</f>
        <v/>
      </c>
    </row>
    <row r="631">
      <c r="A631" s="26" t="n"/>
      <c r="B631" s="169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>
        <f>AG631</f>
        <v/>
      </c>
      <c r="T631" s="26">
        <f>AI631+Q631+P631</f>
        <v/>
      </c>
      <c r="U631" s="26" t="n"/>
      <c r="V631" s="26" t="n"/>
      <c r="W631" s="169" t="n"/>
      <c r="X631" s="26" t="n"/>
      <c r="Y631" s="26" t="n"/>
      <c r="Z631" s="26" t="n"/>
      <c r="AA631" s="26" t="n"/>
      <c r="AD631" s="0">
        <f>SUM(Y631,AA631,AC631)</f>
        <v/>
      </c>
      <c r="AE631" s="0">
        <f>X631*Y631+Z631*AA631+AB631*AC631</f>
        <v/>
      </c>
      <c r="AF631" s="0">
        <f>TEXTJOIN(", ",TRUE,IF(AND(X631&gt;0,Y631&gt;0),TEXT(X631,"0.00")&amp;"ct x "&amp;Y631,""),IF(AND(Z631&gt;0,AA631&gt;0),TEXT(Z631,"0.00")&amp;"ct x "&amp;AA631,""),IF(AND(AB631&gt;0,AC631&gt;0),TEXT(AB631,"0.00")&amp;"ct x "&amp;AC631,""))</f>
        <v/>
      </c>
      <c r="AG631" s="0">
        <f>X631*Y631*SUMIFS($AM$2:$AM$11,$AK$2:$AK$11,"&lt;="&amp;X631,$AL$2:$AL$11,"&gt;="&amp;X631)+Z631*AA631*SUMIFS($AM$2:$AM$11,$AK$2:$AK$11,"&lt;="&amp;Z631,$AL$2:$AL$11,"&gt;="&amp;Z631)+AB631*AC631*SUMIFS($AM$2:$AM$11,$AK$2:$AK$11,"&lt;="&amp;AB631,$AL$2:$AL$11,"&gt;="&amp;AB631)</f>
        <v/>
      </c>
      <c r="AH631" s="0">
        <f>AG631*(1-40%)</f>
        <v/>
      </c>
      <c r="AI631" s="0">
        <f>AH631*1.2</f>
        <v/>
      </c>
    </row>
    <row r="632">
      <c r="A632" s="26" t="n"/>
      <c r="B632" s="169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>
        <f>AG632</f>
        <v/>
      </c>
      <c r="T632" s="26">
        <f>AI632+Q632+P632</f>
        <v/>
      </c>
      <c r="U632" s="26" t="n"/>
      <c r="V632" s="26" t="n"/>
      <c r="W632" s="169" t="n"/>
      <c r="X632" s="26" t="n"/>
      <c r="Y632" s="26" t="n"/>
      <c r="Z632" s="26" t="n"/>
      <c r="AA632" s="26" t="n"/>
      <c r="AD632" s="0">
        <f>SUM(Y632,AA632,AC632)</f>
        <v/>
      </c>
      <c r="AE632" s="0">
        <f>X632*Y632+Z632*AA632+AB632*AC632</f>
        <v/>
      </c>
      <c r="AF632" s="0">
        <f>TEXTJOIN(", ",TRUE,IF(AND(X632&gt;0,Y632&gt;0),TEXT(X632,"0.00")&amp;"ct x "&amp;Y632,""),IF(AND(Z632&gt;0,AA632&gt;0),TEXT(Z632,"0.00")&amp;"ct x "&amp;AA632,""),IF(AND(AB632&gt;0,AC632&gt;0),TEXT(AB632,"0.00")&amp;"ct x "&amp;AC632,""))</f>
        <v/>
      </c>
      <c r="AG632" s="0">
        <f>X632*Y632*SUMIFS($AM$2:$AM$11,$AK$2:$AK$11,"&lt;="&amp;X632,$AL$2:$AL$11,"&gt;="&amp;X632)+Z632*AA632*SUMIFS($AM$2:$AM$11,$AK$2:$AK$11,"&lt;="&amp;Z632,$AL$2:$AL$11,"&gt;="&amp;Z632)+AB632*AC632*SUMIFS($AM$2:$AM$11,$AK$2:$AK$11,"&lt;="&amp;AB632,$AL$2:$AL$11,"&gt;="&amp;AB632)</f>
        <v/>
      </c>
      <c r="AH632" s="0">
        <f>AG632*(1-40%)</f>
        <v/>
      </c>
      <c r="AI632" s="0">
        <f>AH632*1.2</f>
        <v/>
      </c>
    </row>
    <row r="633">
      <c r="A633" s="26" t="n"/>
      <c r="B633" s="169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>
        <f>AG633</f>
        <v/>
      </c>
      <c r="T633" s="26">
        <f>AI633+Q633+P633</f>
        <v/>
      </c>
      <c r="U633" s="26" t="n"/>
      <c r="V633" s="26" t="n"/>
      <c r="W633" s="169" t="n"/>
      <c r="X633" s="26" t="n"/>
      <c r="Y633" s="26" t="n"/>
      <c r="Z633" s="26" t="n"/>
      <c r="AA633" s="26" t="n"/>
      <c r="AD633" s="0">
        <f>SUM(Y633,AA633,AC633)</f>
        <v/>
      </c>
      <c r="AE633" s="0">
        <f>X633*Y633+Z633*AA633+AB633*AC633</f>
        <v/>
      </c>
      <c r="AF633" s="0">
        <f>TEXTJOIN(", ",TRUE,IF(AND(X633&gt;0,Y633&gt;0),TEXT(X633,"0.00")&amp;"ct x "&amp;Y633,""),IF(AND(Z633&gt;0,AA633&gt;0),TEXT(Z633,"0.00")&amp;"ct x "&amp;AA633,""),IF(AND(AB633&gt;0,AC633&gt;0),TEXT(AB633,"0.00")&amp;"ct x "&amp;AC633,""))</f>
        <v/>
      </c>
      <c r="AG633" s="0">
        <f>X633*Y633*SUMIFS($AM$2:$AM$11,$AK$2:$AK$11,"&lt;="&amp;X633,$AL$2:$AL$11,"&gt;="&amp;X633)+Z633*AA633*SUMIFS($AM$2:$AM$11,$AK$2:$AK$11,"&lt;="&amp;Z633,$AL$2:$AL$11,"&gt;="&amp;Z633)+AB633*AC633*SUMIFS($AM$2:$AM$11,$AK$2:$AK$11,"&lt;="&amp;AB633,$AL$2:$AL$11,"&gt;="&amp;AB633)</f>
        <v/>
      </c>
      <c r="AH633" s="0">
        <f>AG633*(1-40%)</f>
        <v/>
      </c>
      <c r="AI633" s="0">
        <f>AH633*1.2</f>
        <v/>
      </c>
    </row>
    <row r="634">
      <c r="A634" s="26" t="n"/>
      <c r="B634" s="169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>
        <f>AG634</f>
        <v/>
      </c>
      <c r="T634" s="26">
        <f>AI634+Q634+P634</f>
        <v/>
      </c>
      <c r="U634" s="26" t="n"/>
      <c r="V634" s="26" t="n"/>
      <c r="W634" s="169" t="n"/>
      <c r="X634" s="26" t="n"/>
      <c r="Y634" s="26" t="n"/>
      <c r="Z634" s="26" t="n"/>
      <c r="AA634" s="26" t="n"/>
      <c r="AD634" s="0">
        <f>SUM(Y634,AA634,AC634)</f>
        <v/>
      </c>
      <c r="AE634" s="0">
        <f>X634*Y634+Z634*AA634+AB634*AC634</f>
        <v/>
      </c>
      <c r="AF634" s="0">
        <f>TEXTJOIN(", ",TRUE,IF(AND(X634&gt;0,Y634&gt;0),TEXT(X634,"0.00")&amp;"ct x "&amp;Y634,""),IF(AND(Z634&gt;0,AA634&gt;0),TEXT(Z634,"0.00")&amp;"ct x "&amp;AA634,""),IF(AND(AB634&gt;0,AC634&gt;0),TEXT(AB634,"0.00")&amp;"ct x "&amp;AC634,""))</f>
        <v/>
      </c>
      <c r="AG634" s="0">
        <f>X634*Y634*SUMIFS($AM$2:$AM$11,$AK$2:$AK$11,"&lt;="&amp;X634,$AL$2:$AL$11,"&gt;="&amp;X634)+Z634*AA634*SUMIFS($AM$2:$AM$11,$AK$2:$AK$11,"&lt;="&amp;Z634,$AL$2:$AL$11,"&gt;="&amp;Z634)+AB634*AC634*SUMIFS($AM$2:$AM$11,$AK$2:$AK$11,"&lt;="&amp;AB634,$AL$2:$AL$11,"&gt;="&amp;AB634)</f>
        <v/>
      </c>
      <c r="AH634" s="0">
        <f>AG634*(1-40%)</f>
        <v/>
      </c>
      <c r="AI634" s="0">
        <f>AH634*1.2</f>
        <v/>
      </c>
    </row>
    <row r="635">
      <c r="A635" s="26" t="n"/>
      <c r="B635" s="169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>
        <f>AG635</f>
        <v/>
      </c>
      <c r="T635" s="26">
        <f>AI635+Q635+P635</f>
        <v/>
      </c>
      <c r="U635" s="26" t="n"/>
      <c r="V635" s="26" t="n"/>
      <c r="W635" s="169" t="n"/>
      <c r="X635" s="26" t="n"/>
      <c r="Y635" s="26" t="n"/>
      <c r="Z635" s="26" t="n"/>
      <c r="AA635" s="26" t="n"/>
      <c r="AD635" s="0">
        <f>SUM(Y635,AA635,AC635)</f>
        <v/>
      </c>
      <c r="AE635" s="0">
        <f>X635*Y635+Z635*AA635+AB635*AC635</f>
        <v/>
      </c>
      <c r="AF635" s="0">
        <f>TEXTJOIN(", ",TRUE,IF(AND(X635&gt;0,Y635&gt;0),TEXT(X635,"0.00")&amp;"ct x "&amp;Y635,""),IF(AND(Z635&gt;0,AA635&gt;0),TEXT(Z635,"0.00")&amp;"ct x "&amp;AA635,""),IF(AND(AB635&gt;0,AC635&gt;0),TEXT(AB635,"0.00")&amp;"ct x "&amp;AC635,""))</f>
        <v/>
      </c>
      <c r="AG635" s="0">
        <f>X635*Y635*SUMIFS($AM$2:$AM$11,$AK$2:$AK$11,"&lt;="&amp;X635,$AL$2:$AL$11,"&gt;="&amp;X635)+Z635*AA635*SUMIFS($AM$2:$AM$11,$AK$2:$AK$11,"&lt;="&amp;Z635,$AL$2:$AL$11,"&gt;="&amp;Z635)+AB635*AC635*SUMIFS($AM$2:$AM$11,$AK$2:$AK$11,"&lt;="&amp;AB635,$AL$2:$AL$11,"&gt;="&amp;AB635)</f>
        <v/>
      </c>
      <c r="AH635" s="0">
        <f>AG635*(1-40%)</f>
        <v/>
      </c>
      <c r="AI635" s="0">
        <f>AH635*1.2</f>
        <v/>
      </c>
    </row>
    <row r="636">
      <c r="A636" s="26" t="n"/>
      <c r="B636" s="169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>
        <f>AG636</f>
        <v/>
      </c>
      <c r="T636" s="26">
        <f>AI636+Q636+P636</f>
        <v/>
      </c>
      <c r="U636" s="26" t="n"/>
      <c r="V636" s="26" t="n"/>
      <c r="W636" s="169" t="n"/>
      <c r="X636" s="26" t="n"/>
      <c r="Y636" s="26" t="n"/>
      <c r="Z636" s="26" t="n"/>
      <c r="AA636" s="26" t="n"/>
      <c r="AD636" s="0">
        <f>SUM(Y636,AA636,AC636)</f>
        <v/>
      </c>
      <c r="AE636" s="0">
        <f>X636*Y636+Z636*AA636+AB636*AC636</f>
        <v/>
      </c>
      <c r="AF636" s="0">
        <f>TEXTJOIN(", ",TRUE,IF(AND(X636&gt;0,Y636&gt;0),TEXT(X636,"0.00")&amp;"ct x "&amp;Y636,""),IF(AND(Z636&gt;0,AA636&gt;0),TEXT(Z636,"0.00")&amp;"ct x "&amp;AA636,""),IF(AND(AB636&gt;0,AC636&gt;0),TEXT(AB636,"0.00")&amp;"ct x "&amp;AC636,""))</f>
        <v/>
      </c>
      <c r="AG636" s="0">
        <f>X636*Y636*SUMIFS($AM$2:$AM$11,$AK$2:$AK$11,"&lt;="&amp;X636,$AL$2:$AL$11,"&gt;="&amp;X636)+Z636*AA636*SUMIFS($AM$2:$AM$11,$AK$2:$AK$11,"&lt;="&amp;Z636,$AL$2:$AL$11,"&gt;="&amp;Z636)+AB636*AC636*SUMIFS($AM$2:$AM$11,$AK$2:$AK$11,"&lt;="&amp;AB636,$AL$2:$AL$11,"&gt;="&amp;AB636)</f>
        <v/>
      </c>
      <c r="AH636" s="0">
        <f>AG636*(1-40%)</f>
        <v/>
      </c>
      <c r="AI636" s="0">
        <f>AH636*1.2</f>
        <v/>
      </c>
    </row>
    <row r="637">
      <c r="A637" s="26" t="n"/>
      <c r="B637" s="169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>
        <f>AG637</f>
        <v/>
      </c>
      <c r="T637" s="26">
        <f>AI637+Q637+P637</f>
        <v/>
      </c>
      <c r="U637" s="26" t="n"/>
      <c r="V637" s="26" t="n"/>
      <c r="W637" s="169" t="n"/>
      <c r="X637" s="26" t="n"/>
      <c r="Y637" s="26" t="n"/>
      <c r="Z637" s="26" t="n"/>
      <c r="AA637" s="26" t="n"/>
      <c r="AD637" s="0">
        <f>SUM(Y637,AA637,AC637)</f>
        <v/>
      </c>
      <c r="AE637" s="0">
        <f>X637*Y637+Z637*AA637+AB637*AC637</f>
        <v/>
      </c>
      <c r="AF637" s="0">
        <f>TEXTJOIN(", ",TRUE,IF(AND(X637&gt;0,Y637&gt;0),TEXT(X637,"0.00")&amp;"ct x "&amp;Y637,""),IF(AND(Z637&gt;0,AA637&gt;0),TEXT(Z637,"0.00")&amp;"ct x "&amp;AA637,""),IF(AND(AB637&gt;0,AC637&gt;0),TEXT(AB637,"0.00")&amp;"ct x "&amp;AC637,""))</f>
        <v/>
      </c>
      <c r="AG637" s="0">
        <f>X637*Y637*SUMIFS($AM$2:$AM$11,$AK$2:$AK$11,"&lt;="&amp;X637,$AL$2:$AL$11,"&gt;="&amp;X637)+Z637*AA637*SUMIFS($AM$2:$AM$11,$AK$2:$AK$11,"&lt;="&amp;Z637,$AL$2:$AL$11,"&gt;="&amp;Z637)+AB637*AC637*SUMIFS($AM$2:$AM$11,$AK$2:$AK$11,"&lt;="&amp;AB637,$AL$2:$AL$11,"&gt;="&amp;AB637)</f>
        <v/>
      </c>
      <c r="AH637" s="0">
        <f>AG637*(1-40%)</f>
        <v/>
      </c>
      <c r="AI637" s="0">
        <f>AH637*1.2</f>
        <v/>
      </c>
    </row>
    <row r="638">
      <c r="A638" s="26" t="n"/>
      <c r="B638" s="169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>
        <f>AG638</f>
        <v/>
      </c>
      <c r="T638" s="26">
        <f>AI638+Q638+P638</f>
        <v/>
      </c>
      <c r="U638" s="26" t="n"/>
      <c r="V638" s="26" t="n"/>
      <c r="W638" s="169" t="n"/>
      <c r="X638" s="26" t="n"/>
      <c r="Y638" s="26" t="n"/>
      <c r="Z638" s="26" t="n"/>
      <c r="AA638" s="26" t="n"/>
      <c r="AD638" s="0">
        <f>SUM(Y638,AA638,AC638)</f>
        <v/>
      </c>
      <c r="AE638" s="0">
        <f>X638*Y638+Z638*AA638+AB638*AC638</f>
        <v/>
      </c>
      <c r="AF638" s="0">
        <f>TEXTJOIN(", ",TRUE,IF(AND(X638&gt;0,Y638&gt;0),TEXT(X638,"0.00")&amp;"ct x "&amp;Y638,""),IF(AND(Z638&gt;0,AA638&gt;0),TEXT(Z638,"0.00")&amp;"ct x "&amp;AA638,""),IF(AND(AB638&gt;0,AC638&gt;0),TEXT(AB638,"0.00")&amp;"ct x "&amp;AC638,""))</f>
        <v/>
      </c>
      <c r="AG638" s="0">
        <f>X638*Y638*SUMIFS($AM$2:$AM$11,$AK$2:$AK$11,"&lt;="&amp;X638,$AL$2:$AL$11,"&gt;="&amp;X638)+Z638*AA638*SUMIFS($AM$2:$AM$11,$AK$2:$AK$11,"&lt;="&amp;Z638,$AL$2:$AL$11,"&gt;="&amp;Z638)+AB638*AC638*SUMIFS($AM$2:$AM$11,$AK$2:$AK$11,"&lt;="&amp;AB638,$AL$2:$AL$11,"&gt;="&amp;AB638)</f>
        <v/>
      </c>
      <c r="AH638" s="0">
        <f>AG638*(1-40%)</f>
        <v/>
      </c>
      <c r="AI638" s="0">
        <f>AH638*1.2</f>
        <v/>
      </c>
    </row>
    <row r="639">
      <c r="A639" s="26" t="n"/>
      <c r="B639" s="169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>
        <f>AG639</f>
        <v/>
      </c>
      <c r="T639" s="26">
        <f>AI639+Q639+P639</f>
        <v/>
      </c>
      <c r="U639" s="26" t="n"/>
      <c r="V639" s="26" t="n"/>
      <c r="W639" s="169" t="n"/>
      <c r="X639" s="26" t="n"/>
      <c r="Y639" s="26" t="n"/>
      <c r="Z639" s="26" t="n"/>
      <c r="AA639" s="26" t="n"/>
      <c r="AD639" s="0">
        <f>SUM(Y639,AA639,AC639)</f>
        <v/>
      </c>
      <c r="AE639" s="0">
        <f>X639*Y639+Z639*AA639+AB639*AC639</f>
        <v/>
      </c>
      <c r="AF639" s="0">
        <f>TEXTJOIN(", ",TRUE,IF(AND(X639&gt;0,Y639&gt;0),TEXT(X639,"0.00")&amp;"ct x "&amp;Y639,""),IF(AND(Z639&gt;0,AA639&gt;0),TEXT(Z639,"0.00")&amp;"ct x "&amp;AA639,""),IF(AND(AB639&gt;0,AC639&gt;0),TEXT(AB639,"0.00")&amp;"ct x "&amp;AC639,""))</f>
        <v/>
      </c>
      <c r="AG639" s="0">
        <f>X639*Y639*SUMIFS($AM$2:$AM$11,$AK$2:$AK$11,"&lt;="&amp;X639,$AL$2:$AL$11,"&gt;="&amp;X639)+Z639*AA639*SUMIFS($AM$2:$AM$11,$AK$2:$AK$11,"&lt;="&amp;Z639,$AL$2:$AL$11,"&gt;="&amp;Z639)+AB639*AC639*SUMIFS($AM$2:$AM$11,$AK$2:$AK$11,"&lt;="&amp;AB639,$AL$2:$AL$11,"&gt;="&amp;AB639)</f>
        <v/>
      </c>
      <c r="AH639" s="0">
        <f>AG639*(1-40%)</f>
        <v/>
      </c>
      <c r="AI639" s="0">
        <f>AH639*1.2</f>
        <v/>
      </c>
    </row>
    <row r="640">
      <c r="A640" s="26" t="n"/>
      <c r="B640" s="169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>
        <f>AG640</f>
        <v/>
      </c>
      <c r="T640" s="26">
        <f>AI640+Q640+P640</f>
        <v/>
      </c>
      <c r="U640" s="26" t="n"/>
      <c r="V640" s="26" t="n"/>
      <c r="W640" s="169" t="n"/>
      <c r="X640" s="26" t="n"/>
      <c r="Y640" s="26" t="n"/>
      <c r="Z640" s="26" t="n"/>
      <c r="AA640" s="26" t="n"/>
      <c r="AD640" s="0">
        <f>SUM(Y640,AA640,AC640)</f>
        <v/>
      </c>
      <c r="AE640" s="0">
        <f>X640*Y640+Z640*AA640+AB640*AC640</f>
        <v/>
      </c>
      <c r="AF640" s="0">
        <f>TEXTJOIN(", ",TRUE,IF(AND(X640&gt;0,Y640&gt;0),TEXT(X640,"0.00")&amp;"ct x "&amp;Y640,""),IF(AND(Z640&gt;0,AA640&gt;0),TEXT(Z640,"0.00")&amp;"ct x "&amp;AA640,""),IF(AND(AB640&gt;0,AC640&gt;0),TEXT(AB640,"0.00")&amp;"ct x "&amp;AC640,""))</f>
        <v/>
      </c>
      <c r="AG640" s="0">
        <f>X640*Y640*SUMIFS($AM$2:$AM$11,$AK$2:$AK$11,"&lt;="&amp;X640,$AL$2:$AL$11,"&gt;="&amp;X640)+Z640*AA640*SUMIFS($AM$2:$AM$11,$AK$2:$AK$11,"&lt;="&amp;Z640,$AL$2:$AL$11,"&gt;="&amp;Z640)+AB640*AC640*SUMIFS($AM$2:$AM$11,$AK$2:$AK$11,"&lt;="&amp;AB640,$AL$2:$AL$11,"&gt;="&amp;AB640)</f>
        <v/>
      </c>
      <c r="AH640" s="0">
        <f>AG640*(1-40%)</f>
        <v/>
      </c>
      <c r="AI640" s="0">
        <f>AH640*1.2</f>
        <v/>
      </c>
    </row>
    <row r="641">
      <c r="A641" s="26" t="n"/>
      <c r="B641" s="169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>
        <f>AG641</f>
        <v/>
      </c>
      <c r="T641" s="26">
        <f>AI641+Q641+P641</f>
        <v/>
      </c>
      <c r="U641" s="26" t="n"/>
      <c r="V641" s="26" t="n"/>
      <c r="W641" s="169" t="n"/>
      <c r="X641" s="26" t="n"/>
      <c r="Y641" s="26" t="n"/>
      <c r="Z641" s="26" t="n"/>
      <c r="AA641" s="26" t="n"/>
      <c r="AD641" s="0">
        <f>SUM(Y641,AA641,AC641)</f>
        <v/>
      </c>
      <c r="AE641" s="0">
        <f>X641*Y641+Z641*AA641+AB641*AC641</f>
        <v/>
      </c>
      <c r="AF641" s="0">
        <f>TEXTJOIN(", ",TRUE,IF(AND(X641&gt;0,Y641&gt;0),TEXT(X641,"0.00")&amp;"ct x "&amp;Y641,""),IF(AND(Z641&gt;0,AA641&gt;0),TEXT(Z641,"0.00")&amp;"ct x "&amp;AA641,""),IF(AND(AB641&gt;0,AC641&gt;0),TEXT(AB641,"0.00")&amp;"ct x "&amp;AC641,""))</f>
        <v/>
      </c>
      <c r="AG641" s="0">
        <f>X641*Y641*SUMIFS($AM$2:$AM$11,$AK$2:$AK$11,"&lt;="&amp;X641,$AL$2:$AL$11,"&gt;="&amp;X641)+Z641*AA641*SUMIFS($AM$2:$AM$11,$AK$2:$AK$11,"&lt;="&amp;Z641,$AL$2:$AL$11,"&gt;="&amp;Z641)+AB641*AC641*SUMIFS($AM$2:$AM$11,$AK$2:$AK$11,"&lt;="&amp;AB641,$AL$2:$AL$11,"&gt;="&amp;AB641)</f>
        <v/>
      </c>
      <c r="AH641" s="0">
        <f>AG641*(1-40%)</f>
        <v/>
      </c>
      <c r="AI641" s="0">
        <f>AH641*1.2</f>
        <v/>
      </c>
    </row>
    <row r="642">
      <c r="A642" s="26" t="n"/>
      <c r="B642" s="169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>
        <f>AG642</f>
        <v/>
      </c>
      <c r="T642" s="26">
        <f>AI642+Q642+P642</f>
        <v/>
      </c>
      <c r="U642" s="26" t="n"/>
      <c r="V642" s="26" t="n"/>
      <c r="W642" s="169" t="n"/>
      <c r="X642" s="26" t="n"/>
      <c r="Y642" s="26" t="n"/>
      <c r="Z642" s="26" t="n"/>
      <c r="AA642" s="26" t="n"/>
      <c r="AD642" s="0">
        <f>SUM(Y642,AA642,AC642)</f>
        <v/>
      </c>
      <c r="AE642" s="0">
        <f>X642*Y642+Z642*AA642+AB642*AC642</f>
        <v/>
      </c>
      <c r="AF642" s="0">
        <f>TEXTJOIN(", ",TRUE,IF(AND(X642&gt;0,Y642&gt;0),TEXT(X642,"0.00")&amp;"ct x "&amp;Y642,""),IF(AND(Z642&gt;0,AA642&gt;0),TEXT(Z642,"0.00")&amp;"ct x "&amp;AA642,""),IF(AND(AB642&gt;0,AC642&gt;0),TEXT(AB642,"0.00")&amp;"ct x "&amp;AC642,""))</f>
        <v/>
      </c>
      <c r="AG642" s="0">
        <f>X642*Y642*SUMIFS($AM$2:$AM$11,$AK$2:$AK$11,"&lt;="&amp;X642,$AL$2:$AL$11,"&gt;="&amp;X642)+Z642*AA642*SUMIFS($AM$2:$AM$11,$AK$2:$AK$11,"&lt;="&amp;Z642,$AL$2:$AL$11,"&gt;="&amp;Z642)+AB642*AC642*SUMIFS($AM$2:$AM$11,$AK$2:$AK$11,"&lt;="&amp;AB642,$AL$2:$AL$11,"&gt;="&amp;AB642)</f>
        <v/>
      </c>
      <c r="AH642" s="0">
        <f>AG642*(1-40%)</f>
        <v/>
      </c>
      <c r="AI642" s="0">
        <f>AH642*1.2</f>
        <v/>
      </c>
    </row>
    <row r="643">
      <c r="A643" s="26" t="n"/>
      <c r="B643" s="169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>
        <f>AG643</f>
        <v/>
      </c>
      <c r="T643" s="26">
        <f>AI643+Q643+P643</f>
        <v/>
      </c>
      <c r="U643" s="26" t="n"/>
      <c r="V643" s="26" t="n"/>
      <c r="W643" s="169" t="n"/>
      <c r="X643" s="26" t="n"/>
      <c r="Y643" s="26" t="n"/>
      <c r="Z643" s="26" t="n"/>
      <c r="AA643" s="26" t="n"/>
      <c r="AD643" s="0">
        <f>SUM(Y643,AA643,AC643)</f>
        <v/>
      </c>
      <c r="AE643" s="0">
        <f>X643*Y643+Z643*AA643+AB643*AC643</f>
        <v/>
      </c>
      <c r="AF643" s="0">
        <f>TEXTJOIN(", ",TRUE,IF(AND(X643&gt;0,Y643&gt;0),TEXT(X643,"0.00")&amp;"ct x "&amp;Y643,""),IF(AND(Z643&gt;0,AA643&gt;0),TEXT(Z643,"0.00")&amp;"ct x "&amp;AA643,""),IF(AND(AB643&gt;0,AC643&gt;0),TEXT(AB643,"0.00")&amp;"ct x "&amp;AC643,""))</f>
        <v/>
      </c>
      <c r="AG643" s="0">
        <f>X643*Y643*SUMIFS($AM$2:$AM$11,$AK$2:$AK$11,"&lt;="&amp;X643,$AL$2:$AL$11,"&gt;="&amp;X643)+Z643*AA643*SUMIFS($AM$2:$AM$11,$AK$2:$AK$11,"&lt;="&amp;Z643,$AL$2:$AL$11,"&gt;="&amp;Z643)+AB643*AC643*SUMIFS($AM$2:$AM$11,$AK$2:$AK$11,"&lt;="&amp;AB643,$AL$2:$AL$11,"&gt;="&amp;AB643)</f>
        <v/>
      </c>
      <c r="AH643" s="0">
        <f>AG643*(1-40%)</f>
        <v/>
      </c>
      <c r="AI643" s="0">
        <f>AH643*1.2</f>
        <v/>
      </c>
    </row>
    <row r="644">
      <c r="A644" s="26" t="n"/>
      <c r="B644" s="169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>
        <f>AG644</f>
        <v/>
      </c>
      <c r="T644" s="26">
        <f>AI644+Q644+P644</f>
        <v/>
      </c>
      <c r="U644" s="26" t="n"/>
      <c r="V644" s="26" t="n"/>
      <c r="W644" s="169" t="n"/>
      <c r="X644" s="26" t="n"/>
      <c r="Y644" s="26" t="n"/>
      <c r="Z644" s="26" t="n"/>
      <c r="AA644" s="26" t="n"/>
      <c r="AD644" s="0">
        <f>SUM(Y644,AA644,AC644)</f>
        <v/>
      </c>
      <c r="AE644" s="0">
        <f>X644*Y644+Z644*AA644+AB644*AC644</f>
        <v/>
      </c>
      <c r="AF644" s="0">
        <f>TEXTJOIN(", ",TRUE,IF(AND(X644&gt;0,Y644&gt;0),TEXT(X644,"0.00")&amp;"ct x "&amp;Y644,""),IF(AND(Z644&gt;0,AA644&gt;0),TEXT(Z644,"0.00")&amp;"ct x "&amp;AA644,""),IF(AND(AB644&gt;0,AC644&gt;0),TEXT(AB644,"0.00")&amp;"ct x "&amp;AC644,""))</f>
        <v/>
      </c>
      <c r="AG644" s="0">
        <f>X644*Y644*SUMIFS($AM$2:$AM$11,$AK$2:$AK$11,"&lt;="&amp;X644,$AL$2:$AL$11,"&gt;="&amp;X644)+Z644*AA644*SUMIFS($AM$2:$AM$11,$AK$2:$AK$11,"&lt;="&amp;Z644,$AL$2:$AL$11,"&gt;="&amp;Z644)+AB644*AC644*SUMIFS($AM$2:$AM$11,$AK$2:$AK$11,"&lt;="&amp;AB644,$AL$2:$AL$11,"&gt;="&amp;AB644)</f>
        <v/>
      </c>
      <c r="AH644" s="0">
        <f>AG644*(1-40%)</f>
        <v/>
      </c>
      <c r="AI644" s="0">
        <f>AH644*1.2</f>
        <v/>
      </c>
    </row>
    <row r="645">
      <c r="A645" s="26" t="n"/>
      <c r="B645" s="169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>
        <f>AG645</f>
        <v/>
      </c>
      <c r="T645" s="26">
        <f>AI645+Q645+P645</f>
        <v/>
      </c>
      <c r="U645" s="26" t="n"/>
      <c r="V645" s="26" t="n"/>
      <c r="W645" s="169" t="n"/>
      <c r="X645" s="26" t="n"/>
      <c r="Y645" s="26" t="n"/>
      <c r="Z645" s="26" t="n"/>
      <c r="AA645" s="26" t="n"/>
      <c r="AD645" s="0">
        <f>SUM(Y645,AA645,AC645)</f>
        <v/>
      </c>
      <c r="AE645" s="0">
        <f>X645*Y645+Z645*AA645+AB645*AC645</f>
        <v/>
      </c>
      <c r="AF645" s="0">
        <f>TEXTJOIN(", ",TRUE,IF(AND(X645&gt;0,Y645&gt;0),TEXT(X645,"0.00")&amp;"ct x "&amp;Y645,""),IF(AND(Z645&gt;0,AA645&gt;0),TEXT(Z645,"0.00")&amp;"ct x "&amp;AA645,""),IF(AND(AB645&gt;0,AC645&gt;0),TEXT(AB645,"0.00")&amp;"ct x "&amp;AC645,""))</f>
        <v/>
      </c>
      <c r="AG645" s="0">
        <f>X645*Y645*SUMIFS($AM$2:$AM$11,$AK$2:$AK$11,"&lt;="&amp;X645,$AL$2:$AL$11,"&gt;="&amp;X645)+Z645*AA645*SUMIFS($AM$2:$AM$11,$AK$2:$AK$11,"&lt;="&amp;Z645,$AL$2:$AL$11,"&gt;="&amp;Z645)+AB645*AC645*SUMIFS($AM$2:$AM$11,$AK$2:$AK$11,"&lt;="&amp;AB645,$AL$2:$AL$11,"&gt;="&amp;AB645)</f>
        <v/>
      </c>
      <c r="AH645" s="0">
        <f>AG645*(1-40%)</f>
        <v/>
      </c>
      <c r="AI645" s="0">
        <f>AH645*1.2</f>
        <v/>
      </c>
    </row>
    <row r="646">
      <c r="A646" s="26" t="n"/>
      <c r="B646" s="169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>
        <f>AG646</f>
        <v/>
      </c>
      <c r="T646" s="26">
        <f>AI646+Q646+P646</f>
        <v/>
      </c>
      <c r="U646" s="26" t="n"/>
      <c r="V646" s="26" t="n"/>
      <c r="W646" s="169" t="n"/>
      <c r="X646" s="26" t="n"/>
      <c r="Y646" s="26" t="n"/>
      <c r="Z646" s="26" t="n"/>
      <c r="AA646" s="26" t="n"/>
      <c r="AD646" s="0">
        <f>SUM(Y646,AA646,AC646)</f>
        <v/>
      </c>
      <c r="AE646" s="0">
        <f>X646*Y646+Z646*AA646+AB646*AC646</f>
        <v/>
      </c>
      <c r="AF646" s="0">
        <f>TEXTJOIN(", ",TRUE,IF(AND(X646&gt;0,Y646&gt;0),TEXT(X646,"0.00")&amp;"ct x "&amp;Y646,""),IF(AND(Z646&gt;0,AA646&gt;0),TEXT(Z646,"0.00")&amp;"ct x "&amp;AA646,""),IF(AND(AB646&gt;0,AC646&gt;0),TEXT(AB646,"0.00")&amp;"ct x "&amp;AC646,""))</f>
        <v/>
      </c>
      <c r="AG646" s="0">
        <f>X646*Y646*SUMIFS($AM$2:$AM$11,$AK$2:$AK$11,"&lt;="&amp;X646,$AL$2:$AL$11,"&gt;="&amp;X646)+Z646*AA646*SUMIFS($AM$2:$AM$11,$AK$2:$AK$11,"&lt;="&amp;Z646,$AL$2:$AL$11,"&gt;="&amp;Z646)+AB646*AC646*SUMIFS($AM$2:$AM$11,$AK$2:$AK$11,"&lt;="&amp;AB646,$AL$2:$AL$11,"&gt;="&amp;AB646)</f>
        <v/>
      </c>
      <c r="AH646" s="0">
        <f>AG646*(1-40%)</f>
        <v/>
      </c>
      <c r="AI646" s="0">
        <f>AH646*1.2</f>
        <v/>
      </c>
    </row>
    <row r="647">
      <c r="A647" s="26" t="n"/>
      <c r="B647" s="169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>
        <f>AG647</f>
        <v/>
      </c>
      <c r="T647" s="26">
        <f>AI647+Q647+P647</f>
        <v/>
      </c>
      <c r="U647" s="26" t="n"/>
      <c r="V647" s="26" t="n"/>
      <c r="W647" s="169" t="n"/>
      <c r="X647" s="26" t="n"/>
      <c r="Y647" s="26" t="n"/>
      <c r="Z647" s="26" t="n"/>
      <c r="AA647" s="26" t="n"/>
      <c r="AD647" s="0">
        <f>SUM(Y647,AA647,AC647)</f>
        <v/>
      </c>
      <c r="AE647" s="0">
        <f>X647*Y647+Z647*AA647+AB647*AC647</f>
        <v/>
      </c>
      <c r="AF647" s="0">
        <f>TEXTJOIN(", ",TRUE,IF(AND(X647&gt;0,Y647&gt;0),TEXT(X647,"0.00")&amp;"ct x "&amp;Y647,""),IF(AND(Z647&gt;0,AA647&gt;0),TEXT(Z647,"0.00")&amp;"ct x "&amp;AA647,""),IF(AND(AB647&gt;0,AC647&gt;0),TEXT(AB647,"0.00")&amp;"ct x "&amp;AC647,""))</f>
        <v/>
      </c>
      <c r="AG647" s="0">
        <f>X647*Y647*SUMIFS($AM$2:$AM$11,$AK$2:$AK$11,"&lt;="&amp;X647,$AL$2:$AL$11,"&gt;="&amp;X647)+Z647*AA647*SUMIFS($AM$2:$AM$11,$AK$2:$AK$11,"&lt;="&amp;Z647,$AL$2:$AL$11,"&gt;="&amp;Z647)+AB647*AC647*SUMIFS($AM$2:$AM$11,$AK$2:$AK$11,"&lt;="&amp;AB647,$AL$2:$AL$11,"&gt;="&amp;AB647)</f>
        <v/>
      </c>
      <c r="AH647" s="0">
        <f>AG647*(1-40%)</f>
        <v/>
      </c>
      <c r="AI647" s="0">
        <f>AH647*1.2</f>
        <v/>
      </c>
    </row>
    <row r="648">
      <c r="A648" s="26" t="n"/>
      <c r="B648" s="169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>
        <f>AG648</f>
        <v/>
      </c>
      <c r="T648" s="26">
        <f>AI648+Q648+P648</f>
        <v/>
      </c>
      <c r="U648" s="26" t="n"/>
      <c r="V648" s="26" t="n"/>
      <c r="W648" s="169" t="n"/>
      <c r="X648" s="26" t="n"/>
      <c r="Y648" s="26" t="n"/>
      <c r="Z648" s="26" t="n"/>
      <c r="AA648" s="26" t="n"/>
      <c r="AD648" s="0">
        <f>SUM(Y648,AA648,AC648)</f>
        <v/>
      </c>
      <c r="AE648" s="0">
        <f>X648*Y648+Z648*AA648+AB648*AC648</f>
        <v/>
      </c>
      <c r="AF648" s="0">
        <f>TEXTJOIN(", ",TRUE,IF(AND(X648&gt;0,Y648&gt;0),TEXT(X648,"0.00")&amp;"ct x "&amp;Y648,""),IF(AND(Z648&gt;0,AA648&gt;0),TEXT(Z648,"0.00")&amp;"ct x "&amp;AA648,""),IF(AND(AB648&gt;0,AC648&gt;0),TEXT(AB648,"0.00")&amp;"ct x "&amp;AC648,""))</f>
        <v/>
      </c>
      <c r="AG648" s="0">
        <f>X648*Y648*SUMIFS($AM$2:$AM$11,$AK$2:$AK$11,"&lt;="&amp;X648,$AL$2:$AL$11,"&gt;="&amp;X648)+Z648*AA648*SUMIFS($AM$2:$AM$11,$AK$2:$AK$11,"&lt;="&amp;Z648,$AL$2:$AL$11,"&gt;="&amp;Z648)+AB648*AC648*SUMIFS($AM$2:$AM$11,$AK$2:$AK$11,"&lt;="&amp;AB648,$AL$2:$AL$11,"&gt;="&amp;AB648)</f>
        <v/>
      </c>
      <c r="AH648" s="0">
        <f>AG648*(1-40%)</f>
        <v/>
      </c>
      <c r="AI648" s="0">
        <f>AH648*1.2</f>
        <v/>
      </c>
    </row>
    <row r="649">
      <c r="A649" s="26" t="n"/>
      <c r="B649" s="169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>
        <f>AG649</f>
        <v/>
      </c>
      <c r="T649" s="26">
        <f>AI649+Q649+P649</f>
        <v/>
      </c>
      <c r="U649" s="26" t="n"/>
      <c r="V649" s="26" t="n"/>
      <c r="W649" s="169" t="n"/>
      <c r="X649" s="26" t="n"/>
      <c r="Y649" s="26" t="n"/>
      <c r="Z649" s="26" t="n"/>
      <c r="AA649" s="26" t="n"/>
      <c r="AD649" s="0">
        <f>SUM(Y649,AA649,AC649)</f>
        <v/>
      </c>
      <c r="AE649" s="0">
        <f>X649*Y649+Z649*AA649+AB649*AC649</f>
        <v/>
      </c>
      <c r="AF649" s="0">
        <f>TEXTJOIN(", ",TRUE,IF(AND(X649&gt;0,Y649&gt;0),TEXT(X649,"0.00")&amp;"ct x "&amp;Y649,""),IF(AND(Z649&gt;0,AA649&gt;0),TEXT(Z649,"0.00")&amp;"ct x "&amp;AA649,""),IF(AND(AB649&gt;0,AC649&gt;0),TEXT(AB649,"0.00")&amp;"ct x "&amp;AC649,""))</f>
        <v/>
      </c>
      <c r="AG649" s="0">
        <f>X649*Y649*SUMIFS($AM$2:$AM$11,$AK$2:$AK$11,"&lt;="&amp;X649,$AL$2:$AL$11,"&gt;="&amp;X649)+Z649*AA649*SUMIFS($AM$2:$AM$11,$AK$2:$AK$11,"&lt;="&amp;Z649,$AL$2:$AL$11,"&gt;="&amp;Z649)+AB649*AC649*SUMIFS($AM$2:$AM$11,$AK$2:$AK$11,"&lt;="&amp;AB649,$AL$2:$AL$11,"&gt;="&amp;AB649)</f>
        <v/>
      </c>
      <c r="AH649" s="0">
        <f>AG649*(1-40%)</f>
        <v/>
      </c>
      <c r="AI649" s="0">
        <f>AH649*1.2</f>
        <v/>
      </c>
    </row>
    <row r="650">
      <c r="A650" s="26" t="n"/>
      <c r="B650" s="169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>
        <f>AG650</f>
        <v/>
      </c>
      <c r="T650" s="26">
        <f>AI650+Q650+P650</f>
        <v/>
      </c>
      <c r="U650" s="26" t="n"/>
      <c r="V650" s="26" t="n"/>
      <c r="W650" s="169" t="n"/>
      <c r="X650" s="26" t="n"/>
      <c r="Y650" s="26" t="n"/>
      <c r="Z650" s="26" t="n"/>
      <c r="AA650" s="26" t="n"/>
      <c r="AD650" s="0">
        <f>SUM(Y650,AA650,AC650)</f>
        <v/>
      </c>
      <c r="AE650" s="0">
        <f>X650*Y650+Z650*AA650+AB650*AC650</f>
        <v/>
      </c>
      <c r="AF650" s="0">
        <f>TEXTJOIN(", ",TRUE,IF(AND(X650&gt;0,Y650&gt;0),TEXT(X650,"0.00")&amp;"ct x "&amp;Y650,""),IF(AND(Z650&gt;0,AA650&gt;0),TEXT(Z650,"0.00")&amp;"ct x "&amp;AA650,""),IF(AND(AB650&gt;0,AC650&gt;0),TEXT(AB650,"0.00")&amp;"ct x "&amp;AC650,""))</f>
        <v/>
      </c>
      <c r="AG650" s="0">
        <f>X650*Y650*SUMIFS($AM$2:$AM$11,$AK$2:$AK$11,"&lt;="&amp;X650,$AL$2:$AL$11,"&gt;="&amp;X650)+Z650*AA650*SUMIFS($AM$2:$AM$11,$AK$2:$AK$11,"&lt;="&amp;Z650,$AL$2:$AL$11,"&gt;="&amp;Z650)+AB650*AC650*SUMIFS($AM$2:$AM$11,$AK$2:$AK$11,"&lt;="&amp;AB650,$AL$2:$AL$11,"&gt;="&amp;AB650)</f>
        <v/>
      </c>
      <c r="AH650" s="0">
        <f>AG650*(1-40%)</f>
        <v/>
      </c>
      <c r="AI650" s="0">
        <f>AH650*1.2</f>
        <v/>
      </c>
    </row>
    <row r="651">
      <c r="A651" s="26" t="n"/>
      <c r="B651" s="169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>
        <f>AG651</f>
        <v/>
      </c>
      <c r="T651" s="26">
        <f>AI651+Q651+P651</f>
        <v/>
      </c>
      <c r="U651" s="26" t="n"/>
      <c r="V651" s="26" t="n"/>
      <c r="W651" s="169" t="n"/>
      <c r="X651" s="26" t="n"/>
      <c r="Y651" s="26" t="n"/>
      <c r="Z651" s="26" t="n"/>
      <c r="AA651" s="26" t="n"/>
      <c r="AD651" s="0">
        <f>SUM(Y651,AA651,AC651)</f>
        <v/>
      </c>
      <c r="AE651" s="0">
        <f>X651*Y651+Z651*AA651+AB651*AC651</f>
        <v/>
      </c>
      <c r="AF651" s="0">
        <f>TEXTJOIN(", ",TRUE,IF(AND(X651&gt;0,Y651&gt;0),TEXT(X651,"0.00")&amp;"ct x "&amp;Y651,""),IF(AND(Z651&gt;0,AA651&gt;0),TEXT(Z651,"0.00")&amp;"ct x "&amp;AA651,""),IF(AND(AB651&gt;0,AC651&gt;0),TEXT(AB651,"0.00")&amp;"ct x "&amp;AC651,""))</f>
        <v/>
      </c>
      <c r="AG651" s="0">
        <f>X651*Y651*SUMIFS($AM$2:$AM$11,$AK$2:$AK$11,"&lt;="&amp;X651,$AL$2:$AL$11,"&gt;="&amp;X651)+Z651*AA651*SUMIFS($AM$2:$AM$11,$AK$2:$AK$11,"&lt;="&amp;Z651,$AL$2:$AL$11,"&gt;="&amp;Z651)+AB651*AC651*SUMIFS($AM$2:$AM$11,$AK$2:$AK$11,"&lt;="&amp;AB651,$AL$2:$AL$11,"&gt;="&amp;AB651)</f>
        <v/>
      </c>
      <c r="AH651" s="0">
        <f>AG651*(1-40%)</f>
        <v/>
      </c>
      <c r="AI651" s="0">
        <f>AH651*1.2</f>
        <v/>
      </c>
    </row>
    <row r="652">
      <c r="A652" s="26" t="n"/>
      <c r="B652" s="169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>
        <f>AG652</f>
        <v/>
      </c>
      <c r="T652" s="26">
        <f>AI652+Q652+P652</f>
        <v/>
      </c>
      <c r="U652" s="26" t="n"/>
      <c r="V652" s="26" t="n"/>
      <c r="W652" s="169" t="n"/>
      <c r="X652" s="26" t="n"/>
      <c r="Y652" s="26" t="n"/>
      <c r="Z652" s="26" t="n"/>
      <c r="AA652" s="26" t="n"/>
      <c r="AD652" s="0">
        <f>SUM(Y652,AA652,AC652)</f>
        <v/>
      </c>
      <c r="AE652" s="0">
        <f>X652*Y652+Z652*AA652+AB652*AC652</f>
        <v/>
      </c>
      <c r="AF652" s="0">
        <f>TEXTJOIN(", ",TRUE,IF(AND(X652&gt;0,Y652&gt;0),TEXT(X652,"0.00")&amp;"ct x "&amp;Y652,""),IF(AND(Z652&gt;0,AA652&gt;0),TEXT(Z652,"0.00")&amp;"ct x "&amp;AA652,""),IF(AND(AB652&gt;0,AC652&gt;0),TEXT(AB652,"0.00")&amp;"ct x "&amp;AC652,""))</f>
        <v/>
      </c>
      <c r="AG652" s="0">
        <f>X652*Y652*SUMIFS($AM$2:$AM$11,$AK$2:$AK$11,"&lt;="&amp;X652,$AL$2:$AL$11,"&gt;="&amp;X652)+Z652*AA652*SUMIFS($AM$2:$AM$11,$AK$2:$AK$11,"&lt;="&amp;Z652,$AL$2:$AL$11,"&gt;="&amp;Z652)+AB652*AC652*SUMIFS($AM$2:$AM$11,$AK$2:$AK$11,"&lt;="&amp;AB652,$AL$2:$AL$11,"&gt;="&amp;AB652)</f>
        <v/>
      </c>
      <c r="AH652" s="0">
        <f>AG652*(1-40%)</f>
        <v/>
      </c>
      <c r="AI652" s="0">
        <f>AH652*1.2</f>
        <v/>
      </c>
    </row>
    <row r="653">
      <c r="A653" s="26" t="n"/>
      <c r="B653" s="169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>
        <f>AG653</f>
        <v/>
      </c>
      <c r="T653" s="26">
        <f>AI653+Q653+P653</f>
        <v/>
      </c>
      <c r="U653" s="26" t="n"/>
      <c r="V653" s="26" t="n"/>
      <c r="W653" s="169" t="n"/>
      <c r="X653" s="26" t="n"/>
      <c r="Y653" s="26" t="n"/>
      <c r="Z653" s="26" t="n"/>
      <c r="AA653" s="26" t="n"/>
      <c r="AD653" s="0">
        <f>SUM(Y653,AA653,AC653)</f>
        <v/>
      </c>
      <c r="AE653" s="0">
        <f>X653*Y653+Z653*AA653+AB653*AC653</f>
        <v/>
      </c>
      <c r="AF653" s="0">
        <f>TEXTJOIN(", ",TRUE,IF(AND(X653&gt;0,Y653&gt;0),TEXT(X653,"0.00")&amp;"ct x "&amp;Y653,""),IF(AND(Z653&gt;0,AA653&gt;0),TEXT(Z653,"0.00")&amp;"ct x "&amp;AA653,""),IF(AND(AB653&gt;0,AC653&gt;0),TEXT(AB653,"0.00")&amp;"ct x "&amp;AC653,""))</f>
        <v/>
      </c>
      <c r="AG653" s="0">
        <f>X653*Y653*SUMIFS($AM$2:$AM$11,$AK$2:$AK$11,"&lt;="&amp;X653,$AL$2:$AL$11,"&gt;="&amp;X653)+Z653*AA653*SUMIFS($AM$2:$AM$11,$AK$2:$AK$11,"&lt;="&amp;Z653,$AL$2:$AL$11,"&gt;="&amp;Z653)+AB653*AC653*SUMIFS($AM$2:$AM$11,$AK$2:$AK$11,"&lt;="&amp;AB653,$AL$2:$AL$11,"&gt;="&amp;AB653)</f>
        <v/>
      </c>
      <c r="AH653" s="0">
        <f>AG653*(1-40%)</f>
        <v/>
      </c>
      <c r="AI653" s="0">
        <f>AH653*1.2</f>
        <v/>
      </c>
    </row>
    <row r="654">
      <c r="A654" s="26" t="n"/>
      <c r="B654" s="169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>
        <f>AG654</f>
        <v/>
      </c>
      <c r="T654" s="26">
        <f>AI654+Q654+P654</f>
        <v/>
      </c>
      <c r="U654" s="26" t="n"/>
      <c r="V654" s="26" t="n"/>
      <c r="W654" s="169" t="n"/>
      <c r="X654" s="26" t="n"/>
      <c r="Y654" s="26" t="n"/>
      <c r="Z654" s="26" t="n"/>
      <c r="AA654" s="26" t="n"/>
      <c r="AD654" s="0">
        <f>SUM(Y654,AA654,AC654)</f>
        <v/>
      </c>
      <c r="AE654" s="0">
        <f>X654*Y654+Z654*AA654+AB654*AC654</f>
        <v/>
      </c>
      <c r="AF654" s="0">
        <f>TEXTJOIN(", ",TRUE,IF(AND(X654&gt;0,Y654&gt;0),TEXT(X654,"0.00")&amp;"ct x "&amp;Y654,""),IF(AND(Z654&gt;0,AA654&gt;0),TEXT(Z654,"0.00")&amp;"ct x "&amp;AA654,""),IF(AND(AB654&gt;0,AC654&gt;0),TEXT(AB654,"0.00")&amp;"ct x "&amp;AC654,""))</f>
        <v/>
      </c>
      <c r="AG654" s="0">
        <f>X654*Y654*SUMIFS($AM$2:$AM$11,$AK$2:$AK$11,"&lt;="&amp;X654,$AL$2:$AL$11,"&gt;="&amp;X654)+Z654*AA654*SUMIFS($AM$2:$AM$11,$AK$2:$AK$11,"&lt;="&amp;Z654,$AL$2:$AL$11,"&gt;="&amp;Z654)+AB654*AC654*SUMIFS($AM$2:$AM$11,$AK$2:$AK$11,"&lt;="&amp;AB654,$AL$2:$AL$11,"&gt;="&amp;AB654)</f>
        <v/>
      </c>
      <c r="AH654" s="0">
        <f>AG654*(1-40%)</f>
        <v/>
      </c>
      <c r="AI654" s="0">
        <f>AH654*1.2</f>
        <v/>
      </c>
    </row>
    <row r="655">
      <c r="A655" s="26" t="n"/>
      <c r="B655" s="169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>
        <f>AG655</f>
        <v/>
      </c>
      <c r="T655" s="26">
        <f>AI655+Q655+P655</f>
        <v/>
      </c>
      <c r="U655" s="26" t="n"/>
      <c r="V655" s="26" t="n"/>
      <c r="W655" s="169" t="n"/>
      <c r="X655" s="26" t="n"/>
      <c r="Y655" s="26" t="n"/>
      <c r="Z655" s="26" t="n"/>
      <c r="AA655" s="26" t="n"/>
      <c r="AD655" s="0">
        <f>SUM(Y655,AA655,AC655)</f>
        <v/>
      </c>
      <c r="AE655" s="0">
        <f>X655*Y655+Z655*AA655+AB655*AC655</f>
        <v/>
      </c>
      <c r="AF655" s="0">
        <f>TEXTJOIN(", ",TRUE,IF(AND(X655&gt;0,Y655&gt;0),TEXT(X655,"0.00")&amp;"ct x "&amp;Y655,""),IF(AND(Z655&gt;0,AA655&gt;0),TEXT(Z655,"0.00")&amp;"ct x "&amp;AA655,""),IF(AND(AB655&gt;0,AC655&gt;0),TEXT(AB655,"0.00")&amp;"ct x "&amp;AC655,""))</f>
        <v/>
      </c>
      <c r="AG655" s="0">
        <f>X655*Y655*SUMIFS($AM$2:$AM$11,$AK$2:$AK$11,"&lt;="&amp;X655,$AL$2:$AL$11,"&gt;="&amp;X655)+Z655*AA655*SUMIFS($AM$2:$AM$11,$AK$2:$AK$11,"&lt;="&amp;Z655,$AL$2:$AL$11,"&gt;="&amp;Z655)+AB655*AC655*SUMIFS($AM$2:$AM$11,$AK$2:$AK$11,"&lt;="&amp;AB655,$AL$2:$AL$11,"&gt;="&amp;AB655)</f>
        <v/>
      </c>
      <c r="AH655" s="0">
        <f>AG655*(1-40%)</f>
        <v/>
      </c>
      <c r="AI655" s="0">
        <f>AH655*1.2</f>
        <v/>
      </c>
    </row>
    <row r="656">
      <c r="A656" s="26" t="n"/>
      <c r="B656" s="169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>
        <f>AG656</f>
        <v/>
      </c>
      <c r="T656" s="26">
        <f>AI656+Q656+P656</f>
        <v/>
      </c>
      <c r="U656" s="26" t="n"/>
      <c r="V656" s="26" t="n"/>
      <c r="W656" s="169" t="n"/>
      <c r="X656" s="26" t="n"/>
      <c r="Y656" s="26" t="n"/>
      <c r="Z656" s="26" t="n"/>
      <c r="AA656" s="26" t="n"/>
      <c r="AD656" s="0">
        <f>SUM(Y656,AA656,AC656)</f>
        <v/>
      </c>
      <c r="AE656" s="0">
        <f>X656*Y656+Z656*AA656+AB656*AC656</f>
        <v/>
      </c>
      <c r="AF656" s="0">
        <f>TEXTJOIN(", ",TRUE,IF(AND(X656&gt;0,Y656&gt;0),TEXT(X656,"0.00")&amp;"ct x "&amp;Y656,""),IF(AND(Z656&gt;0,AA656&gt;0),TEXT(Z656,"0.00")&amp;"ct x "&amp;AA656,""),IF(AND(AB656&gt;0,AC656&gt;0),TEXT(AB656,"0.00")&amp;"ct x "&amp;AC656,""))</f>
        <v/>
      </c>
      <c r="AG656" s="0">
        <f>X656*Y656*SUMIFS($AM$2:$AM$11,$AK$2:$AK$11,"&lt;="&amp;X656,$AL$2:$AL$11,"&gt;="&amp;X656)+Z656*AA656*SUMIFS($AM$2:$AM$11,$AK$2:$AK$11,"&lt;="&amp;Z656,$AL$2:$AL$11,"&gt;="&amp;Z656)+AB656*AC656*SUMIFS($AM$2:$AM$11,$AK$2:$AK$11,"&lt;="&amp;AB656,$AL$2:$AL$11,"&gt;="&amp;AB656)</f>
        <v/>
      </c>
      <c r="AH656" s="0">
        <f>AG656*(1-40%)</f>
        <v/>
      </c>
      <c r="AI656" s="0">
        <f>AH656*1.2</f>
        <v/>
      </c>
    </row>
    <row r="657">
      <c r="A657" s="26" t="n"/>
      <c r="B657" s="169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>
        <f>AG657</f>
        <v/>
      </c>
      <c r="T657" s="26">
        <f>AI657+Q657+P657</f>
        <v/>
      </c>
      <c r="U657" s="26" t="n"/>
      <c r="V657" s="26" t="n"/>
      <c r="W657" s="169" t="n"/>
      <c r="X657" s="26" t="n"/>
      <c r="Y657" s="26" t="n"/>
      <c r="Z657" s="26" t="n"/>
      <c r="AA657" s="26" t="n"/>
      <c r="AD657" s="0">
        <f>SUM(Y657,AA657,AC657)</f>
        <v/>
      </c>
      <c r="AE657" s="0">
        <f>X657*Y657+Z657*AA657+AB657*AC657</f>
        <v/>
      </c>
      <c r="AF657" s="0">
        <f>TEXTJOIN(", ",TRUE,IF(AND(X657&gt;0,Y657&gt;0),TEXT(X657,"0.00")&amp;"ct x "&amp;Y657,""),IF(AND(Z657&gt;0,AA657&gt;0),TEXT(Z657,"0.00")&amp;"ct x "&amp;AA657,""),IF(AND(AB657&gt;0,AC657&gt;0),TEXT(AB657,"0.00")&amp;"ct x "&amp;AC657,""))</f>
        <v/>
      </c>
      <c r="AG657" s="0">
        <f>X657*Y657*SUMIFS($AM$2:$AM$11,$AK$2:$AK$11,"&lt;="&amp;X657,$AL$2:$AL$11,"&gt;="&amp;X657)+Z657*AA657*SUMIFS($AM$2:$AM$11,$AK$2:$AK$11,"&lt;="&amp;Z657,$AL$2:$AL$11,"&gt;="&amp;Z657)+AB657*AC657*SUMIFS($AM$2:$AM$11,$AK$2:$AK$11,"&lt;="&amp;AB657,$AL$2:$AL$11,"&gt;="&amp;AB657)</f>
        <v/>
      </c>
      <c r="AH657" s="0">
        <f>AG657*(1-40%)</f>
        <v/>
      </c>
      <c r="AI657" s="0">
        <f>AH657*1.2</f>
        <v/>
      </c>
    </row>
    <row r="658">
      <c r="A658" s="26" t="n"/>
      <c r="B658" s="169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>
        <f>AG658</f>
        <v/>
      </c>
      <c r="T658" s="26">
        <f>AI658+Q658+P658</f>
        <v/>
      </c>
      <c r="U658" s="26" t="n"/>
      <c r="V658" s="26" t="n"/>
      <c r="W658" s="169" t="n"/>
      <c r="X658" s="26" t="n"/>
      <c r="Y658" s="26" t="n"/>
      <c r="Z658" s="26" t="n"/>
      <c r="AA658" s="26" t="n"/>
      <c r="AD658" s="0">
        <f>SUM(Y658,AA658,AC658)</f>
        <v/>
      </c>
      <c r="AE658" s="0">
        <f>X658*Y658+Z658*AA658+AB658*AC658</f>
        <v/>
      </c>
      <c r="AF658" s="0">
        <f>TEXTJOIN(", ",TRUE,IF(AND(X658&gt;0,Y658&gt;0),TEXT(X658,"0.00")&amp;"ct x "&amp;Y658,""),IF(AND(Z658&gt;0,AA658&gt;0),TEXT(Z658,"0.00")&amp;"ct x "&amp;AA658,""),IF(AND(AB658&gt;0,AC658&gt;0),TEXT(AB658,"0.00")&amp;"ct x "&amp;AC658,""))</f>
        <v/>
      </c>
      <c r="AG658" s="0">
        <f>X658*Y658*SUMIFS($AM$2:$AM$11,$AK$2:$AK$11,"&lt;="&amp;X658,$AL$2:$AL$11,"&gt;="&amp;X658)+Z658*AA658*SUMIFS($AM$2:$AM$11,$AK$2:$AK$11,"&lt;="&amp;Z658,$AL$2:$AL$11,"&gt;="&amp;Z658)+AB658*AC658*SUMIFS($AM$2:$AM$11,$AK$2:$AK$11,"&lt;="&amp;AB658,$AL$2:$AL$11,"&gt;="&amp;AB658)</f>
        <v/>
      </c>
      <c r="AH658" s="0">
        <f>AG658*(1-40%)</f>
        <v/>
      </c>
      <c r="AI658" s="0">
        <f>AH658*1.2</f>
        <v/>
      </c>
    </row>
    <row r="659">
      <c r="A659" s="26" t="n"/>
      <c r="B659" s="169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>
        <f>AG659</f>
        <v/>
      </c>
      <c r="T659" s="26">
        <f>AI659+Q659+P659</f>
        <v/>
      </c>
      <c r="U659" s="26" t="n"/>
      <c r="V659" s="26" t="n"/>
      <c r="W659" s="169" t="n"/>
      <c r="X659" s="26" t="n"/>
      <c r="Y659" s="26" t="n"/>
      <c r="Z659" s="26" t="n"/>
      <c r="AA659" s="26" t="n"/>
      <c r="AD659" s="0">
        <f>SUM(Y659,AA659,AC659)</f>
        <v/>
      </c>
      <c r="AE659" s="0">
        <f>X659*Y659+Z659*AA659+AB659*AC659</f>
        <v/>
      </c>
      <c r="AF659" s="0">
        <f>TEXTJOIN(", ",TRUE,IF(AND(X659&gt;0,Y659&gt;0),TEXT(X659,"0.00")&amp;"ct x "&amp;Y659,""),IF(AND(Z659&gt;0,AA659&gt;0),TEXT(Z659,"0.00")&amp;"ct x "&amp;AA659,""),IF(AND(AB659&gt;0,AC659&gt;0),TEXT(AB659,"0.00")&amp;"ct x "&amp;AC659,""))</f>
        <v/>
      </c>
      <c r="AG659" s="0">
        <f>X659*Y659*SUMIFS($AM$2:$AM$11,$AK$2:$AK$11,"&lt;="&amp;X659,$AL$2:$AL$11,"&gt;="&amp;X659)+Z659*AA659*SUMIFS($AM$2:$AM$11,$AK$2:$AK$11,"&lt;="&amp;Z659,$AL$2:$AL$11,"&gt;="&amp;Z659)+AB659*AC659*SUMIFS($AM$2:$AM$11,$AK$2:$AK$11,"&lt;="&amp;AB659,$AL$2:$AL$11,"&gt;="&amp;AB659)</f>
        <v/>
      </c>
      <c r="AH659" s="0">
        <f>AG659*(1-40%)</f>
        <v/>
      </c>
      <c r="AI659" s="0">
        <f>AH659*1.2</f>
        <v/>
      </c>
    </row>
    <row r="660">
      <c r="A660" s="26" t="n"/>
      <c r="B660" s="169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>
        <f>AG660</f>
        <v/>
      </c>
      <c r="T660" s="26">
        <f>AI660+Q660+P660</f>
        <v/>
      </c>
      <c r="U660" s="26" t="n"/>
      <c r="V660" s="26" t="n"/>
      <c r="W660" s="169" t="n"/>
      <c r="X660" s="26" t="n"/>
      <c r="Y660" s="26" t="n"/>
      <c r="Z660" s="26" t="n"/>
      <c r="AA660" s="26" t="n"/>
      <c r="AD660" s="0">
        <f>SUM(Y660,AA660,AC660)</f>
        <v/>
      </c>
      <c r="AE660" s="0">
        <f>X660*Y660+Z660*AA660+AB660*AC660</f>
        <v/>
      </c>
      <c r="AF660" s="0">
        <f>TEXTJOIN(", ",TRUE,IF(AND(X660&gt;0,Y660&gt;0),TEXT(X660,"0.00")&amp;"ct x "&amp;Y660,""),IF(AND(Z660&gt;0,AA660&gt;0),TEXT(Z660,"0.00")&amp;"ct x "&amp;AA660,""),IF(AND(AB660&gt;0,AC660&gt;0),TEXT(AB660,"0.00")&amp;"ct x "&amp;AC660,""))</f>
        <v/>
      </c>
      <c r="AG660" s="0">
        <f>X660*Y660*SUMIFS($AM$2:$AM$11,$AK$2:$AK$11,"&lt;="&amp;X660,$AL$2:$AL$11,"&gt;="&amp;X660)+Z660*AA660*SUMIFS($AM$2:$AM$11,$AK$2:$AK$11,"&lt;="&amp;Z660,$AL$2:$AL$11,"&gt;="&amp;Z660)+AB660*AC660*SUMIFS($AM$2:$AM$11,$AK$2:$AK$11,"&lt;="&amp;AB660,$AL$2:$AL$11,"&gt;="&amp;AB660)</f>
        <v/>
      </c>
      <c r="AH660" s="0">
        <f>AG660*(1-40%)</f>
        <v/>
      </c>
      <c r="AI660" s="0">
        <f>AH660*1.2</f>
        <v/>
      </c>
    </row>
    <row r="661">
      <c r="A661" s="26" t="n"/>
      <c r="B661" s="169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>
        <f>AG661</f>
        <v/>
      </c>
      <c r="T661" s="26">
        <f>AI661+Q661+P661</f>
        <v/>
      </c>
      <c r="U661" s="26" t="n"/>
      <c r="V661" s="26" t="n"/>
      <c r="W661" s="169" t="n"/>
      <c r="X661" s="26" t="n"/>
      <c r="Y661" s="26" t="n"/>
      <c r="Z661" s="26" t="n"/>
      <c r="AA661" s="26" t="n"/>
      <c r="AD661" s="0">
        <f>SUM(Y661,AA661,AC661)</f>
        <v/>
      </c>
      <c r="AE661" s="0">
        <f>X661*Y661+Z661*AA661+AB661*AC661</f>
        <v/>
      </c>
      <c r="AF661" s="0">
        <f>TEXTJOIN(", ",TRUE,IF(AND(X661&gt;0,Y661&gt;0),TEXT(X661,"0.00")&amp;"ct x "&amp;Y661,""),IF(AND(Z661&gt;0,AA661&gt;0),TEXT(Z661,"0.00")&amp;"ct x "&amp;AA661,""),IF(AND(AB661&gt;0,AC661&gt;0),TEXT(AB661,"0.00")&amp;"ct x "&amp;AC661,""))</f>
        <v/>
      </c>
      <c r="AG661" s="0">
        <f>X661*Y661*SUMIFS($AM$2:$AM$11,$AK$2:$AK$11,"&lt;="&amp;X661,$AL$2:$AL$11,"&gt;="&amp;X661)+Z661*AA661*SUMIFS($AM$2:$AM$11,$AK$2:$AK$11,"&lt;="&amp;Z661,$AL$2:$AL$11,"&gt;="&amp;Z661)+AB661*AC661*SUMIFS($AM$2:$AM$11,$AK$2:$AK$11,"&lt;="&amp;AB661,$AL$2:$AL$11,"&gt;="&amp;AB661)</f>
        <v/>
      </c>
      <c r="AH661" s="0">
        <f>AG661*(1-40%)</f>
        <v/>
      </c>
      <c r="AI661" s="0">
        <f>AH661*1.2</f>
        <v/>
      </c>
    </row>
    <row r="662">
      <c r="A662" s="26" t="n"/>
      <c r="B662" s="169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>
        <f>AG662</f>
        <v/>
      </c>
      <c r="T662" s="26">
        <f>AI662+Q662+P662</f>
        <v/>
      </c>
      <c r="U662" s="26" t="n"/>
      <c r="V662" s="26" t="n"/>
      <c r="W662" s="169" t="n"/>
      <c r="X662" s="26" t="n"/>
      <c r="Y662" s="26" t="n"/>
      <c r="Z662" s="26" t="n"/>
      <c r="AA662" s="26" t="n"/>
      <c r="AD662" s="0">
        <f>SUM(Y662,AA662,AC662)</f>
        <v/>
      </c>
      <c r="AE662" s="0">
        <f>X662*Y662+Z662*AA662+AB662*AC662</f>
        <v/>
      </c>
      <c r="AF662" s="0">
        <f>TEXTJOIN(", ",TRUE,IF(AND(X662&gt;0,Y662&gt;0),TEXT(X662,"0.00")&amp;"ct x "&amp;Y662,""),IF(AND(Z662&gt;0,AA662&gt;0),TEXT(Z662,"0.00")&amp;"ct x "&amp;AA662,""),IF(AND(AB662&gt;0,AC662&gt;0),TEXT(AB662,"0.00")&amp;"ct x "&amp;AC662,""))</f>
        <v/>
      </c>
      <c r="AG662" s="0">
        <f>X662*Y662*SUMIFS($AM$2:$AM$11,$AK$2:$AK$11,"&lt;="&amp;X662,$AL$2:$AL$11,"&gt;="&amp;X662)+Z662*AA662*SUMIFS($AM$2:$AM$11,$AK$2:$AK$11,"&lt;="&amp;Z662,$AL$2:$AL$11,"&gt;="&amp;Z662)+AB662*AC662*SUMIFS($AM$2:$AM$11,$AK$2:$AK$11,"&lt;="&amp;AB662,$AL$2:$AL$11,"&gt;="&amp;AB662)</f>
        <v/>
      </c>
      <c r="AH662" s="0">
        <f>AG662*(1-40%)</f>
        <v/>
      </c>
      <c r="AI662" s="0">
        <f>AH662*1.2</f>
        <v/>
      </c>
    </row>
    <row r="663">
      <c r="A663" s="26" t="n"/>
      <c r="B663" s="169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>
        <f>AG663</f>
        <v/>
      </c>
      <c r="T663" s="26">
        <f>AI663+Q663+P663</f>
        <v/>
      </c>
      <c r="U663" s="26" t="n"/>
      <c r="V663" s="26" t="n"/>
      <c r="W663" s="169" t="n"/>
      <c r="X663" s="26" t="n"/>
      <c r="Y663" s="26" t="n"/>
      <c r="Z663" s="26" t="n"/>
      <c r="AA663" s="26" t="n"/>
      <c r="AD663" s="0">
        <f>SUM(Y663,AA663,AC663)</f>
        <v/>
      </c>
      <c r="AE663" s="0">
        <f>X663*Y663+Z663*AA663+AB663*AC663</f>
        <v/>
      </c>
      <c r="AF663" s="0">
        <f>TEXTJOIN(", ",TRUE,IF(AND(X663&gt;0,Y663&gt;0),TEXT(X663,"0.00")&amp;"ct x "&amp;Y663,""),IF(AND(Z663&gt;0,AA663&gt;0),TEXT(Z663,"0.00")&amp;"ct x "&amp;AA663,""),IF(AND(AB663&gt;0,AC663&gt;0),TEXT(AB663,"0.00")&amp;"ct x "&amp;AC663,""))</f>
        <v/>
      </c>
      <c r="AG663" s="0">
        <f>X663*Y663*SUMIFS($AM$2:$AM$11,$AK$2:$AK$11,"&lt;="&amp;X663,$AL$2:$AL$11,"&gt;="&amp;X663)+Z663*AA663*SUMIFS($AM$2:$AM$11,$AK$2:$AK$11,"&lt;="&amp;Z663,$AL$2:$AL$11,"&gt;="&amp;Z663)+AB663*AC663*SUMIFS($AM$2:$AM$11,$AK$2:$AK$11,"&lt;="&amp;AB663,$AL$2:$AL$11,"&gt;="&amp;AB663)</f>
        <v/>
      </c>
      <c r="AH663" s="0">
        <f>AG663*(1-40%)</f>
        <v/>
      </c>
      <c r="AI663" s="0">
        <f>AH663*1.2</f>
        <v/>
      </c>
    </row>
    <row r="664">
      <c r="A664" s="26" t="n"/>
      <c r="B664" s="169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>
        <f>AG664</f>
        <v/>
      </c>
      <c r="T664" s="26">
        <f>AI664+Q664+P664</f>
        <v/>
      </c>
      <c r="U664" s="26" t="n"/>
      <c r="V664" s="26" t="n"/>
      <c r="W664" s="169" t="n"/>
      <c r="X664" s="26" t="n"/>
      <c r="Y664" s="26" t="n"/>
      <c r="Z664" s="26" t="n"/>
      <c r="AA664" s="26" t="n"/>
      <c r="AD664" s="0">
        <f>SUM(Y664,AA664,AC664)</f>
        <v/>
      </c>
      <c r="AE664" s="0">
        <f>X664*Y664+Z664*AA664+AB664*AC664</f>
        <v/>
      </c>
      <c r="AF664" s="0">
        <f>TEXTJOIN(", ",TRUE,IF(AND(X664&gt;0,Y664&gt;0),TEXT(X664,"0.00")&amp;"ct x "&amp;Y664,""),IF(AND(Z664&gt;0,AA664&gt;0),TEXT(Z664,"0.00")&amp;"ct x "&amp;AA664,""),IF(AND(AB664&gt;0,AC664&gt;0),TEXT(AB664,"0.00")&amp;"ct x "&amp;AC664,""))</f>
        <v/>
      </c>
      <c r="AG664" s="0">
        <f>X664*Y664*SUMIFS($AM$2:$AM$11,$AK$2:$AK$11,"&lt;="&amp;X664,$AL$2:$AL$11,"&gt;="&amp;X664)+Z664*AA664*SUMIFS($AM$2:$AM$11,$AK$2:$AK$11,"&lt;="&amp;Z664,$AL$2:$AL$11,"&gt;="&amp;Z664)+AB664*AC664*SUMIFS($AM$2:$AM$11,$AK$2:$AK$11,"&lt;="&amp;AB664,$AL$2:$AL$11,"&gt;="&amp;AB664)</f>
        <v/>
      </c>
      <c r="AH664" s="0">
        <f>AG664*(1-40%)</f>
        <v/>
      </c>
      <c r="AI664" s="0">
        <f>AH664*1.2</f>
        <v/>
      </c>
    </row>
    <row r="665">
      <c r="A665" s="26" t="n"/>
      <c r="B665" s="169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>
        <f>AG665</f>
        <v/>
      </c>
      <c r="T665" s="26">
        <f>AI665+Q665+P665</f>
        <v/>
      </c>
      <c r="U665" s="26" t="n"/>
      <c r="V665" s="26" t="n"/>
      <c r="W665" s="169" t="n"/>
      <c r="X665" s="26" t="n"/>
      <c r="Y665" s="26" t="n"/>
      <c r="Z665" s="26" t="n"/>
      <c r="AA665" s="26" t="n"/>
      <c r="AD665" s="0">
        <f>SUM(Y665,AA665,AC665)</f>
        <v/>
      </c>
      <c r="AE665" s="0">
        <f>X665*Y665+Z665*AA665+AB665*AC665</f>
        <v/>
      </c>
      <c r="AF665" s="0">
        <f>TEXTJOIN(", ",TRUE,IF(AND(X665&gt;0,Y665&gt;0),TEXT(X665,"0.00")&amp;"ct x "&amp;Y665,""),IF(AND(Z665&gt;0,AA665&gt;0),TEXT(Z665,"0.00")&amp;"ct x "&amp;AA665,""),IF(AND(AB665&gt;0,AC665&gt;0),TEXT(AB665,"0.00")&amp;"ct x "&amp;AC665,""))</f>
        <v/>
      </c>
      <c r="AG665" s="0">
        <f>X665*Y665*SUMIFS($AM$2:$AM$11,$AK$2:$AK$11,"&lt;="&amp;X665,$AL$2:$AL$11,"&gt;="&amp;X665)+Z665*AA665*SUMIFS($AM$2:$AM$11,$AK$2:$AK$11,"&lt;="&amp;Z665,$AL$2:$AL$11,"&gt;="&amp;Z665)+AB665*AC665*SUMIFS($AM$2:$AM$11,$AK$2:$AK$11,"&lt;="&amp;AB665,$AL$2:$AL$11,"&gt;="&amp;AB665)</f>
        <v/>
      </c>
      <c r="AH665" s="0">
        <f>AG665*(1-40%)</f>
        <v/>
      </c>
      <c r="AI665" s="0">
        <f>AH665*1.2</f>
        <v/>
      </c>
    </row>
    <row r="666">
      <c r="A666" s="26" t="n"/>
      <c r="B666" s="169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>
        <f>AG666</f>
        <v/>
      </c>
      <c r="T666" s="26">
        <f>AI666+Q666+P666</f>
        <v/>
      </c>
      <c r="U666" s="26" t="n"/>
      <c r="V666" s="26" t="n"/>
      <c r="W666" s="169" t="n"/>
      <c r="X666" s="26" t="n"/>
      <c r="Y666" s="26" t="n"/>
      <c r="Z666" s="26" t="n"/>
      <c r="AA666" s="26" t="n"/>
      <c r="AD666" s="0">
        <f>SUM(Y666,AA666,AC666)</f>
        <v/>
      </c>
      <c r="AE666" s="0">
        <f>X666*Y666+Z666*AA666+AB666*AC666</f>
        <v/>
      </c>
      <c r="AF666" s="0">
        <f>TEXTJOIN(", ",TRUE,IF(AND(X666&gt;0,Y666&gt;0),TEXT(X666,"0.00")&amp;"ct x "&amp;Y666,""),IF(AND(Z666&gt;0,AA666&gt;0),TEXT(Z666,"0.00")&amp;"ct x "&amp;AA666,""),IF(AND(AB666&gt;0,AC666&gt;0),TEXT(AB666,"0.00")&amp;"ct x "&amp;AC666,""))</f>
        <v/>
      </c>
      <c r="AG666" s="0">
        <f>X666*Y666*SUMIFS($AM$2:$AM$11,$AK$2:$AK$11,"&lt;="&amp;X666,$AL$2:$AL$11,"&gt;="&amp;X666)+Z666*AA666*SUMIFS($AM$2:$AM$11,$AK$2:$AK$11,"&lt;="&amp;Z666,$AL$2:$AL$11,"&gt;="&amp;Z666)+AB666*AC666*SUMIFS($AM$2:$AM$11,$AK$2:$AK$11,"&lt;="&amp;AB666,$AL$2:$AL$11,"&gt;="&amp;AB666)</f>
        <v/>
      </c>
      <c r="AH666" s="0">
        <f>AG666*(1-40%)</f>
        <v/>
      </c>
      <c r="AI666" s="0">
        <f>AH666*1.2</f>
        <v/>
      </c>
    </row>
    <row r="667">
      <c r="A667" s="26" t="n"/>
      <c r="B667" s="169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>
        <f>AG667</f>
        <v/>
      </c>
      <c r="T667" s="26">
        <f>AI667+Q667+P667</f>
        <v/>
      </c>
      <c r="U667" s="26" t="n"/>
      <c r="V667" s="26" t="n"/>
      <c r="W667" s="169" t="n"/>
      <c r="X667" s="26" t="n"/>
      <c r="Y667" s="26" t="n"/>
      <c r="Z667" s="26" t="n"/>
      <c r="AA667" s="26" t="n"/>
      <c r="AD667" s="0">
        <f>SUM(Y667,AA667,AC667)</f>
        <v/>
      </c>
      <c r="AE667" s="0">
        <f>X667*Y667+Z667*AA667+AB667*AC667</f>
        <v/>
      </c>
      <c r="AF667" s="0">
        <f>TEXTJOIN(", ",TRUE,IF(AND(X667&gt;0,Y667&gt;0),TEXT(X667,"0.00")&amp;"ct x "&amp;Y667,""),IF(AND(Z667&gt;0,AA667&gt;0),TEXT(Z667,"0.00")&amp;"ct x "&amp;AA667,""),IF(AND(AB667&gt;0,AC667&gt;0),TEXT(AB667,"0.00")&amp;"ct x "&amp;AC667,""))</f>
        <v/>
      </c>
      <c r="AG667" s="0">
        <f>X667*Y667*SUMIFS($AM$2:$AM$11,$AK$2:$AK$11,"&lt;="&amp;X667,$AL$2:$AL$11,"&gt;="&amp;X667)+Z667*AA667*SUMIFS($AM$2:$AM$11,$AK$2:$AK$11,"&lt;="&amp;Z667,$AL$2:$AL$11,"&gt;="&amp;Z667)+AB667*AC667*SUMIFS($AM$2:$AM$11,$AK$2:$AK$11,"&lt;="&amp;AB667,$AL$2:$AL$11,"&gt;="&amp;AB667)</f>
        <v/>
      </c>
      <c r="AH667" s="0">
        <f>AG667*(1-40%)</f>
        <v/>
      </c>
      <c r="AI667" s="0">
        <f>AH667*1.2</f>
        <v/>
      </c>
    </row>
    <row r="668">
      <c r="A668" s="26" t="n"/>
      <c r="B668" s="169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>
        <f>AG668</f>
        <v/>
      </c>
      <c r="T668" s="26">
        <f>AI668+Q668+P668</f>
        <v/>
      </c>
      <c r="U668" s="26" t="n"/>
      <c r="V668" s="26" t="n"/>
      <c r="W668" s="169" t="n"/>
      <c r="X668" s="26" t="n"/>
      <c r="Y668" s="26" t="n"/>
      <c r="Z668" s="26" t="n"/>
      <c r="AA668" s="26" t="n"/>
      <c r="AD668" s="0">
        <f>SUM(Y668,AA668,AC668)</f>
        <v/>
      </c>
      <c r="AE668" s="0">
        <f>X668*Y668+Z668*AA668+AB668*AC668</f>
        <v/>
      </c>
      <c r="AF668" s="0">
        <f>TEXTJOIN(", ",TRUE,IF(AND(X668&gt;0,Y668&gt;0),TEXT(X668,"0.00")&amp;"ct x "&amp;Y668,""),IF(AND(Z668&gt;0,AA668&gt;0),TEXT(Z668,"0.00")&amp;"ct x "&amp;AA668,""),IF(AND(AB668&gt;0,AC668&gt;0),TEXT(AB668,"0.00")&amp;"ct x "&amp;AC668,""))</f>
        <v/>
      </c>
      <c r="AG668" s="0">
        <f>X668*Y668*SUMIFS($AM$2:$AM$11,$AK$2:$AK$11,"&lt;="&amp;X668,$AL$2:$AL$11,"&gt;="&amp;X668)+Z668*AA668*SUMIFS($AM$2:$AM$11,$AK$2:$AK$11,"&lt;="&amp;Z668,$AL$2:$AL$11,"&gt;="&amp;Z668)+AB668*AC668*SUMIFS($AM$2:$AM$11,$AK$2:$AK$11,"&lt;="&amp;AB668,$AL$2:$AL$11,"&gt;="&amp;AB668)</f>
        <v/>
      </c>
      <c r="AH668" s="0">
        <f>AG668*(1-40%)</f>
        <v/>
      </c>
      <c r="AI668" s="0">
        <f>AH668*1.2</f>
        <v/>
      </c>
    </row>
    <row r="669">
      <c r="A669" s="26" t="n"/>
      <c r="B669" s="169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>
        <f>AG669</f>
        <v/>
      </c>
      <c r="T669" s="26">
        <f>AI669+Q669+P669</f>
        <v/>
      </c>
      <c r="U669" s="26" t="n"/>
      <c r="V669" s="26" t="n"/>
      <c r="W669" s="169" t="n"/>
      <c r="X669" s="26" t="n"/>
      <c r="Y669" s="26" t="n"/>
      <c r="Z669" s="26" t="n"/>
      <c r="AA669" s="26" t="n"/>
      <c r="AD669" s="0">
        <f>SUM(Y669,AA669,AC669)</f>
        <v/>
      </c>
      <c r="AE669" s="0">
        <f>X669*Y669+Z669*AA669+AB669*AC669</f>
        <v/>
      </c>
      <c r="AF669" s="0">
        <f>TEXTJOIN(", ",TRUE,IF(AND(X669&gt;0,Y669&gt;0),TEXT(X669,"0.00")&amp;"ct x "&amp;Y669,""),IF(AND(Z669&gt;0,AA669&gt;0),TEXT(Z669,"0.00")&amp;"ct x "&amp;AA669,""),IF(AND(AB669&gt;0,AC669&gt;0),TEXT(AB669,"0.00")&amp;"ct x "&amp;AC669,""))</f>
        <v/>
      </c>
      <c r="AG669" s="0">
        <f>X669*Y669*SUMIFS($AM$2:$AM$11,$AK$2:$AK$11,"&lt;="&amp;X669,$AL$2:$AL$11,"&gt;="&amp;X669)+Z669*AA669*SUMIFS($AM$2:$AM$11,$AK$2:$AK$11,"&lt;="&amp;Z669,$AL$2:$AL$11,"&gt;="&amp;Z669)+AB669*AC669*SUMIFS($AM$2:$AM$11,$AK$2:$AK$11,"&lt;="&amp;AB669,$AL$2:$AL$11,"&gt;="&amp;AB669)</f>
        <v/>
      </c>
      <c r="AH669" s="0">
        <f>AG669*(1-40%)</f>
        <v/>
      </c>
      <c r="AI669" s="0">
        <f>AH669*1.2</f>
        <v/>
      </c>
    </row>
    <row r="670">
      <c r="A670" s="26" t="n"/>
      <c r="B670" s="169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>
        <f>AG670</f>
        <v/>
      </c>
      <c r="T670" s="26">
        <f>AI670+Q670+P670</f>
        <v/>
      </c>
      <c r="U670" s="26" t="n"/>
      <c r="V670" s="26" t="n"/>
      <c r="W670" s="169" t="n"/>
      <c r="X670" s="26" t="n"/>
      <c r="Y670" s="26" t="n"/>
      <c r="Z670" s="26" t="n"/>
      <c r="AA670" s="26" t="n"/>
      <c r="AD670" s="0">
        <f>SUM(Y670,AA670,AC670)</f>
        <v/>
      </c>
      <c r="AE670" s="0">
        <f>X670*Y670+Z670*AA670+AB670*AC670</f>
        <v/>
      </c>
      <c r="AF670" s="0">
        <f>TEXTJOIN(", ",TRUE,IF(AND(X670&gt;0,Y670&gt;0),TEXT(X670,"0.00")&amp;"ct x "&amp;Y670,""),IF(AND(Z670&gt;0,AA670&gt;0),TEXT(Z670,"0.00")&amp;"ct x "&amp;AA670,""),IF(AND(AB670&gt;0,AC670&gt;0),TEXT(AB670,"0.00")&amp;"ct x "&amp;AC670,""))</f>
        <v/>
      </c>
      <c r="AG670" s="0">
        <f>X670*Y670*SUMIFS($AM$2:$AM$11,$AK$2:$AK$11,"&lt;="&amp;X670,$AL$2:$AL$11,"&gt;="&amp;X670)+Z670*AA670*SUMIFS($AM$2:$AM$11,$AK$2:$AK$11,"&lt;="&amp;Z670,$AL$2:$AL$11,"&gt;="&amp;Z670)+AB670*AC670*SUMIFS($AM$2:$AM$11,$AK$2:$AK$11,"&lt;="&amp;AB670,$AL$2:$AL$11,"&gt;="&amp;AB670)</f>
        <v/>
      </c>
      <c r="AH670" s="0">
        <f>AG670*(1-40%)</f>
        <v/>
      </c>
      <c r="AI670" s="0">
        <f>AH670*1.2</f>
        <v/>
      </c>
    </row>
    <row r="671">
      <c r="A671" s="26" t="n"/>
      <c r="B671" s="169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>
        <f>AG671</f>
        <v/>
      </c>
      <c r="T671" s="26">
        <f>AI671+Q671+P671</f>
        <v/>
      </c>
      <c r="U671" s="26" t="n"/>
      <c r="V671" s="26" t="n"/>
      <c r="W671" s="169" t="n"/>
      <c r="X671" s="26" t="n"/>
      <c r="Y671" s="26" t="n"/>
      <c r="Z671" s="26" t="n"/>
      <c r="AA671" s="26" t="n"/>
      <c r="AD671" s="0">
        <f>SUM(Y671,AA671,AC671)</f>
        <v/>
      </c>
      <c r="AE671" s="0">
        <f>X671*Y671+Z671*AA671+AB671*AC671</f>
        <v/>
      </c>
      <c r="AF671" s="0">
        <f>TEXTJOIN(", ",TRUE,IF(AND(X671&gt;0,Y671&gt;0),TEXT(X671,"0.00")&amp;"ct x "&amp;Y671,""),IF(AND(Z671&gt;0,AA671&gt;0),TEXT(Z671,"0.00")&amp;"ct x "&amp;AA671,""),IF(AND(AB671&gt;0,AC671&gt;0),TEXT(AB671,"0.00")&amp;"ct x "&amp;AC671,""))</f>
        <v/>
      </c>
      <c r="AG671" s="0">
        <f>X671*Y671*SUMIFS($AM$2:$AM$11,$AK$2:$AK$11,"&lt;="&amp;X671,$AL$2:$AL$11,"&gt;="&amp;X671)+Z671*AA671*SUMIFS($AM$2:$AM$11,$AK$2:$AK$11,"&lt;="&amp;Z671,$AL$2:$AL$11,"&gt;="&amp;Z671)+AB671*AC671*SUMIFS($AM$2:$AM$11,$AK$2:$AK$11,"&lt;="&amp;AB671,$AL$2:$AL$11,"&gt;="&amp;AB671)</f>
        <v/>
      </c>
      <c r="AH671" s="0">
        <f>AG671*(1-40%)</f>
        <v/>
      </c>
      <c r="AI671" s="0">
        <f>AH671*1.2</f>
        <v/>
      </c>
    </row>
    <row r="672">
      <c r="A672" s="26" t="n"/>
      <c r="B672" s="169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>
        <f>AG672</f>
        <v/>
      </c>
      <c r="T672" s="26">
        <f>AI672+Q672+P672</f>
        <v/>
      </c>
      <c r="U672" s="26" t="n"/>
      <c r="V672" s="26" t="n"/>
      <c r="W672" s="169" t="n"/>
      <c r="X672" s="26" t="n"/>
      <c r="Y672" s="26" t="n"/>
      <c r="Z672" s="26" t="n"/>
      <c r="AA672" s="26" t="n"/>
      <c r="AD672" s="0">
        <f>SUM(Y672,AA672,AC672)</f>
        <v/>
      </c>
      <c r="AE672" s="0">
        <f>X672*Y672+Z672*AA672+AB672*AC672</f>
        <v/>
      </c>
      <c r="AF672" s="0">
        <f>TEXTJOIN(", ",TRUE,IF(AND(X672&gt;0,Y672&gt;0),TEXT(X672,"0.00")&amp;"ct x "&amp;Y672,""),IF(AND(Z672&gt;0,AA672&gt;0),TEXT(Z672,"0.00")&amp;"ct x "&amp;AA672,""),IF(AND(AB672&gt;0,AC672&gt;0),TEXT(AB672,"0.00")&amp;"ct x "&amp;AC672,""))</f>
        <v/>
      </c>
      <c r="AG672" s="0">
        <f>X672*Y672*SUMIFS($AM$2:$AM$11,$AK$2:$AK$11,"&lt;="&amp;X672,$AL$2:$AL$11,"&gt;="&amp;X672)+Z672*AA672*SUMIFS($AM$2:$AM$11,$AK$2:$AK$11,"&lt;="&amp;Z672,$AL$2:$AL$11,"&gt;="&amp;Z672)+AB672*AC672*SUMIFS($AM$2:$AM$11,$AK$2:$AK$11,"&lt;="&amp;AB672,$AL$2:$AL$11,"&gt;="&amp;AB672)</f>
        <v/>
      </c>
      <c r="AH672" s="0">
        <f>AG672*(1-40%)</f>
        <v/>
      </c>
      <c r="AI672" s="0">
        <f>AH672*1.2</f>
        <v/>
      </c>
    </row>
    <row r="673">
      <c r="A673" s="26" t="n"/>
      <c r="B673" s="169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>
        <f>AG673</f>
        <v/>
      </c>
      <c r="T673" s="26">
        <f>AI673+Q673+P673</f>
        <v/>
      </c>
      <c r="U673" s="26" t="n"/>
      <c r="V673" s="26" t="n"/>
      <c r="W673" s="169" t="n"/>
      <c r="X673" s="26" t="n"/>
      <c r="Y673" s="26" t="n"/>
      <c r="Z673" s="26" t="n"/>
      <c r="AA673" s="26" t="n"/>
      <c r="AD673" s="0">
        <f>SUM(Y673,AA673,AC673)</f>
        <v/>
      </c>
      <c r="AE673" s="0">
        <f>X673*Y673+Z673*AA673+AB673*AC673</f>
        <v/>
      </c>
      <c r="AF673" s="0">
        <f>TEXTJOIN(", ",TRUE,IF(AND(X673&gt;0,Y673&gt;0),TEXT(X673,"0.00")&amp;"ct x "&amp;Y673,""),IF(AND(Z673&gt;0,AA673&gt;0),TEXT(Z673,"0.00")&amp;"ct x "&amp;AA673,""),IF(AND(AB673&gt;0,AC673&gt;0),TEXT(AB673,"0.00")&amp;"ct x "&amp;AC673,""))</f>
        <v/>
      </c>
      <c r="AG673" s="0">
        <f>X673*Y673*SUMIFS($AM$2:$AM$11,$AK$2:$AK$11,"&lt;="&amp;X673,$AL$2:$AL$11,"&gt;="&amp;X673)+Z673*AA673*SUMIFS($AM$2:$AM$11,$AK$2:$AK$11,"&lt;="&amp;Z673,$AL$2:$AL$11,"&gt;="&amp;Z673)+AB673*AC673*SUMIFS($AM$2:$AM$11,$AK$2:$AK$11,"&lt;="&amp;AB673,$AL$2:$AL$11,"&gt;="&amp;AB673)</f>
        <v/>
      </c>
      <c r="AH673" s="0">
        <f>AG673*(1-40%)</f>
        <v/>
      </c>
      <c r="AI673" s="0">
        <f>AH673*1.2</f>
        <v/>
      </c>
    </row>
    <row r="674">
      <c r="A674" s="26" t="n"/>
      <c r="B674" s="169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>
        <f>AG674</f>
        <v/>
      </c>
      <c r="T674" s="26">
        <f>AI674+Q674+P674</f>
        <v/>
      </c>
      <c r="U674" s="26" t="n"/>
      <c r="V674" s="26" t="n"/>
      <c r="W674" s="169" t="n"/>
      <c r="X674" s="26" t="n"/>
      <c r="Y674" s="26" t="n"/>
      <c r="Z674" s="26" t="n"/>
      <c r="AA674" s="26" t="n"/>
      <c r="AD674" s="0">
        <f>SUM(Y674,AA674,AC674)</f>
        <v/>
      </c>
      <c r="AE674" s="0">
        <f>X674*Y674+Z674*AA674+AB674*AC674</f>
        <v/>
      </c>
      <c r="AF674" s="0">
        <f>TEXTJOIN(", ",TRUE,IF(AND(X674&gt;0,Y674&gt;0),TEXT(X674,"0.00")&amp;"ct x "&amp;Y674,""),IF(AND(Z674&gt;0,AA674&gt;0),TEXT(Z674,"0.00")&amp;"ct x "&amp;AA674,""),IF(AND(AB674&gt;0,AC674&gt;0),TEXT(AB674,"0.00")&amp;"ct x "&amp;AC674,""))</f>
        <v/>
      </c>
      <c r="AG674" s="0">
        <f>X674*Y674*SUMIFS($AM$2:$AM$11,$AK$2:$AK$11,"&lt;="&amp;X674,$AL$2:$AL$11,"&gt;="&amp;X674)+Z674*AA674*SUMIFS($AM$2:$AM$11,$AK$2:$AK$11,"&lt;="&amp;Z674,$AL$2:$AL$11,"&gt;="&amp;Z674)+AB674*AC674*SUMIFS($AM$2:$AM$11,$AK$2:$AK$11,"&lt;="&amp;AB674,$AL$2:$AL$11,"&gt;="&amp;AB674)</f>
        <v/>
      </c>
      <c r="AH674" s="0">
        <f>AG674*(1-40%)</f>
        <v/>
      </c>
      <c r="AI674" s="0">
        <f>AH674*1.2</f>
        <v/>
      </c>
    </row>
    <row r="675">
      <c r="A675" s="26" t="n"/>
      <c r="B675" s="169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>
        <f>AG675</f>
        <v/>
      </c>
      <c r="T675" s="26">
        <f>AI675+Q675+P675</f>
        <v/>
      </c>
      <c r="U675" s="26" t="n"/>
      <c r="V675" s="26" t="n"/>
      <c r="W675" s="169" t="n"/>
      <c r="X675" s="26" t="n"/>
      <c r="Y675" s="26" t="n"/>
      <c r="Z675" s="26" t="n"/>
      <c r="AA675" s="26" t="n"/>
      <c r="AD675" s="0">
        <f>SUM(Y675,AA675,AC675)</f>
        <v/>
      </c>
      <c r="AE675" s="0">
        <f>X675*Y675+Z675*AA675+AB675*AC675</f>
        <v/>
      </c>
      <c r="AF675" s="0">
        <f>TEXTJOIN(", ",TRUE,IF(AND(X675&gt;0,Y675&gt;0),TEXT(X675,"0.00")&amp;"ct x "&amp;Y675,""),IF(AND(Z675&gt;0,AA675&gt;0),TEXT(Z675,"0.00")&amp;"ct x "&amp;AA675,""),IF(AND(AB675&gt;0,AC675&gt;0),TEXT(AB675,"0.00")&amp;"ct x "&amp;AC675,""))</f>
        <v/>
      </c>
      <c r="AG675" s="0">
        <f>X675*Y675*SUMIFS($AM$2:$AM$11,$AK$2:$AK$11,"&lt;="&amp;X675,$AL$2:$AL$11,"&gt;="&amp;X675)+Z675*AA675*SUMIFS($AM$2:$AM$11,$AK$2:$AK$11,"&lt;="&amp;Z675,$AL$2:$AL$11,"&gt;="&amp;Z675)+AB675*AC675*SUMIFS($AM$2:$AM$11,$AK$2:$AK$11,"&lt;="&amp;AB675,$AL$2:$AL$11,"&gt;="&amp;AB675)</f>
        <v/>
      </c>
      <c r="AH675" s="0">
        <f>AG675*(1-40%)</f>
        <v/>
      </c>
      <c r="AI675" s="0">
        <f>AH675*1.2</f>
        <v/>
      </c>
    </row>
    <row r="676">
      <c r="A676" s="26" t="n"/>
      <c r="B676" s="169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>
        <f>AG676</f>
        <v/>
      </c>
      <c r="T676" s="26">
        <f>AI676+Q676+P676</f>
        <v/>
      </c>
      <c r="U676" s="26" t="n"/>
      <c r="V676" s="26" t="n"/>
      <c r="W676" s="169" t="n"/>
      <c r="X676" s="26" t="n"/>
      <c r="Y676" s="26" t="n"/>
      <c r="Z676" s="26" t="n"/>
      <c r="AA676" s="26" t="n"/>
      <c r="AD676" s="0">
        <f>SUM(Y676,AA676,AC676)</f>
        <v/>
      </c>
      <c r="AE676" s="0">
        <f>X676*Y676+Z676*AA676+AB676*AC676</f>
        <v/>
      </c>
      <c r="AF676" s="0">
        <f>TEXTJOIN(", ",TRUE,IF(AND(X676&gt;0,Y676&gt;0),TEXT(X676,"0.00")&amp;"ct x "&amp;Y676,""),IF(AND(Z676&gt;0,AA676&gt;0),TEXT(Z676,"0.00")&amp;"ct x "&amp;AA676,""),IF(AND(AB676&gt;0,AC676&gt;0),TEXT(AB676,"0.00")&amp;"ct x "&amp;AC676,""))</f>
        <v/>
      </c>
      <c r="AG676" s="0">
        <f>X676*Y676*SUMIFS($AM$2:$AM$11,$AK$2:$AK$11,"&lt;="&amp;X676,$AL$2:$AL$11,"&gt;="&amp;X676)+Z676*AA676*SUMIFS($AM$2:$AM$11,$AK$2:$AK$11,"&lt;="&amp;Z676,$AL$2:$AL$11,"&gt;="&amp;Z676)+AB676*AC676*SUMIFS($AM$2:$AM$11,$AK$2:$AK$11,"&lt;="&amp;AB676,$AL$2:$AL$11,"&gt;="&amp;AB676)</f>
        <v/>
      </c>
      <c r="AH676" s="0">
        <f>AG676*(1-40%)</f>
        <v/>
      </c>
      <c r="AI676" s="0">
        <f>AH676*1.2</f>
        <v/>
      </c>
    </row>
    <row r="677">
      <c r="A677" s="26" t="n"/>
      <c r="B677" s="169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>
        <f>AG677</f>
        <v/>
      </c>
      <c r="T677" s="26">
        <f>AI677+Q677+P677</f>
        <v/>
      </c>
      <c r="U677" s="26" t="n"/>
      <c r="V677" s="26" t="n"/>
      <c r="W677" s="169" t="n"/>
      <c r="X677" s="26" t="n"/>
      <c r="Y677" s="26" t="n"/>
      <c r="Z677" s="26" t="n"/>
      <c r="AA677" s="26" t="n"/>
      <c r="AD677" s="0">
        <f>SUM(Y677,AA677,AC677)</f>
        <v/>
      </c>
      <c r="AE677" s="0">
        <f>X677*Y677+Z677*AA677+AB677*AC677</f>
        <v/>
      </c>
      <c r="AF677" s="0">
        <f>TEXTJOIN(", ",TRUE,IF(AND(X677&gt;0,Y677&gt;0),TEXT(X677,"0.00")&amp;"ct x "&amp;Y677,""),IF(AND(Z677&gt;0,AA677&gt;0),TEXT(Z677,"0.00")&amp;"ct x "&amp;AA677,""),IF(AND(AB677&gt;0,AC677&gt;0),TEXT(AB677,"0.00")&amp;"ct x "&amp;AC677,""))</f>
        <v/>
      </c>
      <c r="AG677" s="0">
        <f>X677*Y677*SUMIFS($AM$2:$AM$11,$AK$2:$AK$11,"&lt;="&amp;X677,$AL$2:$AL$11,"&gt;="&amp;X677)+Z677*AA677*SUMIFS($AM$2:$AM$11,$AK$2:$AK$11,"&lt;="&amp;Z677,$AL$2:$AL$11,"&gt;="&amp;Z677)+AB677*AC677*SUMIFS($AM$2:$AM$11,$AK$2:$AK$11,"&lt;="&amp;AB677,$AL$2:$AL$11,"&gt;="&amp;AB677)</f>
        <v/>
      </c>
      <c r="AH677" s="0">
        <f>AG677*(1-40%)</f>
        <v/>
      </c>
      <c r="AI677" s="0">
        <f>AH677*1.2</f>
        <v/>
      </c>
    </row>
    <row r="678">
      <c r="A678" s="26" t="n"/>
      <c r="B678" s="169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>
        <f>AG678</f>
        <v/>
      </c>
      <c r="T678" s="26">
        <f>AI678+Q678+P678</f>
        <v/>
      </c>
      <c r="U678" s="26" t="n"/>
      <c r="V678" s="26" t="n"/>
      <c r="W678" s="169" t="n"/>
      <c r="X678" s="26" t="n"/>
      <c r="Y678" s="26" t="n"/>
      <c r="Z678" s="26" t="n"/>
      <c r="AA678" s="26" t="n"/>
      <c r="AD678" s="0">
        <f>SUM(Y678,AA678,AC678)</f>
        <v/>
      </c>
      <c r="AE678" s="0">
        <f>X678*Y678+Z678*AA678+AB678*AC678</f>
        <v/>
      </c>
      <c r="AF678" s="0">
        <f>TEXTJOIN(", ",TRUE,IF(AND(X678&gt;0,Y678&gt;0),TEXT(X678,"0.00")&amp;"ct x "&amp;Y678,""),IF(AND(Z678&gt;0,AA678&gt;0),TEXT(Z678,"0.00")&amp;"ct x "&amp;AA678,""),IF(AND(AB678&gt;0,AC678&gt;0),TEXT(AB678,"0.00")&amp;"ct x "&amp;AC678,""))</f>
        <v/>
      </c>
      <c r="AG678" s="0">
        <f>X678*Y678*SUMIFS($AM$2:$AM$11,$AK$2:$AK$11,"&lt;="&amp;X678,$AL$2:$AL$11,"&gt;="&amp;X678)+Z678*AA678*SUMIFS($AM$2:$AM$11,$AK$2:$AK$11,"&lt;="&amp;Z678,$AL$2:$AL$11,"&gt;="&amp;Z678)+AB678*AC678*SUMIFS($AM$2:$AM$11,$AK$2:$AK$11,"&lt;="&amp;AB678,$AL$2:$AL$11,"&gt;="&amp;AB678)</f>
        <v/>
      </c>
      <c r="AH678" s="0">
        <f>AG678*(1-40%)</f>
        <v/>
      </c>
      <c r="AI678" s="0">
        <f>AH678*1.2</f>
        <v/>
      </c>
    </row>
    <row r="679">
      <c r="A679" s="26" t="n"/>
      <c r="B679" s="169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>
        <f>AG679</f>
        <v/>
      </c>
      <c r="T679" s="26">
        <f>AI679+Q679+P679</f>
        <v/>
      </c>
      <c r="U679" s="26" t="n"/>
      <c r="V679" s="26" t="n"/>
      <c r="W679" s="169" t="n"/>
      <c r="X679" s="26" t="n"/>
      <c r="Y679" s="26" t="n"/>
      <c r="Z679" s="26" t="n"/>
      <c r="AA679" s="26" t="n"/>
      <c r="AD679" s="0">
        <f>SUM(Y679,AA679,AC679)</f>
        <v/>
      </c>
      <c r="AE679" s="0">
        <f>X679*Y679+Z679*AA679+AB679*AC679</f>
        <v/>
      </c>
      <c r="AF679" s="0">
        <f>TEXTJOIN(", ",TRUE,IF(AND(X679&gt;0,Y679&gt;0),TEXT(X679,"0.00")&amp;"ct x "&amp;Y679,""),IF(AND(Z679&gt;0,AA679&gt;0),TEXT(Z679,"0.00")&amp;"ct x "&amp;AA679,""),IF(AND(AB679&gt;0,AC679&gt;0),TEXT(AB679,"0.00")&amp;"ct x "&amp;AC679,""))</f>
        <v/>
      </c>
      <c r="AG679" s="0">
        <f>X679*Y679*SUMIFS($AM$2:$AM$11,$AK$2:$AK$11,"&lt;="&amp;X679,$AL$2:$AL$11,"&gt;="&amp;X679)+Z679*AA679*SUMIFS($AM$2:$AM$11,$AK$2:$AK$11,"&lt;="&amp;Z679,$AL$2:$AL$11,"&gt;="&amp;Z679)+AB679*AC679*SUMIFS($AM$2:$AM$11,$AK$2:$AK$11,"&lt;="&amp;AB679,$AL$2:$AL$11,"&gt;="&amp;AB679)</f>
        <v/>
      </c>
      <c r="AH679" s="0">
        <f>AG679*(1-40%)</f>
        <v/>
      </c>
      <c r="AI679" s="0">
        <f>AH679*1.2</f>
        <v/>
      </c>
    </row>
    <row r="680">
      <c r="A680" s="26" t="n"/>
      <c r="B680" s="169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>
        <f>AG680</f>
        <v/>
      </c>
      <c r="T680" s="26">
        <f>AI680+Q680+P680</f>
        <v/>
      </c>
      <c r="U680" s="26" t="n"/>
      <c r="V680" s="26" t="n"/>
      <c r="W680" s="169" t="n"/>
      <c r="X680" s="26" t="n"/>
      <c r="Y680" s="26" t="n"/>
      <c r="Z680" s="26" t="n"/>
      <c r="AA680" s="26" t="n"/>
      <c r="AD680" s="0">
        <f>SUM(Y680,AA680,AC680)</f>
        <v/>
      </c>
      <c r="AE680" s="0">
        <f>X680*Y680+Z680*AA680+AB680*AC680</f>
        <v/>
      </c>
      <c r="AF680" s="0">
        <f>TEXTJOIN(", ",TRUE,IF(AND(X680&gt;0,Y680&gt;0),TEXT(X680,"0.00")&amp;"ct x "&amp;Y680,""),IF(AND(Z680&gt;0,AA680&gt;0),TEXT(Z680,"0.00")&amp;"ct x "&amp;AA680,""),IF(AND(AB680&gt;0,AC680&gt;0),TEXT(AB680,"0.00")&amp;"ct x "&amp;AC680,""))</f>
        <v/>
      </c>
      <c r="AG680" s="0">
        <f>X680*Y680*SUMIFS($AM$2:$AM$11,$AK$2:$AK$11,"&lt;="&amp;X680,$AL$2:$AL$11,"&gt;="&amp;X680)+Z680*AA680*SUMIFS($AM$2:$AM$11,$AK$2:$AK$11,"&lt;="&amp;Z680,$AL$2:$AL$11,"&gt;="&amp;Z680)+AB680*AC680*SUMIFS($AM$2:$AM$11,$AK$2:$AK$11,"&lt;="&amp;AB680,$AL$2:$AL$11,"&gt;="&amp;AB680)</f>
        <v/>
      </c>
      <c r="AH680" s="0">
        <f>AG680*(1-40%)</f>
        <v/>
      </c>
      <c r="AI680" s="0">
        <f>AH680*1.2</f>
        <v/>
      </c>
    </row>
    <row r="681">
      <c r="A681" s="26" t="n"/>
      <c r="B681" s="169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>
        <f>AG681</f>
        <v/>
      </c>
      <c r="T681" s="26">
        <f>AI681+Q681+P681</f>
        <v/>
      </c>
      <c r="U681" s="26" t="n"/>
      <c r="V681" s="26" t="n"/>
      <c r="W681" s="169" t="n"/>
      <c r="X681" s="26" t="n"/>
      <c r="Y681" s="26" t="n"/>
      <c r="Z681" s="26" t="n"/>
      <c r="AA681" s="26" t="n"/>
      <c r="AD681" s="0">
        <f>SUM(Y681,AA681,AC681)</f>
        <v/>
      </c>
      <c r="AE681" s="0">
        <f>X681*Y681+Z681*AA681+AB681*AC681</f>
        <v/>
      </c>
      <c r="AF681" s="0">
        <f>TEXTJOIN(", ",TRUE,IF(AND(X681&gt;0,Y681&gt;0),TEXT(X681,"0.00")&amp;"ct x "&amp;Y681,""),IF(AND(Z681&gt;0,AA681&gt;0),TEXT(Z681,"0.00")&amp;"ct x "&amp;AA681,""),IF(AND(AB681&gt;0,AC681&gt;0),TEXT(AB681,"0.00")&amp;"ct x "&amp;AC681,""))</f>
        <v/>
      </c>
      <c r="AG681" s="0">
        <f>X681*Y681*SUMIFS($AM$2:$AM$11,$AK$2:$AK$11,"&lt;="&amp;X681,$AL$2:$AL$11,"&gt;="&amp;X681)+Z681*AA681*SUMIFS($AM$2:$AM$11,$AK$2:$AK$11,"&lt;="&amp;Z681,$AL$2:$AL$11,"&gt;="&amp;Z681)+AB681*AC681*SUMIFS($AM$2:$AM$11,$AK$2:$AK$11,"&lt;="&amp;AB681,$AL$2:$AL$11,"&gt;="&amp;AB681)</f>
        <v/>
      </c>
      <c r="AH681" s="0">
        <f>AG681*(1-40%)</f>
        <v/>
      </c>
      <c r="AI681" s="0">
        <f>AH681*1.2</f>
        <v/>
      </c>
    </row>
    <row r="682">
      <c r="A682" s="26" t="n"/>
      <c r="B682" s="169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>
        <f>AG682</f>
        <v/>
      </c>
      <c r="T682" s="26">
        <f>AI682+Q682+P682</f>
        <v/>
      </c>
      <c r="U682" s="26" t="n"/>
      <c r="V682" s="26" t="n"/>
      <c r="W682" s="169" t="n"/>
      <c r="X682" s="26" t="n"/>
      <c r="Y682" s="26" t="n"/>
      <c r="Z682" s="26" t="n"/>
      <c r="AA682" s="26" t="n"/>
      <c r="AD682" s="0">
        <f>SUM(Y682,AA682,AC682)</f>
        <v/>
      </c>
      <c r="AE682" s="0">
        <f>X682*Y682+Z682*AA682+AB682*AC682</f>
        <v/>
      </c>
      <c r="AF682" s="0">
        <f>TEXTJOIN(", ",TRUE,IF(AND(X682&gt;0,Y682&gt;0),TEXT(X682,"0.00")&amp;"ct x "&amp;Y682,""),IF(AND(Z682&gt;0,AA682&gt;0),TEXT(Z682,"0.00")&amp;"ct x "&amp;AA682,""),IF(AND(AB682&gt;0,AC682&gt;0),TEXT(AB682,"0.00")&amp;"ct x "&amp;AC682,""))</f>
        <v/>
      </c>
      <c r="AG682" s="0">
        <f>X682*Y682*SUMIFS($AM$2:$AM$11,$AK$2:$AK$11,"&lt;="&amp;X682,$AL$2:$AL$11,"&gt;="&amp;X682)+Z682*AA682*SUMIFS($AM$2:$AM$11,$AK$2:$AK$11,"&lt;="&amp;Z682,$AL$2:$AL$11,"&gt;="&amp;Z682)+AB682*AC682*SUMIFS($AM$2:$AM$11,$AK$2:$AK$11,"&lt;="&amp;AB682,$AL$2:$AL$11,"&gt;="&amp;AB682)</f>
        <v/>
      </c>
      <c r="AH682" s="0">
        <f>AG682*(1-40%)</f>
        <v/>
      </c>
      <c r="AI682" s="0">
        <f>AH682*1.2</f>
        <v/>
      </c>
    </row>
    <row r="683">
      <c r="A683" s="26" t="n"/>
      <c r="B683" s="169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>
        <f>AG683</f>
        <v/>
      </c>
      <c r="T683" s="26">
        <f>AI683+Q683+P683</f>
        <v/>
      </c>
      <c r="U683" s="26" t="n"/>
      <c r="V683" s="26" t="n"/>
      <c r="W683" s="169" t="n"/>
      <c r="X683" s="26" t="n"/>
      <c r="Y683" s="26" t="n"/>
      <c r="Z683" s="26" t="n"/>
      <c r="AA683" s="26" t="n"/>
      <c r="AD683" s="0">
        <f>SUM(Y683,AA683,AC683)</f>
        <v/>
      </c>
      <c r="AE683" s="0">
        <f>X683*Y683+Z683*AA683+AB683*AC683</f>
        <v/>
      </c>
      <c r="AF683" s="0">
        <f>TEXTJOIN(", ",TRUE,IF(AND(X683&gt;0,Y683&gt;0),TEXT(X683,"0.00")&amp;"ct x "&amp;Y683,""),IF(AND(Z683&gt;0,AA683&gt;0),TEXT(Z683,"0.00")&amp;"ct x "&amp;AA683,""),IF(AND(AB683&gt;0,AC683&gt;0),TEXT(AB683,"0.00")&amp;"ct x "&amp;AC683,""))</f>
        <v/>
      </c>
      <c r="AG683" s="0">
        <f>X683*Y683*SUMIFS($AM$2:$AM$11,$AK$2:$AK$11,"&lt;="&amp;X683,$AL$2:$AL$11,"&gt;="&amp;X683)+Z683*AA683*SUMIFS($AM$2:$AM$11,$AK$2:$AK$11,"&lt;="&amp;Z683,$AL$2:$AL$11,"&gt;="&amp;Z683)+AB683*AC683*SUMIFS($AM$2:$AM$11,$AK$2:$AK$11,"&lt;="&amp;AB683,$AL$2:$AL$11,"&gt;="&amp;AB683)</f>
        <v/>
      </c>
      <c r="AH683" s="0">
        <f>AG683*(1-40%)</f>
        <v/>
      </c>
      <c r="AI683" s="0">
        <f>AH683*1.2</f>
        <v/>
      </c>
    </row>
    <row r="684">
      <c r="A684" s="26" t="n"/>
      <c r="B684" s="169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>
        <f>AG684</f>
        <v/>
      </c>
      <c r="T684" s="26">
        <f>AI684+Q684+P684</f>
        <v/>
      </c>
      <c r="U684" s="26" t="n"/>
      <c r="V684" s="26" t="n"/>
      <c r="W684" s="169" t="n"/>
      <c r="X684" s="26" t="n"/>
      <c r="Y684" s="26" t="n"/>
      <c r="Z684" s="26" t="n"/>
      <c r="AA684" s="26" t="n"/>
      <c r="AD684" s="0">
        <f>SUM(Y684,AA684,AC684)</f>
        <v/>
      </c>
      <c r="AE684" s="0">
        <f>X684*Y684+Z684*AA684+AB684*AC684</f>
        <v/>
      </c>
      <c r="AF684" s="0">
        <f>TEXTJOIN(", ",TRUE,IF(AND(X684&gt;0,Y684&gt;0),TEXT(X684,"0.00")&amp;"ct x "&amp;Y684,""),IF(AND(Z684&gt;0,AA684&gt;0),TEXT(Z684,"0.00")&amp;"ct x "&amp;AA684,""),IF(AND(AB684&gt;0,AC684&gt;0),TEXT(AB684,"0.00")&amp;"ct x "&amp;AC684,""))</f>
        <v/>
      </c>
      <c r="AG684" s="0">
        <f>X684*Y684*SUMIFS($AM$2:$AM$11,$AK$2:$AK$11,"&lt;="&amp;X684,$AL$2:$AL$11,"&gt;="&amp;X684)+Z684*AA684*SUMIFS($AM$2:$AM$11,$AK$2:$AK$11,"&lt;="&amp;Z684,$AL$2:$AL$11,"&gt;="&amp;Z684)+AB684*AC684*SUMIFS($AM$2:$AM$11,$AK$2:$AK$11,"&lt;="&amp;AB684,$AL$2:$AL$11,"&gt;="&amp;AB684)</f>
        <v/>
      </c>
      <c r="AH684" s="0">
        <f>AG684*(1-40%)</f>
        <v/>
      </c>
      <c r="AI684" s="0">
        <f>AH684*1.2</f>
        <v/>
      </c>
    </row>
    <row r="685">
      <c r="A685" s="26" t="n"/>
      <c r="B685" s="169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>
        <f>AG685</f>
        <v/>
      </c>
      <c r="T685" s="26">
        <f>AI685+Q685+P685</f>
        <v/>
      </c>
      <c r="U685" s="26" t="n"/>
      <c r="V685" s="26" t="n"/>
      <c r="W685" s="169" t="n"/>
      <c r="X685" s="26" t="n"/>
      <c r="Y685" s="26" t="n"/>
      <c r="Z685" s="26" t="n"/>
      <c r="AA685" s="26" t="n"/>
      <c r="AD685" s="0">
        <f>SUM(Y685,AA685,AC685)</f>
        <v/>
      </c>
      <c r="AE685" s="0">
        <f>X685*Y685+Z685*AA685+AB685*AC685</f>
        <v/>
      </c>
      <c r="AF685" s="0">
        <f>TEXTJOIN(", ",TRUE,IF(AND(X685&gt;0,Y685&gt;0),TEXT(X685,"0.00")&amp;"ct x "&amp;Y685,""),IF(AND(Z685&gt;0,AA685&gt;0),TEXT(Z685,"0.00")&amp;"ct x "&amp;AA685,""),IF(AND(AB685&gt;0,AC685&gt;0),TEXT(AB685,"0.00")&amp;"ct x "&amp;AC685,""))</f>
        <v/>
      </c>
      <c r="AG685" s="0">
        <f>X685*Y685*SUMIFS($AM$2:$AM$11,$AK$2:$AK$11,"&lt;="&amp;X685,$AL$2:$AL$11,"&gt;="&amp;X685)+Z685*AA685*SUMIFS($AM$2:$AM$11,$AK$2:$AK$11,"&lt;="&amp;Z685,$AL$2:$AL$11,"&gt;="&amp;Z685)+AB685*AC685*SUMIFS($AM$2:$AM$11,$AK$2:$AK$11,"&lt;="&amp;AB685,$AL$2:$AL$11,"&gt;="&amp;AB685)</f>
        <v/>
      </c>
      <c r="AH685" s="0">
        <f>AG685*(1-40%)</f>
        <v/>
      </c>
      <c r="AI685" s="0">
        <f>AH685*1.2</f>
        <v/>
      </c>
    </row>
    <row r="686">
      <c r="A686" s="26" t="n"/>
      <c r="B686" s="169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>
        <f>AG686</f>
        <v/>
      </c>
      <c r="T686" s="26">
        <f>AI686+Q686+P686</f>
        <v/>
      </c>
      <c r="U686" s="26" t="n"/>
      <c r="V686" s="26" t="n"/>
      <c r="W686" s="169" t="n"/>
      <c r="X686" s="26" t="n"/>
      <c r="Y686" s="26" t="n"/>
      <c r="Z686" s="26" t="n"/>
      <c r="AA686" s="26" t="n"/>
      <c r="AD686" s="0">
        <f>SUM(Y686,AA686,AC686)</f>
        <v/>
      </c>
      <c r="AE686" s="0">
        <f>X686*Y686+Z686*AA686+AB686*AC686</f>
        <v/>
      </c>
      <c r="AF686" s="0">
        <f>TEXTJOIN(", ",TRUE,IF(AND(X686&gt;0,Y686&gt;0),TEXT(X686,"0.00")&amp;"ct x "&amp;Y686,""),IF(AND(Z686&gt;0,AA686&gt;0),TEXT(Z686,"0.00")&amp;"ct x "&amp;AA686,""),IF(AND(AB686&gt;0,AC686&gt;0),TEXT(AB686,"0.00")&amp;"ct x "&amp;AC686,""))</f>
        <v/>
      </c>
      <c r="AG686" s="0">
        <f>X686*Y686*SUMIFS($AM$2:$AM$11,$AK$2:$AK$11,"&lt;="&amp;X686,$AL$2:$AL$11,"&gt;="&amp;X686)+Z686*AA686*SUMIFS($AM$2:$AM$11,$AK$2:$AK$11,"&lt;="&amp;Z686,$AL$2:$AL$11,"&gt;="&amp;Z686)+AB686*AC686*SUMIFS($AM$2:$AM$11,$AK$2:$AK$11,"&lt;="&amp;AB686,$AL$2:$AL$11,"&gt;="&amp;AB686)</f>
        <v/>
      </c>
      <c r="AH686" s="0">
        <f>AG686*(1-40%)</f>
        <v/>
      </c>
      <c r="AI686" s="0">
        <f>AH686*1.2</f>
        <v/>
      </c>
    </row>
    <row r="687">
      <c r="A687" s="26" t="n"/>
      <c r="B687" s="169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>
        <f>AG687</f>
        <v/>
      </c>
      <c r="T687" s="26">
        <f>AI687+Q687+P687</f>
        <v/>
      </c>
      <c r="U687" s="26" t="n"/>
      <c r="V687" s="26" t="n"/>
      <c r="W687" s="169" t="n"/>
      <c r="X687" s="26" t="n"/>
      <c r="Y687" s="26" t="n"/>
      <c r="Z687" s="26" t="n"/>
      <c r="AA687" s="26" t="n"/>
      <c r="AD687" s="0">
        <f>SUM(Y687,AA687,AC687)</f>
        <v/>
      </c>
      <c r="AE687" s="0">
        <f>X687*Y687+Z687*AA687+AB687*AC687</f>
        <v/>
      </c>
      <c r="AF687" s="0">
        <f>TEXTJOIN(", ",TRUE,IF(AND(X687&gt;0,Y687&gt;0),TEXT(X687,"0.00")&amp;"ct x "&amp;Y687,""),IF(AND(Z687&gt;0,AA687&gt;0),TEXT(Z687,"0.00")&amp;"ct x "&amp;AA687,""),IF(AND(AB687&gt;0,AC687&gt;0),TEXT(AB687,"0.00")&amp;"ct x "&amp;AC687,""))</f>
        <v/>
      </c>
      <c r="AG687" s="0">
        <f>X687*Y687*SUMIFS($AM$2:$AM$11,$AK$2:$AK$11,"&lt;="&amp;X687,$AL$2:$AL$11,"&gt;="&amp;X687)+Z687*AA687*SUMIFS($AM$2:$AM$11,$AK$2:$AK$11,"&lt;="&amp;Z687,$AL$2:$AL$11,"&gt;="&amp;Z687)+AB687*AC687*SUMIFS($AM$2:$AM$11,$AK$2:$AK$11,"&lt;="&amp;AB687,$AL$2:$AL$11,"&gt;="&amp;AB687)</f>
        <v/>
      </c>
      <c r="AH687" s="0">
        <f>AG687*(1-40%)</f>
        <v/>
      </c>
      <c r="AI687" s="0">
        <f>AH687*1.2</f>
        <v/>
      </c>
    </row>
    <row r="688">
      <c r="A688" s="26" t="n"/>
      <c r="B688" s="169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>
        <f>AG688</f>
        <v/>
      </c>
      <c r="T688" s="26">
        <f>AI688+Q688+P688</f>
        <v/>
      </c>
      <c r="U688" s="26" t="n"/>
      <c r="V688" s="26" t="n"/>
      <c r="W688" s="169" t="n"/>
      <c r="X688" s="26" t="n"/>
      <c r="Y688" s="26" t="n"/>
      <c r="Z688" s="26" t="n"/>
      <c r="AA688" s="26" t="n"/>
      <c r="AD688" s="0">
        <f>SUM(Y688,AA688,AC688)</f>
        <v/>
      </c>
      <c r="AE688" s="0">
        <f>X688*Y688+Z688*AA688+AB688*AC688</f>
        <v/>
      </c>
      <c r="AF688" s="0">
        <f>TEXTJOIN(", ",TRUE,IF(AND(X688&gt;0,Y688&gt;0),TEXT(X688,"0.00")&amp;"ct x "&amp;Y688,""),IF(AND(Z688&gt;0,AA688&gt;0),TEXT(Z688,"0.00")&amp;"ct x "&amp;AA688,""),IF(AND(AB688&gt;0,AC688&gt;0),TEXT(AB688,"0.00")&amp;"ct x "&amp;AC688,""))</f>
        <v/>
      </c>
      <c r="AG688" s="0">
        <f>X688*Y688*SUMIFS($AM$2:$AM$11,$AK$2:$AK$11,"&lt;="&amp;X688,$AL$2:$AL$11,"&gt;="&amp;X688)+Z688*AA688*SUMIFS($AM$2:$AM$11,$AK$2:$AK$11,"&lt;="&amp;Z688,$AL$2:$AL$11,"&gt;="&amp;Z688)+AB688*AC688*SUMIFS($AM$2:$AM$11,$AK$2:$AK$11,"&lt;="&amp;AB688,$AL$2:$AL$11,"&gt;="&amp;AB688)</f>
        <v/>
      </c>
      <c r="AH688" s="0">
        <f>AG688*(1-40%)</f>
        <v/>
      </c>
      <c r="AI688" s="0">
        <f>AH688*1.2</f>
        <v/>
      </c>
    </row>
    <row r="689">
      <c r="A689" s="26" t="n"/>
      <c r="B689" s="169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>
        <f>AG689</f>
        <v/>
      </c>
      <c r="T689" s="26">
        <f>AI689+Q689+P689</f>
        <v/>
      </c>
      <c r="U689" s="26" t="n"/>
      <c r="V689" s="26" t="n"/>
      <c r="W689" s="169" t="n"/>
      <c r="X689" s="26" t="n"/>
      <c r="Y689" s="26" t="n"/>
      <c r="Z689" s="26" t="n"/>
      <c r="AA689" s="26" t="n"/>
      <c r="AD689" s="0">
        <f>SUM(Y689,AA689,AC689)</f>
        <v/>
      </c>
      <c r="AE689" s="0">
        <f>X689*Y689+Z689*AA689+AB689*AC689</f>
        <v/>
      </c>
      <c r="AF689" s="0">
        <f>TEXTJOIN(", ",TRUE,IF(AND(X689&gt;0,Y689&gt;0),TEXT(X689,"0.00")&amp;"ct x "&amp;Y689,""),IF(AND(Z689&gt;0,AA689&gt;0),TEXT(Z689,"0.00")&amp;"ct x "&amp;AA689,""),IF(AND(AB689&gt;0,AC689&gt;0),TEXT(AB689,"0.00")&amp;"ct x "&amp;AC689,""))</f>
        <v/>
      </c>
      <c r="AG689" s="0">
        <f>X689*Y689*SUMIFS($AM$2:$AM$11,$AK$2:$AK$11,"&lt;="&amp;X689,$AL$2:$AL$11,"&gt;="&amp;X689)+Z689*AA689*SUMIFS($AM$2:$AM$11,$AK$2:$AK$11,"&lt;="&amp;Z689,$AL$2:$AL$11,"&gt;="&amp;Z689)+AB689*AC689*SUMIFS($AM$2:$AM$11,$AK$2:$AK$11,"&lt;="&amp;AB689,$AL$2:$AL$11,"&gt;="&amp;AB689)</f>
        <v/>
      </c>
      <c r="AH689" s="0">
        <f>AG689*(1-40%)</f>
        <v/>
      </c>
      <c r="AI689" s="0">
        <f>AH689*1.2</f>
        <v/>
      </c>
    </row>
    <row r="690">
      <c r="A690" s="26" t="n"/>
      <c r="B690" s="169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>
        <f>AG690</f>
        <v/>
      </c>
      <c r="T690" s="26">
        <f>AI690+Q690+P690</f>
        <v/>
      </c>
      <c r="U690" s="26" t="n"/>
      <c r="V690" s="26" t="n"/>
      <c r="W690" s="169" t="n"/>
      <c r="X690" s="26" t="n"/>
      <c r="Y690" s="26" t="n"/>
      <c r="Z690" s="26" t="n"/>
      <c r="AA690" s="26" t="n"/>
      <c r="AD690" s="0">
        <f>SUM(Y690,AA690,AC690)</f>
        <v/>
      </c>
      <c r="AE690" s="0">
        <f>X690*Y690+Z690*AA690+AB690*AC690</f>
        <v/>
      </c>
      <c r="AF690" s="0">
        <f>TEXTJOIN(", ",TRUE,IF(AND(X690&gt;0,Y690&gt;0),TEXT(X690,"0.00")&amp;"ct x "&amp;Y690,""),IF(AND(Z690&gt;0,AA690&gt;0),TEXT(Z690,"0.00")&amp;"ct x "&amp;AA690,""),IF(AND(AB690&gt;0,AC690&gt;0),TEXT(AB690,"0.00")&amp;"ct x "&amp;AC690,""))</f>
        <v/>
      </c>
      <c r="AG690" s="0">
        <f>X690*Y690*SUMIFS($AM$2:$AM$11,$AK$2:$AK$11,"&lt;="&amp;X690,$AL$2:$AL$11,"&gt;="&amp;X690)+Z690*AA690*SUMIFS($AM$2:$AM$11,$AK$2:$AK$11,"&lt;="&amp;Z690,$AL$2:$AL$11,"&gt;="&amp;Z690)+AB690*AC690*SUMIFS($AM$2:$AM$11,$AK$2:$AK$11,"&lt;="&amp;AB690,$AL$2:$AL$11,"&gt;="&amp;AB690)</f>
        <v/>
      </c>
      <c r="AH690" s="0">
        <f>AG690*(1-40%)</f>
        <v/>
      </c>
      <c r="AI690" s="0">
        <f>AH690*1.2</f>
        <v/>
      </c>
    </row>
    <row r="691">
      <c r="A691" s="26" t="n"/>
      <c r="B691" s="169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>
        <f>AG691</f>
        <v/>
      </c>
      <c r="T691" s="26">
        <f>AI691+Q691+P691</f>
        <v/>
      </c>
      <c r="U691" s="26" t="n"/>
      <c r="V691" s="26" t="n"/>
      <c r="W691" s="169" t="n"/>
      <c r="X691" s="26" t="n"/>
      <c r="Y691" s="26" t="n"/>
      <c r="Z691" s="26" t="n"/>
      <c r="AA691" s="26" t="n"/>
      <c r="AD691" s="0">
        <f>SUM(Y691,AA691,AC691)</f>
        <v/>
      </c>
      <c r="AE691" s="0">
        <f>X691*Y691+Z691*AA691+AB691*AC691</f>
        <v/>
      </c>
      <c r="AF691" s="0">
        <f>TEXTJOIN(", ",TRUE,IF(AND(X691&gt;0,Y691&gt;0),TEXT(X691,"0.00")&amp;"ct x "&amp;Y691,""),IF(AND(Z691&gt;0,AA691&gt;0),TEXT(Z691,"0.00")&amp;"ct x "&amp;AA691,""),IF(AND(AB691&gt;0,AC691&gt;0),TEXT(AB691,"0.00")&amp;"ct x "&amp;AC691,""))</f>
        <v/>
      </c>
      <c r="AG691" s="0">
        <f>X691*Y691*SUMIFS($AM$2:$AM$11,$AK$2:$AK$11,"&lt;="&amp;X691,$AL$2:$AL$11,"&gt;="&amp;X691)+Z691*AA691*SUMIFS($AM$2:$AM$11,$AK$2:$AK$11,"&lt;="&amp;Z691,$AL$2:$AL$11,"&gt;="&amp;Z691)+AB691*AC691*SUMIFS($AM$2:$AM$11,$AK$2:$AK$11,"&lt;="&amp;AB691,$AL$2:$AL$11,"&gt;="&amp;AB691)</f>
        <v/>
      </c>
      <c r="AH691" s="0">
        <f>AG691*(1-40%)</f>
        <v/>
      </c>
      <c r="AI691" s="0">
        <f>AH691*1.2</f>
        <v/>
      </c>
    </row>
    <row r="692">
      <c r="A692" s="26" t="n"/>
      <c r="B692" s="169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>
        <f>AG692</f>
        <v/>
      </c>
      <c r="T692" s="26">
        <f>AI692+Q692+P692</f>
        <v/>
      </c>
      <c r="U692" s="26" t="n"/>
      <c r="V692" s="26" t="n"/>
      <c r="W692" s="169" t="n"/>
      <c r="X692" s="26" t="n"/>
      <c r="Y692" s="26" t="n"/>
      <c r="Z692" s="26" t="n"/>
      <c r="AA692" s="26" t="n"/>
      <c r="AD692" s="0">
        <f>SUM(Y692,AA692,AC692)</f>
        <v/>
      </c>
      <c r="AE692" s="0">
        <f>X692*Y692+Z692*AA692+AB692*AC692</f>
        <v/>
      </c>
      <c r="AF692" s="0">
        <f>TEXTJOIN(", ",TRUE,IF(AND(X692&gt;0,Y692&gt;0),TEXT(X692,"0.00")&amp;"ct x "&amp;Y692,""),IF(AND(Z692&gt;0,AA692&gt;0),TEXT(Z692,"0.00")&amp;"ct x "&amp;AA692,""),IF(AND(AB692&gt;0,AC692&gt;0),TEXT(AB692,"0.00")&amp;"ct x "&amp;AC692,""))</f>
        <v/>
      </c>
      <c r="AG692" s="0">
        <f>X692*Y692*SUMIFS($AM$2:$AM$11,$AK$2:$AK$11,"&lt;="&amp;X692,$AL$2:$AL$11,"&gt;="&amp;X692)+Z692*AA692*SUMIFS($AM$2:$AM$11,$AK$2:$AK$11,"&lt;="&amp;Z692,$AL$2:$AL$11,"&gt;="&amp;Z692)+AB692*AC692*SUMIFS($AM$2:$AM$11,$AK$2:$AK$11,"&lt;="&amp;AB692,$AL$2:$AL$11,"&gt;="&amp;AB692)</f>
        <v/>
      </c>
      <c r="AH692" s="0">
        <f>AG692*(1-40%)</f>
        <v/>
      </c>
      <c r="AI692" s="0">
        <f>AH692*1.2</f>
        <v/>
      </c>
    </row>
    <row r="693">
      <c r="A693" s="26" t="n"/>
      <c r="B693" s="169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>
        <f>AG693</f>
        <v/>
      </c>
      <c r="T693" s="26">
        <f>AI693+Q693+P693</f>
        <v/>
      </c>
      <c r="U693" s="26" t="n"/>
      <c r="V693" s="26" t="n"/>
      <c r="W693" s="169" t="n"/>
      <c r="X693" s="26" t="n"/>
      <c r="Y693" s="26" t="n"/>
      <c r="Z693" s="26" t="n"/>
      <c r="AA693" s="26" t="n"/>
      <c r="AD693" s="0">
        <f>SUM(Y693,AA693,AC693)</f>
        <v/>
      </c>
      <c r="AE693" s="0">
        <f>X693*Y693+Z693*AA693+AB693*AC693</f>
        <v/>
      </c>
      <c r="AF693" s="0">
        <f>TEXTJOIN(", ",TRUE,IF(AND(X693&gt;0,Y693&gt;0),TEXT(X693,"0.00")&amp;"ct x "&amp;Y693,""),IF(AND(Z693&gt;0,AA693&gt;0),TEXT(Z693,"0.00")&amp;"ct x "&amp;AA693,""),IF(AND(AB693&gt;0,AC693&gt;0),TEXT(AB693,"0.00")&amp;"ct x "&amp;AC693,""))</f>
        <v/>
      </c>
      <c r="AG693" s="0">
        <f>X693*Y693*SUMIFS($AM$2:$AM$11,$AK$2:$AK$11,"&lt;="&amp;X693,$AL$2:$AL$11,"&gt;="&amp;X693)+Z693*AA693*SUMIFS($AM$2:$AM$11,$AK$2:$AK$11,"&lt;="&amp;Z693,$AL$2:$AL$11,"&gt;="&amp;Z693)+AB693*AC693*SUMIFS($AM$2:$AM$11,$AK$2:$AK$11,"&lt;="&amp;AB693,$AL$2:$AL$11,"&gt;="&amp;AB693)</f>
        <v/>
      </c>
      <c r="AH693" s="0">
        <f>AG693*(1-40%)</f>
        <v/>
      </c>
      <c r="AI693" s="0">
        <f>AH693*1.2</f>
        <v/>
      </c>
    </row>
    <row r="694">
      <c r="A694" s="26" t="n"/>
      <c r="B694" s="169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>
        <f>AG694</f>
        <v/>
      </c>
      <c r="T694" s="26">
        <f>AI694+Q694+P694</f>
        <v/>
      </c>
      <c r="U694" s="26" t="n"/>
      <c r="V694" s="26" t="n"/>
      <c r="W694" s="169" t="n"/>
      <c r="X694" s="26" t="n"/>
      <c r="Y694" s="26" t="n"/>
      <c r="Z694" s="26" t="n"/>
      <c r="AA694" s="26" t="n"/>
      <c r="AD694" s="0">
        <f>SUM(Y694,AA694,AC694)</f>
        <v/>
      </c>
      <c r="AE694" s="0">
        <f>X694*Y694+Z694*AA694+AB694*AC694</f>
        <v/>
      </c>
      <c r="AF694" s="0">
        <f>TEXTJOIN(", ",TRUE,IF(AND(X694&gt;0,Y694&gt;0),TEXT(X694,"0.00")&amp;"ct x "&amp;Y694,""),IF(AND(Z694&gt;0,AA694&gt;0),TEXT(Z694,"0.00")&amp;"ct x "&amp;AA694,""),IF(AND(AB694&gt;0,AC694&gt;0),TEXT(AB694,"0.00")&amp;"ct x "&amp;AC694,""))</f>
        <v/>
      </c>
      <c r="AG694" s="0">
        <f>X694*Y694*SUMIFS($AM$2:$AM$11,$AK$2:$AK$11,"&lt;="&amp;X694,$AL$2:$AL$11,"&gt;="&amp;X694)+Z694*AA694*SUMIFS($AM$2:$AM$11,$AK$2:$AK$11,"&lt;="&amp;Z694,$AL$2:$AL$11,"&gt;="&amp;Z694)+AB694*AC694*SUMIFS($AM$2:$AM$11,$AK$2:$AK$11,"&lt;="&amp;AB694,$AL$2:$AL$11,"&gt;="&amp;AB694)</f>
        <v/>
      </c>
      <c r="AH694" s="0">
        <f>AG694*(1-40%)</f>
        <v/>
      </c>
      <c r="AI694" s="0">
        <f>AH694*1.2</f>
        <v/>
      </c>
    </row>
    <row r="695">
      <c r="A695" s="26" t="n"/>
      <c r="B695" s="169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>
        <f>AG695</f>
        <v/>
      </c>
      <c r="T695" s="26">
        <f>AI695+Q695+P695</f>
        <v/>
      </c>
      <c r="U695" s="26" t="n"/>
      <c r="V695" s="26" t="n"/>
      <c r="W695" s="169" t="n"/>
      <c r="X695" s="26" t="n"/>
      <c r="Y695" s="26" t="n"/>
      <c r="Z695" s="26" t="n"/>
      <c r="AA695" s="26" t="n"/>
      <c r="AD695" s="0">
        <f>SUM(Y695,AA695,AC695)</f>
        <v/>
      </c>
      <c r="AE695" s="0">
        <f>X695*Y695+Z695*AA695+AB695*AC695</f>
        <v/>
      </c>
      <c r="AF695" s="0">
        <f>TEXTJOIN(", ",TRUE,IF(AND(X695&gt;0,Y695&gt;0),TEXT(X695,"0.00")&amp;"ct x "&amp;Y695,""),IF(AND(Z695&gt;0,AA695&gt;0),TEXT(Z695,"0.00")&amp;"ct x "&amp;AA695,""),IF(AND(AB695&gt;0,AC695&gt;0),TEXT(AB695,"0.00")&amp;"ct x "&amp;AC695,""))</f>
        <v/>
      </c>
      <c r="AG695" s="0">
        <f>X695*Y695*SUMIFS($AM$2:$AM$11,$AK$2:$AK$11,"&lt;="&amp;X695,$AL$2:$AL$11,"&gt;="&amp;X695)+Z695*AA695*SUMIFS($AM$2:$AM$11,$AK$2:$AK$11,"&lt;="&amp;Z695,$AL$2:$AL$11,"&gt;="&amp;Z695)+AB695*AC695*SUMIFS($AM$2:$AM$11,$AK$2:$AK$11,"&lt;="&amp;AB695,$AL$2:$AL$11,"&gt;="&amp;AB695)</f>
        <v/>
      </c>
      <c r="AH695" s="0">
        <f>AG695*(1-40%)</f>
        <v/>
      </c>
      <c r="AI695" s="0">
        <f>AH695*1.2</f>
        <v/>
      </c>
    </row>
    <row r="696">
      <c r="A696" s="26" t="n"/>
      <c r="B696" s="169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>
        <f>AG696</f>
        <v/>
      </c>
      <c r="T696" s="26">
        <f>AI696+Q696+P696</f>
        <v/>
      </c>
      <c r="U696" s="26" t="n"/>
      <c r="V696" s="26" t="n"/>
      <c r="W696" s="169" t="n"/>
      <c r="X696" s="26" t="n"/>
      <c r="Y696" s="26" t="n"/>
      <c r="Z696" s="26" t="n"/>
      <c r="AA696" s="26" t="n"/>
      <c r="AD696" s="0">
        <f>SUM(Y696,AA696,AC696)</f>
        <v/>
      </c>
      <c r="AE696" s="0">
        <f>X696*Y696+Z696*AA696+AB696*AC696</f>
        <v/>
      </c>
      <c r="AF696" s="0">
        <f>TEXTJOIN(", ",TRUE,IF(AND(X696&gt;0,Y696&gt;0),TEXT(X696,"0.00")&amp;"ct x "&amp;Y696,""),IF(AND(Z696&gt;0,AA696&gt;0),TEXT(Z696,"0.00")&amp;"ct x "&amp;AA696,""),IF(AND(AB696&gt;0,AC696&gt;0),TEXT(AB696,"0.00")&amp;"ct x "&amp;AC696,""))</f>
        <v/>
      </c>
      <c r="AG696" s="0">
        <f>X696*Y696*SUMIFS($AM$2:$AM$11,$AK$2:$AK$11,"&lt;="&amp;X696,$AL$2:$AL$11,"&gt;="&amp;X696)+Z696*AA696*SUMIFS($AM$2:$AM$11,$AK$2:$AK$11,"&lt;="&amp;Z696,$AL$2:$AL$11,"&gt;="&amp;Z696)+AB696*AC696*SUMIFS($AM$2:$AM$11,$AK$2:$AK$11,"&lt;="&amp;AB696,$AL$2:$AL$11,"&gt;="&amp;AB696)</f>
        <v/>
      </c>
      <c r="AH696" s="0">
        <f>AG696*(1-40%)</f>
        <v/>
      </c>
      <c r="AI696" s="0">
        <f>AH696*1.2</f>
        <v/>
      </c>
    </row>
    <row r="697">
      <c r="A697" s="26" t="n"/>
      <c r="B697" s="169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>
        <f>AG697</f>
        <v/>
      </c>
      <c r="T697" s="26">
        <f>AI697+Q697+P697</f>
        <v/>
      </c>
      <c r="U697" s="26" t="n"/>
      <c r="V697" s="26" t="n"/>
      <c r="W697" s="169" t="n"/>
      <c r="X697" s="26" t="n"/>
      <c r="Y697" s="26" t="n"/>
      <c r="Z697" s="26" t="n"/>
      <c r="AA697" s="26" t="n"/>
      <c r="AD697" s="0">
        <f>SUM(Y697,AA697,AC697)</f>
        <v/>
      </c>
      <c r="AE697" s="0">
        <f>X697*Y697+Z697*AA697+AB697*AC697</f>
        <v/>
      </c>
      <c r="AF697" s="0">
        <f>TEXTJOIN(", ",TRUE,IF(AND(X697&gt;0,Y697&gt;0),TEXT(X697,"0.00")&amp;"ct x "&amp;Y697,""),IF(AND(Z697&gt;0,AA697&gt;0),TEXT(Z697,"0.00")&amp;"ct x "&amp;AA697,""),IF(AND(AB697&gt;0,AC697&gt;0),TEXT(AB697,"0.00")&amp;"ct x "&amp;AC697,""))</f>
        <v/>
      </c>
      <c r="AG697" s="0">
        <f>X697*Y697*SUMIFS($AM$2:$AM$11,$AK$2:$AK$11,"&lt;="&amp;X697,$AL$2:$AL$11,"&gt;="&amp;X697)+Z697*AA697*SUMIFS($AM$2:$AM$11,$AK$2:$AK$11,"&lt;="&amp;Z697,$AL$2:$AL$11,"&gt;="&amp;Z697)+AB697*AC697*SUMIFS($AM$2:$AM$11,$AK$2:$AK$11,"&lt;="&amp;AB697,$AL$2:$AL$11,"&gt;="&amp;AB697)</f>
        <v/>
      </c>
      <c r="AH697" s="0">
        <f>AG697*(1-40%)</f>
        <v/>
      </c>
      <c r="AI697" s="0">
        <f>AH697*1.2</f>
        <v/>
      </c>
    </row>
    <row r="698">
      <c r="A698" s="26" t="n"/>
      <c r="B698" s="169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>
        <f>AG698</f>
        <v/>
      </c>
      <c r="T698" s="26">
        <f>AI698+Q698+P698</f>
        <v/>
      </c>
      <c r="U698" s="26" t="n"/>
      <c r="V698" s="26" t="n"/>
      <c r="W698" s="169" t="n"/>
      <c r="X698" s="26" t="n"/>
      <c r="Y698" s="26" t="n"/>
      <c r="Z698" s="26" t="n"/>
      <c r="AA698" s="26" t="n"/>
      <c r="AD698" s="0">
        <f>SUM(Y698,AA698,AC698)</f>
        <v/>
      </c>
      <c r="AE698" s="0">
        <f>X698*Y698+Z698*AA698+AB698*AC698</f>
        <v/>
      </c>
      <c r="AF698" s="0">
        <f>TEXTJOIN(", ",TRUE,IF(AND(X698&gt;0,Y698&gt;0),TEXT(X698,"0.00")&amp;"ct x "&amp;Y698,""),IF(AND(Z698&gt;0,AA698&gt;0),TEXT(Z698,"0.00")&amp;"ct x "&amp;AA698,""),IF(AND(AB698&gt;0,AC698&gt;0),TEXT(AB698,"0.00")&amp;"ct x "&amp;AC698,""))</f>
        <v/>
      </c>
      <c r="AG698" s="0">
        <f>X698*Y698*SUMIFS($AM$2:$AM$11,$AK$2:$AK$11,"&lt;="&amp;X698,$AL$2:$AL$11,"&gt;="&amp;X698)+Z698*AA698*SUMIFS($AM$2:$AM$11,$AK$2:$AK$11,"&lt;="&amp;Z698,$AL$2:$AL$11,"&gt;="&amp;Z698)+AB698*AC698*SUMIFS($AM$2:$AM$11,$AK$2:$AK$11,"&lt;="&amp;AB698,$AL$2:$AL$11,"&gt;="&amp;AB698)</f>
        <v/>
      </c>
      <c r="AH698" s="0">
        <f>AG698*(1-40%)</f>
        <v/>
      </c>
      <c r="AI698" s="0">
        <f>AH698*1.2</f>
        <v/>
      </c>
    </row>
    <row r="699">
      <c r="A699" s="26" t="n"/>
      <c r="B699" s="169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>
        <f>AG699</f>
        <v/>
      </c>
      <c r="T699" s="26">
        <f>AI699+Q699+P699</f>
        <v/>
      </c>
      <c r="U699" s="26" t="n"/>
      <c r="V699" s="26" t="n"/>
      <c r="W699" s="169" t="n"/>
      <c r="X699" s="26" t="n"/>
      <c r="Y699" s="26" t="n"/>
      <c r="Z699" s="26" t="n"/>
      <c r="AA699" s="26" t="n"/>
      <c r="AD699" s="0">
        <f>SUM(Y699,AA699,AC699)</f>
        <v/>
      </c>
      <c r="AE699" s="0">
        <f>X699*Y699+Z699*AA699+AB699*AC699</f>
        <v/>
      </c>
      <c r="AF699" s="0">
        <f>TEXTJOIN(", ",TRUE,IF(AND(X699&gt;0,Y699&gt;0),TEXT(X699,"0.00")&amp;"ct x "&amp;Y699,""),IF(AND(Z699&gt;0,AA699&gt;0),TEXT(Z699,"0.00")&amp;"ct x "&amp;AA699,""),IF(AND(AB699&gt;0,AC699&gt;0),TEXT(AB699,"0.00")&amp;"ct x "&amp;AC699,""))</f>
        <v/>
      </c>
      <c r="AG699" s="0">
        <f>X699*Y699*SUMIFS($AM$2:$AM$11,$AK$2:$AK$11,"&lt;="&amp;X699,$AL$2:$AL$11,"&gt;="&amp;X699)+Z699*AA699*SUMIFS($AM$2:$AM$11,$AK$2:$AK$11,"&lt;="&amp;Z699,$AL$2:$AL$11,"&gt;="&amp;Z699)+AB699*AC699*SUMIFS($AM$2:$AM$11,$AK$2:$AK$11,"&lt;="&amp;AB699,$AL$2:$AL$11,"&gt;="&amp;AB699)</f>
        <v/>
      </c>
      <c r="AH699" s="0">
        <f>AG699*(1-40%)</f>
        <v/>
      </c>
      <c r="AI699" s="0">
        <f>AH699*1.2</f>
        <v/>
      </c>
    </row>
    <row r="700">
      <c r="A700" s="26" t="n"/>
      <c r="B700" s="169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>
        <f>AG700</f>
        <v/>
      </c>
      <c r="T700" s="26">
        <f>AI700+Q700+P700</f>
        <v/>
      </c>
      <c r="U700" s="26" t="n"/>
      <c r="V700" s="26" t="n"/>
      <c r="W700" s="169" t="n"/>
      <c r="X700" s="26" t="n"/>
      <c r="Y700" s="26" t="n"/>
      <c r="Z700" s="26" t="n"/>
      <c r="AA700" s="26" t="n"/>
      <c r="AD700" s="0">
        <f>SUM(Y700,AA700,AC700)</f>
        <v/>
      </c>
      <c r="AE700" s="0">
        <f>X700*Y700+Z700*AA700+AB700*AC700</f>
        <v/>
      </c>
      <c r="AF700" s="0">
        <f>TEXTJOIN(", ",TRUE,IF(AND(X700&gt;0,Y700&gt;0),TEXT(X700,"0.00")&amp;"ct x "&amp;Y700,""),IF(AND(Z700&gt;0,AA700&gt;0),TEXT(Z700,"0.00")&amp;"ct x "&amp;AA700,""),IF(AND(AB700&gt;0,AC700&gt;0),TEXT(AB700,"0.00")&amp;"ct x "&amp;AC700,""))</f>
        <v/>
      </c>
      <c r="AG700" s="0">
        <f>X700*Y700*SUMIFS($AM$2:$AM$11,$AK$2:$AK$11,"&lt;="&amp;X700,$AL$2:$AL$11,"&gt;="&amp;X700)+Z700*AA700*SUMIFS($AM$2:$AM$11,$AK$2:$AK$11,"&lt;="&amp;Z700,$AL$2:$AL$11,"&gt;="&amp;Z700)+AB700*AC700*SUMIFS($AM$2:$AM$11,$AK$2:$AK$11,"&lt;="&amp;AB700,$AL$2:$AL$11,"&gt;="&amp;AB700)</f>
        <v/>
      </c>
      <c r="AH700" s="0">
        <f>AG700*(1-40%)</f>
        <v/>
      </c>
      <c r="AI700" s="0">
        <f>AH700*1.2</f>
        <v/>
      </c>
    </row>
    <row r="701">
      <c r="A701" s="26" t="n"/>
      <c r="B701" s="169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>
        <f>AG701</f>
        <v/>
      </c>
      <c r="T701" s="26">
        <f>AI701+Q701+P701</f>
        <v/>
      </c>
      <c r="U701" s="26" t="n"/>
      <c r="V701" s="26" t="n"/>
      <c r="W701" s="169" t="n"/>
      <c r="X701" s="26" t="n"/>
      <c r="Y701" s="26" t="n"/>
      <c r="Z701" s="26" t="n"/>
      <c r="AA701" s="26" t="n"/>
      <c r="AD701" s="0">
        <f>SUM(Y701,AA701,AC701)</f>
        <v/>
      </c>
      <c r="AE701" s="0">
        <f>X701*Y701+Z701*AA701+AB701*AC701</f>
        <v/>
      </c>
      <c r="AF701" s="0">
        <f>TEXTJOIN(", ",TRUE,IF(AND(X701&gt;0,Y701&gt;0),TEXT(X701,"0.00")&amp;"ct x "&amp;Y701,""),IF(AND(Z701&gt;0,AA701&gt;0),TEXT(Z701,"0.00")&amp;"ct x "&amp;AA701,""),IF(AND(AB701&gt;0,AC701&gt;0),TEXT(AB701,"0.00")&amp;"ct x "&amp;AC701,""))</f>
        <v/>
      </c>
      <c r="AG701" s="0">
        <f>X701*Y701*SUMIFS($AM$2:$AM$11,$AK$2:$AK$11,"&lt;="&amp;X701,$AL$2:$AL$11,"&gt;="&amp;X701)+Z701*AA701*SUMIFS($AM$2:$AM$11,$AK$2:$AK$11,"&lt;="&amp;Z701,$AL$2:$AL$11,"&gt;="&amp;Z701)+AB701*AC701*SUMIFS($AM$2:$AM$11,$AK$2:$AK$11,"&lt;="&amp;AB701,$AL$2:$AL$11,"&gt;="&amp;AB701)</f>
        <v/>
      </c>
      <c r="AH701" s="0">
        <f>AG701*(1-40%)</f>
        <v/>
      </c>
      <c r="AI701" s="0">
        <f>AH701*1.2</f>
        <v/>
      </c>
    </row>
    <row r="702">
      <c r="A702" s="26" t="n"/>
      <c r="B702" s="169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>
        <f>AG702</f>
        <v/>
      </c>
      <c r="T702" s="26">
        <f>AI702+Q702+P702</f>
        <v/>
      </c>
      <c r="U702" s="26" t="n"/>
      <c r="V702" s="26" t="n"/>
      <c r="W702" s="169" t="n"/>
      <c r="X702" s="26" t="n"/>
      <c r="Y702" s="26" t="n"/>
      <c r="Z702" s="26" t="n"/>
      <c r="AA702" s="26" t="n"/>
      <c r="AD702" s="0">
        <f>SUM(Y702,AA702,AC702)</f>
        <v/>
      </c>
      <c r="AE702" s="0">
        <f>X702*Y702+Z702*AA702+AB702*AC702</f>
        <v/>
      </c>
      <c r="AF702" s="0">
        <f>TEXTJOIN(", ",TRUE,IF(AND(X702&gt;0,Y702&gt;0),TEXT(X702,"0.00")&amp;"ct x "&amp;Y702,""),IF(AND(Z702&gt;0,AA702&gt;0),TEXT(Z702,"0.00")&amp;"ct x "&amp;AA702,""),IF(AND(AB702&gt;0,AC702&gt;0),TEXT(AB702,"0.00")&amp;"ct x "&amp;AC702,""))</f>
        <v/>
      </c>
      <c r="AG702" s="0">
        <f>X702*Y702*SUMIFS($AM$2:$AM$11,$AK$2:$AK$11,"&lt;="&amp;X702,$AL$2:$AL$11,"&gt;="&amp;X702)+Z702*AA702*SUMIFS($AM$2:$AM$11,$AK$2:$AK$11,"&lt;="&amp;Z702,$AL$2:$AL$11,"&gt;="&amp;Z702)+AB702*AC702*SUMIFS($AM$2:$AM$11,$AK$2:$AK$11,"&lt;="&amp;AB702,$AL$2:$AL$11,"&gt;="&amp;AB702)</f>
        <v/>
      </c>
      <c r="AH702" s="0">
        <f>AG702*(1-40%)</f>
        <v/>
      </c>
      <c r="AI702" s="0">
        <f>AH702*1.2</f>
        <v/>
      </c>
    </row>
    <row r="703">
      <c r="A703" s="26" t="n"/>
      <c r="B703" s="169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>
        <f>AG703</f>
        <v/>
      </c>
      <c r="T703" s="26">
        <f>AI703+Q703+P703</f>
        <v/>
      </c>
      <c r="U703" s="26" t="n"/>
      <c r="V703" s="26" t="n"/>
      <c r="W703" s="169" t="n"/>
      <c r="X703" s="26" t="n"/>
      <c r="Y703" s="26" t="n"/>
      <c r="Z703" s="26" t="n"/>
      <c r="AA703" s="26" t="n"/>
      <c r="AD703" s="0">
        <f>SUM(Y703,AA703,AC703)</f>
        <v/>
      </c>
      <c r="AE703" s="0">
        <f>X703*Y703+Z703*AA703+AB703*AC703</f>
        <v/>
      </c>
      <c r="AF703" s="0">
        <f>TEXTJOIN(", ",TRUE,IF(AND(X703&gt;0,Y703&gt;0),TEXT(X703,"0.00")&amp;"ct x "&amp;Y703,""),IF(AND(Z703&gt;0,AA703&gt;0),TEXT(Z703,"0.00")&amp;"ct x "&amp;AA703,""),IF(AND(AB703&gt;0,AC703&gt;0),TEXT(AB703,"0.00")&amp;"ct x "&amp;AC703,""))</f>
        <v/>
      </c>
      <c r="AG703" s="0">
        <f>X703*Y703*SUMIFS($AM$2:$AM$11,$AK$2:$AK$11,"&lt;="&amp;X703,$AL$2:$AL$11,"&gt;="&amp;X703)+Z703*AA703*SUMIFS($AM$2:$AM$11,$AK$2:$AK$11,"&lt;="&amp;Z703,$AL$2:$AL$11,"&gt;="&amp;Z703)+AB703*AC703*SUMIFS($AM$2:$AM$11,$AK$2:$AK$11,"&lt;="&amp;AB703,$AL$2:$AL$11,"&gt;="&amp;AB703)</f>
        <v/>
      </c>
      <c r="AH703" s="0">
        <f>AG703*(1-40%)</f>
        <v/>
      </c>
      <c r="AI703" s="0">
        <f>AH703*1.2</f>
        <v/>
      </c>
    </row>
    <row r="704">
      <c r="A704" s="26" t="n"/>
      <c r="B704" s="169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>
        <f>AG704</f>
        <v/>
      </c>
      <c r="T704" s="26">
        <f>AI704+Q704+P704</f>
        <v/>
      </c>
      <c r="U704" s="26" t="n"/>
      <c r="V704" s="26" t="n"/>
      <c r="W704" s="169" t="n"/>
      <c r="X704" s="26" t="n"/>
      <c r="Y704" s="26" t="n"/>
      <c r="Z704" s="26" t="n"/>
      <c r="AA704" s="26" t="n"/>
      <c r="AD704" s="0">
        <f>SUM(Y704,AA704,AC704)</f>
        <v/>
      </c>
      <c r="AE704" s="0">
        <f>X704*Y704+Z704*AA704+AB704*AC704</f>
        <v/>
      </c>
      <c r="AF704" s="0">
        <f>TEXTJOIN(", ",TRUE,IF(AND(X704&gt;0,Y704&gt;0),TEXT(X704,"0.00")&amp;"ct x "&amp;Y704,""),IF(AND(Z704&gt;0,AA704&gt;0),TEXT(Z704,"0.00")&amp;"ct x "&amp;AA704,""),IF(AND(AB704&gt;0,AC704&gt;0),TEXT(AB704,"0.00")&amp;"ct x "&amp;AC704,""))</f>
        <v/>
      </c>
      <c r="AG704" s="0">
        <f>X704*Y704*SUMIFS($AM$2:$AM$11,$AK$2:$AK$11,"&lt;="&amp;X704,$AL$2:$AL$11,"&gt;="&amp;X704)+Z704*AA704*SUMIFS($AM$2:$AM$11,$AK$2:$AK$11,"&lt;="&amp;Z704,$AL$2:$AL$11,"&gt;="&amp;Z704)+AB704*AC704*SUMIFS($AM$2:$AM$11,$AK$2:$AK$11,"&lt;="&amp;AB704,$AL$2:$AL$11,"&gt;="&amp;AB704)</f>
        <v/>
      </c>
      <c r="AH704" s="0">
        <f>AG704*(1-40%)</f>
        <v/>
      </c>
      <c r="AI704" s="0">
        <f>AH704*1.2</f>
        <v/>
      </c>
    </row>
    <row r="705">
      <c r="A705" s="26" t="n"/>
      <c r="B705" s="169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>
        <f>AG705</f>
        <v/>
      </c>
      <c r="T705" s="26">
        <f>AI705+Q705+P705</f>
        <v/>
      </c>
      <c r="U705" s="26" t="n"/>
      <c r="V705" s="26" t="n"/>
      <c r="W705" s="169" t="n"/>
      <c r="X705" s="26" t="n"/>
      <c r="Y705" s="26" t="n"/>
      <c r="Z705" s="26" t="n"/>
      <c r="AA705" s="26" t="n"/>
      <c r="AD705" s="0">
        <f>SUM(Y705,AA705,AC705)</f>
        <v/>
      </c>
      <c r="AE705" s="0">
        <f>X705*Y705+Z705*AA705+AB705*AC705</f>
        <v/>
      </c>
      <c r="AF705" s="0">
        <f>TEXTJOIN(", ",TRUE,IF(AND(X705&gt;0,Y705&gt;0),TEXT(X705,"0.00")&amp;"ct x "&amp;Y705,""),IF(AND(Z705&gt;0,AA705&gt;0),TEXT(Z705,"0.00")&amp;"ct x "&amp;AA705,""),IF(AND(AB705&gt;0,AC705&gt;0),TEXT(AB705,"0.00")&amp;"ct x "&amp;AC705,""))</f>
        <v/>
      </c>
      <c r="AG705" s="0">
        <f>X705*Y705*SUMIFS($AM$2:$AM$11,$AK$2:$AK$11,"&lt;="&amp;X705,$AL$2:$AL$11,"&gt;="&amp;X705)+Z705*AA705*SUMIFS($AM$2:$AM$11,$AK$2:$AK$11,"&lt;="&amp;Z705,$AL$2:$AL$11,"&gt;="&amp;Z705)+AB705*AC705*SUMIFS($AM$2:$AM$11,$AK$2:$AK$11,"&lt;="&amp;AB705,$AL$2:$AL$11,"&gt;="&amp;AB705)</f>
        <v/>
      </c>
      <c r="AH705" s="0">
        <f>AG705*(1-40%)</f>
        <v/>
      </c>
      <c r="AI705" s="0">
        <f>AH705*1.2</f>
        <v/>
      </c>
    </row>
    <row r="706">
      <c r="A706" s="26" t="n"/>
      <c r="B706" s="169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>
        <f>AG706</f>
        <v/>
      </c>
      <c r="T706" s="26">
        <f>AI706+Q706+P706</f>
        <v/>
      </c>
      <c r="U706" s="26" t="n"/>
      <c r="V706" s="26" t="n"/>
      <c r="W706" s="169" t="n"/>
      <c r="X706" s="26" t="n"/>
      <c r="Y706" s="26" t="n"/>
      <c r="Z706" s="26" t="n"/>
      <c r="AA706" s="26" t="n"/>
      <c r="AD706" s="0">
        <f>SUM(Y706,AA706,AC706)</f>
        <v/>
      </c>
      <c r="AE706" s="0">
        <f>X706*Y706+Z706*AA706+AB706*AC706</f>
        <v/>
      </c>
      <c r="AF706" s="0">
        <f>TEXTJOIN(", ",TRUE,IF(AND(X706&gt;0,Y706&gt;0),TEXT(X706,"0.00")&amp;"ct x "&amp;Y706,""),IF(AND(Z706&gt;0,AA706&gt;0),TEXT(Z706,"0.00")&amp;"ct x "&amp;AA706,""),IF(AND(AB706&gt;0,AC706&gt;0),TEXT(AB706,"0.00")&amp;"ct x "&amp;AC706,""))</f>
        <v/>
      </c>
      <c r="AG706" s="0">
        <f>X706*Y706*SUMIFS($AM$2:$AM$11,$AK$2:$AK$11,"&lt;="&amp;X706,$AL$2:$AL$11,"&gt;="&amp;X706)+Z706*AA706*SUMIFS($AM$2:$AM$11,$AK$2:$AK$11,"&lt;="&amp;Z706,$AL$2:$AL$11,"&gt;="&amp;Z706)+AB706*AC706*SUMIFS($AM$2:$AM$11,$AK$2:$AK$11,"&lt;="&amp;AB706,$AL$2:$AL$11,"&gt;="&amp;AB706)</f>
        <v/>
      </c>
      <c r="AH706" s="0">
        <f>AG706*(1-40%)</f>
        <v/>
      </c>
      <c r="AI706" s="0">
        <f>AH706*1.2</f>
        <v/>
      </c>
    </row>
    <row r="707">
      <c r="A707" s="26" t="n"/>
      <c r="B707" s="169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>
        <f>AG707</f>
        <v/>
      </c>
      <c r="T707" s="26">
        <f>AI707+Q707+P707</f>
        <v/>
      </c>
      <c r="U707" s="26" t="n"/>
      <c r="V707" s="26" t="n"/>
      <c r="W707" s="169" t="n"/>
      <c r="X707" s="26" t="n"/>
      <c r="Y707" s="26" t="n"/>
      <c r="Z707" s="26" t="n"/>
      <c r="AA707" s="26" t="n"/>
      <c r="AD707" s="0">
        <f>SUM(Y707,AA707,AC707)</f>
        <v/>
      </c>
      <c r="AE707" s="0">
        <f>X707*Y707+Z707*AA707+AB707*AC707</f>
        <v/>
      </c>
      <c r="AF707" s="0">
        <f>TEXTJOIN(", ",TRUE,IF(AND(X707&gt;0,Y707&gt;0),TEXT(X707,"0.00")&amp;"ct x "&amp;Y707,""),IF(AND(Z707&gt;0,AA707&gt;0),TEXT(Z707,"0.00")&amp;"ct x "&amp;AA707,""),IF(AND(AB707&gt;0,AC707&gt;0),TEXT(AB707,"0.00")&amp;"ct x "&amp;AC707,""))</f>
        <v/>
      </c>
      <c r="AG707" s="0">
        <f>X707*Y707*SUMIFS($AM$2:$AM$11,$AK$2:$AK$11,"&lt;="&amp;X707,$AL$2:$AL$11,"&gt;="&amp;X707)+Z707*AA707*SUMIFS($AM$2:$AM$11,$AK$2:$AK$11,"&lt;="&amp;Z707,$AL$2:$AL$11,"&gt;="&amp;Z707)+AB707*AC707*SUMIFS($AM$2:$AM$11,$AK$2:$AK$11,"&lt;="&amp;AB707,$AL$2:$AL$11,"&gt;="&amp;AB707)</f>
        <v/>
      </c>
      <c r="AH707" s="0">
        <f>AG707*(1-40%)</f>
        <v/>
      </c>
      <c r="AI707" s="0">
        <f>AH707*1.2</f>
        <v/>
      </c>
    </row>
    <row r="708">
      <c r="A708" s="26" t="n"/>
      <c r="B708" s="169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>
        <f>AG708</f>
        <v/>
      </c>
      <c r="T708" s="26">
        <f>AI708+Q708+P708</f>
        <v/>
      </c>
      <c r="U708" s="26" t="n"/>
      <c r="V708" s="26" t="n"/>
      <c r="W708" s="169" t="n"/>
      <c r="X708" s="26" t="n"/>
      <c r="Y708" s="26" t="n"/>
      <c r="Z708" s="26" t="n"/>
      <c r="AA708" s="26" t="n"/>
      <c r="AD708" s="0">
        <f>SUM(Y708,AA708,AC708)</f>
        <v/>
      </c>
      <c r="AE708" s="0">
        <f>X708*Y708+Z708*AA708+AB708*AC708</f>
        <v/>
      </c>
      <c r="AF708" s="0">
        <f>TEXTJOIN(", ",TRUE,IF(AND(X708&gt;0,Y708&gt;0),TEXT(X708,"0.00")&amp;"ct x "&amp;Y708,""),IF(AND(Z708&gt;0,AA708&gt;0),TEXT(Z708,"0.00")&amp;"ct x "&amp;AA708,""),IF(AND(AB708&gt;0,AC708&gt;0),TEXT(AB708,"0.00")&amp;"ct x "&amp;AC708,""))</f>
        <v/>
      </c>
      <c r="AG708" s="0">
        <f>X708*Y708*SUMIFS($AM$2:$AM$11,$AK$2:$AK$11,"&lt;="&amp;X708,$AL$2:$AL$11,"&gt;="&amp;X708)+Z708*AA708*SUMIFS($AM$2:$AM$11,$AK$2:$AK$11,"&lt;="&amp;Z708,$AL$2:$AL$11,"&gt;="&amp;Z708)+AB708*AC708*SUMIFS($AM$2:$AM$11,$AK$2:$AK$11,"&lt;="&amp;AB708,$AL$2:$AL$11,"&gt;="&amp;AB708)</f>
        <v/>
      </c>
      <c r="AH708" s="0">
        <f>AG708*(1-40%)</f>
        <v/>
      </c>
      <c r="AI708" s="0">
        <f>AH708*1.2</f>
        <v/>
      </c>
    </row>
    <row r="709">
      <c r="A709" s="26" t="n"/>
      <c r="B709" s="169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>
        <f>AG709</f>
        <v/>
      </c>
      <c r="T709" s="26">
        <f>AI709+Q709+P709</f>
        <v/>
      </c>
      <c r="U709" s="26" t="n"/>
      <c r="V709" s="26" t="n"/>
      <c r="W709" s="169" t="n"/>
      <c r="X709" s="26" t="n"/>
      <c r="Y709" s="26" t="n"/>
      <c r="Z709" s="26" t="n"/>
      <c r="AA709" s="26" t="n"/>
      <c r="AD709" s="0">
        <f>SUM(Y709,AA709,AC709)</f>
        <v/>
      </c>
      <c r="AE709" s="0">
        <f>X709*Y709+Z709*AA709+AB709*AC709</f>
        <v/>
      </c>
      <c r="AF709" s="0">
        <f>TEXTJOIN(", ",TRUE,IF(AND(X709&gt;0,Y709&gt;0),TEXT(X709,"0.00")&amp;"ct x "&amp;Y709,""),IF(AND(Z709&gt;0,AA709&gt;0),TEXT(Z709,"0.00")&amp;"ct x "&amp;AA709,""),IF(AND(AB709&gt;0,AC709&gt;0),TEXT(AB709,"0.00")&amp;"ct x "&amp;AC709,""))</f>
        <v/>
      </c>
      <c r="AG709" s="0">
        <f>X709*Y709*SUMIFS($AM$2:$AM$11,$AK$2:$AK$11,"&lt;="&amp;X709,$AL$2:$AL$11,"&gt;="&amp;X709)+Z709*AA709*SUMIFS($AM$2:$AM$11,$AK$2:$AK$11,"&lt;="&amp;Z709,$AL$2:$AL$11,"&gt;="&amp;Z709)+AB709*AC709*SUMIFS($AM$2:$AM$11,$AK$2:$AK$11,"&lt;="&amp;AB709,$AL$2:$AL$11,"&gt;="&amp;AB709)</f>
        <v/>
      </c>
      <c r="AH709" s="0">
        <f>AG709*(1-40%)</f>
        <v/>
      </c>
      <c r="AI709" s="0">
        <f>AH709*1.2</f>
        <v/>
      </c>
    </row>
    <row r="710">
      <c r="A710" s="26" t="n"/>
      <c r="B710" s="169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>
        <f>AG710</f>
        <v/>
      </c>
      <c r="T710" s="26">
        <f>AI710+Q710+P710</f>
        <v/>
      </c>
      <c r="U710" s="26" t="n"/>
      <c r="V710" s="26" t="n"/>
      <c r="W710" s="169" t="n"/>
      <c r="X710" s="26" t="n"/>
      <c r="Y710" s="26" t="n"/>
      <c r="Z710" s="26" t="n"/>
      <c r="AA710" s="26" t="n"/>
      <c r="AD710" s="0">
        <f>SUM(Y710,AA710,AC710)</f>
        <v/>
      </c>
      <c r="AE710" s="0">
        <f>X710*Y710+Z710*AA710+AB710*AC710</f>
        <v/>
      </c>
      <c r="AF710" s="0">
        <f>TEXTJOIN(", ",TRUE,IF(AND(X710&gt;0,Y710&gt;0),TEXT(X710,"0.00")&amp;"ct x "&amp;Y710,""),IF(AND(Z710&gt;0,AA710&gt;0),TEXT(Z710,"0.00")&amp;"ct x "&amp;AA710,""),IF(AND(AB710&gt;0,AC710&gt;0),TEXT(AB710,"0.00")&amp;"ct x "&amp;AC710,""))</f>
        <v/>
      </c>
      <c r="AG710" s="0">
        <f>X710*Y710*SUMIFS($AM$2:$AM$11,$AK$2:$AK$11,"&lt;="&amp;X710,$AL$2:$AL$11,"&gt;="&amp;X710)+Z710*AA710*SUMIFS($AM$2:$AM$11,$AK$2:$AK$11,"&lt;="&amp;Z710,$AL$2:$AL$11,"&gt;="&amp;Z710)+AB710*AC710*SUMIFS($AM$2:$AM$11,$AK$2:$AK$11,"&lt;="&amp;AB710,$AL$2:$AL$11,"&gt;="&amp;AB710)</f>
        <v/>
      </c>
      <c r="AH710" s="0">
        <f>AG710*(1-40%)</f>
        <v/>
      </c>
      <c r="AI710" s="0">
        <f>AH710*1.2</f>
        <v/>
      </c>
    </row>
    <row r="711">
      <c r="A711" s="26" t="n"/>
      <c r="B711" s="169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>
        <f>AG711</f>
        <v/>
      </c>
      <c r="T711" s="26">
        <f>AI711+Q711+P711</f>
        <v/>
      </c>
      <c r="U711" s="26" t="n"/>
      <c r="V711" s="26" t="n"/>
      <c r="W711" s="169" t="n"/>
      <c r="X711" s="26" t="n"/>
      <c r="Y711" s="26" t="n"/>
      <c r="Z711" s="26" t="n"/>
      <c r="AA711" s="26" t="n"/>
      <c r="AD711" s="0">
        <f>SUM(Y711,AA711,AC711)</f>
        <v/>
      </c>
      <c r="AE711" s="0">
        <f>X711*Y711+Z711*AA711+AB711*AC711</f>
        <v/>
      </c>
      <c r="AF711" s="0">
        <f>TEXTJOIN(", ",TRUE,IF(AND(X711&gt;0,Y711&gt;0),TEXT(X711,"0.00")&amp;"ct x "&amp;Y711,""),IF(AND(Z711&gt;0,AA711&gt;0),TEXT(Z711,"0.00")&amp;"ct x "&amp;AA711,""),IF(AND(AB711&gt;0,AC711&gt;0),TEXT(AB711,"0.00")&amp;"ct x "&amp;AC711,""))</f>
        <v/>
      </c>
      <c r="AG711" s="0">
        <f>X711*Y711*SUMIFS($AM$2:$AM$11,$AK$2:$AK$11,"&lt;="&amp;X711,$AL$2:$AL$11,"&gt;="&amp;X711)+Z711*AA711*SUMIFS($AM$2:$AM$11,$AK$2:$AK$11,"&lt;="&amp;Z711,$AL$2:$AL$11,"&gt;="&amp;Z711)+AB711*AC711*SUMIFS($AM$2:$AM$11,$AK$2:$AK$11,"&lt;="&amp;AB711,$AL$2:$AL$11,"&gt;="&amp;AB711)</f>
        <v/>
      </c>
      <c r="AH711" s="0">
        <f>AG711*(1-40%)</f>
        <v/>
      </c>
      <c r="AI711" s="0">
        <f>AH711*1.2</f>
        <v/>
      </c>
    </row>
    <row r="712">
      <c r="A712" s="26" t="n"/>
      <c r="B712" s="169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>
        <f>AG712</f>
        <v/>
      </c>
      <c r="T712" s="26">
        <f>AI712+Q712+P712</f>
        <v/>
      </c>
      <c r="U712" s="26" t="n"/>
      <c r="V712" s="26" t="n"/>
      <c r="W712" s="169" t="n"/>
      <c r="X712" s="26" t="n"/>
      <c r="Y712" s="26" t="n"/>
      <c r="Z712" s="26" t="n"/>
      <c r="AA712" s="26" t="n"/>
      <c r="AD712" s="0">
        <f>SUM(Y712,AA712,AC712)</f>
        <v/>
      </c>
      <c r="AE712" s="0">
        <f>X712*Y712+Z712*AA712+AB712*AC712</f>
        <v/>
      </c>
      <c r="AF712" s="0">
        <f>TEXTJOIN(", ",TRUE,IF(AND(X712&gt;0,Y712&gt;0),TEXT(X712,"0.00")&amp;"ct x "&amp;Y712,""),IF(AND(Z712&gt;0,AA712&gt;0),TEXT(Z712,"0.00")&amp;"ct x "&amp;AA712,""),IF(AND(AB712&gt;0,AC712&gt;0),TEXT(AB712,"0.00")&amp;"ct x "&amp;AC712,""))</f>
        <v/>
      </c>
      <c r="AG712" s="0">
        <f>X712*Y712*SUMIFS($AM$2:$AM$11,$AK$2:$AK$11,"&lt;="&amp;X712,$AL$2:$AL$11,"&gt;="&amp;X712)+Z712*AA712*SUMIFS($AM$2:$AM$11,$AK$2:$AK$11,"&lt;="&amp;Z712,$AL$2:$AL$11,"&gt;="&amp;Z712)+AB712*AC712*SUMIFS($AM$2:$AM$11,$AK$2:$AK$11,"&lt;="&amp;AB712,$AL$2:$AL$11,"&gt;="&amp;AB712)</f>
        <v/>
      </c>
      <c r="AH712" s="0">
        <f>AG712*(1-40%)</f>
        <v/>
      </c>
      <c r="AI712" s="0">
        <f>AH712*1.2</f>
        <v/>
      </c>
    </row>
    <row r="713">
      <c r="A713" s="26" t="n"/>
      <c r="B713" s="169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>
        <f>AG713</f>
        <v/>
      </c>
      <c r="T713" s="26">
        <f>AI713+Q713+P713</f>
        <v/>
      </c>
      <c r="U713" s="26" t="n"/>
      <c r="V713" s="26" t="n"/>
      <c r="W713" s="169" t="n"/>
      <c r="X713" s="26" t="n"/>
      <c r="Y713" s="26" t="n"/>
      <c r="Z713" s="26" t="n"/>
      <c r="AA713" s="26" t="n"/>
      <c r="AD713" s="0">
        <f>SUM(Y713,AA713,AC713)</f>
        <v/>
      </c>
      <c r="AE713" s="0">
        <f>X713*Y713+Z713*AA713+AB713*AC713</f>
        <v/>
      </c>
      <c r="AF713" s="0">
        <f>TEXTJOIN(", ",TRUE,IF(AND(X713&gt;0,Y713&gt;0),TEXT(X713,"0.00")&amp;"ct x "&amp;Y713,""),IF(AND(Z713&gt;0,AA713&gt;0),TEXT(Z713,"0.00")&amp;"ct x "&amp;AA713,""),IF(AND(AB713&gt;0,AC713&gt;0),TEXT(AB713,"0.00")&amp;"ct x "&amp;AC713,""))</f>
        <v/>
      </c>
      <c r="AG713" s="0">
        <f>X713*Y713*SUMIFS($AM$2:$AM$11,$AK$2:$AK$11,"&lt;="&amp;X713,$AL$2:$AL$11,"&gt;="&amp;X713)+Z713*AA713*SUMIFS($AM$2:$AM$11,$AK$2:$AK$11,"&lt;="&amp;Z713,$AL$2:$AL$11,"&gt;="&amp;Z713)+AB713*AC713*SUMIFS($AM$2:$AM$11,$AK$2:$AK$11,"&lt;="&amp;AB713,$AL$2:$AL$11,"&gt;="&amp;AB713)</f>
        <v/>
      </c>
      <c r="AH713" s="0">
        <f>AG713*(1-40%)</f>
        <v/>
      </c>
      <c r="AI713" s="0">
        <f>AH713*1.2</f>
        <v/>
      </c>
    </row>
    <row r="714">
      <c r="A714" s="26" t="n"/>
      <c r="B714" s="169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>
        <f>AG714</f>
        <v/>
      </c>
      <c r="T714" s="26">
        <f>AI714+Q714+P714</f>
        <v/>
      </c>
      <c r="U714" s="26" t="n"/>
      <c r="V714" s="26" t="n"/>
      <c r="W714" s="169" t="n"/>
      <c r="X714" s="26" t="n"/>
      <c r="Y714" s="26" t="n"/>
      <c r="Z714" s="26" t="n"/>
      <c r="AA714" s="26" t="n"/>
      <c r="AD714" s="0">
        <f>SUM(Y714,AA714,AC714)</f>
        <v/>
      </c>
      <c r="AE714" s="0">
        <f>X714*Y714+Z714*AA714+AB714*AC714</f>
        <v/>
      </c>
      <c r="AF714" s="0">
        <f>TEXTJOIN(", ",TRUE,IF(AND(X714&gt;0,Y714&gt;0),TEXT(X714,"0.00")&amp;"ct x "&amp;Y714,""),IF(AND(Z714&gt;0,AA714&gt;0),TEXT(Z714,"0.00")&amp;"ct x "&amp;AA714,""),IF(AND(AB714&gt;0,AC714&gt;0),TEXT(AB714,"0.00")&amp;"ct x "&amp;AC714,""))</f>
        <v/>
      </c>
      <c r="AG714" s="0">
        <f>X714*Y714*SUMIFS($AM$2:$AM$11,$AK$2:$AK$11,"&lt;="&amp;X714,$AL$2:$AL$11,"&gt;="&amp;X714)+Z714*AA714*SUMIFS($AM$2:$AM$11,$AK$2:$AK$11,"&lt;="&amp;Z714,$AL$2:$AL$11,"&gt;="&amp;Z714)+AB714*AC714*SUMIFS($AM$2:$AM$11,$AK$2:$AK$11,"&lt;="&amp;AB714,$AL$2:$AL$11,"&gt;="&amp;AB714)</f>
        <v/>
      </c>
      <c r="AH714" s="0">
        <f>AG714*(1-40%)</f>
        <v/>
      </c>
      <c r="AI714" s="0">
        <f>AH714*1.2</f>
        <v/>
      </c>
    </row>
    <row r="715">
      <c r="A715" s="26" t="n"/>
      <c r="B715" s="169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>
        <f>AG715</f>
        <v/>
      </c>
      <c r="T715" s="26">
        <f>AI715+Q715+P715</f>
        <v/>
      </c>
      <c r="U715" s="26" t="n"/>
      <c r="V715" s="26" t="n"/>
      <c r="W715" s="169" t="n"/>
      <c r="X715" s="26" t="n"/>
      <c r="Y715" s="26" t="n"/>
      <c r="Z715" s="26" t="n"/>
      <c r="AA715" s="26" t="n"/>
      <c r="AD715" s="0">
        <f>SUM(Y715,AA715,AC715)</f>
        <v/>
      </c>
      <c r="AE715" s="0">
        <f>X715*Y715+Z715*AA715+AB715*AC715</f>
        <v/>
      </c>
      <c r="AF715" s="0">
        <f>TEXTJOIN(", ",TRUE,IF(AND(X715&gt;0,Y715&gt;0),TEXT(X715,"0.00")&amp;"ct x "&amp;Y715,""),IF(AND(Z715&gt;0,AA715&gt;0),TEXT(Z715,"0.00")&amp;"ct x "&amp;AA715,""),IF(AND(AB715&gt;0,AC715&gt;0),TEXT(AB715,"0.00")&amp;"ct x "&amp;AC715,""))</f>
        <v/>
      </c>
      <c r="AG715" s="0">
        <f>X715*Y715*SUMIFS($AM$2:$AM$11,$AK$2:$AK$11,"&lt;="&amp;X715,$AL$2:$AL$11,"&gt;="&amp;X715)+Z715*AA715*SUMIFS($AM$2:$AM$11,$AK$2:$AK$11,"&lt;="&amp;Z715,$AL$2:$AL$11,"&gt;="&amp;Z715)+AB715*AC715*SUMIFS($AM$2:$AM$11,$AK$2:$AK$11,"&lt;="&amp;AB715,$AL$2:$AL$11,"&gt;="&amp;AB715)</f>
        <v/>
      </c>
      <c r="AH715" s="0">
        <f>AG715*(1-40%)</f>
        <v/>
      </c>
      <c r="AI715" s="0">
        <f>AH715*1.2</f>
        <v/>
      </c>
    </row>
    <row r="716">
      <c r="A716" s="26" t="n"/>
      <c r="B716" s="169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>
        <f>AG716</f>
        <v/>
      </c>
      <c r="T716" s="26">
        <f>AI716+Q716+P716</f>
        <v/>
      </c>
      <c r="U716" s="26" t="n"/>
      <c r="V716" s="26" t="n"/>
      <c r="W716" s="169" t="n"/>
      <c r="X716" s="26" t="n"/>
      <c r="Y716" s="26" t="n"/>
      <c r="Z716" s="26" t="n"/>
      <c r="AA716" s="26" t="n"/>
      <c r="AD716" s="0">
        <f>SUM(Y716,AA716,AC716)</f>
        <v/>
      </c>
      <c r="AE716" s="0">
        <f>X716*Y716+Z716*AA716+AB716*AC716</f>
        <v/>
      </c>
      <c r="AF716" s="0">
        <f>TEXTJOIN(", ",TRUE,IF(AND(X716&gt;0,Y716&gt;0),TEXT(X716,"0.00")&amp;"ct x "&amp;Y716,""),IF(AND(Z716&gt;0,AA716&gt;0),TEXT(Z716,"0.00")&amp;"ct x "&amp;AA716,""),IF(AND(AB716&gt;0,AC716&gt;0),TEXT(AB716,"0.00")&amp;"ct x "&amp;AC716,""))</f>
        <v/>
      </c>
      <c r="AG716" s="0">
        <f>X716*Y716*SUMIFS($AM$2:$AM$11,$AK$2:$AK$11,"&lt;="&amp;X716,$AL$2:$AL$11,"&gt;="&amp;X716)+Z716*AA716*SUMIFS($AM$2:$AM$11,$AK$2:$AK$11,"&lt;="&amp;Z716,$AL$2:$AL$11,"&gt;="&amp;Z716)+AB716*AC716*SUMIFS($AM$2:$AM$11,$AK$2:$AK$11,"&lt;="&amp;AB716,$AL$2:$AL$11,"&gt;="&amp;AB716)</f>
        <v/>
      </c>
      <c r="AH716" s="0">
        <f>AG716*(1-40%)</f>
        <v/>
      </c>
      <c r="AI716" s="0">
        <f>AH716*1.2</f>
        <v/>
      </c>
    </row>
    <row r="717">
      <c r="A717" s="26" t="n"/>
      <c r="B717" s="169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>
        <f>AG717</f>
        <v/>
      </c>
      <c r="T717" s="26">
        <f>AI717+Q717+P717</f>
        <v/>
      </c>
      <c r="U717" s="26" t="n"/>
      <c r="V717" s="26" t="n"/>
      <c r="W717" s="169" t="n"/>
      <c r="X717" s="26" t="n"/>
      <c r="Y717" s="26" t="n"/>
      <c r="Z717" s="26" t="n"/>
      <c r="AA717" s="26" t="n"/>
      <c r="AD717" s="0">
        <f>SUM(Y717,AA717,AC717)</f>
        <v/>
      </c>
      <c r="AE717" s="0">
        <f>X717*Y717+Z717*AA717+AB717*AC717</f>
        <v/>
      </c>
      <c r="AF717" s="0">
        <f>TEXTJOIN(", ",TRUE,IF(AND(X717&gt;0,Y717&gt;0),TEXT(X717,"0.00")&amp;"ct x "&amp;Y717,""),IF(AND(Z717&gt;0,AA717&gt;0),TEXT(Z717,"0.00")&amp;"ct x "&amp;AA717,""),IF(AND(AB717&gt;0,AC717&gt;0),TEXT(AB717,"0.00")&amp;"ct x "&amp;AC717,""))</f>
        <v/>
      </c>
      <c r="AG717" s="0">
        <f>X717*Y717*SUMIFS($AM$2:$AM$11,$AK$2:$AK$11,"&lt;="&amp;X717,$AL$2:$AL$11,"&gt;="&amp;X717)+Z717*AA717*SUMIFS($AM$2:$AM$11,$AK$2:$AK$11,"&lt;="&amp;Z717,$AL$2:$AL$11,"&gt;="&amp;Z717)+AB717*AC717*SUMIFS($AM$2:$AM$11,$AK$2:$AK$11,"&lt;="&amp;AB717,$AL$2:$AL$11,"&gt;="&amp;AB717)</f>
        <v/>
      </c>
      <c r="AH717" s="0">
        <f>AG717*(1-40%)</f>
        <v/>
      </c>
      <c r="AI717" s="0">
        <f>AH717*1.2</f>
        <v/>
      </c>
    </row>
    <row r="718">
      <c r="A718" s="26" t="n"/>
      <c r="B718" s="169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>
        <f>AG718</f>
        <v/>
      </c>
      <c r="T718" s="26">
        <f>AI718+Q718+P718</f>
        <v/>
      </c>
      <c r="U718" s="26" t="n"/>
      <c r="V718" s="26" t="n"/>
      <c r="W718" s="169" t="n"/>
      <c r="X718" s="26" t="n"/>
      <c r="Y718" s="26" t="n"/>
      <c r="Z718" s="26" t="n"/>
      <c r="AA718" s="26" t="n"/>
      <c r="AD718" s="0">
        <f>SUM(Y718,AA718,AC718)</f>
        <v/>
      </c>
      <c r="AE718" s="0">
        <f>X718*Y718+Z718*AA718+AB718*AC718</f>
        <v/>
      </c>
      <c r="AF718" s="0">
        <f>TEXTJOIN(", ",TRUE,IF(AND(X718&gt;0,Y718&gt;0),TEXT(X718,"0.00")&amp;"ct x "&amp;Y718,""),IF(AND(Z718&gt;0,AA718&gt;0),TEXT(Z718,"0.00")&amp;"ct x "&amp;AA718,""),IF(AND(AB718&gt;0,AC718&gt;0),TEXT(AB718,"0.00")&amp;"ct x "&amp;AC718,""))</f>
        <v/>
      </c>
      <c r="AG718" s="0">
        <f>X718*Y718*SUMIFS($AM$2:$AM$11,$AK$2:$AK$11,"&lt;="&amp;X718,$AL$2:$AL$11,"&gt;="&amp;X718)+Z718*AA718*SUMIFS($AM$2:$AM$11,$AK$2:$AK$11,"&lt;="&amp;Z718,$AL$2:$AL$11,"&gt;="&amp;Z718)+AB718*AC718*SUMIFS($AM$2:$AM$11,$AK$2:$AK$11,"&lt;="&amp;AB718,$AL$2:$AL$11,"&gt;="&amp;AB718)</f>
        <v/>
      </c>
      <c r="AH718" s="0">
        <f>AG718*(1-40%)</f>
        <v/>
      </c>
      <c r="AI718" s="0">
        <f>AH718*1.2</f>
        <v/>
      </c>
    </row>
    <row r="719">
      <c r="A719" s="26" t="n"/>
      <c r="B719" s="169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>
        <f>AG719</f>
        <v/>
      </c>
      <c r="T719" s="26">
        <f>AI719+Q719+P719</f>
        <v/>
      </c>
      <c r="U719" s="26" t="n"/>
      <c r="V719" s="26" t="n"/>
      <c r="W719" s="169" t="n"/>
      <c r="X719" s="26" t="n"/>
      <c r="Y719" s="26" t="n"/>
      <c r="Z719" s="26" t="n"/>
      <c r="AA719" s="26" t="n"/>
      <c r="AD719" s="0">
        <f>SUM(Y719,AA719,AC719)</f>
        <v/>
      </c>
      <c r="AE719" s="0">
        <f>X719*Y719+Z719*AA719+AB719*AC719</f>
        <v/>
      </c>
      <c r="AF719" s="0">
        <f>TEXTJOIN(", ",TRUE,IF(AND(X719&gt;0,Y719&gt;0),TEXT(X719,"0.00")&amp;"ct x "&amp;Y719,""),IF(AND(Z719&gt;0,AA719&gt;0),TEXT(Z719,"0.00")&amp;"ct x "&amp;AA719,""),IF(AND(AB719&gt;0,AC719&gt;0),TEXT(AB719,"0.00")&amp;"ct x "&amp;AC719,""))</f>
        <v/>
      </c>
      <c r="AG719" s="0">
        <f>X719*Y719*SUMIFS($AM$2:$AM$11,$AK$2:$AK$11,"&lt;="&amp;X719,$AL$2:$AL$11,"&gt;="&amp;X719)+Z719*AA719*SUMIFS($AM$2:$AM$11,$AK$2:$AK$11,"&lt;="&amp;Z719,$AL$2:$AL$11,"&gt;="&amp;Z719)+AB719*AC719*SUMIFS($AM$2:$AM$11,$AK$2:$AK$11,"&lt;="&amp;AB719,$AL$2:$AL$11,"&gt;="&amp;AB719)</f>
        <v/>
      </c>
      <c r="AH719" s="0">
        <f>AG719*(1-40%)</f>
        <v/>
      </c>
      <c r="AI719" s="0">
        <f>AH719*1.2</f>
        <v/>
      </c>
    </row>
    <row r="720">
      <c r="A720" s="26" t="n"/>
      <c r="B720" s="169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>
        <f>AG720</f>
        <v/>
      </c>
      <c r="T720" s="26">
        <f>AI720+Q720+P720</f>
        <v/>
      </c>
      <c r="U720" s="26" t="n"/>
      <c r="V720" s="26" t="n"/>
      <c r="W720" s="169" t="n"/>
      <c r="X720" s="26" t="n"/>
      <c r="Y720" s="26" t="n"/>
      <c r="Z720" s="26" t="n"/>
      <c r="AA720" s="26" t="n"/>
      <c r="AD720" s="0">
        <f>SUM(Y720,AA720,AC720)</f>
        <v/>
      </c>
      <c r="AE720" s="0">
        <f>X720*Y720+Z720*AA720+AB720*AC720</f>
        <v/>
      </c>
      <c r="AF720" s="0">
        <f>TEXTJOIN(", ",TRUE,IF(AND(X720&gt;0,Y720&gt;0),TEXT(X720,"0.00")&amp;"ct x "&amp;Y720,""),IF(AND(Z720&gt;0,AA720&gt;0),TEXT(Z720,"0.00")&amp;"ct x "&amp;AA720,""),IF(AND(AB720&gt;0,AC720&gt;0),TEXT(AB720,"0.00")&amp;"ct x "&amp;AC720,""))</f>
        <v/>
      </c>
      <c r="AG720" s="0">
        <f>X720*Y720*SUMIFS($AM$2:$AM$11,$AK$2:$AK$11,"&lt;="&amp;X720,$AL$2:$AL$11,"&gt;="&amp;X720)+Z720*AA720*SUMIFS($AM$2:$AM$11,$AK$2:$AK$11,"&lt;="&amp;Z720,$AL$2:$AL$11,"&gt;="&amp;Z720)+AB720*AC720*SUMIFS($AM$2:$AM$11,$AK$2:$AK$11,"&lt;="&amp;AB720,$AL$2:$AL$11,"&gt;="&amp;AB720)</f>
        <v/>
      </c>
      <c r="AH720" s="0">
        <f>AG720*(1-40%)</f>
        <v/>
      </c>
      <c r="AI720" s="0">
        <f>AH720*1.2</f>
        <v/>
      </c>
    </row>
    <row r="721">
      <c r="A721" s="26" t="n"/>
      <c r="B721" s="169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>
        <f>AG721</f>
        <v/>
      </c>
      <c r="T721" s="26">
        <f>AI721+Q721+P721</f>
        <v/>
      </c>
      <c r="U721" s="26" t="n"/>
      <c r="V721" s="26" t="n"/>
      <c r="W721" s="169" t="n"/>
      <c r="X721" s="26" t="n"/>
      <c r="Y721" s="26" t="n"/>
      <c r="Z721" s="26" t="n"/>
      <c r="AA721" s="26" t="n"/>
      <c r="AD721" s="0">
        <f>SUM(Y721,AA721,AC721)</f>
        <v/>
      </c>
      <c r="AE721" s="0">
        <f>X721*Y721+Z721*AA721+AB721*AC721</f>
        <v/>
      </c>
      <c r="AF721" s="0">
        <f>TEXTJOIN(", ",TRUE,IF(AND(X721&gt;0,Y721&gt;0),TEXT(X721,"0.00")&amp;"ct x "&amp;Y721,""),IF(AND(Z721&gt;0,AA721&gt;0),TEXT(Z721,"0.00")&amp;"ct x "&amp;AA721,""),IF(AND(AB721&gt;0,AC721&gt;0),TEXT(AB721,"0.00")&amp;"ct x "&amp;AC721,""))</f>
        <v/>
      </c>
      <c r="AG721" s="0">
        <f>X721*Y721*SUMIFS($AM$2:$AM$11,$AK$2:$AK$11,"&lt;="&amp;X721,$AL$2:$AL$11,"&gt;="&amp;X721)+Z721*AA721*SUMIFS($AM$2:$AM$11,$AK$2:$AK$11,"&lt;="&amp;Z721,$AL$2:$AL$11,"&gt;="&amp;Z721)+AB721*AC721*SUMIFS($AM$2:$AM$11,$AK$2:$AK$11,"&lt;="&amp;AB721,$AL$2:$AL$11,"&gt;="&amp;AB721)</f>
        <v/>
      </c>
      <c r="AH721" s="0">
        <f>AG721*(1-40%)</f>
        <v/>
      </c>
      <c r="AI721" s="0">
        <f>AH721*1.2</f>
        <v/>
      </c>
    </row>
    <row r="722">
      <c r="A722" s="26" t="n"/>
      <c r="B722" s="169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>
        <f>AG722</f>
        <v/>
      </c>
      <c r="T722" s="26">
        <f>AI722+Q722+P722</f>
        <v/>
      </c>
      <c r="U722" s="26" t="n"/>
      <c r="V722" s="26" t="n"/>
      <c r="W722" s="169" t="n"/>
      <c r="X722" s="26" t="n"/>
      <c r="Y722" s="26" t="n"/>
      <c r="Z722" s="26" t="n"/>
      <c r="AA722" s="26" t="n"/>
      <c r="AD722" s="0">
        <f>SUM(Y722,AA722,AC722)</f>
        <v/>
      </c>
      <c r="AE722" s="0">
        <f>X722*Y722+Z722*AA722+AB722*AC722</f>
        <v/>
      </c>
      <c r="AF722" s="0">
        <f>TEXTJOIN(", ",TRUE,IF(AND(X722&gt;0,Y722&gt;0),TEXT(X722,"0.00")&amp;"ct x "&amp;Y722,""),IF(AND(Z722&gt;0,AA722&gt;0),TEXT(Z722,"0.00")&amp;"ct x "&amp;AA722,""),IF(AND(AB722&gt;0,AC722&gt;0),TEXT(AB722,"0.00")&amp;"ct x "&amp;AC722,""))</f>
        <v/>
      </c>
      <c r="AG722" s="0">
        <f>X722*Y722*SUMIFS($AM$2:$AM$11,$AK$2:$AK$11,"&lt;="&amp;X722,$AL$2:$AL$11,"&gt;="&amp;X722)+Z722*AA722*SUMIFS($AM$2:$AM$11,$AK$2:$AK$11,"&lt;="&amp;Z722,$AL$2:$AL$11,"&gt;="&amp;Z722)+AB722*AC722*SUMIFS($AM$2:$AM$11,$AK$2:$AK$11,"&lt;="&amp;AB722,$AL$2:$AL$11,"&gt;="&amp;AB722)</f>
        <v/>
      </c>
      <c r="AH722" s="0">
        <f>AG722*(1-40%)</f>
        <v/>
      </c>
      <c r="AI722" s="0">
        <f>AH722*1.2</f>
        <v/>
      </c>
    </row>
    <row r="723">
      <c r="A723" s="26" t="n"/>
      <c r="B723" s="169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>
        <f>AG723</f>
        <v/>
      </c>
      <c r="T723" s="26">
        <f>AI723+Q723+P723</f>
        <v/>
      </c>
      <c r="U723" s="26" t="n"/>
      <c r="V723" s="26" t="n"/>
      <c r="W723" s="169" t="n"/>
      <c r="X723" s="26" t="n"/>
      <c r="Y723" s="26" t="n"/>
      <c r="Z723" s="26" t="n"/>
      <c r="AA723" s="26" t="n"/>
      <c r="AD723" s="0">
        <f>SUM(Y723,AA723,AC723)</f>
        <v/>
      </c>
      <c r="AE723" s="0">
        <f>X723*Y723+Z723*AA723+AB723*AC723</f>
        <v/>
      </c>
      <c r="AF723" s="0">
        <f>TEXTJOIN(", ",TRUE,IF(AND(X723&gt;0,Y723&gt;0),TEXT(X723,"0.00")&amp;"ct x "&amp;Y723,""),IF(AND(Z723&gt;0,AA723&gt;0),TEXT(Z723,"0.00")&amp;"ct x "&amp;AA723,""),IF(AND(AB723&gt;0,AC723&gt;0),TEXT(AB723,"0.00")&amp;"ct x "&amp;AC723,""))</f>
        <v/>
      </c>
      <c r="AG723" s="0">
        <f>X723*Y723*SUMIFS($AM$2:$AM$11,$AK$2:$AK$11,"&lt;="&amp;X723,$AL$2:$AL$11,"&gt;="&amp;X723)+Z723*AA723*SUMIFS($AM$2:$AM$11,$AK$2:$AK$11,"&lt;="&amp;Z723,$AL$2:$AL$11,"&gt;="&amp;Z723)+AB723*AC723*SUMIFS($AM$2:$AM$11,$AK$2:$AK$11,"&lt;="&amp;AB723,$AL$2:$AL$11,"&gt;="&amp;AB723)</f>
        <v/>
      </c>
      <c r="AH723" s="0">
        <f>AG723*(1-40%)</f>
        <v/>
      </c>
      <c r="AI723" s="0">
        <f>AH723*1.2</f>
        <v/>
      </c>
    </row>
    <row r="724">
      <c r="A724" s="26" t="n"/>
      <c r="B724" s="169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>
        <f>AG724</f>
        <v/>
      </c>
      <c r="T724" s="26">
        <f>AI724+Q724+P724</f>
        <v/>
      </c>
      <c r="U724" s="26" t="n"/>
      <c r="V724" s="26" t="n"/>
      <c r="W724" s="169" t="n"/>
      <c r="X724" s="26" t="n"/>
      <c r="Y724" s="26" t="n"/>
      <c r="Z724" s="26" t="n"/>
      <c r="AA724" s="26" t="n"/>
      <c r="AD724" s="0">
        <f>SUM(Y724,AA724,AC724)</f>
        <v/>
      </c>
      <c r="AE724" s="0">
        <f>X724*Y724+Z724*AA724+AB724*AC724</f>
        <v/>
      </c>
      <c r="AF724" s="0">
        <f>TEXTJOIN(", ",TRUE,IF(AND(X724&gt;0,Y724&gt;0),TEXT(X724,"0.00")&amp;"ct x "&amp;Y724,""),IF(AND(Z724&gt;0,AA724&gt;0),TEXT(Z724,"0.00")&amp;"ct x "&amp;AA724,""),IF(AND(AB724&gt;0,AC724&gt;0),TEXT(AB724,"0.00")&amp;"ct x "&amp;AC724,""))</f>
        <v/>
      </c>
      <c r="AG724" s="0">
        <f>X724*Y724*SUMIFS($AM$2:$AM$11,$AK$2:$AK$11,"&lt;="&amp;X724,$AL$2:$AL$11,"&gt;="&amp;X724)+Z724*AA724*SUMIFS($AM$2:$AM$11,$AK$2:$AK$11,"&lt;="&amp;Z724,$AL$2:$AL$11,"&gt;="&amp;Z724)+AB724*AC724*SUMIFS($AM$2:$AM$11,$AK$2:$AK$11,"&lt;="&amp;AB724,$AL$2:$AL$11,"&gt;="&amp;AB724)</f>
        <v/>
      </c>
      <c r="AH724" s="0">
        <f>AG724*(1-40%)</f>
        <v/>
      </c>
      <c r="AI724" s="0">
        <f>AH724*1.2</f>
        <v/>
      </c>
    </row>
    <row r="725">
      <c r="A725" s="26" t="n"/>
      <c r="B725" s="169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>
        <f>AG725</f>
        <v/>
      </c>
      <c r="T725" s="26">
        <f>AI725+Q725+P725</f>
        <v/>
      </c>
      <c r="U725" s="26" t="n"/>
      <c r="V725" s="26" t="n"/>
      <c r="W725" s="169" t="n"/>
      <c r="X725" s="26" t="n"/>
      <c r="Y725" s="26" t="n"/>
      <c r="Z725" s="26" t="n"/>
      <c r="AA725" s="26" t="n"/>
      <c r="AD725" s="0">
        <f>SUM(Y725,AA725,AC725)</f>
        <v/>
      </c>
      <c r="AE725" s="0">
        <f>X725*Y725+Z725*AA725+AB725*AC725</f>
        <v/>
      </c>
      <c r="AF725" s="0">
        <f>TEXTJOIN(", ",TRUE,IF(AND(X725&gt;0,Y725&gt;0),TEXT(X725,"0.00")&amp;"ct x "&amp;Y725,""),IF(AND(Z725&gt;0,AA725&gt;0),TEXT(Z725,"0.00")&amp;"ct x "&amp;AA725,""),IF(AND(AB725&gt;0,AC725&gt;0),TEXT(AB725,"0.00")&amp;"ct x "&amp;AC725,""))</f>
        <v/>
      </c>
      <c r="AG725" s="0">
        <f>X725*Y725*SUMIFS($AM$2:$AM$11,$AK$2:$AK$11,"&lt;="&amp;X725,$AL$2:$AL$11,"&gt;="&amp;X725)+Z725*AA725*SUMIFS($AM$2:$AM$11,$AK$2:$AK$11,"&lt;="&amp;Z725,$AL$2:$AL$11,"&gt;="&amp;Z725)+AB725*AC725*SUMIFS($AM$2:$AM$11,$AK$2:$AK$11,"&lt;="&amp;AB725,$AL$2:$AL$11,"&gt;="&amp;AB725)</f>
        <v/>
      </c>
      <c r="AH725" s="0">
        <f>AG725*(1-40%)</f>
        <v/>
      </c>
      <c r="AI725" s="0">
        <f>AH725*1.2</f>
        <v/>
      </c>
    </row>
    <row r="726">
      <c r="A726" s="26" t="n"/>
      <c r="B726" s="169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>
        <f>AG726</f>
        <v/>
      </c>
      <c r="T726" s="26">
        <f>AI726+Q726+P726</f>
        <v/>
      </c>
      <c r="U726" s="26" t="n"/>
      <c r="V726" s="26" t="n"/>
      <c r="W726" s="169" t="n"/>
      <c r="X726" s="26" t="n"/>
      <c r="Y726" s="26" t="n"/>
      <c r="Z726" s="26" t="n"/>
      <c r="AA726" s="26" t="n"/>
      <c r="AD726" s="0">
        <f>SUM(Y726,AA726,AC726)</f>
        <v/>
      </c>
      <c r="AE726" s="0">
        <f>X726*Y726+Z726*AA726+AB726*AC726</f>
        <v/>
      </c>
      <c r="AF726" s="0">
        <f>TEXTJOIN(", ",TRUE,IF(AND(X726&gt;0,Y726&gt;0),TEXT(X726,"0.00")&amp;"ct x "&amp;Y726,""),IF(AND(Z726&gt;0,AA726&gt;0),TEXT(Z726,"0.00")&amp;"ct x "&amp;AA726,""),IF(AND(AB726&gt;0,AC726&gt;0),TEXT(AB726,"0.00")&amp;"ct x "&amp;AC726,""))</f>
        <v/>
      </c>
      <c r="AG726" s="0">
        <f>X726*Y726*SUMIFS($AM$2:$AM$11,$AK$2:$AK$11,"&lt;="&amp;X726,$AL$2:$AL$11,"&gt;="&amp;X726)+Z726*AA726*SUMIFS($AM$2:$AM$11,$AK$2:$AK$11,"&lt;="&amp;Z726,$AL$2:$AL$11,"&gt;="&amp;Z726)+AB726*AC726*SUMIFS($AM$2:$AM$11,$AK$2:$AK$11,"&lt;="&amp;AB726,$AL$2:$AL$11,"&gt;="&amp;AB726)</f>
        <v/>
      </c>
      <c r="AH726" s="0">
        <f>AG726*(1-40%)</f>
        <v/>
      </c>
      <c r="AI726" s="0">
        <f>AH726*1.2</f>
        <v/>
      </c>
    </row>
    <row r="727">
      <c r="A727" s="26" t="n"/>
      <c r="B727" s="169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>
        <f>AG727</f>
        <v/>
      </c>
      <c r="T727" s="26">
        <f>AI727+Q727+P727</f>
        <v/>
      </c>
      <c r="U727" s="26" t="n"/>
      <c r="V727" s="26" t="n"/>
      <c r="W727" s="169" t="n"/>
      <c r="X727" s="26" t="n"/>
      <c r="Y727" s="26" t="n"/>
      <c r="Z727" s="26" t="n"/>
      <c r="AA727" s="26" t="n"/>
      <c r="AD727" s="0">
        <f>SUM(Y727,AA727,AC727)</f>
        <v/>
      </c>
      <c r="AE727" s="0">
        <f>X727*Y727+Z727*AA727+AB727*AC727</f>
        <v/>
      </c>
      <c r="AF727" s="0">
        <f>TEXTJOIN(", ",TRUE,IF(AND(X727&gt;0,Y727&gt;0),TEXT(X727,"0.00")&amp;"ct x "&amp;Y727,""),IF(AND(Z727&gt;0,AA727&gt;0),TEXT(Z727,"0.00")&amp;"ct x "&amp;AA727,""),IF(AND(AB727&gt;0,AC727&gt;0),TEXT(AB727,"0.00")&amp;"ct x "&amp;AC727,""))</f>
        <v/>
      </c>
      <c r="AG727" s="0">
        <f>X727*Y727*SUMIFS($AM$2:$AM$11,$AK$2:$AK$11,"&lt;="&amp;X727,$AL$2:$AL$11,"&gt;="&amp;X727)+Z727*AA727*SUMIFS($AM$2:$AM$11,$AK$2:$AK$11,"&lt;="&amp;Z727,$AL$2:$AL$11,"&gt;="&amp;Z727)+AB727*AC727*SUMIFS($AM$2:$AM$11,$AK$2:$AK$11,"&lt;="&amp;AB727,$AL$2:$AL$11,"&gt;="&amp;AB727)</f>
        <v/>
      </c>
      <c r="AH727" s="0">
        <f>AG727*(1-40%)</f>
        <v/>
      </c>
      <c r="AI727" s="0">
        <f>AH727*1.2</f>
        <v/>
      </c>
    </row>
    <row r="728">
      <c r="A728" s="26" t="n"/>
      <c r="B728" s="169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>
        <f>AG728</f>
        <v/>
      </c>
      <c r="T728" s="26">
        <f>AI728+Q728+P728</f>
        <v/>
      </c>
      <c r="U728" s="26" t="n"/>
      <c r="V728" s="26" t="n"/>
      <c r="W728" s="169" t="n"/>
      <c r="X728" s="26" t="n"/>
      <c r="Y728" s="26" t="n"/>
      <c r="Z728" s="26" t="n"/>
      <c r="AA728" s="26" t="n"/>
      <c r="AD728" s="0">
        <f>SUM(Y728,AA728,AC728)</f>
        <v/>
      </c>
      <c r="AE728" s="0">
        <f>X728*Y728+Z728*AA728+AB728*AC728</f>
        <v/>
      </c>
      <c r="AF728" s="0">
        <f>TEXTJOIN(", ",TRUE,IF(AND(X728&gt;0,Y728&gt;0),TEXT(X728,"0.00")&amp;"ct x "&amp;Y728,""),IF(AND(Z728&gt;0,AA728&gt;0),TEXT(Z728,"0.00")&amp;"ct x "&amp;AA728,""),IF(AND(AB728&gt;0,AC728&gt;0),TEXT(AB728,"0.00")&amp;"ct x "&amp;AC728,""))</f>
        <v/>
      </c>
      <c r="AG728" s="0">
        <f>X728*Y728*SUMIFS($AM$2:$AM$11,$AK$2:$AK$11,"&lt;="&amp;X728,$AL$2:$AL$11,"&gt;="&amp;X728)+Z728*AA728*SUMIFS($AM$2:$AM$11,$AK$2:$AK$11,"&lt;="&amp;Z728,$AL$2:$AL$11,"&gt;="&amp;Z728)+AB728*AC728*SUMIFS($AM$2:$AM$11,$AK$2:$AK$11,"&lt;="&amp;AB728,$AL$2:$AL$11,"&gt;="&amp;AB728)</f>
        <v/>
      </c>
      <c r="AH728" s="0">
        <f>AG728*(1-40%)</f>
        <v/>
      </c>
      <c r="AI728" s="0">
        <f>AH728*1.2</f>
        <v/>
      </c>
    </row>
    <row r="729">
      <c r="A729" s="26" t="n"/>
      <c r="B729" s="169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>
        <f>AG729</f>
        <v/>
      </c>
      <c r="T729" s="26">
        <f>AI729+Q729+P729</f>
        <v/>
      </c>
      <c r="U729" s="26" t="n"/>
      <c r="V729" s="26" t="n"/>
      <c r="W729" s="169" t="n"/>
      <c r="X729" s="26" t="n"/>
      <c r="Y729" s="26" t="n"/>
      <c r="Z729" s="26" t="n"/>
      <c r="AA729" s="26" t="n"/>
      <c r="AD729" s="0">
        <f>SUM(Y729,AA729,AC729)</f>
        <v/>
      </c>
      <c r="AE729" s="0">
        <f>X729*Y729+Z729*AA729+AB729*AC729</f>
        <v/>
      </c>
      <c r="AF729" s="0">
        <f>TEXTJOIN(", ",TRUE,IF(AND(X729&gt;0,Y729&gt;0),TEXT(X729,"0.00")&amp;"ct x "&amp;Y729,""),IF(AND(Z729&gt;0,AA729&gt;0),TEXT(Z729,"0.00")&amp;"ct x "&amp;AA729,""),IF(AND(AB729&gt;0,AC729&gt;0),TEXT(AB729,"0.00")&amp;"ct x "&amp;AC729,""))</f>
        <v/>
      </c>
      <c r="AG729" s="0">
        <f>X729*Y729*SUMIFS($AM$2:$AM$11,$AK$2:$AK$11,"&lt;="&amp;X729,$AL$2:$AL$11,"&gt;="&amp;X729)+Z729*AA729*SUMIFS($AM$2:$AM$11,$AK$2:$AK$11,"&lt;="&amp;Z729,$AL$2:$AL$11,"&gt;="&amp;Z729)+AB729*AC729*SUMIFS($AM$2:$AM$11,$AK$2:$AK$11,"&lt;="&amp;AB729,$AL$2:$AL$11,"&gt;="&amp;AB729)</f>
        <v/>
      </c>
      <c r="AH729" s="0">
        <f>AG729*(1-40%)</f>
        <v/>
      </c>
      <c r="AI729" s="0">
        <f>AH729*1.2</f>
        <v/>
      </c>
    </row>
    <row r="730">
      <c r="A730" s="26" t="n"/>
      <c r="B730" s="169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>
        <f>AG730</f>
        <v/>
      </c>
      <c r="T730" s="26">
        <f>AI730+Q730+P730</f>
        <v/>
      </c>
      <c r="U730" s="26" t="n"/>
      <c r="V730" s="26" t="n"/>
      <c r="W730" s="169" t="n"/>
      <c r="X730" s="26" t="n"/>
      <c r="Y730" s="26" t="n"/>
      <c r="Z730" s="26" t="n"/>
      <c r="AA730" s="26" t="n"/>
      <c r="AD730" s="0">
        <f>SUM(Y730,AA730,AC730)</f>
        <v/>
      </c>
      <c r="AE730" s="0">
        <f>X730*Y730+Z730*AA730+AB730*AC730</f>
        <v/>
      </c>
      <c r="AF730" s="0">
        <f>TEXTJOIN(", ",TRUE,IF(AND(X730&gt;0,Y730&gt;0),TEXT(X730,"0.00")&amp;"ct x "&amp;Y730,""),IF(AND(Z730&gt;0,AA730&gt;0),TEXT(Z730,"0.00")&amp;"ct x "&amp;AA730,""),IF(AND(AB730&gt;0,AC730&gt;0),TEXT(AB730,"0.00")&amp;"ct x "&amp;AC730,""))</f>
        <v/>
      </c>
      <c r="AG730" s="0">
        <f>X730*Y730*SUMIFS($AM$2:$AM$11,$AK$2:$AK$11,"&lt;="&amp;X730,$AL$2:$AL$11,"&gt;="&amp;X730)+Z730*AA730*SUMIFS($AM$2:$AM$11,$AK$2:$AK$11,"&lt;="&amp;Z730,$AL$2:$AL$11,"&gt;="&amp;Z730)+AB730*AC730*SUMIFS($AM$2:$AM$11,$AK$2:$AK$11,"&lt;="&amp;AB730,$AL$2:$AL$11,"&gt;="&amp;AB730)</f>
        <v/>
      </c>
      <c r="AH730" s="0">
        <f>AG730*(1-40%)</f>
        <v/>
      </c>
      <c r="AI730" s="0">
        <f>AH730*1.2</f>
        <v/>
      </c>
    </row>
    <row r="731">
      <c r="A731" s="26" t="n"/>
      <c r="B731" s="169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>
        <f>AG731</f>
        <v/>
      </c>
      <c r="T731" s="26">
        <f>AI731+Q731+P731</f>
        <v/>
      </c>
      <c r="U731" s="26" t="n"/>
      <c r="V731" s="26" t="n"/>
      <c r="W731" s="169" t="n"/>
      <c r="X731" s="26" t="n"/>
      <c r="Y731" s="26" t="n"/>
      <c r="Z731" s="26" t="n"/>
      <c r="AA731" s="26" t="n"/>
      <c r="AD731" s="0">
        <f>SUM(Y731,AA731,AC731)</f>
        <v/>
      </c>
      <c r="AE731" s="0">
        <f>X731*Y731+Z731*AA731+AB731*AC731</f>
        <v/>
      </c>
      <c r="AF731" s="0">
        <f>TEXTJOIN(", ",TRUE,IF(AND(X731&gt;0,Y731&gt;0),TEXT(X731,"0.00")&amp;"ct x "&amp;Y731,""),IF(AND(Z731&gt;0,AA731&gt;0),TEXT(Z731,"0.00")&amp;"ct x "&amp;AA731,""),IF(AND(AB731&gt;0,AC731&gt;0),TEXT(AB731,"0.00")&amp;"ct x "&amp;AC731,""))</f>
        <v/>
      </c>
      <c r="AG731" s="0">
        <f>X731*Y731*SUMIFS($AM$2:$AM$11,$AK$2:$AK$11,"&lt;="&amp;X731,$AL$2:$AL$11,"&gt;="&amp;X731)+Z731*AA731*SUMIFS($AM$2:$AM$11,$AK$2:$AK$11,"&lt;="&amp;Z731,$AL$2:$AL$11,"&gt;="&amp;Z731)+AB731*AC731*SUMIFS($AM$2:$AM$11,$AK$2:$AK$11,"&lt;="&amp;AB731,$AL$2:$AL$11,"&gt;="&amp;AB731)</f>
        <v/>
      </c>
      <c r="AH731" s="0">
        <f>AG731*(1-40%)</f>
        <v/>
      </c>
      <c r="AI731" s="0">
        <f>AH731*1.2</f>
        <v/>
      </c>
    </row>
    <row r="732">
      <c r="A732" s="26" t="n"/>
      <c r="B732" s="169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>
        <f>AG732</f>
        <v/>
      </c>
      <c r="T732" s="26">
        <f>AI732+Q732+P732</f>
        <v/>
      </c>
      <c r="U732" s="26" t="n"/>
      <c r="V732" s="26" t="n"/>
      <c r="W732" s="169" t="n"/>
      <c r="X732" s="26" t="n"/>
      <c r="Y732" s="26" t="n"/>
      <c r="Z732" s="26" t="n"/>
      <c r="AA732" s="26" t="n"/>
      <c r="AD732" s="0">
        <f>SUM(Y732,AA732,AC732)</f>
        <v/>
      </c>
      <c r="AE732" s="0">
        <f>X732*Y732+Z732*AA732+AB732*AC732</f>
        <v/>
      </c>
      <c r="AF732" s="0">
        <f>TEXTJOIN(", ",TRUE,IF(AND(X732&gt;0,Y732&gt;0),TEXT(X732,"0.00")&amp;"ct x "&amp;Y732,""),IF(AND(Z732&gt;0,AA732&gt;0),TEXT(Z732,"0.00")&amp;"ct x "&amp;AA732,""),IF(AND(AB732&gt;0,AC732&gt;0),TEXT(AB732,"0.00")&amp;"ct x "&amp;AC732,""))</f>
        <v/>
      </c>
      <c r="AG732" s="0">
        <f>X732*Y732*SUMIFS($AM$2:$AM$11,$AK$2:$AK$11,"&lt;="&amp;X732,$AL$2:$AL$11,"&gt;="&amp;X732)+Z732*AA732*SUMIFS($AM$2:$AM$11,$AK$2:$AK$11,"&lt;="&amp;Z732,$AL$2:$AL$11,"&gt;="&amp;Z732)+AB732*AC732*SUMIFS($AM$2:$AM$11,$AK$2:$AK$11,"&lt;="&amp;AB732,$AL$2:$AL$11,"&gt;="&amp;AB732)</f>
        <v/>
      </c>
      <c r="AH732" s="0">
        <f>AG732*(1-40%)</f>
        <v/>
      </c>
      <c r="AI732" s="0">
        <f>AH732*1.2</f>
        <v/>
      </c>
    </row>
    <row r="733">
      <c r="A733" s="26" t="n"/>
      <c r="B733" s="169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>
        <f>AG733</f>
        <v/>
      </c>
      <c r="T733" s="26">
        <f>AI733+Q733+P733</f>
        <v/>
      </c>
      <c r="U733" s="26" t="n"/>
      <c r="V733" s="26" t="n"/>
      <c r="W733" s="169" t="n"/>
      <c r="X733" s="26" t="n"/>
      <c r="Y733" s="26" t="n"/>
      <c r="Z733" s="26" t="n"/>
      <c r="AA733" s="26" t="n"/>
      <c r="AD733" s="0">
        <f>SUM(Y733,AA733,AC733)</f>
        <v/>
      </c>
      <c r="AE733" s="0">
        <f>X733*Y733+Z733*AA733+AB733*AC733</f>
        <v/>
      </c>
      <c r="AF733" s="0">
        <f>TEXTJOIN(", ",TRUE,IF(AND(X733&gt;0,Y733&gt;0),TEXT(X733,"0.00")&amp;"ct x "&amp;Y733,""),IF(AND(Z733&gt;0,AA733&gt;0),TEXT(Z733,"0.00")&amp;"ct x "&amp;AA733,""),IF(AND(AB733&gt;0,AC733&gt;0),TEXT(AB733,"0.00")&amp;"ct x "&amp;AC733,""))</f>
        <v/>
      </c>
      <c r="AG733" s="0">
        <f>X733*Y733*SUMIFS($AM$2:$AM$11,$AK$2:$AK$11,"&lt;="&amp;X733,$AL$2:$AL$11,"&gt;="&amp;X733)+Z733*AA733*SUMIFS($AM$2:$AM$11,$AK$2:$AK$11,"&lt;="&amp;Z733,$AL$2:$AL$11,"&gt;="&amp;Z733)+AB733*AC733*SUMIFS($AM$2:$AM$11,$AK$2:$AK$11,"&lt;="&amp;AB733,$AL$2:$AL$11,"&gt;="&amp;AB733)</f>
        <v/>
      </c>
      <c r="AH733" s="0">
        <f>AG733*(1-40%)</f>
        <v/>
      </c>
      <c r="AI733" s="0">
        <f>AH733*1.2</f>
        <v/>
      </c>
    </row>
    <row r="734">
      <c r="A734" s="26" t="n"/>
      <c r="B734" s="169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>
        <f>AG734</f>
        <v/>
      </c>
      <c r="T734" s="26">
        <f>AI734+Q734+P734</f>
        <v/>
      </c>
      <c r="U734" s="26" t="n"/>
      <c r="V734" s="26" t="n"/>
      <c r="W734" s="169" t="n"/>
      <c r="X734" s="26" t="n"/>
      <c r="Y734" s="26" t="n"/>
      <c r="Z734" s="26" t="n"/>
      <c r="AA734" s="26" t="n"/>
      <c r="AD734" s="0">
        <f>SUM(Y734,AA734,AC734)</f>
        <v/>
      </c>
      <c r="AE734" s="0">
        <f>X734*Y734+Z734*AA734+AB734*AC734</f>
        <v/>
      </c>
      <c r="AF734" s="0">
        <f>TEXTJOIN(", ",TRUE,IF(AND(X734&gt;0,Y734&gt;0),TEXT(X734,"0.00")&amp;"ct x "&amp;Y734,""),IF(AND(Z734&gt;0,AA734&gt;0),TEXT(Z734,"0.00")&amp;"ct x "&amp;AA734,""),IF(AND(AB734&gt;0,AC734&gt;0),TEXT(AB734,"0.00")&amp;"ct x "&amp;AC734,""))</f>
        <v/>
      </c>
      <c r="AG734" s="0">
        <f>X734*Y734*SUMIFS($AM$2:$AM$11,$AK$2:$AK$11,"&lt;="&amp;X734,$AL$2:$AL$11,"&gt;="&amp;X734)+Z734*AA734*SUMIFS($AM$2:$AM$11,$AK$2:$AK$11,"&lt;="&amp;Z734,$AL$2:$AL$11,"&gt;="&amp;Z734)+AB734*AC734*SUMIFS($AM$2:$AM$11,$AK$2:$AK$11,"&lt;="&amp;AB734,$AL$2:$AL$11,"&gt;="&amp;AB734)</f>
        <v/>
      </c>
      <c r="AH734" s="0">
        <f>AG734*(1-40%)</f>
        <v/>
      </c>
      <c r="AI734" s="0">
        <f>AH734*1.2</f>
        <v/>
      </c>
    </row>
    <row r="735">
      <c r="A735" s="26" t="n"/>
      <c r="B735" s="169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>
        <f>AG735</f>
        <v/>
      </c>
      <c r="T735" s="26">
        <f>AI735+Q735+P735</f>
        <v/>
      </c>
      <c r="U735" s="26" t="n"/>
      <c r="V735" s="26" t="n"/>
      <c r="W735" s="169" t="n"/>
      <c r="X735" s="26" t="n"/>
      <c r="Y735" s="26" t="n"/>
      <c r="Z735" s="26" t="n"/>
      <c r="AA735" s="26" t="n"/>
      <c r="AD735" s="0">
        <f>SUM(Y735,AA735,AC735)</f>
        <v/>
      </c>
      <c r="AE735" s="0">
        <f>X735*Y735+Z735*AA735+AB735*AC735</f>
        <v/>
      </c>
      <c r="AF735" s="0">
        <f>TEXTJOIN(", ",TRUE,IF(AND(X735&gt;0,Y735&gt;0),TEXT(X735,"0.00")&amp;"ct x "&amp;Y735,""),IF(AND(Z735&gt;0,AA735&gt;0),TEXT(Z735,"0.00")&amp;"ct x "&amp;AA735,""),IF(AND(AB735&gt;0,AC735&gt;0),TEXT(AB735,"0.00")&amp;"ct x "&amp;AC735,""))</f>
        <v/>
      </c>
      <c r="AG735" s="0">
        <f>X735*Y735*SUMIFS($AM$2:$AM$11,$AK$2:$AK$11,"&lt;="&amp;X735,$AL$2:$AL$11,"&gt;="&amp;X735)+Z735*AA735*SUMIFS($AM$2:$AM$11,$AK$2:$AK$11,"&lt;="&amp;Z735,$AL$2:$AL$11,"&gt;="&amp;Z735)+AB735*AC735*SUMIFS($AM$2:$AM$11,$AK$2:$AK$11,"&lt;="&amp;AB735,$AL$2:$AL$11,"&gt;="&amp;AB735)</f>
        <v/>
      </c>
      <c r="AH735" s="0">
        <f>AG735*(1-40%)</f>
        <v/>
      </c>
      <c r="AI735" s="0">
        <f>AH735*1.2</f>
        <v/>
      </c>
    </row>
    <row r="736">
      <c r="A736" s="26" t="n"/>
      <c r="B736" s="169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>
        <f>AG736</f>
        <v/>
      </c>
      <c r="T736" s="26">
        <f>AI736+Q736+P736</f>
        <v/>
      </c>
      <c r="U736" s="26" t="n"/>
      <c r="V736" s="26" t="n"/>
      <c r="W736" s="169" t="n"/>
      <c r="X736" s="26" t="n"/>
      <c r="Y736" s="26" t="n"/>
      <c r="Z736" s="26" t="n"/>
      <c r="AA736" s="26" t="n"/>
      <c r="AD736" s="0">
        <f>SUM(Y736,AA736,AC736)</f>
        <v/>
      </c>
      <c r="AE736" s="0">
        <f>X736*Y736+Z736*AA736+AB736*AC736</f>
        <v/>
      </c>
      <c r="AF736" s="0">
        <f>TEXTJOIN(", ",TRUE,IF(AND(X736&gt;0,Y736&gt;0),TEXT(X736,"0.00")&amp;"ct x "&amp;Y736,""),IF(AND(Z736&gt;0,AA736&gt;0),TEXT(Z736,"0.00")&amp;"ct x "&amp;AA736,""),IF(AND(AB736&gt;0,AC736&gt;0),TEXT(AB736,"0.00")&amp;"ct x "&amp;AC736,""))</f>
        <v/>
      </c>
      <c r="AG736" s="0">
        <f>X736*Y736*SUMIFS($AM$2:$AM$11,$AK$2:$AK$11,"&lt;="&amp;X736,$AL$2:$AL$11,"&gt;="&amp;X736)+Z736*AA736*SUMIFS($AM$2:$AM$11,$AK$2:$AK$11,"&lt;="&amp;Z736,$AL$2:$AL$11,"&gt;="&amp;Z736)+AB736*AC736*SUMIFS($AM$2:$AM$11,$AK$2:$AK$11,"&lt;="&amp;AB736,$AL$2:$AL$11,"&gt;="&amp;AB736)</f>
        <v/>
      </c>
      <c r="AH736" s="0">
        <f>AG736*(1-40%)</f>
        <v/>
      </c>
      <c r="AI736" s="0">
        <f>AH736*1.2</f>
        <v/>
      </c>
    </row>
    <row r="737">
      <c r="A737" s="26" t="n"/>
      <c r="B737" s="169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>
        <f>AG737</f>
        <v/>
      </c>
      <c r="T737" s="26">
        <f>AI737+Q737+P737</f>
        <v/>
      </c>
      <c r="U737" s="26" t="n"/>
      <c r="V737" s="26" t="n"/>
      <c r="W737" s="169" t="n"/>
      <c r="X737" s="26" t="n"/>
      <c r="Y737" s="26" t="n"/>
      <c r="Z737" s="26" t="n"/>
      <c r="AA737" s="26" t="n"/>
      <c r="AD737" s="0">
        <f>SUM(Y737,AA737,AC737)</f>
        <v/>
      </c>
      <c r="AE737" s="0">
        <f>X737*Y737+Z737*AA737+AB737*AC737</f>
        <v/>
      </c>
      <c r="AF737" s="0">
        <f>TEXTJOIN(", ",TRUE,IF(AND(X737&gt;0,Y737&gt;0),TEXT(X737,"0.00")&amp;"ct x "&amp;Y737,""),IF(AND(Z737&gt;0,AA737&gt;0),TEXT(Z737,"0.00")&amp;"ct x "&amp;AA737,""),IF(AND(AB737&gt;0,AC737&gt;0),TEXT(AB737,"0.00")&amp;"ct x "&amp;AC737,""))</f>
        <v/>
      </c>
      <c r="AG737" s="0">
        <f>X737*Y737*SUMIFS($AM$2:$AM$11,$AK$2:$AK$11,"&lt;="&amp;X737,$AL$2:$AL$11,"&gt;="&amp;X737)+Z737*AA737*SUMIFS($AM$2:$AM$11,$AK$2:$AK$11,"&lt;="&amp;Z737,$AL$2:$AL$11,"&gt;="&amp;Z737)+AB737*AC737*SUMIFS($AM$2:$AM$11,$AK$2:$AK$11,"&lt;="&amp;AB737,$AL$2:$AL$11,"&gt;="&amp;AB737)</f>
        <v/>
      </c>
      <c r="AH737" s="0">
        <f>AG737*(1-40%)</f>
        <v/>
      </c>
      <c r="AI737" s="0">
        <f>AH737*1.2</f>
        <v/>
      </c>
    </row>
    <row r="738">
      <c r="A738" s="26" t="n"/>
      <c r="B738" s="169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>
        <f>AG738</f>
        <v/>
      </c>
      <c r="T738" s="26">
        <f>AI738+Q738+P738</f>
        <v/>
      </c>
      <c r="U738" s="26" t="n"/>
      <c r="V738" s="26" t="n"/>
      <c r="W738" s="169" t="n"/>
      <c r="X738" s="26" t="n"/>
      <c r="Y738" s="26" t="n"/>
      <c r="Z738" s="26" t="n"/>
      <c r="AA738" s="26" t="n"/>
      <c r="AD738" s="0">
        <f>SUM(Y738,AA738,AC738)</f>
        <v/>
      </c>
      <c r="AE738" s="0">
        <f>X738*Y738+Z738*AA738+AB738*AC738</f>
        <v/>
      </c>
      <c r="AF738" s="0">
        <f>TEXTJOIN(", ",TRUE,IF(AND(X738&gt;0,Y738&gt;0),TEXT(X738,"0.00")&amp;"ct x "&amp;Y738,""),IF(AND(Z738&gt;0,AA738&gt;0),TEXT(Z738,"0.00")&amp;"ct x "&amp;AA738,""),IF(AND(AB738&gt;0,AC738&gt;0),TEXT(AB738,"0.00")&amp;"ct x "&amp;AC738,""))</f>
        <v/>
      </c>
      <c r="AG738" s="0">
        <f>X738*Y738*SUMIFS($AM$2:$AM$11,$AK$2:$AK$11,"&lt;="&amp;X738,$AL$2:$AL$11,"&gt;="&amp;X738)+Z738*AA738*SUMIFS($AM$2:$AM$11,$AK$2:$AK$11,"&lt;="&amp;Z738,$AL$2:$AL$11,"&gt;="&amp;Z738)+AB738*AC738*SUMIFS($AM$2:$AM$11,$AK$2:$AK$11,"&lt;="&amp;AB738,$AL$2:$AL$11,"&gt;="&amp;AB738)</f>
        <v/>
      </c>
      <c r="AH738" s="0">
        <f>AG738*(1-40%)</f>
        <v/>
      </c>
      <c r="AI738" s="0">
        <f>AH738*1.2</f>
        <v/>
      </c>
    </row>
    <row r="739">
      <c r="A739" s="26" t="n"/>
      <c r="B739" s="169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>
        <f>AG739</f>
        <v/>
      </c>
      <c r="T739" s="26">
        <f>AI739+Q739+P739</f>
        <v/>
      </c>
      <c r="U739" s="26" t="n"/>
      <c r="V739" s="26" t="n"/>
      <c r="W739" s="169" t="n"/>
      <c r="X739" s="26" t="n"/>
      <c r="Y739" s="26" t="n"/>
      <c r="Z739" s="26" t="n"/>
      <c r="AA739" s="26" t="n"/>
      <c r="AD739" s="0">
        <f>SUM(Y739,AA739,AC739)</f>
        <v/>
      </c>
      <c r="AE739" s="0">
        <f>X739*Y739+Z739*AA739+AB739*AC739</f>
        <v/>
      </c>
      <c r="AF739" s="0">
        <f>TEXTJOIN(", ",TRUE,IF(AND(X739&gt;0,Y739&gt;0),TEXT(X739,"0.00")&amp;"ct x "&amp;Y739,""),IF(AND(Z739&gt;0,AA739&gt;0),TEXT(Z739,"0.00")&amp;"ct x "&amp;AA739,""),IF(AND(AB739&gt;0,AC739&gt;0),TEXT(AB739,"0.00")&amp;"ct x "&amp;AC739,""))</f>
        <v/>
      </c>
      <c r="AG739" s="0">
        <f>X739*Y739*SUMIFS($AM$2:$AM$11,$AK$2:$AK$11,"&lt;="&amp;X739,$AL$2:$AL$11,"&gt;="&amp;X739)+Z739*AA739*SUMIFS($AM$2:$AM$11,$AK$2:$AK$11,"&lt;="&amp;Z739,$AL$2:$AL$11,"&gt;="&amp;Z739)+AB739*AC739*SUMIFS($AM$2:$AM$11,$AK$2:$AK$11,"&lt;="&amp;AB739,$AL$2:$AL$11,"&gt;="&amp;AB739)</f>
        <v/>
      </c>
      <c r="AH739" s="0">
        <f>AG739*(1-40%)</f>
        <v/>
      </c>
      <c r="AI739" s="0">
        <f>AH739*1.2</f>
        <v/>
      </c>
    </row>
    <row r="740">
      <c r="A740" s="26" t="n"/>
      <c r="B740" s="169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>
        <f>AG740</f>
        <v/>
      </c>
      <c r="T740" s="26">
        <f>AI740+Q740+P740</f>
        <v/>
      </c>
      <c r="U740" s="26" t="n"/>
      <c r="V740" s="26" t="n"/>
      <c r="W740" s="169" t="n"/>
      <c r="X740" s="26" t="n"/>
      <c r="Y740" s="26" t="n"/>
      <c r="Z740" s="26" t="n"/>
      <c r="AA740" s="26" t="n"/>
      <c r="AD740" s="0">
        <f>SUM(Y740,AA740,AC740)</f>
        <v/>
      </c>
      <c r="AE740" s="0">
        <f>X740*Y740+Z740*AA740+AB740*AC740</f>
        <v/>
      </c>
      <c r="AF740" s="0">
        <f>TEXTJOIN(", ",TRUE,IF(AND(X740&gt;0,Y740&gt;0),TEXT(X740,"0.00")&amp;"ct x "&amp;Y740,""),IF(AND(Z740&gt;0,AA740&gt;0),TEXT(Z740,"0.00")&amp;"ct x "&amp;AA740,""),IF(AND(AB740&gt;0,AC740&gt;0),TEXT(AB740,"0.00")&amp;"ct x "&amp;AC740,""))</f>
        <v/>
      </c>
      <c r="AG740" s="0">
        <f>X740*Y740*SUMIFS($AM$2:$AM$11,$AK$2:$AK$11,"&lt;="&amp;X740,$AL$2:$AL$11,"&gt;="&amp;X740)+Z740*AA740*SUMIFS($AM$2:$AM$11,$AK$2:$AK$11,"&lt;="&amp;Z740,$AL$2:$AL$11,"&gt;="&amp;Z740)+AB740*AC740*SUMIFS($AM$2:$AM$11,$AK$2:$AK$11,"&lt;="&amp;AB740,$AL$2:$AL$11,"&gt;="&amp;AB740)</f>
        <v/>
      </c>
      <c r="AH740" s="0">
        <f>AG740*(1-40%)</f>
        <v/>
      </c>
      <c r="AI740" s="0">
        <f>AH740*1.2</f>
        <v/>
      </c>
    </row>
    <row r="741">
      <c r="A741" s="26" t="n"/>
      <c r="B741" s="169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>
        <f>AG741</f>
        <v/>
      </c>
      <c r="T741" s="26">
        <f>AI741+Q741+P741</f>
        <v/>
      </c>
      <c r="U741" s="26" t="n"/>
      <c r="V741" s="26" t="n"/>
      <c r="W741" s="169" t="n"/>
      <c r="X741" s="26" t="n"/>
      <c r="Y741" s="26" t="n"/>
      <c r="Z741" s="26" t="n"/>
      <c r="AA741" s="26" t="n"/>
      <c r="AD741" s="0">
        <f>SUM(Y741,AA741,AC741)</f>
        <v/>
      </c>
      <c r="AE741" s="0">
        <f>X741*Y741+Z741*AA741+AB741*AC741</f>
        <v/>
      </c>
      <c r="AF741" s="0">
        <f>TEXTJOIN(", ",TRUE,IF(AND(X741&gt;0,Y741&gt;0),TEXT(X741,"0.00")&amp;"ct x "&amp;Y741,""),IF(AND(Z741&gt;0,AA741&gt;0),TEXT(Z741,"0.00")&amp;"ct x "&amp;AA741,""),IF(AND(AB741&gt;0,AC741&gt;0),TEXT(AB741,"0.00")&amp;"ct x "&amp;AC741,""))</f>
        <v/>
      </c>
      <c r="AG741" s="0">
        <f>X741*Y741*SUMIFS($AM$2:$AM$11,$AK$2:$AK$11,"&lt;="&amp;X741,$AL$2:$AL$11,"&gt;="&amp;X741)+Z741*AA741*SUMIFS($AM$2:$AM$11,$AK$2:$AK$11,"&lt;="&amp;Z741,$AL$2:$AL$11,"&gt;="&amp;Z741)+AB741*AC741*SUMIFS($AM$2:$AM$11,$AK$2:$AK$11,"&lt;="&amp;AB741,$AL$2:$AL$11,"&gt;="&amp;AB741)</f>
        <v/>
      </c>
      <c r="AH741" s="0">
        <f>AG741*(1-40%)</f>
        <v/>
      </c>
      <c r="AI741" s="0">
        <f>AH741*1.2</f>
        <v/>
      </c>
    </row>
    <row r="742">
      <c r="A742" s="26" t="n"/>
      <c r="B742" s="169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>
        <f>AG742</f>
        <v/>
      </c>
      <c r="T742" s="26">
        <f>AI742+Q742+P742</f>
        <v/>
      </c>
      <c r="U742" s="26" t="n"/>
      <c r="V742" s="26" t="n"/>
      <c r="W742" s="169" t="n"/>
      <c r="X742" s="26" t="n"/>
      <c r="Y742" s="26" t="n"/>
      <c r="Z742" s="26" t="n"/>
      <c r="AA742" s="26" t="n"/>
      <c r="AD742" s="0">
        <f>SUM(Y742,AA742,AC742)</f>
        <v/>
      </c>
      <c r="AE742" s="0">
        <f>X742*Y742+Z742*AA742+AB742*AC742</f>
        <v/>
      </c>
      <c r="AF742" s="0">
        <f>TEXTJOIN(", ",TRUE,IF(AND(X742&gt;0,Y742&gt;0),TEXT(X742,"0.00")&amp;"ct x "&amp;Y742,""),IF(AND(Z742&gt;0,AA742&gt;0),TEXT(Z742,"0.00")&amp;"ct x "&amp;AA742,""),IF(AND(AB742&gt;0,AC742&gt;0),TEXT(AB742,"0.00")&amp;"ct x "&amp;AC742,""))</f>
        <v/>
      </c>
      <c r="AG742" s="0">
        <f>X742*Y742*SUMIFS($AM$2:$AM$11,$AK$2:$AK$11,"&lt;="&amp;X742,$AL$2:$AL$11,"&gt;="&amp;X742)+Z742*AA742*SUMIFS($AM$2:$AM$11,$AK$2:$AK$11,"&lt;="&amp;Z742,$AL$2:$AL$11,"&gt;="&amp;Z742)+AB742*AC742*SUMIFS($AM$2:$AM$11,$AK$2:$AK$11,"&lt;="&amp;AB742,$AL$2:$AL$11,"&gt;="&amp;AB742)</f>
        <v/>
      </c>
      <c r="AH742" s="0">
        <f>AG742*(1-40%)</f>
        <v/>
      </c>
      <c r="AI742" s="0">
        <f>AH742*1.2</f>
        <v/>
      </c>
    </row>
    <row r="743">
      <c r="A743" s="26" t="n"/>
      <c r="B743" s="169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>
        <f>AG743</f>
        <v/>
      </c>
      <c r="T743" s="26">
        <f>AI743+Q743+P743</f>
        <v/>
      </c>
      <c r="U743" s="26" t="n"/>
      <c r="V743" s="26" t="n"/>
      <c r="W743" s="169" t="n"/>
      <c r="X743" s="26" t="n"/>
      <c r="Y743" s="26" t="n"/>
      <c r="Z743" s="26" t="n"/>
      <c r="AA743" s="26" t="n"/>
      <c r="AD743" s="0">
        <f>SUM(Y743,AA743,AC743)</f>
        <v/>
      </c>
      <c r="AE743" s="0">
        <f>X743*Y743+Z743*AA743+AB743*AC743</f>
        <v/>
      </c>
      <c r="AF743" s="0">
        <f>TEXTJOIN(", ",TRUE,IF(AND(X743&gt;0,Y743&gt;0),TEXT(X743,"0.00")&amp;"ct x "&amp;Y743,""),IF(AND(Z743&gt;0,AA743&gt;0),TEXT(Z743,"0.00")&amp;"ct x "&amp;AA743,""),IF(AND(AB743&gt;0,AC743&gt;0),TEXT(AB743,"0.00")&amp;"ct x "&amp;AC743,""))</f>
        <v/>
      </c>
      <c r="AG743" s="0">
        <f>X743*Y743*SUMIFS($AM$2:$AM$11,$AK$2:$AK$11,"&lt;="&amp;X743,$AL$2:$AL$11,"&gt;="&amp;X743)+Z743*AA743*SUMIFS($AM$2:$AM$11,$AK$2:$AK$11,"&lt;="&amp;Z743,$AL$2:$AL$11,"&gt;="&amp;Z743)+AB743*AC743*SUMIFS($AM$2:$AM$11,$AK$2:$AK$11,"&lt;="&amp;AB743,$AL$2:$AL$11,"&gt;="&amp;AB743)</f>
        <v/>
      </c>
      <c r="AH743" s="0">
        <f>AG743*(1-40%)</f>
        <v/>
      </c>
      <c r="AI743" s="0">
        <f>AH743*1.2</f>
        <v/>
      </c>
    </row>
    <row r="744">
      <c r="A744" s="26" t="n"/>
      <c r="B744" s="169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>
        <f>AG744</f>
        <v/>
      </c>
      <c r="T744" s="26">
        <f>AI744+Q744+P744</f>
        <v/>
      </c>
      <c r="U744" s="26" t="n"/>
      <c r="V744" s="26" t="n"/>
      <c r="W744" s="169" t="n"/>
      <c r="X744" s="26" t="n"/>
      <c r="Y744" s="26" t="n"/>
      <c r="Z744" s="26" t="n"/>
      <c r="AA744" s="26" t="n"/>
      <c r="AD744" s="0">
        <f>SUM(Y744,AA744,AC744)</f>
        <v/>
      </c>
      <c r="AE744" s="0">
        <f>X744*Y744+Z744*AA744+AB744*AC744</f>
        <v/>
      </c>
      <c r="AF744" s="0">
        <f>TEXTJOIN(", ",TRUE,IF(AND(X744&gt;0,Y744&gt;0),TEXT(X744,"0.00")&amp;"ct x "&amp;Y744,""),IF(AND(Z744&gt;0,AA744&gt;0),TEXT(Z744,"0.00")&amp;"ct x "&amp;AA744,""),IF(AND(AB744&gt;0,AC744&gt;0),TEXT(AB744,"0.00")&amp;"ct x "&amp;AC744,""))</f>
        <v/>
      </c>
      <c r="AG744" s="0">
        <f>X744*Y744*SUMIFS($AM$2:$AM$11,$AK$2:$AK$11,"&lt;="&amp;X744,$AL$2:$AL$11,"&gt;="&amp;X744)+Z744*AA744*SUMIFS($AM$2:$AM$11,$AK$2:$AK$11,"&lt;="&amp;Z744,$AL$2:$AL$11,"&gt;="&amp;Z744)+AB744*AC744*SUMIFS($AM$2:$AM$11,$AK$2:$AK$11,"&lt;="&amp;AB744,$AL$2:$AL$11,"&gt;="&amp;AB744)</f>
        <v/>
      </c>
      <c r="AH744" s="0">
        <f>AG744*(1-40%)</f>
        <v/>
      </c>
      <c r="AI744" s="0">
        <f>AH744*1.2</f>
        <v/>
      </c>
    </row>
    <row r="745">
      <c r="A745" s="26" t="n"/>
      <c r="B745" s="169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>
        <f>AG745</f>
        <v/>
      </c>
      <c r="T745" s="26">
        <f>AI745+Q745+P745</f>
        <v/>
      </c>
      <c r="U745" s="26" t="n"/>
      <c r="V745" s="26" t="n"/>
      <c r="W745" s="169" t="n"/>
      <c r="X745" s="26" t="n"/>
      <c r="Y745" s="26" t="n"/>
      <c r="Z745" s="26" t="n"/>
      <c r="AA745" s="26" t="n"/>
      <c r="AD745" s="0">
        <f>SUM(Y745,AA745,AC745)</f>
        <v/>
      </c>
      <c r="AE745" s="0">
        <f>X745*Y745+Z745*AA745+AB745*AC745</f>
        <v/>
      </c>
      <c r="AF745" s="0">
        <f>TEXTJOIN(", ",TRUE,IF(AND(X745&gt;0,Y745&gt;0),TEXT(X745,"0.00")&amp;"ct x "&amp;Y745,""),IF(AND(Z745&gt;0,AA745&gt;0),TEXT(Z745,"0.00")&amp;"ct x "&amp;AA745,""),IF(AND(AB745&gt;0,AC745&gt;0),TEXT(AB745,"0.00")&amp;"ct x "&amp;AC745,""))</f>
        <v/>
      </c>
      <c r="AG745" s="0">
        <f>X745*Y745*SUMIFS($AM$2:$AM$11,$AK$2:$AK$11,"&lt;="&amp;X745,$AL$2:$AL$11,"&gt;="&amp;X745)+Z745*AA745*SUMIFS($AM$2:$AM$11,$AK$2:$AK$11,"&lt;="&amp;Z745,$AL$2:$AL$11,"&gt;="&amp;Z745)+AB745*AC745*SUMIFS($AM$2:$AM$11,$AK$2:$AK$11,"&lt;="&amp;AB745,$AL$2:$AL$11,"&gt;="&amp;AB745)</f>
        <v/>
      </c>
      <c r="AH745" s="0">
        <f>AG745*(1-40%)</f>
        <v/>
      </c>
      <c r="AI745" s="0">
        <f>AH745*1.2</f>
        <v/>
      </c>
    </row>
    <row r="746">
      <c r="A746" s="26" t="n"/>
      <c r="B746" s="169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>
        <f>AG746</f>
        <v/>
      </c>
      <c r="T746" s="26">
        <f>AI746+Q746+P746</f>
        <v/>
      </c>
      <c r="U746" s="26" t="n"/>
      <c r="V746" s="26" t="n"/>
      <c r="W746" s="169" t="n"/>
      <c r="X746" s="26" t="n"/>
      <c r="Y746" s="26" t="n"/>
      <c r="Z746" s="26" t="n"/>
      <c r="AA746" s="26" t="n"/>
      <c r="AD746" s="0">
        <f>SUM(Y746,AA746,AC746)</f>
        <v/>
      </c>
      <c r="AE746" s="0">
        <f>X746*Y746+Z746*AA746+AB746*AC746</f>
        <v/>
      </c>
      <c r="AF746" s="0">
        <f>TEXTJOIN(", ",TRUE,IF(AND(X746&gt;0,Y746&gt;0),TEXT(X746,"0.00")&amp;"ct x "&amp;Y746,""),IF(AND(Z746&gt;0,AA746&gt;0),TEXT(Z746,"0.00")&amp;"ct x "&amp;AA746,""),IF(AND(AB746&gt;0,AC746&gt;0),TEXT(AB746,"0.00")&amp;"ct x "&amp;AC746,""))</f>
        <v/>
      </c>
      <c r="AG746" s="0">
        <f>X746*Y746*SUMIFS($AM$2:$AM$11,$AK$2:$AK$11,"&lt;="&amp;X746,$AL$2:$AL$11,"&gt;="&amp;X746)+Z746*AA746*SUMIFS($AM$2:$AM$11,$AK$2:$AK$11,"&lt;="&amp;Z746,$AL$2:$AL$11,"&gt;="&amp;Z746)+AB746*AC746*SUMIFS($AM$2:$AM$11,$AK$2:$AK$11,"&lt;="&amp;AB746,$AL$2:$AL$11,"&gt;="&amp;AB746)</f>
        <v/>
      </c>
      <c r="AH746" s="0">
        <f>AG746*(1-40%)</f>
        <v/>
      </c>
      <c r="AI746" s="0">
        <f>AH746*1.2</f>
        <v/>
      </c>
    </row>
    <row r="747">
      <c r="A747" s="26" t="n"/>
      <c r="B747" s="169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>
        <f>AG747</f>
        <v/>
      </c>
      <c r="T747" s="26">
        <f>AI747+Q747+P747</f>
        <v/>
      </c>
      <c r="U747" s="26" t="n"/>
      <c r="V747" s="26" t="n"/>
      <c r="W747" s="169" t="n"/>
      <c r="X747" s="26" t="n"/>
      <c r="Y747" s="26" t="n"/>
      <c r="Z747" s="26" t="n"/>
      <c r="AA747" s="26" t="n"/>
      <c r="AD747" s="0">
        <f>SUM(Y747,AA747,AC747)</f>
        <v/>
      </c>
      <c r="AE747" s="0">
        <f>X747*Y747+Z747*AA747+AB747*AC747</f>
        <v/>
      </c>
      <c r="AF747" s="0">
        <f>TEXTJOIN(", ",TRUE,IF(AND(X747&gt;0,Y747&gt;0),TEXT(X747,"0.00")&amp;"ct x "&amp;Y747,""),IF(AND(Z747&gt;0,AA747&gt;0),TEXT(Z747,"0.00")&amp;"ct x "&amp;AA747,""),IF(AND(AB747&gt;0,AC747&gt;0),TEXT(AB747,"0.00")&amp;"ct x "&amp;AC747,""))</f>
        <v/>
      </c>
      <c r="AG747" s="0">
        <f>X747*Y747*SUMIFS($AM$2:$AM$11,$AK$2:$AK$11,"&lt;="&amp;X747,$AL$2:$AL$11,"&gt;="&amp;X747)+Z747*AA747*SUMIFS($AM$2:$AM$11,$AK$2:$AK$11,"&lt;="&amp;Z747,$AL$2:$AL$11,"&gt;="&amp;Z747)+AB747*AC747*SUMIFS($AM$2:$AM$11,$AK$2:$AK$11,"&lt;="&amp;AB747,$AL$2:$AL$11,"&gt;="&amp;AB747)</f>
        <v/>
      </c>
      <c r="AH747" s="0">
        <f>AG747*(1-40%)</f>
        <v/>
      </c>
      <c r="AI747" s="0">
        <f>AH747*1.2</f>
        <v/>
      </c>
    </row>
    <row r="748">
      <c r="A748" s="26" t="n"/>
      <c r="B748" s="169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>
        <f>AG748</f>
        <v/>
      </c>
      <c r="T748" s="26">
        <f>AI748+Q748+P748</f>
        <v/>
      </c>
      <c r="U748" s="26" t="n"/>
      <c r="V748" s="26" t="n"/>
      <c r="W748" s="169" t="n"/>
      <c r="X748" s="26" t="n"/>
      <c r="Y748" s="26" t="n"/>
      <c r="Z748" s="26" t="n"/>
      <c r="AA748" s="26" t="n"/>
      <c r="AD748" s="0">
        <f>SUM(Y748,AA748,AC748)</f>
        <v/>
      </c>
      <c r="AE748" s="0">
        <f>X748*Y748+Z748*AA748+AB748*AC748</f>
        <v/>
      </c>
      <c r="AF748" s="0">
        <f>TEXTJOIN(", ",TRUE,IF(AND(X748&gt;0,Y748&gt;0),TEXT(X748,"0.00")&amp;"ct x "&amp;Y748,""),IF(AND(Z748&gt;0,AA748&gt;0),TEXT(Z748,"0.00")&amp;"ct x "&amp;AA748,""),IF(AND(AB748&gt;0,AC748&gt;0),TEXT(AB748,"0.00")&amp;"ct x "&amp;AC748,""))</f>
        <v/>
      </c>
      <c r="AG748" s="0">
        <f>X748*Y748*SUMIFS($AM$2:$AM$11,$AK$2:$AK$11,"&lt;="&amp;X748,$AL$2:$AL$11,"&gt;="&amp;X748)+Z748*AA748*SUMIFS($AM$2:$AM$11,$AK$2:$AK$11,"&lt;="&amp;Z748,$AL$2:$AL$11,"&gt;="&amp;Z748)+AB748*AC748*SUMIFS($AM$2:$AM$11,$AK$2:$AK$11,"&lt;="&amp;AB748,$AL$2:$AL$11,"&gt;="&amp;AB748)</f>
        <v/>
      </c>
      <c r="AH748" s="0">
        <f>AG748*(1-40%)</f>
        <v/>
      </c>
      <c r="AI748" s="0">
        <f>AH748*1.2</f>
        <v/>
      </c>
    </row>
    <row r="749">
      <c r="A749" s="26" t="n"/>
      <c r="B749" s="169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>
        <f>AG749</f>
        <v/>
      </c>
      <c r="T749" s="26">
        <f>AI749+Q749+P749</f>
        <v/>
      </c>
      <c r="U749" s="26" t="n"/>
      <c r="V749" s="26" t="n"/>
      <c r="W749" s="169" t="n"/>
      <c r="X749" s="26" t="n"/>
      <c r="Y749" s="26" t="n"/>
      <c r="Z749" s="26" t="n"/>
      <c r="AA749" s="26" t="n"/>
      <c r="AD749" s="0">
        <f>SUM(Y749,AA749,AC749)</f>
        <v/>
      </c>
      <c r="AE749" s="0">
        <f>X749*Y749+Z749*AA749+AB749*AC749</f>
        <v/>
      </c>
      <c r="AF749" s="0">
        <f>TEXTJOIN(", ",TRUE,IF(AND(X749&gt;0,Y749&gt;0),TEXT(X749,"0.00")&amp;"ct x "&amp;Y749,""),IF(AND(Z749&gt;0,AA749&gt;0),TEXT(Z749,"0.00")&amp;"ct x "&amp;AA749,""),IF(AND(AB749&gt;0,AC749&gt;0),TEXT(AB749,"0.00")&amp;"ct x "&amp;AC749,""))</f>
        <v/>
      </c>
      <c r="AG749" s="0">
        <f>X749*Y749*SUMIFS($AM$2:$AM$11,$AK$2:$AK$11,"&lt;="&amp;X749,$AL$2:$AL$11,"&gt;="&amp;X749)+Z749*AA749*SUMIFS($AM$2:$AM$11,$AK$2:$AK$11,"&lt;="&amp;Z749,$AL$2:$AL$11,"&gt;="&amp;Z749)+AB749*AC749*SUMIFS($AM$2:$AM$11,$AK$2:$AK$11,"&lt;="&amp;AB749,$AL$2:$AL$11,"&gt;="&amp;AB749)</f>
        <v/>
      </c>
      <c r="AH749" s="0">
        <f>AG749*(1-40%)</f>
        <v/>
      </c>
      <c r="AI749" s="0">
        <f>AH749*1.2</f>
        <v/>
      </c>
    </row>
    <row r="750">
      <c r="A750" s="26" t="n"/>
      <c r="B750" s="169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>
        <f>AG750</f>
        <v/>
      </c>
      <c r="T750" s="26">
        <f>AI750+Q750+P750</f>
        <v/>
      </c>
      <c r="U750" s="26" t="n"/>
      <c r="V750" s="26" t="n"/>
      <c r="W750" s="169" t="n"/>
      <c r="X750" s="26" t="n"/>
      <c r="Y750" s="26" t="n"/>
      <c r="Z750" s="26" t="n"/>
      <c r="AA750" s="26" t="n"/>
      <c r="AD750" s="0">
        <f>SUM(Y750,AA750,AC750)</f>
        <v/>
      </c>
      <c r="AE750" s="0">
        <f>X750*Y750+Z750*AA750+AB750*AC750</f>
        <v/>
      </c>
      <c r="AF750" s="0">
        <f>TEXTJOIN(", ",TRUE,IF(AND(X750&gt;0,Y750&gt;0),TEXT(X750,"0.00")&amp;"ct x "&amp;Y750,""),IF(AND(Z750&gt;0,AA750&gt;0),TEXT(Z750,"0.00")&amp;"ct x "&amp;AA750,""),IF(AND(AB750&gt;0,AC750&gt;0),TEXT(AB750,"0.00")&amp;"ct x "&amp;AC750,""))</f>
        <v/>
      </c>
      <c r="AG750" s="0">
        <f>X750*Y750*SUMIFS($AM$2:$AM$11,$AK$2:$AK$11,"&lt;="&amp;X750,$AL$2:$AL$11,"&gt;="&amp;X750)+Z750*AA750*SUMIFS($AM$2:$AM$11,$AK$2:$AK$11,"&lt;="&amp;Z750,$AL$2:$AL$11,"&gt;="&amp;Z750)+AB750*AC750*SUMIFS($AM$2:$AM$11,$AK$2:$AK$11,"&lt;="&amp;AB750,$AL$2:$AL$11,"&gt;="&amp;AB750)</f>
        <v/>
      </c>
      <c r="AH750" s="0">
        <f>AG750*(1-40%)</f>
        <v/>
      </c>
      <c r="AI750" s="0">
        <f>AH750*1.2</f>
        <v/>
      </c>
    </row>
    <row r="751">
      <c r="A751" s="26" t="n"/>
      <c r="B751" s="169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>
        <f>AG751</f>
        <v/>
      </c>
      <c r="T751" s="26">
        <f>AI751+Q751+P751</f>
        <v/>
      </c>
      <c r="U751" s="26" t="n"/>
      <c r="V751" s="26" t="n"/>
      <c r="W751" s="169" t="n"/>
      <c r="X751" s="26" t="n"/>
      <c r="Y751" s="26" t="n"/>
      <c r="Z751" s="26" t="n"/>
      <c r="AA751" s="26" t="n"/>
      <c r="AD751" s="0">
        <f>SUM(Y751,AA751,AC751)</f>
        <v/>
      </c>
      <c r="AE751" s="0">
        <f>X751*Y751+Z751*AA751+AB751*AC751</f>
        <v/>
      </c>
      <c r="AF751" s="0">
        <f>TEXTJOIN(", ",TRUE,IF(AND(X751&gt;0,Y751&gt;0),TEXT(X751,"0.00")&amp;"ct x "&amp;Y751,""),IF(AND(Z751&gt;0,AA751&gt;0),TEXT(Z751,"0.00")&amp;"ct x "&amp;AA751,""),IF(AND(AB751&gt;0,AC751&gt;0),TEXT(AB751,"0.00")&amp;"ct x "&amp;AC751,""))</f>
        <v/>
      </c>
      <c r="AG751" s="0">
        <f>X751*Y751*SUMIFS($AM$2:$AM$11,$AK$2:$AK$11,"&lt;="&amp;X751,$AL$2:$AL$11,"&gt;="&amp;X751)+Z751*AA751*SUMIFS($AM$2:$AM$11,$AK$2:$AK$11,"&lt;="&amp;Z751,$AL$2:$AL$11,"&gt;="&amp;Z751)+AB751*AC751*SUMIFS($AM$2:$AM$11,$AK$2:$AK$11,"&lt;="&amp;AB751,$AL$2:$AL$11,"&gt;="&amp;AB751)</f>
        <v/>
      </c>
      <c r="AH751" s="0">
        <f>AG751*(1-40%)</f>
        <v/>
      </c>
      <c r="AI751" s="0">
        <f>AH751*1.2</f>
        <v/>
      </c>
    </row>
    <row r="752">
      <c r="A752" s="26" t="n"/>
      <c r="B752" s="169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>
        <f>AG752</f>
        <v/>
      </c>
      <c r="T752" s="26">
        <f>AI752+Q752+P752</f>
        <v/>
      </c>
      <c r="U752" s="26" t="n"/>
      <c r="V752" s="26" t="n"/>
      <c r="W752" s="169" t="n"/>
      <c r="X752" s="26" t="n"/>
      <c r="Y752" s="26" t="n"/>
      <c r="Z752" s="26" t="n"/>
      <c r="AA752" s="26" t="n"/>
      <c r="AD752" s="0">
        <f>SUM(Y752,AA752,AC752)</f>
        <v/>
      </c>
      <c r="AE752" s="0">
        <f>X752*Y752+Z752*AA752+AB752*AC752</f>
        <v/>
      </c>
      <c r="AF752" s="0">
        <f>TEXTJOIN(", ",TRUE,IF(AND(X752&gt;0,Y752&gt;0),TEXT(X752,"0.00")&amp;"ct x "&amp;Y752,""),IF(AND(Z752&gt;0,AA752&gt;0),TEXT(Z752,"0.00")&amp;"ct x "&amp;AA752,""),IF(AND(AB752&gt;0,AC752&gt;0),TEXT(AB752,"0.00")&amp;"ct x "&amp;AC752,""))</f>
        <v/>
      </c>
      <c r="AG752" s="0">
        <f>X752*Y752*SUMIFS($AM$2:$AM$11,$AK$2:$AK$11,"&lt;="&amp;X752,$AL$2:$AL$11,"&gt;="&amp;X752)+Z752*AA752*SUMIFS($AM$2:$AM$11,$AK$2:$AK$11,"&lt;="&amp;Z752,$AL$2:$AL$11,"&gt;="&amp;Z752)+AB752*AC752*SUMIFS($AM$2:$AM$11,$AK$2:$AK$11,"&lt;="&amp;AB752,$AL$2:$AL$11,"&gt;="&amp;AB752)</f>
        <v/>
      </c>
      <c r="AH752" s="0">
        <f>AG752*(1-40%)</f>
        <v/>
      </c>
      <c r="AI752" s="0">
        <f>AH752*1.2</f>
        <v/>
      </c>
    </row>
    <row r="753">
      <c r="A753" s="26" t="n"/>
      <c r="B753" s="169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>
        <f>AG753</f>
        <v/>
      </c>
      <c r="T753" s="26">
        <f>AI753+Q753+P753</f>
        <v/>
      </c>
      <c r="U753" s="26" t="n"/>
      <c r="V753" s="26" t="n"/>
      <c r="W753" s="169" t="n"/>
      <c r="X753" s="26" t="n"/>
      <c r="Y753" s="26" t="n"/>
      <c r="Z753" s="26" t="n"/>
      <c r="AA753" s="26" t="n"/>
      <c r="AD753" s="0">
        <f>SUM(Y753,AA753,AC753)</f>
        <v/>
      </c>
      <c r="AE753" s="0">
        <f>X753*Y753+Z753*AA753+AB753*AC753</f>
        <v/>
      </c>
      <c r="AF753" s="0">
        <f>TEXTJOIN(", ",TRUE,IF(AND(X753&gt;0,Y753&gt;0),TEXT(X753,"0.00")&amp;"ct x "&amp;Y753,""),IF(AND(Z753&gt;0,AA753&gt;0),TEXT(Z753,"0.00")&amp;"ct x "&amp;AA753,""),IF(AND(AB753&gt;0,AC753&gt;0),TEXT(AB753,"0.00")&amp;"ct x "&amp;AC753,""))</f>
        <v/>
      </c>
      <c r="AG753" s="0">
        <f>X753*Y753*SUMIFS($AM$2:$AM$11,$AK$2:$AK$11,"&lt;="&amp;X753,$AL$2:$AL$11,"&gt;="&amp;X753)+Z753*AA753*SUMIFS($AM$2:$AM$11,$AK$2:$AK$11,"&lt;="&amp;Z753,$AL$2:$AL$11,"&gt;="&amp;Z753)+AB753*AC753*SUMIFS($AM$2:$AM$11,$AK$2:$AK$11,"&lt;="&amp;AB753,$AL$2:$AL$11,"&gt;="&amp;AB753)</f>
        <v/>
      </c>
      <c r="AH753" s="0">
        <f>AG753*(1-40%)</f>
        <v/>
      </c>
      <c r="AI753" s="0">
        <f>AH753*1.2</f>
        <v/>
      </c>
    </row>
    <row r="754">
      <c r="A754" s="26" t="n"/>
      <c r="B754" s="169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>
        <f>AG754</f>
        <v/>
      </c>
      <c r="T754" s="26">
        <f>AI754+Q754+P754</f>
        <v/>
      </c>
      <c r="U754" s="26" t="n"/>
      <c r="V754" s="26" t="n"/>
      <c r="W754" s="169" t="n"/>
      <c r="X754" s="26" t="n"/>
      <c r="Y754" s="26" t="n"/>
      <c r="Z754" s="26" t="n"/>
      <c r="AA754" s="26" t="n"/>
      <c r="AD754" s="0">
        <f>SUM(Y754,AA754,AC754)</f>
        <v/>
      </c>
      <c r="AE754" s="0">
        <f>X754*Y754+Z754*AA754+AB754*AC754</f>
        <v/>
      </c>
      <c r="AF754" s="0">
        <f>TEXTJOIN(", ",TRUE,IF(AND(X754&gt;0,Y754&gt;0),TEXT(X754,"0.00")&amp;"ct x "&amp;Y754,""),IF(AND(Z754&gt;0,AA754&gt;0),TEXT(Z754,"0.00")&amp;"ct x "&amp;AA754,""),IF(AND(AB754&gt;0,AC754&gt;0),TEXT(AB754,"0.00")&amp;"ct x "&amp;AC754,""))</f>
        <v/>
      </c>
      <c r="AG754" s="0">
        <f>X754*Y754*SUMIFS($AM$2:$AM$11,$AK$2:$AK$11,"&lt;="&amp;X754,$AL$2:$AL$11,"&gt;="&amp;X754)+Z754*AA754*SUMIFS($AM$2:$AM$11,$AK$2:$AK$11,"&lt;="&amp;Z754,$AL$2:$AL$11,"&gt;="&amp;Z754)+AB754*AC754*SUMIFS($AM$2:$AM$11,$AK$2:$AK$11,"&lt;="&amp;AB754,$AL$2:$AL$11,"&gt;="&amp;AB754)</f>
        <v/>
      </c>
      <c r="AH754" s="0">
        <f>AG754*(1-40%)</f>
        <v/>
      </c>
      <c r="AI754" s="0">
        <f>AH754*1.2</f>
        <v/>
      </c>
    </row>
    <row r="755">
      <c r="A755" s="26" t="n"/>
      <c r="B755" s="169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>
        <f>AG755</f>
        <v/>
      </c>
      <c r="T755" s="26">
        <f>AI755+Q755+P755</f>
        <v/>
      </c>
      <c r="U755" s="26" t="n"/>
      <c r="V755" s="26" t="n"/>
      <c r="W755" s="169" t="n"/>
      <c r="X755" s="26" t="n"/>
      <c r="Y755" s="26" t="n"/>
      <c r="Z755" s="26" t="n"/>
      <c r="AA755" s="26" t="n"/>
      <c r="AD755" s="0">
        <f>SUM(Y755,AA755,AC755)</f>
        <v/>
      </c>
      <c r="AE755" s="0">
        <f>X755*Y755+Z755*AA755+AB755*AC755</f>
        <v/>
      </c>
      <c r="AF755" s="0">
        <f>TEXTJOIN(", ",TRUE,IF(AND(X755&gt;0,Y755&gt;0),TEXT(X755,"0.00")&amp;"ct x "&amp;Y755,""),IF(AND(Z755&gt;0,AA755&gt;0),TEXT(Z755,"0.00")&amp;"ct x "&amp;AA755,""),IF(AND(AB755&gt;0,AC755&gt;0),TEXT(AB755,"0.00")&amp;"ct x "&amp;AC755,""))</f>
        <v/>
      </c>
      <c r="AG755" s="0">
        <f>X755*Y755*SUMIFS($AM$2:$AM$11,$AK$2:$AK$11,"&lt;="&amp;X755,$AL$2:$AL$11,"&gt;="&amp;X755)+Z755*AA755*SUMIFS($AM$2:$AM$11,$AK$2:$AK$11,"&lt;="&amp;Z755,$AL$2:$AL$11,"&gt;="&amp;Z755)+AB755*AC755*SUMIFS($AM$2:$AM$11,$AK$2:$AK$11,"&lt;="&amp;AB755,$AL$2:$AL$11,"&gt;="&amp;AB755)</f>
        <v/>
      </c>
      <c r="AH755" s="0">
        <f>AG755*(1-40%)</f>
        <v/>
      </c>
      <c r="AI755" s="0">
        <f>AH755*1.2</f>
        <v/>
      </c>
    </row>
    <row r="756">
      <c r="A756" s="26" t="n"/>
      <c r="B756" s="169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>
        <f>AG756</f>
        <v/>
      </c>
      <c r="T756" s="26">
        <f>AI756+Q756+P756</f>
        <v/>
      </c>
      <c r="U756" s="26" t="n"/>
      <c r="V756" s="26" t="n"/>
      <c r="W756" s="169" t="n"/>
      <c r="X756" s="26" t="n"/>
      <c r="Y756" s="26" t="n"/>
      <c r="Z756" s="26" t="n"/>
      <c r="AA756" s="26" t="n"/>
      <c r="AD756" s="0">
        <f>SUM(Y756,AA756,AC756)</f>
        <v/>
      </c>
      <c r="AE756" s="0">
        <f>X756*Y756+Z756*AA756+AB756*AC756</f>
        <v/>
      </c>
      <c r="AF756" s="0">
        <f>TEXTJOIN(", ",TRUE,IF(AND(X756&gt;0,Y756&gt;0),TEXT(X756,"0.00")&amp;"ct x "&amp;Y756,""),IF(AND(Z756&gt;0,AA756&gt;0),TEXT(Z756,"0.00")&amp;"ct x "&amp;AA756,""),IF(AND(AB756&gt;0,AC756&gt;0),TEXT(AB756,"0.00")&amp;"ct x "&amp;AC756,""))</f>
        <v/>
      </c>
      <c r="AG756" s="0">
        <f>X756*Y756*SUMIFS($AM$2:$AM$11,$AK$2:$AK$11,"&lt;="&amp;X756,$AL$2:$AL$11,"&gt;="&amp;X756)+Z756*AA756*SUMIFS($AM$2:$AM$11,$AK$2:$AK$11,"&lt;="&amp;Z756,$AL$2:$AL$11,"&gt;="&amp;Z756)+AB756*AC756*SUMIFS($AM$2:$AM$11,$AK$2:$AK$11,"&lt;="&amp;AB756,$AL$2:$AL$11,"&gt;="&amp;AB756)</f>
        <v/>
      </c>
      <c r="AH756" s="0">
        <f>AG756*(1-40%)</f>
        <v/>
      </c>
      <c r="AI756" s="0">
        <f>AH756*1.2</f>
        <v/>
      </c>
    </row>
    <row r="757">
      <c r="A757" s="26" t="n"/>
      <c r="B757" s="169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>
        <f>AG757</f>
        <v/>
      </c>
      <c r="T757" s="26">
        <f>AI757+Q757+P757</f>
        <v/>
      </c>
      <c r="U757" s="26" t="n"/>
      <c r="V757" s="26" t="n"/>
      <c r="W757" s="169" t="n"/>
      <c r="X757" s="26" t="n"/>
      <c r="Y757" s="26" t="n"/>
      <c r="Z757" s="26" t="n"/>
      <c r="AA757" s="26" t="n"/>
      <c r="AD757" s="0">
        <f>SUM(Y757,AA757,AC757)</f>
        <v/>
      </c>
      <c r="AE757" s="0">
        <f>X757*Y757+Z757*AA757+AB757*AC757</f>
        <v/>
      </c>
      <c r="AF757" s="0">
        <f>TEXTJOIN(", ",TRUE,IF(AND(X757&gt;0,Y757&gt;0),TEXT(X757,"0.00")&amp;"ct x "&amp;Y757,""),IF(AND(Z757&gt;0,AA757&gt;0),TEXT(Z757,"0.00")&amp;"ct x "&amp;AA757,""),IF(AND(AB757&gt;0,AC757&gt;0),TEXT(AB757,"0.00")&amp;"ct x "&amp;AC757,""))</f>
        <v/>
      </c>
      <c r="AG757" s="0">
        <f>X757*Y757*SUMIFS($AM$2:$AM$11,$AK$2:$AK$11,"&lt;="&amp;X757,$AL$2:$AL$11,"&gt;="&amp;X757)+Z757*AA757*SUMIFS($AM$2:$AM$11,$AK$2:$AK$11,"&lt;="&amp;Z757,$AL$2:$AL$11,"&gt;="&amp;Z757)+AB757*AC757*SUMIFS($AM$2:$AM$11,$AK$2:$AK$11,"&lt;="&amp;AB757,$AL$2:$AL$11,"&gt;="&amp;AB757)</f>
        <v/>
      </c>
      <c r="AH757" s="0">
        <f>AG757*(1-40%)</f>
        <v/>
      </c>
      <c r="AI757" s="0">
        <f>AH757*1.2</f>
        <v/>
      </c>
    </row>
    <row r="758">
      <c r="A758" s="26" t="n"/>
      <c r="B758" s="169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>
        <f>AG758</f>
        <v/>
      </c>
      <c r="T758" s="26">
        <f>AI758+Q758+P758</f>
        <v/>
      </c>
      <c r="U758" s="26" t="n"/>
      <c r="V758" s="26" t="n"/>
      <c r="W758" s="169" t="n"/>
      <c r="X758" s="26" t="n"/>
      <c r="Y758" s="26" t="n"/>
      <c r="Z758" s="26" t="n"/>
      <c r="AA758" s="26" t="n"/>
      <c r="AD758" s="0">
        <f>SUM(Y758,AA758,AC758)</f>
        <v/>
      </c>
      <c r="AE758" s="0">
        <f>X758*Y758+Z758*AA758+AB758*AC758</f>
        <v/>
      </c>
      <c r="AF758" s="0">
        <f>TEXTJOIN(", ",TRUE,IF(AND(X758&gt;0,Y758&gt;0),TEXT(X758,"0.00")&amp;"ct x "&amp;Y758,""),IF(AND(Z758&gt;0,AA758&gt;0),TEXT(Z758,"0.00")&amp;"ct x "&amp;AA758,""),IF(AND(AB758&gt;0,AC758&gt;0),TEXT(AB758,"0.00")&amp;"ct x "&amp;AC758,""))</f>
        <v/>
      </c>
      <c r="AG758" s="0">
        <f>X758*Y758*SUMIFS($AM$2:$AM$11,$AK$2:$AK$11,"&lt;="&amp;X758,$AL$2:$AL$11,"&gt;="&amp;X758)+Z758*AA758*SUMIFS($AM$2:$AM$11,$AK$2:$AK$11,"&lt;="&amp;Z758,$AL$2:$AL$11,"&gt;="&amp;Z758)+AB758*AC758*SUMIFS($AM$2:$AM$11,$AK$2:$AK$11,"&lt;="&amp;AB758,$AL$2:$AL$11,"&gt;="&amp;AB758)</f>
        <v/>
      </c>
      <c r="AH758" s="0">
        <f>AG758*(1-40%)</f>
        <v/>
      </c>
      <c r="AI758" s="0">
        <f>AH758*1.2</f>
        <v/>
      </c>
    </row>
    <row r="759">
      <c r="A759" s="26" t="n"/>
      <c r="B759" s="169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>
        <f>AG759</f>
        <v/>
      </c>
      <c r="T759" s="26">
        <f>AI759+Q759+P759</f>
        <v/>
      </c>
      <c r="U759" s="26" t="n"/>
      <c r="V759" s="26" t="n"/>
      <c r="W759" s="169" t="n"/>
      <c r="X759" s="26" t="n"/>
      <c r="Y759" s="26" t="n"/>
      <c r="Z759" s="26" t="n"/>
      <c r="AA759" s="26" t="n"/>
      <c r="AD759" s="0">
        <f>SUM(Y759,AA759,AC759)</f>
        <v/>
      </c>
      <c r="AE759" s="0">
        <f>X759*Y759+Z759*AA759+AB759*AC759</f>
        <v/>
      </c>
      <c r="AF759" s="0">
        <f>TEXTJOIN(", ",TRUE,IF(AND(X759&gt;0,Y759&gt;0),TEXT(X759,"0.00")&amp;"ct x "&amp;Y759,""),IF(AND(Z759&gt;0,AA759&gt;0),TEXT(Z759,"0.00")&amp;"ct x "&amp;AA759,""),IF(AND(AB759&gt;0,AC759&gt;0),TEXT(AB759,"0.00")&amp;"ct x "&amp;AC759,""))</f>
        <v/>
      </c>
      <c r="AG759" s="0">
        <f>X759*Y759*SUMIFS($AM$2:$AM$11,$AK$2:$AK$11,"&lt;="&amp;X759,$AL$2:$AL$11,"&gt;="&amp;X759)+Z759*AA759*SUMIFS($AM$2:$AM$11,$AK$2:$AK$11,"&lt;="&amp;Z759,$AL$2:$AL$11,"&gt;="&amp;Z759)+AB759*AC759*SUMIFS($AM$2:$AM$11,$AK$2:$AK$11,"&lt;="&amp;AB759,$AL$2:$AL$11,"&gt;="&amp;AB759)</f>
        <v/>
      </c>
      <c r="AH759" s="0">
        <f>AG759*(1-40%)</f>
        <v/>
      </c>
      <c r="AI759" s="0">
        <f>AH759*1.2</f>
        <v/>
      </c>
    </row>
    <row r="760">
      <c r="A760" s="26" t="n"/>
      <c r="B760" s="169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>
        <f>AG760</f>
        <v/>
      </c>
      <c r="T760" s="26">
        <f>AI760+Q760+P760</f>
        <v/>
      </c>
      <c r="U760" s="26" t="n"/>
      <c r="V760" s="26" t="n"/>
      <c r="W760" s="169" t="n"/>
      <c r="X760" s="26" t="n"/>
      <c r="Y760" s="26" t="n"/>
      <c r="Z760" s="26" t="n"/>
      <c r="AA760" s="26" t="n"/>
      <c r="AD760" s="0">
        <f>SUM(Y760,AA760,AC760)</f>
        <v/>
      </c>
      <c r="AE760" s="0">
        <f>X760*Y760+Z760*AA760+AB760*AC760</f>
        <v/>
      </c>
      <c r="AF760" s="0">
        <f>TEXTJOIN(", ",TRUE,IF(AND(X760&gt;0,Y760&gt;0),TEXT(X760,"0.00")&amp;"ct x "&amp;Y760,""),IF(AND(Z760&gt;0,AA760&gt;0),TEXT(Z760,"0.00")&amp;"ct x "&amp;AA760,""),IF(AND(AB760&gt;0,AC760&gt;0),TEXT(AB760,"0.00")&amp;"ct x "&amp;AC760,""))</f>
        <v/>
      </c>
      <c r="AG760" s="0">
        <f>X760*Y760*SUMIFS($AM$2:$AM$11,$AK$2:$AK$11,"&lt;="&amp;X760,$AL$2:$AL$11,"&gt;="&amp;X760)+Z760*AA760*SUMIFS($AM$2:$AM$11,$AK$2:$AK$11,"&lt;="&amp;Z760,$AL$2:$AL$11,"&gt;="&amp;Z760)+AB760*AC760*SUMIFS($AM$2:$AM$11,$AK$2:$AK$11,"&lt;="&amp;AB760,$AL$2:$AL$11,"&gt;="&amp;AB760)</f>
        <v/>
      </c>
      <c r="AH760" s="0">
        <f>AG760*(1-40%)</f>
        <v/>
      </c>
      <c r="AI760" s="0">
        <f>AH760*1.2</f>
        <v/>
      </c>
    </row>
    <row r="761">
      <c r="A761" s="26" t="n"/>
      <c r="B761" s="169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>
        <f>AG761</f>
        <v/>
      </c>
      <c r="T761" s="26">
        <f>AI761+Q761+P761</f>
        <v/>
      </c>
      <c r="U761" s="26" t="n"/>
      <c r="V761" s="26" t="n"/>
      <c r="W761" s="169" t="n"/>
      <c r="X761" s="26" t="n"/>
      <c r="Y761" s="26" t="n"/>
      <c r="Z761" s="26" t="n"/>
      <c r="AA761" s="26" t="n"/>
      <c r="AD761" s="0">
        <f>SUM(Y761,AA761,AC761)</f>
        <v/>
      </c>
      <c r="AE761" s="0">
        <f>X761*Y761+Z761*AA761+AB761*AC761</f>
        <v/>
      </c>
      <c r="AF761" s="0">
        <f>TEXTJOIN(", ",TRUE,IF(AND(X761&gt;0,Y761&gt;0),TEXT(X761,"0.00")&amp;"ct x "&amp;Y761,""),IF(AND(Z761&gt;0,AA761&gt;0),TEXT(Z761,"0.00")&amp;"ct x "&amp;AA761,""),IF(AND(AB761&gt;0,AC761&gt;0),TEXT(AB761,"0.00")&amp;"ct x "&amp;AC761,""))</f>
        <v/>
      </c>
      <c r="AG761" s="0">
        <f>X761*Y761*SUMIFS($AM$2:$AM$11,$AK$2:$AK$11,"&lt;="&amp;X761,$AL$2:$AL$11,"&gt;="&amp;X761)+Z761*AA761*SUMIFS($AM$2:$AM$11,$AK$2:$AK$11,"&lt;="&amp;Z761,$AL$2:$AL$11,"&gt;="&amp;Z761)+AB761*AC761*SUMIFS($AM$2:$AM$11,$AK$2:$AK$11,"&lt;="&amp;AB761,$AL$2:$AL$11,"&gt;="&amp;AB761)</f>
        <v/>
      </c>
      <c r="AH761" s="0">
        <f>AG761*(1-40%)</f>
        <v/>
      </c>
      <c r="AI761" s="0">
        <f>AH761*1.2</f>
        <v/>
      </c>
    </row>
    <row r="762">
      <c r="A762" s="26" t="n"/>
      <c r="B762" s="169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>
        <f>AG762</f>
        <v/>
      </c>
      <c r="T762" s="26">
        <f>AI762+Q762+P762</f>
        <v/>
      </c>
      <c r="U762" s="26" t="n"/>
      <c r="V762" s="26" t="n"/>
      <c r="W762" s="169" t="n"/>
      <c r="X762" s="26" t="n"/>
      <c r="Y762" s="26" t="n"/>
      <c r="Z762" s="26" t="n"/>
      <c r="AA762" s="26" t="n"/>
      <c r="AD762" s="0">
        <f>SUM(Y762,AA762,AC762)</f>
        <v/>
      </c>
      <c r="AE762" s="0">
        <f>X762*Y762+Z762*AA762+AB762*AC762</f>
        <v/>
      </c>
      <c r="AF762" s="0">
        <f>TEXTJOIN(", ",TRUE,IF(AND(X762&gt;0,Y762&gt;0),TEXT(X762,"0.00")&amp;"ct x "&amp;Y762,""),IF(AND(Z762&gt;0,AA762&gt;0),TEXT(Z762,"0.00")&amp;"ct x "&amp;AA762,""),IF(AND(AB762&gt;0,AC762&gt;0),TEXT(AB762,"0.00")&amp;"ct x "&amp;AC762,""))</f>
        <v/>
      </c>
      <c r="AG762" s="0">
        <f>X762*Y762*SUMIFS($AM$2:$AM$11,$AK$2:$AK$11,"&lt;="&amp;X762,$AL$2:$AL$11,"&gt;="&amp;X762)+Z762*AA762*SUMIFS($AM$2:$AM$11,$AK$2:$AK$11,"&lt;="&amp;Z762,$AL$2:$AL$11,"&gt;="&amp;Z762)+AB762*AC762*SUMIFS($AM$2:$AM$11,$AK$2:$AK$11,"&lt;="&amp;AB762,$AL$2:$AL$11,"&gt;="&amp;AB762)</f>
        <v/>
      </c>
      <c r="AH762" s="0">
        <f>AG762*(1-40%)</f>
        <v/>
      </c>
      <c r="AI762" s="0">
        <f>AH762*1.2</f>
        <v/>
      </c>
    </row>
    <row r="763">
      <c r="A763" s="26" t="n"/>
      <c r="B763" s="169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>
        <f>AG763</f>
        <v/>
      </c>
      <c r="T763" s="26">
        <f>AI763+Q763+P763</f>
        <v/>
      </c>
      <c r="U763" s="26" t="n"/>
      <c r="V763" s="26" t="n"/>
      <c r="W763" s="169" t="n"/>
      <c r="X763" s="26" t="n"/>
      <c r="Y763" s="26" t="n"/>
      <c r="Z763" s="26" t="n"/>
      <c r="AA763" s="26" t="n"/>
      <c r="AD763" s="0">
        <f>SUM(Y763,AA763,AC763)</f>
        <v/>
      </c>
      <c r="AE763" s="0">
        <f>X763*Y763+Z763*AA763+AB763*AC763</f>
        <v/>
      </c>
      <c r="AF763" s="0">
        <f>TEXTJOIN(", ",TRUE,IF(AND(X763&gt;0,Y763&gt;0),TEXT(X763,"0.00")&amp;"ct x "&amp;Y763,""),IF(AND(Z763&gt;0,AA763&gt;0),TEXT(Z763,"0.00")&amp;"ct x "&amp;AA763,""),IF(AND(AB763&gt;0,AC763&gt;0),TEXT(AB763,"0.00")&amp;"ct x "&amp;AC763,""))</f>
        <v/>
      </c>
      <c r="AG763" s="0">
        <f>X763*Y763*SUMIFS($AM$2:$AM$11,$AK$2:$AK$11,"&lt;="&amp;X763,$AL$2:$AL$11,"&gt;="&amp;X763)+Z763*AA763*SUMIFS($AM$2:$AM$11,$AK$2:$AK$11,"&lt;="&amp;Z763,$AL$2:$AL$11,"&gt;="&amp;Z763)+AB763*AC763*SUMIFS($AM$2:$AM$11,$AK$2:$AK$11,"&lt;="&amp;AB763,$AL$2:$AL$11,"&gt;="&amp;AB763)</f>
        <v/>
      </c>
      <c r="AH763" s="0">
        <f>AG763*(1-40%)</f>
        <v/>
      </c>
      <c r="AI763" s="0">
        <f>AH763*1.2</f>
        <v/>
      </c>
    </row>
    <row r="764">
      <c r="A764" s="26" t="n"/>
      <c r="B764" s="169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>
        <f>AG764</f>
        <v/>
      </c>
      <c r="T764" s="26">
        <f>AI764+Q764+P764</f>
        <v/>
      </c>
      <c r="U764" s="26" t="n"/>
      <c r="V764" s="26" t="n"/>
      <c r="W764" s="169" t="n"/>
      <c r="X764" s="26" t="n"/>
      <c r="Y764" s="26" t="n"/>
      <c r="Z764" s="26" t="n"/>
      <c r="AA764" s="26" t="n"/>
      <c r="AD764" s="0">
        <f>SUM(Y764,AA764,AC764)</f>
        <v/>
      </c>
      <c r="AE764" s="0">
        <f>X764*Y764+Z764*AA764+AB764*AC764</f>
        <v/>
      </c>
      <c r="AF764" s="0">
        <f>TEXTJOIN(", ",TRUE,IF(AND(X764&gt;0,Y764&gt;0),TEXT(X764,"0.00")&amp;"ct x "&amp;Y764,""),IF(AND(Z764&gt;0,AA764&gt;0),TEXT(Z764,"0.00")&amp;"ct x "&amp;AA764,""),IF(AND(AB764&gt;0,AC764&gt;0),TEXT(AB764,"0.00")&amp;"ct x "&amp;AC764,""))</f>
        <v/>
      </c>
      <c r="AG764" s="0">
        <f>X764*Y764*SUMIFS($AM$2:$AM$11,$AK$2:$AK$11,"&lt;="&amp;X764,$AL$2:$AL$11,"&gt;="&amp;X764)+Z764*AA764*SUMIFS($AM$2:$AM$11,$AK$2:$AK$11,"&lt;="&amp;Z764,$AL$2:$AL$11,"&gt;="&amp;Z764)+AB764*AC764*SUMIFS($AM$2:$AM$11,$AK$2:$AK$11,"&lt;="&amp;AB764,$AL$2:$AL$11,"&gt;="&amp;AB764)</f>
        <v/>
      </c>
      <c r="AH764" s="0">
        <f>AG764*(1-40%)</f>
        <v/>
      </c>
      <c r="AI764" s="0">
        <f>AH764*1.2</f>
        <v/>
      </c>
    </row>
    <row r="765">
      <c r="A765" s="26" t="n"/>
      <c r="B765" s="169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>
        <f>AG765</f>
        <v/>
      </c>
      <c r="T765" s="26">
        <f>AI765+Q765+P765</f>
        <v/>
      </c>
      <c r="U765" s="26" t="n"/>
      <c r="V765" s="26" t="n"/>
      <c r="W765" s="169" t="n"/>
      <c r="X765" s="26" t="n"/>
      <c r="Y765" s="26" t="n"/>
      <c r="Z765" s="26" t="n"/>
      <c r="AA765" s="26" t="n"/>
      <c r="AD765" s="0">
        <f>SUM(Y765,AA765,AC765)</f>
        <v/>
      </c>
      <c r="AE765" s="0">
        <f>X765*Y765+Z765*AA765+AB765*AC765</f>
        <v/>
      </c>
      <c r="AF765" s="0">
        <f>TEXTJOIN(", ",TRUE,IF(AND(X765&gt;0,Y765&gt;0),TEXT(X765,"0.00")&amp;"ct x "&amp;Y765,""),IF(AND(Z765&gt;0,AA765&gt;0),TEXT(Z765,"0.00")&amp;"ct x "&amp;AA765,""),IF(AND(AB765&gt;0,AC765&gt;0),TEXT(AB765,"0.00")&amp;"ct x "&amp;AC765,""))</f>
        <v/>
      </c>
      <c r="AG765" s="0">
        <f>X765*Y765*SUMIFS($AM$2:$AM$11,$AK$2:$AK$11,"&lt;="&amp;X765,$AL$2:$AL$11,"&gt;="&amp;X765)+Z765*AA765*SUMIFS($AM$2:$AM$11,$AK$2:$AK$11,"&lt;="&amp;Z765,$AL$2:$AL$11,"&gt;="&amp;Z765)+AB765*AC765*SUMIFS($AM$2:$AM$11,$AK$2:$AK$11,"&lt;="&amp;AB765,$AL$2:$AL$11,"&gt;="&amp;AB765)</f>
        <v/>
      </c>
      <c r="AH765" s="0">
        <f>AG765*(1-40%)</f>
        <v/>
      </c>
      <c r="AI765" s="0">
        <f>AH765*1.2</f>
        <v/>
      </c>
    </row>
    <row r="766">
      <c r="A766" s="26" t="n"/>
      <c r="B766" s="169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>
        <f>AG766</f>
        <v/>
      </c>
      <c r="T766" s="26">
        <f>AI766+Q766+P766</f>
        <v/>
      </c>
      <c r="U766" s="26" t="n"/>
      <c r="V766" s="26" t="n"/>
      <c r="W766" s="169" t="n"/>
      <c r="X766" s="26" t="n"/>
      <c r="Y766" s="26" t="n"/>
      <c r="Z766" s="26" t="n"/>
      <c r="AA766" s="26" t="n"/>
      <c r="AD766" s="0">
        <f>SUM(Y766,AA766,AC766)</f>
        <v/>
      </c>
      <c r="AE766" s="0">
        <f>X766*Y766+Z766*AA766+AB766*AC766</f>
        <v/>
      </c>
      <c r="AF766" s="0">
        <f>TEXTJOIN(", ",TRUE,IF(AND(X766&gt;0,Y766&gt;0),TEXT(X766,"0.00")&amp;"ct x "&amp;Y766,""),IF(AND(Z766&gt;0,AA766&gt;0),TEXT(Z766,"0.00")&amp;"ct x "&amp;AA766,""),IF(AND(AB766&gt;0,AC766&gt;0),TEXT(AB766,"0.00")&amp;"ct x "&amp;AC766,""))</f>
        <v/>
      </c>
      <c r="AG766" s="0">
        <f>X766*Y766*SUMIFS($AM$2:$AM$11,$AK$2:$AK$11,"&lt;="&amp;X766,$AL$2:$AL$11,"&gt;="&amp;X766)+Z766*AA766*SUMIFS($AM$2:$AM$11,$AK$2:$AK$11,"&lt;="&amp;Z766,$AL$2:$AL$11,"&gt;="&amp;Z766)+AB766*AC766*SUMIFS($AM$2:$AM$11,$AK$2:$AK$11,"&lt;="&amp;AB766,$AL$2:$AL$11,"&gt;="&amp;AB766)</f>
        <v/>
      </c>
      <c r="AH766" s="0">
        <f>AG766*(1-40%)</f>
        <v/>
      </c>
      <c r="AI766" s="0">
        <f>AH766*1.2</f>
        <v/>
      </c>
    </row>
    <row r="767">
      <c r="A767" s="26" t="n"/>
      <c r="B767" s="169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>
        <f>AG767</f>
        <v/>
      </c>
      <c r="T767" s="26">
        <f>AI767+Q767+P767</f>
        <v/>
      </c>
      <c r="U767" s="26" t="n"/>
      <c r="V767" s="26" t="n"/>
      <c r="W767" s="169" t="n"/>
      <c r="X767" s="26" t="n"/>
      <c r="Y767" s="26" t="n"/>
      <c r="Z767" s="26" t="n"/>
      <c r="AA767" s="26" t="n"/>
      <c r="AD767" s="0">
        <f>SUM(Y767,AA767,AC767)</f>
        <v/>
      </c>
      <c r="AE767" s="0">
        <f>X767*Y767+Z767*AA767+AB767*AC767</f>
        <v/>
      </c>
      <c r="AF767" s="0">
        <f>TEXTJOIN(", ",TRUE,IF(AND(X767&gt;0,Y767&gt;0),TEXT(X767,"0.00")&amp;"ct x "&amp;Y767,""),IF(AND(Z767&gt;0,AA767&gt;0),TEXT(Z767,"0.00")&amp;"ct x "&amp;AA767,""),IF(AND(AB767&gt;0,AC767&gt;0),TEXT(AB767,"0.00")&amp;"ct x "&amp;AC767,""))</f>
        <v/>
      </c>
      <c r="AG767" s="0">
        <f>X767*Y767*SUMIFS($AM$2:$AM$11,$AK$2:$AK$11,"&lt;="&amp;X767,$AL$2:$AL$11,"&gt;="&amp;X767)+Z767*AA767*SUMIFS($AM$2:$AM$11,$AK$2:$AK$11,"&lt;="&amp;Z767,$AL$2:$AL$11,"&gt;="&amp;Z767)+AB767*AC767*SUMIFS($AM$2:$AM$11,$AK$2:$AK$11,"&lt;="&amp;AB767,$AL$2:$AL$11,"&gt;="&amp;AB767)</f>
        <v/>
      </c>
      <c r="AH767" s="0">
        <f>AG767*(1-40%)</f>
        <v/>
      </c>
      <c r="AI767" s="0">
        <f>AH767*1.2</f>
        <v/>
      </c>
    </row>
    <row r="768">
      <c r="A768" s="26" t="n"/>
      <c r="B768" s="169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>
        <f>AG768</f>
        <v/>
      </c>
      <c r="T768" s="26">
        <f>AI768+Q768+P768</f>
        <v/>
      </c>
      <c r="U768" s="26" t="n"/>
      <c r="V768" s="26" t="n"/>
      <c r="W768" s="169" t="n"/>
      <c r="X768" s="26" t="n"/>
      <c r="Y768" s="26" t="n"/>
      <c r="Z768" s="26" t="n"/>
      <c r="AA768" s="26" t="n"/>
      <c r="AD768" s="0">
        <f>SUM(Y768,AA768,AC768)</f>
        <v/>
      </c>
      <c r="AE768" s="0">
        <f>X768*Y768+Z768*AA768+AB768*AC768</f>
        <v/>
      </c>
      <c r="AF768" s="0">
        <f>TEXTJOIN(", ",TRUE,IF(AND(X768&gt;0,Y768&gt;0),TEXT(X768,"0.00")&amp;"ct x "&amp;Y768,""),IF(AND(Z768&gt;0,AA768&gt;0),TEXT(Z768,"0.00")&amp;"ct x "&amp;AA768,""),IF(AND(AB768&gt;0,AC768&gt;0),TEXT(AB768,"0.00")&amp;"ct x "&amp;AC768,""))</f>
        <v/>
      </c>
      <c r="AG768" s="0">
        <f>X768*Y768*SUMIFS($AM$2:$AM$11,$AK$2:$AK$11,"&lt;="&amp;X768,$AL$2:$AL$11,"&gt;="&amp;X768)+Z768*AA768*SUMIFS($AM$2:$AM$11,$AK$2:$AK$11,"&lt;="&amp;Z768,$AL$2:$AL$11,"&gt;="&amp;Z768)+AB768*AC768*SUMIFS($AM$2:$AM$11,$AK$2:$AK$11,"&lt;="&amp;AB768,$AL$2:$AL$11,"&gt;="&amp;AB768)</f>
        <v/>
      </c>
      <c r="AH768" s="0">
        <f>AG768*(1-40%)</f>
        <v/>
      </c>
      <c r="AI768" s="0">
        <f>AH768*1.2</f>
        <v/>
      </c>
    </row>
    <row r="769">
      <c r="A769" s="26" t="n"/>
      <c r="B769" s="169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>
        <f>AG769</f>
        <v/>
      </c>
      <c r="T769" s="26">
        <f>AI769+Q769+P769</f>
        <v/>
      </c>
      <c r="U769" s="26" t="n"/>
      <c r="V769" s="26" t="n"/>
      <c r="W769" s="169" t="n"/>
      <c r="X769" s="26" t="n"/>
      <c r="Y769" s="26" t="n"/>
      <c r="Z769" s="26" t="n"/>
      <c r="AA769" s="26" t="n"/>
      <c r="AD769" s="0">
        <f>SUM(Y769,AA769,AC769)</f>
        <v/>
      </c>
      <c r="AE769" s="0">
        <f>X769*Y769+Z769*AA769+AB769*AC769</f>
        <v/>
      </c>
      <c r="AF769" s="0">
        <f>TEXTJOIN(", ",TRUE,IF(AND(X769&gt;0,Y769&gt;0),TEXT(X769,"0.00")&amp;"ct x "&amp;Y769,""),IF(AND(Z769&gt;0,AA769&gt;0),TEXT(Z769,"0.00")&amp;"ct x "&amp;AA769,""),IF(AND(AB769&gt;0,AC769&gt;0),TEXT(AB769,"0.00")&amp;"ct x "&amp;AC769,""))</f>
        <v/>
      </c>
      <c r="AG769" s="0">
        <f>X769*Y769*SUMIFS($AM$2:$AM$11,$AK$2:$AK$11,"&lt;="&amp;X769,$AL$2:$AL$11,"&gt;="&amp;X769)+Z769*AA769*SUMIFS($AM$2:$AM$11,$AK$2:$AK$11,"&lt;="&amp;Z769,$AL$2:$AL$11,"&gt;="&amp;Z769)+AB769*AC769*SUMIFS($AM$2:$AM$11,$AK$2:$AK$11,"&lt;="&amp;AB769,$AL$2:$AL$11,"&gt;="&amp;AB769)</f>
        <v/>
      </c>
      <c r="AH769" s="0">
        <f>AG769*(1-40%)</f>
        <v/>
      </c>
      <c r="AI769" s="0">
        <f>AH769*1.2</f>
        <v/>
      </c>
    </row>
    <row r="770">
      <c r="A770" s="26" t="n"/>
      <c r="B770" s="169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>
        <f>AG770</f>
        <v/>
      </c>
      <c r="T770" s="26">
        <f>AI770+Q770+P770</f>
        <v/>
      </c>
      <c r="U770" s="26" t="n"/>
      <c r="V770" s="26" t="n"/>
      <c r="W770" s="169" t="n"/>
      <c r="X770" s="26" t="n"/>
      <c r="Y770" s="26" t="n"/>
      <c r="Z770" s="26" t="n"/>
      <c r="AA770" s="26" t="n"/>
      <c r="AD770" s="0">
        <f>SUM(Y770,AA770,AC770)</f>
        <v/>
      </c>
      <c r="AE770" s="0">
        <f>X770*Y770+Z770*AA770+AB770*AC770</f>
        <v/>
      </c>
      <c r="AF770" s="0">
        <f>TEXTJOIN(", ",TRUE,IF(AND(X770&gt;0,Y770&gt;0),TEXT(X770,"0.00")&amp;"ct x "&amp;Y770,""),IF(AND(Z770&gt;0,AA770&gt;0),TEXT(Z770,"0.00")&amp;"ct x "&amp;AA770,""),IF(AND(AB770&gt;0,AC770&gt;0),TEXT(AB770,"0.00")&amp;"ct x "&amp;AC770,""))</f>
        <v/>
      </c>
      <c r="AG770" s="0">
        <f>X770*Y770*SUMIFS($AM$2:$AM$11,$AK$2:$AK$11,"&lt;="&amp;X770,$AL$2:$AL$11,"&gt;="&amp;X770)+Z770*AA770*SUMIFS($AM$2:$AM$11,$AK$2:$AK$11,"&lt;="&amp;Z770,$AL$2:$AL$11,"&gt;="&amp;Z770)+AB770*AC770*SUMIFS($AM$2:$AM$11,$AK$2:$AK$11,"&lt;="&amp;AB770,$AL$2:$AL$11,"&gt;="&amp;AB770)</f>
        <v/>
      </c>
      <c r="AH770" s="0">
        <f>AG770*(1-40%)</f>
        <v/>
      </c>
      <c r="AI770" s="0">
        <f>AH770*1.2</f>
        <v/>
      </c>
    </row>
    <row r="771">
      <c r="A771" s="26" t="n"/>
      <c r="B771" s="169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>
        <f>AG771</f>
        <v/>
      </c>
      <c r="T771" s="26">
        <f>AI771+Q771+P771</f>
        <v/>
      </c>
      <c r="U771" s="26" t="n"/>
      <c r="V771" s="26" t="n"/>
      <c r="W771" s="169" t="n"/>
      <c r="X771" s="26" t="n"/>
      <c r="Y771" s="26" t="n"/>
      <c r="Z771" s="26" t="n"/>
      <c r="AA771" s="26" t="n"/>
      <c r="AD771" s="0">
        <f>SUM(Y771,AA771,AC771)</f>
        <v/>
      </c>
      <c r="AE771" s="0">
        <f>X771*Y771+Z771*AA771+AB771*AC771</f>
        <v/>
      </c>
      <c r="AF771" s="0">
        <f>TEXTJOIN(", ",TRUE,IF(AND(X771&gt;0,Y771&gt;0),TEXT(X771,"0.00")&amp;"ct x "&amp;Y771,""),IF(AND(Z771&gt;0,AA771&gt;0),TEXT(Z771,"0.00")&amp;"ct x "&amp;AA771,""),IF(AND(AB771&gt;0,AC771&gt;0),TEXT(AB771,"0.00")&amp;"ct x "&amp;AC771,""))</f>
        <v/>
      </c>
      <c r="AG771" s="0">
        <f>X771*Y771*SUMIFS($AM$2:$AM$11,$AK$2:$AK$11,"&lt;="&amp;X771,$AL$2:$AL$11,"&gt;="&amp;X771)+Z771*AA771*SUMIFS($AM$2:$AM$11,$AK$2:$AK$11,"&lt;="&amp;Z771,$AL$2:$AL$11,"&gt;="&amp;Z771)+AB771*AC771*SUMIFS($AM$2:$AM$11,$AK$2:$AK$11,"&lt;="&amp;AB771,$AL$2:$AL$11,"&gt;="&amp;AB771)</f>
        <v/>
      </c>
      <c r="AH771" s="0">
        <f>AG771*(1-40%)</f>
        <v/>
      </c>
      <c r="AI771" s="0">
        <f>AH771*1.2</f>
        <v/>
      </c>
    </row>
    <row r="772">
      <c r="A772" s="26" t="n"/>
      <c r="B772" s="169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>
        <f>AG772</f>
        <v/>
      </c>
      <c r="T772" s="26">
        <f>AI772+Q772+P772</f>
        <v/>
      </c>
      <c r="U772" s="26" t="n"/>
      <c r="V772" s="26" t="n"/>
      <c r="W772" s="169" t="n"/>
      <c r="X772" s="26" t="n"/>
      <c r="Y772" s="26" t="n"/>
      <c r="Z772" s="26" t="n"/>
      <c r="AA772" s="26" t="n"/>
      <c r="AD772" s="0">
        <f>SUM(Y772,AA772,AC772)</f>
        <v/>
      </c>
      <c r="AE772" s="0">
        <f>X772*Y772+Z772*AA772+AB772*AC772</f>
        <v/>
      </c>
      <c r="AF772" s="0">
        <f>TEXTJOIN(", ",TRUE,IF(AND(X772&gt;0,Y772&gt;0),TEXT(X772,"0.00")&amp;"ct x "&amp;Y772,""),IF(AND(Z772&gt;0,AA772&gt;0),TEXT(Z772,"0.00")&amp;"ct x "&amp;AA772,""),IF(AND(AB772&gt;0,AC772&gt;0),TEXT(AB772,"0.00")&amp;"ct x "&amp;AC772,""))</f>
        <v/>
      </c>
      <c r="AG772" s="0">
        <f>X772*Y772*SUMIFS($AM$2:$AM$11,$AK$2:$AK$11,"&lt;="&amp;X772,$AL$2:$AL$11,"&gt;="&amp;X772)+Z772*AA772*SUMIFS($AM$2:$AM$11,$AK$2:$AK$11,"&lt;="&amp;Z772,$AL$2:$AL$11,"&gt;="&amp;Z772)+AB772*AC772*SUMIFS($AM$2:$AM$11,$AK$2:$AK$11,"&lt;="&amp;AB772,$AL$2:$AL$11,"&gt;="&amp;AB772)</f>
        <v/>
      </c>
      <c r="AH772" s="0">
        <f>AG772*(1-40%)</f>
        <v/>
      </c>
      <c r="AI772" s="0">
        <f>AH772*1.2</f>
        <v/>
      </c>
    </row>
    <row r="773">
      <c r="A773" s="26" t="n"/>
      <c r="B773" s="169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>
        <f>AG773</f>
        <v/>
      </c>
      <c r="T773" s="26">
        <f>AI773+Q773+P773</f>
        <v/>
      </c>
      <c r="U773" s="26" t="n"/>
      <c r="V773" s="26" t="n"/>
      <c r="W773" s="169" t="n"/>
      <c r="X773" s="26" t="n"/>
      <c r="Y773" s="26" t="n"/>
      <c r="Z773" s="26" t="n"/>
      <c r="AA773" s="26" t="n"/>
      <c r="AD773" s="0">
        <f>SUM(Y773,AA773,AC773)</f>
        <v/>
      </c>
      <c r="AE773" s="0">
        <f>X773*Y773+Z773*AA773+AB773*AC773</f>
        <v/>
      </c>
      <c r="AF773" s="0">
        <f>TEXTJOIN(", ",TRUE,IF(AND(X773&gt;0,Y773&gt;0),TEXT(X773,"0.00")&amp;"ct x "&amp;Y773,""),IF(AND(Z773&gt;0,AA773&gt;0),TEXT(Z773,"0.00")&amp;"ct x "&amp;AA773,""),IF(AND(AB773&gt;0,AC773&gt;0),TEXT(AB773,"0.00")&amp;"ct x "&amp;AC773,""))</f>
        <v/>
      </c>
      <c r="AG773" s="0">
        <f>X773*Y773*SUMIFS($AM$2:$AM$11,$AK$2:$AK$11,"&lt;="&amp;X773,$AL$2:$AL$11,"&gt;="&amp;X773)+Z773*AA773*SUMIFS($AM$2:$AM$11,$AK$2:$AK$11,"&lt;="&amp;Z773,$AL$2:$AL$11,"&gt;="&amp;Z773)+AB773*AC773*SUMIFS($AM$2:$AM$11,$AK$2:$AK$11,"&lt;="&amp;AB773,$AL$2:$AL$11,"&gt;="&amp;AB773)</f>
        <v/>
      </c>
      <c r="AH773" s="0">
        <f>AG773*(1-40%)</f>
        <v/>
      </c>
      <c r="AI773" s="0">
        <f>AH773*1.2</f>
        <v/>
      </c>
    </row>
    <row r="774">
      <c r="A774" s="26" t="n"/>
      <c r="B774" s="169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>
        <f>AG774</f>
        <v/>
      </c>
      <c r="T774" s="26">
        <f>AI774+Q774+P774</f>
        <v/>
      </c>
      <c r="U774" s="26" t="n"/>
      <c r="V774" s="26" t="n"/>
      <c r="W774" s="169" t="n"/>
      <c r="X774" s="26" t="n"/>
      <c r="Y774" s="26" t="n"/>
      <c r="Z774" s="26" t="n"/>
      <c r="AA774" s="26" t="n"/>
      <c r="AD774" s="0">
        <f>SUM(Y774,AA774,AC774)</f>
        <v/>
      </c>
      <c r="AE774" s="0">
        <f>X774*Y774+Z774*AA774+AB774*AC774</f>
        <v/>
      </c>
      <c r="AF774" s="0">
        <f>TEXTJOIN(", ",TRUE,IF(AND(X774&gt;0,Y774&gt;0),TEXT(X774,"0.00")&amp;"ct x "&amp;Y774,""),IF(AND(Z774&gt;0,AA774&gt;0),TEXT(Z774,"0.00")&amp;"ct x "&amp;AA774,""),IF(AND(AB774&gt;0,AC774&gt;0),TEXT(AB774,"0.00")&amp;"ct x "&amp;AC774,""))</f>
        <v/>
      </c>
      <c r="AG774" s="0">
        <f>X774*Y774*SUMIFS($AM$2:$AM$11,$AK$2:$AK$11,"&lt;="&amp;X774,$AL$2:$AL$11,"&gt;="&amp;X774)+Z774*AA774*SUMIFS($AM$2:$AM$11,$AK$2:$AK$11,"&lt;="&amp;Z774,$AL$2:$AL$11,"&gt;="&amp;Z774)+AB774*AC774*SUMIFS($AM$2:$AM$11,$AK$2:$AK$11,"&lt;="&amp;AB774,$AL$2:$AL$11,"&gt;="&amp;AB774)</f>
        <v/>
      </c>
      <c r="AH774" s="0">
        <f>AG774*(1-40%)</f>
        <v/>
      </c>
      <c r="AI774" s="0">
        <f>AH774*1.2</f>
        <v/>
      </c>
    </row>
    <row r="775">
      <c r="A775" s="26" t="n"/>
      <c r="B775" s="169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>
        <f>AG775</f>
        <v/>
      </c>
      <c r="T775" s="26">
        <f>AI775+Q775+P775</f>
        <v/>
      </c>
      <c r="U775" s="26" t="n"/>
      <c r="V775" s="26" t="n"/>
      <c r="W775" s="169" t="n"/>
      <c r="X775" s="26" t="n"/>
      <c r="Y775" s="26" t="n"/>
      <c r="Z775" s="26" t="n"/>
      <c r="AA775" s="26" t="n"/>
      <c r="AD775" s="0">
        <f>SUM(Y775,AA775,AC775)</f>
        <v/>
      </c>
      <c r="AE775" s="0">
        <f>X775*Y775+Z775*AA775+AB775*AC775</f>
        <v/>
      </c>
      <c r="AF775" s="0">
        <f>TEXTJOIN(", ",TRUE,IF(AND(X775&gt;0,Y775&gt;0),TEXT(X775,"0.00")&amp;"ct x "&amp;Y775,""),IF(AND(Z775&gt;0,AA775&gt;0),TEXT(Z775,"0.00")&amp;"ct x "&amp;AA775,""),IF(AND(AB775&gt;0,AC775&gt;0),TEXT(AB775,"0.00")&amp;"ct x "&amp;AC775,""))</f>
        <v/>
      </c>
      <c r="AG775" s="0">
        <f>X775*Y775*SUMIFS($AM$2:$AM$11,$AK$2:$AK$11,"&lt;="&amp;X775,$AL$2:$AL$11,"&gt;="&amp;X775)+Z775*AA775*SUMIFS($AM$2:$AM$11,$AK$2:$AK$11,"&lt;="&amp;Z775,$AL$2:$AL$11,"&gt;="&amp;Z775)+AB775*AC775*SUMIFS($AM$2:$AM$11,$AK$2:$AK$11,"&lt;="&amp;AB775,$AL$2:$AL$11,"&gt;="&amp;AB775)</f>
        <v/>
      </c>
      <c r="AH775" s="0">
        <f>AG775*(1-40%)</f>
        <v/>
      </c>
      <c r="AI775" s="0">
        <f>AH775*1.2</f>
        <v/>
      </c>
    </row>
    <row r="776">
      <c r="A776" s="26" t="n"/>
      <c r="B776" s="169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>
        <f>AG776</f>
        <v/>
      </c>
      <c r="T776" s="26">
        <f>AI776+Q776+P776</f>
        <v/>
      </c>
      <c r="U776" s="26" t="n"/>
      <c r="V776" s="26" t="n"/>
      <c r="W776" s="169" t="n"/>
      <c r="X776" s="26" t="n"/>
      <c r="Y776" s="26" t="n"/>
      <c r="Z776" s="26" t="n"/>
      <c r="AA776" s="26" t="n"/>
      <c r="AD776" s="0">
        <f>SUM(Y776,AA776,AC776)</f>
        <v/>
      </c>
      <c r="AE776" s="0">
        <f>X776*Y776+Z776*AA776+AB776*AC776</f>
        <v/>
      </c>
      <c r="AF776" s="0">
        <f>TEXTJOIN(", ",TRUE,IF(AND(X776&gt;0,Y776&gt;0),TEXT(X776,"0.00")&amp;"ct x "&amp;Y776,""),IF(AND(Z776&gt;0,AA776&gt;0),TEXT(Z776,"0.00")&amp;"ct x "&amp;AA776,""),IF(AND(AB776&gt;0,AC776&gt;0),TEXT(AB776,"0.00")&amp;"ct x "&amp;AC776,""))</f>
        <v/>
      </c>
      <c r="AG776" s="0">
        <f>X776*Y776*SUMIFS($AM$2:$AM$11,$AK$2:$AK$11,"&lt;="&amp;X776,$AL$2:$AL$11,"&gt;="&amp;X776)+Z776*AA776*SUMIFS($AM$2:$AM$11,$AK$2:$AK$11,"&lt;="&amp;Z776,$AL$2:$AL$11,"&gt;="&amp;Z776)+AB776*AC776*SUMIFS($AM$2:$AM$11,$AK$2:$AK$11,"&lt;="&amp;AB776,$AL$2:$AL$11,"&gt;="&amp;AB776)</f>
        <v/>
      </c>
      <c r="AH776" s="0">
        <f>AG776*(1-40%)</f>
        <v/>
      </c>
      <c r="AI776" s="0">
        <f>AH776*1.2</f>
        <v/>
      </c>
    </row>
    <row r="777">
      <c r="A777" s="26" t="n"/>
      <c r="B777" s="169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>
        <f>AG777</f>
        <v/>
      </c>
      <c r="T777" s="26">
        <f>AI777+Q777+P777</f>
        <v/>
      </c>
      <c r="U777" s="26" t="n"/>
      <c r="V777" s="26" t="n"/>
      <c r="W777" s="169" t="n"/>
      <c r="X777" s="26" t="n"/>
      <c r="Y777" s="26" t="n"/>
      <c r="Z777" s="26" t="n"/>
      <c r="AA777" s="26" t="n"/>
      <c r="AD777" s="0">
        <f>SUM(Y777,AA777,AC777)</f>
        <v/>
      </c>
      <c r="AE777" s="0">
        <f>X777*Y777+Z777*AA777+AB777*AC777</f>
        <v/>
      </c>
      <c r="AF777" s="0">
        <f>TEXTJOIN(", ",TRUE,IF(AND(X777&gt;0,Y777&gt;0),TEXT(X777,"0.00")&amp;"ct x "&amp;Y777,""),IF(AND(Z777&gt;0,AA777&gt;0),TEXT(Z777,"0.00")&amp;"ct x "&amp;AA777,""),IF(AND(AB777&gt;0,AC777&gt;0),TEXT(AB777,"0.00")&amp;"ct x "&amp;AC777,""))</f>
        <v/>
      </c>
      <c r="AG777" s="0">
        <f>X777*Y777*SUMIFS($AM$2:$AM$11,$AK$2:$AK$11,"&lt;="&amp;X777,$AL$2:$AL$11,"&gt;="&amp;X777)+Z777*AA777*SUMIFS($AM$2:$AM$11,$AK$2:$AK$11,"&lt;="&amp;Z777,$AL$2:$AL$11,"&gt;="&amp;Z777)+AB777*AC777*SUMIFS($AM$2:$AM$11,$AK$2:$AK$11,"&lt;="&amp;AB777,$AL$2:$AL$11,"&gt;="&amp;AB777)</f>
        <v/>
      </c>
      <c r="AH777" s="0">
        <f>AG777*(1-40%)</f>
        <v/>
      </c>
      <c r="AI777" s="0">
        <f>AH777*1.2</f>
        <v/>
      </c>
    </row>
    <row r="778">
      <c r="A778" s="26" t="n"/>
      <c r="B778" s="169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>
        <f>AG778</f>
        <v/>
      </c>
      <c r="T778" s="26">
        <f>AI778+Q778+P778</f>
        <v/>
      </c>
      <c r="U778" s="26" t="n"/>
      <c r="V778" s="26" t="n"/>
      <c r="W778" s="169" t="n"/>
      <c r="X778" s="26" t="n"/>
      <c r="Y778" s="26" t="n"/>
      <c r="Z778" s="26" t="n"/>
      <c r="AA778" s="26" t="n"/>
      <c r="AD778" s="0">
        <f>SUM(Y778,AA778,AC778)</f>
        <v/>
      </c>
      <c r="AE778" s="0">
        <f>X778*Y778+Z778*AA778+AB778*AC778</f>
        <v/>
      </c>
      <c r="AF778" s="0">
        <f>TEXTJOIN(", ",TRUE,IF(AND(X778&gt;0,Y778&gt;0),TEXT(X778,"0.00")&amp;"ct x "&amp;Y778,""),IF(AND(Z778&gt;0,AA778&gt;0),TEXT(Z778,"0.00")&amp;"ct x "&amp;AA778,""),IF(AND(AB778&gt;0,AC778&gt;0),TEXT(AB778,"0.00")&amp;"ct x "&amp;AC778,""))</f>
        <v/>
      </c>
      <c r="AG778" s="0">
        <f>X778*Y778*SUMIFS($AM$2:$AM$11,$AK$2:$AK$11,"&lt;="&amp;X778,$AL$2:$AL$11,"&gt;="&amp;X778)+Z778*AA778*SUMIFS($AM$2:$AM$11,$AK$2:$AK$11,"&lt;="&amp;Z778,$AL$2:$AL$11,"&gt;="&amp;Z778)+AB778*AC778*SUMIFS($AM$2:$AM$11,$AK$2:$AK$11,"&lt;="&amp;AB778,$AL$2:$AL$11,"&gt;="&amp;AB778)</f>
        <v/>
      </c>
      <c r="AH778" s="0">
        <f>AG778*(1-40%)</f>
        <v/>
      </c>
      <c r="AI778" s="0">
        <f>AH778*1.2</f>
        <v/>
      </c>
    </row>
    <row r="779">
      <c r="A779" s="26" t="n"/>
      <c r="B779" s="169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>
        <f>AG779</f>
        <v/>
      </c>
      <c r="T779" s="26">
        <f>AI779+Q779+P779</f>
        <v/>
      </c>
      <c r="U779" s="26" t="n"/>
      <c r="V779" s="26" t="n"/>
      <c r="W779" s="169" t="n"/>
      <c r="X779" s="26" t="n"/>
      <c r="Y779" s="26" t="n"/>
      <c r="Z779" s="26" t="n"/>
      <c r="AA779" s="26" t="n"/>
      <c r="AD779" s="0">
        <f>SUM(Y779,AA779,AC779)</f>
        <v/>
      </c>
      <c r="AE779" s="0">
        <f>X779*Y779+Z779*AA779+AB779*AC779</f>
        <v/>
      </c>
      <c r="AF779" s="0">
        <f>TEXTJOIN(", ",TRUE,IF(AND(X779&gt;0,Y779&gt;0),TEXT(X779,"0.00")&amp;"ct x "&amp;Y779,""),IF(AND(Z779&gt;0,AA779&gt;0),TEXT(Z779,"0.00")&amp;"ct x "&amp;AA779,""),IF(AND(AB779&gt;0,AC779&gt;0),TEXT(AB779,"0.00")&amp;"ct x "&amp;AC779,""))</f>
        <v/>
      </c>
      <c r="AG779" s="0">
        <f>X779*Y779*SUMIFS($AM$2:$AM$11,$AK$2:$AK$11,"&lt;="&amp;X779,$AL$2:$AL$11,"&gt;="&amp;X779)+Z779*AA779*SUMIFS($AM$2:$AM$11,$AK$2:$AK$11,"&lt;="&amp;Z779,$AL$2:$AL$11,"&gt;="&amp;Z779)+AB779*AC779*SUMIFS($AM$2:$AM$11,$AK$2:$AK$11,"&lt;="&amp;AB779,$AL$2:$AL$11,"&gt;="&amp;AB779)</f>
        <v/>
      </c>
      <c r="AH779" s="0">
        <f>AG779*(1-40%)</f>
        <v/>
      </c>
      <c r="AI779" s="0">
        <f>AH779*1.2</f>
        <v/>
      </c>
    </row>
    <row r="780">
      <c r="A780" s="26" t="n"/>
      <c r="B780" s="169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>
        <f>AG780</f>
        <v/>
      </c>
      <c r="T780" s="26">
        <f>AI780+Q780+P780</f>
        <v/>
      </c>
      <c r="U780" s="26" t="n"/>
      <c r="V780" s="26" t="n"/>
      <c r="W780" s="169" t="n"/>
      <c r="X780" s="26" t="n"/>
      <c r="Y780" s="26" t="n"/>
      <c r="Z780" s="26" t="n"/>
      <c r="AA780" s="26" t="n"/>
      <c r="AD780" s="0">
        <f>SUM(Y780,AA780,AC780)</f>
        <v/>
      </c>
      <c r="AE780" s="0">
        <f>X780*Y780+Z780*AA780+AB780*AC780</f>
        <v/>
      </c>
      <c r="AF780" s="0">
        <f>TEXTJOIN(", ",TRUE,IF(AND(X780&gt;0,Y780&gt;0),TEXT(X780,"0.00")&amp;"ct x "&amp;Y780,""),IF(AND(Z780&gt;0,AA780&gt;0),TEXT(Z780,"0.00")&amp;"ct x "&amp;AA780,""),IF(AND(AB780&gt;0,AC780&gt;0),TEXT(AB780,"0.00")&amp;"ct x "&amp;AC780,""))</f>
        <v/>
      </c>
      <c r="AG780" s="0">
        <f>X780*Y780*SUMIFS($AM$2:$AM$11,$AK$2:$AK$11,"&lt;="&amp;X780,$AL$2:$AL$11,"&gt;="&amp;X780)+Z780*AA780*SUMIFS($AM$2:$AM$11,$AK$2:$AK$11,"&lt;="&amp;Z780,$AL$2:$AL$11,"&gt;="&amp;Z780)+AB780*AC780*SUMIFS($AM$2:$AM$11,$AK$2:$AK$11,"&lt;="&amp;AB780,$AL$2:$AL$11,"&gt;="&amp;AB780)</f>
        <v/>
      </c>
      <c r="AH780" s="0">
        <f>AG780*(1-40%)</f>
        <v/>
      </c>
      <c r="AI780" s="0">
        <f>AH780*1.2</f>
        <v/>
      </c>
    </row>
    <row r="781">
      <c r="A781" s="26" t="n"/>
      <c r="B781" s="169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>
        <f>AG781</f>
        <v/>
      </c>
      <c r="T781" s="26">
        <f>AI781+Q781+P781</f>
        <v/>
      </c>
      <c r="U781" s="26" t="n"/>
      <c r="V781" s="26" t="n"/>
      <c r="W781" s="169" t="n"/>
      <c r="X781" s="26" t="n"/>
      <c r="Y781" s="26" t="n"/>
      <c r="Z781" s="26" t="n"/>
      <c r="AA781" s="26" t="n"/>
      <c r="AD781" s="0">
        <f>SUM(Y781,AA781,AC781)</f>
        <v/>
      </c>
      <c r="AE781" s="0">
        <f>X781*Y781+Z781*AA781+AB781*AC781</f>
        <v/>
      </c>
      <c r="AF781" s="0">
        <f>TEXTJOIN(", ",TRUE,IF(AND(X781&gt;0,Y781&gt;0),TEXT(X781,"0.00")&amp;"ct x "&amp;Y781,""),IF(AND(Z781&gt;0,AA781&gt;0),TEXT(Z781,"0.00")&amp;"ct x "&amp;AA781,""),IF(AND(AB781&gt;0,AC781&gt;0),TEXT(AB781,"0.00")&amp;"ct x "&amp;AC781,""))</f>
        <v/>
      </c>
      <c r="AG781" s="0">
        <f>X781*Y781*SUMIFS($AM$2:$AM$11,$AK$2:$AK$11,"&lt;="&amp;X781,$AL$2:$AL$11,"&gt;="&amp;X781)+Z781*AA781*SUMIFS($AM$2:$AM$11,$AK$2:$AK$11,"&lt;="&amp;Z781,$AL$2:$AL$11,"&gt;="&amp;Z781)+AB781*AC781*SUMIFS($AM$2:$AM$11,$AK$2:$AK$11,"&lt;="&amp;AB781,$AL$2:$AL$11,"&gt;="&amp;AB781)</f>
        <v/>
      </c>
      <c r="AH781" s="0">
        <f>AG781*(1-40%)</f>
        <v/>
      </c>
      <c r="AI781" s="0">
        <f>AH781*1.2</f>
        <v/>
      </c>
    </row>
    <row r="782">
      <c r="A782" s="26" t="n"/>
      <c r="B782" s="169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>
        <f>AG782</f>
        <v/>
      </c>
      <c r="T782" s="26">
        <f>AI782+Q782+P782</f>
        <v/>
      </c>
      <c r="U782" s="26" t="n"/>
      <c r="V782" s="26" t="n"/>
      <c r="W782" s="169" t="n"/>
      <c r="X782" s="26" t="n"/>
      <c r="Y782" s="26" t="n"/>
      <c r="Z782" s="26" t="n"/>
      <c r="AA782" s="26" t="n"/>
      <c r="AD782" s="0">
        <f>SUM(Y782,AA782,AC782)</f>
        <v/>
      </c>
      <c r="AE782" s="0">
        <f>X782*Y782+Z782*AA782+AB782*AC782</f>
        <v/>
      </c>
      <c r="AF782" s="0">
        <f>TEXTJOIN(", ",TRUE,IF(AND(X782&gt;0,Y782&gt;0),TEXT(X782,"0.00")&amp;"ct x "&amp;Y782,""),IF(AND(Z782&gt;0,AA782&gt;0),TEXT(Z782,"0.00")&amp;"ct x "&amp;AA782,""),IF(AND(AB782&gt;0,AC782&gt;0),TEXT(AB782,"0.00")&amp;"ct x "&amp;AC782,""))</f>
        <v/>
      </c>
      <c r="AG782" s="0">
        <f>X782*Y782*SUMIFS($AM$2:$AM$11,$AK$2:$AK$11,"&lt;="&amp;X782,$AL$2:$AL$11,"&gt;="&amp;X782)+Z782*AA782*SUMIFS($AM$2:$AM$11,$AK$2:$AK$11,"&lt;="&amp;Z782,$AL$2:$AL$11,"&gt;="&amp;Z782)+AB782*AC782*SUMIFS($AM$2:$AM$11,$AK$2:$AK$11,"&lt;="&amp;AB782,$AL$2:$AL$11,"&gt;="&amp;AB782)</f>
        <v/>
      </c>
      <c r="AH782" s="0">
        <f>AG782*(1-40%)</f>
        <v/>
      </c>
      <c r="AI782" s="0">
        <f>AH782*1.2</f>
        <v/>
      </c>
    </row>
    <row r="783">
      <c r="A783" s="26" t="n"/>
      <c r="B783" s="169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>
        <f>AG783</f>
        <v/>
      </c>
      <c r="T783" s="26">
        <f>AI783+Q783+P783</f>
        <v/>
      </c>
      <c r="U783" s="26" t="n"/>
      <c r="V783" s="26" t="n"/>
      <c r="W783" s="169" t="n"/>
      <c r="X783" s="26" t="n"/>
      <c r="Y783" s="26" t="n"/>
      <c r="Z783" s="26" t="n"/>
      <c r="AA783" s="26" t="n"/>
      <c r="AD783" s="0">
        <f>SUM(Y783,AA783,AC783)</f>
        <v/>
      </c>
      <c r="AE783" s="0">
        <f>X783*Y783+Z783*AA783+AB783*AC783</f>
        <v/>
      </c>
      <c r="AF783" s="0">
        <f>TEXTJOIN(", ",TRUE,IF(AND(X783&gt;0,Y783&gt;0),TEXT(X783,"0.00")&amp;"ct x "&amp;Y783,""),IF(AND(Z783&gt;0,AA783&gt;0),TEXT(Z783,"0.00")&amp;"ct x "&amp;AA783,""),IF(AND(AB783&gt;0,AC783&gt;0),TEXT(AB783,"0.00")&amp;"ct x "&amp;AC783,""))</f>
        <v/>
      </c>
      <c r="AG783" s="0">
        <f>X783*Y783*SUMIFS($AM$2:$AM$11,$AK$2:$AK$11,"&lt;="&amp;X783,$AL$2:$AL$11,"&gt;="&amp;X783)+Z783*AA783*SUMIFS($AM$2:$AM$11,$AK$2:$AK$11,"&lt;="&amp;Z783,$AL$2:$AL$11,"&gt;="&amp;Z783)+AB783*AC783*SUMIFS($AM$2:$AM$11,$AK$2:$AK$11,"&lt;="&amp;AB783,$AL$2:$AL$11,"&gt;="&amp;AB783)</f>
        <v/>
      </c>
      <c r="AH783" s="0">
        <f>AG783*(1-40%)</f>
        <v/>
      </c>
      <c r="AI783" s="0">
        <f>AH783*1.2</f>
        <v/>
      </c>
    </row>
    <row r="784">
      <c r="A784" s="26" t="n"/>
      <c r="B784" s="169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>
        <f>AG784</f>
        <v/>
      </c>
      <c r="T784" s="26">
        <f>AI784+Q784+P784</f>
        <v/>
      </c>
      <c r="U784" s="26" t="n"/>
      <c r="V784" s="26" t="n"/>
      <c r="W784" s="169" t="n"/>
      <c r="X784" s="26" t="n"/>
      <c r="Y784" s="26" t="n"/>
      <c r="Z784" s="26" t="n"/>
      <c r="AA784" s="26" t="n"/>
      <c r="AD784" s="0">
        <f>SUM(Y784,AA784,AC784)</f>
        <v/>
      </c>
      <c r="AE784" s="0">
        <f>X784*Y784+Z784*AA784+AB784*AC784</f>
        <v/>
      </c>
      <c r="AF784" s="0">
        <f>TEXTJOIN(", ",TRUE,IF(AND(X784&gt;0,Y784&gt;0),TEXT(X784,"0.00")&amp;"ct x "&amp;Y784,""),IF(AND(Z784&gt;0,AA784&gt;0),TEXT(Z784,"0.00")&amp;"ct x "&amp;AA784,""),IF(AND(AB784&gt;0,AC784&gt;0),TEXT(AB784,"0.00")&amp;"ct x "&amp;AC784,""))</f>
        <v/>
      </c>
      <c r="AG784" s="0">
        <f>X784*Y784*SUMIFS($AM$2:$AM$11,$AK$2:$AK$11,"&lt;="&amp;X784,$AL$2:$AL$11,"&gt;="&amp;X784)+Z784*AA784*SUMIFS($AM$2:$AM$11,$AK$2:$AK$11,"&lt;="&amp;Z784,$AL$2:$AL$11,"&gt;="&amp;Z784)+AB784*AC784*SUMIFS($AM$2:$AM$11,$AK$2:$AK$11,"&lt;="&amp;AB784,$AL$2:$AL$11,"&gt;="&amp;AB784)</f>
        <v/>
      </c>
      <c r="AH784" s="0">
        <f>AG784*(1-40%)</f>
        <v/>
      </c>
      <c r="AI784" s="0">
        <f>AH784*1.2</f>
        <v/>
      </c>
    </row>
    <row r="785">
      <c r="A785" s="26" t="n"/>
      <c r="B785" s="169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>
        <f>AG785</f>
        <v/>
      </c>
      <c r="T785" s="26">
        <f>AI785+Q785+P785</f>
        <v/>
      </c>
      <c r="U785" s="26" t="n"/>
      <c r="V785" s="26" t="n"/>
      <c r="W785" s="169" t="n"/>
      <c r="X785" s="26" t="n"/>
      <c r="Y785" s="26" t="n"/>
      <c r="Z785" s="26" t="n"/>
      <c r="AA785" s="26" t="n"/>
      <c r="AD785" s="0">
        <f>SUM(Y785,AA785,AC785)</f>
        <v/>
      </c>
      <c r="AE785" s="0">
        <f>X785*Y785+Z785*AA785+AB785*AC785</f>
        <v/>
      </c>
      <c r="AF785" s="0">
        <f>TEXTJOIN(", ",TRUE,IF(AND(X785&gt;0,Y785&gt;0),TEXT(X785,"0.00")&amp;"ct x "&amp;Y785,""),IF(AND(Z785&gt;0,AA785&gt;0),TEXT(Z785,"0.00")&amp;"ct x "&amp;AA785,""),IF(AND(AB785&gt;0,AC785&gt;0),TEXT(AB785,"0.00")&amp;"ct x "&amp;AC785,""))</f>
        <v/>
      </c>
      <c r="AG785" s="0">
        <f>X785*Y785*SUMIFS($AM$2:$AM$11,$AK$2:$AK$11,"&lt;="&amp;X785,$AL$2:$AL$11,"&gt;="&amp;X785)+Z785*AA785*SUMIFS($AM$2:$AM$11,$AK$2:$AK$11,"&lt;="&amp;Z785,$AL$2:$AL$11,"&gt;="&amp;Z785)+AB785*AC785*SUMIFS($AM$2:$AM$11,$AK$2:$AK$11,"&lt;="&amp;AB785,$AL$2:$AL$11,"&gt;="&amp;AB785)</f>
        <v/>
      </c>
      <c r="AH785" s="0">
        <f>AG785*(1-40%)</f>
        <v/>
      </c>
      <c r="AI785" s="0">
        <f>AH785*1.2</f>
        <v/>
      </c>
    </row>
    <row r="786">
      <c r="A786" s="26" t="n"/>
      <c r="B786" s="169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>
        <f>AG786</f>
        <v/>
      </c>
      <c r="T786" s="26">
        <f>AI786+Q786+P786</f>
        <v/>
      </c>
      <c r="U786" s="26" t="n"/>
      <c r="V786" s="26" t="n"/>
      <c r="W786" s="169" t="n"/>
      <c r="X786" s="26" t="n"/>
      <c r="Y786" s="26" t="n"/>
      <c r="Z786" s="26" t="n"/>
      <c r="AA786" s="26" t="n"/>
      <c r="AD786" s="0">
        <f>SUM(Y786,AA786,AC786)</f>
        <v/>
      </c>
      <c r="AE786" s="0">
        <f>X786*Y786+Z786*AA786+AB786*AC786</f>
        <v/>
      </c>
      <c r="AF786" s="0">
        <f>TEXTJOIN(", ",TRUE,IF(AND(X786&gt;0,Y786&gt;0),TEXT(X786,"0.00")&amp;"ct x "&amp;Y786,""),IF(AND(Z786&gt;0,AA786&gt;0),TEXT(Z786,"0.00")&amp;"ct x "&amp;AA786,""),IF(AND(AB786&gt;0,AC786&gt;0),TEXT(AB786,"0.00")&amp;"ct x "&amp;AC786,""))</f>
        <v/>
      </c>
      <c r="AG786" s="0">
        <f>X786*Y786*SUMIFS($AM$2:$AM$11,$AK$2:$AK$11,"&lt;="&amp;X786,$AL$2:$AL$11,"&gt;="&amp;X786)+Z786*AA786*SUMIFS($AM$2:$AM$11,$AK$2:$AK$11,"&lt;="&amp;Z786,$AL$2:$AL$11,"&gt;="&amp;Z786)+AB786*AC786*SUMIFS($AM$2:$AM$11,$AK$2:$AK$11,"&lt;="&amp;AB786,$AL$2:$AL$11,"&gt;="&amp;AB786)</f>
        <v/>
      </c>
      <c r="AH786" s="0">
        <f>AG786*(1-40%)</f>
        <v/>
      </c>
      <c r="AI786" s="0">
        <f>AH786*1.2</f>
        <v/>
      </c>
    </row>
    <row r="787">
      <c r="A787" s="26" t="n"/>
      <c r="B787" s="169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>
        <f>AG787</f>
        <v/>
      </c>
      <c r="T787" s="26">
        <f>AI787+Q787+P787</f>
        <v/>
      </c>
      <c r="U787" s="26" t="n"/>
      <c r="V787" s="26" t="n"/>
      <c r="W787" s="169" t="n"/>
      <c r="X787" s="26" t="n"/>
      <c r="Y787" s="26" t="n"/>
      <c r="Z787" s="26" t="n"/>
      <c r="AA787" s="26" t="n"/>
      <c r="AD787" s="0">
        <f>SUM(Y787,AA787,AC787)</f>
        <v/>
      </c>
      <c r="AE787" s="0">
        <f>X787*Y787+Z787*AA787+AB787*AC787</f>
        <v/>
      </c>
      <c r="AF787" s="0">
        <f>TEXTJOIN(", ",TRUE,IF(AND(X787&gt;0,Y787&gt;0),TEXT(X787,"0.00")&amp;"ct x "&amp;Y787,""),IF(AND(Z787&gt;0,AA787&gt;0),TEXT(Z787,"0.00")&amp;"ct x "&amp;AA787,""),IF(AND(AB787&gt;0,AC787&gt;0),TEXT(AB787,"0.00")&amp;"ct x "&amp;AC787,""))</f>
        <v/>
      </c>
      <c r="AG787" s="0">
        <f>X787*Y787*SUMIFS($AM$2:$AM$11,$AK$2:$AK$11,"&lt;="&amp;X787,$AL$2:$AL$11,"&gt;="&amp;X787)+Z787*AA787*SUMIFS($AM$2:$AM$11,$AK$2:$AK$11,"&lt;="&amp;Z787,$AL$2:$AL$11,"&gt;="&amp;Z787)+AB787*AC787*SUMIFS($AM$2:$AM$11,$AK$2:$AK$11,"&lt;="&amp;AB787,$AL$2:$AL$11,"&gt;="&amp;AB787)</f>
        <v/>
      </c>
      <c r="AH787" s="0">
        <f>AG787*(1-40%)</f>
        <v/>
      </c>
      <c r="AI787" s="0">
        <f>AH787*1.2</f>
        <v/>
      </c>
    </row>
    <row r="788">
      <c r="A788" s="26" t="n"/>
      <c r="B788" s="169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>
        <f>AG788</f>
        <v/>
      </c>
      <c r="T788" s="26">
        <f>AI788+Q788+P788</f>
        <v/>
      </c>
      <c r="U788" s="26" t="n"/>
      <c r="V788" s="26" t="n"/>
      <c r="W788" s="169" t="n"/>
      <c r="X788" s="26" t="n"/>
      <c r="Y788" s="26" t="n"/>
      <c r="Z788" s="26" t="n"/>
      <c r="AA788" s="26" t="n"/>
      <c r="AD788" s="0">
        <f>SUM(Y788,AA788,AC788)</f>
        <v/>
      </c>
      <c r="AE788" s="0">
        <f>X788*Y788+Z788*AA788+AB788*AC788</f>
        <v/>
      </c>
      <c r="AF788" s="0">
        <f>TEXTJOIN(", ",TRUE,IF(AND(X788&gt;0,Y788&gt;0),TEXT(X788,"0.00")&amp;"ct x "&amp;Y788,""),IF(AND(Z788&gt;0,AA788&gt;0),TEXT(Z788,"0.00")&amp;"ct x "&amp;AA788,""),IF(AND(AB788&gt;0,AC788&gt;0),TEXT(AB788,"0.00")&amp;"ct x "&amp;AC788,""))</f>
        <v/>
      </c>
      <c r="AG788" s="0">
        <f>X788*Y788*SUMIFS($AM$2:$AM$11,$AK$2:$AK$11,"&lt;="&amp;X788,$AL$2:$AL$11,"&gt;="&amp;X788)+Z788*AA788*SUMIFS($AM$2:$AM$11,$AK$2:$AK$11,"&lt;="&amp;Z788,$AL$2:$AL$11,"&gt;="&amp;Z788)+AB788*AC788*SUMIFS($AM$2:$AM$11,$AK$2:$AK$11,"&lt;="&amp;AB788,$AL$2:$AL$11,"&gt;="&amp;AB788)</f>
        <v/>
      </c>
      <c r="AH788" s="0">
        <f>AG788*(1-40%)</f>
        <v/>
      </c>
      <c r="AI788" s="0">
        <f>AH788*1.2</f>
        <v/>
      </c>
    </row>
    <row r="789">
      <c r="A789" s="26" t="n"/>
      <c r="B789" s="169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>
        <f>AG789</f>
        <v/>
      </c>
      <c r="T789" s="26">
        <f>AI789+Q789+P789</f>
        <v/>
      </c>
      <c r="U789" s="26" t="n"/>
      <c r="V789" s="26" t="n"/>
      <c r="W789" s="169" t="n"/>
      <c r="X789" s="26" t="n"/>
      <c r="Y789" s="26" t="n"/>
      <c r="Z789" s="26" t="n"/>
      <c r="AA789" s="26" t="n"/>
      <c r="AD789" s="0">
        <f>SUM(Y789,AA789,AC789)</f>
        <v/>
      </c>
      <c r="AE789" s="0">
        <f>X789*Y789+Z789*AA789+AB789*AC789</f>
        <v/>
      </c>
      <c r="AF789" s="0">
        <f>TEXTJOIN(", ",TRUE,IF(AND(X789&gt;0,Y789&gt;0),TEXT(X789,"0.00")&amp;"ct x "&amp;Y789,""),IF(AND(Z789&gt;0,AA789&gt;0),TEXT(Z789,"0.00")&amp;"ct x "&amp;AA789,""),IF(AND(AB789&gt;0,AC789&gt;0),TEXT(AB789,"0.00")&amp;"ct x "&amp;AC789,""))</f>
        <v/>
      </c>
      <c r="AG789" s="0">
        <f>X789*Y789*SUMIFS($AM$2:$AM$11,$AK$2:$AK$11,"&lt;="&amp;X789,$AL$2:$AL$11,"&gt;="&amp;X789)+Z789*AA789*SUMIFS($AM$2:$AM$11,$AK$2:$AK$11,"&lt;="&amp;Z789,$AL$2:$AL$11,"&gt;="&amp;Z789)+AB789*AC789*SUMIFS($AM$2:$AM$11,$AK$2:$AK$11,"&lt;="&amp;AB789,$AL$2:$AL$11,"&gt;="&amp;AB789)</f>
        <v/>
      </c>
      <c r="AH789" s="0">
        <f>AG789*(1-40%)</f>
        <v/>
      </c>
      <c r="AI789" s="0">
        <f>AH789*1.2</f>
        <v/>
      </c>
    </row>
    <row r="790">
      <c r="A790" s="26" t="n"/>
      <c r="B790" s="169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>
        <f>AG790</f>
        <v/>
      </c>
      <c r="T790" s="26">
        <f>AI790+Q790+P790</f>
        <v/>
      </c>
      <c r="U790" s="26" t="n"/>
      <c r="V790" s="26" t="n"/>
      <c r="W790" s="169" t="n"/>
      <c r="X790" s="26" t="n"/>
      <c r="Y790" s="26" t="n"/>
      <c r="Z790" s="26" t="n"/>
      <c r="AA790" s="26" t="n"/>
      <c r="AD790" s="0">
        <f>SUM(Y790,AA790,AC790)</f>
        <v/>
      </c>
      <c r="AE790" s="0">
        <f>X790*Y790+Z790*AA790+AB790*AC790</f>
        <v/>
      </c>
      <c r="AF790" s="0">
        <f>TEXTJOIN(", ",TRUE,IF(AND(X790&gt;0,Y790&gt;0),TEXT(X790,"0.00")&amp;"ct x "&amp;Y790,""),IF(AND(Z790&gt;0,AA790&gt;0),TEXT(Z790,"0.00")&amp;"ct x "&amp;AA790,""),IF(AND(AB790&gt;0,AC790&gt;0),TEXT(AB790,"0.00")&amp;"ct x "&amp;AC790,""))</f>
        <v/>
      </c>
      <c r="AG790" s="0">
        <f>X790*Y790*SUMIFS($AM$2:$AM$11,$AK$2:$AK$11,"&lt;="&amp;X790,$AL$2:$AL$11,"&gt;="&amp;X790)+Z790*AA790*SUMIFS($AM$2:$AM$11,$AK$2:$AK$11,"&lt;="&amp;Z790,$AL$2:$AL$11,"&gt;="&amp;Z790)+AB790*AC790*SUMIFS($AM$2:$AM$11,$AK$2:$AK$11,"&lt;="&amp;AB790,$AL$2:$AL$11,"&gt;="&amp;AB790)</f>
        <v/>
      </c>
      <c r="AH790" s="0">
        <f>AG790*(1-40%)</f>
        <v/>
      </c>
      <c r="AI790" s="0">
        <f>AH790*1.2</f>
        <v/>
      </c>
    </row>
    <row r="791">
      <c r="A791" s="26" t="n"/>
      <c r="B791" s="169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>
        <f>AG791</f>
        <v/>
      </c>
      <c r="T791" s="26">
        <f>AI791+Q791+P791</f>
        <v/>
      </c>
      <c r="U791" s="26" t="n"/>
      <c r="V791" s="26" t="n"/>
      <c r="W791" s="169" t="n"/>
      <c r="X791" s="26" t="n"/>
      <c r="Y791" s="26" t="n"/>
      <c r="Z791" s="26" t="n"/>
      <c r="AA791" s="26" t="n"/>
      <c r="AD791" s="0">
        <f>SUM(Y791,AA791,AC791)</f>
        <v/>
      </c>
      <c r="AE791" s="0">
        <f>X791*Y791+Z791*AA791+AB791*AC791</f>
        <v/>
      </c>
      <c r="AF791" s="0">
        <f>TEXTJOIN(", ",TRUE,IF(AND(X791&gt;0,Y791&gt;0),TEXT(X791,"0.00")&amp;"ct x "&amp;Y791,""),IF(AND(Z791&gt;0,AA791&gt;0),TEXT(Z791,"0.00")&amp;"ct x "&amp;AA791,""),IF(AND(AB791&gt;0,AC791&gt;0),TEXT(AB791,"0.00")&amp;"ct x "&amp;AC791,""))</f>
        <v/>
      </c>
      <c r="AG791" s="0">
        <f>X791*Y791*SUMIFS($AM$2:$AM$11,$AK$2:$AK$11,"&lt;="&amp;X791,$AL$2:$AL$11,"&gt;="&amp;X791)+Z791*AA791*SUMIFS($AM$2:$AM$11,$AK$2:$AK$11,"&lt;="&amp;Z791,$AL$2:$AL$11,"&gt;="&amp;Z791)+AB791*AC791*SUMIFS($AM$2:$AM$11,$AK$2:$AK$11,"&lt;="&amp;AB791,$AL$2:$AL$11,"&gt;="&amp;AB791)</f>
        <v/>
      </c>
      <c r="AH791" s="0">
        <f>AG791*(1-40%)</f>
        <v/>
      </c>
      <c r="AI791" s="0">
        <f>AH791*1.2</f>
        <v/>
      </c>
    </row>
    <row r="792">
      <c r="A792" s="26" t="n"/>
      <c r="B792" s="169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>
        <f>AG792</f>
        <v/>
      </c>
      <c r="T792" s="26">
        <f>AI792+Q792+P792</f>
        <v/>
      </c>
      <c r="U792" s="26" t="n"/>
      <c r="V792" s="26" t="n"/>
      <c r="W792" s="169" t="n"/>
      <c r="X792" s="26" t="n"/>
      <c r="Y792" s="26" t="n"/>
      <c r="Z792" s="26" t="n"/>
      <c r="AA792" s="26" t="n"/>
      <c r="AD792" s="0">
        <f>SUM(Y792,AA792,AC792)</f>
        <v/>
      </c>
      <c r="AE792" s="0">
        <f>X792*Y792+Z792*AA792+AB792*AC792</f>
        <v/>
      </c>
      <c r="AF792" s="0">
        <f>TEXTJOIN(", ",TRUE,IF(AND(X792&gt;0,Y792&gt;0),TEXT(X792,"0.00")&amp;"ct x "&amp;Y792,""),IF(AND(Z792&gt;0,AA792&gt;0),TEXT(Z792,"0.00")&amp;"ct x "&amp;AA792,""),IF(AND(AB792&gt;0,AC792&gt;0),TEXT(AB792,"0.00")&amp;"ct x "&amp;AC792,""))</f>
        <v/>
      </c>
      <c r="AG792" s="0">
        <f>X792*Y792*SUMIFS($AM$2:$AM$11,$AK$2:$AK$11,"&lt;="&amp;X792,$AL$2:$AL$11,"&gt;="&amp;X792)+Z792*AA792*SUMIFS($AM$2:$AM$11,$AK$2:$AK$11,"&lt;="&amp;Z792,$AL$2:$AL$11,"&gt;="&amp;Z792)+AB792*AC792*SUMIFS($AM$2:$AM$11,$AK$2:$AK$11,"&lt;="&amp;AB792,$AL$2:$AL$11,"&gt;="&amp;AB792)</f>
        <v/>
      </c>
      <c r="AH792" s="0">
        <f>AG792*(1-40%)</f>
        <v/>
      </c>
      <c r="AI792" s="0">
        <f>AH792*1.2</f>
        <v/>
      </c>
    </row>
    <row r="793">
      <c r="A793" s="26" t="n"/>
      <c r="B793" s="169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>
        <f>AG793</f>
        <v/>
      </c>
      <c r="T793" s="26">
        <f>AI793+Q793+P793</f>
        <v/>
      </c>
      <c r="U793" s="26" t="n"/>
      <c r="V793" s="26" t="n"/>
      <c r="W793" s="169" t="n"/>
      <c r="X793" s="26" t="n"/>
      <c r="Y793" s="26" t="n"/>
      <c r="Z793" s="26" t="n"/>
      <c r="AA793" s="26" t="n"/>
      <c r="AD793" s="0">
        <f>SUM(Y793,AA793,AC793)</f>
        <v/>
      </c>
      <c r="AE793" s="0">
        <f>X793*Y793+Z793*AA793+AB793*AC793</f>
        <v/>
      </c>
      <c r="AF793" s="0">
        <f>TEXTJOIN(", ",TRUE,IF(AND(X793&gt;0,Y793&gt;0),TEXT(X793,"0.00")&amp;"ct x "&amp;Y793,""),IF(AND(Z793&gt;0,AA793&gt;0),TEXT(Z793,"0.00")&amp;"ct x "&amp;AA793,""),IF(AND(AB793&gt;0,AC793&gt;0),TEXT(AB793,"0.00")&amp;"ct x "&amp;AC793,""))</f>
        <v/>
      </c>
      <c r="AG793" s="0">
        <f>X793*Y793*SUMIFS($AM$2:$AM$11,$AK$2:$AK$11,"&lt;="&amp;X793,$AL$2:$AL$11,"&gt;="&amp;X793)+Z793*AA793*SUMIFS($AM$2:$AM$11,$AK$2:$AK$11,"&lt;="&amp;Z793,$AL$2:$AL$11,"&gt;="&amp;Z793)+AB793*AC793*SUMIFS($AM$2:$AM$11,$AK$2:$AK$11,"&lt;="&amp;AB793,$AL$2:$AL$11,"&gt;="&amp;AB793)</f>
        <v/>
      </c>
      <c r="AH793" s="0">
        <f>AG793*(1-40%)</f>
        <v/>
      </c>
      <c r="AI793" s="0">
        <f>AH793*1.2</f>
        <v/>
      </c>
    </row>
    <row r="794">
      <c r="A794" s="26" t="n"/>
      <c r="B794" s="169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>
        <f>AG794</f>
        <v/>
      </c>
      <c r="T794" s="26">
        <f>AI794+Q794+P794</f>
        <v/>
      </c>
      <c r="U794" s="26" t="n"/>
      <c r="V794" s="26" t="n"/>
      <c r="W794" s="169" t="n"/>
      <c r="X794" s="26" t="n"/>
      <c r="Y794" s="26" t="n"/>
      <c r="Z794" s="26" t="n"/>
      <c r="AA794" s="26" t="n"/>
      <c r="AD794" s="0">
        <f>SUM(Y794,AA794,AC794)</f>
        <v/>
      </c>
      <c r="AE794" s="0">
        <f>X794*Y794+Z794*AA794+AB794*AC794</f>
        <v/>
      </c>
      <c r="AF794" s="0">
        <f>TEXTJOIN(", ",TRUE,IF(AND(X794&gt;0,Y794&gt;0),TEXT(X794,"0.00")&amp;"ct x "&amp;Y794,""),IF(AND(Z794&gt;0,AA794&gt;0),TEXT(Z794,"0.00")&amp;"ct x "&amp;AA794,""),IF(AND(AB794&gt;0,AC794&gt;0),TEXT(AB794,"0.00")&amp;"ct x "&amp;AC794,""))</f>
        <v/>
      </c>
      <c r="AG794" s="0">
        <f>X794*Y794*SUMIFS($AM$2:$AM$11,$AK$2:$AK$11,"&lt;="&amp;X794,$AL$2:$AL$11,"&gt;="&amp;X794)+Z794*AA794*SUMIFS($AM$2:$AM$11,$AK$2:$AK$11,"&lt;="&amp;Z794,$AL$2:$AL$11,"&gt;="&amp;Z794)+AB794*AC794*SUMIFS($AM$2:$AM$11,$AK$2:$AK$11,"&lt;="&amp;AB794,$AL$2:$AL$11,"&gt;="&amp;AB794)</f>
        <v/>
      </c>
      <c r="AH794" s="0">
        <f>AG794*(1-40%)</f>
        <v/>
      </c>
      <c r="AI794" s="0">
        <f>AH794*1.2</f>
        <v/>
      </c>
    </row>
    <row r="795">
      <c r="A795" s="26" t="n"/>
      <c r="B795" s="169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>
        <f>AG795</f>
        <v/>
      </c>
      <c r="T795" s="26">
        <f>AI795+Q795+P795</f>
        <v/>
      </c>
      <c r="U795" s="26" t="n"/>
      <c r="V795" s="26" t="n"/>
      <c r="W795" s="169" t="n"/>
      <c r="X795" s="26" t="n"/>
      <c r="Y795" s="26" t="n"/>
      <c r="Z795" s="26" t="n"/>
      <c r="AA795" s="26" t="n"/>
      <c r="AD795" s="0">
        <f>SUM(Y795,AA795,AC795)</f>
        <v/>
      </c>
      <c r="AE795" s="0">
        <f>X795*Y795+Z795*AA795+AB795*AC795</f>
        <v/>
      </c>
      <c r="AF795" s="0">
        <f>TEXTJOIN(", ",TRUE,IF(AND(X795&gt;0,Y795&gt;0),TEXT(X795,"0.00")&amp;"ct x "&amp;Y795,""),IF(AND(Z795&gt;0,AA795&gt;0),TEXT(Z795,"0.00")&amp;"ct x "&amp;AA795,""),IF(AND(AB795&gt;0,AC795&gt;0),TEXT(AB795,"0.00")&amp;"ct x "&amp;AC795,""))</f>
        <v/>
      </c>
      <c r="AG795" s="0">
        <f>X795*Y795*SUMIFS($AM$2:$AM$11,$AK$2:$AK$11,"&lt;="&amp;X795,$AL$2:$AL$11,"&gt;="&amp;X795)+Z795*AA795*SUMIFS($AM$2:$AM$11,$AK$2:$AK$11,"&lt;="&amp;Z795,$AL$2:$AL$11,"&gt;="&amp;Z795)+AB795*AC795*SUMIFS($AM$2:$AM$11,$AK$2:$AK$11,"&lt;="&amp;AB795,$AL$2:$AL$11,"&gt;="&amp;AB795)</f>
        <v/>
      </c>
      <c r="AH795" s="0">
        <f>AG795*(1-40%)</f>
        <v/>
      </c>
      <c r="AI795" s="0">
        <f>AH795*1.2</f>
        <v/>
      </c>
    </row>
    <row r="796">
      <c r="A796" s="26" t="n"/>
      <c r="B796" s="169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>
        <f>AG796</f>
        <v/>
      </c>
      <c r="T796" s="26">
        <f>AI796+Q796+P796</f>
        <v/>
      </c>
      <c r="U796" s="26" t="n"/>
      <c r="V796" s="26" t="n"/>
      <c r="W796" s="169" t="n"/>
      <c r="X796" s="26" t="n"/>
      <c r="Y796" s="26" t="n"/>
      <c r="Z796" s="26" t="n"/>
      <c r="AA796" s="26" t="n"/>
      <c r="AD796" s="0">
        <f>SUM(Y796,AA796,AC796)</f>
        <v/>
      </c>
      <c r="AE796" s="0">
        <f>X796*Y796+Z796*AA796+AB796*AC796</f>
        <v/>
      </c>
      <c r="AF796" s="0">
        <f>TEXTJOIN(", ",TRUE,IF(AND(X796&gt;0,Y796&gt;0),TEXT(X796,"0.00")&amp;"ct x "&amp;Y796,""),IF(AND(Z796&gt;0,AA796&gt;0),TEXT(Z796,"0.00")&amp;"ct x "&amp;AA796,""),IF(AND(AB796&gt;0,AC796&gt;0),TEXT(AB796,"0.00")&amp;"ct x "&amp;AC796,""))</f>
        <v/>
      </c>
      <c r="AG796" s="0">
        <f>X796*Y796*SUMIFS($AM$2:$AM$11,$AK$2:$AK$11,"&lt;="&amp;X796,$AL$2:$AL$11,"&gt;="&amp;X796)+Z796*AA796*SUMIFS($AM$2:$AM$11,$AK$2:$AK$11,"&lt;="&amp;Z796,$AL$2:$AL$11,"&gt;="&amp;Z796)+AB796*AC796*SUMIFS($AM$2:$AM$11,$AK$2:$AK$11,"&lt;="&amp;AB796,$AL$2:$AL$11,"&gt;="&amp;AB796)</f>
        <v/>
      </c>
      <c r="AH796" s="0">
        <f>AG796*(1-40%)</f>
        <v/>
      </c>
      <c r="AI796" s="0">
        <f>AH796*1.2</f>
        <v/>
      </c>
    </row>
    <row r="797">
      <c r="A797" s="26" t="n"/>
      <c r="B797" s="169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>
        <f>AG797</f>
        <v/>
      </c>
      <c r="T797" s="26">
        <f>AI797+Q797+P797</f>
        <v/>
      </c>
      <c r="U797" s="26" t="n"/>
      <c r="V797" s="26" t="n"/>
      <c r="W797" s="169" t="n"/>
      <c r="X797" s="26" t="n"/>
      <c r="Y797" s="26" t="n"/>
      <c r="Z797" s="26" t="n"/>
      <c r="AA797" s="26" t="n"/>
      <c r="AD797" s="0">
        <f>SUM(Y797,AA797,AC797)</f>
        <v/>
      </c>
      <c r="AE797" s="0">
        <f>X797*Y797+Z797*AA797+AB797*AC797</f>
        <v/>
      </c>
      <c r="AF797" s="0">
        <f>TEXTJOIN(", ",TRUE,IF(AND(X797&gt;0,Y797&gt;0),TEXT(X797,"0.00")&amp;"ct x "&amp;Y797,""),IF(AND(Z797&gt;0,AA797&gt;0),TEXT(Z797,"0.00")&amp;"ct x "&amp;AA797,""),IF(AND(AB797&gt;0,AC797&gt;0),TEXT(AB797,"0.00")&amp;"ct x "&amp;AC797,""))</f>
        <v/>
      </c>
      <c r="AG797" s="0">
        <f>X797*Y797*SUMIFS($AM$2:$AM$11,$AK$2:$AK$11,"&lt;="&amp;X797,$AL$2:$AL$11,"&gt;="&amp;X797)+Z797*AA797*SUMIFS($AM$2:$AM$11,$AK$2:$AK$11,"&lt;="&amp;Z797,$AL$2:$AL$11,"&gt;="&amp;Z797)+AB797*AC797*SUMIFS($AM$2:$AM$11,$AK$2:$AK$11,"&lt;="&amp;AB797,$AL$2:$AL$11,"&gt;="&amp;AB797)</f>
        <v/>
      </c>
      <c r="AH797" s="0">
        <f>AG797*(1-40%)</f>
        <v/>
      </c>
      <c r="AI797" s="0">
        <f>AH797*1.2</f>
        <v/>
      </c>
    </row>
    <row r="798">
      <c r="A798" s="26" t="n"/>
      <c r="B798" s="169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>
        <f>AG798</f>
        <v/>
      </c>
      <c r="T798" s="26">
        <f>AI798+Q798+P798</f>
        <v/>
      </c>
      <c r="U798" s="26" t="n"/>
      <c r="V798" s="26" t="n"/>
      <c r="W798" s="169" t="n"/>
      <c r="X798" s="26" t="n"/>
      <c r="Y798" s="26" t="n"/>
      <c r="Z798" s="26" t="n"/>
      <c r="AA798" s="26" t="n"/>
      <c r="AD798" s="0">
        <f>SUM(Y798,AA798,AC798)</f>
        <v/>
      </c>
      <c r="AE798" s="0">
        <f>X798*Y798+Z798*AA798+AB798*AC798</f>
        <v/>
      </c>
      <c r="AF798" s="0">
        <f>TEXTJOIN(", ",TRUE,IF(AND(X798&gt;0,Y798&gt;0),TEXT(X798,"0.00")&amp;"ct x "&amp;Y798,""),IF(AND(Z798&gt;0,AA798&gt;0),TEXT(Z798,"0.00")&amp;"ct x "&amp;AA798,""),IF(AND(AB798&gt;0,AC798&gt;0),TEXT(AB798,"0.00")&amp;"ct x "&amp;AC798,""))</f>
        <v/>
      </c>
      <c r="AG798" s="0">
        <f>X798*Y798*SUMIFS($AM$2:$AM$11,$AK$2:$AK$11,"&lt;="&amp;X798,$AL$2:$AL$11,"&gt;="&amp;X798)+Z798*AA798*SUMIFS($AM$2:$AM$11,$AK$2:$AK$11,"&lt;="&amp;Z798,$AL$2:$AL$11,"&gt;="&amp;Z798)+AB798*AC798*SUMIFS($AM$2:$AM$11,$AK$2:$AK$11,"&lt;="&amp;AB798,$AL$2:$AL$11,"&gt;="&amp;AB798)</f>
        <v/>
      </c>
      <c r="AH798" s="0">
        <f>AG798*(1-40%)</f>
        <v/>
      </c>
      <c r="AI798" s="0">
        <f>AH798*1.2</f>
        <v/>
      </c>
    </row>
    <row r="799">
      <c r="A799" s="26" t="n"/>
      <c r="B799" s="169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>
        <f>AG799</f>
        <v/>
      </c>
      <c r="T799" s="26">
        <f>AI799+Q799+P799</f>
        <v/>
      </c>
      <c r="U799" s="26" t="n"/>
      <c r="V799" s="26" t="n"/>
      <c r="W799" s="169" t="n"/>
      <c r="X799" s="26" t="n"/>
      <c r="Y799" s="26" t="n"/>
      <c r="Z799" s="26" t="n"/>
      <c r="AA799" s="26" t="n"/>
      <c r="AD799" s="0">
        <f>SUM(Y799,AA799,AC799)</f>
        <v/>
      </c>
      <c r="AE799" s="0">
        <f>X799*Y799+Z799*AA799+AB799*AC799</f>
        <v/>
      </c>
      <c r="AF799" s="0">
        <f>TEXTJOIN(", ",TRUE,IF(AND(X799&gt;0,Y799&gt;0),TEXT(X799,"0.00")&amp;"ct x "&amp;Y799,""),IF(AND(Z799&gt;0,AA799&gt;0),TEXT(Z799,"0.00")&amp;"ct x "&amp;AA799,""),IF(AND(AB799&gt;0,AC799&gt;0),TEXT(AB799,"0.00")&amp;"ct x "&amp;AC799,""))</f>
        <v/>
      </c>
      <c r="AG799" s="0">
        <f>X799*Y799*SUMIFS($AM$2:$AM$11,$AK$2:$AK$11,"&lt;="&amp;X799,$AL$2:$AL$11,"&gt;="&amp;X799)+Z799*AA799*SUMIFS($AM$2:$AM$11,$AK$2:$AK$11,"&lt;="&amp;Z799,$AL$2:$AL$11,"&gt;="&amp;Z799)+AB799*AC799*SUMIFS($AM$2:$AM$11,$AK$2:$AK$11,"&lt;="&amp;AB799,$AL$2:$AL$11,"&gt;="&amp;AB799)</f>
        <v/>
      </c>
      <c r="AH799" s="0">
        <f>AG799*(1-40%)</f>
        <v/>
      </c>
      <c r="AI799" s="0">
        <f>AH799*1.2</f>
        <v/>
      </c>
    </row>
    <row r="800">
      <c r="A800" s="26" t="n"/>
      <c r="B800" s="169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>
        <f>AG800</f>
        <v/>
      </c>
      <c r="T800" s="26">
        <f>AI800+Q800+P800</f>
        <v/>
      </c>
      <c r="U800" s="26" t="n"/>
      <c r="V800" s="26" t="n"/>
      <c r="W800" s="169" t="n"/>
      <c r="X800" s="26" t="n"/>
      <c r="Y800" s="26" t="n"/>
      <c r="Z800" s="26" t="n"/>
      <c r="AA800" s="26" t="n"/>
      <c r="AD800" s="0">
        <f>SUM(Y800,AA800,AC800)</f>
        <v/>
      </c>
      <c r="AE800" s="0">
        <f>X800*Y800+Z800*AA800+AB800*AC800</f>
        <v/>
      </c>
      <c r="AF800" s="0">
        <f>TEXTJOIN(", ",TRUE,IF(AND(X800&gt;0,Y800&gt;0),TEXT(X800,"0.00")&amp;"ct x "&amp;Y800,""),IF(AND(Z800&gt;0,AA800&gt;0),TEXT(Z800,"0.00")&amp;"ct x "&amp;AA800,""),IF(AND(AB800&gt;0,AC800&gt;0),TEXT(AB800,"0.00")&amp;"ct x "&amp;AC800,""))</f>
        <v/>
      </c>
      <c r="AG800" s="0">
        <f>X800*Y800*SUMIFS($AM$2:$AM$11,$AK$2:$AK$11,"&lt;="&amp;X800,$AL$2:$AL$11,"&gt;="&amp;X800)+Z800*AA800*SUMIFS($AM$2:$AM$11,$AK$2:$AK$11,"&lt;="&amp;Z800,$AL$2:$AL$11,"&gt;="&amp;Z800)+AB800*AC800*SUMIFS($AM$2:$AM$11,$AK$2:$AK$11,"&lt;="&amp;AB800,$AL$2:$AL$11,"&gt;="&amp;AB800)</f>
        <v/>
      </c>
      <c r="AH800" s="0">
        <f>AG800*(1-40%)</f>
        <v/>
      </c>
      <c r="AI800" s="0">
        <f>AH800*1.2</f>
        <v/>
      </c>
    </row>
    <row r="801">
      <c r="A801" s="26" t="n"/>
      <c r="B801" s="169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>
        <f>AG801</f>
        <v/>
      </c>
      <c r="T801" s="26">
        <f>AI801+Q801+P801</f>
        <v/>
      </c>
      <c r="U801" s="26" t="n"/>
      <c r="V801" s="26" t="n"/>
      <c r="W801" s="169" t="n"/>
      <c r="X801" s="26" t="n"/>
      <c r="Y801" s="26" t="n"/>
      <c r="Z801" s="26" t="n"/>
      <c r="AA801" s="26" t="n"/>
      <c r="AD801" s="0">
        <f>SUM(Y801,AA801,AC801)</f>
        <v/>
      </c>
      <c r="AE801" s="0">
        <f>X801*Y801+Z801*AA801+AB801*AC801</f>
        <v/>
      </c>
      <c r="AF801" s="0">
        <f>TEXTJOIN(", ",TRUE,IF(AND(X801&gt;0,Y801&gt;0),TEXT(X801,"0.00")&amp;"ct x "&amp;Y801,""),IF(AND(Z801&gt;0,AA801&gt;0),TEXT(Z801,"0.00")&amp;"ct x "&amp;AA801,""),IF(AND(AB801&gt;0,AC801&gt;0),TEXT(AB801,"0.00")&amp;"ct x "&amp;AC801,""))</f>
        <v/>
      </c>
      <c r="AG801" s="0">
        <f>X801*Y801*SUMIFS($AM$2:$AM$11,$AK$2:$AK$11,"&lt;="&amp;X801,$AL$2:$AL$11,"&gt;="&amp;X801)+Z801*AA801*SUMIFS($AM$2:$AM$11,$AK$2:$AK$11,"&lt;="&amp;Z801,$AL$2:$AL$11,"&gt;="&amp;Z801)+AB801*AC801*SUMIFS($AM$2:$AM$11,$AK$2:$AK$11,"&lt;="&amp;AB801,$AL$2:$AL$11,"&gt;="&amp;AB801)</f>
        <v/>
      </c>
      <c r="AH801" s="0">
        <f>AG801*(1-40%)</f>
        <v/>
      </c>
      <c r="AI801" s="0">
        <f>AH801*1.2</f>
        <v/>
      </c>
    </row>
    <row r="802">
      <c r="A802" s="26" t="n"/>
      <c r="B802" s="169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>
        <f>AG802</f>
        <v/>
      </c>
      <c r="T802" s="26">
        <f>AI802+Q802+P802</f>
        <v/>
      </c>
      <c r="U802" s="26" t="n"/>
      <c r="V802" s="26" t="n"/>
      <c r="W802" s="169" t="n"/>
      <c r="X802" s="26" t="n"/>
      <c r="Y802" s="26" t="n"/>
      <c r="Z802" s="26" t="n"/>
      <c r="AA802" s="26" t="n"/>
      <c r="AD802" s="0">
        <f>SUM(Y802,AA802,AC802)</f>
        <v/>
      </c>
      <c r="AE802" s="0">
        <f>X802*Y802+Z802*AA802+AB802*AC802</f>
        <v/>
      </c>
      <c r="AF802" s="0">
        <f>TEXTJOIN(", ",TRUE,IF(AND(X802&gt;0,Y802&gt;0),TEXT(X802,"0.00")&amp;"ct x "&amp;Y802,""),IF(AND(Z802&gt;0,AA802&gt;0),TEXT(Z802,"0.00")&amp;"ct x "&amp;AA802,""),IF(AND(AB802&gt;0,AC802&gt;0),TEXT(AB802,"0.00")&amp;"ct x "&amp;AC802,""))</f>
        <v/>
      </c>
      <c r="AG802" s="0">
        <f>X802*Y802*SUMIFS($AM$2:$AM$11,$AK$2:$AK$11,"&lt;="&amp;X802,$AL$2:$AL$11,"&gt;="&amp;X802)+Z802*AA802*SUMIFS($AM$2:$AM$11,$AK$2:$AK$11,"&lt;="&amp;Z802,$AL$2:$AL$11,"&gt;="&amp;Z802)+AB802*AC802*SUMIFS($AM$2:$AM$11,$AK$2:$AK$11,"&lt;="&amp;AB802,$AL$2:$AL$11,"&gt;="&amp;AB802)</f>
        <v/>
      </c>
      <c r="AH802" s="0">
        <f>AG802*(1-40%)</f>
        <v/>
      </c>
      <c r="AI802" s="0">
        <f>AH802*1.2</f>
        <v/>
      </c>
    </row>
    <row r="803">
      <c r="A803" s="26" t="n"/>
      <c r="B803" s="169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>
        <f>AG803</f>
        <v/>
      </c>
      <c r="T803" s="26">
        <f>AI803+Q803+P803</f>
        <v/>
      </c>
      <c r="U803" s="26" t="n"/>
      <c r="V803" s="26" t="n"/>
      <c r="W803" s="169" t="n"/>
      <c r="X803" s="26" t="n"/>
      <c r="Y803" s="26" t="n"/>
      <c r="Z803" s="26" t="n"/>
      <c r="AA803" s="26" t="n"/>
      <c r="AD803" s="0">
        <f>SUM(Y803,AA803,AC803)</f>
        <v/>
      </c>
      <c r="AE803" s="0">
        <f>X803*Y803+Z803*AA803+AB803*AC803</f>
        <v/>
      </c>
      <c r="AF803" s="0">
        <f>TEXTJOIN(", ",TRUE,IF(AND(X803&gt;0,Y803&gt;0),TEXT(X803,"0.00")&amp;"ct x "&amp;Y803,""),IF(AND(Z803&gt;0,AA803&gt;0),TEXT(Z803,"0.00")&amp;"ct x "&amp;AA803,""),IF(AND(AB803&gt;0,AC803&gt;0),TEXT(AB803,"0.00")&amp;"ct x "&amp;AC803,""))</f>
        <v/>
      </c>
      <c r="AG803" s="0">
        <f>X803*Y803*SUMIFS($AM$2:$AM$11,$AK$2:$AK$11,"&lt;="&amp;X803,$AL$2:$AL$11,"&gt;="&amp;X803)+Z803*AA803*SUMIFS($AM$2:$AM$11,$AK$2:$AK$11,"&lt;="&amp;Z803,$AL$2:$AL$11,"&gt;="&amp;Z803)+AB803*AC803*SUMIFS($AM$2:$AM$11,$AK$2:$AK$11,"&lt;="&amp;AB803,$AL$2:$AL$11,"&gt;="&amp;AB803)</f>
        <v/>
      </c>
      <c r="AH803" s="0">
        <f>AG803*(1-40%)</f>
        <v/>
      </c>
      <c r="AI803" s="0">
        <f>AH803*1.2</f>
        <v/>
      </c>
    </row>
    <row r="804">
      <c r="A804" s="26" t="n"/>
      <c r="B804" s="169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>
        <f>AG804</f>
        <v/>
      </c>
      <c r="T804" s="26">
        <f>AI804+Q804+P804</f>
        <v/>
      </c>
      <c r="U804" s="26" t="n"/>
      <c r="V804" s="26" t="n"/>
      <c r="W804" s="169" t="n"/>
      <c r="X804" s="26" t="n"/>
      <c r="Y804" s="26" t="n"/>
      <c r="Z804" s="26" t="n"/>
      <c r="AA804" s="26" t="n"/>
      <c r="AD804" s="0">
        <f>SUM(Y804,AA804,AC804)</f>
        <v/>
      </c>
      <c r="AE804" s="0">
        <f>X804*Y804+Z804*AA804+AB804*AC804</f>
        <v/>
      </c>
      <c r="AF804" s="0">
        <f>TEXTJOIN(", ",TRUE,IF(AND(X804&gt;0,Y804&gt;0),TEXT(X804,"0.00")&amp;"ct x "&amp;Y804,""),IF(AND(Z804&gt;0,AA804&gt;0),TEXT(Z804,"0.00")&amp;"ct x "&amp;AA804,""),IF(AND(AB804&gt;0,AC804&gt;0),TEXT(AB804,"0.00")&amp;"ct x "&amp;AC804,""))</f>
        <v/>
      </c>
      <c r="AG804" s="0">
        <f>X804*Y804*SUMIFS($AM$2:$AM$11,$AK$2:$AK$11,"&lt;="&amp;X804,$AL$2:$AL$11,"&gt;="&amp;X804)+Z804*AA804*SUMIFS($AM$2:$AM$11,$AK$2:$AK$11,"&lt;="&amp;Z804,$AL$2:$AL$11,"&gt;="&amp;Z804)+AB804*AC804*SUMIFS($AM$2:$AM$11,$AK$2:$AK$11,"&lt;="&amp;AB804,$AL$2:$AL$11,"&gt;="&amp;AB804)</f>
        <v/>
      </c>
      <c r="AH804" s="0">
        <f>AG804*(1-40%)</f>
        <v/>
      </c>
      <c r="AI804" s="0">
        <f>AH804*1.2</f>
        <v/>
      </c>
    </row>
    <row r="805">
      <c r="A805" s="26" t="n"/>
      <c r="B805" s="169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>
        <f>AG805</f>
        <v/>
      </c>
      <c r="T805" s="26">
        <f>AI805+Q805+P805</f>
        <v/>
      </c>
      <c r="U805" s="26" t="n"/>
      <c r="V805" s="26" t="n"/>
      <c r="W805" s="169" t="n"/>
      <c r="X805" s="26" t="n"/>
      <c r="Y805" s="26" t="n"/>
      <c r="Z805" s="26" t="n"/>
      <c r="AA805" s="26" t="n"/>
      <c r="AD805" s="0">
        <f>SUM(Y805,AA805,AC805)</f>
        <v/>
      </c>
      <c r="AE805" s="0">
        <f>X805*Y805+Z805*AA805+AB805*AC805</f>
        <v/>
      </c>
      <c r="AF805" s="0">
        <f>TEXTJOIN(", ",TRUE,IF(AND(X805&gt;0,Y805&gt;0),TEXT(X805,"0.00")&amp;"ct x "&amp;Y805,""),IF(AND(Z805&gt;0,AA805&gt;0),TEXT(Z805,"0.00")&amp;"ct x "&amp;AA805,""),IF(AND(AB805&gt;0,AC805&gt;0),TEXT(AB805,"0.00")&amp;"ct x "&amp;AC805,""))</f>
        <v/>
      </c>
      <c r="AG805" s="0">
        <f>X805*Y805*SUMIFS($AM$2:$AM$11,$AK$2:$AK$11,"&lt;="&amp;X805,$AL$2:$AL$11,"&gt;="&amp;X805)+Z805*AA805*SUMIFS($AM$2:$AM$11,$AK$2:$AK$11,"&lt;="&amp;Z805,$AL$2:$AL$11,"&gt;="&amp;Z805)+AB805*AC805*SUMIFS($AM$2:$AM$11,$AK$2:$AK$11,"&lt;="&amp;AB805,$AL$2:$AL$11,"&gt;="&amp;AB805)</f>
        <v/>
      </c>
      <c r="AH805" s="0">
        <f>AG805*(1-40%)</f>
        <v/>
      </c>
      <c r="AI805" s="0">
        <f>AH805*1.2</f>
        <v/>
      </c>
    </row>
    <row r="806">
      <c r="A806" s="26" t="n"/>
      <c r="B806" s="169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>
        <f>AG806</f>
        <v/>
      </c>
      <c r="T806" s="26">
        <f>AI806+Q806+P806</f>
        <v/>
      </c>
      <c r="U806" s="26" t="n"/>
      <c r="V806" s="26" t="n"/>
      <c r="W806" s="169" t="n"/>
      <c r="X806" s="26" t="n"/>
      <c r="Y806" s="26" t="n"/>
      <c r="Z806" s="26" t="n"/>
      <c r="AA806" s="26" t="n"/>
      <c r="AD806" s="0">
        <f>SUM(Y806,AA806,AC806)</f>
        <v/>
      </c>
      <c r="AE806" s="0">
        <f>X806*Y806+Z806*AA806+AB806*AC806</f>
        <v/>
      </c>
      <c r="AF806" s="0">
        <f>TEXTJOIN(", ",TRUE,IF(AND(X806&gt;0,Y806&gt;0),TEXT(X806,"0.00")&amp;"ct x "&amp;Y806,""),IF(AND(Z806&gt;0,AA806&gt;0),TEXT(Z806,"0.00")&amp;"ct x "&amp;AA806,""),IF(AND(AB806&gt;0,AC806&gt;0),TEXT(AB806,"0.00")&amp;"ct x "&amp;AC806,""))</f>
        <v/>
      </c>
      <c r="AG806" s="0">
        <f>X806*Y806*SUMIFS($AM$2:$AM$11,$AK$2:$AK$11,"&lt;="&amp;X806,$AL$2:$AL$11,"&gt;="&amp;X806)+Z806*AA806*SUMIFS($AM$2:$AM$11,$AK$2:$AK$11,"&lt;="&amp;Z806,$AL$2:$AL$11,"&gt;="&amp;Z806)+AB806*AC806*SUMIFS($AM$2:$AM$11,$AK$2:$AK$11,"&lt;="&amp;AB806,$AL$2:$AL$11,"&gt;="&amp;AB806)</f>
        <v/>
      </c>
      <c r="AH806" s="0">
        <f>AG806*(1-40%)</f>
        <v/>
      </c>
      <c r="AI806" s="0">
        <f>AH806*1.2</f>
        <v/>
      </c>
    </row>
    <row r="807">
      <c r="A807" s="26" t="n"/>
      <c r="B807" s="169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>
        <f>AG807</f>
        <v/>
      </c>
      <c r="T807" s="26">
        <f>AI807+Q807+P807</f>
        <v/>
      </c>
      <c r="U807" s="26" t="n"/>
      <c r="V807" s="26" t="n"/>
      <c r="W807" s="169" t="n"/>
      <c r="X807" s="26" t="n"/>
      <c r="Y807" s="26" t="n"/>
      <c r="Z807" s="26" t="n"/>
      <c r="AA807" s="26" t="n"/>
      <c r="AD807" s="0">
        <f>SUM(Y807,AA807,AC807)</f>
        <v/>
      </c>
      <c r="AE807" s="0">
        <f>X807*Y807+Z807*AA807+AB807*AC807</f>
        <v/>
      </c>
      <c r="AF807" s="0">
        <f>TEXTJOIN(", ",TRUE,IF(AND(X807&gt;0,Y807&gt;0),TEXT(X807,"0.00")&amp;"ct x "&amp;Y807,""),IF(AND(Z807&gt;0,AA807&gt;0),TEXT(Z807,"0.00")&amp;"ct x "&amp;AA807,""),IF(AND(AB807&gt;0,AC807&gt;0),TEXT(AB807,"0.00")&amp;"ct x "&amp;AC807,""))</f>
        <v/>
      </c>
      <c r="AG807" s="0">
        <f>X807*Y807*SUMIFS($AM$2:$AM$11,$AK$2:$AK$11,"&lt;="&amp;X807,$AL$2:$AL$11,"&gt;="&amp;X807)+Z807*AA807*SUMIFS($AM$2:$AM$11,$AK$2:$AK$11,"&lt;="&amp;Z807,$AL$2:$AL$11,"&gt;="&amp;Z807)+AB807*AC807*SUMIFS($AM$2:$AM$11,$AK$2:$AK$11,"&lt;="&amp;AB807,$AL$2:$AL$11,"&gt;="&amp;AB807)</f>
        <v/>
      </c>
      <c r="AH807" s="0">
        <f>AG807*(1-40%)</f>
        <v/>
      </c>
      <c r="AI807" s="0">
        <f>AH807*1.2</f>
        <v/>
      </c>
    </row>
    <row r="808">
      <c r="A808" s="26" t="n"/>
      <c r="B808" s="169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>
        <f>AG808</f>
        <v/>
      </c>
      <c r="T808" s="26">
        <f>AI808+Q808+P808</f>
        <v/>
      </c>
      <c r="U808" s="26" t="n"/>
      <c r="V808" s="26" t="n"/>
      <c r="W808" s="169" t="n"/>
      <c r="X808" s="26" t="n"/>
      <c r="Y808" s="26" t="n"/>
      <c r="Z808" s="26" t="n"/>
      <c r="AA808" s="26" t="n"/>
      <c r="AD808" s="0">
        <f>SUM(Y808,AA808,AC808)</f>
        <v/>
      </c>
      <c r="AE808" s="0">
        <f>X808*Y808+Z808*AA808+AB808*AC808</f>
        <v/>
      </c>
      <c r="AF808" s="0">
        <f>TEXTJOIN(", ",TRUE,IF(AND(X808&gt;0,Y808&gt;0),TEXT(X808,"0.00")&amp;"ct x "&amp;Y808,""),IF(AND(Z808&gt;0,AA808&gt;0),TEXT(Z808,"0.00")&amp;"ct x "&amp;AA808,""),IF(AND(AB808&gt;0,AC808&gt;0),TEXT(AB808,"0.00")&amp;"ct x "&amp;AC808,""))</f>
        <v/>
      </c>
      <c r="AG808" s="0">
        <f>X808*Y808*SUMIFS($AM$2:$AM$11,$AK$2:$AK$11,"&lt;="&amp;X808,$AL$2:$AL$11,"&gt;="&amp;X808)+Z808*AA808*SUMIFS($AM$2:$AM$11,$AK$2:$AK$11,"&lt;="&amp;Z808,$AL$2:$AL$11,"&gt;="&amp;Z808)+AB808*AC808*SUMIFS($AM$2:$AM$11,$AK$2:$AK$11,"&lt;="&amp;AB808,$AL$2:$AL$11,"&gt;="&amp;AB808)</f>
        <v/>
      </c>
      <c r="AH808" s="0">
        <f>AG808*(1-40%)</f>
        <v/>
      </c>
      <c r="AI808" s="0">
        <f>AH808*1.2</f>
        <v/>
      </c>
    </row>
    <row r="809">
      <c r="A809" s="26" t="n"/>
      <c r="B809" s="169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>
        <f>AG809</f>
        <v/>
      </c>
      <c r="T809" s="26">
        <f>AI809+Q809+P809</f>
        <v/>
      </c>
      <c r="U809" s="26" t="n"/>
      <c r="V809" s="26" t="n"/>
      <c r="W809" s="169" t="n"/>
      <c r="X809" s="26" t="n"/>
      <c r="Y809" s="26" t="n"/>
      <c r="Z809" s="26" t="n"/>
      <c r="AA809" s="26" t="n"/>
      <c r="AD809" s="0">
        <f>SUM(Y809,AA809,AC809)</f>
        <v/>
      </c>
      <c r="AE809" s="0">
        <f>X809*Y809+Z809*AA809+AB809*AC809</f>
        <v/>
      </c>
      <c r="AF809" s="0">
        <f>TEXTJOIN(", ",TRUE,IF(AND(X809&gt;0,Y809&gt;0),TEXT(X809,"0.00")&amp;"ct x "&amp;Y809,""),IF(AND(Z809&gt;0,AA809&gt;0),TEXT(Z809,"0.00")&amp;"ct x "&amp;AA809,""),IF(AND(AB809&gt;0,AC809&gt;0),TEXT(AB809,"0.00")&amp;"ct x "&amp;AC809,""))</f>
        <v/>
      </c>
      <c r="AG809" s="0">
        <f>X809*Y809*SUMIFS($AM$2:$AM$11,$AK$2:$AK$11,"&lt;="&amp;X809,$AL$2:$AL$11,"&gt;="&amp;X809)+Z809*AA809*SUMIFS($AM$2:$AM$11,$AK$2:$AK$11,"&lt;="&amp;Z809,$AL$2:$AL$11,"&gt;="&amp;Z809)+AB809*AC809*SUMIFS($AM$2:$AM$11,$AK$2:$AK$11,"&lt;="&amp;AB809,$AL$2:$AL$11,"&gt;="&amp;AB809)</f>
        <v/>
      </c>
      <c r="AH809" s="0">
        <f>AG809*(1-40%)</f>
        <v/>
      </c>
      <c r="AI809" s="0">
        <f>AH809*1.2</f>
        <v/>
      </c>
    </row>
    <row r="810">
      <c r="A810" s="26" t="n"/>
      <c r="B810" s="169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>
        <f>AG810</f>
        <v/>
      </c>
      <c r="T810" s="26">
        <f>AI810+Q810+P810</f>
        <v/>
      </c>
      <c r="U810" s="26" t="n"/>
      <c r="V810" s="26" t="n"/>
      <c r="W810" s="169" t="n"/>
      <c r="X810" s="26" t="n"/>
      <c r="Y810" s="26" t="n"/>
      <c r="Z810" s="26" t="n"/>
      <c r="AA810" s="26" t="n"/>
      <c r="AD810" s="0">
        <f>SUM(Y810,AA810,AC810)</f>
        <v/>
      </c>
      <c r="AE810" s="0">
        <f>X810*Y810+Z810*AA810+AB810*AC810</f>
        <v/>
      </c>
      <c r="AF810" s="0">
        <f>TEXTJOIN(", ",TRUE,IF(AND(X810&gt;0,Y810&gt;0),TEXT(X810,"0.00")&amp;"ct x "&amp;Y810,""),IF(AND(Z810&gt;0,AA810&gt;0),TEXT(Z810,"0.00")&amp;"ct x "&amp;AA810,""),IF(AND(AB810&gt;0,AC810&gt;0),TEXT(AB810,"0.00")&amp;"ct x "&amp;AC810,""))</f>
        <v/>
      </c>
      <c r="AG810" s="0">
        <f>X810*Y810*SUMIFS($AM$2:$AM$11,$AK$2:$AK$11,"&lt;="&amp;X810,$AL$2:$AL$11,"&gt;="&amp;X810)+Z810*AA810*SUMIFS($AM$2:$AM$11,$AK$2:$AK$11,"&lt;="&amp;Z810,$AL$2:$AL$11,"&gt;="&amp;Z810)+AB810*AC810*SUMIFS($AM$2:$AM$11,$AK$2:$AK$11,"&lt;="&amp;AB810,$AL$2:$AL$11,"&gt;="&amp;AB810)</f>
        <v/>
      </c>
      <c r="AH810" s="0">
        <f>AG810*(1-40%)</f>
        <v/>
      </c>
      <c r="AI810" s="0">
        <f>AH810*1.2</f>
        <v/>
      </c>
    </row>
    <row r="811">
      <c r="A811" s="26" t="n"/>
      <c r="B811" s="169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>
        <f>AG811</f>
        <v/>
      </c>
      <c r="T811" s="26">
        <f>AI811+Q811+P811</f>
        <v/>
      </c>
      <c r="U811" s="26" t="n"/>
      <c r="V811" s="26" t="n"/>
      <c r="W811" s="169" t="n"/>
      <c r="X811" s="26" t="n"/>
      <c r="Y811" s="26" t="n"/>
      <c r="Z811" s="26" t="n"/>
      <c r="AA811" s="26" t="n"/>
      <c r="AD811" s="0">
        <f>SUM(Y811,AA811,AC811)</f>
        <v/>
      </c>
      <c r="AE811" s="0">
        <f>X811*Y811+Z811*AA811+AB811*AC811</f>
        <v/>
      </c>
      <c r="AF811" s="0">
        <f>TEXTJOIN(", ",TRUE,IF(AND(X811&gt;0,Y811&gt;0),TEXT(X811,"0.00")&amp;"ct x "&amp;Y811,""),IF(AND(Z811&gt;0,AA811&gt;0),TEXT(Z811,"0.00")&amp;"ct x "&amp;AA811,""),IF(AND(AB811&gt;0,AC811&gt;0),TEXT(AB811,"0.00")&amp;"ct x "&amp;AC811,""))</f>
        <v/>
      </c>
      <c r="AG811" s="0">
        <f>X811*Y811*SUMIFS($AM$2:$AM$11,$AK$2:$AK$11,"&lt;="&amp;X811,$AL$2:$AL$11,"&gt;="&amp;X811)+Z811*AA811*SUMIFS($AM$2:$AM$11,$AK$2:$AK$11,"&lt;="&amp;Z811,$AL$2:$AL$11,"&gt;="&amp;Z811)+AB811*AC811*SUMIFS($AM$2:$AM$11,$AK$2:$AK$11,"&lt;="&amp;AB811,$AL$2:$AL$11,"&gt;="&amp;AB811)</f>
        <v/>
      </c>
      <c r="AH811" s="0">
        <f>AG811*(1-40%)</f>
        <v/>
      </c>
      <c r="AI811" s="0">
        <f>AH811*1.2</f>
        <v/>
      </c>
    </row>
    <row r="812">
      <c r="A812" s="26" t="n"/>
      <c r="B812" s="169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>
        <f>AG812</f>
        <v/>
      </c>
      <c r="T812" s="26">
        <f>AI812+Q812+P812</f>
        <v/>
      </c>
      <c r="U812" s="26" t="n"/>
      <c r="V812" s="26" t="n"/>
      <c r="W812" s="169" t="n"/>
      <c r="X812" s="26" t="n"/>
      <c r="Y812" s="26" t="n"/>
      <c r="Z812" s="26" t="n"/>
      <c r="AA812" s="26" t="n"/>
      <c r="AD812" s="0">
        <f>SUM(Y812,AA812,AC812)</f>
        <v/>
      </c>
      <c r="AE812" s="0">
        <f>X812*Y812+Z812*AA812+AB812*AC812</f>
        <v/>
      </c>
      <c r="AF812" s="0">
        <f>TEXTJOIN(", ",TRUE,IF(AND(X812&gt;0,Y812&gt;0),TEXT(X812,"0.00")&amp;"ct x "&amp;Y812,""),IF(AND(Z812&gt;0,AA812&gt;0),TEXT(Z812,"0.00")&amp;"ct x "&amp;AA812,""),IF(AND(AB812&gt;0,AC812&gt;0),TEXT(AB812,"0.00")&amp;"ct x "&amp;AC812,""))</f>
        <v/>
      </c>
      <c r="AG812" s="0">
        <f>X812*Y812*SUMIFS($AM$2:$AM$11,$AK$2:$AK$11,"&lt;="&amp;X812,$AL$2:$AL$11,"&gt;="&amp;X812)+Z812*AA812*SUMIFS($AM$2:$AM$11,$AK$2:$AK$11,"&lt;="&amp;Z812,$AL$2:$AL$11,"&gt;="&amp;Z812)+AB812*AC812*SUMIFS($AM$2:$AM$11,$AK$2:$AK$11,"&lt;="&amp;AB812,$AL$2:$AL$11,"&gt;="&amp;AB812)</f>
        <v/>
      </c>
      <c r="AH812" s="0">
        <f>AG812*(1-40%)</f>
        <v/>
      </c>
      <c r="AI812" s="0">
        <f>AH812*1.2</f>
        <v/>
      </c>
    </row>
    <row r="813">
      <c r="A813" s="26" t="n"/>
      <c r="B813" s="169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>
        <f>AG813</f>
        <v/>
      </c>
      <c r="T813" s="26">
        <f>AI813+Q813+P813</f>
        <v/>
      </c>
      <c r="U813" s="26" t="n"/>
      <c r="V813" s="26" t="n"/>
      <c r="W813" s="169" t="n"/>
      <c r="X813" s="26" t="n"/>
      <c r="Y813" s="26" t="n"/>
      <c r="Z813" s="26" t="n"/>
      <c r="AA813" s="26" t="n"/>
      <c r="AD813" s="0">
        <f>SUM(Y813,AA813,AC813)</f>
        <v/>
      </c>
      <c r="AE813" s="0">
        <f>X813*Y813+Z813*AA813+AB813*AC813</f>
        <v/>
      </c>
      <c r="AF813" s="0">
        <f>TEXTJOIN(", ",TRUE,IF(AND(X813&gt;0,Y813&gt;0),TEXT(X813,"0.00")&amp;"ct x "&amp;Y813,""),IF(AND(Z813&gt;0,AA813&gt;0),TEXT(Z813,"0.00")&amp;"ct x "&amp;AA813,""),IF(AND(AB813&gt;0,AC813&gt;0),TEXT(AB813,"0.00")&amp;"ct x "&amp;AC813,""))</f>
        <v/>
      </c>
      <c r="AG813" s="0">
        <f>X813*Y813*SUMIFS($AM$2:$AM$11,$AK$2:$AK$11,"&lt;="&amp;X813,$AL$2:$AL$11,"&gt;="&amp;X813)+Z813*AA813*SUMIFS($AM$2:$AM$11,$AK$2:$AK$11,"&lt;="&amp;Z813,$AL$2:$AL$11,"&gt;="&amp;Z813)+AB813*AC813*SUMIFS($AM$2:$AM$11,$AK$2:$AK$11,"&lt;="&amp;AB813,$AL$2:$AL$11,"&gt;="&amp;AB813)</f>
        <v/>
      </c>
      <c r="AH813" s="0">
        <f>AG813*(1-40%)</f>
        <v/>
      </c>
      <c r="AI813" s="0">
        <f>AH813*1.2</f>
        <v/>
      </c>
    </row>
    <row r="814">
      <c r="A814" s="26" t="n"/>
      <c r="B814" s="169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>
        <f>AG814</f>
        <v/>
      </c>
      <c r="T814" s="26">
        <f>AI814+Q814+P814</f>
        <v/>
      </c>
      <c r="U814" s="26" t="n"/>
      <c r="V814" s="26" t="n"/>
      <c r="W814" s="169" t="n"/>
      <c r="X814" s="26" t="n"/>
      <c r="Y814" s="26" t="n"/>
      <c r="Z814" s="26" t="n"/>
      <c r="AA814" s="26" t="n"/>
      <c r="AD814" s="0">
        <f>SUM(Y814,AA814,AC814)</f>
        <v/>
      </c>
      <c r="AE814" s="0">
        <f>X814*Y814+Z814*AA814+AB814*AC814</f>
        <v/>
      </c>
      <c r="AF814" s="0">
        <f>TEXTJOIN(", ",TRUE,IF(AND(X814&gt;0,Y814&gt;0),TEXT(X814,"0.00")&amp;"ct x "&amp;Y814,""),IF(AND(Z814&gt;0,AA814&gt;0),TEXT(Z814,"0.00")&amp;"ct x "&amp;AA814,""),IF(AND(AB814&gt;0,AC814&gt;0),TEXT(AB814,"0.00")&amp;"ct x "&amp;AC814,""))</f>
        <v/>
      </c>
      <c r="AG814" s="0">
        <f>X814*Y814*SUMIFS($AM$2:$AM$11,$AK$2:$AK$11,"&lt;="&amp;X814,$AL$2:$AL$11,"&gt;="&amp;X814)+Z814*AA814*SUMIFS($AM$2:$AM$11,$AK$2:$AK$11,"&lt;="&amp;Z814,$AL$2:$AL$11,"&gt;="&amp;Z814)+AB814*AC814*SUMIFS($AM$2:$AM$11,$AK$2:$AK$11,"&lt;="&amp;AB814,$AL$2:$AL$11,"&gt;="&amp;AB814)</f>
        <v/>
      </c>
      <c r="AH814" s="0">
        <f>AG814*(1-40%)</f>
        <v/>
      </c>
      <c r="AI814" s="0">
        <f>AH814*1.2</f>
        <v/>
      </c>
    </row>
    <row r="815">
      <c r="A815" s="26" t="n"/>
      <c r="B815" s="169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>
        <f>AG815</f>
        <v/>
      </c>
      <c r="T815" s="26">
        <f>AI815+Q815+P815</f>
        <v/>
      </c>
      <c r="U815" s="26" t="n"/>
      <c r="V815" s="26" t="n"/>
      <c r="W815" s="169" t="n"/>
      <c r="X815" s="26" t="n"/>
      <c r="Y815" s="26" t="n"/>
      <c r="Z815" s="26" t="n"/>
      <c r="AA815" s="26" t="n"/>
      <c r="AD815" s="0">
        <f>SUM(Y815,AA815,AC815)</f>
        <v/>
      </c>
      <c r="AE815" s="0">
        <f>X815*Y815+Z815*AA815+AB815*AC815</f>
        <v/>
      </c>
      <c r="AF815" s="0">
        <f>TEXTJOIN(", ",TRUE,IF(AND(X815&gt;0,Y815&gt;0),TEXT(X815,"0.00")&amp;"ct x "&amp;Y815,""),IF(AND(Z815&gt;0,AA815&gt;0),TEXT(Z815,"0.00")&amp;"ct x "&amp;AA815,""),IF(AND(AB815&gt;0,AC815&gt;0),TEXT(AB815,"0.00")&amp;"ct x "&amp;AC815,""))</f>
        <v/>
      </c>
      <c r="AG815" s="0">
        <f>X815*Y815*SUMIFS($AM$2:$AM$11,$AK$2:$AK$11,"&lt;="&amp;X815,$AL$2:$AL$11,"&gt;="&amp;X815)+Z815*AA815*SUMIFS($AM$2:$AM$11,$AK$2:$AK$11,"&lt;="&amp;Z815,$AL$2:$AL$11,"&gt;="&amp;Z815)+AB815*AC815*SUMIFS($AM$2:$AM$11,$AK$2:$AK$11,"&lt;="&amp;AB815,$AL$2:$AL$11,"&gt;="&amp;AB815)</f>
        <v/>
      </c>
      <c r="AH815" s="0">
        <f>AG815*(1-40%)</f>
        <v/>
      </c>
      <c r="AI815" s="0">
        <f>AH815*1.2</f>
        <v/>
      </c>
    </row>
    <row r="816">
      <c r="A816" s="26" t="n"/>
      <c r="B816" s="169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>
        <f>AG816</f>
        <v/>
      </c>
      <c r="T816" s="26">
        <f>AI816+Q816+P816</f>
        <v/>
      </c>
      <c r="U816" s="26" t="n"/>
      <c r="V816" s="26" t="n"/>
      <c r="W816" s="169" t="n"/>
      <c r="X816" s="26" t="n"/>
      <c r="Y816" s="26" t="n"/>
      <c r="Z816" s="26" t="n"/>
      <c r="AA816" s="26" t="n"/>
      <c r="AD816" s="0">
        <f>SUM(Y816,AA816,AC816)</f>
        <v/>
      </c>
      <c r="AE816" s="0">
        <f>X816*Y816+Z816*AA816+AB816*AC816</f>
        <v/>
      </c>
      <c r="AF816" s="0">
        <f>TEXTJOIN(", ",TRUE,IF(AND(X816&gt;0,Y816&gt;0),TEXT(X816,"0.00")&amp;"ct x "&amp;Y816,""),IF(AND(Z816&gt;0,AA816&gt;0),TEXT(Z816,"0.00")&amp;"ct x "&amp;AA816,""),IF(AND(AB816&gt;0,AC816&gt;0),TEXT(AB816,"0.00")&amp;"ct x "&amp;AC816,""))</f>
        <v/>
      </c>
      <c r="AG816" s="0">
        <f>X816*Y816*SUMIFS($AM$2:$AM$11,$AK$2:$AK$11,"&lt;="&amp;X816,$AL$2:$AL$11,"&gt;="&amp;X816)+Z816*AA816*SUMIFS($AM$2:$AM$11,$AK$2:$AK$11,"&lt;="&amp;Z816,$AL$2:$AL$11,"&gt;="&amp;Z816)+AB816*AC816*SUMIFS($AM$2:$AM$11,$AK$2:$AK$11,"&lt;="&amp;AB816,$AL$2:$AL$11,"&gt;="&amp;AB816)</f>
        <v/>
      </c>
      <c r="AH816" s="0">
        <f>AG816*(1-40%)</f>
        <v/>
      </c>
      <c r="AI816" s="0">
        <f>AH816*1.2</f>
        <v/>
      </c>
    </row>
    <row r="817">
      <c r="A817" s="26" t="n"/>
      <c r="B817" s="169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>
        <f>AG817</f>
        <v/>
      </c>
      <c r="T817" s="26">
        <f>AI817+Q817+P817</f>
        <v/>
      </c>
      <c r="U817" s="26" t="n"/>
      <c r="V817" s="26" t="n"/>
      <c r="W817" s="169" t="n"/>
      <c r="X817" s="26" t="n"/>
      <c r="Y817" s="26" t="n"/>
      <c r="Z817" s="26" t="n"/>
      <c r="AA817" s="26" t="n"/>
      <c r="AD817" s="0">
        <f>SUM(Y817,AA817,AC817)</f>
        <v/>
      </c>
      <c r="AE817" s="0">
        <f>X817*Y817+Z817*AA817+AB817*AC817</f>
        <v/>
      </c>
      <c r="AF817" s="0">
        <f>TEXTJOIN(", ",TRUE,IF(AND(X817&gt;0,Y817&gt;0),TEXT(X817,"0.00")&amp;"ct x "&amp;Y817,""),IF(AND(Z817&gt;0,AA817&gt;0),TEXT(Z817,"0.00")&amp;"ct x "&amp;AA817,""),IF(AND(AB817&gt;0,AC817&gt;0),TEXT(AB817,"0.00")&amp;"ct x "&amp;AC817,""))</f>
        <v/>
      </c>
      <c r="AG817" s="0">
        <f>X817*Y817*SUMIFS($AM$2:$AM$11,$AK$2:$AK$11,"&lt;="&amp;X817,$AL$2:$AL$11,"&gt;="&amp;X817)+Z817*AA817*SUMIFS($AM$2:$AM$11,$AK$2:$AK$11,"&lt;="&amp;Z817,$AL$2:$AL$11,"&gt;="&amp;Z817)+AB817*AC817*SUMIFS($AM$2:$AM$11,$AK$2:$AK$11,"&lt;="&amp;AB817,$AL$2:$AL$11,"&gt;="&amp;AB817)</f>
        <v/>
      </c>
      <c r="AH817" s="0">
        <f>AG817*(1-40%)</f>
        <v/>
      </c>
      <c r="AI817" s="0">
        <f>AH817*1.2</f>
        <v/>
      </c>
    </row>
    <row r="818">
      <c r="A818" s="26" t="n"/>
      <c r="B818" s="169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>
        <f>AG818</f>
        <v/>
      </c>
      <c r="T818" s="26">
        <f>AI818+Q818+P818</f>
        <v/>
      </c>
      <c r="U818" s="26" t="n"/>
      <c r="V818" s="26" t="n"/>
      <c r="W818" s="169" t="n"/>
      <c r="X818" s="26" t="n"/>
      <c r="Y818" s="26" t="n"/>
      <c r="Z818" s="26" t="n"/>
      <c r="AA818" s="26" t="n"/>
      <c r="AD818" s="0">
        <f>SUM(Y818,AA818,AC818)</f>
        <v/>
      </c>
      <c r="AE818" s="0">
        <f>X818*Y818+Z818*AA818+AB818*AC818</f>
        <v/>
      </c>
      <c r="AF818" s="0">
        <f>TEXTJOIN(", ",TRUE,IF(AND(X818&gt;0,Y818&gt;0),TEXT(X818,"0.00")&amp;"ct x "&amp;Y818,""),IF(AND(Z818&gt;0,AA818&gt;0),TEXT(Z818,"0.00")&amp;"ct x "&amp;AA818,""),IF(AND(AB818&gt;0,AC818&gt;0),TEXT(AB818,"0.00")&amp;"ct x "&amp;AC818,""))</f>
        <v/>
      </c>
      <c r="AG818" s="0">
        <f>X818*Y818*SUMIFS($AM$2:$AM$11,$AK$2:$AK$11,"&lt;="&amp;X818,$AL$2:$AL$11,"&gt;="&amp;X818)+Z818*AA818*SUMIFS($AM$2:$AM$11,$AK$2:$AK$11,"&lt;="&amp;Z818,$AL$2:$AL$11,"&gt;="&amp;Z818)+AB818*AC818*SUMIFS($AM$2:$AM$11,$AK$2:$AK$11,"&lt;="&amp;AB818,$AL$2:$AL$11,"&gt;="&amp;AB818)</f>
        <v/>
      </c>
      <c r="AH818" s="0">
        <f>AG818*(1-40%)</f>
        <v/>
      </c>
      <c r="AI818" s="0">
        <f>AH818*1.2</f>
        <v/>
      </c>
    </row>
    <row r="819">
      <c r="A819" s="26" t="n"/>
      <c r="B819" s="169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>
        <f>AG819</f>
        <v/>
      </c>
      <c r="T819" s="26">
        <f>AI819+Q819+P819</f>
        <v/>
      </c>
      <c r="U819" s="26" t="n"/>
      <c r="V819" s="26" t="n"/>
      <c r="W819" s="169" t="n"/>
      <c r="X819" s="26" t="n"/>
      <c r="Y819" s="26" t="n"/>
      <c r="Z819" s="26" t="n"/>
      <c r="AA819" s="26" t="n"/>
      <c r="AD819" s="0">
        <f>SUM(Y819,AA819,AC819)</f>
        <v/>
      </c>
      <c r="AE819" s="0">
        <f>X819*Y819+Z819*AA819+AB819*AC819</f>
        <v/>
      </c>
      <c r="AF819" s="0">
        <f>TEXTJOIN(", ",TRUE,IF(AND(X819&gt;0,Y819&gt;0),TEXT(X819,"0.00")&amp;"ct x "&amp;Y819,""),IF(AND(Z819&gt;0,AA819&gt;0),TEXT(Z819,"0.00")&amp;"ct x "&amp;AA819,""),IF(AND(AB819&gt;0,AC819&gt;0),TEXT(AB819,"0.00")&amp;"ct x "&amp;AC819,""))</f>
        <v/>
      </c>
      <c r="AG819" s="0">
        <f>X819*Y819*SUMIFS($AM$2:$AM$11,$AK$2:$AK$11,"&lt;="&amp;X819,$AL$2:$AL$11,"&gt;="&amp;X819)+Z819*AA819*SUMIFS($AM$2:$AM$11,$AK$2:$AK$11,"&lt;="&amp;Z819,$AL$2:$AL$11,"&gt;="&amp;Z819)+AB819*AC819*SUMIFS($AM$2:$AM$11,$AK$2:$AK$11,"&lt;="&amp;AB819,$AL$2:$AL$11,"&gt;="&amp;AB819)</f>
        <v/>
      </c>
      <c r="AH819" s="0">
        <f>AG819*(1-40%)</f>
        <v/>
      </c>
      <c r="AI819" s="0">
        <f>AH819*1.2</f>
        <v/>
      </c>
    </row>
    <row r="820">
      <c r="A820" s="26" t="n"/>
      <c r="B820" s="169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>
        <f>AG820</f>
        <v/>
      </c>
      <c r="T820" s="26">
        <f>AI820+Q820+P820</f>
        <v/>
      </c>
      <c r="U820" s="26" t="n"/>
      <c r="V820" s="26" t="n"/>
      <c r="W820" s="169" t="n"/>
      <c r="X820" s="26" t="n"/>
      <c r="Y820" s="26" t="n"/>
      <c r="Z820" s="26" t="n"/>
      <c r="AA820" s="26" t="n"/>
      <c r="AD820" s="0">
        <f>SUM(Y820,AA820,AC820)</f>
        <v/>
      </c>
      <c r="AE820" s="0">
        <f>X820*Y820+Z820*AA820+AB820*AC820</f>
        <v/>
      </c>
      <c r="AF820" s="0">
        <f>TEXTJOIN(", ",TRUE,IF(AND(X820&gt;0,Y820&gt;0),TEXT(X820,"0.00")&amp;"ct x "&amp;Y820,""),IF(AND(Z820&gt;0,AA820&gt;0),TEXT(Z820,"0.00")&amp;"ct x "&amp;AA820,""),IF(AND(AB820&gt;0,AC820&gt;0),TEXT(AB820,"0.00")&amp;"ct x "&amp;AC820,""))</f>
        <v/>
      </c>
      <c r="AG820" s="0">
        <f>X820*Y820*SUMIFS($AM$2:$AM$11,$AK$2:$AK$11,"&lt;="&amp;X820,$AL$2:$AL$11,"&gt;="&amp;X820)+Z820*AA820*SUMIFS($AM$2:$AM$11,$AK$2:$AK$11,"&lt;="&amp;Z820,$AL$2:$AL$11,"&gt;="&amp;Z820)+AB820*AC820*SUMIFS($AM$2:$AM$11,$AK$2:$AK$11,"&lt;="&amp;AB820,$AL$2:$AL$11,"&gt;="&amp;AB820)</f>
        <v/>
      </c>
      <c r="AH820" s="0">
        <f>AG820*(1-40%)</f>
        <v/>
      </c>
      <c r="AI820" s="0">
        <f>AH820*1.2</f>
        <v/>
      </c>
    </row>
    <row r="821">
      <c r="A821" s="26" t="n"/>
      <c r="B821" s="169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>
        <f>AG821</f>
        <v/>
      </c>
      <c r="T821" s="26">
        <f>AI821+Q821+P821</f>
        <v/>
      </c>
      <c r="U821" s="26" t="n"/>
      <c r="V821" s="26" t="n"/>
      <c r="W821" s="169" t="n"/>
      <c r="X821" s="26" t="n"/>
      <c r="Y821" s="26" t="n"/>
      <c r="Z821" s="26" t="n"/>
      <c r="AA821" s="26" t="n"/>
      <c r="AD821" s="0">
        <f>SUM(Y821,AA821,AC821)</f>
        <v/>
      </c>
      <c r="AE821" s="0">
        <f>X821*Y821+Z821*AA821+AB821*AC821</f>
        <v/>
      </c>
      <c r="AF821" s="0">
        <f>TEXTJOIN(", ",TRUE,IF(AND(X821&gt;0,Y821&gt;0),TEXT(X821,"0.00")&amp;"ct x "&amp;Y821,""),IF(AND(Z821&gt;0,AA821&gt;0),TEXT(Z821,"0.00")&amp;"ct x "&amp;AA821,""),IF(AND(AB821&gt;0,AC821&gt;0),TEXT(AB821,"0.00")&amp;"ct x "&amp;AC821,""))</f>
        <v/>
      </c>
      <c r="AG821" s="0">
        <f>X821*Y821*SUMIFS($AM$2:$AM$11,$AK$2:$AK$11,"&lt;="&amp;X821,$AL$2:$AL$11,"&gt;="&amp;X821)+Z821*AA821*SUMIFS($AM$2:$AM$11,$AK$2:$AK$11,"&lt;="&amp;Z821,$AL$2:$AL$11,"&gt;="&amp;Z821)+AB821*AC821*SUMIFS($AM$2:$AM$11,$AK$2:$AK$11,"&lt;="&amp;AB821,$AL$2:$AL$11,"&gt;="&amp;AB821)</f>
        <v/>
      </c>
      <c r="AH821" s="0">
        <f>AG821*(1-40%)</f>
        <v/>
      </c>
      <c r="AI821" s="0">
        <f>AH821*1.2</f>
        <v/>
      </c>
    </row>
    <row r="822">
      <c r="A822" s="26" t="n"/>
      <c r="B822" s="169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>
        <f>AG822</f>
        <v/>
      </c>
      <c r="T822" s="26">
        <f>AI822+Q822+P822</f>
        <v/>
      </c>
      <c r="U822" s="26" t="n"/>
      <c r="V822" s="26" t="n"/>
      <c r="W822" s="169" t="n"/>
      <c r="X822" s="26" t="n"/>
      <c r="Y822" s="26" t="n"/>
      <c r="Z822" s="26" t="n"/>
      <c r="AA822" s="26" t="n"/>
      <c r="AD822" s="0">
        <f>SUM(Y822,AA822,AC822)</f>
        <v/>
      </c>
      <c r="AE822" s="0">
        <f>X822*Y822+Z822*AA822+AB822*AC822</f>
        <v/>
      </c>
      <c r="AF822" s="0">
        <f>TEXTJOIN(", ",TRUE,IF(AND(X822&gt;0,Y822&gt;0),TEXT(X822,"0.00")&amp;"ct x "&amp;Y822,""),IF(AND(Z822&gt;0,AA822&gt;0),TEXT(Z822,"0.00")&amp;"ct x "&amp;AA822,""),IF(AND(AB822&gt;0,AC822&gt;0),TEXT(AB822,"0.00")&amp;"ct x "&amp;AC822,""))</f>
        <v/>
      </c>
      <c r="AG822" s="0">
        <f>X822*Y822*SUMIFS($AM$2:$AM$11,$AK$2:$AK$11,"&lt;="&amp;X822,$AL$2:$AL$11,"&gt;="&amp;X822)+Z822*AA822*SUMIFS($AM$2:$AM$11,$AK$2:$AK$11,"&lt;="&amp;Z822,$AL$2:$AL$11,"&gt;="&amp;Z822)+AB822*AC822*SUMIFS($AM$2:$AM$11,$AK$2:$AK$11,"&lt;="&amp;AB822,$AL$2:$AL$11,"&gt;="&amp;AB822)</f>
        <v/>
      </c>
      <c r="AH822" s="0">
        <f>AG822*(1-40%)</f>
        <v/>
      </c>
      <c r="AI822" s="0">
        <f>AH822*1.2</f>
        <v/>
      </c>
    </row>
    <row r="823">
      <c r="A823" s="26" t="n"/>
      <c r="B823" s="169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>
        <f>AG823</f>
        <v/>
      </c>
      <c r="T823" s="26">
        <f>AI823+Q823+P823</f>
        <v/>
      </c>
      <c r="U823" s="26" t="n"/>
      <c r="V823" s="26" t="n"/>
      <c r="W823" s="169" t="n"/>
      <c r="X823" s="26" t="n"/>
      <c r="Y823" s="26" t="n"/>
      <c r="Z823" s="26" t="n"/>
      <c r="AA823" s="26" t="n"/>
      <c r="AD823" s="0">
        <f>SUM(Y823,AA823,AC823)</f>
        <v/>
      </c>
      <c r="AE823" s="0">
        <f>X823*Y823+Z823*AA823+AB823*AC823</f>
        <v/>
      </c>
      <c r="AF823" s="0">
        <f>TEXTJOIN(", ",TRUE,IF(AND(X823&gt;0,Y823&gt;0),TEXT(X823,"0.00")&amp;"ct x "&amp;Y823,""),IF(AND(Z823&gt;0,AA823&gt;0),TEXT(Z823,"0.00")&amp;"ct x "&amp;AA823,""),IF(AND(AB823&gt;0,AC823&gt;0),TEXT(AB823,"0.00")&amp;"ct x "&amp;AC823,""))</f>
        <v/>
      </c>
      <c r="AG823" s="0">
        <f>X823*Y823*SUMIFS($AM$2:$AM$11,$AK$2:$AK$11,"&lt;="&amp;X823,$AL$2:$AL$11,"&gt;="&amp;X823)+Z823*AA823*SUMIFS($AM$2:$AM$11,$AK$2:$AK$11,"&lt;="&amp;Z823,$AL$2:$AL$11,"&gt;="&amp;Z823)+AB823*AC823*SUMIFS($AM$2:$AM$11,$AK$2:$AK$11,"&lt;="&amp;AB823,$AL$2:$AL$11,"&gt;="&amp;AB823)</f>
        <v/>
      </c>
      <c r="AH823" s="0">
        <f>AG823*(1-40%)</f>
        <v/>
      </c>
      <c r="AI823" s="0">
        <f>AH823*1.2</f>
        <v/>
      </c>
    </row>
    <row r="824">
      <c r="A824" s="26" t="n"/>
      <c r="B824" s="169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>
        <f>AG824</f>
        <v/>
      </c>
      <c r="T824" s="26">
        <f>AI824+Q824+P824</f>
        <v/>
      </c>
      <c r="U824" s="26" t="n"/>
      <c r="V824" s="26" t="n"/>
      <c r="W824" s="169" t="n"/>
      <c r="X824" s="26" t="n"/>
      <c r="Y824" s="26" t="n"/>
      <c r="Z824" s="26" t="n"/>
      <c r="AA824" s="26" t="n"/>
      <c r="AD824" s="0">
        <f>SUM(Y824,AA824,AC824)</f>
        <v/>
      </c>
      <c r="AE824" s="0">
        <f>X824*Y824+Z824*AA824+AB824*AC824</f>
        <v/>
      </c>
      <c r="AF824" s="0">
        <f>TEXTJOIN(", ",TRUE,IF(AND(X824&gt;0,Y824&gt;0),TEXT(X824,"0.00")&amp;"ct x "&amp;Y824,""),IF(AND(Z824&gt;0,AA824&gt;0),TEXT(Z824,"0.00")&amp;"ct x "&amp;AA824,""),IF(AND(AB824&gt;0,AC824&gt;0),TEXT(AB824,"0.00")&amp;"ct x "&amp;AC824,""))</f>
        <v/>
      </c>
      <c r="AG824" s="0">
        <f>X824*Y824*SUMIFS($AM$2:$AM$11,$AK$2:$AK$11,"&lt;="&amp;X824,$AL$2:$AL$11,"&gt;="&amp;X824)+Z824*AA824*SUMIFS($AM$2:$AM$11,$AK$2:$AK$11,"&lt;="&amp;Z824,$AL$2:$AL$11,"&gt;="&amp;Z824)+AB824*AC824*SUMIFS($AM$2:$AM$11,$AK$2:$AK$11,"&lt;="&amp;AB824,$AL$2:$AL$11,"&gt;="&amp;AB824)</f>
        <v/>
      </c>
      <c r="AH824" s="0">
        <f>AG824*(1-40%)</f>
        <v/>
      </c>
      <c r="AI824" s="0">
        <f>AH824*1.2</f>
        <v/>
      </c>
    </row>
    <row r="825">
      <c r="A825" s="26" t="n"/>
      <c r="B825" s="169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>
        <f>AG825</f>
        <v/>
      </c>
      <c r="T825" s="26">
        <f>AI825+Q825+P825</f>
        <v/>
      </c>
      <c r="U825" s="26" t="n"/>
      <c r="V825" s="26" t="n"/>
      <c r="W825" s="169" t="n"/>
      <c r="X825" s="26" t="n"/>
      <c r="Y825" s="26" t="n"/>
      <c r="Z825" s="26" t="n"/>
      <c r="AA825" s="26" t="n"/>
      <c r="AD825" s="0">
        <f>SUM(Y825,AA825,AC825)</f>
        <v/>
      </c>
      <c r="AE825" s="0">
        <f>X825*Y825+Z825*AA825+AB825*AC825</f>
        <v/>
      </c>
      <c r="AF825" s="0">
        <f>TEXTJOIN(", ",TRUE,IF(AND(X825&gt;0,Y825&gt;0),TEXT(X825,"0.00")&amp;"ct x "&amp;Y825,""),IF(AND(Z825&gt;0,AA825&gt;0),TEXT(Z825,"0.00")&amp;"ct x "&amp;AA825,""),IF(AND(AB825&gt;0,AC825&gt;0),TEXT(AB825,"0.00")&amp;"ct x "&amp;AC825,""))</f>
        <v/>
      </c>
      <c r="AG825" s="0">
        <f>X825*Y825*SUMIFS($AM$2:$AM$11,$AK$2:$AK$11,"&lt;="&amp;X825,$AL$2:$AL$11,"&gt;="&amp;X825)+Z825*AA825*SUMIFS($AM$2:$AM$11,$AK$2:$AK$11,"&lt;="&amp;Z825,$AL$2:$AL$11,"&gt;="&amp;Z825)+AB825*AC825*SUMIFS($AM$2:$AM$11,$AK$2:$AK$11,"&lt;="&amp;AB825,$AL$2:$AL$11,"&gt;="&amp;AB825)</f>
        <v/>
      </c>
      <c r="AH825" s="0">
        <f>AG825*(1-40%)</f>
        <v/>
      </c>
      <c r="AI825" s="0">
        <f>AH825*1.2</f>
        <v/>
      </c>
    </row>
    <row r="826">
      <c r="A826" s="26" t="n"/>
      <c r="B826" s="169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>
        <f>AG826</f>
        <v/>
      </c>
      <c r="T826" s="26">
        <f>AI826+Q826+P826</f>
        <v/>
      </c>
      <c r="U826" s="26" t="n"/>
      <c r="V826" s="26" t="n"/>
      <c r="W826" s="169" t="n"/>
      <c r="X826" s="26" t="n"/>
      <c r="Y826" s="26" t="n"/>
      <c r="Z826" s="26" t="n"/>
      <c r="AA826" s="26" t="n"/>
      <c r="AD826" s="0">
        <f>SUM(Y826,AA826,AC826)</f>
        <v/>
      </c>
      <c r="AE826" s="0">
        <f>X826*Y826+Z826*AA826+AB826*AC826</f>
        <v/>
      </c>
      <c r="AF826" s="0">
        <f>TEXTJOIN(", ",TRUE,IF(AND(X826&gt;0,Y826&gt;0),TEXT(X826,"0.00")&amp;"ct x "&amp;Y826,""),IF(AND(Z826&gt;0,AA826&gt;0),TEXT(Z826,"0.00")&amp;"ct x "&amp;AA826,""),IF(AND(AB826&gt;0,AC826&gt;0),TEXT(AB826,"0.00")&amp;"ct x "&amp;AC826,""))</f>
        <v/>
      </c>
      <c r="AG826" s="0">
        <f>X826*Y826*SUMIFS($AM$2:$AM$11,$AK$2:$AK$11,"&lt;="&amp;X826,$AL$2:$AL$11,"&gt;="&amp;X826)+Z826*AA826*SUMIFS($AM$2:$AM$11,$AK$2:$AK$11,"&lt;="&amp;Z826,$AL$2:$AL$11,"&gt;="&amp;Z826)+AB826*AC826*SUMIFS($AM$2:$AM$11,$AK$2:$AK$11,"&lt;="&amp;AB826,$AL$2:$AL$11,"&gt;="&amp;AB826)</f>
        <v/>
      </c>
      <c r="AH826" s="0">
        <f>AG826*(1-40%)</f>
        <v/>
      </c>
      <c r="AI826" s="0">
        <f>AH826*1.2</f>
        <v/>
      </c>
    </row>
    <row r="827">
      <c r="A827" s="26" t="n"/>
      <c r="B827" s="169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>
        <f>AG827</f>
        <v/>
      </c>
      <c r="T827" s="26">
        <f>AI827+Q827+P827</f>
        <v/>
      </c>
      <c r="U827" s="26" t="n"/>
      <c r="V827" s="26" t="n"/>
      <c r="W827" s="169" t="n"/>
      <c r="X827" s="26" t="n"/>
      <c r="Y827" s="26" t="n"/>
      <c r="Z827" s="26" t="n"/>
      <c r="AA827" s="26" t="n"/>
      <c r="AD827" s="0">
        <f>SUM(Y827,AA827,AC827)</f>
        <v/>
      </c>
      <c r="AE827" s="0">
        <f>X827*Y827+Z827*AA827+AB827*AC827</f>
        <v/>
      </c>
      <c r="AF827" s="0">
        <f>TEXTJOIN(", ",TRUE,IF(AND(X827&gt;0,Y827&gt;0),TEXT(X827,"0.00")&amp;"ct x "&amp;Y827,""),IF(AND(Z827&gt;0,AA827&gt;0),TEXT(Z827,"0.00")&amp;"ct x "&amp;AA827,""),IF(AND(AB827&gt;0,AC827&gt;0),TEXT(AB827,"0.00")&amp;"ct x "&amp;AC827,""))</f>
        <v/>
      </c>
      <c r="AG827" s="0">
        <f>X827*Y827*SUMIFS($AM$2:$AM$11,$AK$2:$AK$11,"&lt;="&amp;X827,$AL$2:$AL$11,"&gt;="&amp;X827)+Z827*AA827*SUMIFS($AM$2:$AM$11,$AK$2:$AK$11,"&lt;="&amp;Z827,$AL$2:$AL$11,"&gt;="&amp;Z827)+AB827*AC827*SUMIFS($AM$2:$AM$11,$AK$2:$AK$11,"&lt;="&amp;AB827,$AL$2:$AL$11,"&gt;="&amp;AB827)</f>
        <v/>
      </c>
      <c r="AH827" s="0">
        <f>AG827*(1-40%)</f>
        <v/>
      </c>
      <c r="AI827" s="0">
        <f>AH827*1.2</f>
        <v/>
      </c>
    </row>
    <row r="828">
      <c r="A828" s="26" t="n"/>
      <c r="B828" s="169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>
        <f>AG828</f>
        <v/>
      </c>
      <c r="T828" s="26">
        <f>AI828+Q828+P828</f>
        <v/>
      </c>
      <c r="U828" s="26" t="n"/>
      <c r="V828" s="26" t="n"/>
      <c r="W828" s="169" t="n"/>
      <c r="X828" s="26" t="n"/>
      <c r="Y828" s="26" t="n"/>
      <c r="Z828" s="26" t="n"/>
      <c r="AA828" s="26" t="n"/>
      <c r="AD828" s="0">
        <f>SUM(Y828,AA828,AC828)</f>
        <v/>
      </c>
      <c r="AE828" s="0">
        <f>X828*Y828+Z828*AA828+AB828*AC828</f>
        <v/>
      </c>
      <c r="AF828" s="0">
        <f>TEXTJOIN(", ",TRUE,IF(AND(X828&gt;0,Y828&gt;0),TEXT(X828,"0.00")&amp;"ct x "&amp;Y828,""),IF(AND(Z828&gt;0,AA828&gt;0),TEXT(Z828,"0.00")&amp;"ct x "&amp;AA828,""),IF(AND(AB828&gt;0,AC828&gt;0),TEXT(AB828,"0.00")&amp;"ct x "&amp;AC828,""))</f>
        <v/>
      </c>
      <c r="AG828" s="0">
        <f>X828*Y828*SUMIFS($AM$2:$AM$11,$AK$2:$AK$11,"&lt;="&amp;X828,$AL$2:$AL$11,"&gt;="&amp;X828)+Z828*AA828*SUMIFS($AM$2:$AM$11,$AK$2:$AK$11,"&lt;="&amp;Z828,$AL$2:$AL$11,"&gt;="&amp;Z828)+AB828*AC828*SUMIFS($AM$2:$AM$11,$AK$2:$AK$11,"&lt;="&amp;AB828,$AL$2:$AL$11,"&gt;="&amp;AB828)</f>
        <v/>
      </c>
      <c r="AH828" s="0">
        <f>AG828*(1-40%)</f>
        <v/>
      </c>
      <c r="AI828" s="0">
        <f>AH828*1.2</f>
        <v/>
      </c>
    </row>
    <row r="829">
      <c r="A829" s="26" t="n"/>
      <c r="B829" s="169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>
        <f>AG829</f>
        <v/>
      </c>
      <c r="T829" s="26">
        <f>AI829+Q829+P829</f>
        <v/>
      </c>
      <c r="U829" s="26" t="n"/>
      <c r="V829" s="26" t="n"/>
      <c r="W829" s="169" t="n"/>
      <c r="X829" s="26" t="n"/>
      <c r="Y829" s="26" t="n"/>
      <c r="Z829" s="26" t="n"/>
      <c r="AA829" s="26" t="n"/>
      <c r="AD829" s="0">
        <f>SUM(Y829,AA829,AC829)</f>
        <v/>
      </c>
      <c r="AE829" s="0">
        <f>X829*Y829+Z829*AA829+AB829*AC829</f>
        <v/>
      </c>
      <c r="AF829" s="0">
        <f>TEXTJOIN(", ",TRUE,IF(AND(X829&gt;0,Y829&gt;0),TEXT(X829,"0.00")&amp;"ct x "&amp;Y829,""),IF(AND(Z829&gt;0,AA829&gt;0),TEXT(Z829,"0.00")&amp;"ct x "&amp;AA829,""),IF(AND(AB829&gt;0,AC829&gt;0),TEXT(AB829,"0.00")&amp;"ct x "&amp;AC829,""))</f>
        <v/>
      </c>
      <c r="AG829" s="0">
        <f>X829*Y829*SUMIFS($AM$2:$AM$11,$AK$2:$AK$11,"&lt;="&amp;X829,$AL$2:$AL$11,"&gt;="&amp;X829)+Z829*AA829*SUMIFS($AM$2:$AM$11,$AK$2:$AK$11,"&lt;="&amp;Z829,$AL$2:$AL$11,"&gt;="&amp;Z829)+AB829*AC829*SUMIFS($AM$2:$AM$11,$AK$2:$AK$11,"&lt;="&amp;AB829,$AL$2:$AL$11,"&gt;="&amp;AB829)</f>
        <v/>
      </c>
      <c r="AH829" s="0">
        <f>AG829*(1-40%)</f>
        <v/>
      </c>
      <c r="AI829" s="0">
        <f>AH829*1.2</f>
        <v/>
      </c>
    </row>
    <row r="830">
      <c r="A830" s="26" t="n"/>
      <c r="B830" s="169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>
        <f>AG830</f>
        <v/>
      </c>
      <c r="T830" s="26">
        <f>AI830+Q830+P830</f>
        <v/>
      </c>
      <c r="U830" s="26" t="n"/>
      <c r="V830" s="26" t="n"/>
      <c r="W830" s="169" t="n"/>
      <c r="X830" s="26" t="n"/>
      <c r="Y830" s="26" t="n"/>
      <c r="Z830" s="26" t="n"/>
      <c r="AA830" s="26" t="n"/>
      <c r="AD830" s="0">
        <f>SUM(Y830,AA830,AC830)</f>
        <v/>
      </c>
      <c r="AE830" s="0">
        <f>X830*Y830+Z830*AA830+AB830*AC830</f>
        <v/>
      </c>
      <c r="AF830" s="0">
        <f>TEXTJOIN(", ",TRUE,IF(AND(X830&gt;0,Y830&gt;0),TEXT(X830,"0.00")&amp;"ct x "&amp;Y830,""),IF(AND(Z830&gt;0,AA830&gt;0),TEXT(Z830,"0.00")&amp;"ct x "&amp;AA830,""),IF(AND(AB830&gt;0,AC830&gt;0),TEXT(AB830,"0.00")&amp;"ct x "&amp;AC830,""))</f>
        <v/>
      </c>
      <c r="AG830" s="0">
        <f>X830*Y830*SUMIFS($AM$2:$AM$11,$AK$2:$AK$11,"&lt;="&amp;X830,$AL$2:$AL$11,"&gt;="&amp;X830)+Z830*AA830*SUMIFS($AM$2:$AM$11,$AK$2:$AK$11,"&lt;="&amp;Z830,$AL$2:$AL$11,"&gt;="&amp;Z830)+AB830*AC830*SUMIFS($AM$2:$AM$11,$AK$2:$AK$11,"&lt;="&amp;AB830,$AL$2:$AL$11,"&gt;="&amp;AB830)</f>
        <v/>
      </c>
      <c r="AH830" s="0">
        <f>AG830*(1-40%)</f>
        <v/>
      </c>
      <c r="AI830" s="0">
        <f>AH830*1.2</f>
        <v/>
      </c>
    </row>
    <row r="831">
      <c r="A831" s="26" t="n"/>
      <c r="B831" s="169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>
        <f>AG831</f>
        <v/>
      </c>
      <c r="T831" s="26">
        <f>AI831+Q831+P831</f>
        <v/>
      </c>
      <c r="U831" s="26" t="n"/>
      <c r="V831" s="26" t="n"/>
      <c r="W831" s="169" t="n"/>
      <c r="X831" s="26" t="n"/>
      <c r="Y831" s="26" t="n"/>
      <c r="Z831" s="26" t="n"/>
      <c r="AA831" s="26" t="n"/>
      <c r="AD831" s="0">
        <f>SUM(Y831,AA831,AC831)</f>
        <v/>
      </c>
      <c r="AE831" s="0">
        <f>X831*Y831+Z831*AA831+AB831*AC831</f>
        <v/>
      </c>
      <c r="AF831" s="0">
        <f>TEXTJOIN(", ",TRUE,IF(AND(X831&gt;0,Y831&gt;0),TEXT(X831,"0.00")&amp;"ct x "&amp;Y831,""),IF(AND(Z831&gt;0,AA831&gt;0),TEXT(Z831,"0.00")&amp;"ct x "&amp;AA831,""),IF(AND(AB831&gt;0,AC831&gt;0),TEXT(AB831,"0.00")&amp;"ct x "&amp;AC831,""))</f>
        <v/>
      </c>
      <c r="AG831" s="0">
        <f>X831*Y831*SUMIFS($AM$2:$AM$11,$AK$2:$AK$11,"&lt;="&amp;X831,$AL$2:$AL$11,"&gt;="&amp;X831)+Z831*AA831*SUMIFS($AM$2:$AM$11,$AK$2:$AK$11,"&lt;="&amp;Z831,$AL$2:$AL$11,"&gt;="&amp;Z831)+AB831*AC831*SUMIFS($AM$2:$AM$11,$AK$2:$AK$11,"&lt;="&amp;AB831,$AL$2:$AL$11,"&gt;="&amp;AB831)</f>
        <v/>
      </c>
      <c r="AH831" s="0">
        <f>AG831*(1-40%)</f>
        <v/>
      </c>
      <c r="AI831" s="0">
        <f>AH831*1.2</f>
        <v/>
      </c>
    </row>
    <row r="832">
      <c r="A832" s="26" t="n"/>
      <c r="B832" s="169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>
        <f>AG832</f>
        <v/>
      </c>
      <c r="T832" s="26">
        <f>AI832+Q832+P832</f>
        <v/>
      </c>
      <c r="U832" s="26" t="n"/>
      <c r="V832" s="26" t="n"/>
      <c r="W832" s="169" t="n"/>
      <c r="X832" s="26" t="n"/>
      <c r="Y832" s="26" t="n"/>
      <c r="Z832" s="26" t="n"/>
      <c r="AA832" s="26" t="n"/>
      <c r="AD832" s="0">
        <f>SUM(Y832,AA832,AC832)</f>
        <v/>
      </c>
      <c r="AE832" s="0">
        <f>X832*Y832+Z832*AA832+AB832*AC832</f>
        <v/>
      </c>
      <c r="AF832" s="0">
        <f>TEXTJOIN(", ",TRUE,IF(AND(X832&gt;0,Y832&gt;0),TEXT(X832,"0.00")&amp;"ct x "&amp;Y832,""),IF(AND(Z832&gt;0,AA832&gt;0),TEXT(Z832,"0.00")&amp;"ct x "&amp;AA832,""),IF(AND(AB832&gt;0,AC832&gt;0),TEXT(AB832,"0.00")&amp;"ct x "&amp;AC832,""))</f>
        <v/>
      </c>
      <c r="AG832" s="0">
        <f>X832*Y832*SUMIFS($AM$2:$AM$11,$AK$2:$AK$11,"&lt;="&amp;X832,$AL$2:$AL$11,"&gt;="&amp;X832)+Z832*AA832*SUMIFS($AM$2:$AM$11,$AK$2:$AK$11,"&lt;="&amp;Z832,$AL$2:$AL$11,"&gt;="&amp;Z832)+AB832*AC832*SUMIFS($AM$2:$AM$11,$AK$2:$AK$11,"&lt;="&amp;AB832,$AL$2:$AL$11,"&gt;="&amp;AB832)</f>
        <v/>
      </c>
      <c r="AH832" s="0">
        <f>AG832*(1-40%)</f>
        <v/>
      </c>
      <c r="AI832" s="0">
        <f>AH832*1.2</f>
        <v/>
      </c>
    </row>
    <row r="833">
      <c r="A833" s="26" t="n"/>
      <c r="B833" s="169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>
        <f>AG833</f>
        <v/>
      </c>
      <c r="T833" s="26">
        <f>AI833+Q833+P833</f>
        <v/>
      </c>
      <c r="U833" s="26" t="n"/>
      <c r="V833" s="26" t="n"/>
      <c r="W833" s="169" t="n"/>
      <c r="X833" s="26" t="n"/>
      <c r="Y833" s="26" t="n"/>
      <c r="Z833" s="26" t="n"/>
      <c r="AA833" s="26" t="n"/>
      <c r="AD833" s="0">
        <f>SUM(Y833,AA833,AC833)</f>
        <v/>
      </c>
      <c r="AE833" s="0">
        <f>X833*Y833+Z833*AA833+AB833*AC833</f>
        <v/>
      </c>
      <c r="AF833" s="0">
        <f>TEXTJOIN(", ",TRUE,IF(AND(X833&gt;0,Y833&gt;0),TEXT(X833,"0.00")&amp;"ct x "&amp;Y833,""),IF(AND(Z833&gt;0,AA833&gt;0),TEXT(Z833,"0.00")&amp;"ct x "&amp;AA833,""),IF(AND(AB833&gt;0,AC833&gt;0),TEXT(AB833,"0.00")&amp;"ct x "&amp;AC833,""))</f>
        <v/>
      </c>
      <c r="AG833" s="0">
        <f>X833*Y833*SUMIFS($AM$2:$AM$11,$AK$2:$AK$11,"&lt;="&amp;X833,$AL$2:$AL$11,"&gt;="&amp;X833)+Z833*AA833*SUMIFS($AM$2:$AM$11,$AK$2:$AK$11,"&lt;="&amp;Z833,$AL$2:$AL$11,"&gt;="&amp;Z833)+AB833*AC833*SUMIFS($AM$2:$AM$11,$AK$2:$AK$11,"&lt;="&amp;AB833,$AL$2:$AL$11,"&gt;="&amp;AB833)</f>
        <v/>
      </c>
      <c r="AH833" s="0">
        <f>AG833*(1-40%)</f>
        <v/>
      </c>
      <c r="AI833" s="0">
        <f>AH833*1.2</f>
        <v/>
      </c>
    </row>
    <row r="834">
      <c r="A834" s="26" t="n"/>
      <c r="B834" s="169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>
        <f>AG834</f>
        <v/>
      </c>
      <c r="T834" s="26">
        <f>AI834+Q834+P834</f>
        <v/>
      </c>
      <c r="U834" s="26" t="n"/>
      <c r="V834" s="26" t="n"/>
      <c r="W834" s="169" t="n"/>
      <c r="X834" s="26" t="n"/>
      <c r="Y834" s="26" t="n"/>
      <c r="Z834" s="26" t="n"/>
      <c r="AA834" s="26" t="n"/>
      <c r="AD834" s="0">
        <f>SUM(Y834,AA834,AC834)</f>
        <v/>
      </c>
      <c r="AE834" s="0">
        <f>X834*Y834+Z834*AA834+AB834*AC834</f>
        <v/>
      </c>
      <c r="AF834" s="0">
        <f>TEXTJOIN(", ",TRUE,IF(AND(X834&gt;0,Y834&gt;0),TEXT(X834,"0.00")&amp;"ct x "&amp;Y834,""),IF(AND(Z834&gt;0,AA834&gt;0),TEXT(Z834,"0.00")&amp;"ct x "&amp;AA834,""),IF(AND(AB834&gt;0,AC834&gt;0),TEXT(AB834,"0.00")&amp;"ct x "&amp;AC834,""))</f>
        <v/>
      </c>
      <c r="AG834" s="0">
        <f>X834*Y834*SUMIFS($AM$2:$AM$11,$AK$2:$AK$11,"&lt;="&amp;X834,$AL$2:$AL$11,"&gt;="&amp;X834)+Z834*AA834*SUMIFS($AM$2:$AM$11,$AK$2:$AK$11,"&lt;="&amp;Z834,$AL$2:$AL$11,"&gt;="&amp;Z834)+AB834*AC834*SUMIFS($AM$2:$AM$11,$AK$2:$AK$11,"&lt;="&amp;AB834,$AL$2:$AL$11,"&gt;="&amp;AB834)</f>
        <v/>
      </c>
      <c r="AH834" s="0">
        <f>AG834*(1-40%)</f>
        <v/>
      </c>
      <c r="AI834" s="0">
        <f>AH834*1.2</f>
        <v/>
      </c>
    </row>
    <row r="835">
      <c r="A835" s="26" t="n"/>
      <c r="B835" s="169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>
        <f>AG835</f>
        <v/>
      </c>
      <c r="T835" s="26">
        <f>AI835+Q835+P835</f>
        <v/>
      </c>
      <c r="U835" s="26" t="n"/>
      <c r="V835" s="26" t="n"/>
      <c r="W835" s="169" t="n"/>
      <c r="X835" s="26" t="n"/>
      <c r="Y835" s="26" t="n"/>
      <c r="Z835" s="26" t="n"/>
      <c r="AA835" s="26" t="n"/>
      <c r="AD835" s="0">
        <f>SUM(Y835,AA835,AC835)</f>
        <v/>
      </c>
      <c r="AE835" s="0">
        <f>X835*Y835+Z835*AA835+AB835*AC835</f>
        <v/>
      </c>
      <c r="AF835" s="0">
        <f>TEXTJOIN(", ",TRUE,IF(AND(X835&gt;0,Y835&gt;0),TEXT(X835,"0.00")&amp;"ct x "&amp;Y835,""),IF(AND(Z835&gt;0,AA835&gt;0),TEXT(Z835,"0.00")&amp;"ct x "&amp;AA835,""),IF(AND(AB835&gt;0,AC835&gt;0),TEXT(AB835,"0.00")&amp;"ct x "&amp;AC835,""))</f>
        <v/>
      </c>
      <c r="AG835" s="0">
        <f>X835*Y835*SUMIFS($AM$2:$AM$11,$AK$2:$AK$11,"&lt;="&amp;X835,$AL$2:$AL$11,"&gt;="&amp;X835)+Z835*AA835*SUMIFS($AM$2:$AM$11,$AK$2:$AK$11,"&lt;="&amp;Z835,$AL$2:$AL$11,"&gt;="&amp;Z835)+AB835*AC835*SUMIFS($AM$2:$AM$11,$AK$2:$AK$11,"&lt;="&amp;AB835,$AL$2:$AL$11,"&gt;="&amp;AB835)</f>
        <v/>
      </c>
      <c r="AH835" s="0">
        <f>AG835*(1-40%)</f>
        <v/>
      </c>
      <c r="AI835" s="0">
        <f>AH835*1.2</f>
        <v/>
      </c>
    </row>
    <row r="836">
      <c r="A836" s="26" t="n"/>
      <c r="B836" s="169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>
        <f>AG836</f>
        <v/>
      </c>
      <c r="T836" s="26">
        <f>AI836+Q836+P836</f>
        <v/>
      </c>
      <c r="U836" s="26" t="n"/>
      <c r="V836" s="26" t="n"/>
      <c r="W836" s="169" t="n"/>
      <c r="X836" s="26" t="n"/>
      <c r="Y836" s="26" t="n"/>
      <c r="Z836" s="26" t="n"/>
      <c r="AA836" s="26" t="n"/>
      <c r="AD836" s="0">
        <f>SUM(Y836,AA836,AC836)</f>
        <v/>
      </c>
      <c r="AE836" s="0">
        <f>X836*Y836+Z836*AA836+AB836*AC836</f>
        <v/>
      </c>
      <c r="AF836" s="0">
        <f>TEXTJOIN(", ",TRUE,IF(AND(X836&gt;0,Y836&gt;0),TEXT(X836,"0.00")&amp;"ct x "&amp;Y836,""),IF(AND(Z836&gt;0,AA836&gt;0),TEXT(Z836,"0.00")&amp;"ct x "&amp;AA836,""),IF(AND(AB836&gt;0,AC836&gt;0),TEXT(AB836,"0.00")&amp;"ct x "&amp;AC836,""))</f>
        <v/>
      </c>
      <c r="AG836" s="0">
        <f>X836*Y836*SUMIFS($AM$2:$AM$11,$AK$2:$AK$11,"&lt;="&amp;X836,$AL$2:$AL$11,"&gt;="&amp;X836)+Z836*AA836*SUMIFS($AM$2:$AM$11,$AK$2:$AK$11,"&lt;="&amp;Z836,$AL$2:$AL$11,"&gt;="&amp;Z836)+AB836*AC836*SUMIFS($AM$2:$AM$11,$AK$2:$AK$11,"&lt;="&amp;AB836,$AL$2:$AL$11,"&gt;="&amp;AB836)</f>
        <v/>
      </c>
      <c r="AH836" s="0">
        <f>AG836*(1-40%)</f>
        <v/>
      </c>
      <c r="AI836" s="0">
        <f>AH836*1.2</f>
        <v/>
      </c>
    </row>
    <row r="837">
      <c r="A837" s="26" t="n"/>
      <c r="B837" s="169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>
        <f>AG837</f>
        <v/>
      </c>
      <c r="T837" s="26">
        <f>AI837+Q837+P837</f>
        <v/>
      </c>
      <c r="U837" s="26" t="n"/>
      <c r="V837" s="26" t="n"/>
      <c r="W837" s="169" t="n"/>
      <c r="X837" s="26" t="n"/>
      <c r="Y837" s="26" t="n"/>
      <c r="Z837" s="26" t="n"/>
      <c r="AA837" s="26" t="n"/>
      <c r="AD837" s="0">
        <f>SUM(Y837,AA837,AC837)</f>
        <v/>
      </c>
      <c r="AE837" s="0">
        <f>X837*Y837+Z837*AA837+AB837*AC837</f>
        <v/>
      </c>
      <c r="AF837" s="0">
        <f>TEXTJOIN(", ",TRUE,IF(AND(X837&gt;0,Y837&gt;0),TEXT(X837,"0.00")&amp;"ct x "&amp;Y837,""),IF(AND(Z837&gt;0,AA837&gt;0),TEXT(Z837,"0.00")&amp;"ct x "&amp;AA837,""),IF(AND(AB837&gt;0,AC837&gt;0),TEXT(AB837,"0.00")&amp;"ct x "&amp;AC837,""))</f>
        <v/>
      </c>
      <c r="AG837" s="0">
        <f>X837*Y837*SUMIFS($AM$2:$AM$11,$AK$2:$AK$11,"&lt;="&amp;X837,$AL$2:$AL$11,"&gt;="&amp;X837)+Z837*AA837*SUMIFS($AM$2:$AM$11,$AK$2:$AK$11,"&lt;="&amp;Z837,$AL$2:$AL$11,"&gt;="&amp;Z837)+AB837*AC837*SUMIFS($AM$2:$AM$11,$AK$2:$AK$11,"&lt;="&amp;AB837,$AL$2:$AL$11,"&gt;="&amp;AB837)</f>
        <v/>
      </c>
      <c r="AH837" s="0">
        <f>AG837*(1-40%)</f>
        <v/>
      </c>
      <c r="AI837" s="0">
        <f>AH837*1.2</f>
        <v/>
      </c>
    </row>
    <row r="838">
      <c r="A838" s="26" t="n"/>
      <c r="B838" s="169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>
        <f>AG838</f>
        <v/>
      </c>
      <c r="T838" s="26">
        <f>AI838+Q838+P838</f>
        <v/>
      </c>
      <c r="U838" s="26" t="n"/>
      <c r="V838" s="26" t="n"/>
      <c r="W838" s="169" t="n"/>
      <c r="X838" s="26" t="n"/>
      <c r="Y838" s="26" t="n"/>
      <c r="Z838" s="26" t="n"/>
      <c r="AA838" s="26" t="n"/>
      <c r="AD838" s="0">
        <f>SUM(Y838,AA838,AC838)</f>
        <v/>
      </c>
      <c r="AE838" s="0">
        <f>X838*Y838+Z838*AA838+AB838*AC838</f>
        <v/>
      </c>
      <c r="AF838" s="0">
        <f>TEXTJOIN(", ",TRUE,IF(AND(X838&gt;0,Y838&gt;0),TEXT(X838,"0.00")&amp;"ct x "&amp;Y838,""),IF(AND(Z838&gt;0,AA838&gt;0),TEXT(Z838,"0.00")&amp;"ct x "&amp;AA838,""),IF(AND(AB838&gt;0,AC838&gt;0),TEXT(AB838,"0.00")&amp;"ct x "&amp;AC838,""))</f>
        <v/>
      </c>
      <c r="AG838" s="0">
        <f>X838*Y838*SUMIFS($AM$2:$AM$11,$AK$2:$AK$11,"&lt;="&amp;X838,$AL$2:$AL$11,"&gt;="&amp;X838)+Z838*AA838*SUMIFS($AM$2:$AM$11,$AK$2:$AK$11,"&lt;="&amp;Z838,$AL$2:$AL$11,"&gt;="&amp;Z838)+AB838*AC838*SUMIFS($AM$2:$AM$11,$AK$2:$AK$11,"&lt;="&amp;AB838,$AL$2:$AL$11,"&gt;="&amp;AB838)</f>
        <v/>
      </c>
      <c r="AH838" s="0">
        <f>AG838*(1-40%)</f>
        <v/>
      </c>
      <c r="AI838" s="0">
        <f>AH838*1.2</f>
        <v/>
      </c>
    </row>
    <row r="839">
      <c r="A839" s="26" t="n"/>
      <c r="B839" s="169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>
        <f>AG839</f>
        <v/>
      </c>
      <c r="T839" s="26">
        <f>AI839+Q839+P839</f>
        <v/>
      </c>
      <c r="U839" s="26" t="n"/>
      <c r="V839" s="26" t="n"/>
      <c r="W839" s="169" t="n"/>
      <c r="X839" s="26" t="n"/>
      <c r="Y839" s="26" t="n"/>
      <c r="Z839" s="26" t="n"/>
      <c r="AA839" s="26" t="n"/>
      <c r="AD839" s="0">
        <f>SUM(Y839,AA839,AC839)</f>
        <v/>
      </c>
      <c r="AE839" s="0">
        <f>X839*Y839+Z839*AA839+AB839*AC839</f>
        <v/>
      </c>
      <c r="AF839" s="0">
        <f>TEXTJOIN(", ",TRUE,IF(AND(X839&gt;0,Y839&gt;0),TEXT(X839,"0.00")&amp;"ct x "&amp;Y839,""),IF(AND(Z839&gt;0,AA839&gt;0),TEXT(Z839,"0.00")&amp;"ct x "&amp;AA839,""),IF(AND(AB839&gt;0,AC839&gt;0),TEXT(AB839,"0.00")&amp;"ct x "&amp;AC839,""))</f>
        <v/>
      </c>
      <c r="AG839" s="0">
        <f>X839*Y839*SUMIFS($AM$2:$AM$11,$AK$2:$AK$11,"&lt;="&amp;X839,$AL$2:$AL$11,"&gt;="&amp;X839)+Z839*AA839*SUMIFS($AM$2:$AM$11,$AK$2:$AK$11,"&lt;="&amp;Z839,$AL$2:$AL$11,"&gt;="&amp;Z839)+AB839*AC839*SUMIFS($AM$2:$AM$11,$AK$2:$AK$11,"&lt;="&amp;AB839,$AL$2:$AL$11,"&gt;="&amp;AB839)</f>
        <v/>
      </c>
      <c r="AH839" s="0">
        <f>AG839*(1-40%)</f>
        <v/>
      </c>
      <c r="AI839" s="0">
        <f>AH839*1.2</f>
        <v/>
      </c>
    </row>
    <row r="840">
      <c r="A840" s="26" t="n"/>
      <c r="B840" s="169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>
        <f>AG840</f>
        <v/>
      </c>
      <c r="T840" s="26">
        <f>AI840+Q840+P840</f>
        <v/>
      </c>
      <c r="U840" s="26" t="n"/>
      <c r="V840" s="26" t="n"/>
      <c r="W840" s="169" t="n"/>
      <c r="X840" s="26" t="n"/>
      <c r="Y840" s="26" t="n"/>
      <c r="Z840" s="26" t="n"/>
      <c r="AA840" s="26" t="n"/>
      <c r="AD840" s="0">
        <f>SUM(Y840,AA840,AC840)</f>
        <v/>
      </c>
      <c r="AE840" s="0">
        <f>X840*Y840+Z840*AA840+AB840*AC840</f>
        <v/>
      </c>
      <c r="AF840" s="0">
        <f>TEXTJOIN(", ",TRUE,IF(AND(X840&gt;0,Y840&gt;0),TEXT(X840,"0.00")&amp;"ct x "&amp;Y840,""),IF(AND(Z840&gt;0,AA840&gt;0),TEXT(Z840,"0.00")&amp;"ct x "&amp;AA840,""),IF(AND(AB840&gt;0,AC840&gt;0),TEXT(AB840,"0.00")&amp;"ct x "&amp;AC840,""))</f>
        <v/>
      </c>
      <c r="AG840" s="0">
        <f>X840*Y840*SUMIFS($AM$2:$AM$11,$AK$2:$AK$11,"&lt;="&amp;X840,$AL$2:$AL$11,"&gt;="&amp;X840)+Z840*AA840*SUMIFS($AM$2:$AM$11,$AK$2:$AK$11,"&lt;="&amp;Z840,$AL$2:$AL$11,"&gt;="&amp;Z840)+AB840*AC840*SUMIFS($AM$2:$AM$11,$AK$2:$AK$11,"&lt;="&amp;AB840,$AL$2:$AL$11,"&gt;="&amp;AB840)</f>
        <v/>
      </c>
      <c r="AH840" s="0">
        <f>AG840*(1-40%)</f>
        <v/>
      </c>
      <c r="AI840" s="0">
        <f>AH840*1.2</f>
        <v/>
      </c>
    </row>
    <row r="841">
      <c r="A841" s="26" t="n"/>
      <c r="B841" s="169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>
        <f>AG841</f>
        <v/>
      </c>
      <c r="T841" s="26">
        <f>AI841+Q841+P841</f>
        <v/>
      </c>
      <c r="U841" s="26" t="n"/>
      <c r="V841" s="26" t="n"/>
      <c r="W841" s="169" t="n"/>
      <c r="X841" s="26" t="n"/>
      <c r="Y841" s="26" t="n"/>
      <c r="Z841" s="26" t="n"/>
      <c r="AA841" s="26" t="n"/>
      <c r="AD841" s="0">
        <f>SUM(Y841,AA841,AC841)</f>
        <v/>
      </c>
      <c r="AE841" s="0">
        <f>X841*Y841+Z841*AA841+AB841*AC841</f>
        <v/>
      </c>
      <c r="AF841" s="0">
        <f>TEXTJOIN(", ",TRUE,IF(AND(X841&gt;0,Y841&gt;0),TEXT(X841,"0.00")&amp;"ct x "&amp;Y841,""),IF(AND(Z841&gt;0,AA841&gt;0),TEXT(Z841,"0.00")&amp;"ct x "&amp;AA841,""),IF(AND(AB841&gt;0,AC841&gt;0),TEXT(AB841,"0.00")&amp;"ct x "&amp;AC841,""))</f>
        <v/>
      </c>
      <c r="AG841" s="0">
        <f>X841*Y841*SUMIFS($AM$2:$AM$11,$AK$2:$AK$11,"&lt;="&amp;X841,$AL$2:$AL$11,"&gt;="&amp;X841)+Z841*AA841*SUMIFS($AM$2:$AM$11,$AK$2:$AK$11,"&lt;="&amp;Z841,$AL$2:$AL$11,"&gt;="&amp;Z841)+AB841*AC841*SUMIFS($AM$2:$AM$11,$AK$2:$AK$11,"&lt;="&amp;AB841,$AL$2:$AL$11,"&gt;="&amp;AB841)</f>
        <v/>
      </c>
      <c r="AH841" s="0">
        <f>AG841*(1-40%)</f>
        <v/>
      </c>
      <c r="AI841" s="0">
        <f>AH841*1.2</f>
        <v/>
      </c>
    </row>
    <row r="842">
      <c r="A842" s="26" t="n"/>
      <c r="B842" s="169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>
        <f>AG842</f>
        <v/>
      </c>
      <c r="T842" s="26">
        <f>AI842+Q842+P842</f>
        <v/>
      </c>
      <c r="U842" s="26" t="n"/>
      <c r="V842" s="26" t="n"/>
      <c r="W842" s="169" t="n"/>
      <c r="X842" s="26" t="n"/>
      <c r="Y842" s="26" t="n"/>
      <c r="Z842" s="26" t="n"/>
      <c r="AA842" s="26" t="n"/>
      <c r="AD842" s="0">
        <f>SUM(Y842,AA842,AC842)</f>
        <v/>
      </c>
      <c r="AE842" s="0">
        <f>X842*Y842+Z842*AA842+AB842*AC842</f>
        <v/>
      </c>
      <c r="AF842" s="0">
        <f>TEXTJOIN(", ",TRUE,IF(AND(X842&gt;0,Y842&gt;0),TEXT(X842,"0.00")&amp;"ct x "&amp;Y842,""),IF(AND(Z842&gt;0,AA842&gt;0),TEXT(Z842,"0.00")&amp;"ct x "&amp;AA842,""),IF(AND(AB842&gt;0,AC842&gt;0),TEXT(AB842,"0.00")&amp;"ct x "&amp;AC842,""))</f>
        <v/>
      </c>
      <c r="AG842" s="0">
        <f>X842*Y842*SUMIFS($AM$2:$AM$11,$AK$2:$AK$11,"&lt;="&amp;X842,$AL$2:$AL$11,"&gt;="&amp;X842)+Z842*AA842*SUMIFS($AM$2:$AM$11,$AK$2:$AK$11,"&lt;="&amp;Z842,$AL$2:$AL$11,"&gt;="&amp;Z842)+AB842*AC842*SUMIFS($AM$2:$AM$11,$AK$2:$AK$11,"&lt;="&amp;AB842,$AL$2:$AL$11,"&gt;="&amp;AB842)</f>
        <v/>
      </c>
      <c r="AH842" s="0">
        <f>AG842*(1-40%)</f>
        <v/>
      </c>
      <c r="AI842" s="0">
        <f>AH842*1.2</f>
        <v/>
      </c>
    </row>
    <row r="843">
      <c r="A843" s="26" t="n"/>
      <c r="B843" s="169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>
        <f>AG843</f>
        <v/>
      </c>
      <c r="T843" s="26">
        <f>AI843+Q843+P843</f>
        <v/>
      </c>
      <c r="U843" s="26" t="n"/>
      <c r="V843" s="26" t="n"/>
      <c r="W843" s="169" t="n"/>
      <c r="X843" s="26" t="n"/>
      <c r="Y843" s="26" t="n"/>
      <c r="Z843" s="26" t="n"/>
      <c r="AA843" s="26" t="n"/>
      <c r="AD843" s="0">
        <f>SUM(Y843,AA843,AC843)</f>
        <v/>
      </c>
      <c r="AE843" s="0">
        <f>X843*Y843+Z843*AA843+AB843*AC843</f>
        <v/>
      </c>
      <c r="AF843" s="0">
        <f>TEXTJOIN(", ",TRUE,IF(AND(X843&gt;0,Y843&gt;0),TEXT(X843,"0.00")&amp;"ct x "&amp;Y843,""),IF(AND(Z843&gt;0,AA843&gt;0),TEXT(Z843,"0.00")&amp;"ct x "&amp;AA843,""),IF(AND(AB843&gt;0,AC843&gt;0),TEXT(AB843,"0.00")&amp;"ct x "&amp;AC843,""))</f>
        <v/>
      </c>
      <c r="AG843" s="0">
        <f>X843*Y843*SUMIFS($AM$2:$AM$11,$AK$2:$AK$11,"&lt;="&amp;X843,$AL$2:$AL$11,"&gt;="&amp;X843)+Z843*AA843*SUMIFS($AM$2:$AM$11,$AK$2:$AK$11,"&lt;="&amp;Z843,$AL$2:$AL$11,"&gt;="&amp;Z843)+AB843*AC843*SUMIFS($AM$2:$AM$11,$AK$2:$AK$11,"&lt;="&amp;AB843,$AL$2:$AL$11,"&gt;="&amp;AB843)</f>
        <v/>
      </c>
      <c r="AH843" s="0">
        <f>AG843*(1-40%)</f>
        <v/>
      </c>
      <c r="AI843" s="0">
        <f>AH843*1.2</f>
        <v/>
      </c>
    </row>
    <row r="844">
      <c r="A844" s="26" t="n"/>
      <c r="B844" s="169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>
        <f>AG844</f>
        <v/>
      </c>
      <c r="T844" s="26">
        <f>AI844+Q844+P844</f>
        <v/>
      </c>
      <c r="U844" s="26" t="n"/>
      <c r="V844" s="26" t="n"/>
      <c r="W844" s="169" t="n"/>
      <c r="X844" s="26" t="n"/>
      <c r="Y844" s="26" t="n"/>
      <c r="Z844" s="26" t="n"/>
      <c r="AA844" s="26" t="n"/>
      <c r="AD844" s="0">
        <f>SUM(Y844,AA844,AC844)</f>
        <v/>
      </c>
      <c r="AE844" s="0">
        <f>X844*Y844+Z844*AA844+AB844*AC844</f>
        <v/>
      </c>
      <c r="AF844" s="0">
        <f>TEXTJOIN(", ",TRUE,IF(AND(X844&gt;0,Y844&gt;0),TEXT(X844,"0.00")&amp;"ct x "&amp;Y844,""),IF(AND(Z844&gt;0,AA844&gt;0),TEXT(Z844,"0.00")&amp;"ct x "&amp;AA844,""),IF(AND(AB844&gt;0,AC844&gt;0),TEXT(AB844,"0.00")&amp;"ct x "&amp;AC844,""))</f>
        <v/>
      </c>
      <c r="AG844" s="0">
        <f>X844*Y844*SUMIFS($AM$2:$AM$11,$AK$2:$AK$11,"&lt;="&amp;X844,$AL$2:$AL$11,"&gt;="&amp;X844)+Z844*AA844*SUMIFS($AM$2:$AM$11,$AK$2:$AK$11,"&lt;="&amp;Z844,$AL$2:$AL$11,"&gt;="&amp;Z844)+AB844*AC844*SUMIFS($AM$2:$AM$11,$AK$2:$AK$11,"&lt;="&amp;AB844,$AL$2:$AL$11,"&gt;="&amp;AB844)</f>
        <v/>
      </c>
      <c r="AH844" s="0">
        <f>AG844*(1-40%)</f>
        <v/>
      </c>
      <c r="AI844" s="0">
        <f>AH844*1.2</f>
        <v/>
      </c>
    </row>
    <row r="845">
      <c r="A845" s="26" t="n"/>
      <c r="B845" s="169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>
        <f>AG845</f>
        <v/>
      </c>
      <c r="T845" s="26">
        <f>AI845+Q845+P845</f>
        <v/>
      </c>
      <c r="U845" s="26" t="n"/>
      <c r="V845" s="26" t="n"/>
      <c r="W845" s="169" t="n"/>
      <c r="X845" s="26" t="n"/>
      <c r="Y845" s="26" t="n"/>
      <c r="Z845" s="26" t="n"/>
      <c r="AA845" s="26" t="n"/>
      <c r="AD845" s="0">
        <f>SUM(Y845,AA845,AC845)</f>
        <v/>
      </c>
      <c r="AE845" s="0">
        <f>X845*Y845+Z845*AA845+AB845*AC845</f>
        <v/>
      </c>
      <c r="AF845" s="0">
        <f>TEXTJOIN(", ",TRUE,IF(AND(X845&gt;0,Y845&gt;0),TEXT(X845,"0.00")&amp;"ct x "&amp;Y845,""),IF(AND(Z845&gt;0,AA845&gt;0),TEXT(Z845,"0.00")&amp;"ct x "&amp;AA845,""),IF(AND(AB845&gt;0,AC845&gt;0),TEXT(AB845,"0.00")&amp;"ct x "&amp;AC845,""))</f>
        <v/>
      </c>
      <c r="AG845" s="0">
        <f>X845*Y845*SUMIFS($AM$2:$AM$11,$AK$2:$AK$11,"&lt;="&amp;X845,$AL$2:$AL$11,"&gt;="&amp;X845)+Z845*AA845*SUMIFS($AM$2:$AM$11,$AK$2:$AK$11,"&lt;="&amp;Z845,$AL$2:$AL$11,"&gt;="&amp;Z845)+AB845*AC845*SUMIFS($AM$2:$AM$11,$AK$2:$AK$11,"&lt;="&amp;AB845,$AL$2:$AL$11,"&gt;="&amp;AB845)</f>
        <v/>
      </c>
      <c r="AH845" s="0">
        <f>AG845*(1-40%)</f>
        <v/>
      </c>
      <c r="AI845" s="0">
        <f>AH845*1.2</f>
        <v/>
      </c>
    </row>
    <row r="846">
      <c r="A846" s="26" t="n"/>
      <c r="B846" s="169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>
        <f>AG846</f>
        <v/>
      </c>
      <c r="T846" s="26">
        <f>AI846+Q846+P846</f>
        <v/>
      </c>
      <c r="U846" s="26" t="n"/>
      <c r="V846" s="26" t="n"/>
      <c r="W846" s="169" t="n"/>
      <c r="X846" s="26" t="n"/>
      <c r="Y846" s="26" t="n"/>
      <c r="Z846" s="26" t="n"/>
      <c r="AA846" s="26" t="n"/>
      <c r="AD846" s="0">
        <f>SUM(Y846,AA846,AC846)</f>
        <v/>
      </c>
      <c r="AE846" s="0">
        <f>X846*Y846+Z846*AA846+AB846*AC846</f>
        <v/>
      </c>
      <c r="AF846" s="0">
        <f>TEXTJOIN(", ",TRUE,IF(AND(X846&gt;0,Y846&gt;0),TEXT(X846,"0.00")&amp;"ct x "&amp;Y846,""),IF(AND(Z846&gt;0,AA846&gt;0),TEXT(Z846,"0.00")&amp;"ct x "&amp;AA846,""),IF(AND(AB846&gt;0,AC846&gt;0),TEXT(AB846,"0.00")&amp;"ct x "&amp;AC846,""))</f>
        <v/>
      </c>
      <c r="AG846" s="0">
        <f>X846*Y846*SUMIFS($AM$2:$AM$11,$AK$2:$AK$11,"&lt;="&amp;X846,$AL$2:$AL$11,"&gt;="&amp;X846)+Z846*AA846*SUMIFS($AM$2:$AM$11,$AK$2:$AK$11,"&lt;="&amp;Z846,$AL$2:$AL$11,"&gt;="&amp;Z846)+AB846*AC846*SUMIFS($AM$2:$AM$11,$AK$2:$AK$11,"&lt;="&amp;AB846,$AL$2:$AL$11,"&gt;="&amp;AB846)</f>
        <v/>
      </c>
      <c r="AH846" s="0">
        <f>AG846*(1-40%)</f>
        <v/>
      </c>
      <c r="AI846" s="0">
        <f>AH846*1.2</f>
        <v/>
      </c>
    </row>
    <row r="847">
      <c r="A847" s="26" t="n"/>
      <c r="B847" s="169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>
        <f>AG847</f>
        <v/>
      </c>
      <c r="T847" s="26">
        <f>AI847+Q847+P847</f>
        <v/>
      </c>
      <c r="U847" s="26" t="n"/>
      <c r="V847" s="26" t="n"/>
      <c r="W847" s="169" t="n"/>
      <c r="X847" s="26" t="n"/>
      <c r="Y847" s="26" t="n"/>
      <c r="Z847" s="26" t="n"/>
      <c r="AA847" s="26" t="n"/>
      <c r="AD847" s="0">
        <f>SUM(Y847,AA847,AC847)</f>
        <v/>
      </c>
      <c r="AE847" s="0">
        <f>X847*Y847+Z847*AA847+AB847*AC847</f>
        <v/>
      </c>
      <c r="AF847" s="0">
        <f>TEXTJOIN(", ",TRUE,IF(AND(X847&gt;0,Y847&gt;0),TEXT(X847,"0.00")&amp;"ct x "&amp;Y847,""),IF(AND(Z847&gt;0,AA847&gt;0),TEXT(Z847,"0.00")&amp;"ct x "&amp;AA847,""),IF(AND(AB847&gt;0,AC847&gt;0),TEXT(AB847,"0.00")&amp;"ct x "&amp;AC847,""))</f>
        <v/>
      </c>
      <c r="AG847" s="0">
        <f>X847*Y847*SUMIFS($AM$2:$AM$11,$AK$2:$AK$11,"&lt;="&amp;X847,$AL$2:$AL$11,"&gt;="&amp;X847)+Z847*AA847*SUMIFS($AM$2:$AM$11,$AK$2:$AK$11,"&lt;="&amp;Z847,$AL$2:$AL$11,"&gt;="&amp;Z847)+AB847*AC847*SUMIFS($AM$2:$AM$11,$AK$2:$AK$11,"&lt;="&amp;AB847,$AL$2:$AL$11,"&gt;="&amp;AB847)</f>
        <v/>
      </c>
      <c r="AH847" s="0">
        <f>AG847*(1-40%)</f>
        <v/>
      </c>
      <c r="AI847" s="0">
        <f>AH847*1.2</f>
        <v/>
      </c>
    </row>
    <row r="848">
      <c r="A848" s="26" t="n"/>
      <c r="B848" s="169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>
        <f>AG848</f>
        <v/>
      </c>
      <c r="T848" s="26">
        <f>AI848+Q848+P848</f>
        <v/>
      </c>
      <c r="U848" s="26" t="n"/>
      <c r="V848" s="26" t="n"/>
      <c r="W848" s="169" t="n"/>
      <c r="X848" s="26" t="n"/>
      <c r="Y848" s="26" t="n"/>
      <c r="Z848" s="26" t="n"/>
      <c r="AA848" s="26" t="n"/>
      <c r="AD848" s="0">
        <f>SUM(Y848,AA848,AC848)</f>
        <v/>
      </c>
      <c r="AE848" s="0">
        <f>X848*Y848+Z848*AA848+AB848*AC848</f>
        <v/>
      </c>
      <c r="AF848" s="0">
        <f>TEXTJOIN(", ",TRUE,IF(AND(X848&gt;0,Y848&gt;0),TEXT(X848,"0.00")&amp;"ct x "&amp;Y848,""),IF(AND(Z848&gt;0,AA848&gt;0),TEXT(Z848,"0.00")&amp;"ct x "&amp;AA848,""),IF(AND(AB848&gt;0,AC848&gt;0),TEXT(AB848,"0.00")&amp;"ct x "&amp;AC848,""))</f>
        <v/>
      </c>
      <c r="AG848" s="0">
        <f>X848*Y848*SUMIFS($AM$2:$AM$11,$AK$2:$AK$11,"&lt;="&amp;X848,$AL$2:$AL$11,"&gt;="&amp;X848)+Z848*AA848*SUMIFS($AM$2:$AM$11,$AK$2:$AK$11,"&lt;="&amp;Z848,$AL$2:$AL$11,"&gt;="&amp;Z848)+AB848*AC848*SUMIFS($AM$2:$AM$11,$AK$2:$AK$11,"&lt;="&amp;AB848,$AL$2:$AL$11,"&gt;="&amp;AB848)</f>
        <v/>
      </c>
      <c r="AH848" s="0">
        <f>AG848*(1-40%)</f>
        <v/>
      </c>
      <c r="AI848" s="0">
        <f>AH848*1.2</f>
        <v/>
      </c>
    </row>
    <row r="849">
      <c r="A849" s="26" t="n"/>
      <c r="B849" s="169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>
        <f>AG849</f>
        <v/>
      </c>
      <c r="T849" s="26">
        <f>AI849+Q849+P849</f>
        <v/>
      </c>
      <c r="U849" s="26" t="n"/>
      <c r="V849" s="26" t="n"/>
      <c r="W849" s="169" t="n"/>
      <c r="X849" s="26" t="n"/>
      <c r="Y849" s="26" t="n"/>
      <c r="Z849" s="26" t="n"/>
      <c r="AA849" s="26" t="n"/>
      <c r="AD849" s="0">
        <f>SUM(Y849,AA849,AC849)</f>
        <v/>
      </c>
      <c r="AE849" s="0">
        <f>X849*Y849+Z849*AA849+AB849*AC849</f>
        <v/>
      </c>
      <c r="AF849" s="0">
        <f>TEXTJOIN(", ",TRUE,IF(AND(X849&gt;0,Y849&gt;0),TEXT(X849,"0.00")&amp;"ct x "&amp;Y849,""),IF(AND(Z849&gt;0,AA849&gt;0),TEXT(Z849,"0.00")&amp;"ct x "&amp;AA849,""),IF(AND(AB849&gt;0,AC849&gt;0),TEXT(AB849,"0.00")&amp;"ct x "&amp;AC849,""))</f>
        <v/>
      </c>
      <c r="AG849" s="0">
        <f>X849*Y849*SUMIFS($AM$2:$AM$11,$AK$2:$AK$11,"&lt;="&amp;X849,$AL$2:$AL$11,"&gt;="&amp;X849)+Z849*AA849*SUMIFS($AM$2:$AM$11,$AK$2:$AK$11,"&lt;="&amp;Z849,$AL$2:$AL$11,"&gt;="&amp;Z849)+AB849*AC849*SUMIFS($AM$2:$AM$11,$AK$2:$AK$11,"&lt;="&amp;AB849,$AL$2:$AL$11,"&gt;="&amp;AB849)</f>
        <v/>
      </c>
      <c r="AH849" s="0">
        <f>AG849*(1-40%)</f>
        <v/>
      </c>
      <c r="AI849" s="0">
        <f>AH849*1.2</f>
        <v/>
      </c>
    </row>
    <row r="850">
      <c r="A850" s="26" t="n"/>
      <c r="B850" s="169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>
        <f>AG850</f>
        <v/>
      </c>
      <c r="T850" s="26">
        <f>AI850+Q850+P850</f>
        <v/>
      </c>
      <c r="U850" s="26" t="n"/>
      <c r="V850" s="26" t="n"/>
      <c r="W850" s="169" t="n"/>
      <c r="X850" s="26" t="n"/>
      <c r="Y850" s="26" t="n"/>
      <c r="Z850" s="26" t="n"/>
      <c r="AA850" s="26" t="n"/>
      <c r="AD850" s="0">
        <f>SUM(Y850,AA850,AC850)</f>
        <v/>
      </c>
      <c r="AE850" s="0">
        <f>X850*Y850+Z850*AA850+AB850*AC850</f>
        <v/>
      </c>
      <c r="AF850" s="0">
        <f>TEXTJOIN(", ",TRUE,IF(AND(X850&gt;0,Y850&gt;0),TEXT(X850,"0.00")&amp;"ct x "&amp;Y850,""),IF(AND(Z850&gt;0,AA850&gt;0),TEXT(Z850,"0.00")&amp;"ct x "&amp;AA850,""),IF(AND(AB850&gt;0,AC850&gt;0),TEXT(AB850,"0.00")&amp;"ct x "&amp;AC850,""))</f>
        <v/>
      </c>
      <c r="AG850" s="0">
        <f>X850*Y850*SUMIFS($AM$2:$AM$11,$AK$2:$AK$11,"&lt;="&amp;X850,$AL$2:$AL$11,"&gt;="&amp;X850)+Z850*AA850*SUMIFS($AM$2:$AM$11,$AK$2:$AK$11,"&lt;="&amp;Z850,$AL$2:$AL$11,"&gt;="&amp;Z850)+AB850*AC850*SUMIFS($AM$2:$AM$11,$AK$2:$AK$11,"&lt;="&amp;AB850,$AL$2:$AL$11,"&gt;="&amp;AB850)</f>
        <v/>
      </c>
      <c r="AH850" s="0">
        <f>AG850*(1-40%)</f>
        <v/>
      </c>
      <c r="AI850" s="0">
        <f>AH850*1.2</f>
        <v/>
      </c>
    </row>
    <row r="851">
      <c r="A851" s="26" t="n"/>
      <c r="B851" s="169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>
        <f>AG851</f>
        <v/>
      </c>
      <c r="T851" s="26">
        <f>AI851+Q851+P851</f>
        <v/>
      </c>
      <c r="U851" s="26" t="n"/>
      <c r="V851" s="26" t="n"/>
      <c r="W851" s="169" t="n"/>
      <c r="X851" s="26" t="n"/>
      <c r="Y851" s="26" t="n"/>
      <c r="Z851" s="26" t="n"/>
      <c r="AA851" s="26" t="n"/>
      <c r="AD851" s="0">
        <f>SUM(Y851,AA851,AC851)</f>
        <v/>
      </c>
      <c r="AE851" s="0">
        <f>X851*Y851+Z851*AA851+AB851*AC851</f>
        <v/>
      </c>
      <c r="AF851" s="0">
        <f>TEXTJOIN(", ",TRUE,IF(AND(X851&gt;0,Y851&gt;0),TEXT(X851,"0.00")&amp;"ct x "&amp;Y851,""),IF(AND(Z851&gt;0,AA851&gt;0),TEXT(Z851,"0.00")&amp;"ct x "&amp;AA851,""),IF(AND(AB851&gt;0,AC851&gt;0),TEXT(AB851,"0.00")&amp;"ct x "&amp;AC851,""))</f>
        <v/>
      </c>
      <c r="AG851" s="0">
        <f>X851*Y851*SUMIFS($AM$2:$AM$11,$AK$2:$AK$11,"&lt;="&amp;X851,$AL$2:$AL$11,"&gt;="&amp;X851)+Z851*AA851*SUMIFS($AM$2:$AM$11,$AK$2:$AK$11,"&lt;="&amp;Z851,$AL$2:$AL$11,"&gt;="&amp;Z851)+AB851*AC851*SUMIFS($AM$2:$AM$11,$AK$2:$AK$11,"&lt;="&amp;AB851,$AL$2:$AL$11,"&gt;="&amp;AB851)</f>
        <v/>
      </c>
      <c r="AH851" s="0">
        <f>AG851*(1-40%)</f>
        <v/>
      </c>
      <c r="AI851" s="0">
        <f>AH851*1.2</f>
        <v/>
      </c>
    </row>
    <row r="852">
      <c r="A852" s="26" t="n"/>
      <c r="B852" s="169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>
        <f>AG852</f>
        <v/>
      </c>
      <c r="T852" s="26">
        <f>AI852+Q852+P852</f>
        <v/>
      </c>
      <c r="U852" s="26" t="n"/>
      <c r="V852" s="26" t="n"/>
      <c r="W852" s="169" t="n"/>
      <c r="X852" s="26" t="n"/>
      <c r="Y852" s="26" t="n"/>
      <c r="Z852" s="26" t="n"/>
      <c r="AA852" s="26" t="n"/>
      <c r="AD852" s="0">
        <f>SUM(Y852,AA852,AC852)</f>
        <v/>
      </c>
      <c r="AE852" s="0">
        <f>X852*Y852+Z852*AA852+AB852*AC852</f>
        <v/>
      </c>
      <c r="AF852" s="0">
        <f>TEXTJOIN(", ",TRUE,IF(AND(X852&gt;0,Y852&gt;0),TEXT(X852,"0.00")&amp;"ct x "&amp;Y852,""),IF(AND(Z852&gt;0,AA852&gt;0),TEXT(Z852,"0.00")&amp;"ct x "&amp;AA852,""),IF(AND(AB852&gt;0,AC852&gt;0),TEXT(AB852,"0.00")&amp;"ct x "&amp;AC852,""))</f>
        <v/>
      </c>
      <c r="AG852" s="0">
        <f>X852*Y852*SUMIFS($AM$2:$AM$11,$AK$2:$AK$11,"&lt;="&amp;X852,$AL$2:$AL$11,"&gt;="&amp;X852)+Z852*AA852*SUMIFS($AM$2:$AM$11,$AK$2:$AK$11,"&lt;="&amp;Z852,$AL$2:$AL$11,"&gt;="&amp;Z852)+AB852*AC852*SUMIFS($AM$2:$AM$11,$AK$2:$AK$11,"&lt;="&amp;AB852,$AL$2:$AL$11,"&gt;="&amp;AB852)</f>
        <v/>
      </c>
      <c r="AH852" s="0">
        <f>AG852*(1-40%)</f>
        <v/>
      </c>
      <c r="AI852" s="0">
        <f>AH852*1.2</f>
        <v/>
      </c>
    </row>
    <row r="853">
      <c r="A853" s="26" t="n"/>
      <c r="B853" s="169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>
        <f>AG853</f>
        <v/>
      </c>
      <c r="T853" s="26">
        <f>AI853+Q853+P853</f>
        <v/>
      </c>
      <c r="U853" s="26" t="n"/>
      <c r="V853" s="26" t="n"/>
      <c r="W853" s="169" t="n"/>
      <c r="X853" s="26" t="n"/>
      <c r="Y853" s="26" t="n"/>
      <c r="Z853" s="26" t="n"/>
      <c r="AA853" s="26" t="n"/>
      <c r="AD853" s="0">
        <f>SUM(Y853,AA853,AC853)</f>
        <v/>
      </c>
      <c r="AE853" s="0">
        <f>X853*Y853+Z853*AA853+AB853*AC853</f>
        <v/>
      </c>
      <c r="AF853" s="0">
        <f>TEXTJOIN(", ",TRUE,IF(AND(X853&gt;0,Y853&gt;0),TEXT(X853,"0.00")&amp;"ct x "&amp;Y853,""),IF(AND(Z853&gt;0,AA853&gt;0),TEXT(Z853,"0.00")&amp;"ct x "&amp;AA853,""),IF(AND(AB853&gt;0,AC853&gt;0),TEXT(AB853,"0.00")&amp;"ct x "&amp;AC853,""))</f>
        <v/>
      </c>
      <c r="AG853" s="0">
        <f>X853*Y853*SUMIFS($AM$2:$AM$11,$AK$2:$AK$11,"&lt;="&amp;X853,$AL$2:$AL$11,"&gt;="&amp;X853)+Z853*AA853*SUMIFS($AM$2:$AM$11,$AK$2:$AK$11,"&lt;="&amp;Z853,$AL$2:$AL$11,"&gt;="&amp;Z853)+AB853*AC853*SUMIFS($AM$2:$AM$11,$AK$2:$AK$11,"&lt;="&amp;AB853,$AL$2:$AL$11,"&gt;="&amp;AB853)</f>
        <v/>
      </c>
      <c r="AH853" s="0">
        <f>AG853*(1-40%)</f>
        <v/>
      </c>
      <c r="AI853" s="0">
        <f>AH853*1.2</f>
        <v/>
      </c>
    </row>
    <row r="854">
      <c r="A854" s="26" t="n"/>
      <c r="B854" s="169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>
        <f>AG854</f>
        <v/>
      </c>
      <c r="T854" s="26">
        <f>AI854+Q854+P854</f>
        <v/>
      </c>
      <c r="U854" s="26" t="n"/>
      <c r="V854" s="26" t="n"/>
      <c r="W854" s="169" t="n"/>
      <c r="X854" s="26" t="n"/>
      <c r="Y854" s="26" t="n"/>
      <c r="Z854" s="26" t="n"/>
      <c r="AA854" s="26" t="n"/>
      <c r="AD854" s="0">
        <f>SUM(Y854,AA854,AC854)</f>
        <v/>
      </c>
      <c r="AE854" s="0">
        <f>X854*Y854+Z854*AA854+AB854*AC854</f>
        <v/>
      </c>
      <c r="AF854" s="0">
        <f>TEXTJOIN(", ",TRUE,IF(AND(X854&gt;0,Y854&gt;0),TEXT(X854,"0.00")&amp;"ct x "&amp;Y854,""),IF(AND(Z854&gt;0,AA854&gt;0),TEXT(Z854,"0.00")&amp;"ct x "&amp;AA854,""),IF(AND(AB854&gt;0,AC854&gt;0),TEXT(AB854,"0.00")&amp;"ct x "&amp;AC854,""))</f>
        <v/>
      </c>
      <c r="AG854" s="0">
        <f>X854*Y854*SUMIFS($AM$2:$AM$11,$AK$2:$AK$11,"&lt;="&amp;X854,$AL$2:$AL$11,"&gt;="&amp;X854)+Z854*AA854*SUMIFS($AM$2:$AM$11,$AK$2:$AK$11,"&lt;="&amp;Z854,$AL$2:$AL$11,"&gt;="&amp;Z854)+AB854*AC854*SUMIFS($AM$2:$AM$11,$AK$2:$AK$11,"&lt;="&amp;AB854,$AL$2:$AL$11,"&gt;="&amp;AB854)</f>
        <v/>
      </c>
      <c r="AH854" s="0">
        <f>AG854*(1-40%)</f>
        <v/>
      </c>
      <c r="AI854" s="0">
        <f>AH854*1.2</f>
        <v/>
      </c>
    </row>
    <row r="855">
      <c r="A855" s="26" t="n"/>
      <c r="B855" s="169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>
        <f>AG855</f>
        <v/>
      </c>
      <c r="T855" s="26">
        <f>AI855+Q855+P855</f>
        <v/>
      </c>
      <c r="U855" s="26" t="n"/>
      <c r="V855" s="26" t="n"/>
      <c r="W855" s="169" t="n"/>
      <c r="X855" s="26" t="n"/>
      <c r="Y855" s="26" t="n"/>
      <c r="Z855" s="26" t="n"/>
      <c r="AA855" s="26" t="n"/>
      <c r="AD855" s="0">
        <f>SUM(Y855,AA855,AC855)</f>
        <v/>
      </c>
      <c r="AE855" s="0">
        <f>X855*Y855+Z855*AA855+AB855*AC855</f>
        <v/>
      </c>
      <c r="AF855" s="0">
        <f>TEXTJOIN(", ",TRUE,IF(AND(X855&gt;0,Y855&gt;0),TEXT(X855,"0.00")&amp;"ct x "&amp;Y855,""),IF(AND(Z855&gt;0,AA855&gt;0),TEXT(Z855,"0.00")&amp;"ct x "&amp;AA855,""),IF(AND(AB855&gt;0,AC855&gt;0),TEXT(AB855,"0.00")&amp;"ct x "&amp;AC855,""))</f>
        <v/>
      </c>
      <c r="AG855" s="0">
        <f>X855*Y855*SUMIFS($AM$2:$AM$11,$AK$2:$AK$11,"&lt;="&amp;X855,$AL$2:$AL$11,"&gt;="&amp;X855)+Z855*AA855*SUMIFS($AM$2:$AM$11,$AK$2:$AK$11,"&lt;="&amp;Z855,$AL$2:$AL$11,"&gt;="&amp;Z855)+AB855*AC855*SUMIFS($AM$2:$AM$11,$AK$2:$AK$11,"&lt;="&amp;AB855,$AL$2:$AL$11,"&gt;="&amp;AB855)</f>
        <v/>
      </c>
      <c r="AH855" s="0">
        <f>AG855*(1-40%)</f>
        <v/>
      </c>
      <c r="AI855" s="0">
        <f>AH855*1.2</f>
        <v/>
      </c>
    </row>
    <row r="856">
      <c r="A856" s="26" t="n"/>
      <c r="B856" s="169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>
        <f>AG856</f>
        <v/>
      </c>
      <c r="T856" s="26">
        <f>AI856+Q856+P856</f>
        <v/>
      </c>
      <c r="U856" s="26" t="n"/>
      <c r="V856" s="26" t="n"/>
      <c r="W856" s="169" t="n"/>
      <c r="X856" s="26" t="n"/>
      <c r="Y856" s="26" t="n"/>
      <c r="Z856" s="26" t="n"/>
      <c r="AA856" s="26" t="n"/>
      <c r="AD856" s="0">
        <f>SUM(Y856,AA856,AC856)</f>
        <v/>
      </c>
      <c r="AE856" s="0">
        <f>X856*Y856+Z856*AA856+AB856*AC856</f>
        <v/>
      </c>
      <c r="AF856" s="0">
        <f>TEXTJOIN(", ",TRUE,IF(AND(X856&gt;0,Y856&gt;0),TEXT(X856,"0.00")&amp;"ct x "&amp;Y856,""),IF(AND(Z856&gt;0,AA856&gt;0),TEXT(Z856,"0.00")&amp;"ct x "&amp;AA856,""),IF(AND(AB856&gt;0,AC856&gt;0),TEXT(AB856,"0.00")&amp;"ct x "&amp;AC856,""))</f>
        <v/>
      </c>
      <c r="AG856" s="0">
        <f>X856*Y856*SUMIFS($AM$2:$AM$11,$AK$2:$AK$11,"&lt;="&amp;X856,$AL$2:$AL$11,"&gt;="&amp;X856)+Z856*AA856*SUMIFS($AM$2:$AM$11,$AK$2:$AK$11,"&lt;="&amp;Z856,$AL$2:$AL$11,"&gt;="&amp;Z856)+AB856*AC856*SUMIFS($AM$2:$AM$11,$AK$2:$AK$11,"&lt;="&amp;AB856,$AL$2:$AL$11,"&gt;="&amp;AB856)</f>
        <v/>
      </c>
      <c r="AH856" s="0">
        <f>AG856*(1-40%)</f>
        <v/>
      </c>
      <c r="AI856" s="0">
        <f>AH856*1.2</f>
        <v/>
      </c>
    </row>
    <row r="857">
      <c r="A857" s="26" t="n"/>
      <c r="B857" s="169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>
        <f>AG857</f>
        <v/>
      </c>
      <c r="T857" s="26">
        <f>AI857+Q857+P857</f>
        <v/>
      </c>
      <c r="U857" s="26" t="n"/>
      <c r="V857" s="26" t="n"/>
      <c r="W857" s="169" t="n"/>
      <c r="X857" s="26" t="n"/>
      <c r="Y857" s="26" t="n"/>
      <c r="Z857" s="26" t="n"/>
      <c r="AA857" s="26" t="n"/>
      <c r="AD857" s="0">
        <f>SUM(Y857,AA857,AC857)</f>
        <v/>
      </c>
      <c r="AE857" s="0">
        <f>X857*Y857+Z857*AA857+AB857*AC857</f>
        <v/>
      </c>
      <c r="AF857" s="0">
        <f>TEXTJOIN(", ",TRUE,IF(AND(X857&gt;0,Y857&gt;0),TEXT(X857,"0.00")&amp;"ct x "&amp;Y857,""),IF(AND(Z857&gt;0,AA857&gt;0),TEXT(Z857,"0.00")&amp;"ct x "&amp;AA857,""),IF(AND(AB857&gt;0,AC857&gt;0),TEXT(AB857,"0.00")&amp;"ct x "&amp;AC857,""))</f>
        <v/>
      </c>
      <c r="AG857" s="0">
        <f>X857*Y857*SUMIFS($AM$2:$AM$11,$AK$2:$AK$11,"&lt;="&amp;X857,$AL$2:$AL$11,"&gt;="&amp;X857)+Z857*AA857*SUMIFS($AM$2:$AM$11,$AK$2:$AK$11,"&lt;="&amp;Z857,$AL$2:$AL$11,"&gt;="&amp;Z857)+AB857*AC857*SUMIFS($AM$2:$AM$11,$AK$2:$AK$11,"&lt;="&amp;AB857,$AL$2:$AL$11,"&gt;="&amp;AB857)</f>
        <v/>
      </c>
      <c r="AH857" s="0">
        <f>AG857*(1-40%)</f>
        <v/>
      </c>
      <c r="AI857" s="0">
        <f>AH857*1.2</f>
        <v/>
      </c>
    </row>
    <row r="858">
      <c r="A858" s="26" t="n"/>
      <c r="B858" s="169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>
        <f>AG858</f>
        <v/>
      </c>
      <c r="T858" s="26">
        <f>AI858+Q858+P858</f>
        <v/>
      </c>
      <c r="U858" s="26" t="n"/>
      <c r="V858" s="26" t="n"/>
      <c r="W858" s="169" t="n"/>
      <c r="X858" s="26" t="n"/>
      <c r="Y858" s="26" t="n"/>
      <c r="Z858" s="26" t="n"/>
      <c r="AA858" s="26" t="n"/>
      <c r="AD858" s="0">
        <f>SUM(Y858,AA858,AC858)</f>
        <v/>
      </c>
      <c r="AE858" s="0">
        <f>X858*Y858+Z858*AA858+AB858*AC858</f>
        <v/>
      </c>
      <c r="AF858" s="0">
        <f>TEXTJOIN(", ",TRUE,IF(AND(X858&gt;0,Y858&gt;0),TEXT(X858,"0.00")&amp;"ct x "&amp;Y858,""),IF(AND(Z858&gt;0,AA858&gt;0),TEXT(Z858,"0.00")&amp;"ct x "&amp;AA858,""),IF(AND(AB858&gt;0,AC858&gt;0),TEXT(AB858,"0.00")&amp;"ct x "&amp;AC858,""))</f>
        <v/>
      </c>
      <c r="AG858" s="0">
        <f>X858*Y858*SUMIFS($AM$2:$AM$11,$AK$2:$AK$11,"&lt;="&amp;X858,$AL$2:$AL$11,"&gt;="&amp;X858)+Z858*AA858*SUMIFS($AM$2:$AM$11,$AK$2:$AK$11,"&lt;="&amp;Z858,$AL$2:$AL$11,"&gt;="&amp;Z858)+AB858*AC858*SUMIFS($AM$2:$AM$11,$AK$2:$AK$11,"&lt;="&amp;AB858,$AL$2:$AL$11,"&gt;="&amp;AB858)</f>
        <v/>
      </c>
      <c r="AH858" s="0">
        <f>AG858*(1-40%)</f>
        <v/>
      </c>
      <c r="AI858" s="0">
        <f>AH858*1.2</f>
        <v/>
      </c>
    </row>
    <row r="859">
      <c r="A859" s="26" t="n"/>
      <c r="B859" s="169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>
        <f>AG859</f>
        <v/>
      </c>
      <c r="T859" s="26">
        <f>AI859+Q859+P859</f>
        <v/>
      </c>
      <c r="U859" s="26" t="n"/>
      <c r="V859" s="26" t="n"/>
      <c r="W859" s="169" t="n"/>
      <c r="X859" s="26" t="n"/>
      <c r="Y859" s="26" t="n"/>
      <c r="Z859" s="26" t="n"/>
      <c r="AA859" s="26" t="n"/>
      <c r="AD859" s="0">
        <f>SUM(Y859,AA859,AC859)</f>
        <v/>
      </c>
      <c r="AE859" s="0">
        <f>X859*Y859+Z859*AA859+AB859*AC859</f>
        <v/>
      </c>
      <c r="AF859" s="0">
        <f>TEXTJOIN(", ",TRUE,IF(AND(X859&gt;0,Y859&gt;0),TEXT(X859,"0.00")&amp;"ct x "&amp;Y859,""),IF(AND(Z859&gt;0,AA859&gt;0),TEXT(Z859,"0.00")&amp;"ct x "&amp;AA859,""),IF(AND(AB859&gt;0,AC859&gt;0),TEXT(AB859,"0.00")&amp;"ct x "&amp;AC859,""))</f>
        <v/>
      </c>
      <c r="AG859" s="0">
        <f>X859*Y859*SUMIFS($AM$2:$AM$11,$AK$2:$AK$11,"&lt;="&amp;X859,$AL$2:$AL$11,"&gt;="&amp;X859)+Z859*AA859*SUMIFS($AM$2:$AM$11,$AK$2:$AK$11,"&lt;="&amp;Z859,$AL$2:$AL$11,"&gt;="&amp;Z859)+AB859*AC859*SUMIFS($AM$2:$AM$11,$AK$2:$AK$11,"&lt;="&amp;AB859,$AL$2:$AL$11,"&gt;="&amp;AB859)</f>
        <v/>
      </c>
      <c r="AH859" s="0">
        <f>AG859*(1-40%)</f>
        <v/>
      </c>
      <c r="AI859" s="0">
        <f>AH859*1.2</f>
        <v/>
      </c>
    </row>
    <row r="860">
      <c r="A860" s="26" t="n"/>
      <c r="B860" s="169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>
        <f>AG860</f>
        <v/>
      </c>
      <c r="T860" s="26">
        <f>AI860+Q860+P860</f>
        <v/>
      </c>
      <c r="U860" s="26" t="n"/>
      <c r="V860" s="26" t="n"/>
      <c r="W860" s="169" t="n"/>
      <c r="X860" s="26" t="n"/>
      <c r="Y860" s="26" t="n"/>
      <c r="Z860" s="26" t="n"/>
      <c r="AA860" s="26" t="n"/>
      <c r="AD860" s="0">
        <f>SUM(Y860,AA860,AC860)</f>
        <v/>
      </c>
      <c r="AE860" s="0">
        <f>X860*Y860+Z860*AA860+AB860*AC860</f>
        <v/>
      </c>
      <c r="AF860" s="0">
        <f>TEXTJOIN(", ",TRUE,IF(AND(X860&gt;0,Y860&gt;0),TEXT(X860,"0.00")&amp;"ct x "&amp;Y860,""),IF(AND(Z860&gt;0,AA860&gt;0),TEXT(Z860,"0.00")&amp;"ct x "&amp;AA860,""),IF(AND(AB860&gt;0,AC860&gt;0),TEXT(AB860,"0.00")&amp;"ct x "&amp;AC860,""))</f>
        <v/>
      </c>
      <c r="AG860" s="0">
        <f>X860*Y860*SUMIFS($AM$2:$AM$11,$AK$2:$AK$11,"&lt;="&amp;X860,$AL$2:$AL$11,"&gt;="&amp;X860)+Z860*AA860*SUMIFS($AM$2:$AM$11,$AK$2:$AK$11,"&lt;="&amp;Z860,$AL$2:$AL$11,"&gt;="&amp;Z860)+AB860*AC860*SUMIFS($AM$2:$AM$11,$AK$2:$AK$11,"&lt;="&amp;AB860,$AL$2:$AL$11,"&gt;="&amp;AB860)</f>
        <v/>
      </c>
      <c r="AH860" s="0">
        <f>AG860*(1-40%)</f>
        <v/>
      </c>
      <c r="AI860" s="0">
        <f>AH860*1.2</f>
        <v/>
      </c>
    </row>
    <row r="861">
      <c r="A861" s="26" t="n"/>
      <c r="B861" s="169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>
        <f>AG861</f>
        <v/>
      </c>
      <c r="T861" s="26">
        <f>AI861+Q861+P861</f>
        <v/>
      </c>
      <c r="U861" s="26" t="n"/>
      <c r="V861" s="26" t="n"/>
      <c r="W861" s="169" t="n"/>
      <c r="X861" s="26" t="n"/>
      <c r="Y861" s="26" t="n"/>
      <c r="Z861" s="26" t="n"/>
      <c r="AA861" s="26" t="n"/>
      <c r="AD861" s="0">
        <f>SUM(Y861,AA861,AC861)</f>
        <v/>
      </c>
      <c r="AE861" s="0">
        <f>X861*Y861+Z861*AA861+AB861*AC861</f>
        <v/>
      </c>
      <c r="AF861" s="0">
        <f>TEXTJOIN(", ",TRUE,IF(AND(X861&gt;0,Y861&gt;0),TEXT(X861,"0.00")&amp;"ct x "&amp;Y861,""),IF(AND(Z861&gt;0,AA861&gt;0),TEXT(Z861,"0.00")&amp;"ct x "&amp;AA861,""),IF(AND(AB861&gt;0,AC861&gt;0),TEXT(AB861,"0.00")&amp;"ct x "&amp;AC861,""))</f>
        <v/>
      </c>
      <c r="AG861" s="0">
        <f>X861*Y861*SUMIFS($AM$2:$AM$11,$AK$2:$AK$11,"&lt;="&amp;X861,$AL$2:$AL$11,"&gt;="&amp;X861)+Z861*AA861*SUMIFS($AM$2:$AM$11,$AK$2:$AK$11,"&lt;="&amp;Z861,$AL$2:$AL$11,"&gt;="&amp;Z861)+AB861*AC861*SUMIFS($AM$2:$AM$11,$AK$2:$AK$11,"&lt;="&amp;AB861,$AL$2:$AL$11,"&gt;="&amp;AB861)</f>
        <v/>
      </c>
      <c r="AH861" s="0">
        <f>AG861*(1-40%)</f>
        <v/>
      </c>
      <c r="AI861" s="0">
        <f>AH861*1.2</f>
        <v/>
      </c>
    </row>
    <row r="862">
      <c r="A862" s="26" t="n"/>
      <c r="B862" s="169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>
        <f>AG862</f>
        <v/>
      </c>
      <c r="T862" s="26">
        <f>AI862+Q862+P862</f>
        <v/>
      </c>
      <c r="U862" s="26" t="n"/>
      <c r="V862" s="26" t="n"/>
      <c r="W862" s="169" t="n"/>
      <c r="X862" s="26" t="n"/>
      <c r="Y862" s="26" t="n"/>
      <c r="Z862" s="26" t="n"/>
      <c r="AA862" s="26" t="n"/>
      <c r="AD862" s="0">
        <f>SUM(Y862,AA862,AC862)</f>
        <v/>
      </c>
      <c r="AE862" s="0">
        <f>X862*Y862+Z862*AA862+AB862*AC862</f>
        <v/>
      </c>
      <c r="AF862" s="0">
        <f>TEXTJOIN(", ",TRUE,IF(AND(X862&gt;0,Y862&gt;0),TEXT(X862,"0.00")&amp;"ct x "&amp;Y862,""),IF(AND(Z862&gt;0,AA862&gt;0),TEXT(Z862,"0.00")&amp;"ct x "&amp;AA862,""),IF(AND(AB862&gt;0,AC862&gt;0),TEXT(AB862,"0.00")&amp;"ct x "&amp;AC862,""))</f>
        <v/>
      </c>
      <c r="AG862" s="0">
        <f>X862*Y862*SUMIFS($AM$2:$AM$11,$AK$2:$AK$11,"&lt;="&amp;X862,$AL$2:$AL$11,"&gt;="&amp;X862)+Z862*AA862*SUMIFS($AM$2:$AM$11,$AK$2:$AK$11,"&lt;="&amp;Z862,$AL$2:$AL$11,"&gt;="&amp;Z862)+AB862*AC862*SUMIFS($AM$2:$AM$11,$AK$2:$AK$11,"&lt;="&amp;AB862,$AL$2:$AL$11,"&gt;="&amp;AB862)</f>
        <v/>
      </c>
      <c r="AH862" s="0">
        <f>AG862*(1-40%)</f>
        <v/>
      </c>
      <c r="AI862" s="0">
        <f>AH862*1.2</f>
        <v/>
      </c>
    </row>
    <row r="863">
      <c r="A863" s="26" t="n"/>
      <c r="B863" s="169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>
        <f>AG863</f>
        <v/>
      </c>
      <c r="T863" s="26">
        <f>AI863+Q863+P863</f>
        <v/>
      </c>
      <c r="U863" s="26" t="n"/>
      <c r="V863" s="26" t="n"/>
      <c r="W863" s="169" t="n"/>
      <c r="X863" s="26" t="n"/>
      <c r="Y863" s="26" t="n"/>
      <c r="Z863" s="26" t="n"/>
      <c r="AA863" s="26" t="n"/>
      <c r="AD863" s="0">
        <f>SUM(Y863,AA863,AC863)</f>
        <v/>
      </c>
      <c r="AE863" s="0">
        <f>X863*Y863+Z863*AA863+AB863*AC863</f>
        <v/>
      </c>
      <c r="AF863" s="0">
        <f>TEXTJOIN(", ",TRUE,IF(AND(X863&gt;0,Y863&gt;0),TEXT(X863,"0.00")&amp;"ct x "&amp;Y863,""),IF(AND(Z863&gt;0,AA863&gt;0),TEXT(Z863,"0.00")&amp;"ct x "&amp;AA863,""),IF(AND(AB863&gt;0,AC863&gt;0),TEXT(AB863,"0.00")&amp;"ct x "&amp;AC863,""))</f>
        <v/>
      </c>
      <c r="AG863" s="0">
        <f>X863*Y863*SUMIFS($AM$2:$AM$11,$AK$2:$AK$11,"&lt;="&amp;X863,$AL$2:$AL$11,"&gt;="&amp;X863)+Z863*AA863*SUMIFS($AM$2:$AM$11,$AK$2:$AK$11,"&lt;="&amp;Z863,$AL$2:$AL$11,"&gt;="&amp;Z863)+AB863*AC863*SUMIFS($AM$2:$AM$11,$AK$2:$AK$11,"&lt;="&amp;AB863,$AL$2:$AL$11,"&gt;="&amp;AB863)</f>
        <v/>
      </c>
      <c r="AH863" s="0">
        <f>AG863*(1-40%)</f>
        <v/>
      </c>
      <c r="AI863" s="0">
        <f>AH863*1.2</f>
        <v/>
      </c>
    </row>
    <row r="864">
      <c r="A864" s="26" t="n"/>
      <c r="B864" s="169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>
        <f>AG864</f>
        <v/>
      </c>
      <c r="T864" s="26">
        <f>AI864+Q864+P864</f>
        <v/>
      </c>
      <c r="U864" s="26" t="n"/>
      <c r="V864" s="26" t="n"/>
      <c r="W864" s="169" t="n"/>
      <c r="X864" s="26" t="n"/>
      <c r="Y864" s="26" t="n"/>
      <c r="Z864" s="26" t="n"/>
      <c r="AA864" s="26" t="n"/>
      <c r="AD864" s="0">
        <f>SUM(Y864,AA864,AC864)</f>
        <v/>
      </c>
      <c r="AE864" s="0">
        <f>X864*Y864+Z864*AA864+AB864*AC864</f>
        <v/>
      </c>
      <c r="AF864" s="0">
        <f>TEXTJOIN(", ",TRUE,IF(AND(X864&gt;0,Y864&gt;0),TEXT(X864,"0.00")&amp;"ct x "&amp;Y864,""),IF(AND(Z864&gt;0,AA864&gt;0),TEXT(Z864,"0.00")&amp;"ct x "&amp;AA864,""),IF(AND(AB864&gt;0,AC864&gt;0),TEXT(AB864,"0.00")&amp;"ct x "&amp;AC864,""))</f>
        <v/>
      </c>
      <c r="AG864" s="0">
        <f>X864*Y864*SUMIFS($AM$2:$AM$11,$AK$2:$AK$11,"&lt;="&amp;X864,$AL$2:$AL$11,"&gt;="&amp;X864)+Z864*AA864*SUMIFS($AM$2:$AM$11,$AK$2:$AK$11,"&lt;="&amp;Z864,$AL$2:$AL$11,"&gt;="&amp;Z864)+AB864*AC864*SUMIFS($AM$2:$AM$11,$AK$2:$AK$11,"&lt;="&amp;AB864,$AL$2:$AL$11,"&gt;="&amp;AB864)</f>
        <v/>
      </c>
      <c r="AH864" s="0">
        <f>AG864*(1-40%)</f>
        <v/>
      </c>
      <c r="AI864" s="0">
        <f>AH864*1.2</f>
        <v/>
      </c>
    </row>
    <row r="865">
      <c r="A865" s="26" t="n"/>
      <c r="B865" s="169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>
        <f>AG865</f>
        <v/>
      </c>
      <c r="T865" s="26">
        <f>AI865+Q865+P865</f>
        <v/>
      </c>
      <c r="U865" s="26" t="n"/>
      <c r="V865" s="26" t="n"/>
      <c r="W865" s="169" t="n"/>
      <c r="X865" s="26" t="n"/>
      <c r="Y865" s="26" t="n"/>
      <c r="Z865" s="26" t="n"/>
      <c r="AA865" s="26" t="n"/>
      <c r="AD865" s="0">
        <f>SUM(Y865,AA865,AC865)</f>
        <v/>
      </c>
      <c r="AE865" s="0">
        <f>X865*Y865+Z865*AA865+AB865*AC865</f>
        <v/>
      </c>
      <c r="AF865" s="0">
        <f>TEXTJOIN(", ",TRUE,IF(AND(X865&gt;0,Y865&gt;0),TEXT(X865,"0.00")&amp;"ct x "&amp;Y865,""),IF(AND(Z865&gt;0,AA865&gt;0),TEXT(Z865,"0.00")&amp;"ct x "&amp;AA865,""),IF(AND(AB865&gt;0,AC865&gt;0),TEXT(AB865,"0.00")&amp;"ct x "&amp;AC865,""))</f>
        <v/>
      </c>
      <c r="AG865" s="0">
        <f>X865*Y865*SUMIFS($AM$2:$AM$11,$AK$2:$AK$11,"&lt;="&amp;X865,$AL$2:$AL$11,"&gt;="&amp;X865)+Z865*AA865*SUMIFS($AM$2:$AM$11,$AK$2:$AK$11,"&lt;="&amp;Z865,$AL$2:$AL$11,"&gt;="&amp;Z865)+AB865*AC865*SUMIFS($AM$2:$AM$11,$AK$2:$AK$11,"&lt;="&amp;AB865,$AL$2:$AL$11,"&gt;="&amp;AB865)</f>
        <v/>
      </c>
      <c r="AH865" s="0">
        <f>AG865*(1-40%)</f>
        <v/>
      </c>
      <c r="AI865" s="0">
        <f>AH865*1.2</f>
        <v/>
      </c>
    </row>
    <row r="866">
      <c r="A866" s="26" t="n"/>
      <c r="B866" s="169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>
        <f>AG866</f>
        <v/>
      </c>
      <c r="T866" s="26">
        <f>AI866+Q866+P866</f>
        <v/>
      </c>
      <c r="U866" s="26" t="n"/>
      <c r="V866" s="26" t="n"/>
      <c r="W866" s="169" t="n"/>
      <c r="X866" s="26" t="n"/>
      <c r="Y866" s="26" t="n"/>
      <c r="Z866" s="26" t="n"/>
      <c r="AA866" s="26" t="n"/>
      <c r="AD866" s="0">
        <f>SUM(Y866,AA866,AC866)</f>
        <v/>
      </c>
      <c r="AE866" s="0">
        <f>X866*Y866+Z866*AA866+AB866*AC866</f>
        <v/>
      </c>
      <c r="AF866" s="0">
        <f>TEXTJOIN(", ",TRUE,IF(AND(X866&gt;0,Y866&gt;0),TEXT(X866,"0.00")&amp;"ct x "&amp;Y866,""),IF(AND(Z866&gt;0,AA866&gt;0),TEXT(Z866,"0.00")&amp;"ct x "&amp;AA866,""),IF(AND(AB866&gt;0,AC866&gt;0),TEXT(AB866,"0.00")&amp;"ct x "&amp;AC866,""))</f>
        <v/>
      </c>
      <c r="AG866" s="0">
        <f>X866*Y866*SUMIFS($AM$2:$AM$11,$AK$2:$AK$11,"&lt;="&amp;X866,$AL$2:$AL$11,"&gt;="&amp;X866)+Z866*AA866*SUMIFS($AM$2:$AM$11,$AK$2:$AK$11,"&lt;="&amp;Z866,$AL$2:$AL$11,"&gt;="&amp;Z866)+AB866*AC866*SUMIFS($AM$2:$AM$11,$AK$2:$AK$11,"&lt;="&amp;AB866,$AL$2:$AL$11,"&gt;="&amp;AB866)</f>
        <v/>
      </c>
      <c r="AH866" s="0">
        <f>AG866*(1-40%)</f>
        <v/>
      </c>
      <c r="AI866" s="0">
        <f>AH866*1.2</f>
        <v/>
      </c>
    </row>
    <row r="867">
      <c r="A867" s="26" t="n"/>
      <c r="B867" s="169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>
        <f>AG867</f>
        <v/>
      </c>
      <c r="T867" s="26">
        <f>AI867+Q867+P867</f>
        <v/>
      </c>
      <c r="U867" s="26" t="n"/>
      <c r="V867" s="26" t="n"/>
      <c r="W867" s="169" t="n"/>
      <c r="X867" s="26" t="n"/>
      <c r="Y867" s="26" t="n"/>
      <c r="Z867" s="26" t="n"/>
      <c r="AA867" s="26" t="n"/>
      <c r="AD867" s="0">
        <f>SUM(Y867,AA867,AC867)</f>
        <v/>
      </c>
      <c r="AE867" s="0">
        <f>X867*Y867+Z867*AA867+AB867*AC867</f>
        <v/>
      </c>
      <c r="AF867" s="0">
        <f>TEXTJOIN(", ",TRUE,IF(AND(X867&gt;0,Y867&gt;0),TEXT(X867,"0.00")&amp;"ct x "&amp;Y867,""),IF(AND(Z867&gt;0,AA867&gt;0),TEXT(Z867,"0.00")&amp;"ct x "&amp;AA867,""),IF(AND(AB867&gt;0,AC867&gt;0),TEXT(AB867,"0.00")&amp;"ct x "&amp;AC867,""))</f>
        <v/>
      </c>
      <c r="AG867" s="0">
        <f>X867*Y867*SUMIFS($AM$2:$AM$11,$AK$2:$AK$11,"&lt;="&amp;X867,$AL$2:$AL$11,"&gt;="&amp;X867)+Z867*AA867*SUMIFS($AM$2:$AM$11,$AK$2:$AK$11,"&lt;="&amp;Z867,$AL$2:$AL$11,"&gt;="&amp;Z867)+AB867*AC867*SUMIFS($AM$2:$AM$11,$AK$2:$AK$11,"&lt;="&amp;AB867,$AL$2:$AL$11,"&gt;="&amp;AB867)</f>
        <v/>
      </c>
      <c r="AH867" s="0">
        <f>AG867*(1-40%)</f>
        <v/>
      </c>
      <c r="AI867" s="0">
        <f>AH867*1.2</f>
        <v/>
      </c>
    </row>
    <row r="868">
      <c r="A868" s="26" t="n"/>
      <c r="B868" s="169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>
        <f>AG868</f>
        <v/>
      </c>
      <c r="T868" s="26">
        <f>AI868+Q868+P868</f>
        <v/>
      </c>
      <c r="U868" s="26" t="n"/>
      <c r="V868" s="26" t="n"/>
      <c r="W868" s="169" t="n"/>
      <c r="X868" s="26" t="n"/>
      <c r="Y868" s="26" t="n"/>
      <c r="Z868" s="26" t="n"/>
      <c r="AA868" s="26" t="n"/>
      <c r="AD868" s="0">
        <f>SUM(Y868,AA868,AC868)</f>
        <v/>
      </c>
      <c r="AE868" s="0">
        <f>X868*Y868+Z868*AA868+AB868*AC868</f>
        <v/>
      </c>
      <c r="AF868" s="0">
        <f>TEXTJOIN(", ",TRUE,IF(AND(X868&gt;0,Y868&gt;0),TEXT(X868,"0.00")&amp;"ct x "&amp;Y868,""),IF(AND(Z868&gt;0,AA868&gt;0),TEXT(Z868,"0.00")&amp;"ct x "&amp;AA868,""),IF(AND(AB868&gt;0,AC868&gt;0),TEXT(AB868,"0.00")&amp;"ct x "&amp;AC868,""))</f>
        <v/>
      </c>
      <c r="AG868" s="0">
        <f>X868*Y868*SUMIFS($AM$2:$AM$11,$AK$2:$AK$11,"&lt;="&amp;X868,$AL$2:$AL$11,"&gt;="&amp;X868)+Z868*AA868*SUMIFS($AM$2:$AM$11,$AK$2:$AK$11,"&lt;="&amp;Z868,$AL$2:$AL$11,"&gt;="&amp;Z868)+AB868*AC868*SUMIFS($AM$2:$AM$11,$AK$2:$AK$11,"&lt;="&amp;AB868,$AL$2:$AL$11,"&gt;="&amp;AB868)</f>
        <v/>
      </c>
      <c r="AH868" s="0">
        <f>AG868*(1-40%)</f>
        <v/>
      </c>
      <c r="AI868" s="0">
        <f>AH868*1.2</f>
        <v/>
      </c>
    </row>
    <row r="869">
      <c r="A869" s="26" t="n"/>
      <c r="B869" s="169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>
        <f>AG869</f>
        <v/>
      </c>
      <c r="T869" s="26">
        <f>AI869+Q869+P869</f>
        <v/>
      </c>
      <c r="U869" s="26" t="n"/>
      <c r="V869" s="26" t="n"/>
      <c r="W869" s="169" t="n"/>
      <c r="X869" s="26" t="n"/>
      <c r="Y869" s="26" t="n"/>
      <c r="Z869" s="26" t="n"/>
      <c r="AA869" s="26" t="n"/>
      <c r="AD869" s="0">
        <f>SUM(Y869,AA869,AC869)</f>
        <v/>
      </c>
      <c r="AE869" s="0">
        <f>X869*Y869+Z869*AA869+AB869*AC869</f>
        <v/>
      </c>
      <c r="AF869" s="0">
        <f>TEXTJOIN(", ",TRUE,IF(AND(X869&gt;0,Y869&gt;0),TEXT(X869,"0.00")&amp;"ct x "&amp;Y869,""),IF(AND(Z869&gt;0,AA869&gt;0),TEXT(Z869,"0.00")&amp;"ct x "&amp;AA869,""),IF(AND(AB869&gt;0,AC869&gt;0),TEXT(AB869,"0.00")&amp;"ct x "&amp;AC869,""))</f>
        <v/>
      </c>
      <c r="AG869" s="0">
        <f>X869*Y869*SUMIFS($AM$2:$AM$11,$AK$2:$AK$11,"&lt;="&amp;X869,$AL$2:$AL$11,"&gt;="&amp;X869)+Z869*AA869*SUMIFS($AM$2:$AM$11,$AK$2:$AK$11,"&lt;="&amp;Z869,$AL$2:$AL$11,"&gt;="&amp;Z869)+AB869*AC869*SUMIFS($AM$2:$AM$11,$AK$2:$AK$11,"&lt;="&amp;AB869,$AL$2:$AL$11,"&gt;="&amp;AB869)</f>
        <v/>
      </c>
      <c r="AH869" s="0">
        <f>AG869*(1-40%)</f>
        <v/>
      </c>
      <c r="AI869" s="0">
        <f>AH869*1.2</f>
        <v/>
      </c>
    </row>
    <row r="870">
      <c r="A870" s="26" t="n"/>
      <c r="B870" s="169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>
        <f>AG870</f>
        <v/>
      </c>
      <c r="T870" s="26">
        <f>AI870+Q870+P870</f>
        <v/>
      </c>
      <c r="U870" s="26" t="n"/>
      <c r="V870" s="26" t="n"/>
      <c r="W870" s="169" t="n"/>
      <c r="X870" s="26" t="n"/>
      <c r="Y870" s="26" t="n"/>
      <c r="Z870" s="26" t="n"/>
      <c r="AA870" s="26" t="n"/>
      <c r="AD870" s="0">
        <f>SUM(Y870,AA870,AC870)</f>
        <v/>
      </c>
      <c r="AE870" s="0">
        <f>X870*Y870+Z870*AA870+AB870*AC870</f>
        <v/>
      </c>
      <c r="AF870" s="0">
        <f>TEXTJOIN(", ",TRUE,IF(AND(X870&gt;0,Y870&gt;0),TEXT(X870,"0.00")&amp;"ct x "&amp;Y870,""),IF(AND(Z870&gt;0,AA870&gt;0),TEXT(Z870,"0.00")&amp;"ct x "&amp;AA870,""),IF(AND(AB870&gt;0,AC870&gt;0),TEXT(AB870,"0.00")&amp;"ct x "&amp;AC870,""))</f>
        <v/>
      </c>
      <c r="AG870" s="0">
        <f>X870*Y870*SUMIFS($AM$2:$AM$11,$AK$2:$AK$11,"&lt;="&amp;X870,$AL$2:$AL$11,"&gt;="&amp;X870)+Z870*AA870*SUMIFS($AM$2:$AM$11,$AK$2:$AK$11,"&lt;="&amp;Z870,$AL$2:$AL$11,"&gt;="&amp;Z870)+AB870*AC870*SUMIFS($AM$2:$AM$11,$AK$2:$AK$11,"&lt;="&amp;AB870,$AL$2:$AL$11,"&gt;="&amp;AB870)</f>
        <v/>
      </c>
      <c r="AH870" s="0">
        <f>AG870*(1-40%)</f>
        <v/>
      </c>
      <c r="AI870" s="0">
        <f>AH870*1.2</f>
        <v/>
      </c>
    </row>
    <row r="871">
      <c r="A871" s="26" t="n"/>
      <c r="B871" s="169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>
        <f>AG871</f>
        <v/>
      </c>
      <c r="T871" s="26">
        <f>AI871+Q871+P871</f>
        <v/>
      </c>
      <c r="U871" s="26" t="n"/>
      <c r="V871" s="26" t="n"/>
      <c r="W871" s="169" t="n"/>
      <c r="X871" s="26" t="n"/>
      <c r="Y871" s="26" t="n"/>
      <c r="Z871" s="26" t="n"/>
      <c r="AA871" s="26" t="n"/>
      <c r="AD871" s="0">
        <f>SUM(Y871,AA871,AC871)</f>
        <v/>
      </c>
      <c r="AE871" s="0">
        <f>X871*Y871+Z871*AA871+AB871*AC871</f>
        <v/>
      </c>
      <c r="AF871" s="0">
        <f>TEXTJOIN(", ",TRUE,IF(AND(X871&gt;0,Y871&gt;0),TEXT(X871,"0.00")&amp;"ct x "&amp;Y871,""),IF(AND(Z871&gt;0,AA871&gt;0),TEXT(Z871,"0.00")&amp;"ct x "&amp;AA871,""),IF(AND(AB871&gt;0,AC871&gt;0),TEXT(AB871,"0.00")&amp;"ct x "&amp;AC871,""))</f>
        <v/>
      </c>
      <c r="AG871" s="0">
        <f>X871*Y871*SUMIFS($AM$2:$AM$11,$AK$2:$AK$11,"&lt;="&amp;X871,$AL$2:$AL$11,"&gt;="&amp;X871)+Z871*AA871*SUMIFS($AM$2:$AM$11,$AK$2:$AK$11,"&lt;="&amp;Z871,$AL$2:$AL$11,"&gt;="&amp;Z871)+AB871*AC871*SUMIFS($AM$2:$AM$11,$AK$2:$AK$11,"&lt;="&amp;AB871,$AL$2:$AL$11,"&gt;="&amp;AB871)</f>
        <v/>
      </c>
      <c r="AH871" s="0">
        <f>AG871*(1-40%)</f>
        <v/>
      </c>
      <c r="AI871" s="0">
        <f>AH871*1.2</f>
        <v/>
      </c>
    </row>
    <row r="872">
      <c r="A872" s="26" t="n"/>
      <c r="B872" s="169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>
        <f>AG872</f>
        <v/>
      </c>
      <c r="T872" s="26">
        <f>AI872+Q872+P872</f>
        <v/>
      </c>
      <c r="U872" s="26" t="n"/>
      <c r="V872" s="26" t="n"/>
      <c r="W872" s="169" t="n"/>
      <c r="X872" s="26" t="n"/>
      <c r="Y872" s="26" t="n"/>
      <c r="Z872" s="26" t="n"/>
      <c r="AA872" s="26" t="n"/>
      <c r="AD872" s="0">
        <f>SUM(Y872,AA872,AC872)</f>
        <v/>
      </c>
      <c r="AE872" s="0">
        <f>X872*Y872+Z872*AA872+AB872*AC872</f>
        <v/>
      </c>
      <c r="AF872" s="0">
        <f>TEXTJOIN(", ",TRUE,IF(AND(X872&gt;0,Y872&gt;0),TEXT(X872,"0.00")&amp;"ct x "&amp;Y872,""),IF(AND(Z872&gt;0,AA872&gt;0),TEXT(Z872,"0.00")&amp;"ct x "&amp;AA872,""),IF(AND(AB872&gt;0,AC872&gt;0),TEXT(AB872,"0.00")&amp;"ct x "&amp;AC872,""))</f>
        <v/>
      </c>
      <c r="AG872" s="0">
        <f>X872*Y872*SUMIFS($AM$2:$AM$11,$AK$2:$AK$11,"&lt;="&amp;X872,$AL$2:$AL$11,"&gt;="&amp;X872)+Z872*AA872*SUMIFS($AM$2:$AM$11,$AK$2:$AK$11,"&lt;="&amp;Z872,$AL$2:$AL$11,"&gt;="&amp;Z872)+AB872*AC872*SUMIFS($AM$2:$AM$11,$AK$2:$AK$11,"&lt;="&amp;AB872,$AL$2:$AL$11,"&gt;="&amp;AB872)</f>
        <v/>
      </c>
      <c r="AH872" s="0">
        <f>AG872*(1-40%)</f>
        <v/>
      </c>
      <c r="AI872" s="0">
        <f>AH872*1.2</f>
        <v/>
      </c>
    </row>
    <row r="873">
      <c r="A873" s="26" t="n"/>
      <c r="B873" s="169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>
        <f>AG873</f>
        <v/>
      </c>
      <c r="T873" s="26">
        <f>AI873+Q873+P873</f>
        <v/>
      </c>
      <c r="U873" s="26" t="n"/>
      <c r="V873" s="26" t="n"/>
      <c r="W873" s="169" t="n"/>
      <c r="X873" s="26" t="n"/>
      <c r="Y873" s="26" t="n"/>
      <c r="Z873" s="26" t="n"/>
      <c r="AA873" s="26" t="n"/>
      <c r="AD873" s="0">
        <f>SUM(Y873,AA873,AC873)</f>
        <v/>
      </c>
      <c r="AE873" s="0">
        <f>X873*Y873+Z873*AA873+AB873*AC873</f>
        <v/>
      </c>
      <c r="AF873" s="0">
        <f>TEXTJOIN(", ",TRUE,IF(AND(X873&gt;0,Y873&gt;0),TEXT(X873,"0.00")&amp;"ct x "&amp;Y873,""),IF(AND(Z873&gt;0,AA873&gt;0),TEXT(Z873,"0.00")&amp;"ct x "&amp;AA873,""),IF(AND(AB873&gt;0,AC873&gt;0),TEXT(AB873,"0.00")&amp;"ct x "&amp;AC873,""))</f>
        <v/>
      </c>
      <c r="AG873" s="0">
        <f>X873*Y873*SUMIFS($AM$2:$AM$11,$AK$2:$AK$11,"&lt;="&amp;X873,$AL$2:$AL$11,"&gt;="&amp;X873)+Z873*AA873*SUMIFS($AM$2:$AM$11,$AK$2:$AK$11,"&lt;="&amp;Z873,$AL$2:$AL$11,"&gt;="&amp;Z873)+AB873*AC873*SUMIFS($AM$2:$AM$11,$AK$2:$AK$11,"&lt;="&amp;AB873,$AL$2:$AL$11,"&gt;="&amp;AB873)</f>
        <v/>
      </c>
      <c r="AH873" s="0">
        <f>AG873*(1-40%)</f>
        <v/>
      </c>
      <c r="AI873" s="0">
        <f>AH873*1.2</f>
        <v/>
      </c>
    </row>
    <row r="874">
      <c r="A874" s="26" t="n"/>
      <c r="B874" s="169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>
        <f>AG874</f>
        <v/>
      </c>
      <c r="T874" s="26">
        <f>AI874+Q874+P874</f>
        <v/>
      </c>
      <c r="U874" s="26" t="n"/>
      <c r="V874" s="26" t="n"/>
      <c r="W874" s="169" t="n"/>
      <c r="X874" s="26" t="n"/>
      <c r="Y874" s="26" t="n"/>
      <c r="Z874" s="26" t="n"/>
      <c r="AA874" s="26" t="n"/>
      <c r="AD874" s="0">
        <f>SUM(Y874,AA874,AC874)</f>
        <v/>
      </c>
      <c r="AE874" s="0">
        <f>X874*Y874+Z874*AA874+AB874*AC874</f>
        <v/>
      </c>
      <c r="AF874" s="0">
        <f>TEXTJOIN(", ",TRUE,IF(AND(X874&gt;0,Y874&gt;0),TEXT(X874,"0.00")&amp;"ct x "&amp;Y874,""),IF(AND(Z874&gt;0,AA874&gt;0),TEXT(Z874,"0.00")&amp;"ct x "&amp;AA874,""),IF(AND(AB874&gt;0,AC874&gt;0),TEXT(AB874,"0.00")&amp;"ct x "&amp;AC874,""))</f>
        <v/>
      </c>
      <c r="AG874" s="0">
        <f>X874*Y874*SUMIFS($AM$2:$AM$11,$AK$2:$AK$11,"&lt;="&amp;X874,$AL$2:$AL$11,"&gt;="&amp;X874)+Z874*AA874*SUMIFS($AM$2:$AM$11,$AK$2:$AK$11,"&lt;="&amp;Z874,$AL$2:$AL$11,"&gt;="&amp;Z874)+AB874*AC874*SUMIFS($AM$2:$AM$11,$AK$2:$AK$11,"&lt;="&amp;AB874,$AL$2:$AL$11,"&gt;="&amp;AB874)</f>
        <v/>
      </c>
      <c r="AH874" s="0">
        <f>AG874*(1-40%)</f>
        <v/>
      </c>
      <c r="AI874" s="0">
        <f>AH874*1.2</f>
        <v/>
      </c>
    </row>
    <row r="875">
      <c r="A875" s="26" t="n"/>
      <c r="B875" s="169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>
        <f>AG875</f>
        <v/>
      </c>
      <c r="T875" s="26">
        <f>AI875+Q875+P875</f>
        <v/>
      </c>
      <c r="U875" s="26" t="n"/>
      <c r="V875" s="26" t="n"/>
      <c r="W875" s="169" t="n"/>
      <c r="X875" s="26" t="n"/>
      <c r="Y875" s="26" t="n"/>
      <c r="Z875" s="26" t="n"/>
      <c r="AA875" s="26" t="n"/>
      <c r="AD875" s="0">
        <f>SUM(Y875,AA875,AC875)</f>
        <v/>
      </c>
      <c r="AE875" s="0">
        <f>X875*Y875+Z875*AA875+AB875*AC875</f>
        <v/>
      </c>
      <c r="AF875" s="0">
        <f>TEXTJOIN(", ",TRUE,IF(AND(X875&gt;0,Y875&gt;0),TEXT(X875,"0.00")&amp;"ct x "&amp;Y875,""),IF(AND(Z875&gt;0,AA875&gt;0),TEXT(Z875,"0.00")&amp;"ct x "&amp;AA875,""),IF(AND(AB875&gt;0,AC875&gt;0),TEXT(AB875,"0.00")&amp;"ct x "&amp;AC875,""))</f>
        <v/>
      </c>
      <c r="AG875" s="0">
        <f>X875*Y875*SUMIFS($AM$2:$AM$11,$AK$2:$AK$11,"&lt;="&amp;X875,$AL$2:$AL$11,"&gt;="&amp;X875)+Z875*AA875*SUMIFS($AM$2:$AM$11,$AK$2:$AK$11,"&lt;="&amp;Z875,$AL$2:$AL$11,"&gt;="&amp;Z875)+AB875*AC875*SUMIFS($AM$2:$AM$11,$AK$2:$AK$11,"&lt;="&amp;AB875,$AL$2:$AL$11,"&gt;="&amp;AB875)</f>
        <v/>
      </c>
      <c r="AH875" s="0">
        <f>AG875*(1-40%)</f>
        <v/>
      </c>
      <c r="AI875" s="0">
        <f>AH875*1.2</f>
        <v/>
      </c>
    </row>
    <row r="876">
      <c r="A876" s="26" t="n"/>
      <c r="B876" s="169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>
        <f>AG876</f>
        <v/>
      </c>
      <c r="T876" s="26">
        <f>AI876+Q876+P876</f>
        <v/>
      </c>
      <c r="U876" s="26" t="n"/>
      <c r="V876" s="26" t="n"/>
      <c r="W876" s="169" t="n"/>
      <c r="X876" s="26" t="n"/>
      <c r="Y876" s="26" t="n"/>
      <c r="Z876" s="26" t="n"/>
      <c r="AA876" s="26" t="n"/>
      <c r="AD876" s="0">
        <f>SUM(Y876,AA876,AC876)</f>
        <v/>
      </c>
      <c r="AE876" s="0">
        <f>X876*Y876+Z876*AA876+AB876*AC876</f>
        <v/>
      </c>
      <c r="AF876" s="0">
        <f>TEXTJOIN(", ",TRUE,IF(AND(X876&gt;0,Y876&gt;0),TEXT(X876,"0.00")&amp;"ct x "&amp;Y876,""),IF(AND(Z876&gt;0,AA876&gt;0),TEXT(Z876,"0.00")&amp;"ct x "&amp;AA876,""),IF(AND(AB876&gt;0,AC876&gt;0),TEXT(AB876,"0.00")&amp;"ct x "&amp;AC876,""))</f>
        <v/>
      </c>
      <c r="AG876" s="0">
        <f>X876*Y876*SUMIFS($AM$2:$AM$11,$AK$2:$AK$11,"&lt;="&amp;X876,$AL$2:$AL$11,"&gt;="&amp;X876)+Z876*AA876*SUMIFS($AM$2:$AM$11,$AK$2:$AK$11,"&lt;="&amp;Z876,$AL$2:$AL$11,"&gt;="&amp;Z876)+AB876*AC876*SUMIFS($AM$2:$AM$11,$AK$2:$AK$11,"&lt;="&amp;AB876,$AL$2:$AL$11,"&gt;="&amp;AB876)</f>
        <v/>
      </c>
      <c r="AH876" s="0">
        <f>AG876*(1-40%)</f>
        <v/>
      </c>
      <c r="AI876" s="0">
        <f>AH876*1.2</f>
        <v/>
      </c>
    </row>
    <row r="877">
      <c r="A877" s="26" t="n"/>
      <c r="B877" s="169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>
        <f>AG877</f>
        <v/>
      </c>
      <c r="T877" s="26">
        <f>AI877+Q877+P877</f>
        <v/>
      </c>
      <c r="U877" s="26" t="n"/>
      <c r="V877" s="26" t="n"/>
      <c r="W877" s="169" t="n"/>
      <c r="X877" s="26" t="n"/>
      <c r="Y877" s="26" t="n"/>
      <c r="Z877" s="26" t="n"/>
      <c r="AA877" s="26" t="n"/>
      <c r="AD877" s="0">
        <f>SUM(Y877,AA877,AC877)</f>
        <v/>
      </c>
      <c r="AE877" s="0">
        <f>X877*Y877+Z877*AA877+AB877*AC877</f>
        <v/>
      </c>
      <c r="AF877" s="0">
        <f>TEXTJOIN(", ",TRUE,IF(AND(X877&gt;0,Y877&gt;0),TEXT(X877,"0.00")&amp;"ct x "&amp;Y877,""),IF(AND(Z877&gt;0,AA877&gt;0),TEXT(Z877,"0.00")&amp;"ct x "&amp;AA877,""),IF(AND(AB877&gt;0,AC877&gt;0),TEXT(AB877,"0.00")&amp;"ct x "&amp;AC877,""))</f>
        <v/>
      </c>
      <c r="AG877" s="0">
        <f>X877*Y877*SUMIFS($AM$2:$AM$11,$AK$2:$AK$11,"&lt;="&amp;X877,$AL$2:$AL$11,"&gt;="&amp;X877)+Z877*AA877*SUMIFS($AM$2:$AM$11,$AK$2:$AK$11,"&lt;="&amp;Z877,$AL$2:$AL$11,"&gt;="&amp;Z877)+AB877*AC877*SUMIFS($AM$2:$AM$11,$AK$2:$AK$11,"&lt;="&amp;AB877,$AL$2:$AL$11,"&gt;="&amp;AB877)</f>
        <v/>
      </c>
      <c r="AH877" s="0">
        <f>AG877*(1-40%)</f>
        <v/>
      </c>
      <c r="AI877" s="0">
        <f>AH877*1.2</f>
        <v/>
      </c>
    </row>
    <row r="878">
      <c r="A878" s="26" t="n"/>
      <c r="B878" s="169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>
        <f>AG878</f>
        <v/>
      </c>
      <c r="T878" s="26">
        <f>AI878+Q878+P878</f>
        <v/>
      </c>
      <c r="U878" s="26" t="n"/>
      <c r="V878" s="26" t="n"/>
      <c r="W878" s="169" t="n"/>
      <c r="X878" s="26" t="n"/>
      <c r="Y878" s="26" t="n"/>
      <c r="Z878" s="26" t="n"/>
      <c r="AA878" s="26" t="n"/>
      <c r="AD878" s="0">
        <f>SUM(Y878,AA878,AC878)</f>
        <v/>
      </c>
      <c r="AE878" s="0">
        <f>X878*Y878+Z878*AA878+AB878*AC878</f>
        <v/>
      </c>
      <c r="AF878" s="0">
        <f>TEXTJOIN(", ",TRUE,IF(AND(X878&gt;0,Y878&gt;0),TEXT(X878,"0.00")&amp;"ct x "&amp;Y878,""),IF(AND(Z878&gt;0,AA878&gt;0),TEXT(Z878,"0.00")&amp;"ct x "&amp;AA878,""),IF(AND(AB878&gt;0,AC878&gt;0),TEXT(AB878,"0.00")&amp;"ct x "&amp;AC878,""))</f>
        <v/>
      </c>
      <c r="AG878" s="0">
        <f>X878*Y878*SUMIFS($AM$2:$AM$11,$AK$2:$AK$11,"&lt;="&amp;X878,$AL$2:$AL$11,"&gt;="&amp;X878)+Z878*AA878*SUMIFS($AM$2:$AM$11,$AK$2:$AK$11,"&lt;="&amp;Z878,$AL$2:$AL$11,"&gt;="&amp;Z878)+AB878*AC878*SUMIFS($AM$2:$AM$11,$AK$2:$AK$11,"&lt;="&amp;AB878,$AL$2:$AL$11,"&gt;="&amp;AB878)</f>
        <v/>
      </c>
      <c r="AH878" s="0">
        <f>AG878*(1-40%)</f>
        <v/>
      </c>
      <c r="AI878" s="0">
        <f>AH878*1.2</f>
        <v/>
      </c>
    </row>
    <row r="879">
      <c r="A879" s="26" t="n"/>
      <c r="B879" s="169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>
        <f>AG879</f>
        <v/>
      </c>
      <c r="T879" s="26">
        <f>AI879+Q879+P879</f>
        <v/>
      </c>
      <c r="U879" s="26" t="n"/>
      <c r="V879" s="26" t="n"/>
      <c r="W879" s="169" t="n"/>
      <c r="X879" s="26" t="n"/>
      <c r="Y879" s="26" t="n"/>
      <c r="Z879" s="26" t="n"/>
      <c r="AA879" s="26" t="n"/>
      <c r="AD879" s="0">
        <f>SUM(Y879,AA879,AC879)</f>
        <v/>
      </c>
      <c r="AE879" s="0">
        <f>X879*Y879+Z879*AA879+AB879*AC879</f>
        <v/>
      </c>
      <c r="AF879" s="0">
        <f>TEXTJOIN(", ",TRUE,IF(AND(X879&gt;0,Y879&gt;0),TEXT(X879,"0.00")&amp;"ct x "&amp;Y879,""),IF(AND(Z879&gt;0,AA879&gt;0),TEXT(Z879,"0.00")&amp;"ct x "&amp;AA879,""),IF(AND(AB879&gt;0,AC879&gt;0),TEXT(AB879,"0.00")&amp;"ct x "&amp;AC879,""))</f>
        <v/>
      </c>
      <c r="AG879" s="0">
        <f>X879*Y879*SUMIFS($AM$2:$AM$11,$AK$2:$AK$11,"&lt;="&amp;X879,$AL$2:$AL$11,"&gt;="&amp;X879)+Z879*AA879*SUMIFS($AM$2:$AM$11,$AK$2:$AK$11,"&lt;="&amp;Z879,$AL$2:$AL$11,"&gt;="&amp;Z879)+AB879*AC879*SUMIFS($AM$2:$AM$11,$AK$2:$AK$11,"&lt;="&amp;AB879,$AL$2:$AL$11,"&gt;="&amp;AB879)</f>
        <v/>
      </c>
      <c r="AH879" s="0">
        <f>AG879*(1-40%)</f>
        <v/>
      </c>
      <c r="AI879" s="0">
        <f>AH879*1.2</f>
        <v/>
      </c>
    </row>
    <row r="880">
      <c r="A880" s="26" t="n"/>
      <c r="B880" s="169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>
        <f>AG880</f>
        <v/>
      </c>
      <c r="T880" s="26">
        <f>AI880+Q880+P880</f>
        <v/>
      </c>
      <c r="U880" s="26" t="n"/>
      <c r="V880" s="26" t="n"/>
      <c r="W880" s="169" t="n"/>
      <c r="X880" s="26" t="n"/>
      <c r="Y880" s="26" t="n"/>
      <c r="Z880" s="26" t="n"/>
      <c r="AA880" s="26" t="n"/>
      <c r="AD880" s="0">
        <f>SUM(Y880,AA880,AC880)</f>
        <v/>
      </c>
      <c r="AE880" s="0">
        <f>X880*Y880+Z880*AA880+AB880*AC880</f>
        <v/>
      </c>
      <c r="AF880" s="0">
        <f>TEXTJOIN(", ",TRUE,IF(AND(X880&gt;0,Y880&gt;0),TEXT(X880,"0.00")&amp;"ct x "&amp;Y880,""),IF(AND(Z880&gt;0,AA880&gt;0),TEXT(Z880,"0.00")&amp;"ct x "&amp;AA880,""),IF(AND(AB880&gt;0,AC880&gt;0),TEXT(AB880,"0.00")&amp;"ct x "&amp;AC880,""))</f>
        <v/>
      </c>
      <c r="AG880" s="0">
        <f>X880*Y880*SUMIFS($AM$2:$AM$11,$AK$2:$AK$11,"&lt;="&amp;X880,$AL$2:$AL$11,"&gt;="&amp;X880)+Z880*AA880*SUMIFS($AM$2:$AM$11,$AK$2:$AK$11,"&lt;="&amp;Z880,$AL$2:$AL$11,"&gt;="&amp;Z880)+AB880*AC880*SUMIFS($AM$2:$AM$11,$AK$2:$AK$11,"&lt;="&amp;AB880,$AL$2:$AL$11,"&gt;="&amp;AB880)</f>
        <v/>
      </c>
      <c r="AH880" s="0">
        <f>AG880*(1-40%)</f>
        <v/>
      </c>
      <c r="AI880" s="0">
        <f>AH880*1.2</f>
        <v/>
      </c>
    </row>
    <row r="881">
      <c r="A881" s="26" t="n"/>
      <c r="B881" s="169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>
        <f>AG881</f>
        <v/>
      </c>
      <c r="T881" s="26">
        <f>AI881+Q881+P881</f>
        <v/>
      </c>
      <c r="U881" s="26" t="n"/>
      <c r="V881" s="26" t="n"/>
      <c r="W881" s="169" t="n"/>
      <c r="X881" s="26" t="n"/>
      <c r="Y881" s="26" t="n"/>
      <c r="Z881" s="26" t="n"/>
      <c r="AA881" s="26" t="n"/>
      <c r="AD881" s="0">
        <f>SUM(Y881,AA881,AC881)</f>
        <v/>
      </c>
      <c r="AE881" s="0">
        <f>X881*Y881+Z881*AA881+AB881*AC881</f>
        <v/>
      </c>
      <c r="AF881" s="0">
        <f>TEXTJOIN(", ",TRUE,IF(AND(X881&gt;0,Y881&gt;0),TEXT(X881,"0.00")&amp;"ct x "&amp;Y881,""),IF(AND(Z881&gt;0,AA881&gt;0),TEXT(Z881,"0.00")&amp;"ct x "&amp;AA881,""),IF(AND(AB881&gt;0,AC881&gt;0),TEXT(AB881,"0.00")&amp;"ct x "&amp;AC881,""))</f>
        <v/>
      </c>
      <c r="AG881" s="0">
        <f>X881*Y881*SUMIFS($AM$2:$AM$11,$AK$2:$AK$11,"&lt;="&amp;X881,$AL$2:$AL$11,"&gt;="&amp;X881)+Z881*AA881*SUMIFS($AM$2:$AM$11,$AK$2:$AK$11,"&lt;="&amp;Z881,$AL$2:$AL$11,"&gt;="&amp;Z881)+AB881*AC881*SUMIFS($AM$2:$AM$11,$AK$2:$AK$11,"&lt;="&amp;AB881,$AL$2:$AL$11,"&gt;="&amp;AB881)</f>
        <v/>
      </c>
      <c r="AH881" s="0">
        <f>AG881*(1-40%)</f>
        <v/>
      </c>
      <c r="AI881" s="0">
        <f>AH881*1.2</f>
        <v/>
      </c>
    </row>
    <row r="882">
      <c r="A882" s="26" t="n"/>
      <c r="B882" s="169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>
        <f>AG882</f>
        <v/>
      </c>
      <c r="T882" s="26">
        <f>AI882+Q882+P882</f>
        <v/>
      </c>
      <c r="U882" s="26" t="n"/>
      <c r="V882" s="26" t="n"/>
      <c r="W882" s="169" t="n"/>
      <c r="X882" s="26" t="n"/>
      <c r="Y882" s="26" t="n"/>
      <c r="Z882" s="26" t="n"/>
      <c r="AA882" s="26" t="n"/>
      <c r="AD882" s="0">
        <f>SUM(Y882,AA882,AC882)</f>
        <v/>
      </c>
      <c r="AE882" s="0">
        <f>X882*Y882+Z882*AA882+AB882*AC882</f>
        <v/>
      </c>
      <c r="AF882" s="0">
        <f>TEXTJOIN(", ",TRUE,IF(AND(X882&gt;0,Y882&gt;0),TEXT(X882,"0.00")&amp;"ct x "&amp;Y882,""),IF(AND(Z882&gt;0,AA882&gt;0),TEXT(Z882,"0.00")&amp;"ct x "&amp;AA882,""),IF(AND(AB882&gt;0,AC882&gt;0),TEXT(AB882,"0.00")&amp;"ct x "&amp;AC882,""))</f>
        <v/>
      </c>
      <c r="AG882" s="0">
        <f>X882*Y882*SUMIFS($AM$2:$AM$11,$AK$2:$AK$11,"&lt;="&amp;X882,$AL$2:$AL$11,"&gt;="&amp;X882)+Z882*AA882*SUMIFS($AM$2:$AM$11,$AK$2:$AK$11,"&lt;="&amp;Z882,$AL$2:$AL$11,"&gt;="&amp;Z882)+AB882*AC882*SUMIFS($AM$2:$AM$11,$AK$2:$AK$11,"&lt;="&amp;AB882,$AL$2:$AL$11,"&gt;="&amp;AB882)</f>
        <v/>
      </c>
      <c r="AH882" s="0">
        <f>AG882*(1-40%)</f>
        <v/>
      </c>
      <c r="AI882" s="0">
        <f>AH882*1.2</f>
        <v/>
      </c>
    </row>
    <row r="883">
      <c r="A883" s="26" t="n"/>
      <c r="B883" s="169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>
        <f>AG883</f>
        <v/>
      </c>
      <c r="T883" s="26">
        <f>AI883+Q883+P883</f>
        <v/>
      </c>
      <c r="U883" s="26" t="n"/>
      <c r="V883" s="26" t="n"/>
      <c r="W883" s="169" t="n"/>
      <c r="X883" s="26" t="n"/>
      <c r="Y883" s="26" t="n"/>
      <c r="Z883" s="26" t="n"/>
      <c r="AA883" s="26" t="n"/>
      <c r="AD883" s="0">
        <f>SUM(Y883,AA883,AC883)</f>
        <v/>
      </c>
      <c r="AE883" s="0">
        <f>X883*Y883+Z883*AA883+AB883*AC883</f>
        <v/>
      </c>
      <c r="AF883" s="0">
        <f>TEXTJOIN(", ",TRUE,IF(AND(X883&gt;0,Y883&gt;0),TEXT(X883,"0.00")&amp;"ct x "&amp;Y883,""),IF(AND(Z883&gt;0,AA883&gt;0),TEXT(Z883,"0.00")&amp;"ct x "&amp;AA883,""),IF(AND(AB883&gt;0,AC883&gt;0),TEXT(AB883,"0.00")&amp;"ct x "&amp;AC883,""))</f>
        <v/>
      </c>
      <c r="AG883" s="0">
        <f>X883*Y883*SUMIFS($AM$2:$AM$11,$AK$2:$AK$11,"&lt;="&amp;X883,$AL$2:$AL$11,"&gt;="&amp;X883)+Z883*AA883*SUMIFS($AM$2:$AM$11,$AK$2:$AK$11,"&lt;="&amp;Z883,$AL$2:$AL$11,"&gt;="&amp;Z883)+AB883*AC883*SUMIFS($AM$2:$AM$11,$AK$2:$AK$11,"&lt;="&amp;AB883,$AL$2:$AL$11,"&gt;="&amp;AB883)</f>
        <v/>
      </c>
      <c r="AH883" s="0">
        <f>AG883*(1-40%)</f>
        <v/>
      </c>
      <c r="AI883" s="0">
        <f>AH883*1.2</f>
        <v/>
      </c>
    </row>
    <row r="884">
      <c r="A884" s="26" t="n"/>
      <c r="B884" s="169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>
        <f>AG884</f>
        <v/>
      </c>
      <c r="T884" s="26">
        <f>AI884+Q884+P884</f>
        <v/>
      </c>
      <c r="U884" s="26" t="n"/>
      <c r="V884" s="26" t="n"/>
      <c r="W884" s="169" t="n"/>
      <c r="X884" s="26" t="n"/>
      <c r="Y884" s="26" t="n"/>
      <c r="Z884" s="26" t="n"/>
      <c r="AA884" s="26" t="n"/>
      <c r="AD884" s="0">
        <f>SUM(Y884,AA884,AC884)</f>
        <v/>
      </c>
      <c r="AE884" s="0">
        <f>X884*Y884+Z884*AA884+AB884*AC884</f>
        <v/>
      </c>
      <c r="AF884" s="0">
        <f>TEXTJOIN(", ",TRUE,IF(AND(X884&gt;0,Y884&gt;0),TEXT(X884,"0.00")&amp;"ct x "&amp;Y884,""),IF(AND(Z884&gt;0,AA884&gt;0),TEXT(Z884,"0.00")&amp;"ct x "&amp;AA884,""),IF(AND(AB884&gt;0,AC884&gt;0),TEXT(AB884,"0.00")&amp;"ct x "&amp;AC884,""))</f>
        <v/>
      </c>
      <c r="AG884" s="0">
        <f>X884*Y884*SUMIFS($AM$2:$AM$11,$AK$2:$AK$11,"&lt;="&amp;X884,$AL$2:$AL$11,"&gt;="&amp;X884)+Z884*AA884*SUMIFS($AM$2:$AM$11,$AK$2:$AK$11,"&lt;="&amp;Z884,$AL$2:$AL$11,"&gt;="&amp;Z884)+AB884*AC884*SUMIFS($AM$2:$AM$11,$AK$2:$AK$11,"&lt;="&amp;AB884,$AL$2:$AL$11,"&gt;="&amp;AB884)</f>
        <v/>
      </c>
      <c r="AH884" s="0">
        <f>AG884*(1-40%)</f>
        <v/>
      </c>
      <c r="AI884" s="0">
        <f>AH884*1.2</f>
        <v/>
      </c>
    </row>
    <row r="885">
      <c r="A885" s="26" t="n"/>
      <c r="B885" s="169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>
        <f>AG885</f>
        <v/>
      </c>
      <c r="T885" s="26">
        <f>AI885+Q885+P885</f>
        <v/>
      </c>
      <c r="U885" s="26" t="n"/>
      <c r="V885" s="26" t="n"/>
      <c r="W885" s="169" t="n"/>
      <c r="X885" s="26" t="n"/>
      <c r="Y885" s="26" t="n"/>
      <c r="Z885" s="26" t="n"/>
      <c r="AA885" s="26" t="n"/>
      <c r="AD885" s="0">
        <f>SUM(Y885,AA885,AC885)</f>
        <v/>
      </c>
      <c r="AE885" s="0">
        <f>X885*Y885+Z885*AA885+AB885*AC885</f>
        <v/>
      </c>
      <c r="AF885" s="0">
        <f>TEXTJOIN(", ",TRUE,IF(AND(X885&gt;0,Y885&gt;0),TEXT(X885,"0.00")&amp;"ct x "&amp;Y885,""),IF(AND(Z885&gt;0,AA885&gt;0),TEXT(Z885,"0.00")&amp;"ct x "&amp;AA885,""),IF(AND(AB885&gt;0,AC885&gt;0),TEXT(AB885,"0.00")&amp;"ct x "&amp;AC885,""))</f>
        <v/>
      </c>
      <c r="AG885" s="0">
        <f>X885*Y885*SUMIFS($AM$2:$AM$11,$AK$2:$AK$11,"&lt;="&amp;X885,$AL$2:$AL$11,"&gt;="&amp;X885)+Z885*AA885*SUMIFS($AM$2:$AM$11,$AK$2:$AK$11,"&lt;="&amp;Z885,$AL$2:$AL$11,"&gt;="&amp;Z885)+AB885*AC885*SUMIFS($AM$2:$AM$11,$AK$2:$AK$11,"&lt;="&amp;AB885,$AL$2:$AL$11,"&gt;="&amp;AB885)</f>
        <v/>
      </c>
      <c r="AH885" s="0">
        <f>AG885*(1-40%)</f>
        <v/>
      </c>
      <c r="AI885" s="0">
        <f>AH885*1.2</f>
        <v/>
      </c>
    </row>
    <row r="886">
      <c r="A886" s="26" t="n"/>
      <c r="B886" s="169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>
        <f>AG886</f>
        <v/>
      </c>
      <c r="T886" s="26">
        <f>AI886+Q886+P886</f>
        <v/>
      </c>
      <c r="U886" s="26" t="n"/>
      <c r="V886" s="26" t="n"/>
      <c r="W886" s="169" t="n"/>
      <c r="X886" s="26" t="n"/>
      <c r="Y886" s="26" t="n"/>
      <c r="Z886" s="26" t="n"/>
      <c r="AA886" s="26" t="n"/>
      <c r="AD886" s="0">
        <f>SUM(Y886,AA886,AC886)</f>
        <v/>
      </c>
      <c r="AE886" s="0">
        <f>X886*Y886+Z886*AA886+AB886*AC886</f>
        <v/>
      </c>
      <c r="AF886" s="0">
        <f>TEXTJOIN(", ",TRUE,IF(AND(X886&gt;0,Y886&gt;0),TEXT(X886,"0.00")&amp;"ct x "&amp;Y886,""),IF(AND(Z886&gt;0,AA886&gt;0),TEXT(Z886,"0.00")&amp;"ct x "&amp;AA886,""),IF(AND(AB886&gt;0,AC886&gt;0),TEXT(AB886,"0.00")&amp;"ct x "&amp;AC886,""))</f>
        <v/>
      </c>
      <c r="AG886" s="0">
        <f>X886*Y886*SUMIFS($AM$2:$AM$11,$AK$2:$AK$11,"&lt;="&amp;X886,$AL$2:$AL$11,"&gt;="&amp;X886)+Z886*AA886*SUMIFS($AM$2:$AM$11,$AK$2:$AK$11,"&lt;="&amp;Z886,$AL$2:$AL$11,"&gt;="&amp;Z886)+AB886*AC886*SUMIFS($AM$2:$AM$11,$AK$2:$AK$11,"&lt;="&amp;AB886,$AL$2:$AL$11,"&gt;="&amp;AB886)</f>
        <v/>
      </c>
      <c r="AH886" s="0">
        <f>AG886*(1-40%)</f>
        <v/>
      </c>
      <c r="AI886" s="0">
        <f>AH886*1.2</f>
        <v/>
      </c>
    </row>
    <row r="887">
      <c r="A887" s="26" t="n"/>
      <c r="B887" s="169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>
        <f>AG887</f>
        <v/>
      </c>
      <c r="T887" s="26">
        <f>AI887+Q887+P887</f>
        <v/>
      </c>
      <c r="U887" s="26" t="n"/>
      <c r="V887" s="26" t="n"/>
      <c r="W887" s="169" t="n"/>
      <c r="X887" s="26" t="n"/>
      <c r="Y887" s="26" t="n"/>
      <c r="Z887" s="26" t="n"/>
      <c r="AA887" s="26" t="n"/>
      <c r="AD887" s="0">
        <f>SUM(Y887,AA887,AC887)</f>
        <v/>
      </c>
      <c r="AE887" s="0">
        <f>X887*Y887+Z887*AA887+AB887*AC887</f>
        <v/>
      </c>
      <c r="AF887" s="0">
        <f>TEXTJOIN(", ",TRUE,IF(AND(X887&gt;0,Y887&gt;0),TEXT(X887,"0.00")&amp;"ct x "&amp;Y887,""),IF(AND(Z887&gt;0,AA887&gt;0),TEXT(Z887,"0.00")&amp;"ct x "&amp;AA887,""),IF(AND(AB887&gt;0,AC887&gt;0),TEXT(AB887,"0.00")&amp;"ct x "&amp;AC887,""))</f>
        <v/>
      </c>
      <c r="AG887" s="0">
        <f>X887*Y887*SUMIFS($AM$2:$AM$11,$AK$2:$AK$11,"&lt;="&amp;X887,$AL$2:$AL$11,"&gt;="&amp;X887)+Z887*AA887*SUMIFS($AM$2:$AM$11,$AK$2:$AK$11,"&lt;="&amp;Z887,$AL$2:$AL$11,"&gt;="&amp;Z887)+AB887*AC887*SUMIFS($AM$2:$AM$11,$AK$2:$AK$11,"&lt;="&amp;AB887,$AL$2:$AL$11,"&gt;="&amp;AB887)</f>
        <v/>
      </c>
      <c r="AH887" s="0">
        <f>AG887*(1-40%)</f>
        <v/>
      </c>
      <c r="AI887" s="0">
        <f>AH887*1.2</f>
        <v/>
      </c>
    </row>
    <row r="888">
      <c r="A888" s="26" t="n"/>
      <c r="B888" s="169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>
        <f>AG888</f>
        <v/>
      </c>
      <c r="T888" s="26">
        <f>AI888+Q888+P888</f>
        <v/>
      </c>
      <c r="U888" s="26" t="n"/>
      <c r="V888" s="26" t="n"/>
      <c r="W888" s="169" t="n"/>
      <c r="X888" s="26" t="n"/>
      <c r="Y888" s="26" t="n"/>
      <c r="Z888" s="26" t="n"/>
      <c r="AA888" s="26" t="n"/>
      <c r="AD888" s="0">
        <f>SUM(Y888,AA888,AC888)</f>
        <v/>
      </c>
      <c r="AE888" s="0">
        <f>X888*Y888+Z888*AA888+AB888*AC888</f>
        <v/>
      </c>
      <c r="AF888" s="0">
        <f>TEXTJOIN(", ",TRUE,IF(AND(X888&gt;0,Y888&gt;0),TEXT(X888,"0.00")&amp;"ct x "&amp;Y888,""),IF(AND(Z888&gt;0,AA888&gt;0),TEXT(Z888,"0.00")&amp;"ct x "&amp;AA888,""),IF(AND(AB888&gt;0,AC888&gt;0),TEXT(AB888,"0.00")&amp;"ct x "&amp;AC888,""))</f>
        <v/>
      </c>
      <c r="AG888" s="0">
        <f>X888*Y888*SUMIFS($AM$2:$AM$11,$AK$2:$AK$11,"&lt;="&amp;X888,$AL$2:$AL$11,"&gt;="&amp;X888)+Z888*AA888*SUMIFS($AM$2:$AM$11,$AK$2:$AK$11,"&lt;="&amp;Z888,$AL$2:$AL$11,"&gt;="&amp;Z888)+AB888*AC888*SUMIFS($AM$2:$AM$11,$AK$2:$AK$11,"&lt;="&amp;AB888,$AL$2:$AL$11,"&gt;="&amp;AB888)</f>
        <v/>
      </c>
      <c r="AH888" s="0">
        <f>AG888*(1-40%)</f>
        <v/>
      </c>
      <c r="AI888" s="0">
        <f>AH888*1.2</f>
        <v/>
      </c>
    </row>
    <row r="889">
      <c r="A889" s="26" t="n"/>
      <c r="B889" s="169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>
        <f>AG889</f>
        <v/>
      </c>
      <c r="T889" s="26">
        <f>AI889+Q889+P889</f>
        <v/>
      </c>
      <c r="U889" s="26" t="n"/>
      <c r="V889" s="26" t="n"/>
      <c r="W889" s="169" t="n"/>
      <c r="X889" s="26" t="n"/>
      <c r="Y889" s="26" t="n"/>
      <c r="Z889" s="26" t="n"/>
      <c r="AA889" s="26" t="n"/>
      <c r="AD889" s="0">
        <f>SUM(Y889,AA889,AC889)</f>
        <v/>
      </c>
      <c r="AE889" s="0">
        <f>X889*Y889+Z889*AA889+AB889*AC889</f>
        <v/>
      </c>
      <c r="AF889" s="0">
        <f>TEXTJOIN(", ",TRUE,IF(AND(X889&gt;0,Y889&gt;0),TEXT(X889,"0.00")&amp;"ct x "&amp;Y889,""),IF(AND(Z889&gt;0,AA889&gt;0),TEXT(Z889,"0.00")&amp;"ct x "&amp;AA889,""),IF(AND(AB889&gt;0,AC889&gt;0),TEXT(AB889,"0.00")&amp;"ct x "&amp;AC889,""))</f>
        <v/>
      </c>
      <c r="AG889" s="0">
        <f>X889*Y889*SUMIFS($AM$2:$AM$11,$AK$2:$AK$11,"&lt;="&amp;X889,$AL$2:$AL$11,"&gt;="&amp;X889)+Z889*AA889*SUMIFS($AM$2:$AM$11,$AK$2:$AK$11,"&lt;="&amp;Z889,$AL$2:$AL$11,"&gt;="&amp;Z889)+AB889*AC889*SUMIFS($AM$2:$AM$11,$AK$2:$AK$11,"&lt;="&amp;AB889,$AL$2:$AL$11,"&gt;="&amp;AB889)</f>
        <v/>
      </c>
      <c r="AH889" s="0">
        <f>AG889*(1-40%)</f>
        <v/>
      </c>
      <c r="AI889" s="0">
        <f>AH889*1.2</f>
        <v/>
      </c>
    </row>
    <row r="890">
      <c r="A890" s="26" t="n"/>
      <c r="B890" s="169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>
        <f>AG890</f>
        <v/>
      </c>
      <c r="T890" s="26">
        <f>AI890+Q890+P890</f>
        <v/>
      </c>
      <c r="U890" s="26" t="n"/>
      <c r="V890" s="26" t="n"/>
      <c r="W890" s="169" t="n"/>
      <c r="X890" s="26" t="n"/>
      <c r="Y890" s="26" t="n"/>
      <c r="Z890" s="26" t="n"/>
      <c r="AA890" s="26" t="n"/>
      <c r="AD890" s="0">
        <f>SUM(Y890,AA890,AC890)</f>
        <v/>
      </c>
      <c r="AE890" s="0">
        <f>X890*Y890+Z890*AA890+AB890*AC890</f>
        <v/>
      </c>
      <c r="AF890" s="0">
        <f>TEXTJOIN(", ",TRUE,IF(AND(X890&gt;0,Y890&gt;0),TEXT(X890,"0.00")&amp;"ct x "&amp;Y890,""),IF(AND(Z890&gt;0,AA890&gt;0),TEXT(Z890,"0.00")&amp;"ct x "&amp;AA890,""),IF(AND(AB890&gt;0,AC890&gt;0),TEXT(AB890,"0.00")&amp;"ct x "&amp;AC890,""))</f>
        <v/>
      </c>
      <c r="AG890" s="0">
        <f>X890*Y890*SUMIFS($AM$2:$AM$11,$AK$2:$AK$11,"&lt;="&amp;X890,$AL$2:$AL$11,"&gt;="&amp;X890)+Z890*AA890*SUMIFS($AM$2:$AM$11,$AK$2:$AK$11,"&lt;="&amp;Z890,$AL$2:$AL$11,"&gt;="&amp;Z890)+AB890*AC890*SUMIFS($AM$2:$AM$11,$AK$2:$AK$11,"&lt;="&amp;AB890,$AL$2:$AL$11,"&gt;="&amp;AB890)</f>
        <v/>
      </c>
      <c r="AH890" s="0">
        <f>AG890*(1-40%)</f>
        <v/>
      </c>
      <c r="AI890" s="0">
        <f>AH890*1.2</f>
        <v/>
      </c>
    </row>
    <row r="891">
      <c r="A891" s="26" t="n"/>
      <c r="B891" s="169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>
        <f>AG891</f>
        <v/>
      </c>
      <c r="T891" s="26">
        <f>AI891+Q891+P891</f>
        <v/>
      </c>
      <c r="U891" s="26" t="n"/>
      <c r="V891" s="26" t="n"/>
      <c r="W891" s="169" t="n"/>
      <c r="X891" s="26" t="n"/>
      <c r="Y891" s="26" t="n"/>
      <c r="Z891" s="26" t="n"/>
      <c r="AA891" s="26" t="n"/>
      <c r="AD891" s="0">
        <f>SUM(Y891,AA891,AC891)</f>
        <v/>
      </c>
      <c r="AE891" s="0">
        <f>X891*Y891+Z891*AA891+AB891*AC891</f>
        <v/>
      </c>
      <c r="AF891" s="0">
        <f>TEXTJOIN(", ",TRUE,IF(AND(X891&gt;0,Y891&gt;0),TEXT(X891,"0.00")&amp;"ct x "&amp;Y891,""),IF(AND(Z891&gt;0,AA891&gt;0),TEXT(Z891,"0.00")&amp;"ct x "&amp;AA891,""),IF(AND(AB891&gt;0,AC891&gt;0),TEXT(AB891,"0.00")&amp;"ct x "&amp;AC891,""))</f>
        <v/>
      </c>
      <c r="AG891" s="0">
        <f>X891*Y891*SUMIFS($AM$2:$AM$11,$AK$2:$AK$11,"&lt;="&amp;X891,$AL$2:$AL$11,"&gt;="&amp;X891)+Z891*AA891*SUMIFS($AM$2:$AM$11,$AK$2:$AK$11,"&lt;="&amp;Z891,$AL$2:$AL$11,"&gt;="&amp;Z891)+AB891*AC891*SUMIFS($AM$2:$AM$11,$AK$2:$AK$11,"&lt;="&amp;AB891,$AL$2:$AL$11,"&gt;="&amp;AB891)</f>
        <v/>
      </c>
      <c r="AH891" s="0">
        <f>AG891*(1-40%)</f>
        <v/>
      </c>
      <c r="AI891" s="0">
        <f>AH891*1.2</f>
        <v/>
      </c>
    </row>
    <row r="892">
      <c r="A892" s="26" t="n"/>
      <c r="B892" s="169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>
        <f>AG892</f>
        <v/>
      </c>
      <c r="T892" s="26">
        <f>AI892+Q892+P892</f>
        <v/>
      </c>
      <c r="U892" s="26" t="n"/>
      <c r="V892" s="26" t="n"/>
      <c r="W892" s="169" t="n"/>
      <c r="X892" s="26" t="n"/>
      <c r="Y892" s="26" t="n"/>
      <c r="Z892" s="26" t="n"/>
      <c r="AA892" s="26" t="n"/>
      <c r="AD892" s="0">
        <f>SUM(Y892,AA892,AC892)</f>
        <v/>
      </c>
      <c r="AE892" s="0">
        <f>X892*Y892+Z892*AA892+AB892*AC892</f>
        <v/>
      </c>
      <c r="AF892" s="0">
        <f>TEXTJOIN(", ",TRUE,IF(AND(X892&gt;0,Y892&gt;0),TEXT(X892,"0.00")&amp;"ct x "&amp;Y892,""),IF(AND(Z892&gt;0,AA892&gt;0),TEXT(Z892,"0.00")&amp;"ct x "&amp;AA892,""),IF(AND(AB892&gt;0,AC892&gt;0),TEXT(AB892,"0.00")&amp;"ct x "&amp;AC892,""))</f>
        <v/>
      </c>
      <c r="AG892" s="0">
        <f>X892*Y892*SUMIFS($AM$2:$AM$11,$AK$2:$AK$11,"&lt;="&amp;X892,$AL$2:$AL$11,"&gt;="&amp;X892)+Z892*AA892*SUMIFS($AM$2:$AM$11,$AK$2:$AK$11,"&lt;="&amp;Z892,$AL$2:$AL$11,"&gt;="&amp;Z892)+AB892*AC892*SUMIFS($AM$2:$AM$11,$AK$2:$AK$11,"&lt;="&amp;AB892,$AL$2:$AL$11,"&gt;="&amp;AB892)</f>
        <v/>
      </c>
      <c r="AH892" s="0">
        <f>AG892*(1-40%)</f>
        <v/>
      </c>
      <c r="AI892" s="0">
        <f>AH892*1.2</f>
        <v/>
      </c>
    </row>
    <row r="893">
      <c r="A893" s="26" t="n"/>
      <c r="B893" s="169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>
        <f>AG893</f>
        <v/>
      </c>
      <c r="T893" s="26">
        <f>AI893+Q893+P893</f>
        <v/>
      </c>
      <c r="U893" s="26" t="n"/>
      <c r="V893" s="26" t="n"/>
      <c r="W893" s="169" t="n"/>
      <c r="X893" s="26" t="n"/>
      <c r="Y893" s="26" t="n"/>
      <c r="Z893" s="26" t="n"/>
      <c r="AA893" s="26" t="n"/>
      <c r="AD893" s="0">
        <f>SUM(Y893,AA893,AC893)</f>
        <v/>
      </c>
      <c r="AE893" s="0">
        <f>X893*Y893+Z893*AA893+AB893*AC893</f>
        <v/>
      </c>
      <c r="AF893" s="0">
        <f>TEXTJOIN(", ",TRUE,IF(AND(X893&gt;0,Y893&gt;0),TEXT(X893,"0.00")&amp;"ct x "&amp;Y893,""),IF(AND(Z893&gt;0,AA893&gt;0),TEXT(Z893,"0.00")&amp;"ct x "&amp;AA893,""),IF(AND(AB893&gt;0,AC893&gt;0),TEXT(AB893,"0.00")&amp;"ct x "&amp;AC893,""))</f>
        <v/>
      </c>
      <c r="AG893" s="0">
        <f>X893*Y893*SUMIFS($AM$2:$AM$11,$AK$2:$AK$11,"&lt;="&amp;X893,$AL$2:$AL$11,"&gt;="&amp;X893)+Z893*AA893*SUMIFS($AM$2:$AM$11,$AK$2:$AK$11,"&lt;="&amp;Z893,$AL$2:$AL$11,"&gt;="&amp;Z893)+AB893*AC893*SUMIFS($AM$2:$AM$11,$AK$2:$AK$11,"&lt;="&amp;AB893,$AL$2:$AL$11,"&gt;="&amp;AB893)</f>
        <v/>
      </c>
      <c r="AH893" s="0">
        <f>AG893*(1-40%)</f>
        <v/>
      </c>
      <c r="AI893" s="0">
        <f>AH893*1.2</f>
        <v/>
      </c>
    </row>
    <row r="894">
      <c r="A894" s="26" t="n"/>
      <c r="B894" s="169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>
        <f>AG894</f>
        <v/>
      </c>
      <c r="T894" s="26">
        <f>AI894+Q894+P894</f>
        <v/>
      </c>
      <c r="U894" s="26" t="n"/>
      <c r="V894" s="26" t="n"/>
      <c r="W894" s="169" t="n"/>
      <c r="X894" s="26" t="n"/>
      <c r="Y894" s="26" t="n"/>
      <c r="Z894" s="26" t="n"/>
      <c r="AA894" s="26" t="n"/>
      <c r="AD894" s="0">
        <f>SUM(Y894,AA894,AC894)</f>
        <v/>
      </c>
      <c r="AE894" s="0">
        <f>X894*Y894+Z894*AA894+AB894*AC894</f>
        <v/>
      </c>
      <c r="AF894" s="0">
        <f>TEXTJOIN(", ",TRUE,IF(AND(X894&gt;0,Y894&gt;0),TEXT(X894,"0.00")&amp;"ct x "&amp;Y894,""),IF(AND(Z894&gt;0,AA894&gt;0),TEXT(Z894,"0.00")&amp;"ct x "&amp;AA894,""),IF(AND(AB894&gt;0,AC894&gt;0),TEXT(AB894,"0.00")&amp;"ct x "&amp;AC894,""))</f>
        <v/>
      </c>
      <c r="AG894" s="0">
        <f>X894*Y894*SUMIFS($AM$2:$AM$11,$AK$2:$AK$11,"&lt;="&amp;X894,$AL$2:$AL$11,"&gt;="&amp;X894)+Z894*AA894*SUMIFS($AM$2:$AM$11,$AK$2:$AK$11,"&lt;="&amp;Z894,$AL$2:$AL$11,"&gt;="&amp;Z894)+AB894*AC894*SUMIFS($AM$2:$AM$11,$AK$2:$AK$11,"&lt;="&amp;AB894,$AL$2:$AL$11,"&gt;="&amp;AB894)</f>
        <v/>
      </c>
      <c r="AH894" s="0">
        <f>AG894*(1-40%)</f>
        <v/>
      </c>
      <c r="AI894" s="0">
        <f>AH894*1.2</f>
        <v/>
      </c>
    </row>
    <row r="895">
      <c r="A895" s="26" t="n"/>
      <c r="B895" s="169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>
        <f>AG895</f>
        <v/>
      </c>
      <c r="T895" s="26">
        <f>AI895+Q895+P895</f>
        <v/>
      </c>
      <c r="U895" s="26" t="n"/>
      <c r="V895" s="26" t="n"/>
      <c r="W895" s="169" t="n"/>
      <c r="X895" s="26" t="n"/>
      <c r="Y895" s="26" t="n"/>
      <c r="Z895" s="26" t="n"/>
      <c r="AA895" s="26" t="n"/>
      <c r="AD895" s="0">
        <f>SUM(Y895,AA895,AC895)</f>
        <v/>
      </c>
      <c r="AE895" s="0">
        <f>X895*Y895+Z895*AA895+AB895*AC895</f>
        <v/>
      </c>
      <c r="AF895" s="0">
        <f>TEXTJOIN(", ",TRUE,IF(AND(X895&gt;0,Y895&gt;0),TEXT(X895,"0.00")&amp;"ct x "&amp;Y895,""),IF(AND(Z895&gt;0,AA895&gt;0),TEXT(Z895,"0.00")&amp;"ct x "&amp;AA895,""),IF(AND(AB895&gt;0,AC895&gt;0),TEXT(AB895,"0.00")&amp;"ct x "&amp;AC895,""))</f>
        <v/>
      </c>
      <c r="AG895" s="0">
        <f>X895*Y895*SUMIFS($AM$2:$AM$11,$AK$2:$AK$11,"&lt;="&amp;X895,$AL$2:$AL$11,"&gt;="&amp;X895)+Z895*AA895*SUMIFS($AM$2:$AM$11,$AK$2:$AK$11,"&lt;="&amp;Z895,$AL$2:$AL$11,"&gt;="&amp;Z895)+AB895*AC895*SUMIFS($AM$2:$AM$11,$AK$2:$AK$11,"&lt;="&amp;AB895,$AL$2:$AL$11,"&gt;="&amp;AB895)</f>
        <v/>
      </c>
      <c r="AH895" s="0">
        <f>AG895*(1-40%)</f>
        <v/>
      </c>
      <c r="AI895" s="0">
        <f>AH895*1.2</f>
        <v/>
      </c>
    </row>
    <row r="896">
      <c r="A896" s="26" t="n"/>
      <c r="B896" s="169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>
        <f>AG896</f>
        <v/>
      </c>
      <c r="T896" s="26">
        <f>AI896+Q896+P896</f>
        <v/>
      </c>
      <c r="U896" s="26" t="n"/>
      <c r="V896" s="26" t="n"/>
      <c r="W896" s="169" t="n"/>
      <c r="X896" s="26" t="n"/>
      <c r="Y896" s="26" t="n"/>
      <c r="Z896" s="26" t="n"/>
      <c r="AA896" s="26" t="n"/>
      <c r="AD896" s="0">
        <f>SUM(Y896,AA896,AC896)</f>
        <v/>
      </c>
      <c r="AE896" s="0">
        <f>X896*Y896+Z896*AA896+AB896*AC896</f>
        <v/>
      </c>
      <c r="AF896" s="0">
        <f>TEXTJOIN(", ",TRUE,IF(AND(X896&gt;0,Y896&gt;0),TEXT(X896,"0.00")&amp;"ct x "&amp;Y896,""),IF(AND(Z896&gt;0,AA896&gt;0),TEXT(Z896,"0.00")&amp;"ct x "&amp;AA896,""),IF(AND(AB896&gt;0,AC896&gt;0),TEXT(AB896,"0.00")&amp;"ct x "&amp;AC896,""))</f>
        <v/>
      </c>
      <c r="AG896" s="0">
        <f>X896*Y896*SUMIFS($AM$2:$AM$11,$AK$2:$AK$11,"&lt;="&amp;X896,$AL$2:$AL$11,"&gt;="&amp;X896)+Z896*AA896*SUMIFS($AM$2:$AM$11,$AK$2:$AK$11,"&lt;="&amp;Z896,$AL$2:$AL$11,"&gt;="&amp;Z896)+AB896*AC896*SUMIFS($AM$2:$AM$11,$AK$2:$AK$11,"&lt;="&amp;AB896,$AL$2:$AL$11,"&gt;="&amp;AB896)</f>
        <v/>
      </c>
      <c r="AH896" s="0">
        <f>AG896*(1-40%)</f>
        <v/>
      </c>
      <c r="AI896" s="0">
        <f>AH896*1.2</f>
        <v/>
      </c>
    </row>
    <row r="897">
      <c r="A897" s="26" t="n"/>
      <c r="B897" s="169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>
        <f>AG897</f>
        <v/>
      </c>
      <c r="T897" s="26">
        <f>AI897+Q897+P897</f>
        <v/>
      </c>
      <c r="U897" s="26" t="n"/>
      <c r="V897" s="26" t="n"/>
      <c r="W897" s="169" t="n"/>
      <c r="X897" s="26" t="n"/>
      <c r="Y897" s="26" t="n"/>
      <c r="Z897" s="26" t="n"/>
      <c r="AA897" s="26" t="n"/>
      <c r="AD897" s="0">
        <f>SUM(Y897,AA897,AC897)</f>
        <v/>
      </c>
      <c r="AE897" s="0">
        <f>X897*Y897+Z897*AA897+AB897*AC897</f>
        <v/>
      </c>
      <c r="AF897" s="0">
        <f>TEXTJOIN(", ",TRUE,IF(AND(X897&gt;0,Y897&gt;0),TEXT(X897,"0.00")&amp;"ct x "&amp;Y897,""),IF(AND(Z897&gt;0,AA897&gt;0),TEXT(Z897,"0.00")&amp;"ct x "&amp;AA897,""),IF(AND(AB897&gt;0,AC897&gt;0),TEXT(AB897,"0.00")&amp;"ct x "&amp;AC897,""))</f>
        <v/>
      </c>
      <c r="AG897" s="0">
        <f>X897*Y897*SUMIFS($AM$2:$AM$11,$AK$2:$AK$11,"&lt;="&amp;X897,$AL$2:$AL$11,"&gt;="&amp;X897)+Z897*AA897*SUMIFS($AM$2:$AM$11,$AK$2:$AK$11,"&lt;="&amp;Z897,$AL$2:$AL$11,"&gt;="&amp;Z897)+AB897*AC897*SUMIFS($AM$2:$AM$11,$AK$2:$AK$11,"&lt;="&amp;AB897,$AL$2:$AL$11,"&gt;="&amp;AB897)</f>
        <v/>
      </c>
      <c r="AH897" s="0">
        <f>AG897*(1-40%)</f>
        <v/>
      </c>
      <c r="AI897" s="0">
        <f>AH897*1.2</f>
        <v/>
      </c>
    </row>
    <row r="898">
      <c r="A898" s="26" t="n"/>
      <c r="B898" s="169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>
        <f>AG898</f>
        <v/>
      </c>
      <c r="T898" s="26">
        <f>AI898+Q898+P898</f>
        <v/>
      </c>
      <c r="U898" s="26" t="n"/>
      <c r="V898" s="26" t="n"/>
      <c r="W898" s="169" t="n"/>
      <c r="X898" s="26" t="n"/>
      <c r="Y898" s="26" t="n"/>
      <c r="Z898" s="26" t="n"/>
      <c r="AA898" s="26" t="n"/>
      <c r="AD898" s="0">
        <f>SUM(Y898,AA898,AC898)</f>
        <v/>
      </c>
      <c r="AE898" s="0">
        <f>X898*Y898+Z898*AA898+AB898*AC898</f>
        <v/>
      </c>
      <c r="AF898" s="0">
        <f>TEXTJOIN(", ",TRUE,IF(AND(X898&gt;0,Y898&gt;0),TEXT(X898,"0.00")&amp;"ct x "&amp;Y898,""),IF(AND(Z898&gt;0,AA898&gt;0),TEXT(Z898,"0.00")&amp;"ct x "&amp;AA898,""),IF(AND(AB898&gt;0,AC898&gt;0),TEXT(AB898,"0.00")&amp;"ct x "&amp;AC898,""))</f>
        <v/>
      </c>
      <c r="AG898" s="0">
        <f>X898*Y898*SUMIFS($AM$2:$AM$11,$AK$2:$AK$11,"&lt;="&amp;X898,$AL$2:$AL$11,"&gt;="&amp;X898)+Z898*AA898*SUMIFS($AM$2:$AM$11,$AK$2:$AK$11,"&lt;="&amp;Z898,$AL$2:$AL$11,"&gt;="&amp;Z898)+AB898*AC898*SUMIFS($AM$2:$AM$11,$AK$2:$AK$11,"&lt;="&amp;AB898,$AL$2:$AL$11,"&gt;="&amp;AB898)</f>
        <v/>
      </c>
      <c r="AH898" s="0">
        <f>AG898*(1-40%)</f>
        <v/>
      </c>
      <c r="AI898" s="0">
        <f>AH898*1.2</f>
        <v/>
      </c>
    </row>
    <row r="899">
      <c r="A899" s="26" t="n"/>
      <c r="B899" s="169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>
        <f>AG899</f>
        <v/>
      </c>
      <c r="T899" s="26">
        <f>AI899+Q899+P899</f>
        <v/>
      </c>
      <c r="U899" s="26" t="n"/>
      <c r="V899" s="26" t="n"/>
      <c r="W899" s="169" t="n"/>
      <c r="X899" s="26" t="n"/>
      <c r="Y899" s="26" t="n"/>
      <c r="Z899" s="26" t="n"/>
      <c r="AA899" s="26" t="n"/>
      <c r="AD899" s="0">
        <f>SUM(Y899,AA899,AC899)</f>
        <v/>
      </c>
      <c r="AE899" s="0">
        <f>X899*Y899+Z899*AA899+AB899*AC899</f>
        <v/>
      </c>
      <c r="AF899" s="0">
        <f>TEXTJOIN(", ",TRUE,IF(AND(X899&gt;0,Y899&gt;0),TEXT(X899,"0.00")&amp;"ct x "&amp;Y899,""),IF(AND(Z899&gt;0,AA899&gt;0),TEXT(Z899,"0.00")&amp;"ct x "&amp;AA899,""),IF(AND(AB899&gt;0,AC899&gt;0),TEXT(AB899,"0.00")&amp;"ct x "&amp;AC899,""))</f>
        <v/>
      </c>
      <c r="AG899" s="0">
        <f>X899*Y899*SUMIFS($AM$2:$AM$11,$AK$2:$AK$11,"&lt;="&amp;X899,$AL$2:$AL$11,"&gt;="&amp;X899)+Z899*AA899*SUMIFS($AM$2:$AM$11,$AK$2:$AK$11,"&lt;="&amp;Z899,$AL$2:$AL$11,"&gt;="&amp;Z899)+AB899*AC899*SUMIFS($AM$2:$AM$11,$AK$2:$AK$11,"&lt;="&amp;AB899,$AL$2:$AL$11,"&gt;="&amp;AB899)</f>
        <v/>
      </c>
      <c r="AH899" s="0">
        <f>AG899*(1-40%)</f>
        <v/>
      </c>
      <c r="AI899" s="0">
        <f>AH899*1.2</f>
        <v/>
      </c>
    </row>
    <row r="900">
      <c r="A900" s="26" t="n"/>
      <c r="B900" s="169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>
        <f>AG900</f>
        <v/>
      </c>
      <c r="T900" s="26">
        <f>AI900+Q900+P900</f>
        <v/>
      </c>
      <c r="U900" s="26" t="n"/>
      <c r="V900" s="26" t="n"/>
      <c r="W900" s="169" t="n"/>
      <c r="X900" s="26" t="n"/>
      <c r="Y900" s="26" t="n"/>
      <c r="Z900" s="26" t="n"/>
      <c r="AA900" s="26" t="n"/>
      <c r="AD900" s="0">
        <f>SUM(Y900,AA900,AC900)</f>
        <v/>
      </c>
      <c r="AE900" s="0">
        <f>X900*Y900+Z900*AA900+AB900*AC900</f>
        <v/>
      </c>
      <c r="AF900" s="0">
        <f>TEXTJOIN(", ",TRUE,IF(AND(X900&gt;0,Y900&gt;0),TEXT(X900,"0.00")&amp;"ct x "&amp;Y900,""),IF(AND(Z900&gt;0,AA900&gt;0),TEXT(Z900,"0.00")&amp;"ct x "&amp;AA900,""),IF(AND(AB900&gt;0,AC900&gt;0),TEXT(AB900,"0.00")&amp;"ct x "&amp;AC900,""))</f>
        <v/>
      </c>
      <c r="AG900" s="0">
        <f>X900*Y900*SUMIFS($AM$2:$AM$11,$AK$2:$AK$11,"&lt;="&amp;X900,$AL$2:$AL$11,"&gt;="&amp;X900)+Z900*AA900*SUMIFS($AM$2:$AM$11,$AK$2:$AK$11,"&lt;="&amp;Z900,$AL$2:$AL$11,"&gt;="&amp;Z900)+AB900*AC900*SUMIFS($AM$2:$AM$11,$AK$2:$AK$11,"&lt;="&amp;AB900,$AL$2:$AL$11,"&gt;="&amp;AB900)</f>
        <v/>
      </c>
      <c r="AH900" s="0">
        <f>AG900*(1-40%)</f>
        <v/>
      </c>
      <c r="AI900" s="0">
        <f>AH900*1.2</f>
        <v/>
      </c>
    </row>
    <row r="901">
      <c r="A901" s="26" t="n"/>
      <c r="B901" s="169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>
        <f>AG901</f>
        <v/>
      </c>
      <c r="T901" s="26">
        <f>AI901+Q901+P901</f>
        <v/>
      </c>
      <c r="U901" s="26" t="n"/>
      <c r="V901" s="26" t="n"/>
      <c r="W901" s="169" t="n"/>
      <c r="X901" s="26" t="n"/>
      <c r="Y901" s="26" t="n"/>
      <c r="Z901" s="26" t="n"/>
      <c r="AA901" s="26" t="n"/>
      <c r="AD901" s="0">
        <f>SUM(Y901,AA901,AC901)</f>
        <v/>
      </c>
      <c r="AE901" s="0">
        <f>X901*Y901+Z901*AA901+AB901*AC901</f>
        <v/>
      </c>
      <c r="AF901" s="0">
        <f>TEXTJOIN(", ",TRUE,IF(AND(X901&gt;0,Y901&gt;0),TEXT(X901,"0.00")&amp;"ct x "&amp;Y901,""),IF(AND(Z901&gt;0,AA901&gt;0),TEXT(Z901,"0.00")&amp;"ct x "&amp;AA901,""),IF(AND(AB901&gt;0,AC901&gt;0),TEXT(AB901,"0.00")&amp;"ct x "&amp;AC901,""))</f>
        <v/>
      </c>
      <c r="AG901" s="0">
        <f>X901*Y901*SUMIFS($AM$2:$AM$11,$AK$2:$AK$11,"&lt;="&amp;X901,$AL$2:$AL$11,"&gt;="&amp;X901)+Z901*AA901*SUMIFS($AM$2:$AM$11,$AK$2:$AK$11,"&lt;="&amp;Z901,$AL$2:$AL$11,"&gt;="&amp;Z901)+AB901*AC901*SUMIFS($AM$2:$AM$11,$AK$2:$AK$11,"&lt;="&amp;AB901,$AL$2:$AL$11,"&gt;="&amp;AB901)</f>
        <v/>
      </c>
      <c r="AH901" s="0">
        <f>AG901*(1-40%)</f>
        <v/>
      </c>
      <c r="AI901" s="0">
        <f>AH901*1.2</f>
        <v/>
      </c>
    </row>
    <row r="902">
      <c r="A902" s="26" t="n"/>
      <c r="B902" s="169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>
        <f>AG902</f>
        <v/>
      </c>
      <c r="T902" s="26">
        <f>AI902+Q902+P902</f>
        <v/>
      </c>
      <c r="U902" s="26" t="n"/>
      <c r="V902" s="26" t="n"/>
      <c r="W902" s="169" t="n"/>
      <c r="X902" s="26" t="n"/>
      <c r="Y902" s="26" t="n"/>
      <c r="Z902" s="26" t="n"/>
      <c r="AA902" s="26" t="n"/>
      <c r="AD902" s="0">
        <f>SUM(Y902,AA902,AC902)</f>
        <v/>
      </c>
      <c r="AE902" s="0">
        <f>X902*Y902+Z902*AA902+AB902*AC902</f>
        <v/>
      </c>
      <c r="AF902" s="0">
        <f>TEXTJOIN(", ",TRUE,IF(AND(X902&gt;0,Y902&gt;0),TEXT(X902,"0.00")&amp;"ct x "&amp;Y902,""),IF(AND(Z902&gt;0,AA902&gt;0),TEXT(Z902,"0.00")&amp;"ct x "&amp;AA902,""),IF(AND(AB902&gt;0,AC902&gt;0),TEXT(AB902,"0.00")&amp;"ct x "&amp;AC902,""))</f>
        <v/>
      </c>
      <c r="AG902" s="0">
        <f>X902*Y902*SUMIFS($AM$2:$AM$11,$AK$2:$AK$11,"&lt;="&amp;X902,$AL$2:$AL$11,"&gt;="&amp;X902)+Z902*AA902*SUMIFS($AM$2:$AM$11,$AK$2:$AK$11,"&lt;="&amp;Z902,$AL$2:$AL$11,"&gt;="&amp;Z902)+AB902*AC902*SUMIFS($AM$2:$AM$11,$AK$2:$AK$11,"&lt;="&amp;AB902,$AL$2:$AL$11,"&gt;="&amp;AB902)</f>
        <v/>
      </c>
      <c r="AH902" s="0">
        <f>AG902*(1-40%)</f>
        <v/>
      </c>
      <c r="AI902" s="0">
        <f>AH902*1.2</f>
        <v/>
      </c>
    </row>
    <row r="903">
      <c r="A903" s="26" t="n"/>
      <c r="B903" s="169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>
        <f>AG903</f>
        <v/>
      </c>
      <c r="T903" s="26">
        <f>AI903+Q903+P903</f>
        <v/>
      </c>
      <c r="U903" s="26" t="n"/>
      <c r="V903" s="26" t="n"/>
      <c r="W903" s="169" t="n"/>
      <c r="X903" s="26" t="n"/>
      <c r="Y903" s="26" t="n"/>
      <c r="Z903" s="26" t="n"/>
      <c r="AA903" s="26" t="n"/>
      <c r="AD903" s="0">
        <f>SUM(Y903,AA903,AC903)</f>
        <v/>
      </c>
      <c r="AE903" s="0">
        <f>X903*Y903+Z903*AA903+AB903*AC903</f>
        <v/>
      </c>
      <c r="AF903" s="0">
        <f>TEXTJOIN(", ",TRUE,IF(AND(X903&gt;0,Y903&gt;0),TEXT(X903,"0.00")&amp;"ct x "&amp;Y903,""),IF(AND(Z903&gt;0,AA903&gt;0),TEXT(Z903,"0.00")&amp;"ct x "&amp;AA903,""),IF(AND(AB903&gt;0,AC903&gt;0),TEXT(AB903,"0.00")&amp;"ct x "&amp;AC903,""))</f>
        <v/>
      </c>
      <c r="AG903" s="0">
        <f>X903*Y903*SUMIFS($AM$2:$AM$11,$AK$2:$AK$11,"&lt;="&amp;X903,$AL$2:$AL$11,"&gt;="&amp;X903)+Z903*AA903*SUMIFS($AM$2:$AM$11,$AK$2:$AK$11,"&lt;="&amp;Z903,$AL$2:$AL$11,"&gt;="&amp;Z903)+AB903*AC903*SUMIFS($AM$2:$AM$11,$AK$2:$AK$11,"&lt;="&amp;AB903,$AL$2:$AL$11,"&gt;="&amp;AB903)</f>
        <v/>
      </c>
      <c r="AH903" s="0">
        <f>AG903*(1-40%)</f>
        <v/>
      </c>
      <c r="AI903" s="0">
        <f>AH903*1.2</f>
        <v/>
      </c>
    </row>
    <row r="904">
      <c r="A904" s="26" t="n"/>
      <c r="B904" s="169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>
        <f>AG904</f>
        <v/>
      </c>
      <c r="T904" s="26">
        <f>AI904+Q904+P904</f>
        <v/>
      </c>
      <c r="U904" s="26" t="n"/>
      <c r="V904" s="26" t="n"/>
      <c r="W904" s="169" t="n"/>
      <c r="X904" s="26" t="n"/>
      <c r="Y904" s="26" t="n"/>
      <c r="Z904" s="26" t="n"/>
      <c r="AA904" s="26" t="n"/>
      <c r="AD904" s="0">
        <f>SUM(Y904,AA904,AC904)</f>
        <v/>
      </c>
      <c r="AE904" s="0">
        <f>X904*Y904+Z904*AA904+AB904*AC904</f>
        <v/>
      </c>
      <c r="AF904" s="0">
        <f>TEXTJOIN(", ",TRUE,IF(AND(X904&gt;0,Y904&gt;0),TEXT(X904,"0.00")&amp;"ct x "&amp;Y904,""),IF(AND(Z904&gt;0,AA904&gt;0),TEXT(Z904,"0.00")&amp;"ct x "&amp;AA904,""),IF(AND(AB904&gt;0,AC904&gt;0),TEXT(AB904,"0.00")&amp;"ct x "&amp;AC904,""))</f>
        <v/>
      </c>
      <c r="AG904" s="0">
        <f>X904*Y904*SUMIFS($AM$2:$AM$11,$AK$2:$AK$11,"&lt;="&amp;X904,$AL$2:$AL$11,"&gt;="&amp;X904)+Z904*AA904*SUMIFS($AM$2:$AM$11,$AK$2:$AK$11,"&lt;="&amp;Z904,$AL$2:$AL$11,"&gt;="&amp;Z904)+AB904*AC904*SUMIFS($AM$2:$AM$11,$AK$2:$AK$11,"&lt;="&amp;AB904,$AL$2:$AL$11,"&gt;="&amp;AB904)</f>
        <v/>
      </c>
      <c r="AH904" s="0">
        <f>AG904*(1-40%)</f>
        <v/>
      </c>
      <c r="AI904" s="0">
        <f>AH904*1.2</f>
        <v/>
      </c>
    </row>
    <row r="905">
      <c r="A905" s="26" t="n"/>
      <c r="B905" s="169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>
        <f>AG905</f>
        <v/>
      </c>
      <c r="T905" s="26">
        <f>AI905+Q905+P905</f>
        <v/>
      </c>
      <c r="U905" s="26" t="n"/>
      <c r="V905" s="26" t="n"/>
      <c r="W905" s="169" t="n"/>
      <c r="X905" s="26" t="n"/>
      <c r="Y905" s="26" t="n"/>
      <c r="Z905" s="26" t="n"/>
      <c r="AA905" s="26" t="n"/>
      <c r="AD905" s="0">
        <f>SUM(Y905,AA905,AC905)</f>
        <v/>
      </c>
      <c r="AE905" s="0">
        <f>X905*Y905+Z905*AA905+AB905*AC905</f>
        <v/>
      </c>
      <c r="AF905" s="0">
        <f>TEXTJOIN(", ",TRUE,IF(AND(X905&gt;0,Y905&gt;0),TEXT(X905,"0.00")&amp;"ct x "&amp;Y905,""),IF(AND(Z905&gt;0,AA905&gt;0),TEXT(Z905,"0.00")&amp;"ct x "&amp;AA905,""),IF(AND(AB905&gt;0,AC905&gt;0),TEXT(AB905,"0.00")&amp;"ct x "&amp;AC905,""))</f>
        <v/>
      </c>
      <c r="AG905" s="0">
        <f>X905*Y905*SUMIFS($AM$2:$AM$11,$AK$2:$AK$11,"&lt;="&amp;X905,$AL$2:$AL$11,"&gt;="&amp;X905)+Z905*AA905*SUMIFS($AM$2:$AM$11,$AK$2:$AK$11,"&lt;="&amp;Z905,$AL$2:$AL$11,"&gt;="&amp;Z905)+AB905*AC905*SUMIFS($AM$2:$AM$11,$AK$2:$AK$11,"&lt;="&amp;AB905,$AL$2:$AL$11,"&gt;="&amp;AB905)</f>
        <v/>
      </c>
      <c r="AH905" s="0">
        <f>AG905*(1-40%)</f>
        <v/>
      </c>
      <c r="AI905" s="0">
        <f>AH905*1.2</f>
        <v/>
      </c>
    </row>
    <row r="906">
      <c r="A906" s="26" t="n"/>
      <c r="B906" s="169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>
        <f>AG906</f>
        <v/>
      </c>
      <c r="T906" s="26">
        <f>AI906+Q906+P906</f>
        <v/>
      </c>
      <c r="U906" s="26" t="n"/>
      <c r="V906" s="26" t="n"/>
      <c r="W906" s="169" t="n"/>
      <c r="X906" s="26" t="n"/>
      <c r="Y906" s="26" t="n"/>
      <c r="Z906" s="26" t="n"/>
      <c r="AA906" s="26" t="n"/>
      <c r="AD906" s="0">
        <f>SUM(Y906,AA906,AC906)</f>
        <v/>
      </c>
      <c r="AE906" s="0">
        <f>X906*Y906+Z906*AA906+AB906*AC906</f>
        <v/>
      </c>
      <c r="AF906" s="0">
        <f>TEXTJOIN(", ",TRUE,IF(AND(X906&gt;0,Y906&gt;0),TEXT(X906,"0.00")&amp;"ct x "&amp;Y906,""),IF(AND(Z906&gt;0,AA906&gt;0),TEXT(Z906,"0.00")&amp;"ct x "&amp;AA906,""),IF(AND(AB906&gt;0,AC906&gt;0),TEXT(AB906,"0.00")&amp;"ct x "&amp;AC906,""))</f>
        <v/>
      </c>
      <c r="AG906" s="0">
        <f>X906*Y906*SUMIFS($AM$2:$AM$11,$AK$2:$AK$11,"&lt;="&amp;X906,$AL$2:$AL$11,"&gt;="&amp;X906)+Z906*AA906*SUMIFS($AM$2:$AM$11,$AK$2:$AK$11,"&lt;="&amp;Z906,$AL$2:$AL$11,"&gt;="&amp;Z906)+AB906*AC906*SUMIFS($AM$2:$AM$11,$AK$2:$AK$11,"&lt;="&amp;AB906,$AL$2:$AL$11,"&gt;="&amp;AB906)</f>
        <v/>
      </c>
      <c r="AH906" s="0">
        <f>AG906*(1-40%)</f>
        <v/>
      </c>
      <c r="AI906" s="0">
        <f>AH906*1.2</f>
        <v/>
      </c>
    </row>
    <row r="907">
      <c r="A907" s="26" t="n"/>
      <c r="B907" s="169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>
        <f>AG907</f>
        <v/>
      </c>
      <c r="T907" s="26">
        <f>AI907+Q907+P907</f>
        <v/>
      </c>
      <c r="U907" s="26" t="n"/>
      <c r="V907" s="26" t="n"/>
      <c r="W907" s="169" t="n"/>
      <c r="X907" s="26" t="n"/>
      <c r="Y907" s="26" t="n"/>
      <c r="Z907" s="26" t="n"/>
      <c r="AA907" s="26" t="n"/>
      <c r="AD907" s="0">
        <f>SUM(Y907,AA907,AC907)</f>
        <v/>
      </c>
      <c r="AE907" s="0">
        <f>X907*Y907+Z907*AA907+AB907*AC907</f>
        <v/>
      </c>
      <c r="AF907" s="0">
        <f>TEXTJOIN(", ",TRUE,IF(AND(X907&gt;0,Y907&gt;0),TEXT(X907,"0.00")&amp;"ct x "&amp;Y907,""),IF(AND(Z907&gt;0,AA907&gt;0),TEXT(Z907,"0.00")&amp;"ct x "&amp;AA907,""),IF(AND(AB907&gt;0,AC907&gt;0),TEXT(AB907,"0.00")&amp;"ct x "&amp;AC907,""))</f>
        <v/>
      </c>
      <c r="AG907" s="0">
        <f>X907*Y907*SUMIFS($AM$2:$AM$11,$AK$2:$AK$11,"&lt;="&amp;X907,$AL$2:$AL$11,"&gt;="&amp;X907)+Z907*AA907*SUMIFS($AM$2:$AM$11,$AK$2:$AK$11,"&lt;="&amp;Z907,$AL$2:$AL$11,"&gt;="&amp;Z907)+AB907*AC907*SUMIFS($AM$2:$AM$11,$AK$2:$AK$11,"&lt;="&amp;AB907,$AL$2:$AL$11,"&gt;="&amp;AB907)</f>
        <v/>
      </c>
      <c r="AH907" s="0">
        <f>AG907*(1-40%)</f>
        <v/>
      </c>
      <c r="AI907" s="0">
        <f>AH907*1.2</f>
        <v/>
      </c>
    </row>
    <row r="908">
      <c r="A908" s="26" t="n"/>
      <c r="B908" s="169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>
        <f>AG908</f>
        <v/>
      </c>
      <c r="T908" s="26">
        <f>AI908+Q908+P908</f>
        <v/>
      </c>
      <c r="U908" s="26" t="n"/>
      <c r="V908" s="26" t="n"/>
      <c r="W908" s="169" t="n"/>
      <c r="X908" s="26" t="n"/>
      <c r="Y908" s="26" t="n"/>
      <c r="Z908" s="26" t="n"/>
      <c r="AA908" s="26" t="n"/>
      <c r="AD908" s="0">
        <f>SUM(Y908,AA908,AC908)</f>
        <v/>
      </c>
      <c r="AE908" s="0">
        <f>X908*Y908+Z908*AA908+AB908*AC908</f>
        <v/>
      </c>
      <c r="AF908" s="0">
        <f>TEXTJOIN(", ",TRUE,IF(AND(X908&gt;0,Y908&gt;0),TEXT(X908,"0.00")&amp;"ct x "&amp;Y908,""),IF(AND(Z908&gt;0,AA908&gt;0),TEXT(Z908,"0.00")&amp;"ct x "&amp;AA908,""),IF(AND(AB908&gt;0,AC908&gt;0),TEXT(AB908,"0.00")&amp;"ct x "&amp;AC908,""))</f>
        <v/>
      </c>
      <c r="AG908" s="0">
        <f>X908*Y908*SUMIFS($AM$2:$AM$11,$AK$2:$AK$11,"&lt;="&amp;X908,$AL$2:$AL$11,"&gt;="&amp;X908)+Z908*AA908*SUMIFS($AM$2:$AM$11,$AK$2:$AK$11,"&lt;="&amp;Z908,$AL$2:$AL$11,"&gt;="&amp;Z908)+AB908*AC908*SUMIFS($AM$2:$AM$11,$AK$2:$AK$11,"&lt;="&amp;AB908,$AL$2:$AL$11,"&gt;="&amp;AB908)</f>
        <v/>
      </c>
      <c r="AH908" s="0">
        <f>AG908*(1-40%)</f>
        <v/>
      </c>
      <c r="AI908" s="0">
        <f>AH908*1.2</f>
        <v/>
      </c>
    </row>
    <row r="909">
      <c r="A909" s="26" t="n"/>
      <c r="B909" s="169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>
        <f>AG909</f>
        <v/>
      </c>
      <c r="T909" s="26">
        <f>AI909+Q909+P909</f>
        <v/>
      </c>
      <c r="U909" s="26" t="n"/>
      <c r="V909" s="26" t="n"/>
      <c r="W909" s="169" t="n"/>
      <c r="X909" s="26" t="n"/>
      <c r="Y909" s="26" t="n"/>
      <c r="Z909" s="26" t="n"/>
      <c r="AA909" s="26" t="n"/>
      <c r="AD909" s="0">
        <f>SUM(Y909,AA909,AC909)</f>
        <v/>
      </c>
      <c r="AE909" s="0">
        <f>X909*Y909+Z909*AA909+AB909*AC909</f>
        <v/>
      </c>
      <c r="AF909" s="0">
        <f>TEXTJOIN(", ",TRUE,IF(AND(X909&gt;0,Y909&gt;0),TEXT(X909,"0.00")&amp;"ct x "&amp;Y909,""),IF(AND(Z909&gt;0,AA909&gt;0),TEXT(Z909,"0.00")&amp;"ct x "&amp;AA909,""),IF(AND(AB909&gt;0,AC909&gt;0),TEXT(AB909,"0.00")&amp;"ct x "&amp;AC909,""))</f>
        <v/>
      </c>
      <c r="AG909" s="0">
        <f>X909*Y909*SUMIFS($AM$2:$AM$11,$AK$2:$AK$11,"&lt;="&amp;X909,$AL$2:$AL$11,"&gt;="&amp;X909)+Z909*AA909*SUMIFS($AM$2:$AM$11,$AK$2:$AK$11,"&lt;="&amp;Z909,$AL$2:$AL$11,"&gt;="&amp;Z909)+AB909*AC909*SUMIFS($AM$2:$AM$11,$AK$2:$AK$11,"&lt;="&amp;AB909,$AL$2:$AL$11,"&gt;="&amp;AB909)</f>
        <v/>
      </c>
      <c r="AH909" s="0">
        <f>AG909*(1-40%)</f>
        <v/>
      </c>
      <c r="AI909" s="0">
        <f>AH909*1.2</f>
        <v/>
      </c>
    </row>
    <row r="910">
      <c r="A910" s="26" t="n"/>
      <c r="B910" s="169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>
        <f>AG910</f>
        <v/>
      </c>
      <c r="T910" s="26">
        <f>AI910+Q910+P910</f>
        <v/>
      </c>
      <c r="U910" s="26" t="n"/>
      <c r="V910" s="26" t="n"/>
      <c r="W910" s="169" t="n"/>
      <c r="X910" s="26" t="n"/>
      <c r="Y910" s="26" t="n"/>
      <c r="Z910" s="26" t="n"/>
      <c r="AA910" s="26" t="n"/>
      <c r="AD910" s="0">
        <f>SUM(Y910,AA910,AC910)</f>
        <v/>
      </c>
      <c r="AE910" s="0">
        <f>X910*Y910+Z910*AA910+AB910*AC910</f>
        <v/>
      </c>
      <c r="AF910" s="0">
        <f>TEXTJOIN(", ",TRUE,IF(AND(X910&gt;0,Y910&gt;0),TEXT(X910,"0.00")&amp;"ct x "&amp;Y910,""),IF(AND(Z910&gt;0,AA910&gt;0),TEXT(Z910,"0.00")&amp;"ct x "&amp;AA910,""),IF(AND(AB910&gt;0,AC910&gt;0),TEXT(AB910,"0.00")&amp;"ct x "&amp;AC910,""))</f>
        <v/>
      </c>
      <c r="AG910" s="0">
        <f>X910*Y910*SUMIFS($AM$2:$AM$11,$AK$2:$AK$11,"&lt;="&amp;X910,$AL$2:$AL$11,"&gt;="&amp;X910)+Z910*AA910*SUMIFS($AM$2:$AM$11,$AK$2:$AK$11,"&lt;="&amp;Z910,$AL$2:$AL$11,"&gt;="&amp;Z910)+AB910*AC910*SUMIFS($AM$2:$AM$11,$AK$2:$AK$11,"&lt;="&amp;AB910,$AL$2:$AL$11,"&gt;="&amp;AB910)</f>
        <v/>
      </c>
      <c r="AH910" s="0">
        <f>AG910*(1-40%)</f>
        <v/>
      </c>
      <c r="AI910" s="0">
        <f>AH910*1.2</f>
        <v/>
      </c>
    </row>
    <row r="911">
      <c r="A911" s="26" t="n"/>
      <c r="B911" s="169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>
        <f>AG911</f>
        <v/>
      </c>
      <c r="T911" s="26">
        <f>AI911+Q911+P911</f>
        <v/>
      </c>
      <c r="U911" s="26" t="n"/>
      <c r="V911" s="26" t="n"/>
      <c r="W911" s="169" t="n"/>
      <c r="X911" s="26" t="n"/>
      <c r="Y911" s="26" t="n"/>
      <c r="Z911" s="26" t="n"/>
      <c r="AA911" s="26" t="n"/>
      <c r="AD911" s="0">
        <f>SUM(Y911,AA911,AC911)</f>
        <v/>
      </c>
      <c r="AE911" s="0">
        <f>X911*Y911+Z911*AA911+AB911*AC911</f>
        <v/>
      </c>
      <c r="AF911" s="0">
        <f>TEXTJOIN(", ",TRUE,IF(AND(X911&gt;0,Y911&gt;0),TEXT(X911,"0.00")&amp;"ct x "&amp;Y911,""),IF(AND(Z911&gt;0,AA911&gt;0),TEXT(Z911,"0.00")&amp;"ct x "&amp;AA911,""),IF(AND(AB911&gt;0,AC911&gt;0),TEXT(AB911,"0.00")&amp;"ct x "&amp;AC911,""))</f>
        <v/>
      </c>
      <c r="AG911" s="0">
        <f>X911*Y911*SUMIFS($AM$2:$AM$11,$AK$2:$AK$11,"&lt;="&amp;X911,$AL$2:$AL$11,"&gt;="&amp;X911)+Z911*AA911*SUMIFS($AM$2:$AM$11,$AK$2:$AK$11,"&lt;="&amp;Z911,$AL$2:$AL$11,"&gt;="&amp;Z911)+AB911*AC911*SUMIFS($AM$2:$AM$11,$AK$2:$AK$11,"&lt;="&amp;AB911,$AL$2:$AL$11,"&gt;="&amp;AB911)</f>
        <v/>
      </c>
      <c r="AH911" s="0">
        <f>AG911*(1-40%)</f>
        <v/>
      </c>
      <c r="AI911" s="0">
        <f>AH911*1.2</f>
        <v/>
      </c>
    </row>
    <row r="912">
      <c r="A912" s="26" t="n"/>
      <c r="B912" s="169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>
        <f>AG912</f>
        <v/>
      </c>
      <c r="T912" s="26">
        <f>AI912+Q912+P912</f>
        <v/>
      </c>
      <c r="U912" s="26" t="n"/>
      <c r="V912" s="26" t="n"/>
      <c r="W912" s="169" t="n"/>
      <c r="X912" s="26" t="n"/>
      <c r="Y912" s="26" t="n"/>
      <c r="Z912" s="26" t="n"/>
      <c r="AA912" s="26" t="n"/>
      <c r="AD912" s="0">
        <f>SUM(Y912,AA912,AC912)</f>
        <v/>
      </c>
      <c r="AE912" s="0">
        <f>X912*Y912+Z912*AA912+AB912*AC912</f>
        <v/>
      </c>
      <c r="AF912" s="0">
        <f>TEXTJOIN(", ",TRUE,IF(AND(X912&gt;0,Y912&gt;0),TEXT(X912,"0.00")&amp;"ct x "&amp;Y912,""),IF(AND(Z912&gt;0,AA912&gt;0),TEXT(Z912,"0.00")&amp;"ct x "&amp;AA912,""),IF(AND(AB912&gt;0,AC912&gt;0),TEXT(AB912,"0.00")&amp;"ct x "&amp;AC912,""))</f>
        <v/>
      </c>
      <c r="AG912" s="0">
        <f>X912*Y912*SUMIFS($AM$2:$AM$11,$AK$2:$AK$11,"&lt;="&amp;X912,$AL$2:$AL$11,"&gt;="&amp;X912)+Z912*AA912*SUMIFS($AM$2:$AM$11,$AK$2:$AK$11,"&lt;="&amp;Z912,$AL$2:$AL$11,"&gt;="&amp;Z912)+AB912*AC912*SUMIFS($AM$2:$AM$11,$AK$2:$AK$11,"&lt;="&amp;AB912,$AL$2:$AL$11,"&gt;="&amp;AB912)</f>
        <v/>
      </c>
      <c r="AH912" s="0">
        <f>AG912*(1-40%)</f>
        <v/>
      </c>
      <c r="AI912" s="0">
        <f>AH912*1.2</f>
        <v/>
      </c>
    </row>
    <row r="913">
      <c r="A913" s="26" t="n"/>
      <c r="B913" s="169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>
        <f>AG913</f>
        <v/>
      </c>
      <c r="T913" s="26">
        <f>AI913+Q913+P913</f>
        <v/>
      </c>
      <c r="U913" s="26" t="n"/>
      <c r="V913" s="26" t="n"/>
      <c r="W913" s="169" t="n"/>
      <c r="X913" s="26" t="n"/>
      <c r="Y913" s="26" t="n"/>
      <c r="Z913" s="26" t="n"/>
      <c r="AA913" s="26" t="n"/>
      <c r="AD913" s="0">
        <f>SUM(Y913,AA913,AC913)</f>
        <v/>
      </c>
      <c r="AE913" s="0">
        <f>X913*Y913+Z913*AA913+AB913*AC913</f>
        <v/>
      </c>
      <c r="AF913" s="0">
        <f>TEXTJOIN(", ",TRUE,IF(AND(X913&gt;0,Y913&gt;0),TEXT(X913,"0.00")&amp;"ct x "&amp;Y913,""),IF(AND(Z913&gt;0,AA913&gt;0),TEXT(Z913,"0.00")&amp;"ct x "&amp;AA913,""),IF(AND(AB913&gt;0,AC913&gt;0),TEXT(AB913,"0.00")&amp;"ct x "&amp;AC913,""))</f>
        <v/>
      </c>
      <c r="AG913" s="0">
        <f>X913*Y913*SUMIFS($AM$2:$AM$11,$AK$2:$AK$11,"&lt;="&amp;X913,$AL$2:$AL$11,"&gt;="&amp;X913)+Z913*AA913*SUMIFS($AM$2:$AM$11,$AK$2:$AK$11,"&lt;="&amp;Z913,$AL$2:$AL$11,"&gt;="&amp;Z913)+AB913*AC913*SUMIFS($AM$2:$AM$11,$AK$2:$AK$11,"&lt;="&amp;AB913,$AL$2:$AL$11,"&gt;="&amp;AB913)</f>
        <v/>
      </c>
      <c r="AH913" s="0">
        <f>AG913*(1-40%)</f>
        <v/>
      </c>
      <c r="AI913" s="0">
        <f>AH913*1.2</f>
        <v/>
      </c>
    </row>
    <row r="914">
      <c r="A914" s="26" t="n"/>
      <c r="B914" s="169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>
        <f>AG914</f>
        <v/>
      </c>
      <c r="T914" s="26">
        <f>AI914+Q914+P914</f>
        <v/>
      </c>
      <c r="U914" s="26" t="n"/>
      <c r="V914" s="26" t="n"/>
      <c r="W914" s="169" t="n"/>
      <c r="X914" s="26" t="n"/>
      <c r="Y914" s="26" t="n"/>
      <c r="Z914" s="26" t="n"/>
      <c r="AA914" s="26" t="n"/>
      <c r="AD914" s="0">
        <f>SUM(Y914,AA914,AC914)</f>
        <v/>
      </c>
      <c r="AE914" s="0">
        <f>X914*Y914+Z914*AA914+AB914*AC914</f>
        <v/>
      </c>
      <c r="AF914" s="0">
        <f>TEXTJOIN(", ",TRUE,IF(AND(X914&gt;0,Y914&gt;0),TEXT(X914,"0.00")&amp;"ct x "&amp;Y914,""),IF(AND(Z914&gt;0,AA914&gt;0),TEXT(Z914,"0.00")&amp;"ct x "&amp;AA914,""),IF(AND(AB914&gt;0,AC914&gt;0),TEXT(AB914,"0.00")&amp;"ct x "&amp;AC914,""))</f>
        <v/>
      </c>
      <c r="AG914" s="0">
        <f>X914*Y914*SUMIFS($AM$2:$AM$11,$AK$2:$AK$11,"&lt;="&amp;X914,$AL$2:$AL$11,"&gt;="&amp;X914)+Z914*AA914*SUMIFS($AM$2:$AM$11,$AK$2:$AK$11,"&lt;="&amp;Z914,$AL$2:$AL$11,"&gt;="&amp;Z914)+AB914*AC914*SUMIFS($AM$2:$AM$11,$AK$2:$AK$11,"&lt;="&amp;AB914,$AL$2:$AL$11,"&gt;="&amp;AB914)</f>
        <v/>
      </c>
      <c r="AH914" s="0">
        <f>AG914*(1-40%)</f>
        <v/>
      </c>
      <c r="AI914" s="0">
        <f>AH914*1.2</f>
        <v/>
      </c>
    </row>
    <row r="915">
      <c r="A915" s="26" t="n"/>
      <c r="B915" s="169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>
        <f>AG915</f>
        <v/>
      </c>
      <c r="T915" s="26">
        <f>AI915+Q915+P915</f>
        <v/>
      </c>
      <c r="U915" s="26" t="n"/>
      <c r="V915" s="26" t="n"/>
      <c r="W915" s="169" t="n"/>
      <c r="X915" s="26" t="n"/>
      <c r="Y915" s="26" t="n"/>
      <c r="Z915" s="26" t="n"/>
      <c r="AA915" s="26" t="n"/>
      <c r="AD915" s="0">
        <f>SUM(Y915,AA915,AC915)</f>
        <v/>
      </c>
      <c r="AE915" s="0">
        <f>X915*Y915+Z915*AA915+AB915*AC915</f>
        <v/>
      </c>
      <c r="AF915" s="0">
        <f>TEXTJOIN(", ",TRUE,IF(AND(X915&gt;0,Y915&gt;0),TEXT(X915,"0.00")&amp;"ct x "&amp;Y915,""),IF(AND(Z915&gt;0,AA915&gt;0),TEXT(Z915,"0.00")&amp;"ct x "&amp;AA915,""),IF(AND(AB915&gt;0,AC915&gt;0),TEXT(AB915,"0.00")&amp;"ct x "&amp;AC915,""))</f>
        <v/>
      </c>
      <c r="AG915" s="0">
        <f>X915*Y915*SUMIFS($AM$2:$AM$11,$AK$2:$AK$11,"&lt;="&amp;X915,$AL$2:$AL$11,"&gt;="&amp;X915)+Z915*AA915*SUMIFS($AM$2:$AM$11,$AK$2:$AK$11,"&lt;="&amp;Z915,$AL$2:$AL$11,"&gt;="&amp;Z915)+AB915*AC915*SUMIFS($AM$2:$AM$11,$AK$2:$AK$11,"&lt;="&amp;AB915,$AL$2:$AL$11,"&gt;="&amp;AB915)</f>
        <v/>
      </c>
      <c r="AH915" s="0">
        <f>AG915*(1-40%)</f>
        <v/>
      </c>
      <c r="AI915" s="0">
        <f>AH915*1.2</f>
        <v/>
      </c>
    </row>
    <row r="916">
      <c r="A916" s="26" t="n"/>
      <c r="B916" s="169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>
        <f>AG916</f>
        <v/>
      </c>
      <c r="T916" s="26">
        <f>AI916+Q916+P916</f>
        <v/>
      </c>
      <c r="U916" s="26" t="n"/>
      <c r="V916" s="26" t="n"/>
      <c r="W916" s="169" t="n"/>
      <c r="X916" s="26" t="n"/>
      <c r="Y916" s="26" t="n"/>
      <c r="Z916" s="26" t="n"/>
      <c r="AA916" s="26" t="n"/>
      <c r="AD916" s="0">
        <f>SUM(Y916,AA916,AC916)</f>
        <v/>
      </c>
      <c r="AE916" s="0">
        <f>X916*Y916+Z916*AA916+AB916*AC916</f>
        <v/>
      </c>
      <c r="AF916" s="0">
        <f>TEXTJOIN(", ",TRUE,IF(AND(X916&gt;0,Y916&gt;0),TEXT(X916,"0.00")&amp;"ct x "&amp;Y916,""),IF(AND(Z916&gt;0,AA916&gt;0),TEXT(Z916,"0.00")&amp;"ct x "&amp;AA916,""),IF(AND(AB916&gt;0,AC916&gt;0),TEXT(AB916,"0.00")&amp;"ct x "&amp;AC916,""))</f>
        <v/>
      </c>
      <c r="AG916" s="0">
        <f>X916*Y916*SUMIFS($AM$2:$AM$11,$AK$2:$AK$11,"&lt;="&amp;X916,$AL$2:$AL$11,"&gt;="&amp;X916)+Z916*AA916*SUMIFS($AM$2:$AM$11,$AK$2:$AK$11,"&lt;="&amp;Z916,$AL$2:$AL$11,"&gt;="&amp;Z916)+AB916*AC916*SUMIFS($AM$2:$AM$11,$AK$2:$AK$11,"&lt;="&amp;AB916,$AL$2:$AL$11,"&gt;="&amp;AB916)</f>
        <v/>
      </c>
      <c r="AH916" s="0">
        <f>AG916*(1-40%)</f>
        <v/>
      </c>
      <c r="AI916" s="0">
        <f>AH916*1.2</f>
        <v/>
      </c>
    </row>
    <row r="917">
      <c r="A917" s="26" t="n"/>
      <c r="B917" s="169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>
        <f>AG917</f>
        <v/>
      </c>
      <c r="T917" s="26">
        <f>AI917+Q917+P917</f>
        <v/>
      </c>
      <c r="U917" s="26" t="n"/>
      <c r="V917" s="26" t="n"/>
      <c r="W917" s="169" t="n"/>
      <c r="X917" s="26" t="n"/>
      <c r="Y917" s="26" t="n"/>
      <c r="Z917" s="26" t="n"/>
      <c r="AA917" s="26" t="n"/>
      <c r="AD917" s="0">
        <f>SUM(Y917,AA917,AC917)</f>
        <v/>
      </c>
      <c r="AE917" s="0">
        <f>X917*Y917+Z917*AA917+AB917*AC917</f>
        <v/>
      </c>
      <c r="AF917" s="0">
        <f>TEXTJOIN(", ",TRUE,IF(AND(X917&gt;0,Y917&gt;0),TEXT(X917,"0.00")&amp;"ct x "&amp;Y917,""),IF(AND(Z917&gt;0,AA917&gt;0),TEXT(Z917,"0.00")&amp;"ct x "&amp;AA917,""),IF(AND(AB917&gt;0,AC917&gt;0),TEXT(AB917,"0.00")&amp;"ct x "&amp;AC917,""))</f>
        <v/>
      </c>
      <c r="AG917" s="0">
        <f>X917*Y917*SUMIFS($AM$2:$AM$11,$AK$2:$AK$11,"&lt;="&amp;X917,$AL$2:$AL$11,"&gt;="&amp;X917)+Z917*AA917*SUMIFS($AM$2:$AM$11,$AK$2:$AK$11,"&lt;="&amp;Z917,$AL$2:$AL$11,"&gt;="&amp;Z917)+AB917*AC917*SUMIFS($AM$2:$AM$11,$AK$2:$AK$11,"&lt;="&amp;AB917,$AL$2:$AL$11,"&gt;="&amp;AB917)</f>
        <v/>
      </c>
      <c r="AH917" s="0">
        <f>AG917*(1-40%)</f>
        <v/>
      </c>
      <c r="AI917" s="0">
        <f>AH917*1.2</f>
        <v/>
      </c>
    </row>
    <row r="918">
      <c r="A918" s="26" t="n"/>
      <c r="B918" s="169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>
        <f>AG918</f>
        <v/>
      </c>
      <c r="T918" s="26">
        <f>AI918+Q918+P918</f>
        <v/>
      </c>
      <c r="U918" s="26" t="n"/>
      <c r="V918" s="26" t="n"/>
      <c r="W918" s="169" t="n"/>
      <c r="X918" s="26" t="n"/>
      <c r="Y918" s="26" t="n"/>
      <c r="Z918" s="26" t="n"/>
      <c r="AA918" s="26" t="n"/>
      <c r="AD918" s="0">
        <f>SUM(Y918,AA918,AC918)</f>
        <v/>
      </c>
      <c r="AE918" s="0">
        <f>X918*Y918+Z918*AA918+AB918*AC918</f>
        <v/>
      </c>
      <c r="AF918" s="0">
        <f>TEXTJOIN(", ",TRUE,IF(AND(X918&gt;0,Y918&gt;0),TEXT(X918,"0.00")&amp;"ct x "&amp;Y918,""),IF(AND(Z918&gt;0,AA918&gt;0),TEXT(Z918,"0.00")&amp;"ct x "&amp;AA918,""),IF(AND(AB918&gt;0,AC918&gt;0),TEXT(AB918,"0.00")&amp;"ct x "&amp;AC918,""))</f>
        <v/>
      </c>
      <c r="AG918" s="0">
        <f>X918*Y918*SUMIFS($AM$2:$AM$11,$AK$2:$AK$11,"&lt;="&amp;X918,$AL$2:$AL$11,"&gt;="&amp;X918)+Z918*AA918*SUMIFS($AM$2:$AM$11,$AK$2:$AK$11,"&lt;="&amp;Z918,$AL$2:$AL$11,"&gt;="&amp;Z918)+AB918*AC918*SUMIFS($AM$2:$AM$11,$AK$2:$AK$11,"&lt;="&amp;AB918,$AL$2:$AL$11,"&gt;="&amp;AB918)</f>
        <v/>
      </c>
      <c r="AH918" s="0">
        <f>AG918*(1-40%)</f>
        <v/>
      </c>
      <c r="AI918" s="0">
        <f>AH918*1.2</f>
        <v/>
      </c>
    </row>
    <row r="919">
      <c r="A919" s="26" t="n"/>
      <c r="B919" s="169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>
        <f>AG919</f>
        <v/>
      </c>
      <c r="T919" s="26">
        <f>AI919+Q919+P919</f>
        <v/>
      </c>
      <c r="U919" s="26" t="n"/>
      <c r="V919" s="26" t="n"/>
      <c r="W919" s="169" t="n"/>
      <c r="X919" s="26" t="n"/>
      <c r="Y919" s="26" t="n"/>
      <c r="Z919" s="26" t="n"/>
      <c r="AA919" s="26" t="n"/>
      <c r="AD919" s="0">
        <f>SUM(Y919,AA919,AC919)</f>
        <v/>
      </c>
      <c r="AE919" s="0">
        <f>X919*Y919+Z919*AA919+AB919*AC919</f>
        <v/>
      </c>
      <c r="AF919" s="0">
        <f>TEXTJOIN(", ",TRUE,IF(AND(X919&gt;0,Y919&gt;0),TEXT(X919,"0.00")&amp;"ct x "&amp;Y919,""),IF(AND(Z919&gt;0,AA919&gt;0),TEXT(Z919,"0.00")&amp;"ct x "&amp;AA919,""),IF(AND(AB919&gt;0,AC919&gt;0),TEXT(AB919,"0.00")&amp;"ct x "&amp;AC919,""))</f>
        <v/>
      </c>
      <c r="AG919" s="0">
        <f>X919*Y919*SUMIFS($AM$2:$AM$11,$AK$2:$AK$11,"&lt;="&amp;X919,$AL$2:$AL$11,"&gt;="&amp;X919)+Z919*AA919*SUMIFS($AM$2:$AM$11,$AK$2:$AK$11,"&lt;="&amp;Z919,$AL$2:$AL$11,"&gt;="&amp;Z919)+AB919*AC919*SUMIFS($AM$2:$AM$11,$AK$2:$AK$11,"&lt;="&amp;AB919,$AL$2:$AL$11,"&gt;="&amp;AB919)</f>
        <v/>
      </c>
      <c r="AH919" s="0">
        <f>AG919*(1-40%)</f>
        <v/>
      </c>
      <c r="AI919" s="0">
        <f>AH919*1.2</f>
        <v/>
      </c>
    </row>
    <row r="920">
      <c r="A920" s="26" t="n"/>
      <c r="B920" s="169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>
        <f>AG920</f>
        <v/>
      </c>
      <c r="T920" s="26">
        <f>AI920+Q920+P920</f>
        <v/>
      </c>
      <c r="U920" s="26" t="n"/>
      <c r="V920" s="26" t="n"/>
      <c r="W920" s="169" t="n"/>
      <c r="X920" s="26" t="n"/>
      <c r="Y920" s="26" t="n"/>
      <c r="Z920" s="26" t="n"/>
      <c r="AA920" s="26" t="n"/>
      <c r="AD920" s="0">
        <f>SUM(Y920,AA920,AC920)</f>
        <v/>
      </c>
      <c r="AE920" s="0">
        <f>X920*Y920+Z920*AA920+AB920*AC920</f>
        <v/>
      </c>
      <c r="AF920" s="0">
        <f>TEXTJOIN(", ",TRUE,IF(AND(X920&gt;0,Y920&gt;0),TEXT(X920,"0.00")&amp;"ct x "&amp;Y920,""),IF(AND(Z920&gt;0,AA920&gt;0),TEXT(Z920,"0.00")&amp;"ct x "&amp;AA920,""),IF(AND(AB920&gt;0,AC920&gt;0),TEXT(AB920,"0.00")&amp;"ct x "&amp;AC920,""))</f>
        <v/>
      </c>
      <c r="AG920" s="0">
        <f>X920*Y920*SUMIFS($AM$2:$AM$11,$AK$2:$AK$11,"&lt;="&amp;X920,$AL$2:$AL$11,"&gt;="&amp;X920)+Z920*AA920*SUMIFS($AM$2:$AM$11,$AK$2:$AK$11,"&lt;="&amp;Z920,$AL$2:$AL$11,"&gt;="&amp;Z920)+AB920*AC920*SUMIFS($AM$2:$AM$11,$AK$2:$AK$11,"&lt;="&amp;AB920,$AL$2:$AL$11,"&gt;="&amp;AB920)</f>
        <v/>
      </c>
      <c r="AH920" s="0">
        <f>AG920*(1-40%)</f>
        <v/>
      </c>
      <c r="AI920" s="0">
        <f>AH920*1.2</f>
        <v/>
      </c>
    </row>
    <row r="921">
      <c r="A921" s="26" t="n"/>
      <c r="B921" s="169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>
        <f>AG921</f>
        <v/>
      </c>
      <c r="T921" s="26">
        <f>AI921+Q921+P921</f>
        <v/>
      </c>
      <c r="U921" s="26" t="n"/>
      <c r="V921" s="26" t="n"/>
      <c r="W921" s="169" t="n"/>
      <c r="X921" s="26" t="n"/>
      <c r="Y921" s="26" t="n"/>
      <c r="Z921" s="26" t="n"/>
      <c r="AA921" s="26" t="n"/>
      <c r="AD921" s="0">
        <f>SUM(Y921,AA921,AC921)</f>
        <v/>
      </c>
      <c r="AE921" s="0">
        <f>X921*Y921+Z921*AA921+AB921*AC921</f>
        <v/>
      </c>
      <c r="AF921" s="0">
        <f>TEXTJOIN(", ",TRUE,IF(AND(X921&gt;0,Y921&gt;0),TEXT(X921,"0.00")&amp;"ct x "&amp;Y921,""),IF(AND(Z921&gt;0,AA921&gt;0),TEXT(Z921,"0.00")&amp;"ct x "&amp;AA921,""),IF(AND(AB921&gt;0,AC921&gt;0),TEXT(AB921,"0.00")&amp;"ct x "&amp;AC921,""))</f>
        <v/>
      </c>
      <c r="AG921" s="0">
        <f>X921*Y921*SUMIFS($AM$2:$AM$11,$AK$2:$AK$11,"&lt;="&amp;X921,$AL$2:$AL$11,"&gt;="&amp;X921)+Z921*AA921*SUMIFS($AM$2:$AM$11,$AK$2:$AK$11,"&lt;="&amp;Z921,$AL$2:$AL$11,"&gt;="&amp;Z921)+AB921*AC921*SUMIFS($AM$2:$AM$11,$AK$2:$AK$11,"&lt;="&amp;AB921,$AL$2:$AL$11,"&gt;="&amp;AB921)</f>
        <v/>
      </c>
      <c r="AH921" s="0">
        <f>AG921*(1-40%)</f>
        <v/>
      </c>
      <c r="AI921" s="0">
        <f>AH921*1.2</f>
        <v/>
      </c>
    </row>
    <row r="922">
      <c r="A922" s="26" t="n"/>
      <c r="B922" s="169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>
        <f>AG922</f>
        <v/>
      </c>
      <c r="T922" s="26">
        <f>AI922+Q922+P922</f>
        <v/>
      </c>
      <c r="U922" s="26" t="n"/>
      <c r="V922" s="26" t="n"/>
      <c r="W922" s="169" t="n"/>
      <c r="X922" s="26" t="n"/>
      <c r="Y922" s="26" t="n"/>
      <c r="Z922" s="26" t="n"/>
      <c r="AA922" s="26" t="n"/>
      <c r="AD922" s="0">
        <f>SUM(Y922,AA922,AC922)</f>
        <v/>
      </c>
      <c r="AE922" s="0">
        <f>X922*Y922+Z922*AA922+AB922*AC922</f>
        <v/>
      </c>
      <c r="AF922" s="0">
        <f>TEXTJOIN(", ",TRUE,IF(AND(X922&gt;0,Y922&gt;0),TEXT(X922,"0.00")&amp;"ct x "&amp;Y922,""),IF(AND(Z922&gt;0,AA922&gt;0),TEXT(Z922,"0.00")&amp;"ct x "&amp;AA922,""),IF(AND(AB922&gt;0,AC922&gt;0),TEXT(AB922,"0.00")&amp;"ct x "&amp;AC922,""))</f>
        <v/>
      </c>
      <c r="AG922" s="0">
        <f>X922*Y922*SUMIFS($AM$2:$AM$11,$AK$2:$AK$11,"&lt;="&amp;X922,$AL$2:$AL$11,"&gt;="&amp;X922)+Z922*AA922*SUMIFS($AM$2:$AM$11,$AK$2:$AK$11,"&lt;="&amp;Z922,$AL$2:$AL$11,"&gt;="&amp;Z922)+AB922*AC922*SUMIFS($AM$2:$AM$11,$AK$2:$AK$11,"&lt;="&amp;AB922,$AL$2:$AL$11,"&gt;="&amp;AB922)</f>
        <v/>
      </c>
      <c r="AH922" s="0">
        <f>AG922*(1-40%)</f>
        <v/>
      </c>
      <c r="AI922" s="0">
        <f>AH922*1.2</f>
        <v/>
      </c>
    </row>
    <row r="923">
      <c r="A923" s="26" t="n"/>
      <c r="B923" s="169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>
        <f>AG923</f>
        <v/>
      </c>
      <c r="T923" s="26">
        <f>AI923+Q923+P923</f>
        <v/>
      </c>
      <c r="U923" s="26" t="n"/>
      <c r="V923" s="26" t="n"/>
      <c r="W923" s="169" t="n"/>
      <c r="X923" s="26" t="n"/>
      <c r="Y923" s="26" t="n"/>
      <c r="Z923" s="26" t="n"/>
      <c r="AA923" s="26" t="n"/>
      <c r="AD923" s="0">
        <f>SUM(Y923,AA923,AC923)</f>
        <v/>
      </c>
      <c r="AE923" s="0">
        <f>X923*Y923+Z923*AA923+AB923*AC923</f>
        <v/>
      </c>
      <c r="AF923" s="0">
        <f>TEXTJOIN(", ",TRUE,IF(AND(X923&gt;0,Y923&gt;0),TEXT(X923,"0.00")&amp;"ct x "&amp;Y923,""),IF(AND(Z923&gt;0,AA923&gt;0),TEXT(Z923,"0.00")&amp;"ct x "&amp;AA923,""),IF(AND(AB923&gt;0,AC923&gt;0),TEXT(AB923,"0.00")&amp;"ct x "&amp;AC923,""))</f>
        <v/>
      </c>
      <c r="AG923" s="0">
        <f>X923*Y923*SUMIFS($AM$2:$AM$11,$AK$2:$AK$11,"&lt;="&amp;X923,$AL$2:$AL$11,"&gt;="&amp;X923)+Z923*AA923*SUMIFS($AM$2:$AM$11,$AK$2:$AK$11,"&lt;="&amp;Z923,$AL$2:$AL$11,"&gt;="&amp;Z923)+AB923*AC923*SUMIFS($AM$2:$AM$11,$AK$2:$AK$11,"&lt;="&amp;AB923,$AL$2:$AL$11,"&gt;="&amp;AB923)</f>
        <v/>
      </c>
      <c r="AH923" s="0">
        <f>AG923*(1-40%)</f>
        <v/>
      </c>
      <c r="AI923" s="0">
        <f>AH923*1.2</f>
        <v/>
      </c>
    </row>
    <row r="924">
      <c r="A924" s="26" t="n"/>
      <c r="B924" s="169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>
        <f>AG924</f>
        <v/>
      </c>
      <c r="T924" s="26">
        <f>AI924+Q924+P924</f>
        <v/>
      </c>
      <c r="U924" s="26" t="n"/>
      <c r="V924" s="26" t="n"/>
      <c r="W924" s="169" t="n"/>
      <c r="X924" s="26" t="n"/>
      <c r="Y924" s="26" t="n"/>
      <c r="Z924" s="26" t="n"/>
      <c r="AA924" s="26" t="n"/>
      <c r="AD924" s="0">
        <f>SUM(Y924,AA924,AC924)</f>
        <v/>
      </c>
      <c r="AE924" s="0">
        <f>X924*Y924+Z924*AA924+AB924*AC924</f>
        <v/>
      </c>
      <c r="AF924" s="0">
        <f>TEXTJOIN(", ",TRUE,IF(AND(X924&gt;0,Y924&gt;0),TEXT(X924,"0.00")&amp;"ct x "&amp;Y924,""),IF(AND(Z924&gt;0,AA924&gt;0),TEXT(Z924,"0.00")&amp;"ct x "&amp;AA924,""),IF(AND(AB924&gt;0,AC924&gt;0),TEXT(AB924,"0.00")&amp;"ct x "&amp;AC924,""))</f>
        <v/>
      </c>
      <c r="AG924" s="0">
        <f>X924*Y924*SUMIFS($AM$2:$AM$11,$AK$2:$AK$11,"&lt;="&amp;X924,$AL$2:$AL$11,"&gt;="&amp;X924)+Z924*AA924*SUMIFS($AM$2:$AM$11,$AK$2:$AK$11,"&lt;="&amp;Z924,$AL$2:$AL$11,"&gt;="&amp;Z924)+AB924*AC924*SUMIFS($AM$2:$AM$11,$AK$2:$AK$11,"&lt;="&amp;AB924,$AL$2:$AL$11,"&gt;="&amp;AB924)</f>
        <v/>
      </c>
      <c r="AH924" s="0">
        <f>AG924*(1-40%)</f>
        <v/>
      </c>
      <c r="AI924" s="0">
        <f>AH924*1.2</f>
        <v/>
      </c>
    </row>
    <row r="925">
      <c r="A925" s="26" t="n"/>
      <c r="B925" s="169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>
        <f>AG925</f>
        <v/>
      </c>
      <c r="T925" s="26">
        <f>AI925+Q925+P925</f>
        <v/>
      </c>
      <c r="U925" s="26" t="n"/>
      <c r="V925" s="26" t="n"/>
      <c r="W925" s="169" t="n"/>
      <c r="X925" s="26" t="n"/>
      <c r="Y925" s="26" t="n"/>
      <c r="Z925" s="26" t="n"/>
      <c r="AA925" s="26" t="n"/>
      <c r="AD925" s="0">
        <f>SUM(Y925,AA925,AC925)</f>
        <v/>
      </c>
      <c r="AE925" s="0">
        <f>X925*Y925+Z925*AA925+AB925*AC925</f>
        <v/>
      </c>
      <c r="AF925" s="0">
        <f>TEXTJOIN(", ",TRUE,IF(AND(X925&gt;0,Y925&gt;0),TEXT(X925,"0.00")&amp;"ct x "&amp;Y925,""),IF(AND(Z925&gt;0,AA925&gt;0),TEXT(Z925,"0.00")&amp;"ct x "&amp;AA925,""),IF(AND(AB925&gt;0,AC925&gt;0),TEXT(AB925,"0.00")&amp;"ct x "&amp;AC925,""))</f>
        <v/>
      </c>
      <c r="AG925" s="0">
        <f>X925*Y925*SUMIFS($AM$2:$AM$11,$AK$2:$AK$11,"&lt;="&amp;X925,$AL$2:$AL$11,"&gt;="&amp;X925)+Z925*AA925*SUMIFS($AM$2:$AM$11,$AK$2:$AK$11,"&lt;="&amp;Z925,$AL$2:$AL$11,"&gt;="&amp;Z925)+AB925*AC925*SUMIFS($AM$2:$AM$11,$AK$2:$AK$11,"&lt;="&amp;AB925,$AL$2:$AL$11,"&gt;="&amp;AB925)</f>
        <v/>
      </c>
      <c r="AH925" s="0">
        <f>AG925*(1-40%)</f>
        <v/>
      </c>
      <c r="AI925" s="0">
        <f>AH925*1.2</f>
        <v/>
      </c>
    </row>
    <row r="926">
      <c r="A926" s="26" t="n"/>
      <c r="B926" s="169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>
        <f>AG926</f>
        <v/>
      </c>
      <c r="T926" s="26">
        <f>AI926+Q926+P926</f>
        <v/>
      </c>
      <c r="U926" s="26" t="n"/>
      <c r="V926" s="26" t="n"/>
      <c r="W926" s="169" t="n"/>
      <c r="X926" s="26" t="n"/>
      <c r="Y926" s="26" t="n"/>
      <c r="Z926" s="26" t="n"/>
      <c r="AA926" s="26" t="n"/>
      <c r="AD926" s="0">
        <f>SUM(Y926,AA926,AC926)</f>
        <v/>
      </c>
      <c r="AE926" s="0">
        <f>X926*Y926+Z926*AA926+AB926*AC926</f>
        <v/>
      </c>
      <c r="AF926" s="0">
        <f>TEXTJOIN(", ",TRUE,IF(AND(X926&gt;0,Y926&gt;0),TEXT(X926,"0.00")&amp;"ct x "&amp;Y926,""),IF(AND(Z926&gt;0,AA926&gt;0),TEXT(Z926,"0.00")&amp;"ct x "&amp;AA926,""),IF(AND(AB926&gt;0,AC926&gt;0),TEXT(AB926,"0.00")&amp;"ct x "&amp;AC926,""))</f>
        <v/>
      </c>
      <c r="AG926" s="0">
        <f>X926*Y926*SUMIFS($AM$2:$AM$11,$AK$2:$AK$11,"&lt;="&amp;X926,$AL$2:$AL$11,"&gt;="&amp;X926)+Z926*AA926*SUMIFS($AM$2:$AM$11,$AK$2:$AK$11,"&lt;="&amp;Z926,$AL$2:$AL$11,"&gt;="&amp;Z926)+AB926*AC926*SUMIFS($AM$2:$AM$11,$AK$2:$AK$11,"&lt;="&amp;AB926,$AL$2:$AL$11,"&gt;="&amp;AB926)</f>
        <v/>
      </c>
      <c r="AH926" s="0">
        <f>AG926*(1-40%)</f>
        <v/>
      </c>
      <c r="AI926" s="0">
        <f>AH926*1.2</f>
        <v/>
      </c>
    </row>
    <row r="927">
      <c r="A927" s="26" t="n"/>
      <c r="B927" s="169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>
        <f>AG927</f>
        <v/>
      </c>
      <c r="T927" s="26">
        <f>AI927+Q927+P927</f>
        <v/>
      </c>
      <c r="U927" s="26" t="n"/>
      <c r="V927" s="26" t="n"/>
      <c r="W927" s="169" t="n"/>
      <c r="X927" s="26" t="n"/>
      <c r="Y927" s="26" t="n"/>
      <c r="Z927" s="26" t="n"/>
      <c r="AA927" s="26" t="n"/>
      <c r="AD927" s="0">
        <f>SUM(Y927,AA927,AC927)</f>
        <v/>
      </c>
      <c r="AE927" s="0">
        <f>X927*Y927+Z927*AA927+AB927*AC927</f>
        <v/>
      </c>
      <c r="AF927" s="0">
        <f>TEXTJOIN(", ",TRUE,IF(AND(X927&gt;0,Y927&gt;0),TEXT(X927,"0.00")&amp;"ct x "&amp;Y927,""),IF(AND(Z927&gt;0,AA927&gt;0),TEXT(Z927,"0.00")&amp;"ct x "&amp;AA927,""),IF(AND(AB927&gt;0,AC927&gt;0),TEXT(AB927,"0.00")&amp;"ct x "&amp;AC927,""))</f>
        <v/>
      </c>
      <c r="AG927" s="0">
        <f>X927*Y927*SUMIFS($AM$2:$AM$11,$AK$2:$AK$11,"&lt;="&amp;X927,$AL$2:$AL$11,"&gt;="&amp;X927)+Z927*AA927*SUMIFS($AM$2:$AM$11,$AK$2:$AK$11,"&lt;="&amp;Z927,$AL$2:$AL$11,"&gt;="&amp;Z927)+AB927*AC927*SUMIFS($AM$2:$AM$11,$AK$2:$AK$11,"&lt;="&amp;AB927,$AL$2:$AL$11,"&gt;="&amp;AB927)</f>
        <v/>
      </c>
      <c r="AH927" s="0">
        <f>AG927*(1-40%)</f>
        <v/>
      </c>
      <c r="AI927" s="0">
        <f>AH927*1.2</f>
        <v/>
      </c>
    </row>
    <row r="928">
      <c r="A928" s="26" t="n"/>
      <c r="B928" s="169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>
        <f>AG928</f>
        <v/>
      </c>
      <c r="T928" s="26">
        <f>AI928+Q928+P928</f>
        <v/>
      </c>
      <c r="U928" s="26" t="n"/>
      <c r="V928" s="26" t="n"/>
      <c r="W928" s="169" t="n"/>
      <c r="X928" s="26" t="n"/>
      <c r="Y928" s="26" t="n"/>
      <c r="Z928" s="26" t="n"/>
      <c r="AA928" s="26" t="n"/>
      <c r="AD928" s="0">
        <f>SUM(Y928,AA928,AC928)</f>
        <v/>
      </c>
      <c r="AE928" s="0">
        <f>X928*Y928+Z928*AA928+AB928*AC928</f>
        <v/>
      </c>
      <c r="AF928" s="0">
        <f>TEXTJOIN(", ",TRUE,IF(AND(X928&gt;0,Y928&gt;0),TEXT(X928,"0.00")&amp;"ct x "&amp;Y928,""),IF(AND(Z928&gt;0,AA928&gt;0),TEXT(Z928,"0.00")&amp;"ct x "&amp;AA928,""),IF(AND(AB928&gt;0,AC928&gt;0),TEXT(AB928,"0.00")&amp;"ct x "&amp;AC928,""))</f>
        <v/>
      </c>
      <c r="AG928" s="0">
        <f>X928*Y928*SUMIFS($AM$2:$AM$11,$AK$2:$AK$11,"&lt;="&amp;X928,$AL$2:$AL$11,"&gt;="&amp;X928)+Z928*AA928*SUMIFS($AM$2:$AM$11,$AK$2:$AK$11,"&lt;="&amp;Z928,$AL$2:$AL$11,"&gt;="&amp;Z928)+AB928*AC928*SUMIFS($AM$2:$AM$11,$AK$2:$AK$11,"&lt;="&amp;AB928,$AL$2:$AL$11,"&gt;="&amp;AB928)</f>
        <v/>
      </c>
      <c r="AH928" s="0">
        <f>AG928*(1-40%)</f>
        <v/>
      </c>
      <c r="AI928" s="0">
        <f>AH928*1.2</f>
        <v/>
      </c>
    </row>
    <row r="929">
      <c r="A929" s="26" t="n"/>
      <c r="B929" s="169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>
        <f>AG929</f>
        <v/>
      </c>
      <c r="T929" s="26">
        <f>AI929+Q929+P929</f>
        <v/>
      </c>
      <c r="U929" s="26" t="n"/>
      <c r="V929" s="26" t="n"/>
      <c r="W929" s="169" t="n"/>
      <c r="X929" s="26" t="n"/>
      <c r="Y929" s="26" t="n"/>
      <c r="Z929" s="26" t="n"/>
      <c r="AA929" s="26" t="n"/>
      <c r="AD929" s="0">
        <f>SUM(Y929,AA929,AC929)</f>
        <v/>
      </c>
      <c r="AE929" s="0">
        <f>X929*Y929+Z929*AA929+AB929*AC929</f>
        <v/>
      </c>
      <c r="AF929" s="0">
        <f>TEXTJOIN(", ",TRUE,IF(AND(X929&gt;0,Y929&gt;0),TEXT(X929,"0.00")&amp;"ct x "&amp;Y929,""),IF(AND(Z929&gt;0,AA929&gt;0),TEXT(Z929,"0.00")&amp;"ct x "&amp;AA929,""),IF(AND(AB929&gt;0,AC929&gt;0),TEXT(AB929,"0.00")&amp;"ct x "&amp;AC929,""))</f>
        <v/>
      </c>
      <c r="AG929" s="0">
        <f>X929*Y929*SUMIFS($AM$2:$AM$11,$AK$2:$AK$11,"&lt;="&amp;X929,$AL$2:$AL$11,"&gt;="&amp;X929)+Z929*AA929*SUMIFS($AM$2:$AM$11,$AK$2:$AK$11,"&lt;="&amp;Z929,$AL$2:$AL$11,"&gt;="&amp;Z929)+AB929*AC929*SUMIFS($AM$2:$AM$11,$AK$2:$AK$11,"&lt;="&amp;AB929,$AL$2:$AL$11,"&gt;="&amp;AB929)</f>
        <v/>
      </c>
      <c r="AH929" s="0">
        <f>AG929*(1-40%)</f>
        <v/>
      </c>
      <c r="AI929" s="0">
        <f>AH929*1.2</f>
        <v/>
      </c>
    </row>
    <row r="930">
      <c r="A930" s="26" t="n"/>
      <c r="B930" s="169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>
        <f>AG930</f>
        <v/>
      </c>
      <c r="T930" s="26">
        <f>AI930+Q930+P930</f>
        <v/>
      </c>
      <c r="U930" s="26" t="n"/>
      <c r="V930" s="26" t="n"/>
      <c r="W930" s="169" t="n"/>
      <c r="X930" s="26" t="n"/>
      <c r="Y930" s="26" t="n"/>
      <c r="Z930" s="26" t="n"/>
      <c r="AA930" s="26" t="n"/>
      <c r="AD930" s="0">
        <f>SUM(Y930,AA930,AC930)</f>
        <v/>
      </c>
      <c r="AE930" s="0">
        <f>X930*Y930+Z930*AA930+AB930*AC930</f>
        <v/>
      </c>
      <c r="AF930" s="0">
        <f>TEXTJOIN(", ",TRUE,IF(AND(X930&gt;0,Y930&gt;0),TEXT(X930,"0.00")&amp;"ct x "&amp;Y930,""),IF(AND(Z930&gt;0,AA930&gt;0),TEXT(Z930,"0.00")&amp;"ct x "&amp;AA930,""),IF(AND(AB930&gt;0,AC930&gt;0),TEXT(AB930,"0.00")&amp;"ct x "&amp;AC930,""))</f>
        <v/>
      </c>
      <c r="AG930" s="0">
        <f>X930*Y930*SUMIFS($AM$2:$AM$11,$AK$2:$AK$11,"&lt;="&amp;X930,$AL$2:$AL$11,"&gt;="&amp;X930)+Z930*AA930*SUMIFS($AM$2:$AM$11,$AK$2:$AK$11,"&lt;="&amp;Z930,$AL$2:$AL$11,"&gt;="&amp;Z930)+AB930*AC930*SUMIFS($AM$2:$AM$11,$AK$2:$AK$11,"&lt;="&amp;AB930,$AL$2:$AL$11,"&gt;="&amp;AB930)</f>
        <v/>
      </c>
      <c r="AH930" s="0">
        <f>AG930*(1-40%)</f>
        <v/>
      </c>
      <c r="AI930" s="0">
        <f>AH930*1.2</f>
        <v/>
      </c>
    </row>
    <row r="931">
      <c r="A931" s="26" t="n"/>
      <c r="B931" s="169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>
        <f>AG931</f>
        <v/>
      </c>
      <c r="T931" s="26">
        <f>AI931+Q931+P931</f>
        <v/>
      </c>
      <c r="U931" s="26" t="n"/>
      <c r="V931" s="26" t="n"/>
      <c r="W931" s="169" t="n"/>
      <c r="X931" s="26" t="n"/>
      <c r="Y931" s="26" t="n"/>
      <c r="Z931" s="26" t="n"/>
      <c r="AA931" s="26" t="n"/>
      <c r="AD931" s="0">
        <f>SUM(Y931,AA931,AC931)</f>
        <v/>
      </c>
      <c r="AE931" s="0">
        <f>X931*Y931+Z931*AA931+AB931*AC931</f>
        <v/>
      </c>
      <c r="AF931" s="0">
        <f>TEXTJOIN(", ",TRUE,IF(AND(X931&gt;0,Y931&gt;0),TEXT(X931,"0.00")&amp;"ct x "&amp;Y931,""),IF(AND(Z931&gt;0,AA931&gt;0),TEXT(Z931,"0.00")&amp;"ct x "&amp;AA931,""),IF(AND(AB931&gt;0,AC931&gt;0),TEXT(AB931,"0.00")&amp;"ct x "&amp;AC931,""))</f>
        <v/>
      </c>
      <c r="AG931" s="0">
        <f>X931*Y931*SUMIFS($AM$2:$AM$11,$AK$2:$AK$11,"&lt;="&amp;X931,$AL$2:$AL$11,"&gt;="&amp;X931)+Z931*AA931*SUMIFS($AM$2:$AM$11,$AK$2:$AK$11,"&lt;="&amp;Z931,$AL$2:$AL$11,"&gt;="&amp;Z931)+AB931*AC931*SUMIFS($AM$2:$AM$11,$AK$2:$AK$11,"&lt;="&amp;AB931,$AL$2:$AL$11,"&gt;="&amp;AB931)</f>
        <v/>
      </c>
      <c r="AH931" s="0">
        <f>AG931*(1-40%)</f>
        <v/>
      </c>
      <c r="AI931" s="0">
        <f>AH931*1.2</f>
        <v/>
      </c>
    </row>
    <row r="932">
      <c r="A932" s="26" t="n"/>
      <c r="B932" s="169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>
        <f>AG932</f>
        <v/>
      </c>
      <c r="T932" s="26">
        <f>AI932+Q932+P932</f>
        <v/>
      </c>
      <c r="U932" s="26" t="n"/>
      <c r="V932" s="26" t="n"/>
      <c r="W932" s="169" t="n"/>
      <c r="X932" s="26" t="n"/>
      <c r="Y932" s="26" t="n"/>
      <c r="Z932" s="26" t="n"/>
      <c r="AA932" s="26" t="n"/>
      <c r="AD932" s="0">
        <f>SUM(Y932,AA932,AC932)</f>
        <v/>
      </c>
      <c r="AE932" s="0">
        <f>X932*Y932+Z932*AA932+AB932*AC932</f>
        <v/>
      </c>
      <c r="AF932" s="0">
        <f>TEXTJOIN(", ",TRUE,IF(AND(X932&gt;0,Y932&gt;0),TEXT(X932,"0.00")&amp;"ct x "&amp;Y932,""),IF(AND(Z932&gt;0,AA932&gt;0),TEXT(Z932,"0.00")&amp;"ct x "&amp;AA932,""),IF(AND(AB932&gt;0,AC932&gt;0),TEXT(AB932,"0.00")&amp;"ct x "&amp;AC932,""))</f>
        <v/>
      </c>
      <c r="AG932" s="0">
        <f>X932*Y932*SUMIFS($AM$2:$AM$11,$AK$2:$AK$11,"&lt;="&amp;X932,$AL$2:$AL$11,"&gt;="&amp;X932)+Z932*AA932*SUMIFS($AM$2:$AM$11,$AK$2:$AK$11,"&lt;="&amp;Z932,$AL$2:$AL$11,"&gt;="&amp;Z932)+AB932*AC932*SUMIFS($AM$2:$AM$11,$AK$2:$AK$11,"&lt;="&amp;AB932,$AL$2:$AL$11,"&gt;="&amp;AB932)</f>
        <v/>
      </c>
      <c r="AH932" s="0">
        <f>AG932*(1-40%)</f>
        <v/>
      </c>
      <c r="AI932" s="0">
        <f>AH932*1.2</f>
        <v/>
      </c>
    </row>
    <row r="933">
      <c r="A933" s="26" t="n"/>
      <c r="B933" s="169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>
        <f>AG933</f>
        <v/>
      </c>
      <c r="T933" s="26">
        <f>AI933+Q933+P933</f>
        <v/>
      </c>
      <c r="U933" s="26" t="n"/>
      <c r="V933" s="26" t="n"/>
      <c r="W933" s="169" t="n"/>
      <c r="X933" s="26" t="n"/>
      <c r="Y933" s="26" t="n"/>
      <c r="Z933" s="26" t="n"/>
      <c r="AA933" s="26" t="n"/>
      <c r="AD933" s="0">
        <f>SUM(Y933,AA933,AC933)</f>
        <v/>
      </c>
      <c r="AE933" s="0">
        <f>X933*Y933+Z933*AA933+AB933*AC933</f>
        <v/>
      </c>
      <c r="AF933" s="0">
        <f>TEXTJOIN(", ",TRUE,IF(AND(X933&gt;0,Y933&gt;0),TEXT(X933,"0.00")&amp;"ct x "&amp;Y933,""),IF(AND(Z933&gt;0,AA933&gt;0),TEXT(Z933,"0.00")&amp;"ct x "&amp;AA933,""),IF(AND(AB933&gt;0,AC933&gt;0),TEXT(AB933,"0.00")&amp;"ct x "&amp;AC933,""))</f>
        <v/>
      </c>
      <c r="AG933" s="0">
        <f>X933*Y933*SUMIFS($AM$2:$AM$11,$AK$2:$AK$11,"&lt;="&amp;X933,$AL$2:$AL$11,"&gt;="&amp;X933)+Z933*AA933*SUMIFS($AM$2:$AM$11,$AK$2:$AK$11,"&lt;="&amp;Z933,$AL$2:$AL$11,"&gt;="&amp;Z933)+AB933*AC933*SUMIFS($AM$2:$AM$11,$AK$2:$AK$11,"&lt;="&amp;AB933,$AL$2:$AL$11,"&gt;="&amp;AB933)</f>
        <v/>
      </c>
      <c r="AH933" s="0">
        <f>AG933*(1-40%)</f>
        <v/>
      </c>
      <c r="AI933" s="0">
        <f>AH933*1.2</f>
        <v/>
      </c>
    </row>
    <row r="934">
      <c r="A934" s="26" t="n"/>
      <c r="B934" s="169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>
        <f>AG934</f>
        <v/>
      </c>
      <c r="T934" s="26">
        <f>AI934+Q934+P934</f>
        <v/>
      </c>
      <c r="U934" s="26" t="n"/>
      <c r="V934" s="26" t="n"/>
      <c r="W934" s="169" t="n"/>
      <c r="X934" s="26" t="n"/>
      <c r="Y934" s="26" t="n"/>
      <c r="Z934" s="26" t="n"/>
      <c r="AA934" s="26" t="n"/>
      <c r="AD934" s="0">
        <f>SUM(Y934,AA934,AC934)</f>
        <v/>
      </c>
      <c r="AE934" s="0">
        <f>X934*Y934+Z934*AA934+AB934*AC934</f>
        <v/>
      </c>
      <c r="AF934" s="0">
        <f>TEXTJOIN(", ",TRUE,IF(AND(X934&gt;0,Y934&gt;0),TEXT(X934,"0.00")&amp;"ct x "&amp;Y934,""),IF(AND(Z934&gt;0,AA934&gt;0),TEXT(Z934,"0.00")&amp;"ct x "&amp;AA934,""),IF(AND(AB934&gt;0,AC934&gt;0),TEXT(AB934,"0.00")&amp;"ct x "&amp;AC934,""))</f>
        <v/>
      </c>
      <c r="AG934" s="0">
        <f>X934*Y934*SUMIFS($AM$2:$AM$11,$AK$2:$AK$11,"&lt;="&amp;X934,$AL$2:$AL$11,"&gt;="&amp;X934)+Z934*AA934*SUMIFS($AM$2:$AM$11,$AK$2:$AK$11,"&lt;="&amp;Z934,$AL$2:$AL$11,"&gt;="&amp;Z934)+AB934*AC934*SUMIFS($AM$2:$AM$11,$AK$2:$AK$11,"&lt;="&amp;AB934,$AL$2:$AL$11,"&gt;="&amp;AB934)</f>
        <v/>
      </c>
      <c r="AH934" s="0">
        <f>AG934*(1-40%)</f>
        <v/>
      </c>
      <c r="AI934" s="0">
        <f>AH934*1.2</f>
        <v/>
      </c>
    </row>
    <row r="935">
      <c r="A935" s="26" t="n"/>
      <c r="B935" s="169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>
        <f>AG935</f>
        <v/>
      </c>
      <c r="T935" s="26">
        <f>AI935+Q935+P935</f>
        <v/>
      </c>
      <c r="U935" s="26" t="n"/>
      <c r="V935" s="26" t="n"/>
      <c r="W935" s="169" t="n"/>
      <c r="X935" s="26" t="n"/>
      <c r="Y935" s="26" t="n"/>
      <c r="Z935" s="26" t="n"/>
      <c r="AA935" s="26" t="n"/>
      <c r="AD935" s="0">
        <f>SUM(Y935,AA935,AC935)</f>
        <v/>
      </c>
      <c r="AE935" s="0">
        <f>X935*Y935+Z935*AA935+AB935*AC935</f>
        <v/>
      </c>
      <c r="AF935" s="0">
        <f>TEXTJOIN(", ",TRUE,IF(AND(X935&gt;0,Y935&gt;0),TEXT(X935,"0.00")&amp;"ct x "&amp;Y935,""),IF(AND(Z935&gt;0,AA935&gt;0),TEXT(Z935,"0.00")&amp;"ct x "&amp;AA935,""),IF(AND(AB935&gt;0,AC935&gt;0),TEXT(AB935,"0.00")&amp;"ct x "&amp;AC935,""))</f>
        <v/>
      </c>
      <c r="AG935" s="0">
        <f>X935*Y935*SUMIFS($AM$2:$AM$11,$AK$2:$AK$11,"&lt;="&amp;X935,$AL$2:$AL$11,"&gt;="&amp;X935)+Z935*AA935*SUMIFS($AM$2:$AM$11,$AK$2:$AK$11,"&lt;="&amp;Z935,$AL$2:$AL$11,"&gt;="&amp;Z935)+AB935*AC935*SUMIFS($AM$2:$AM$11,$AK$2:$AK$11,"&lt;="&amp;AB935,$AL$2:$AL$11,"&gt;="&amp;AB935)</f>
        <v/>
      </c>
      <c r="AH935" s="0">
        <f>AG935*(1-40%)</f>
        <v/>
      </c>
      <c r="AI935" s="0">
        <f>AH935*1.2</f>
        <v/>
      </c>
    </row>
    <row r="936">
      <c r="A936" s="26" t="n"/>
      <c r="B936" s="169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>
        <f>AG936</f>
        <v/>
      </c>
      <c r="T936" s="26">
        <f>AI936+Q936+P936</f>
        <v/>
      </c>
      <c r="U936" s="26" t="n"/>
      <c r="V936" s="26" t="n"/>
      <c r="W936" s="169" t="n"/>
      <c r="X936" s="26" t="n"/>
      <c r="Y936" s="26" t="n"/>
      <c r="Z936" s="26" t="n"/>
      <c r="AA936" s="26" t="n"/>
      <c r="AD936" s="0">
        <f>SUM(Y936,AA936,AC936)</f>
        <v/>
      </c>
      <c r="AE936" s="0">
        <f>X936*Y936+Z936*AA936+AB936*AC936</f>
        <v/>
      </c>
      <c r="AF936" s="0">
        <f>TEXTJOIN(", ",TRUE,IF(AND(X936&gt;0,Y936&gt;0),TEXT(X936,"0.00")&amp;"ct x "&amp;Y936,""),IF(AND(Z936&gt;0,AA936&gt;0),TEXT(Z936,"0.00")&amp;"ct x "&amp;AA936,""),IF(AND(AB936&gt;0,AC936&gt;0),TEXT(AB936,"0.00")&amp;"ct x "&amp;AC936,""))</f>
        <v/>
      </c>
      <c r="AG936" s="0">
        <f>X936*Y936*SUMIFS($AM$2:$AM$11,$AK$2:$AK$11,"&lt;="&amp;X936,$AL$2:$AL$11,"&gt;="&amp;X936)+Z936*AA936*SUMIFS($AM$2:$AM$11,$AK$2:$AK$11,"&lt;="&amp;Z936,$AL$2:$AL$11,"&gt;="&amp;Z936)+AB936*AC936*SUMIFS($AM$2:$AM$11,$AK$2:$AK$11,"&lt;="&amp;AB936,$AL$2:$AL$11,"&gt;="&amp;AB936)</f>
        <v/>
      </c>
      <c r="AH936" s="0">
        <f>AG936*(1-40%)</f>
        <v/>
      </c>
      <c r="AI936" s="0">
        <f>AH936*1.2</f>
        <v/>
      </c>
    </row>
    <row r="937">
      <c r="A937" s="26" t="n"/>
      <c r="B937" s="169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>
        <f>AG937</f>
        <v/>
      </c>
      <c r="T937" s="26">
        <f>AI937+Q937+P937</f>
        <v/>
      </c>
      <c r="U937" s="26" t="n"/>
      <c r="V937" s="26" t="n"/>
      <c r="W937" s="169" t="n"/>
      <c r="X937" s="26" t="n"/>
      <c r="Y937" s="26" t="n"/>
      <c r="Z937" s="26" t="n"/>
      <c r="AA937" s="26" t="n"/>
      <c r="AD937" s="0">
        <f>SUM(Y937,AA937,AC937)</f>
        <v/>
      </c>
      <c r="AE937" s="0">
        <f>X937*Y937+Z937*AA937+AB937*AC937</f>
        <v/>
      </c>
      <c r="AF937" s="0">
        <f>TEXTJOIN(", ",TRUE,IF(AND(X937&gt;0,Y937&gt;0),TEXT(X937,"0.00")&amp;"ct x "&amp;Y937,""),IF(AND(Z937&gt;0,AA937&gt;0),TEXT(Z937,"0.00")&amp;"ct x "&amp;AA937,""),IF(AND(AB937&gt;0,AC937&gt;0),TEXT(AB937,"0.00")&amp;"ct x "&amp;AC937,""))</f>
        <v/>
      </c>
      <c r="AG937" s="0">
        <f>X937*Y937*SUMIFS($AM$2:$AM$11,$AK$2:$AK$11,"&lt;="&amp;X937,$AL$2:$AL$11,"&gt;="&amp;X937)+Z937*AA937*SUMIFS($AM$2:$AM$11,$AK$2:$AK$11,"&lt;="&amp;Z937,$AL$2:$AL$11,"&gt;="&amp;Z937)+AB937*AC937*SUMIFS($AM$2:$AM$11,$AK$2:$AK$11,"&lt;="&amp;AB937,$AL$2:$AL$11,"&gt;="&amp;AB937)</f>
        <v/>
      </c>
      <c r="AH937" s="0">
        <f>AG937*(1-40%)</f>
        <v/>
      </c>
      <c r="AI937" s="0">
        <f>AH937*1.2</f>
        <v/>
      </c>
    </row>
    <row r="938">
      <c r="A938" s="26" t="n"/>
      <c r="B938" s="169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>
        <f>AG938</f>
        <v/>
      </c>
      <c r="T938" s="26">
        <f>AI938+Q938+P938</f>
        <v/>
      </c>
      <c r="U938" s="26" t="n"/>
      <c r="V938" s="26" t="n"/>
      <c r="W938" s="169" t="n"/>
      <c r="X938" s="26" t="n"/>
      <c r="Y938" s="26" t="n"/>
      <c r="Z938" s="26" t="n"/>
      <c r="AA938" s="26" t="n"/>
      <c r="AD938" s="0">
        <f>SUM(Y938,AA938,AC938)</f>
        <v/>
      </c>
      <c r="AE938" s="0">
        <f>X938*Y938+Z938*AA938+AB938*AC938</f>
        <v/>
      </c>
      <c r="AF938" s="0">
        <f>TEXTJOIN(", ",TRUE,IF(AND(X938&gt;0,Y938&gt;0),TEXT(X938,"0.00")&amp;"ct x "&amp;Y938,""),IF(AND(Z938&gt;0,AA938&gt;0),TEXT(Z938,"0.00")&amp;"ct x "&amp;AA938,""),IF(AND(AB938&gt;0,AC938&gt;0),TEXT(AB938,"0.00")&amp;"ct x "&amp;AC938,""))</f>
        <v/>
      </c>
      <c r="AG938" s="0">
        <f>X938*Y938*SUMIFS($AM$2:$AM$11,$AK$2:$AK$11,"&lt;="&amp;X938,$AL$2:$AL$11,"&gt;="&amp;X938)+Z938*AA938*SUMIFS($AM$2:$AM$11,$AK$2:$AK$11,"&lt;="&amp;Z938,$AL$2:$AL$11,"&gt;="&amp;Z938)+AB938*AC938*SUMIFS($AM$2:$AM$11,$AK$2:$AK$11,"&lt;="&amp;AB938,$AL$2:$AL$11,"&gt;="&amp;AB938)</f>
        <v/>
      </c>
      <c r="AH938" s="0">
        <f>AG938*(1-40%)</f>
        <v/>
      </c>
      <c r="AI938" s="0">
        <f>AH938*1.2</f>
        <v/>
      </c>
    </row>
    <row r="939">
      <c r="A939" s="26" t="n"/>
      <c r="B939" s="169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>
        <f>AG939</f>
        <v/>
      </c>
      <c r="T939" s="26">
        <f>AI939+Q939+P939</f>
        <v/>
      </c>
      <c r="U939" s="26" t="n"/>
      <c r="V939" s="26" t="n"/>
      <c r="W939" s="169" t="n"/>
      <c r="X939" s="26" t="n"/>
      <c r="Y939" s="26" t="n"/>
      <c r="Z939" s="26" t="n"/>
      <c r="AA939" s="26" t="n"/>
      <c r="AD939" s="0">
        <f>SUM(Y939,AA939,AC939)</f>
        <v/>
      </c>
      <c r="AE939" s="0">
        <f>X939*Y939+Z939*AA939+AB939*AC939</f>
        <v/>
      </c>
      <c r="AF939" s="0">
        <f>TEXTJOIN(", ",TRUE,IF(AND(X939&gt;0,Y939&gt;0),TEXT(X939,"0.00")&amp;"ct x "&amp;Y939,""),IF(AND(Z939&gt;0,AA939&gt;0),TEXT(Z939,"0.00")&amp;"ct x "&amp;AA939,""),IF(AND(AB939&gt;0,AC939&gt;0),TEXT(AB939,"0.00")&amp;"ct x "&amp;AC939,""))</f>
        <v/>
      </c>
      <c r="AG939" s="0">
        <f>X939*Y939*SUMIFS($AM$2:$AM$11,$AK$2:$AK$11,"&lt;="&amp;X939,$AL$2:$AL$11,"&gt;="&amp;X939)+Z939*AA939*SUMIFS($AM$2:$AM$11,$AK$2:$AK$11,"&lt;="&amp;Z939,$AL$2:$AL$11,"&gt;="&amp;Z939)+AB939*AC939*SUMIFS($AM$2:$AM$11,$AK$2:$AK$11,"&lt;="&amp;AB939,$AL$2:$AL$11,"&gt;="&amp;AB939)</f>
        <v/>
      </c>
      <c r="AH939" s="0">
        <f>AG939*(1-40%)</f>
        <v/>
      </c>
      <c r="AI939" s="0">
        <f>AH939*1.2</f>
        <v/>
      </c>
    </row>
    <row r="940">
      <c r="A940" s="26" t="n"/>
      <c r="B940" s="169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>
        <f>AG940</f>
        <v/>
      </c>
      <c r="T940" s="26">
        <f>AI940+Q940+P940</f>
        <v/>
      </c>
      <c r="U940" s="26" t="n"/>
      <c r="V940" s="26" t="n"/>
      <c r="W940" s="169" t="n"/>
      <c r="X940" s="26" t="n"/>
      <c r="Y940" s="26" t="n"/>
      <c r="Z940" s="26" t="n"/>
      <c r="AA940" s="26" t="n"/>
      <c r="AD940" s="0">
        <f>SUM(Y940,AA940,AC940)</f>
        <v/>
      </c>
      <c r="AE940" s="0">
        <f>X940*Y940+Z940*AA940+AB940*AC940</f>
        <v/>
      </c>
      <c r="AF940" s="0">
        <f>TEXTJOIN(", ",TRUE,IF(AND(X940&gt;0,Y940&gt;0),TEXT(X940,"0.00")&amp;"ct x "&amp;Y940,""),IF(AND(Z940&gt;0,AA940&gt;0),TEXT(Z940,"0.00")&amp;"ct x "&amp;AA940,""),IF(AND(AB940&gt;0,AC940&gt;0),TEXT(AB940,"0.00")&amp;"ct x "&amp;AC940,""))</f>
        <v/>
      </c>
      <c r="AG940" s="0">
        <f>X940*Y940*SUMIFS($AM$2:$AM$11,$AK$2:$AK$11,"&lt;="&amp;X940,$AL$2:$AL$11,"&gt;="&amp;X940)+Z940*AA940*SUMIFS($AM$2:$AM$11,$AK$2:$AK$11,"&lt;="&amp;Z940,$AL$2:$AL$11,"&gt;="&amp;Z940)+AB940*AC940*SUMIFS($AM$2:$AM$11,$AK$2:$AK$11,"&lt;="&amp;AB940,$AL$2:$AL$11,"&gt;="&amp;AB940)</f>
        <v/>
      </c>
      <c r="AH940" s="0">
        <f>AG940*(1-40%)</f>
        <v/>
      </c>
      <c r="AI940" s="0">
        <f>AH940*1.2</f>
        <v/>
      </c>
    </row>
    <row r="941">
      <c r="A941" s="26" t="n"/>
      <c r="B941" s="169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>
        <f>AG941</f>
        <v/>
      </c>
      <c r="T941" s="26">
        <f>AI941+Q941+P941</f>
        <v/>
      </c>
      <c r="U941" s="26" t="n"/>
      <c r="V941" s="26" t="n"/>
      <c r="W941" s="169" t="n"/>
      <c r="X941" s="26" t="n"/>
      <c r="Y941" s="26" t="n"/>
      <c r="Z941" s="26" t="n"/>
      <c r="AA941" s="26" t="n"/>
      <c r="AD941" s="0">
        <f>SUM(Y941,AA941,AC941)</f>
        <v/>
      </c>
      <c r="AE941" s="0">
        <f>X941*Y941+Z941*AA941+AB941*AC941</f>
        <v/>
      </c>
      <c r="AF941" s="0">
        <f>TEXTJOIN(", ",TRUE,IF(AND(X941&gt;0,Y941&gt;0),TEXT(X941,"0.00")&amp;"ct x "&amp;Y941,""),IF(AND(Z941&gt;0,AA941&gt;0),TEXT(Z941,"0.00")&amp;"ct x "&amp;AA941,""),IF(AND(AB941&gt;0,AC941&gt;0),TEXT(AB941,"0.00")&amp;"ct x "&amp;AC941,""))</f>
        <v/>
      </c>
      <c r="AG941" s="0">
        <f>X941*Y941*SUMIFS($AM$2:$AM$11,$AK$2:$AK$11,"&lt;="&amp;X941,$AL$2:$AL$11,"&gt;="&amp;X941)+Z941*AA941*SUMIFS($AM$2:$AM$11,$AK$2:$AK$11,"&lt;="&amp;Z941,$AL$2:$AL$11,"&gt;="&amp;Z941)+AB941*AC941*SUMIFS($AM$2:$AM$11,$AK$2:$AK$11,"&lt;="&amp;AB941,$AL$2:$AL$11,"&gt;="&amp;AB941)</f>
        <v/>
      </c>
      <c r="AH941" s="0">
        <f>AG941*(1-40%)</f>
        <v/>
      </c>
      <c r="AI941" s="0">
        <f>AH941*1.2</f>
        <v/>
      </c>
    </row>
    <row r="942">
      <c r="A942" s="26" t="n"/>
      <c r="B942" s="169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>
        <f>AG942</f>
        <v/>
      </c>
      <c r="T942" s="26">
        <f>AI942+Q942+P942</f>
        <v/>
      </c>
      <c r="U942" s="26" t="n"/>
      <c r="V942" s="26" t="n"/>
      <c r="W942" s="169" t="n"/>
      <c r="X942" s="26" t="n"/>
      <c r="Y942" s="26" t="n"/>
      <c r="Z942" s="26" t="n"/>
      <c r="AA942" s="26" t="n"/>
      <c r="AD942" s="0">
        <f>SUM(Y942,AA942,AC942)</f>
        <v/>
      </c>
      <c r="AE942" s="0">
        <f>X942*Y942+Z942*AA942+AB942*AC942</f>
        <v/>
      </c>
      <c r="AF942" s="0">
        <f>TEXTJOIN(", ",TRUE,IF(AND(X942&gt;0,Y942&gt;0),TEXT(X942,"0.00")&amp;"ct x "&amp;Y942,""),IF(AND(Z942&gt;0,AA942&gt;0),TEXT(Z942,"0.00")&amp;"ct x "&amp;AA942,""),IF(AND(AB942&gt;0,AC942&gt;0),TEXT(AB942,"0.00")&amp;"ct x "&amp;AC942,""))</f>
        <v/>
      </c>
      <c r="AG942" s="0">
        <f>X942*Y942*SUMIFS($AM$2:$AM$11,$AK$2:$AK$11,"&lt;="&amp;X942,$AL$2:$AL$11,"&gt;="&amp;X942)+Z942*AA942*SUMIFS($AM$2:$AM$11,$AK$2:$AK$11,"&lt;="&amp;Z942,$AL$2:$AL$11,"&gt;="&amp;Z942)+AB942*AC942*SUMIFS($AM$2:$AM$11,$AK$2:$AK$11,"&lt;="&amp;AB942,$AL$2:$AL$11,"&gt;="&amp;AB942)</f>
        <v/>
      </c>
      <c r="AH942" s="0">
        <f>AG942*(1-40%)</f>
        <v/>
      </c>
      <c r="AI942" s="0">
        <f>AH942*1.2</f>
        <v/>
      </c>
    </row>
    <row r="943">
      <c r="A943" s="26" t="n"/>
      <c r="B943" s="169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>
        <f>AG943</f>
        <v/>
      </c>
      <c r="T943" s="26">
        <f>AI943+Q943+P943</f>
        <v/>
      </c>
      <c r="U943" s="26" t="n"/>
      <c r="V943" s="26" t="n"/>
      <c r="W943" s="169" t="n"/>
      <c r="X943" s="26" t="n"/>
      <c r="Y943" s="26" t="n"/>
      <c r="Z943" s="26" t="n"/>
      <c r="AA943" s="26" t="n"/>
      <c r="AD943" s="0">
        <f>SUM(Y943,AA943,AC943)</f>
        <v/>
      </c>
      <c r="AE943" s="0">
        <f>X943*Y943+Z943*AA943+AB943*AC943</f>
        <v/>
      </c>
      <c r="AF943" s="0">
        <f>TEXTJOIN(", ",TRUE,IF(AND(X943&gt;0,Y943&gt;0),TEXT(X943,"0.00")&amp;"ct x "&amp;Y943,""),IF(AND(Z943&gt;0,AA943&gt;0),TEXT(Z943,"0.00")&amp;"ct x "&amp;AA943,""),IF(AND(AB943&gt;0,AC943&gt;0),TEXT(AB943,"0.00")&amp;"ct x "&amp;AC943,""))</f>
        <v/>
      </c>
      <c r="AG943" s="0">
        <f>X943*Y943*SUMIFS($AM$2:$AM$11,$AK$2:$AK$11,"&lt;="&amp;X943,$AL$2:$AL$11,"&gt;="&amp;X943)+Z943*AA943*SUMIFS($AM$2:$AM$11,$AK$2:$AK$11,"&lt;="&amp;Z943,$AL$2:$AL$11,"&gt;="&amp;Z943)+AB943*AC943*SUMIFS($AM$2:$AM$11,$AK$2:$AK$11,"&lt;="&amp;AB943,$AL$2:$AL$11,"&gt;="&amp;AB943)</f>
        <v/>
      </c>
      <c r="AH943" s="0">
        <f>AG943*(1-40%)</f>
        <v/>
      </c>
      <c r="AI943" s="0">
        <f>AH943*1.2</f>
        <v/>
      </c>
    </row>
    <row r="944">
      <c r="A944" s="26" t="n"/>
      <c r="B944" s="169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>
        <f>AG944</f>
        <v/>
      </c>
      <c r="T944" s="26">
        <f>AI944+Q944+P944</f>
        <v/>
      </c>
      <c r="U944" s="26" t="n"/>
      <c r="V944" s="26" t="n"/>
      <c r="W944" s="169" t="n"/>
      <c r="X944" s="26" t="n"/>
      <c r="Y944" s="26" t="n"/>
      <c r="Z944" s="26" t="n"/>
      <c r="AA944" s="26" t="n"/>
      <c r="AD944" s="0">
        <f>SUM(Y944,AA944,AC944)</f>
        <v/>
      </c>
      <c r="AE944" s="0">
        <f>X944*Y944+Z944*AA944+AB944*AC944</f>
        <v/>
      </c>
      <c r="AF944" s="0">
        <f>TEXTJOIN(", ",TRUE,IF(AND(X944&gt;0,Y944&gt;0),TEXT(X944,"0.00")&amp;"ct x "&amp;Y944,""),IF(AND(Z944&gt;0,AA944&gt;0),TEXT(Z944,"0.00")&amp;"ct x "&amp;AA944,""),IF(AND(AB944&gt;0,AC944&gt;0),TEXT(AB944,"0.00")&amp;"ct x "&amp;AC944,""))</f>
        <v/>
      </c>
      <c r="AG944" s="0">
        <f>X944*Y944*SUMIFS($AM$2:$AM$11,$AK$2:$AK$11,"&lt;="&amp;X944,$AL$2:$AL$11,"&gt;="&amp;X944)+Z944*AA944*SUMIFS($AM$2:$AM$11,$AK$2:$AK$11,"&lt;="&amp;Z944,$AL$2:$AL$11,"&gt;="&amp;Z944)+AB944*AC944*SUMIFS($AM$2:$AM$11,$AK$2:$AK$11,"&lt;="&amp;AB944,$AL$2:$AL$11,"&gt;="&amp;AB944)</f>
        <v/>
      </c>
      <c r="AH944" s="0">
        <f>AG944*(1-40%)</f>
        <v/>
      </c>
      <c r="AI944" s="0">
        <f>AH944*1.2</f>
        <v/>
      </c>
    </row>
    <row r="945">
      <c r="A945" s="26" t="n"/>
      <c r="B945" s="169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>
        <f>AG945</f>
        <v/>
      </c>
      <c r="T945" s="26">
        <f>AI945+Q945+P945</f>
        <v/>
      </c>
      <c r="U945" s="26" t="n"/>
      <c r="V945" s="26" t="n"/>
      <c r="W945" s="169" t="n"/>
      <c r="X945" s="26" t="n"/>
      <c r="Y945" s="26" t="n"/>
      <c r="Z945" s="26" t="n"/>
      <c r="AA945" s="26" t="n"/>
      <c r="AD945" s="0">
        <f>SUM(Y945,AA945,AC945)</f>
        <v/>
      </c>
      <c r="AE945" s="0">
        <f>X945*Y945+Z945*AA945+AB945*AC945</f>
        <v/>
      </c>
      <c r="AF945" s="0">
        <f>TEXTJOIN(", ",TRUE,IF(AND(X945&gt;0,Y945&gt;0),TEXT(X945,"0.00")&amp;"ct x "&amp;Y945,""),IF(AND(Z945&gt;0,AA945&gt;0),TEXT(Z945,"0.00")&amp;"ct x "&amp;AA945,""),IF(AND(AB945&gt;0,AC945&gt;0),TEXT(AB945,"0.00")&amp;"ct x "&amp;AC945,""))</f>
        <v/>
      </c>
      <c r="AG945" s="0">
        <f>X945*Y945*SUMIFS($AM$2:$AM$11,$AK$2:$AK$11,"&lt;="&amp;X945,$AL$2:$AL$11,"&gt;="&amp;X945)+Z945*AA945*SUMIFS($AM$2:$AM$11,$AK$2:$AK$11,"&lt;="&amp;Z945,$AL$2:$AL$11,"&gt;="&amp;Z945)+AB945*AC945*SUMIFS($AM$2:$AM$11,$AK$2:$AK$11,"&lt;="&amp;AB945,$AL$2:$AL$11,"&gt;="&amp;AB945)</f>
        <v/>
      </c>
      <c r="AH945" s="0">
        <f>AG945*(1-40%)</f>
        <v/>
      </c>
      <c r="AI945" s="0">
        <f>AH945*1.2</f>
        <v/>
      </c>
    </row>
    <row r="946">
      <c r="A946" s="26" t="n"/>
      <c r="B946" s="169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>
        <f>AG946</f>
        <v/>
      </c>
      <c r="T946" s="26">
        <f>AI946+Q946+P946</f>
        <v/>
      </c>
      <c r="U946" s="26" t="n"/>
      <c r="V946" s="26" t="n"/>
      <c r="W946" s="169" t="n"/>
      <c r="X946" s="26" t="n"/>
      <c r="Y946" s="26" t="n"/>
      <c r="Z946" s="26" t="n"/>
      <c r="AA946" s="26" t="n"/>
      <c r="AD946" s="0">
        <f>SUM(Y946,AA946,AC946)</f>
        <v/>
      </c>
      <c r="AE946" s="0">
        <f>X946*Y946+Z946*AA946+AB946*AC946</f>
        <v/>
      </c>
      <c r="AF946" s="0">
        <f>TEXTJOIN(", ",TRUE,IF(AND(X946&gt;0,Y946&gt;0),TEXT(X946,"0.00")&amp;"ct x "&amp;Y946,""),IF(AND(Z946&gt;0,AA946&gt;0),TEXT(Z946,"0.00")&amp;"ct x "&amp;AA946,""),IF(AND(AB946&gt;0,AC946&gt;0),TEXT(AB946,"0.00")&amp;"ct x "&amp;AC946,""))</f>
        <v/>
      </c>
      <c r="AG946" s="0">
        <f>X946*Y946*SUMIFS($AM$2:$AM$11,$AK$2:$AK$11,"&lt;="&amp;X946,$AL$2:$AL$11,"&gt;="&amp;X946)+Z946*AA946*SUMIFS($AM$2:$AM$11,$AK$2:$AK$11,"&lt;="&amp;Z946,$AL$2:$AL$11,"&gt;="&amp;Z946)+AB946*AC946*SUMIFS($AM$2:$AM$11,$AK$2:$AK$11,"&lt;="&amp;AB946,$AL$2:$AL$11,"&gt;="&amp;AB946)</f>
        <v/>
      </c>
      <c r="AH946" s="0">
        <f>AG946*(1-40%)</f>
        <v/>
      </c>
      <c r="AI946" s="0">
        <f>AH946*1.2</f>
        <v/>
      </c>
    </row>
    <row r="947">
      <c r="A947" s="26" t="n"/>
      <c r="B947" s="169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>
        <f>AG947</f>
        <v/>
      </c>
      <c r="T947" s="26">
        <f>AI947+Q947+P947</f>
        <v/>
      </c>
      <c r="U947" s="26" t="n"/>
      <c r="V947" s="26" t="n"/>
      <c r="W947" s="169" t="n"/>
      <c r="X947" s="26" t="n"/>
      <c r="Y947" s="26" t="n"/>
      <c r="Z947" s="26" t="n"/>
      <c r="AA947" s="26" t="n"/>
      <c r="AD947" s="0">
        <f>SUM(Y947,AA947,AC947)</f>
        <v/>
      </c>
      <c r="AE947" s="0">
        <f>X947*Y947+Z947*AA947+AB947*AC947</f>
        <v/>
      </c>
      <c r="AF947" s="0">
        <f>TEXTJOIN(", ",TRUE,IF(AND(X947&gt;0,Y947&gt;0),TEXT(X947,"0.00")&amp;"ct x "&amp;Y947,""),IF(AND(Z947&gt;0,AA947&gt;0),TEXT(Z947,"0.00")&amp;"ct x "&amp;AA947,""),IF(AND(AB947&gt;0,AC947&gt;0),TEXT(AB947,"0.00")&amp;"ct x "&amp;AC947,""))</f>
        <v/>
      </c>
      <c r="AG947" s="0">
        <f>X947*Y947*SUMIFS($AM$2:$AM$11,$AK$2:$AK$11,"&lt;="&amp;X947,$AL$2:$AL$11,"&gt;="&amp;X947)+Z947*AA947*SUMIFS($AM$2:$AM$11,$AK$2:$AK$11,"&lt;="&amp;Z947,$AL$2:$AL$11,"&gt;="&amp;Z947)+AB947*AC947*SUMIFS($AM$2:$AM$11,$AK$2:$AK$11,"&lt;="&amp;AB947,$AL$2:$AL$11,"&gt;="&amp;AB947)</f>
        <v/>
      </c>
      <c r="AH947" s="0">
        <f>AG947*(1-40%)</f>
        <v/>
      </c>
      <c r="AI947" s="0">
        <f>AH947*1.2</f>
        <v/>
      </c>
    </row>
    <row r="948">
      <c r="A948" s="26" t="n"/>
      <c r="B948" s="169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>
        <f>AG948</f>
        <v/>
      </c>
      <c r="T948" s="26">
        <f>AI948+Q948+P948</f>
        <v/>
      </c>
      <c r="U948" s="26" t="n"/>
      <c r="V948" s="26" t="n"/>
      <c r="W948" s="169" t="n"/>
      <c r="X948" s="26" t="n"/>
      <c r="Y948" s="26" t="n"/>
      <c r="Z948" s="26" t="n"/>
      <c r="AA948" s="26" t="n"/>
      <c r="AD948" s="0">
        <f>SUM(Y948,AA948,AC948)</f>
        <v/>
      </c>
      <c r="AE948" s="0">
        <f>X948*Y948+Z948*AA948+AB948*AC948</f>
        <v/>
      </c>
      <c r="AF948" s="0">
        <f>TEXTJOIN(", ",TRUE,IF(AND(X948&gt;0,Y948&gt;0),TEXT(X948,"0.00")&amp;"ct x "&amp;Y948,""),IF(AND(Z948&gt;0,AA948&gt;0),TEXT(Z948,"0.00")&amp;"ct x "&amp;AA948,""),IF(AND(AB948&gt;0,AC948&gt;0),TEXT(AB948,"0.00")&amp;"ct x "&amp;AC948,""))</f>
        <v/>
      </c>
      <c r="AG948" s="0">
        <f>X948*Y948*SUMIFS($AM$2:$AM$11,$AK$2:$AK$11,"&lt;="&amp;X948,$AL$2:$AL$11,"&gt;="&amp;X948)+Z948*AA948*SUMIFS($AM$2:$AM$11,$AK$2:$AK$11,"&lt;="&amp;Z948,$AL$2:$AL$11,"&gt;="&amp;Z948)+AB948*AC948*SUMIFS($AM$2:$AM$11,$AK$2:$AK$11,"&lt;="&amp;AB948,$AL$2:$AL$11,"&gt;="&amp;AB948)</f>
        <v/>
      </c>
      <c r="AH948" s="0">
        <f>AG948*(1-40%)</f>
        <v/>
      </c>
      <c r="AI948" s="0">
        <f>AH948*1.2</f>
        <v/>
      </c>
    </row>
    <row r="949">
      <c r="A949" s="26" t="n"/>
      <c r="B949" s="169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>
        <f>AG949</f>
        <v/>
      </c>
      <c r="T949" s="26">
        <f>AI949+Q949+P949</f>
        <v/>
      </c>
      <c r="U949" s="26" t="n"/>
      <c r="V949" s="26" t="n"/>
      <c r="W949" s="169" t="n"/>
      <c r="X949" s="26" t="n"/>
      <c r="Y949" s="26" t="n"/>
      <c r="Z949" s="26" t="n"/>
      <c r="AA949" s="26" t="n"/>
      <c r="AD949" s="0">
        <f>SUM(Y949,AA949,AC949)</f>
        <v/>
      </c>
      <c r="AE949" s="0">
        <f>X949*Y949+Z949*AA949+AB949*AC949</f>
        <v/>
      </c>
      <c r="AF949" s="0">
        <f>TEXTJOIN(", ",TRUE,IF(AND(X949&gt;0,Y949&gt;0),TEXT(X949,"0.00")&amp;"ct x "&amp;Y949,""),IF(AND(Z949&gt;0,AA949&gt;0),TEXT(Z949,"0.00")&amp;"ct x "&amp;AA949,""),IF(AND(AB949&gt;0,AC949&gt;0),TEXT(AB949,"0.00")&amp;"ct x "&amp;AC949,""))</f>
        <v/>
      </c>
      <c r="AG949" s="0">
        <f>X949*Y949*SUMIFS($AM$2:$AM$11,$AK$2:$AK$11,"&lt;="&amp;X949,$AL$2:$AL$11,"&gt;="&amp;X949)+Z949*AA949*SUMIFS($AM$2:$AM$11,$AK$2:$AK$11,"&lt;="&amp;Z949,$AL$2:$AL$11,"&gt;="&amp;Z949)+AB949*AC949*SUMIFS($AM$2:$AM$11,$AK$2:$AK$11,"&lt;="&amp;AB949,$AL$2:$AL$11,"&gt;="&amp;AB949)</f>
        <v/>
      </c>
      <c r="AH949" s="0">
        <f>AG949*(1-40%)</f>
        <v/>
      </c>
      <c r="AI949" s="0">
        <f>AH949*1.2</f>
        <v/>
      </c>
    </row>
    <row r="950">
      <c r="A950" s="26" t="n"/>
      <c r="B950" s="169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>
        <f>AG950</f>
        <v/>
      </c>
      <c r="T950" s="26">
        <f>AI950+Q950+P950</f>
        <v/>
      </c>
      <c r="U950" s="26" t="n"/>
      <c r="V950" s="26" t="n"/>
      <c r="W950" s="169" t="n"/>
      <c r="X950" s="26" t="n"/>
      <c r="Y950" s="26" t="n"/>
      <c r="Z950" s="26" t="n"/>
      <c r="AA950" s="26" t="n"/>
      <c r="AD950" s="0">
        <f>SUM(Y950,AA950,AC950)</f>
        <v/>
      </c>
      <c r="AE950" s="0">
        <f>X950*Y950+Z950*AA950+AB950*AC950</f>
        <v/>
      </c>
      <c r="AF950" s="0">
        <f>TEXTJOIN(", ",TRUE,IF(AND(X950&gt;0,Y950&gt;0),TEXT(X950,"0.00")&amp;"ct x "&amp;Y950,""),IF(AND(Z950&gt;0,AA950&gt;0),TEXT(Z950,"0.00")&amp;"ct x "&amp;AA950,""),IF(AND(AB950&gt;0,AC950&gt;0),TEXT(AB950,"0.00")&amp;"ct x "&amp;AC950,""))</f>
        <v/>
      </c>
      <c r="AG950" s="0">
        <f>X950*Y950*SUMIFS($AM$2:$AM$11,$AK$2:$AK$11,"&lt;="&amp;X950,$AL$2:$AL$11,"&gt;="&amp;X950)+Z950*AA950*SUMIFS($AM$2:$AM$11,$AK$2:$AK$11,"&lt;="&amp;Z950,$AL$2:$AL$11,"&gt;="&amp;Z950)+AB950*AC950*SUMIFS($AM$2:$AM$11,$AK$2:$AK$11,"&lt;="&amp;AB950,$AL$2:$AL$11,"&gt;="&amp;AB950)</f>
        <v/>
      </c>
      <c r="AH950" s="0">
        <f>AG950*(1-40%)</f>
        <v/>
      </c>
      <c r="AI950" s="0">
        <f>AH950*1.2</f>
        <v/>
      </c>
    </row>
    <row r="951">
      <c r="A951" s="26" t="n"/>
      <c r="B951" s="169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>
        <f>AG951</f>
        <v/>
      </c>
      <c r="T951" s="26">
        <f>AI951+Q951+P951</f>
        <v/>
      </c>
      <c r="U951" s="26" t="n"/>
      <c r="V951" s="26" t="n"/>
      <c r="W951" s="169" t="n"/>
      <c r="X951" s="26" t="n"/>
      <c r="Y951" s="26" t="n"/>
      <c r="Z951" s="26" t="n"/>
      <c r="AA951" s="26" t="n"/>
      <c r="AD951" s="0">
        <f>SUM(Y951,AA951,AC951)</f>
        <v/>
      </c>
      <c r="AE951" s="0">
        <f>X951*Y951+Z951*AA951+AB951*AC951</f>
        <v/>
      </c>
      <c r="AF951" s="0">
        <f>TEXTJOIN(", ",TRUE,IF(AND(X951&gt;0,Y951&gt;0),TEXT(X951,"0.00")&amp;"ct x "&amp;Y951,""),IF(AND(Z951&gt;0,AA951&gt;0),TEXT(Z951,"0.00")&amp;"ct x "&amp;AA951,""),IF(AND(AB951&gt;0,AC951&gt;0),TEXT(AB951,"0.00")&amp;"ct x "&amp;AC951,""))</f>
        <v/>
      </c>
      <c r="AG951" s="0">
        <f>X951*Y951*SUMIFS($AM$2:$AM$11,$AK$2:$AK$11,"&lt;="&amp;X951,$AL$2:$AL$11,"&gt;="&amp;X951)+Z951*AA951*SUMIFS($AM$2:$AM$11,$AK$2:$AK$11,"&lt;="&amp;Z951,$AL$2:$AL$11,"&gt;="&amp;Z951)+AB951*AC951*SUMIFS($AM$2:$AM$11,$AK$2:$AK$11,"&lt;="&amp;AB951,$AL$2:$AL$11,"&gt;="&amp;AB951)</f>
        <v/>
      </c>
      <c r="AH951" s="0">
        <f>AG951*(1-40%)</f>
        <v/>
      </c>
      <c r="AI951" s="0">
        <f>AH951*1.2</f>
        <v/>
      </c>
    </row>
    <row r="952">
      <c r="A952" s="26" t="n"/>
      <c r="B952" s="169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>
        <f>AG952</f>
        <v/>
      </c>
      <c r="T952" s="26">
        <f>AI952+Q952+P952</f>
        <v/>
      </c>
      <c r="U952" s="26" t="n"/>
      <c r="V952" s="26" t="n"/>
      <c r="W952" s="169" t="n"/>
      <c r="X952" s="26" t="n"/>
      <c r="Y952" s="26" t="n"/>
      <c r="Z952" s="26" t="n"/>
      <c r="AA952" s="26" t="n"/>
      <c r="AD952" s="0">
        <f>SUM(Y952,AA952,AC952)</f>
        <v/>
      </c>
      <c r="AE952" s="0">
        <f>X952*Y952+Z952*AA952+AB952*AC952</f>
        <v/>
      </c>
      <c r="AF952" s="0">
        <f>TEXTJOIN(", ",TRUE,IF(AND(X952&gt;0,Y952&gt;0),TEXT(X952,"0.00")&amp;"ct x "&amp;Y952,""),IF(AND(Z952&gt;0,AA952&gt;0),TEXT(Z952,"0.00")&amp;"ct x "&amp;AA952,""),IF(AND(AB952&gt;0,AC952&gt;0),TEXT(AB952,"0.00")&amp;"ct x "&amp;AC952,""))</f>
        <v/>
      </c>
      <c r="AG952" s="0">
        <f>X952*Y952*SUMIFS($AM$2:$AM$11,$AK$2:$AK$11,"&lt;="&amp;X952,$AL$2:$AL$11,"&gt;="&amp;X952)+Z952*AA952*SUMIFS($AM$2:$AM$11,$AK$2:$AK$11,"&lt;="&amp;Z952,$AL$2:$AL$11,"&gt;="&amp;Z952)+AB952*AC952*SUMIFS($AM$2:$AM$11,$AK$2:$AK$11,"&lt;="&amp;AB952,$AL$2:$AL$11,"&gt;="&amp;AB952)</f>
        <v/>
      </c>
      <c r="AH952" s="0">
        <f>AG952*(1-40%)</f>
        <v/>
      </c>
      <c r="AI952" s="0">
        <f>AH952*1.2</f>
        <v/>
      </c>
    </row>
    <row r="953">
      <c r="A953" s="26" t="n"/>
      <c r="B953" s="169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>
        <f>AG953</f>
        <v/>
      </c>
      <c r="T953" s="26">
        <f>AI953+Q953+P953</f>
        <v/>
      </c>
      <c r="U953" s="26" t="n"/>
      <c r="V953" s="26" t="n"/>
      <c r="W953" s="169" t="n"/>
      <c r="X953" s="26" t="n"/>
      <c r="Y953" s="26" t="n"/>
      <c r="Z953" s="26" t="n"/>
      <c r="AA953" s="26" t="n"/>
      <c r="AD953" s="0">
        <f>SUM(Y953,AA953,AC953)</f>
        <v/>
      </c>
      <c r="AE953" s="0">
        <f>X953*Y953+Z953*AA953+AB953*AC953</f>
        <v/>
      </c>
      <c r="AF953" s="0">
        <f>TEXTJOIN(", ",TRUE,IF(AND(X953&gt;0,Y953&gt;0),TEXT(X953,"0.00")&amp;"ct x "&amp;Y953,""),IF(AND(Z953&gt;0,AA953&gt;0),TEXT(Z953,"0.00")&amp;"ct x "&amp;AA953,""),IF(AND(AB953&gt;0,AC953&gt;0),TEXT(AB953,"0.00")&amp;"ct x "&amp;AC953,""))</f>
        <v/>
      </c>
      <c r="AG953" s="0">
        <f>X953*Y953*SUMIFS($AM$2:$AM$11,$AK$2:$AK$11,"&lt;="&amp;X953,$AL$2:$AL$11,"&gt;="&amp;X953)+Z953*AA953*SUMIFS($AM$2:$AM$11,$AK$2:$AK$11,"&lt;="&amp;Z953,$AL$2:$AL$11,"&gt;="&amp;Z953)+AB953*AC953*SUMIFS($AM$2:$AM$11,$AK$2:$AK$11,"&lt;="&amp;AB953,$AL$2:$AL$11,"&gt;="&amp;AB953)</f>
        <v/>
      </c>
      <c r="AH953" s="0">
        <f>AG953*(1-40%)</f>
        <v/>
      </c>
      <c r="AI953" s="0">
        <f>AH953*1.2</f>
        <v/>
      </c>
    </row>
    <row r="954">
      <c r="A954" s="26" t="n"/>
      <c r="B954" s="169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>
        <f>AG954</f>
        <v/>
      </c>
      <c r="T954" s="26">
        <f>AI954+Q954+P954</f>
        <v/>
      </c>
      <c r="U954" s="26" t="n"/>
      <c r="V954" s="26" t="n"/>
      <c r="W954" s="169" t="n"/>
      <c r="X954" s="26" t="n"/>
      <c r="Y954" s="26" t="n"/>
      <c r="Z954" s="26" t="n"/>
      <c r="AA954" s="26" t="n"/>
      <c r="AD954" s="0">
        <f>SUM(Y954,AA954,AC954)</f>
        <v/>
      </c>
      <c r="AE954" s="0">
        <f>X954*Y954+Z954*AA954+AB954*AC954</f>
        <v/>
      </c>
      <c r="AF954" s="0">
        <f>TEXTJOIN(", ",TRUE,IF(AND(X954&gt;0,Y954&gt;0),TEXT(X954,"0.00")&amp;"ct x "&amp;Y954,""),IF(AND(Z954&gt;0,AA954&gt;0),TEXT(Z954,"0.00")&amp;"ct x "&amp;AA954,""),IF(AND(AB954&gt;0,AC954&gt;0),TEXT(AB954,"0.00")&amp;"ct x "&amp;AC954,""))</f>
        <v/>
      </c>
      <c r="AG954" s="0">
        <f>X954*Y954*SUMIFS($AM$2:$AM$11,$AK$2:$AK$11,"&lt;="&amp;X954,$AL$2:$AL$11,"&gt;="&amp;X954)+Z954*AA954*SUMIFS($AM$2:$AM$11,$AK$2:$AK$11,"&lt;="&amp;Z954,$AL$2:$AL$11,"&gt;="&amp;Z954)+AB954*AC954*SUMIFS($AM$2:$AM$11,$AK$2:$AK$11,"&lt;="&amp;AB954,$AL$2:$AL$11,"&gt;="&amp;AB954)</f>
        <v/>
      </c>
      <c r="AH954" s="0">
        <f>AG954*(1-40%)</f>
        <v/>
      </c>
      <c r="AI954" s="0">
        <f>AH954*1.2</f>
        <v/>
      </c>
    </row>
    <row r="955">
      <c r="A955" s="26" t="n"/>
      <c r="B955" s="169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>
        <f>AG955</f>
        <v/>
      </c>
      <c r="T955" s="26">
        <f>AI955+Q955+P955</f>
        <v/>
      </c>
      <c r="U955" s="26" t="n"/>
      <c r="V955" s="26" t="n"/>
      <c r="W955" s="169" t="n"/>
      <c r="X955" s="26" t="n"/>
      <c r="Y955" s="26" t="n"/>
      <c r="Z955" s="26" t="n"/>
      <c r="AA955" s="26" t="n"/>
      <c r="AD955" s="0">
        <f>SUM(Y955,AA955,AC955)</f>
        <v/>
      </c>
      <c r="AE955" s="0">
        <f>X955*Y955+Z955*AA955+AB955*AC955</f>
        <v/>
      </c>
      <c r="AF955" s="0">
        <f>TEXTJOIN(", ",TRUE,IF(AND(X955&gt;0,Y955&gt;0),TEXT(X955,"0.00")&amp;"ct x "&amp;Y955,""),IF(AND(Z955&gt;0,AA955&gt;0),TEXT(Z955,"0.00")&amp;"ct x "&amp;AA955,""),IF(AND(AB955&gt;0,AC955&gt;0),TEXT(AB955,"0.00")&amp;"ct x "&amp;AC955,""))</f>
        <v/>
      </c>
      <c r="AG955" s="0">
        <f>X955*Y955*SUMIFS($AM$2:$AM$11,$AK$2:$AK$11,"&lt;="&amp;X955,$AL$2:$AL$11,"&gt;="&amp;X955)+Z955*AA955*SUMIFS($AM$2:$AM$11,$AK$2:$AK$11,"&lt;="&amp;Z955,$AL$2:$AL$11,"&gt;="&amp;Z955)+AB955*AC955*SUMIFS($AM$2:$AM$11,$AK$2:$AK$11,"&lt;="&amp;AB955,$AL$2:$AL$11,"&gt;="&amp;AB955)</f>
        <v/>
      </c>
      <c r="AH955" s="0">
        <f>AG955*(1-40%)</f>
        <v/>
      </c>
      <c r="AI955" s="0">
        <f>AH955*1.2</f>
        <v/>
      </c>
    </row>
    <row r="956">
      <c r="A956" s="26" t="n"/>
      <c r="B956" s="169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>
        <f>AG956</f>
        <v/>
      </c>
      <c r="T956" s="26">
        <f>AI956+Q956+P956</f>
        <v/>
      </c>
      <c r="U956" s="26" t="n"/>
      <c r="V956" s="26" t="n"/>
      <c r="W956" s="169" t="n"/>
      <c r="X956" s="26" t="n"/>
      <c r="Y956" s="26" t="n"/>
      <c r="Z956" s="26" t="n"/>
      <c r="AA956" s="26" t="n"/>
      <c r="AD956" s="0">
        <f>SUM(Y956,AA956,AC956)</f>
        <v/>
      </c>
      <c r="AE956" s="0">
        <f>X956*Y956+Z956*AA956+AB956*AC956</f>
        <v/>
      </c>
      <c r="AF956" s="0">
        <f>TEXTJOIN(", ",TRUE,IF(AND(X956&gt;0,Y956&gt;0),TEXT(X956,"0.00")&amp;"ct x "&amp;Y956,""),IF(AND(Z956&gt;0,AA956&gt;0),TEXT(Z956,"0.00")&amp;"ct x "&amp;AA956,""),IF(AND(AB956&gt;0,AC956&gt;0),TEXT(AB956,"0.00")&amp;"ct x "&amp;AC956,""))</f>
        <v/>
      </c>
      <c r="AG956" s="0">
        <f>X956*Y956*SUMIFS($AM$2:$AM$11,$AK$2:$AK$11,"&lt;="&amp;X956,$AL$2:$AL$11,"&gt;="&amp;X956)+Z956*AA956*SUMIFS($AM$2:$AM$11,$AK$2:$AK$11,"&lt;="&amp;Z956,$AL$2:$AL$11,"&gt;="&amp;Z956)+AB956*AC956*SUMIFS($AM$2:$AM$11,$AK$2:$AK$11,"&lt;="&amp;AB956,$AL$2:$AL$11,"&gt;="&amp;AB956)</f>
        <v/>
      </c>
      <c r="AH956" s="0">
        <f>AG956*(1-40%)</f>
        <v/>
      </c>
      <c r="AI956" s="0">
        <f>AH956*1.2</f>
        <v/>
      </c>
    </row>
    <row r="957">
      <c r="A957" s="26" t="n"/>
      <c r="B957" s="169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>
        <f>AG957</f>
        <v/>
      </c>
      <c r="T957" s="26">
        <f>AI957+Q957+P957</f>
        <v/>
      </c>
      <c r="U957" s="26" t="n"/>
      <c r="V957" s="26" t="n"/>
      <c r="W957" s="169" t="n"/>
      <c r="X957" s="26" t="n"/>
      <c r="Y957" s="26" t="n"/>
      <c r="Z957" s="26" t="n"/>
      <c r="AA957" s="26" t="n"/>
      <c r="AD957" s="0">
        <f>SUM(Y957,AA957,AC957)</f>
        <v/>
      </c>
      <c r="AE957" s="0">
        <f>X957*Y957+Z957*AA957+AB957*AC957</f>
        <v/>
      </c>
      <c r="AF957" s="0">
        <f>TEXTJOIN(", ",TRUE,IF(AND(X957&gt;0,Y957&gt;0),TEXT(X957,"0.00")&amp;"ct x "&amp;Y957,""),IF(AND(Z957&gt;0,AA957&gt;0),TEXT(Z957,"0.00")&amp;"ct x "&amp;AA957,""),IF(AND(AB957&gt;0,AC957&gt;0),TEXT(AB957,"0.00")&amp;"ct x "&amp;AC957,""))</f>
        <v/>
      </c>
      <c r="AG957" s="0">
        <f>X957*Y957*SUMIFS($AM$2:$AM$11,$AK$2:$AK$11,"&lt;="&amp;X957,$AL$2:$AL$11,"&gt;="&amp;X957)+Z957*AA957*SUMIFS($AM$2:$AM$11,$AK$2:$AK$11,"&lt;="&amp;Z957,$AL$2:$AL$11,"&gt;="&amp;Z957)+AB957*AC957*SUMIFS($AM$2:$AM$11,$AK$2:$AK$11,"&lt;="&amp;AB957,$AL$2:$AL$11,"&gt;="&amp;AB957)</f>
        <v/>
      </c>
      <c r="AH957" s="0">
        <f>AG957*(1-40%)</f>
        <v/>
      </c>
      <c r="AI957" s="0">
        <f>AH957*1.2</f>
        <v/>
      </c>
    </row>
    <row r="958">
      <c r="A958" s="26" t="n"/>
      <c r="B958" s="169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>
        <f>AG958</f>
        <v/>
      </c>
      <c r="T958" s="26">
        <f>AI958+Q958+P958</f>
        <v/>
      </c>
      <c r="U958" s="26" t="n"/>
      <c r="V958" s="26" t="n"/>
      <c r="W958" s="169" t="n"/>
      <c r="X958" s="26" t="n"/>
      <c r="Y958" s="26" t="n"/>
      <c r="Z958" s="26" t="n"/>
      <c r="AA958" s="26" t="n"/>
      <c r="AD958" s="0">
        <f>SUM(Y958,AA958,AC958)</f>
        <v/>
      </c>
      <c r="AE958" s="0">
        <f>X958*Y958+Z958*AA958+AB958*AC958</f>
        <v/>
      </c>
      <c r="AF958" s="0">
        <f>TEXTJOIN(", ",TRUE,IF(AND(X958&gt;0,Y958&gt;0),TEXT(X958,"0.00")&amp;"ct x "&amp;Y958,""),IF(AND(Z958&gt;0,AA958&gt;0),TEXT(Z958,"0.00")&amp;"ct x "&amp;AA958,""),IF(AND(AB958&gt;0,AC958&gt;0),TEXT(AB958,"0.00")&amp;"ct x "&amp;AC958,""))</f>
        <v/>
      </c>
      <c r="AG958" s="0">
        <f>X958*Y958*SUMIFS($AM$2:$AM$11,$AK$2:$AK$11,"&lt;="&amp;X958,$AL$2:$AL$11,"&gt;="&amp;X958)+Z958*AA958*SUMIFS($AM$2:$AM$11,$AK$2:$AK$11,"&lt;="&amp;Z958,$AL$2:$AL$11,"&gt;="&amp;Z958)+AB958*AC958*SUMIFS($AM$2:$AM$11,$AK$2:$AK$11,"&lt;="&amp;AB958,$AL$2:$AL$11,"&gt;="&amp;AB958)</f>
        <v/>
      </c>
      <c r="AH958" s="0">
        <f>AG958*(1-40%)</f>
        <v/>
      </c>
      <c r="AI958" s="0">
        <f>AH958*1.2</f>
        <v/>
      </c>
    </row>
    <row r="959">
      <c r="A959" s="26" t="n"/>
      <c r="B959" s="169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>
        <f>AG959</f>
        <v/>
      </c>
      <c r="T959" s="26">
        <f>AI959+Q959+P959</f>
        <v/>
      </c>
      <c r="U959" s="26" t="n"/>
      <c r="V959" s="26" t="n"/>
      <c r="W959" s="169" t="n"/>
      <c r="X959" s="26" t="n"/>
      <c r="Y959" s="26" t="n"/>
      <c r="Z959" s="26" t="n"/>
      <c r="AA959" s="26" t="n"/>
      <c r="AD959" s="0">
        <f>SUM(Y959,AA959,AC959)</f>
        <v/>
      </c>
      <c r="AE959" s="0">
        <f>X959*Y959+Z959*AA959+AB959*AC959</f>
        <v/>
      </c>
      <c r="AF959" s="0">
        <f>TEXTJOIN(", ",TRUE,IF(AND(X959&gt;0,Y959&gt;0),TEXT(X959,"0.00")&amp;"ct x "&amp;Y959,""),IF(AND(Z959&gt;0,AA959&gt;0),TEXT(Z959,"0.00")&amp;"ct x "&amp;AA959,""),IF(AND(AB959&gt;0,AC959&gt;0),TEXT(AB959,"0.00")&amp;"ct x "&amp;AC959,""))</f>
        <v/>
      </c>
      <c r="AG959" s="0">
        <f>X959*Y959*SUMIFS($AM$2:$AM$11,$AK$2:$AK$11,"&lt;="&amp;X959,$AL$2:$AL$11,"&gt;="&amp;X959)+Z959*AA959*SUMIFS($AM$2:$AM$11,$AK$2:$AK$11,"&lt;="&amp;Z959,$AL$2:$AL$11,"&gt;="&amp;Z959)+AB959*AC959*SUMIFS($AM$2:$AM$11,$AK$2:$AK$11,"&lt;="&amp;AB959,$AL$2:$AL$11,"&gt;="&amp;AB959)</f>
        <v/>
      </c>
      <c r="AH959" s="0">
        <f>AG959*(1-40%)</f>
        <v/>
      </c>
      <c r="AI959" s="0">
        <f>AH959*1.2</f>
        <v/>
      </c>
    </row>
    <row r="960">
      <c r="A960" s="26" t="n"/>
      <c r="B960" s="169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>
        <f>AG960</f>
        <v/>
      </c>
      <c r="T960" s="26">
        <f>AI960+Q960+P960</f>
        <v/>
      </c>
      <c r="U960" s="26" t="n"/>
      <c r="V960" s="26" t="n"/>
      <c r="W960" s="169" t="n"/>
      <c r="X960" s="26" t="n"/>
      <c r="Y960" s="26" t="n"/>
      <c r="Z960" s="26" t="n"/>
      <c r="AA960" s="26" t="n"/>
      <c r="AD960" s="0">
        <f>SUM(Y960,AA960,AC960)</f>
        <v/>
      </c>
      <c r="AE960" s="0">
        <f>X960*Y960+Z960*AA960+AB960*AC960</f>
        <v/>
      </c>
      <c r="AF960" s="0">
        <f>TEXTJOIN(", ",TRUE,IF(AND(X960&gt;0,Y960&gt;0),TEXT(X960,"0.00")&amp;"ct x "&amp;Y960,""),IF(AND(Z960&gt;0,AA960&gt;0),TEXT(Z960,"0.00")&amp;"ct x "&amp;AA960,""),IF(AND(AB960&gt;0,AC960&gt;0),TEXT(AB960,"0.00")&amp;"ct x "&amp;AC960,""))</f>
        <v/>
      </c>
      <c r="AG960" s="0">
        <f>X960*Y960*SUMIFS($AM$2:$AM$11,$AK$2:$AK$11,"&lt;="&amp;X960,$AL$2:$AL$11,"&gt;="&amp;X960)+Z960*AA960*SUMIFS($AM$2:$AM$11,$AK$2:$AK$11,"&lt;="&amp;Z960,$AL$2:$AL$11,"&gt;="&amp;Z960)+AB960*AC960*SUMIFS($AM$2:$AM$11,$AK$2:$AK$11,"&lt;="&amp;AB960,$AL$2:$AL$11,"&gt;="&amp;AB960)</f>
        <v/>
      </c>
      <c r="AH960" s="0">
        <f>AG960*(1-40%)</f>
        <v/>
      </c>
      <c r="AI960" s="0">
        <f>AH960*1.2</f>
        <v/>
      </c>
    </row>
    <row r="961">
      <c r="A961" s="26" t="n"/>
      <c r="B961" s="169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>
        <f>AG961</f>
        <v/>
      </c>
      <c r="T961" s="26">
        <f>AI961+Q961+P961</f>
        <v/>
      </c>
      <c r="U961" s="26" t="n"/>
      <c r="V961" s="26" t="n"/>
      <c r="W961" s="169" t="n"/>
      <c r="X961" s="26" t="n"/>
      <c r="Y961" s="26" t="n"/>
      <c r="Z961" s="26" t="n"/>
      <c r="AA961" s="26" t="n"/>
      <c r="AD961" s="0">
        <f>SUM(Y961,AA961,AC961)</f>
        <v/>
      </c>
      <c r="AE961" s="0">
        <f>X961*Y961+Z961*AA961+AB961*AC961</f>
        <v/>
      </c>
      <c r="AF961" s="0">
        <f>TEXTJOIN(", ",TRUE,IF(AND(X961&gt;0,Y961&gt;0),TEXT(X961,"0.00")&amp;"ct x "&amp;Y961,""),IF(AND(Z961&gt;0,AA961&gt;0),TEXT(Z961,"0.00")&amp;"ct x "&amp;AA961,""),IF(AND(AB961&gt;0,AC961&gt;0),TEXT(AB961,"0.00")&amp;"ct x "&amp;AC961,""))</f>
        <v/>
      </c>
      <c r="AG961" s="0">
        <f>X961*Y961*SUMIFS($AM$2:$AM$11,$AK$2:$AK$11,"&lt;="&amp;X961,$AL$2:$AL$11,"&gt;="&amp;X961)+Z961*AA961*SUMIFS($AM$2:$AM$11,$AK$2:$AK$11,"&lt;="&amp;Z961,$AL$2:$AL$11,"&gt;="&amp;Z961)+AB961*AC961*SUMIFS($AM$2:$AM$11,$AK$2:$AK$11,"&lt;="&amp;AB961,$AL$2:$AL$11,"&gt;="&amp;AB961)</f>
        <v/>
      </c>
      <c r="AH961" s="0">
        <f>AG961*(1-40%)</f>
        <v/>
      </c>
      <c r="AI961" s="0">
        <f>AH961*1.2</f>
        <v/>
      </c>
    </row>
    <row r="962">
      <c r="A962" s="26" t="n"/>
      <c r="B962" s="169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>
        <f>AG962</f>
        <v/>
      </c>
      <c r="T962" s="26">
        <f>AI962+Q962+P962</f>
        <v/>
      </c>
      <c r="U962" s="26" t="n"/>
      <c r="V962" s="26" t="n"/>
      <c r="W962" s="169" t="n"/>
      <c r="X962" s="26" t="n"/>
      <c r="Y962" s="26" t="n"/>
      <c r="Z962" s="26" t="n"/>
      <c r="AA962" s="26" t="n"/>
      <c r="AD962" s="0">
        <f>SUM(Y962,AA962,AC962)</f>
        <v/>
      </c>
      <c r="AE962" s="0">
        <f>X962*Y962+Z962*AA962+AB962*AC962</f>
        <v/>
      </c>
      <c r="AF962" s="0">
        <f>TEXTJOIN(", ",TRUE,IF(AND(X962&gt;0,Y962&gt;0),TEXT(X962,"0.00")&amp;"ct x "&amp;Y962,""),IF(AND(Z962&gt;0,AA962&gt;0),TEXT(Z962,"0.00")&amp;"ct x "&amp;AA962,""),IF(AND(AB962&gt;0,AC962&gt;0),TEXT(AB962,"0.00")&amp;"ct x "&amp;AC962,""))</f>
        <v/>
      </c>
      <c r="AG962" s="0">
        <f>X962*Y962*SUMIFS($AM$2:$AM$11,$AK$2:$AK$11,"&lt;="&amp;X962,$AL$2:$AL$11,"&gt;="&amp;X962)+Z962*AA962*SUMIFS($AM$2:$AM$11,$AK$2:$AK$11,"&lt;="&amp;Z962,$AL$2:$AL$11,"&gt;="&amp;Z962)+AB962*AC962*SUMIFS($AM$2:$AM$11,$AK$2:$AK$11,"&lt;="&amp;AB962,$AL$2:$AL$11,"&gt;="&amp;AB962)</f>
        <v/>
      </c>
      <c r="AH962" s="0">
        <f>AG962*(1-40%)</f>
        <v/>
      </c>
      <c r="AI962" s="0">
        <f>AH962*1.2</f>
        <v/>
      </c>
    </row>
    <row r="963">
      <c r="A963" s="26" t="n"/>
      <c r="B963" s="169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>
        <f>AG963</f>
        <v/>
      </c>
      <c r="T963" s="26">
        <f>AI963+Q963+P963</f>
        <v/>
      </c>
      <c r="U963" s="26" t="n"/>
      <c r="V963" s="26" t="n"/>
      <c r="W963" s="169" t="n"/>
      <c r="X963" s="26" t="n"/>
      <c r="Y963" s="26" t="n"/>
      <c r="Z963" s="26" t="n"/>
      <c r="AA963" s="26" t="n"/>
      <c r="AD963" s="0">
        <f>SUM(Y963,AA963,AC963)</f>
        <v/>
      </c>
      <c r="AE963" s="0">
        <f>X963*Y963+Z963*AA963+AB963*AC963</f>
        <v/>
      </c>
      <c r="AF963" s="0">
        <f>TEXTJOIN(", ",TRUE,IF(AND(X963&gt;0,Y963&gt;0),TEXT(X963,"0.00")&amp;"ct x "&amp;Y963,""),IF(AND(Z963&gt;0,AA963&gt;0),TEXT(Z963,"0.00")&amp;"ct x "&amp;AA963,""),IF(AND(AB963&gt;0,AC963&gt;0),TEXT(AB963,"0.00")&amp;"ct x "&amp;AC963,""))</f>
        <v/>
      </c>
      <c r="AG963" s="0">
        <f>X963*Y963*SUMIFS($AM$2:$AM$11,$AK$2:$AK$11,"&lt;="&amp;X963,$AL$2:$AL$11,"&gt;="&amp;X963)+Z963*AA963*SUMIFS($AM$2:$AM$11,$AK$2:$AK$11,"&lt;="&amp;Z963,$AL$2:$AL$11,"&gt;="&amp;Z963)+AB963*AC963*SUMIFS($AM$2:$AM$11,$AK$2:$AK$11,"&lt;="&amp;AB963,$AL$2:$AL$11,"&gt;="&amp;AB963)</f>
        <v/>
      </c>
      <c r="AH963" s="0">
        <f>AG963*(1-40%)</f>
        <v/>
      </c>
      <c r="AI963" s="0">
        <f>AH963*1.2</f>
        <v/>
      </c>
    </row>
    <row r="964">
      <c r="A964" s="26" t="n"/>
      <c r="B964" s="169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>
        <f>AG964</f>
        <v/>
      </c>
      <c r="T964" s="26">
        <f>AI964+Q964+P964</f>
        <v/>
      </c>
      <c r="U964" s="26" t="n"/>
      <c r="V964" s="26" t="n"/>
      <c r="W964" s="169" t="n"/>
      <c r="X964" s="26" t="n"/>
      <c r="Y964" s="26" t="n"/>
      <c r="Z964" s="26" t="n"/>
      <c r="AA964" s="26" t="n"/>
      <c r="AD964" s="0">
        <f>SUM(Y964,AA964,AC964)</f>
        <v/>
      </c>
      <c r="AE964" s="0">
        <f>X964*Y964+Z964*AA964+AB964*AC964</f>
        <v/>
      </c>
      <c r="AF964" s="0">
        <f>TEXTJOIN(", ",TRUE,IF(AND(X964&gt;0,Y964&gt;0),TEXT(X964,"0.00")&amp;"ct x "&amp;Y964,""),IF(AND(Z964&gt;0,AA964&gt;0),TEXT(Z964,"0.00")&amp;"ct x "&amp;AA964,""),IF(AND(AB964&gt;0,AC964&gt;0),TEXT(AB964,"0.00")&amp;"ct x "&amp;AC964,""))</f>
        <v/>
      </c>
      <c r="AG964" s="0">
        <f>X964*Y964*SUMIFS($AM$2:$AM$11,$AK$2:$AK$11,"&lt;="&amp;X964,$AL$2:$AL$11,"&gt;="&amp;X964)+Z964*AA964*SUMIFS($AM$2:$AM$11,$AK$2:$AK$11,"&lt;="&amp;Z964,$AL$2:$AL$11,"&gt;="&amp;Z964)+AB964*AC964*SUMIFS($AM$2:$AM$11,$AK$2:$AK$11,"&lt;="&amp;AB964,$AL$2:$AL$11,"&gt;="&amp;AB964)</f>
        <v/>
      </c>
      <c r="AH964" s="0">
        <f>AG964*(1-40%)</f>
        <v/>
      </c>
      <c r="AI964" s="0">
        <f>AH964*1.2</f>
        <v/>
      </c>
    </row>
    <row r="965">
      <c r="A965" s="26" t="n"/>
      <c r="B965" s="169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>
        <f>AG965</f>
        <v/>
      </c>
      <c r="T965" s="26">
        <f>AI965+Q965+P965</f>
        <v/>
      </c>
      <c r="U965" s="26" t="n"/>
      <c r="V965" s="26" t="n"/>
      <c r="W965" s="169" t="n"/>
      <c r="X965" s="26" t="n"/>
      <c r="Y965" s="26" t="n"/>
      <c r="Z965" s="26" t="n"/>
      <c r="AA965" s="26" t="n"/>
      <c r="AD965" s="0">
        <f>SUM(Y965,AA965,AC965)</f>
        <v/>
      </c>
      <c r="AE965" s="0">
        <f>X965*Y965+Z965*AA965+AB965*AC965</f>
        <v/>
      </c>
      <c r="AF965" s="0">
        <f>TEXTJOIN(", ",TRUE,IF(AND(X965&gt;0,Y965&gt;0),TEXT(X965,"0.00")&amp;"ct x "&amp;Y965,""),IF(AND(Z965&gt;0,AA965&gt;0),TEXT(Z965,"0.00")&amp;"ct x "&amp;AA965,""),IF(AND(AB965&gt;0,AC965&gt;0),TEXT(AB965,"0.00")&amp;"ct x "&amp;AC965,""))</f>
        <v/>
      </c>
      <c r="AG965" s="0">
        <f>X965*Y965*SUMIFS($AM$2:$AM$11,$AK$2:$AK$11,"&lt;="&amp;X965,$AL$2:$AL$11,"&gt;="&amp;X965)+Z965*AA965*SUMIFS($AM$2:$AM$11,$AK$2:$AK$11,"&lt;="&amp;Z965,$AL$2:$AL$11,"&gt;="&amp;Z965)+AB965*AC965*SUMIFS($AM$2:$AM$11,$AK$2:$AK$11,"&lt;="&amp;AB965,$AL$2:$AL$11,"&gt;="&amp;AB965)</f>
        <v/>
      </c>
      <c r="AH965" s="0">
        <f>AG965*(1-40%)</f>
        <v/>
      </c>
      <c r="AI965" s="0">
        <f>AH965*1.2</f>
        <v/>
      </c>
    </row>
    <row r="966">
      <c r="A966" s="26" t="n"/>
      <c r="B966" s="169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>
        <f>AG966</f>
        <v/>
      </c>
      <c r="T966" s="26">
        <f>AI966+Q966+P966</f>
        <v/>
      </c>
      <c r="U966" s="26" t="n"/>
      <c r="V966" s="26" t="n"/>
      <c r="W966" s="169" t="n"/>
      <c r="X966" s="26" t="n"/>
      <c r="Y966" s="26" t="n"/>
      <c r="Z966" s="26" t="n"/>
      <c r="AA966" s="26" t="n"/>
      <c r="AD966" s="0">
        <f>SUM(Y966,AA966,AC966)</f>
        <v/>
      </c>
      <c r="AE966" s="0">
        <f>X966*Y966+Z966*AA966+AB966*AC966</f>
        <v/>
      </c>
      <c r="AF966" s="0">
        <f>TEXTJOIN(", ",TRUE,IF(AND(X966&gt;0,Y966&gt;0),TEXT(X966,"0.00")&amp;"ct x "&amp;Y966,""),IF(AND(Z966&gt;0,AA966&gt;0),TEXT(Z966,"0.00")&amp;"ct x "&amp;AA966,""),IF(AND(AB966&gt;0,AC966&gt;0),TEXT(AB966,"0.00")&amp;"ct x "&amp;AC966,""))</f>
        <v/>
      </c>
      <c r="AG966" s="0">
        <f>X966*Y966*SUMIFS($AM$2:$AM$11,$AK$2:$AK$11,"&lt;="&amp;X966,$AL$2:$AL$11,"&gt;="&amp;X966)+Z966*AA966*SUMIFS($AM$2:$AM$11,$AK$2:$AK$11,"&lt;="&amp;Z966,$AL$2:$AL$11,"&gt;="&amp;Z966)+AB966*AC966*SUMIFS($AM$2:$AM$11,$AK$2:$AK$11,"&lt;="&amp;AB966,$AL$2:$AL$11,"&gt;="&amp;AB966)</f>
        <v/>
      </c>
      <c r="AH966" s="0">
        <f>AG966*(1-40%)</f>
        <v/>
      </c>
      <c r="AI966" s="0">
        <f>AH966*1.2</f>
        <v/>
      </c>
    </row>
    <row r="967">
      <c r="A967" s="26" t="n"/>
      <c r="B967" s="169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>
        <f>AG967</f>
        <v/>
      </c>
      <c r="T967" s="26">
        <f>AI967+Q967+P967</f>
        <v/>
      </c>
      <c r="U967" s="26" t="n"/>
      <c r="V967" s="26" t="n"/>
      <c r="W967" s="169" t="n"/>
      <c r="X967" s="26" t="n"/>
      <c r="Y967" s="26" t="n"/>
      <c r="Z967" s="26" t="n"/>
      <c r="AA967" s="26" t="n"/>
      <c r="AD967" s="0">
        <f>SUM(Y967,AA967,AC967)</f>
        <v/>
      </c>
      <c r="AE967" s="0">
        <f>X967*Y967+Z967*AA967+AB967*AC967</f>
        <v/>
      </c>
      <c r="AF967" s="0">
        <f>TEXTJOIN(", ",TRUE,IF(AND(X967&gt;0,Y967&gt;0),TEXT(X967,"0.00")&amp;"ct x "&amp;Y967,""),IF(AND(Z967&gt;0,AA967&gt;0),TEXT(Z967,"0.00")&amp;"ct x "&amp;AA967,""),IF(AND(AB967&gt;0,AC967&gt;0),TEXT(AB967,"0.00")&amp;"ct x "&amp;AC967,""))</f>
        <v/>
      </c>
      <c r="AG967" s="0">
        <f>X967*Y967*SUMIFS($AM$2:$AM$11,$AK$2:$AK$11,"&lt;="&amp;X967,$AL$2:$AL$11,"&gt;="&amp;X967)+Z967*AA967*SUMIFS($AM$2:$AM$11,$AK$2:$AK$11,"&lt;="&amp;Z967,$AL$2:$AL$11,"&gt;="&amp;Z967)+AB967*AC967*SUMIFS($AM$2:$AM$11,$AK$2:$AK$11,"&lt;="&amp;AB967,$AL$2:$AL$11,"&gt;="&amp;AB967)</f>
        <v/>
      </c>
      <c r="AH967" s="0">
        <f>AG967*(1-40%)</f>
        <v/>
      </c>
      <c r="AI967" s="0">
        <f>AH967*1.2</f>
        <v/>
      </c>
    </row>
    <row r="968">
      <c r="A968" s="26" t="n"/>
      <c r="B968" s="169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>
        <f>AG968</f>
        <v/>
      </c>
      <c r="T968" s="26">
        <f>AI968+Q968+P968</f>
        <v/>
      </c>
      <c r="U968" s="26" t="n"/>
      <c r="V968" s="26" t="n"/>
      <c r="W968" s="169" t="n"/>
      <c r="X968" s="26" t="n"/>
      <c r="Y968" s="26" t="n"/>
      <c r="Z968" s="26" t="n"/>
      <c r="AA968" s="26" t="n"/>
      <c r="AD968" s="0">
        <f>SUM(Y968,AA968,AC968)</f>
        <v/>
      </c>
      <c r="AE968" s="0">
        <f>X968*Y968+Z968*AA968+AB968*AC968</f>
        <v/>
      </c>
      <c r="AF968" s="0">
        <f>TEXTJOIN(", ",TRUE,IF(AND(X968&gt;0,Y968&gt;0),TEXT(X968,"0.00")&amp;"ct x "&amp;Y968,""),IF(AND(Z968&gt;0,AA968&gt;0),TEXT(Z968,"0.00")&amp;"ct x "&amp;AA968,""),IF(AND(AB968&gt;0,AC968&gt;0),TEXT(AB968,"0.00")&amp;"ct x "&amp;AC968,""))</f>
        <v/>
      </c>
      <c r="AG968" s="0">
        <f>X968*Y968*SUMIFS($AM$2:$AM$11,$AK$2:$AK$11,"&lt;="&amp;X968,$AL$2:$AL$11,"&gt;="&amp;X968)+Z968*AA968*SUMIFS($AM$2:$AM$11,$AK$2:$AK$11,"&lt;="&amp;Z968,$AL$2:$AL$11,"&gt;="&amp;Z968)+AB968*AC968*SUMIFS($AM$2:$AM$11,$AK$2:$AK$11,"&lt;="&amp;AB968,$AL$2:$AL$11,"&gt;="&amp;AB968)</f>
        <v/>
      </c>
      <c r="AH968" s="0">
        <f>AG968*(1-40%)</f>
        <v/>
      </c>
      <c r="AI968" s="0">
        <f>AH968*1.2</f>
        <v/>
      </c>
    </row>
    <row r="969">
      <c r="A969" s="26" t="n"/>
      <c r="B969" s="169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>
        <f>AG969</f>
        <v/>
      </c>
      <c r="T969" s="26">
        <f>AI969+Q969+P969</f>
        <v/>
      </c>
      <c r="U969" s="26" t="n"/>
      <c r="V969" s="26" t="n"/>
      <c r="W969" s="169" t="n"/>
      <c r="X969" s="26" t="n"/>
      <c r="Y969" s="26" t="n"/>
      <c r="Z969" s="26" t="n"/>
      <c r="AA969" s="26" t="n"/>
      <c r="AD969" s="0">
        <f>SUM(Y969,AA969,AC969)</f>
        <v/>
      </c>
      <c r="AE969" s="0">
        <f>X969*Y969+Z969*AA969+AB969*AC969</f>
        <v/>
      </c>
      <c r="AF969" s="0">
        <f>TEXTJOIN(", ",TRUE,IF(AND(X969&gt;0,Y969&gt;0),TEXT(X969,"0.00")&amp;"ct x "&amp;Y969,""),IF(AND(Z969&gt;0,AA969&gt;0),TEXT(Z969,"0.00")&amp;"ct x "&amp;AA969,""),IF(AND(AB969&gt;0,AC969&gt;0),TEXT(AB969,"0.00")&amp;"ct x "&amp;AC969,""))</f>
        <v/>
      </c>
      <c r="AG969" s="0">
        <f>X969*Y969*SUMIFS($AM$2:$AM$11,$AK$2:$AK$11,"&lt;="&amp;X969,$AL$2:$AL$11,"&gt;="&amp;X969)+Z969*AA969*SUMIFS($AM$2:$AM$11,$AK$2:$AK$11,"&lt;="&amp;Z969,$AL$2:$AL$11,"&gt;="&amp;Z969)+AB969*AC969*SUMIFS($AM$2:$AM$11,$AK$2:$AK$11,"&lt;="&amp;AB969,$AL$2:$AL$11,"&gt;="&amp;AB969)</f>
        <v/>
      </c>
      <c r="AH969" s="0">
        <f>AG969*(1-40%)</f>
        <v/>
      </c>
      <c r="AI969" s="0">
        <f>AH969*1.2</f>
        <v/>
      </c>
    </row>
    <row r="970">
      <c r="A970" s="26" t="n"/>
      <c r="B970" s="169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>
        <f>AG970</f>
        <v/>
      </c>
      <c r="T970" s="26">
        <f>AI970+Q970+P970</f>
        <v/>
      </c>
      <c r="U970" s="26" t="n"/>
      <c r="V970" s="26" t="n"/>
      <c r="W970" s="169" t="n"/>
      <c r="X970" s="26" t="n"/>
      <c r="Y970" s="26" t="n"/>
      <c r="Z970" s="26" t="n"/>
      <c r="AA970" s="26" t="n"/>
      <c r="AD970" s="0">
        <f>SUM(Y970,AA970,AC970)</f>
        <v/>
      </c>
      <c r="AE970" s="0">
        <f>X970*Y970+Z970*AA970+AB970*AC970</f>
        <v/>
      </c>
      <c r="AF970" s="0">
        <f>TEXTJOIN(", ",TRUE,IF(AND(X970&gt;0,Y970&gt;0),TEXT(X970,"0.00")&amp;"ct x "&amp;Y970,""),IF(AND(Z970&gt;0,AA970&gt;0),TEXT(Z970,"0.00")&amp;"ct x "&amp;AA970,""),IF(AND(AB970&gt;0,AC970&gt;0),TEXT(AB970,"0.00")&amp;"ct x "&amp;AC970,""))</f>
        <v/>
      </c>
      <c r="AG970" s="0">
        <f>X970*Y970*SUMIFS($AM$2:$AM$11,$AK$2:$AK$11,"&lt;="&amp;X970,$AL$2:$AL$11,"&gt;="&amp;X970)+Z970*AA970*SUMIFS($AM$2:$AM$11,$AK$2:$AK$11,"&lt;="&amp;Z970,$AL$2:$AL$11,"&gt;="&amp;Z970)+AB970*AC970*SUMIFS($AM$2:$AM$11,$AK$2:$AK$11,"&lt;="&amp;AB970,$AL$2:$AL$11,"&gt;="&amp;AB970)</f>
        <v/>
      </c>
      <c r="AH970" s="0">
        <f>AG970*(1-40%)</f>
        <v/>
      </c>
      <c r="AI970" s="0">
        <f>AH970*1.2</f>
        <v/>
      </c>
    </row>
    <row r="971">
      <c r="A971" s="26" t="n"/>
      <c r="B971" s="169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>
        <f>AG971</f>
        <v/>
      </c>
      <c r="T971" s="26">
        <f>AI971+Q971+P971</f>
        <v/>
      </c>
      <c r="U971" s="26" t="n"/>
      <c r="V971" s="26" t="n"/>
      <c r="W971" s="169" t="n"/>
      <c r="X971" s="26" t="n"/>
      <c r="Y971" s="26" t="n"/>
      <c r="Z971" s="26" t="n"/>
      <c r="AA971" s="26" t="n"/>
      <c r="AD971" s="0">
        <f>SUM(Y971,AA971,AC971)</f>
        <v/>
      </c>
      <c r="AE971" s="0">
        <f>X971*Y971+Z971*AA971+AB971*AC971</f>
        <v/>
      </c>
      <c r="AF971" s="0">
        <f>TEXTJOIN(", ",TRUE,IF(AND(X971&gt;0,Y971&gt;0),TEXT(X971,"0.00")&amp;"ct x "&amp;Y971,""),IF(AND(Z971&gt;0,AA971&gt;0),TEXT(Z971,"0.00")&amp;"ct x "&amp;AA971,""),IF(AND(AB971&gt;0,AC971&gt;0),TEXT(AB971,"0.00")&amp;"ct x "&amp;AC971,""))</f>
        <v/>
      </c>
      <c r="AG971" s="0">
        <f>X971*Y971*SUMIFS($AM$2:$AM$11,$AK$2:$AK$11,"&lt;="&amp;X971,$AL$2:$AL$11,"&gt;="&amp;X971)+Z971*AA971*SUMIFS($AM$2:$AM$11,$AK$2:$AK$11,"&lt;="&amp;Z971,$AL$2:$AL$11,"&gt;="&amp;Z971)+AB971*AC971*SUMIFS($AM$2:$AM$11,$AK$2:$AK$11,"&lt;="&amp;AB971,$AL$2:$AL$11,"&gt;="&amp;AB971)</f>
        <v/>
      </c>
      <c r="AH971" s="0">
        <f>AG971*(1-40%)</f>
        <v/>
      </c>
      <c r="AI971" s="0">
        <f>AH971*1.2</f>
        <v/>
      </c>
    </row>
    <row r="972">
      <c r="A972" s="26" t="n"/>
      <c r="B972" s="169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>
        <f>AG972</f>
        <v/>
      </c>
      <c r="T972" s="26">
        <f>AI972+Q972+P972</f>
        <v/>
      </c>
      <c r="U972" s="26" t="n"/>
      <c r="V972" s="26" t="n"/>
      <c r="W972" s="169" t="n"/>
      <c r="X972" s="26" t="n"/>
      <c r="Y972" s="26" t="n"/>
      <c r="Z972" s="26" t="n"/>
      <c r="AA972" s="26" t="n"/>
      <c r="AD972" s="0">
        <f>SUM(Y972,AA972,AC972)</f>
        <v/>
      </c>
      <c r="AE972" s="0">
        <f>X972*Y972+Z972*AA972+AB972*AC972</f>
        <v/>
      </c>
      <c r="AF972" s="0">
        <f>TEXTJOIN(", ",TRUE,IF(AND(X972&gt;0,Y972&gt;0),TEXT(X972,"0.00")&amp;"ct x "&amp;Y972,""),IF(AND(Z972&gt;0,AA972&gt;0),TEXT(Z972,"0.00")&amp;"ct x "&amp;AA972,""),IF(AND(AB972&gt;0,AC972&gt;0),TEXT(AB972,"0.00")&amp;"ct x "&amp;AC972,""))</f>
        <v/>
      </c>
      <c r="AG972" s="0">
        <f>X972*Y972*SUMIFS($AM$2:$AM$11,$AK$2:$AK$11,"&lt;="&amp;X972,$AL$2:$AL$11,"&gt;="&amp;X972)+Z972*AA972*SUMIFS($AM$2:$AM$11,$AK$2:$AK$11,"&lt;="&amp;Z972,$AL$2:$AL$11,"&gt;="&amp;Z972)+AB972*AC972*SUMIFS($AM$2:$AM$11,$AK$2:$AK$11,"&lt;="&amp;AB972,$AL$2:$AL$11,"&gt;="&amp;AB972)</f>
        <v/>
      </c>
      <c r="AH972" s="0">
        <f>AG972*(1-40%)</f>
        <v/>
      </c>
      <c r="AI972" s="0">
        <f>AH972*1.2</f>
        <v/>
      </c>
    </row>
    <row r="973">
      <c r="A973" s="26" t="n"/>
      <c r="B973" s="169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>
        <f>AG973</f>
        <v/>
      </c>
      <c r="T973" s="26">
        <f>AI973+Q973+P973</f>
        <v/>
      </c>
      <c r="U973" s="26" t="n"/>
      <c r="V973" s="26" t="n"/>
      <c r="W973" s="169" t="n"/>
      <c r="X973" s="26" t="n"/>
      <c r="Y973" s="26" t="n"/>
      <c r="Z973" s="26" t="n"/>
      <c r="AA973" s="26" t="n"/>
      <c r="AD973" s="0">
        <f>SUM(Y973,AA973,AC973)</f>
        <v/>
      </c>
      <c r="AE973" s="0">
        <f>X973*Y973+Z973*AA973+AB973*AC973</f>
        <v/>
      </c>
      <c r="AF973" s="0">
        <f>TEXTJOIN(", ",TRUE,IF(AND(X973&gt;0,Y973&gt;0),TEXT(X973,"0.00")&amp;"ct x "&amp;Y973,""),IF(AND(Z973&gt;0,AA973&gt;0),TEXT(Z973,"0.00")&amp;"ct x "&amp;AA973,""),IF(AND(AB973&gt;0,AC973&gt;0),TEXT(AB973,"0.00")&amp;"ct x "&amp;AC973,""))</f>
        <v/>
      </c>
      <c r="AG973" s="0">
        <f>X973*Y973*SUMIFS($AM$2:$AM$11,$AK$2:$AK$11,"&lt;="&amp;X973,$AL$2:$AL$11,"&gt;="&amp;X973)+Z973*AA973*SUMIFS($AM$2:$AM$11,$AK$2:$AK$11,"&lt;="&amp;Z973,$AL$2:$AL$11,"&gt;="&amp;Z973)+AB973*AC973*SUMIFS($AM$2:$AM$11,$AK$2:$AK$11,"&lt;="&amp;AB973,$AL$2:$AL$11,"&gt;="&amp;AB973)</f>
        <v/>
      </c>
      <c r="AH973" s="0">
        <f>AG973*(1-40%)</f>
        <v/>
      </c>
      <c r="AI973" s="0">
        <f>AH973*1.2</f>
        <v/>
      </c>
    </row>
    <row r="974">
      <c r="A974" s="26" t="n"/>
      <c r="B974" s="169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>
        <f>AG974</f>
        <v/>
      </c>
      <c r="T974" s="26">
        <f>AI974+Q974+P974</f>
        <v/>
      </c>
      <c r="U974" s="26" t="n"/>
      <c r="V974" s="26" t="n"/>
      <c r="W974" s="169" t="n"/>
      <c r="X974" s="26" t="n"/>
      <c r="Y974" s="26" t="n"/>
      <c r="Z974" s="26" t="n"/>
      <c r="AA974" s="26" t="n"/>
      <c r="AD974" s="0">
        <f>SUM(Y974,AA974,AC974)</f>
        <v/>
      </c>
      <c r="AE974" s="0">
        <f>X974*Y974+Z974*AA974+AB974*AC974</f>
        <v/>
      </c>
      <c r="AF974" s="0">
        <f>TEXTJOIN(", ",TRUE,IF(AND(X974&gt;0,Y974&gt;0),TEXT(X974,"0.00")&amp;"ct x "&amp;Y974,""),IF(AND(Z974&gt;0,AA974&gt;0),TEXT(Z974,"0.00")&amp;"ct x "&amp;AA974,""),IF(AND(AB974&gt;0,AC974&gt;0),TEXT(AB974,"0.00")&amp;"ct x "&amp;AC974,""))</f>
        <v/>
      </c>
      <c r="AG974" s="0">
        <f>X974*Y974*SUMIFS($AM$2:$AM$11,$AK$2:$AK$11,"&lt;="&amp;X974,$AL$2:$AL$11,"&gt;="&amp;X974)+Z974*AA974*SUMIFS($AM$2:$AM$11,$AK$2:$AK$11,"&lt;="&amp;Z974,$AL$2:$AL$11,"&gt;="&amp;Z974)+AB974*AC974*SUMIFS($AM$2:$AM$11,$AK$2:$AK$11,"&lt;="&amp;AB974,$AL$2:$AL$11,"&gt;="&amp;AB974)</f>
        <v/>
      </c>
      <c r="AH974" s="0">
        <f>AG974*(1-40%)</f>
        <v/>
      </c>
      <c r="AI974" s="0">
        <f>AH974*1.2</f>
        <v/>
      </c>
    </row>
    <row r="975">
      <c r="A975" s="26" t="n"/>
      <c r="B975" s="169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>
        <f>AG975</f>
        <v/>
      </c>
      <c r="T975" s="26">
        <f>AI975+Q975+P975</f>
        <v/>
      </c>
      <c r="U975" s="26" t="n"/>
      <c r="V975" s="26" t="n"/>
      <c r="W975" s="169" t="n"/>
      <c r="X975" s="26" t="n"/>
      <c r="Y975" s="26" t="n"/>
      <c r="Z975" s="26" t="n"/>
      <c r="AA975" s="26" t="n"/>
      <c r="AD975" s="0">
        <f>SUM(Y975,AA975,AC975)</f>
        <v/>
      </c>
      <c r="AE975" s="0">
        <f>X975*Y975+Z975*AA975+AB975*AC975</f>
        <v/>
      </c>
      <c r="AF975" s="0">
        <f>TEXTJOIN(", ",TRUE,IF(AND(X975&gt;0,Y975&gt;0),TEXT(X975,"0.00")&amp;"ct x "&amp;Y975,""),IF(AND(Z975&gt;0,AA975&gt;0),TEXT(Z975,"0.00")&amp;"ct x "&amp;AA975,""),IF(AND(AB975&gt;0,AC975&gt;0),TEXT(AB975,"0.00")&amp;"ct x "&amp;AC975,""))</f>
        <v/>
      </c>
      <c r="AG975" s="0">
        <f>X975*Y975*SUMIFS($AM$2:$AM$11,$AK$2:$AK$11,"&lt;="&amp;X975,$AL$2:$AL$11,"&gt;="&amp;X975)+Z975*AA975*SUMIFS($AM$2:$AM$11,$AK$2:$AK$11,"&lt;="&amp;Z975,$AL$2:$AL$11,"&gt;="&amp;Z975)+AB975*AC975*SUMIFS($AM$2:$AM$11,$AK$2:$AK$11,"&lt;="&amp;AB975,$AL$2:$AL$11,"&gt;="&amp;AB975)</f>
        <v/>
      </c>
      <c r="AH975" s="0">
        <f>AG975*(1-40%)</f>
        <v/>
      </c>
      <c r="AI975" s="0">
        <f>AH975*1.2</f>
        <v/>
      </c>
    </row>
    <row r="976">
      <c r="A976" s="26" t="n"/>
      <c r="B976" s="169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>
        <f>AG976</f>
        <v/>
      </c>
      <c r="T976" s="26">
        <f>AI976+Q976+P976</f>
        <v/>
      </c>
      <c r="U976" s="26" t="n"/>
      <c r="V976" s="26" t="n"/>
      <c r="W976" s="169" t="n"/>
      <c r="X976" s="26" t="n"/>
      <c r="Y976" s="26" t="n"/>
      <c r="Z976" s="26" t="n"/>
      <c r="AA976" s="26" t="n"/>
      <c r="AD976" s="0">
        <f>SUM(Y976,AA976,AC976)</f>
        <v/>
      </c>
      <c r="AE976" s="0">
        <f>X976*Y976+Z976*AA976+AB976*AC976</f>
        <v/>
      </c>
      <c r="AF976" s="0">
        <f>TEXTJOIN(", ",TRUE,IF(AND(X976&gt;0,Y976&gt;0),TEXT(X976,"0.00")&amp;"ct x "&amp;Y976,""),IF(AND(Z976&gt;0,AA976&gt;0),TEXT(Z976,"0.00")&amp;"ct x "&amp;AA976,""),IF(AND(AB976&gt;0,AC976&gt;0),TEXT(AB976,"0.00")&amp;"ct x "&amp;AC976,""))</f>
        <v/>
      </c>
      <c r="AG976" s="0">
        <f>X976*Y976*SUMIFS($AM$2:$AM$11,$AK$2:$AK$11,"&lt;="&amp;X976,$AL$2:$AL$11,"&gt;="&amp;X976)+Z976*AA976*SUMIFS($AM$2:$AM$11,$AK$2:$AK$11,"&lt;="&amp;Z976,$AL$2:$AL$11,"&gt;="&amp;Z976)+AB976*AC976*SUMIFS($AM$2:$AM$11,$AK$2:$AK$11,"&lt;="&amp;AB976,$AL$2:$AL$11,"&gt;="&amp;AB976)</f>
        <v/>
      </c>
      <c r="AH976" s="0">
        <f>AG976*(1-40%)</f>
        <v/>
      </c>
      <c r="AI976" s="0">
        <f>AH976*1.2</f>
        <v/>
      </c>
    </row>
    <row r="977">
      <c r="A977" s="26" t="n"/>
      <c r="B977" s="169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>
        <f>AG977</f>
        <v/>
      </c>
      <c r="T977" s="26">
        <f>AI977+Q977+P977</f>
        <v/>
      </c>
      <c r="U977" s="26" t="n"/>
      <c r="V977" s="26" t="n"/>
      <c r="W977" s="169" t="n"/>
      <c r="X977" s="26" t="n"/>
      <c r="Y977" s="26" t="n"/>
      <c r="Z977" s="26" t="n"/>
      <c r="AA977" s="26" t="n"/>
      <c r="AD977" s="0">
        <f>SUM(Y977,AA977,AC977)</f>
        <v/>
      </c>
      <c r="AE977" s="0">
        <f>X977*Y977+Z977*AA977+AB977*AC977</f>
        <v/>
      </c>
      <c r="AF977" s="0">
        <f>TEXTJOIN(", ",TRUE,IF(AND(X977&gt;0,Y977&gt;0),TEXT(X977,"0.00")&amp;"ct x "&amp;Y977,""),IF(AND(Z977&gt;0,AA977&gt;0),TEXT(Z977,"0.00")&amp;"ct x "&amp;AA977,""),IF(AND(AB977&gt;0,AC977&gt;0),TEXT(AB977,"0.00")&amp;"ct x "&amp;AC977,""))</f>
        <v/>
      </c>
      <c r="AG977" s="0">
        <f>X977*Y977*SUMIFS($AM$2:$AM$11,$AK$2:$AK$11,"&lt;="&amp;X977,$AL$2:$AL$11,"&gt;="&amp;X977)+Z977*AA977*SUMIFS($AM$2:$AM$11,$AK$2:$AK$11,"&lt;="&amp;Z977,$AL$2:$AL$11,"&gt;="&amp;Z977)+AB977*AC977*SUMIFS($AM$2:$AM$11,$AK$2:$AK$11,"&lt;="&amp;AB977,$AL$2:$AL$11,"&gt;="&amp;AB977)</f>
        <v/>
      </c>
      <c r="AH977" s="0">
        <f>AG977*(1-40%)</f>
        <v/>
      </c>
      <c r="AI977" s="0">
        <f>AH977*1.2</f>
        <v/>
      </c>
    </row>
    <row r="978">
      <c r="A978" s="26" t="n"/>
      <c r="B978" s="169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>
        <f>AG978</f>
        <v/>
      </c>
      <c r="T978" s="26">
        <f>AI978+Q978+P978</f>
        <v/>
      </c>
      <c r="U978" s="26" t="n"/>
      <c r="V978" s="26" t="n"/>
      <c r="W978" s="169" t="n"/>
      <c r="X978" s="26" t="n"/>
      <c r="Y978" s="26" t="n"/>
      <c r="Z978" s="26" t="n"/>
      <c r="AA978" s="26" t="n"/>
      <c r="AD978" s="0">
        <f>SUM(Y978,AA978,AC978)</f>
        <v/>
      </c>
      <c r="AE978" s="0">
        <f>X978*Y978+Z978*AA978+AB978*AC978</f>
        <v/>
      </c>
      <c r="AF978" s="0">
        <f>TEXTJOIN(", ",TRUE,IF(AND(X978&gt;0,Y978&gt;0),TEXT(X978,"0.00")&amp;"ct x "&amp;Y978,""),IF(AND(Z978&gt;0,AA978&gt;0),TEXT(Z978,"0.00")&amp;"ct x "&amp;AA978,""),IF(AND(AB978&gt;0,AC978&gt;0),TEXT(AB978,"0.00")&amp;"ct x "&amp;AC978,""))</f>
        <v/>
      </c>
      <c r="AG978" s="0">
        <f>X978*Y978*SUMIFS($AM$2:$AM$11,$AK$2:$AK$11,"&lt;="&amp;X978,$AL$2:$AL$11,"&gt;="&amp;X978)+Z978*AA978*SUMIFS($AM$2:$AM$11,$AK$2:$AK$11,"&lt;="&amp;Z978,$AL$2:$AL$11,"&gt;="&amp;Z978)+AB978*AC978*SUMIFS($AM$2:$AM$11,$AK$2:$AK$11,"&lt;="&amp;AB978,$AL$2:$AL$11,"&gt;="&amp;AB978)</f>
        <v/>
      </c>
      <c r="AH978" s="0">
        <f>AG978*(1-40%)</f>
        <v/>
      </c>
      <c r="AI978" s="0">
        <f>AH978*1.2</f>
        <v/>
      </c>
    </row>
    <row r="979">
      <c r="A979" s="26" t="n"/>
      <c r="B979" s="169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>
        <f>AG979</f>
        <v/>
      </c>
      <c r="T979" s="26">
        <f>AI979+Q979+P979</f>
        <v/>
      </c>
      <c r="U979" s="26" t="n"/>
      <c r="V979" s="26" t="n"/>
      <c r="W979" s="169" t="n"/>
      <c r="X979" s="26" t="n"/>
      <c r="Y979" s="26" t="n"/>
      <c r="Z979" s="26" t="n"/>
      <c r="AA979" s="26" t="n"/>
      <c r="AD979" s="0">
        <f>SUM(Y979,AA979,AC979)</f>
        <v/>
      </c>
      <c r="AE979" s="0">
        <f>X979*Y979+Z979*AA979+AB979*AC979</f>
        <v/>
      </c>
      <c r="AF979" s="0">
        <f>TEXTJOIN(", ",TRUE,IF(AND(X979&gt;0,Y979&gt;0),TEXT(X979,"0.00")&amp;"ct x "&amp;Y979,""),IF(AND(Z979&gt;0,AA979&gt;0),TEXT(Z979,"0.00")&amp;"ct x "&amp;AA979,""),IF(AND(AB979&gt;0,AC979&gt;0),TEXT(AB979,"0.00")&amp;"ct x "&amp;AC979,""))</f>
        <v/>
      </c>
      <c r="AG979" s="0">
        <f>X979*Y979*SUMIFS($AM$2:$AM$11,$AK$2:$AK$11,"&lt;="&amp;X979,$AL$2:$AL$11,"&gt;="&amp;X979)+Z979*AA979*SUMIFS($AM$2:$AM$11,$AK$2:$AK$11,"&lt;="&amp;Z979,$AL$2:$AL$11,"&gt;="&amp;Z979)+AB979*AC979*SUMIFS($AM$2:$AM$11,$AK$2:$AK$11,"&lt;="&amp;AB979,$AL$2:$AL$11,"&gt;="&amp;AB979)</f>
        <v/>
      </c>
      <c r="AH979" s="0">
        <f>AG979*(1-40%)</f>
        <v/>
      </c>
      <c r="AI979" s="0">
        <f>AH979*1.2</f>
        <v/>
      </c>
    </row>
    <row r="980">
      <c r="A980" s="26" t="n"/>
      <c r="B980" s="169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>
        <f>AG980</f>
        <v/>
      </c>
      <c r="T980" s="26">
        <f>AI980+Q980+P980</f>
        <v/>
      </c>
      <c r="U980" s="26" t="n"/>
      <c r="V980" s="26" t="n"/>
      <c r="W980" s="169" t="n"/>
      <c r="X980" s="26" t="n"/>
      <c r="Y980" s="26" t="n"/>
      <c r="Z980" s="26" t="n"/>
      <c r="AA980" s="26" t="n"/>
      <c r="AD980" s="0">
        <f>SUM(Y980,AA980,AC980)</f>
        <v/>
      </c>
      <c r="AE980" s="0">
        <f>X980*Y980+Z980*AA980+AB980*AC980</f>
        <v/>
      </c>
      <c r="AF980" s="0">
        <f>TEXTJOIN(", ",TRUE,IF(AND(X980&gt;0,Y980&gt;0),TEXT(X980,"0.00")&amp;"ct x "&amp;Y980,""),IF(AND(Z980&gt;0,AA980&gt;0),TEXT(Z980,"0.00")&amp;"ct x "&amp;AA980,""),IF(AND(AB980&gt;0,AC980&gt;0),TEXT(AB980,"0.00")&amp;"ct x "&amp;AC980,""))</f>
        <v/>
      </c>
      <c r="AG980" s="0">
        <f>X980*Y980*SUMIFS($AM$2:$AM$11,$AK$2:$AK$11,"&lt;="&amp;X980,$AL$2:$AL$11,"&gt;="&amp;X980)+Z980*AA980*SUMIFS($AM$2:$AM$11,$AK$2:$AK$11,"&lt;="&amp;Z980,$AL$2:$AL$11,"&gt;="&amp;Z980)+AB980*AC980*SUMIFS($AM$2:$AM$11,$AK$2:$AK$11,"&lt;="&amp;AB980,$AL$2:$AL$11,"&gt;="&amp;AB980)</f>
        <v/>
      </c>
      <c r="AH980" s="0">
        <f>AG980*(1-40%)</f>
        <v/>
      </c>
      <c r="AI980" s="0">
        <f>AH980*1.2</f>
        <v/>
      </c>
    </row>
    <row r="981">
      <c r="A981" s="26" t="n"/>
      <c r="B981" s="169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>
        <f>AG981</f>
        <v/>
      </c>
      <c r="T981" s="26">
        <f>AI981+Q981+P981</f>
        <v/>
      </c>
      <c r="U981" s="26" t="n"/>
      <c r="V981" s="26" t="n"/>
      <c r="W981" s="169" t="n"/>
      <c r="X981" s="26" t="n"/>
      <c r="Y981" s="26" t="n"/>
      <c r="Z981" s="26" t="n"/>
      <c r="AA981" s="26" t="n"/>
      <c r="AD981" s="0">
        <f>SUM(Y981,AA981,AC981)</f>
        <v/>
      </c>
      <c r="AE981" s="0">
        <f>X981*Y981+Z981*AA981+AB981*AC981</f>
        <v/>
      </c>
      <c r="AF981" s="0">
        <f>TEXTJOIN(", ",TRUE,IF(AND(X981&gt;0,Y981&gt;0),TEXT(X981,"0.00")&amp;"ct x "&amp;Y981,""),IF(AND(Z981&gt;0,AA981&gt;0),TEXT(Z981,"0.00")&amp;"ct x "&amp;AA981,""),IF(AND(AB981&gt;0,AC981&gt;0),TEXT(AB981,"0.00")&amp;"ct x "&amp;AC981,""))</f>
        <v/>
      </c>
      <c r="AG981" s="0">
        <f>X981*Y981*SUMIFS($AM$2:$AM$11,$AK$2:$AK$11,"&lt;="&amp;X981,$AL$2:$AL$11,"&gt;="&amp;X981)+Z981*AA981*SUMIFS($AM$2:$AM$11,$AK$2:$AK$11,"&lt;="&amp;Z981,$AL$2:$AL$11,"&gt;="&amp;Z981)+AB981*AC981*SUMIFS($AM$2:$AM$11,$AK$2:$AK$11,"&lt;="&amp;AB981,$AL$2:$AL$11,"&gt;="&amp;AB981)</f>
        <v/>
      </c>
      <c r="AH981" s="0">
        <f>AG981*(1-40%)</f>
        <v/>
      </c>
      <c r="AI981" s="0">
        <f>AH981*1.2</f>
        <v/>
      </c>
    </row>
    <row r="982">
      <c r="A982" s="26" t="n"/>
      <c r="B982" s="169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>
        <f>AG982</f>
        <v/>
      </c>
      <c r="T982" s="26">
        <f>AI982+Q982+P982</f>
        <v/>
      </c>
      <c r="U982" s="26" t="n"/>
      <c r="V982" s="26" t="n"/>
      <c r="W982" s="169" t="n"/>
      <c r="X982" s="26" t="n"/>
      <c r="Y982" s="26" t="n"/>
      <c r="Z982" s="26" t="n"/>
      <c r="AA982" s="26" t="n"/>
      <c r="AD982" s="0">
        <f>SUM(Y982,AA982,AC982)</f>
        <v/>
      </c>
      <c r="AE982" s="0">
        <f>X982*Y982+Z982*AA982+AB982*AC982</f>
        <v/>
      </c>
      <c r="AF982" s="0">
        <f>TEXTJOIN(", ",TRUE,IF(AND(X982&gt;0,Y982&gt;0),TEXT(X982,"0.00")&amp;"ct x "&amp;Y982,""),IF(AND(Z982&gt;0,AA982&gt;0),TEXT(Z982,"0.00")&amp;"ct x "&amp;AA982,""),IF(AND(AB982&gt;0,AC982&gt;0),TEXT(AB982,"0.00")&amp;"ct x "&amp;AC982,""))</f>
        <v/>
      </c>
      <c r="AG982" s="0">
        <f>X982*Y982*SUMIFS($AM$2:$AM$11,$AK$2:$AK$11,"&lt;="&amp;X982,$AL$2:$AL$11,"&gt;="&amp;X982)+Z982*AA982*SUMIFS($AM$2:$AM$11,$AK$2:$AK$11,"&lt;="&amp;Z982,$AL$2:$AL$11,"&gt;="&amp;Z982)+AB982*AC982*SUMIFS($AM$2:$AM$11,$AK$2:$AK$11,"&lt;="&amp;AB982,$AL$2:$AL$11,"&gt;="&amp;AB982)</f>
        <v/>
      </c>
      <c r="AH982" s="0">
        <f>AG982*(1-40%)</f>
        <v/>
      </c>
      <c r="AI982" s="0">
        <f>AH982*1.2</f>
        <v/>
      </c>
    </row>
    <row r="983">
      <c r="A983" s="26" t="n"/>
      <c r="B983" s="169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>
        <f>AG983</f>
        <v/>
      </c>
      <c r="T983" s="26">
        <f>AI983+Q983+P983</f>
        <v/>
      </c>
      <c r="U983" s="26" t="n"/>
      <c r="V983" s="26" t="n"/>
      <c r="W983" s="169" t="n"/>
      <c r="X983" s="26" t="n"/>
      <c r="Y983" s="26" t="n"/>
      <c r="Z983" s="26" t="n"/>
      <c r="AA983" s="26" t="n"/>
      <c r="AD983" s="0">
        <f>SUM(Y983,AA983,AC983)</f>
        <v/>
      </c>
      <c r="AE983" s="0">
        <f>X983*Y983+Z983*AA983+AB983*AC983</f>
        <v/>
      </c>
      <c r="AF983" s="0">
        <f>TEXTJOIN(", ",TRUE,IF(AND(X983&gt;0,Y983&gt;0),TEXT(X983,"0.00")&amp;"ct x "&amp;Y983,""),IF(AND(Z983&gt;0,AA983&gt;0),TEXT(Z983,"0.00")&amp;"ct x "&amp;AA983,""),IF(AND(AB983&gt;0,AC983&gt;0),TEXT(AB983,"0.00")&amp;"ct x "&amp;AC983,""))</f>
        <v/>
      </c>
      <c r="AG983" s="0">
        <f>X983*Y983*SUMIFS($AM$2:$AM$11,$AK$2:$AK$11,"&lt;="&amp;X983,$AL$2:$AL$11,"&gt;="&amp;X983)+Z983*AA983*SUMIFS($AM$2:$AM$11,$AK$2:$AK$11,"&lt;="&amp;Z983,$AL$2:$AL$11,"&gt;="&amp;Z983)+AB983*AC983*SUMIFS($AM$2:$AM$11,$AK$2:$AK$11,"&lt;="&amp;AB983,$AL$2:$AL$11,"&gt;="&amp;AB983)</f>
        <v/>
      </c>
      <c r="AH983" s="0">
        <f>AG983*(1-40%)</f>
        <v/>
      </c>
      <c r="AI983" s="0">
        <f>AH983*1.2</f>
        <v/>
      </c>
    </row>
    <row r="984">
      <c r="A984" s="26" t="n"/>
      <c r="B984" s="169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>
        <f>AG984</f>
        <v/>
      </c>
      <c r="T984" s="26">
        <f>AI984+Q984+P984</f>
        <v/>
      </c>
      <c r="U984" s="26" t="n"/>
      <c r="V984" s="26" t="n"/>
      <c r="W984" s="169" t="n"/>
      <c r="X984" s="26" t="n"/>
      <c r="Y984" s="26" t="n"/>
      <c r="Z984" s="26" t="n"/>
      <c r="AA984" s="26" t="n"/>
      <c r="AD984" s="0">
        <f>SUM(Y984,AA984,AC984)</f>
        <v/>
      </c>
      <c r="AE984" s="0">
        <f>X984*Y984+Z984*AA984+AB984*AC984</f>
        <v/>
      </c>
      <c r="AF984" s="0">
        <f>TEXTJOIN(", ",TRUE,IF(AND(X984&gt;0,Y984&gt;0),TEXT(X984,"0.00")&amp;"ct x "&amp;Y984,""),IF(AND(Z984&gt;0,AA984&gt;0),TEXT(Z984,"0.00")&amp;"ct x "&amp;AA984,""),IF(AND(AB984&gt;0,AC984&gt;0),TEXT(AB984,"0.00")&amp;"ct x "&amp;AC984,""))</f>
        <v/>
      </c>
      <c r="AG984" s="0">
        <f>X984*Y984*SUMIFS($AM$2:$AM$11,$AK$2:$AK$11,"&lt;="&amp;X984,$AL$2:$AL$11,"&gt;="&amp;X984)+Z984*AA984*SUMIFS($AM$2:$AM$11,$AK$2:$AK$11,"&lt;="&amp;Z984,$AL$2:$AL$11,"&gt;="&amp;Z984)+AB984*AC984*SUMIFS($AM$2:$AM$11,$AK$2:$AK$11,"&lt;="&amp;AB984,$AL$2:$AL$11,"&gt;="&amp;AB984)</f>
        <v/>
      </c>
      <c r="AH984" s="0">
        <f>AG984*(1-40%)</f>
        <v/>
      </c>
      <c r="AI984" s="0">
        <f>AH984*1.2</f>
        <v/>
      </c>
    </row>
    <row r="985">
      <c r="A985" s="26" t="n"/>
      <c r="B985" s="169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>
        <f>AG985</f>
        <v/>
      </c>
      <c r="T985" s="26">
        <f>AI985+Q985+P985</f>
        <v/>
      </c>
      <c r="U985" s="26" t="n"/>
      <c r="V985" s="26" t="n"/>
      <c r="W985" s="169" t="n"/>
      <c r="X985" s="26" t="n"/>
      <c r="Y985" s="26" t="n"/>
      <c r="Z985" s="26" t="n"/>
      <c r="AA985" s="26" t="n"/>
      <c r="AD985" s="0">
        <f>SUM(Y985,AA985,AC985)</f>
        <v/>
      </c>
      <c r="AE985" s="0">
        <f>X985*Y985+Z985*AA985+AB985*AC985</f>
        <v/>
      </c>
      <c r="AF985" s="0">
        <f>TEXTJOIN(", ",TRUE,IF(AND(X985&gt;0,Y985&gt;0),TEXT(X985,"0.00")&amp;"ct x "&amp;Y985,""),IF(AND(Z985&gt;0,AA985&gt;0),TEXT(Z985,"0.00")&amp;"ct x "&amp;AA985,""),IF(AND(AB985&gt;0,AC985&gt;0),TEXT(AB985,"0.00")&amp;"ct x "&amp;AC985,""))</f>
        <v/>
      </c>
      <c r="AG985" s="0">
        <f>X985*Y985*SUMIFS($AM$2:$AM$11,$AK$2:$AK$11,"&lt;="&amp;X985,$AL$2:$AL$11,"&gt;="&amp;X985)+Z985*AA985*SUMIFS($AM$2:$AM$11,$AK$2:$AK$11,"&lt;="&amp;Z985,$AL$2:$AL$11,"&gt;="&amp;Z985)+AB985*AC985*SUMIFS($AM$2:$AM$11,$AK$2:$AK$11,"&lt;="&amp;AB985,$AL$2:$AL$11,"&gt;="&amp;AB985)</f>
        <v/>
      </c>
      <c r="AH985" s="0">
        <f>AG985*(1-40%)</f>
        <v/>
      </c>
      <c r="AI985" s="0">
        <f>AH985*1.2</f>
        <v/>
      </c>
    </row>
    <row r="986">
      <c r="A986" s="26" t="n"/>
      <c r="B986" s="169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>
        <f>AG986</f>
        <v/>
      </c>
      <c r="T986" s="26">
        <f>AI986+Q986+P986</f>
        <v/>
      </c>
      <c r="U986" s="26" t="n"/>
      <c r="V986" s="26" t="n"/>
      <c r="W986" s="169" t="n"/>
      <c r="X986" s="26" t="n"/>
      <c r="Y986" s="26" t="n"/>
      <c r="Z986" s="26" t="n"/>
      <c r="AA986" s="26" t="n"/>
      <c r="AD986" s="0">
        <f>SUM(Y986,AA986,AC986)</f>
        <v/>
      </c>
      <c r="AE986" s="0">
        <f>X986*Y986+Z986*AA986+AB986*AC986</f>
        <v/>
      </c>
      <c r="AF986" s="0">
        <f>TEXTJOIN(", ",TRUE,IF(AND(X986&gt;0,Y986&gt;0),TEXT(X986,"0.00")&amp;"ct x "&amp;Y986,""),IF(AND(Z986&gt;0,AA986&gt;0),TEXT(Z986,"0.00")&amp;"ct x "&amp;AA986,""),IF(AND(AB986&gt;0,AC986&gt;0),TEXT(AB986,"0.00")&amp;"ct x "&amp;AC986,""))</f>
        <v/>
      </c>
      <c r="AG986" s="0">
        <f>X986*Y986*SUMIFS($AM$2:$AM$11,$AK$2:$AK$11,"&lt;="&amp;X986,$AL$2:$AL$11,"&gt;="&amp;X986)+Z986*AA986*SUMIFS($AM$2:$AM$11,$AK$2:$AK$11,"&lt;="&amp;Z986,$AL$2:$AL$11,"&gt;="&amp;Z986)+AB986*AC986*SUMIFS($AM$2:$AM$11,$AK$2:$AK$11,"&lt;="&amp;AB986,$AL$2:$AL$11,"&gt;="&amp;AB986)</f>
        <v/>
      </c>
      <c r="AH986" s="0">
        <f>AG986*(1-40%)</f>
        <v/>
      </c>
      <c r="AI986" s="0">
        <f>AH986*1.2</f>
        <v/>
      </c>
    </row>
    <row r="987">
      <c r="A987" s="26" t="n"/>
      <c r="B987" s="169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>
        <f>AG987</f>
        <v/>
      </c>
      <c r="T987" s="26">
        <f>AI987+Q987+P987</f>
        <v/>
      </c>
      <c r="U987" s="26" t="n"/>
      <c r="V987" s="26" t="n"/>
      <c r="W987" s="169" t="n"/>
      <c r="X987" s="26" t="n"/>
      <c r="Y987" s="26" t="n"/>
      <c r="Z987" s="26" t="n"/>
      <c r="AA987" s="26" t="n"/>
      <c r="AD987" s="0">
        <f>SUM(Y987,AA987,AC987)</f>
        <v/>
      </c>
      <c r="AE987" s="0">
        <f>X987*Y987+Z987*AA987+AB987*AC987</f>
        <v/>
      </c>
      <c r="AF987" s="0">
        <f>TEXTJOIN(", ",TRUE,IF(AND(X987&gt;0,Y987&gt;0),TEXT(X987,"0.00")&amp;"ct x "&amp;Y987,""),IF(AND(Z987&gt;0,AA987&gt;0),TEXT(Z987,"0.00")&amp;"ct x "&amp;AA987,""),IF(AND(AB987&gt;0,AC987&gt;0),TEXT(AB987,"0.00")&amp;"ct x "&amp;AC987,""))</f>
        <v/>
      </c>
      <c r="AG987" s="0">
        <f>X987*Y987*SUMIFS($AM$2:$AM$11,$AK$2:$AK$11,"&lt;="&amp;X987,$AL$2:$AL$11,"&gt;="&amp;X987)+Z987*AA987*SUMIFS($AM$2:$AM$11,$AK$2:$AK$11,"&lt;="&amp;Z987,$AL$2:$AL$11,"&gt;="&amp;Z987)+AB987*AC987*SUMIFS($AM$2:$AM$11,$AK$2:$AK$11,"&lt;="&amp;AB987,$AL$2:$AL$11,"&gt;="&amp;AB987)</f>
        <v/>
      </c>
      <c r="AH987" s="0">
        <f>AG987*(1-40%)</f>
        <v/>
      </c>
      <c r="AI987" s="0">
        <f>AH987*1.2</f>
        <v/>
      </c>
    </row>
    <row r="988">
      <c r="A988" s="26" t="n"/>
      <c r="B988" s="169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>
        <f>AG988</f>
        <v/>
      </c>
      <c r="T988" s="26">
        <f>AI988+Q988+P988</f>
        <v/>
      </c>
      <c r="U988" s="26" t="n"/>
      <c r="V988" s="26" t="n"/>
      <c r="W988" s="169" t="n"/>
      <c r="X988" s="26" t="n"/>
      <c r="Y988" s="26" t="n"/>
      <c r="Z988" s="26" t="n"/>
      <c r="AA988" s="26" t="n"/>
      <c r="AD988" s="0">
        <f>SUM(Y988,AA988,AC988)</f>
        <v/>
      </c>
      <c r="AE988" s="0">
        <f>X988*Y988+Z988*AA988+AB988*AC988</f>
        <v/>
      </c>
      <c r="AF988" s="0">
        <f>TEXTJOIN(", ",TRUE,IF(AND(X988&gt;0,Y988&gt;0),TEXT(X988,"0.00")&amp;"ct x "&amp;Y988,""),IF(AND(Z988&gt;0,AA988&gt;0),TEXT(Z988,"0.00")&amp;"ct x "&amp;AA988,""),IF(AND(AB988&gt;0,AC988&gt;0),TEXT(AB988,"0.00")&amp;"ct x "&amp;AC988,""))</f>
        <v/>
      </c>
      <c r="AG988" s="0">
        <f>X988*Y988*SUMIFS($AM$2:$AM$11,$AK$2:$AK$11,"&lt;="&amp;X988,$AL$2:$AL$11,"&gt;="&amp;X988)+Z988*AA988*SUMIFS($AM$2:$AM$11,$AK$2:$AK$11,"&lt;="&amp;Z988,$AL$2:$AL$11,"&gt;="&amp;Z988)+AB988*AC988*SUMIFS($AM$2:$AM$11,$AK$2:$AK$11,"&lt;="&amp;AB988,$AL$2:$AL$11,"&gt;="&amp;AB988)</f>
        <v/>
      </c>
      <c r="AH988" s="0">
        <f>AG988*(1-40%)</f>
        <v/>
      </c>
      <c r="AI988" s="0">
        <f>AH988*1.2</f>
        <v/>
      </c>
    </row>
    <row r="989">
      <c r="A989" s="26" t="n"/>
      <c r="B989" s="169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>
        <f>AG989</f>
        <v/>
      </c>
      <c r="T989" s="26">
        <f>AI989+Q989+P989</f>
        <v/>
      </c>
      <c r="U989" s="26" t="n"/>
      <c r="V989" s="26" t="n"/>
      <c r="W989" s="169" t="n"/>
      <c r="X989" s="26" t="n"/>
      <c r="Y989" s="26" t="n"/>
      <c r="Z989" s="26" t="n"/>
      <c r="AA989" s="26" t="n"/>
      <c r="AD989" s="0">
        <f>SUM(Y989,AA989,AC989)</f>
        <v/>
      </c>
      <c r="AE989" s="0">
        <f>X989*Y989+Z989*AA989+AB989*AC989</f>
        <v/>
      </c>
      <c r="AF989" s="0">
        <f>TEXTJOIN(", ",TRUE,IF(AND(X989&gt;0,Y989&gt;0),TEXT(X989,"0.00")&amp;"ct x "&amp;Y989,""),IF(AND(Z989&gt;0,AA989&gt;0),TEXT(Z989,"0.00")&amp;"ct x "&amp;AA989,""),IF(AND(AB989&gt;0,AC989&gt;0),TEXT(AB989,"0.00")&amp;"ct x "&amp;AC989,""))</f>
        <v/>
      </c>
      <c r="AG989" s="0">
        <f>X989*Y989*SUMIFS($AM$2:$AM$11,$AK$2:$AK$11,"&lt;="&amp;X989,$AL$2:$AL$11,"&gt;="&amp;X989)+Z989*AA989*SUMIFS($AM$2:$AM$11,$AK$2:$AK$11,"&lt;="&amp;Z989,$AL$2:$AL$11,"&gt;="&amp;Z989)+AB989*AC989*SUMIFS($AM$2:$AM$11,$AK$2:$AK$11,"&lt;="&amp;AB989,$AL$2:$AL$11,"&gt;="&amp;AB989)</f>
        <v/>
      </c>
      <c r="AH989" s="0">
        <f>AG989*(1-40%)</f>
        <v/>
      </c>
      <c r="AI989" s="0">
        <f>AH989*1.2</f>
        <v/>
      </c>
    </row>
    <row r="990">
      <c r="A990" s="26" t="n"/>
      <c r="B990" s="169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>
        <f>AG990</f>
        <v/>
      </c>
      <c r="T990" s="26">
        <f>AI990+Q990+P990</f>
        <v/>
      </c>
      <c r="U990" s="26" t="n"/>
      <c r="V990" s="26" t="n"/>
      <c r="W990" s="169" t="n"/>
      <c r="X990" s="26" t="n"/>
      <c r="Y990" s="26" t="n"/>
      <c r="Z990" s="26" t="n"/>
      <c r="AA990" s="26" t="n"/>
      <c r="AD990" s="0">
        <f>SUM(Y990,AA990,AC990)</f>
        <v/>
      </c>
      <c r="AE990" s="0">
        <f>X990*Y990+Z990*AA990+AB990*AC990</f>
        <v/>
      </c>
      <c r="AF990" s="0">
        <f>TEXTJOIN(", ",TRUE,IF(AND(X990&gt;0,Y990&gt;0),TEXT(X990,"0.00")&amp;"ct x "&amp;Y990,""),IF(AND(Z990&gt;0,AA990&gt;0),TEXT(Z990,"0.00")&amp;"ct x "&amp;AA990,""),IF(AND(AB990&gt;0,AC990&gt;0),TEXT(AB990,"0.00")&amp;"ct x "&amp;AC990,""))</f>
        <v/>
      </c>
      <c r="AG990" s="0">
        <f>X990*Y990*SUMIFS($AM$2:$AM$11,$AK$2:$AK$11,"&lt;="&amp;X990,$AL$2:$AL$11,"&gt;="&amp;X990)+Z990*AA990*SUMIFS($AM$2:$AM$11,$AK$2:$AK$11,"&lt;="&amp;Z990,$AL$2:$AL$11,"&gt;="&amp;Z990)+AB990*AC990*SUMIFS($AM$2:$AM$11,$AK$2:$AK$11,"&lt;="&amp;AB990,$AL$2:$AL$11,"&gt;="&amp;AB990)</f>
        <v/>
      </c>
      <c r="AH990" s="0">
        <f>AG990*(1-40%)</f>
        <v/>
      </c>
      <c r="AI990" s="0">
        <f>AH990*1.2</f>
        <v/>
      </c>
    </row>
    <row r="991">
      <c r="A991" s="26" t="n"/>
      <c r="B991" s="169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>
        <f>AG991</f>
        <v/>
      </c>
      <c r="T991" s="26">
        <f>AI991+Q991+P991</f>
        <v/>
      </c>
      <c r="U991" s="26" t="n"/>
      <c r="V991" s="26" t="n"/>
      <c r="W991" s="169" t="n"/>
      <c r="X991" s="26" t="n"/>
      <c r="Y991" s="26" t="n"/>
      <c r="Z991" s="26" t="n"/>
      <c r="AA991" s="26" t="n"/>
      <c r="AD991" s="0">
        <f>SUM(Y991,AA991,AC991)</f>
        <v/>
      </c>
      <c r="AE991" s="0">
        <f>X991*Y991+Z991*AA991+AB991*AC991</f>
        <v/>
      </c>
      <c r="AF991" s="0">
        <f>TEXTJOIN(", ",TRUE,IF(AND(X991&gt;0,Y991&gt;0),TEXT(X991,"0.00")&amp;"ct x "&amp;Y991,""),IF(AND(Z991&gt;0,AA991&gt;0),TEXT(Z991,"0.00")&amp;"ct x "&amp;AA991,""),IF(AND(AB991&gt;0,AC991&gt;0),TEXT(AB991,"0.00")&amp;"ct x "&amp;AC991,""))</f>
        <v/>
      </c>
      <c r="AG991" s="0">
        <f>X991*Y991*SUMIFS($AM$2:$AM$11,$AK$2:$AK$11,"&lt;="&amp;X991,$AL$2:$AL$11,"&gt;="&amp;X991)+Z991*AA991*SUMIFS($AM$2:$AM$11,$AK$2:$AK$11,"&lt;="&amp;Z991,$AL$2:$AL$11,"&gt;="&amp;Z991)+AB991*AC991*SUMIFS($AM$2:$AM$11,$AK$2:$AK$11,"&lt;="&amp;AB991,$AL$2:$AL$11,"&gt;="&amp;AB991)</f>
        <v/>
      </c>
      <c r="AH991" s="0">
        <f>AG991*(1-40%)</f>
        <v/>
      </c>
      <c r="AI991" s="0">
        <f>AH991*1.2</f>
        <v/>
      </c>
    </row>
    <row r="992">
      <c r="A992" s="26" t="n"/>
      <c r="B992" s="169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>
        <f>AG992</f>
        <v/>
      </c>
      <c r="T992" s="26">
        <f>AI992+Q992+P992</f>
        <v/>
      </c>
      <c r="U992" s="26" t="n"/>
      <c r="V992" s="26" t="n"/>
      <c r="W992" s="169" t="n"/>
      <c r="X992" s="26" t="n"/>
      <c r="Y992" s="26" t="n"/>
      <c r="Z992" s="26" t="n"/>
      <c r="AA992" s="26" t="n"/>
      <c r="AD992" s="0">
        <f>SUM(Y992,AA992,AC992)</f>
        <v/>
      </c>
      <c r="AE992" s="0">
        <f>X992*Y992+Z992*AA992+AB992*AC992</f>
        <v/>
      </c>
      <c r="AF992" s="0">
        <f>TEXTJOIN(", ",TRUE,IF(AND(X992&gt;0,Y992&gt;0),TEXT(X992,"0.00")&amp;"ct x "&amp;Y992,""),IF(AND(Z992&gt;0,AA992&gt;0),TEXT(Z992,"0.00")&amp;"ct x "&amp;AA992,""),IF(AND(AB992&gt;0,AC992&gt;0),TEXT(AB992,"0.00")&amp;"ct x "&amp;AC992,""))</f>
        <v/>
      </c>
      <c r="AG992" s="0">
        <f>X992*Y992*SUMIFS($AM$2:$AM$11,$AK$2:$AK$11,"&lt;="&amp;X992,$AL$2:$AL$11,"&gt;="&amp;X992)+Z992*AA992*SUMIFS($AM$2:$AM$11,$AK$2:$AK$11,"&lt;="&amp;Z992,$AL$2:$AL$11,"&gt;="&amp;Z992)+AB992*AC992*SUMIFS($AM$2:$AM$11,$AK$2:$AK$11,"&lt;="&amp;AB992,$AL$2:$AL$11,"&gt;="&amp;AB992)</f>
        <v/>
      </c>
      <c r="AH992" s="0">
        <f>AG992*(1-40%)</f>
        <v/>
      </c>
      <c r="AI992" s="0">
        <f>AH992*1.2</f>
        <v/>
      </c>
    </row>
    <row r="993">
      <c r="A993" s="26" t="n"/>
      <c r="B993" s="169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>
        <f>AG993</f>
        <v/>
      </c>
      <c r="T993" s="26">
        <f>AI993+Q993+P993</f>
        <v/>
      </c>
      <c r="U993" s="26" t="n"/>
      <c r="V993" s="26" t="n"/>
      <c r="W993" s="169" t="n"/>
      <c r="X993" s="26" t="n"/>
      <c r="Y993" s="26" t="n"/>
      <c r="Z993" s="26" t="n"/>
      <c r="AA993" s="26" t="n"/>
      <c r="AD993" s="0">
        <f>SUM(Y993,AA993,AC993)</f>
        <v/>
      </c>
      <c r="AE993" s="0">
        <f>X993*Y993+Z993*AA993+AB993*AC993</f>
        <v/>
      </c>
      <c r="AF993" s="0">
        <f>TEXTJOIN(", ",TRUE,IF(AND(X993&gt;0,Y993&gt;0),TEXT(X993,"0.00")&amp;"ct x "&amp;Y993,""),IF(AND(Z993&gt;0,AA993&gt;0),TEXT(Z993,"0.00")&amp;"ct x "&amp;AA993,""),IF(AND(AB993&gt;0,AC993&gt;0),TEXT(AB993,"0.00")&amp;"ct x "&amp;AC993,""))</f>
        <v/>
      </c>
      <c r="AG993" s="0">
        <f>X993*Y993*SUMIFS($AM$2:$AM$11,$AK$2:$AK$11,"&lt;="&amp;X993,$AL$2:$AL$11,"&gt;="&amp;X993)+Z993*AA993*SUMIFS($AM$2:$AM$11,$AK$2:$AK$11,"&lt;="&amp;Z993,$AL$2:$AL$11,"&gt;="&amp;Z993)+AB993*AC993*SUMIFS($AM$2:$AM$11,$AK$2:$AK$11,"&lt;="&amp;AB993,$AL$2:$AL$11,"&gt;="&amp;AB993)</f>
        <v/>
      </c>
      <c r="AH993" s="0">
        <f>AG993*(1-40%)</f>
        <v/>
      </c>
      <c r="AI993" s="0">
        <f>AH993*1.2</f>
        <v/>
      </c>
    </row>
    <row r="994">
      <c r="A994" s="26" t="n"/>
      <c r="B994" s="169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>
        <f>AG994</f>
        <v/>
      </c>
      <c r="T994" s="26">
        <f>AI994+Q994+P994</f>
        <v/>
      </c>
      <c r="U994" s="26" t="n"/>
      <c r="V994" s="26" t="n"/>
      <c r="W994" s="169" t="n"/>
      <c r="X994" s="26" t="n"/>
      <c r="Y994" s="26" t="n"/>
      <c r="Z994" s="26" t="n"/>
      <c r="AA994" s="26" t="n"/>
      <c r="AD994" s="0">
        <f>SUM(Y994,AA994,AC994)</f>
        <v/>
      </c>
      <c r="AE994" s="0">
        <f>X994*Y994+Z994*AA994+AB994*AC994</f>
        <v/>
      </c>
      <c r="AF994" s="0">
        <f>TEXTJOIN(", ",TRUE,IF(AND(X994&gt;0,Y994&gt;0),TEXT(X994,"0.00")&amp;"ct x "&amp;Y994,""),IF(AND(Z994&gt;0,AA994&gt;0),TEXT(Z994,"0.00")&amp;"ct x "&amp;AA994,""),IF(AND(AB994&gt;0,AC994&gt;0),TEXT(AB994,"0.00")&amp;"ct x "&amp;AC994,""))</f>
        <v/>
      </c>
      <c r="AG994" s="0">
        <f>X994*Y994*SUMIFS($AM$2:$AM$11,$AK$2:$AK$11,"&lt;="&amp;X994,$AL$2:$AL$11,"&gt;="&amp;X994)+Z994*AA994*SUMIFS($AM$2:$AM$11,$AK$2:$AK$11,"&lt;="&amp;Z994,$AL$2:$AL$11,"&gt;="&amp;Z994)+AB994*AC994*SUMIFS($AM$2:$AM$11,$AK$2:$AK$11,"&lt;="&amp;AB994,$AL$2:$AL$11,"&gt;="&amp;AB994)</f>
        <v/>
      </c>
      <c r="AH994" s="0">
        <f>AG994*(1-40%)</f>
        <v/>
      </c>
      <c r="AI994" s="0">
        <f>AH994*1.2</f>
        <v/>
      </c>
    </row>
    <row r="995">
      <c r="A995" s="26" t="n"/>
      <c r="B995" s="169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>
        <f>AG995</f>
        <v/>
      </c>
      <c r="T995" s="26">
        <f>AI995+Q995+P995</f>
        <v/>
      </c>
      <c r="U995" s="26" t="n"/>
      <c r="V995" s="26" t="n"/>
      <c r="W995" s="169" t="n"/>
      <c r="X995" s="26" t="n"/>
      <c r="Y995" s="26" t="n"/>
      <c r="Z995" s="26" t="n"/>
      <c r="AA995" s="26" t="n"/>
      <c r="AD995" s="0">
        <f>SUM(Y995,AA995,AC995)</f>
        <v/>
      </c>
      <c r="AE995" s="0">
        <f>X995*Y995+Z995*AA995+AB995*AC995</f>
        <v/>
      </c>
      <c r="AF995" s="0">
        <f>TEXTJOIN(", ",TRUE,IF(AND(X995&gt;0,Y995&gt;0),TEXT(X995,"0.00")&amp;"ct x "&amp;Y995,""),IF(AND(Z995&gt;0,AA995&gt;0),TEXT(Z995,"0.00")&amp;"ct x "&amp;AA995,""),IF(AND(AB995&gt;0,AC995&gt;0),TEXT(AB995,"0.00")&amp;"ct x "&amp;AC995,""))</f>
        <v/>
      </c>
      <c r="AG995" s="0">
        <f>X995*Y995*SUMIFS($AM$2:$AM$11,$AK$2:$AK$11,"&lt;="&amp;X995,$AL$2:$AL$11,"&gt;="&amp;X995)+Z995*AA995*SUMIFS($AM$2:$AM$11,$AK$2:$AK$11,"&lt;="&amp;Z995,$AL$2:$AL$11,"&gt;="&amp;Z995)+AB995*AC995*SUMIFS($AM$2:$AM$11,$AK$2:$AK$11,"&lt;="&amp;AB995,$AL$2:$AL$11,"&gt;="&amp;AB995)</f>
        <v/>
      </c>
      <c r="AH995" s="0">
        <f>AG995*(1-40%)</f>
        <v/>
      </c>
      <c r="AI995" s="0">
        <f>AH995*1.2</f>
        <v/>
      </c>
    </row>
    <row r="996">
      <c r="A996" s="26" t="n"/>
      <c r="B996" s="169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>
        <f>AG996</f>
        <v/>
      </c>
      <c r="T996" s="26">
        <f>AI996+Q996+P996</f>
        <v/>
      </c>
      <c r="U996" s="26" t="n"/>
      <c r="V996" s="26" t="n"/>
      <c r="W996" s="169" t="n"/>
      <c r="X996" s="26" t="n"/>
      <c r="Y996" s="26" t="n"/>
      <c r="Z996" s="26" t="n"/>
      <c r="AA996" s="26" t="n"/>
      <c r="AD996" s="0">
        <f>SUM(Y996,AA996,AC996)</f>
        <v/>
      </c>
      <c r="AE996" s="0">
        <f>X996*Y996+Z996*AA996+AB996*AC996</f>
        <v/>
      </c>
      <c r="AF996" s="0">
        <f>TEXTJOIN(", ",TRUE,IF(AND(X996&gt;0,Y996&gt;0),TEXT(X996,"0.00")&amp;"ct x "&amp;Y996,""),IF(AND(Z996&gt;0,AA996&gt;0),TEXT(Z996,"0.00")&amp;"ct x "&amp;AA996,""),IF(AND(AB996&gt;0,AC996&gt;0),TEXT(AB996,"0.00")&amp;"ct x "&amp;AC996,""))</f>
        <v/>
      </c>
      <c r="AG996" s="0">
        <f>X996*Y996*SUMIFS($AM$2:$AM$11,$AK$2:$AK$11,"&lt;="&amp;X996,$AL$2:$AL$11,"&gt;="&amp;X996)+Z996*AA996*SUMIFS($AM$2:$AM$11,$AK$2:$AK$11,"&lt;="&amp;Z996,$AL$2:$AL$11,"&gt;="&amp;Z996)+AB996*AC996*SUMIFS($AM$2:$AM$11,$AK$2:$AK$11,"&lt;="&amp;AB996,$AL$2:$AL$11,"&gt;="&amp;AB996)</f>
        <v/>
      </c>
      <c r="AH996" s="0">
        <f>AG996*(1-40%)</f>
        <v/>
      </c>
      <c r="AI996" s="0">
        <f>AH996*1.2</f>
        <v/>
      </c>
    </row>
    <row r="997">
      <c r="A997" s="26" t="n"/>
      <c r="B997" s="169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>
        <f>AG997</f>
        <v/>
      </c>
      <c r="T997" s="26">
        <f>AI997+Q997+P997</f>
        <v/>
      </c>
      <c r="U997" s="26" t="n"/>
      <c r="V997" s="26" t="n"/>
      <c r="W997" s="169" t="n"/>
      <c r="X997" s="26" t="n"/>
      <c r="Y997" s="26" t="n"/>
      <c r="Z997" s="26" t="n"/>
      <c r="AA997" s="26" t="n"/>
      <c r="AD997" s="0">
        <f>SUM(Y997,AA997,AC997)</f>
        <v/>
      </c>
      <c r="AE997" s="0">
        <f>X997*Y997+Z997*AA997+AB997*AC997</f>
        <v/>
      </c>
      <c r="AF997" s="0">
        <f>TEXTJOIN(", ",TRUE,IF(AND(X997&gt;0,Y997&gt;0),TEXT(X997,"0.00")&amp;"ct x "&amp;Y997,""),IF(AND(Z997&gt;0,AA997&gt;0),TEXT(Z997,"0.00")&amp;"ct x "&amp;AA997,""),IF(AND(AB997&gt;0,AC997&gt;0),TEXT(AB997,"0.00")&amp;"ct x "&amp;AC997,""))</f>
        <v/>
      </c>
      <c r="AG997" s="0">
        <f>X997*Y997*SUMIFS($AM$2:$AM$11,$AK$2:$AK$11,"&lt;="&amp;X997,$AL$2:$AL$11,"&gt;="&amp;X997)+Z997*AA997*SUMIFS($AM$2:$AM$11,$AK$2:$AK$11,"&lt;="&amp;Z997,$AL$2:$AL$11,"&gt;="&amp;Z997)+AB997*AC997*SUMIFS($AM$2:$AM$11,$AK$2:$AK$11,"&lt;="&amp;AB997,$AL$2:$AL$11,"&gt;="&amp;AB997)</f>
        <v/>
      </c>
      <c r="AH997" s="0">
        <f>AG997*(1-40%)</f>
        <v/>
      </c>
      <c r="AI997" s="0">
        <f>AH997*1.2</f>
        <v/>
      </c>
    </row>
    <row r="998">
      <c r="A998" s="26" t="n"/>
      <c r="B998" s="169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>
        <f>AG998</f>
        <v/>
      </c>
      <c r="T998" s="26">
        <f>AI998+Q998+P998</f>
        <v/>
      </c>
      <c r="U998" s="26" t="n"/>
      <c r="V998" s="26" t="n"/>
      <c r="W998" s="169" t="n"/>
      <c r="X998" s="26" t="n"/>
      <c r="Y998" s="26" t="n"/>
      <c r="Z998" s="26" t="n"/>
      <c r="AA998" s="26" t="n"/>
      <c r="AD998" s="0">
        <f>SUM(Y998,AA998,AC998)</f>
        <v/>
      </c>
      <c r="AE998" s="0">
        <f>X998*Y998+Z998*AA998+AB998*AC998</f>
        <v/>
      </c>
      <c r="AF998" s="0">
        <f>TEXTJOIN(", ",TRUE,IF(AND(X998&gt;0,Y998&gt;0),TEXT(X998,"0.00")&amp;"ct x "&amp;Y998,""),IF(AND(Z998&gt;0,AA998&gt;0),TEXT(Z998,"0.00")&amp;"ct x "&amp;AA998,""),IF(AND(AB998&gt;0,AC998&gt;0),TEXT(AB998,"0.00")&amp;"ct x "&amp;AC998,""))</f>
        <v/>
      </c>
      <c r="AG998" s="0">
        <f>X998*Y998*SUMIFS($AM$2:$AM$11,$AK$2:$AK$11,"&lt;="&amp;X998,$AL$2:$AL$11,"&gt;="&amp;X998)+Z998*AA998*SUMIFS($AM$2:$AM$11,$AK$2:$AK$11,"&lt;="&amp;Z998,$AL$2:$AL$11,"&gt;="&amp;Z998)+AB998*AC998*SUMIFS($AM$2:$AM$11,$AK$2:$AK$11,"&lt;="&amp;AB998,$AL$2:$AL$11,"&gt;="&amp;AB998)</f>
        <v/>
      </c>
      <c r="AH998" s="0">
        <f>AG998*(1-40%)</f>
        <v/>
      </c>
      <c r="AI998" s="0">
        <f>AH998*1.2</f>
        <v/>
      </c>
    </row>
    <row r="999">
      <c r="A999" s="26" t="n"/>
      <c r="B999" s="169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>
        <f>AG999</f>
        <v/>
      </c>
      <c r="T999" s="26">
        <f>AI999+Q999+P999</f>
        <v/>
      </c>
      <c r="U999" s="26" t="n"/>
      <c r="V999" s="26" t="n"/>
      <c r="W999" s="169" t="n"/>
      <c r="X999" s="26" t="n"/>
      <c r="Y999" s="26" t="n"/>
      <c r="Z999" s="26" t="n"/>
      <c r="AA999" s="26" t="n"/>
      <c r="AD999" s="0">
        <f>SUM(Y999,AA999,AC999)</f>
        <v/>
      </c>
      <c r="AE999" s="0">
        <f>X999*Y999+Z999*AA999+AB999*AC999</f>
        <v/>
      </c>
      <c r="AF999" s="0">
        <f>TEXTJOIN(", ",TRUE,IF(AND(X999&gt;0,Y999&gt;0),TEXT(X999,"0.00")&amp;"ct x "&amp;Y999,""),IF(AND(Z999&gt;0,AA999&gt;0),TEXT(Z999,"0.00")&amp;"ct x "&amp;AA999,""),IF(AND(AB999&gt;0,AC999&gt;0),TEXT(AB999,"0.00")&amp;"ct x "&amp;AC999,""))</f>
        <v/>
      </c>
      <c r="AG999" s="0">
        <f>X999*Y999*SUMIFS($AM$2:$AM$11,$AK$2:$AK$11,"&lt;="&amp;X999,$AL$2:$AL$11,"&gt;="&amp;X999)+Z999*AA999*SUMIFS($AM$2:$AM$11,$AK$2:$AK$11,"&lt;="&amp;Z999,$AL$2:$AL$11,"&gt;="&amp;Z999)+AB999*AC999*SUMIFS($AM$2:$AM$11,$AK$2:$AK$11,"&lt;="&amp;AB999,$AL$2:$AL$11,"&gt;="&amp;AB999)</f>
        <v/>
      </c>
      <c r="AH999" s="0">
        <f>AG999*(1-40%)</f>
        <v/>
      </c>
      <c r="AI999" s="0">
        <f>AH999*1.2</f>
        <v/>
      </c>
    </row>
    <row r="1000">
      <c r="A1000" s="26" t="n"/>
      <c r="B1000" s="169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>
        <f>AG1000</f>
        <v/>
      </c>
      <c r="T1000" s="26">
        <f>AI1000+Q1000+P1000</f>
        <v/>
      </c>
      <c r="U1000" s="26" t="n"/>
      <c r="V1000" s="26" t="n"/>
      <c r="W1000" s="169" t="n"/>
      <c r="X1000" s="26" t="n"/>
      <c r="Y1000" s="26" t="n"/>
      <c r="Z1000" s="26" t="n"/>
      <c r="AA1000" s="26" t="n"/>
      <c r="AD1000" s="0">
        <f>SUM(Y1000,AA1000,AC1000)</f>
        <v/>
      </c>
      <c r="AE1000" s="0">
        <f>X1000*Y1000+Z1000*AA1000+AB1000*AC1000</f>
        <v/>
      </c>
      <c r="AF1000" s="0">
        <f>TEXTJOIN(", ",TRUE,IF(AND(X1000&gt;0,Y1000&gt;0),TEXT(X1000,"0.00")&amp;"ct x "&amp;Y1000,""),IF(AND(Z1000&gt;0,AA1000&gt;0),TEXT(Z1000,"0.00")&amp;"ct x "&amp;AA1000,""),IF(AND(AB1000&gt;0,AC1000&gt;0),TEXT(AB1000,"0.00")&amp;"ct x "&amp;AC1000,""))</f>
        <v/>
      </c>
      <c r="AG1000" s="0">
        <f>X1000*Y1000*SUMIFS($AM$2:$AM$11,$AK$2:$AK$11,"&lt;="&amp;X1000,$AL$2:$AL$11,"&gt;="&amp;X1000)+Z1000*AA1000*SUMIFS($AM$2:$AM$11,$AK$2:$AK$11,"&lt;="&amp;Z1000,$AL$2:$AL$11,"&gt;="&amp;Z1000)+AB1000*AC1000*SUMIFS($AM$2:$AM$11,$AK$2:$AK$11,"&lt;="&amp;AB1000,$AL$2:$AL$11,"&gt;="&amp;AB1000)</f>
        <v/>
      </c>
      <c r="AH1000" s="0">
        <f>AG1000*(1-40%)</f>
        <v/>
      </c>
      <c r="AI1000" s="0">
        <f>AH1000*1.2</f>
        <v/>
      </c>
    </row>
  </sheetData>
  <conditionalFormatting sqref="V2:V57">
    <cfRule type="containsText" priority="1" operator="containsText" dxfId="4" text="Available">
      <formula>NOT(ISERROR(SEARCH(("Available"),(V2))))</formula>
    </cfRule>
    <cfRule type="containsText" priority="2" operator="containsText" dxfId="5" text="Sold">
      <formula>NOT(ISERROR(SEARCH(("Sold"),(V2))))</formula>
    </cfRule>
    <cfRule type="containsText" priority="3" operator="containsText" dxfId="6" text="Return">
      <formula>NOT(ISERROR(SEARCH(("Return"),(V2))))</formula>
    </cfRule>
  </conditionalFormatting>
  <pageMargins left="0.25" right="0.25" top="0.75" bottom="0.75" header="0" footer="0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.29" customWidth="1" style="220" min="1" max="1"/>
    <col width="14.71" customWidth="1" style="220" min="2" max="2"/>
    <col width="15.14" customWidth="1" style="220" min="3" max="3"/>
    <col width="17.71" customWidth="1" style="220" min="4" max="4"/>
    <col width="14.29" customWidth="1" style="220" min="5" max="5"/>
    <col width="15" customWidth="1" style="220" min="6" max="6"/>
    <col width="14.29" customWidth="1" style="220" min="7" max="7"/>
    <col width="11.57" customWidth="1" style="220" min="8" max="8"/>
    <col width="7.86" customWidth="1" style="220" min="9" max="9"/>
    <col width="9.859999999999999" customWidth="1" style="220" min="10" max="10"/>
    <col width="8.140000000000001" customWidth="1" style="220" min="11" max="11"/>
    <col width="13.86" customWidth="1" style="220" min="12" max="15"/>
    <col width="12.29" customWidth="1" style="220" min="16" max="16"/>
    <col width="14" customWidth="1" style="220" min="17" max="17"/>
    <col width="17.57" customWidth="1" style="220" min="18" max="18"/>
    <col width="14.57" customWidth="1" style="220" min="19" max="19"/>
    <col width="18.71" customWidth="1" style="220" min="20" max="20"/>
    <col width="12.29" customWidth="1" style="220" min="21" max="21"/>
    <col width="13.57" customWidth="1" style="220" min="22" max="22"/>
  </cols>
  <sheetData>
    <row r="1" ht="15" customHeight="1" s="220">
      <c r="A1" s="171" t="inlineStr">
        <is>
          <t>Sn</t>
        </is>
      </c>
      <c r="B1" s="171" t="inlineStr">
        <is>
          <t>Net Weight</t>
        </is>
      </c>
      <c r="C1" s="171" t="inlineStr">
        <is>
          <t>Wstg + MC</t>
        </is>
      </c>
      <c r="D1" s="171" t="inlineStr">
        <is>
          <t>Gross Weight</t>
        </is>
      </c>
      <c r="E1" s="171" t="inlineStr">
        <is>
          <t>Dmd &lt;0.06</t>
        </is>
      </c>
      <c r="F1" s="171" t="inlineStr">
        <is>
          <t>Dmd &lt; 0.12</t>
        </is>
      </c>
      <c r="G1" s="171" t="inlineStr">
        <is>
          <t>Dmd &lt;0.17</t>
        </is>
      </c>
      <c r="H1" s="171" t="inlineStr">
        <is>
          <t>Dmd Big</t>
        </is>
      </c>
      <c r="I1" s="171" t="inlineStr">
        <is>
          <t>Ruby</t>
        </is>
      </c>
      <c r="J1" s="171" t="inlineStr">
        <is>
          <t>Emreld</t>
        </is>
      </c>
      <c r="K1" s="171" t="inlineStr">
        <is>
          <t>Muga</t>
        </is>
      </c>
      <c r="L1" s="171" t="inlineStr">
        <is>
          <t>Dmd Price</t>
        </is>
      </c>
      <c r="M1" s="171" t="inlineStr">
        <is>
          <t>Dmd Price</t>
        </is>
      </c>
      <c r="N1" s="171" t="inlineStr">
        <is>
          <t>Dmd Price</t>
        </is>
      </c>
      <c r="O1" s="171" t="inlineStr">
        <is>
          <t>Dmd Price</t>
        </is>
      </c>
      <c r="P1" s="171" t="inlineStr">
        <is>
          <t>Stn Price</t>
        </is>
      </c>
      <c r="Q1" s="172" t="inlineStr">
        <is>
          <t>Gold Price</t>
        </is>
      </c>
      <c r="R1" s="171" t="inlineStr">
        <is>
          <t>Ttl dmd Price</t>
        </is>
      </c>
      <c r="S1" s="172" t="inlineStr">
        <is>
          <t>Total Price</t>
        </is>
      </c>
      <c r="T1" s="171" t="inlineStr">
        <is>
          <t>Disocunt Price</t>
        </is>
      </c>
      <c r="U1" s="188" t="n">
        <v>35</v>
      </c>
      <c r="V1" s="188" t="inlineStr">
        <is>
          <t>Cost</t>
        </is>
      </c>
      <c r="W1" s="90" t="n"/>
      <c r="X1" s="90" t="n"/>
      <c r="Y1" s="90" t="n"/>
      <c r="Z1" s="90" t="n"/>
    </row>
    <row r="2" ht="15" customHeight="1" s="220">
      <c r="A2" s="115" t="inlineStr">
        <is>
          <t>LT420</t>
        </is>
      </c>
      <c r="B2" s="115" t="n">
        <v>3.672</v>
      </c>
      <c r="C2" s="115">
        <f>B2*(25/100)</f>
        <v/>
      </c>
      <c r="D2" s="115">
        <f>C2+B2</f>
        <v/>
      </c>
      <c r="E2" s="115" t="n">
        <v>0.44</v>
      </c>
      <c r="F2" s="115" t="n"/>
      <c r="G2" s="115" t="n"/>
      <c r="H2" s="115" t="n"/>
      <c r="I2" s="115" t="n"/>
      <c r="J2" s="115" t="n"/>
      <c r="K2" s="115" t="n"/>
      <c r="L2" s="212">
        <f>E2*Prices!B$2</f>
        <v/>
      </c>
      <c r="M2" s="212">
        <f>F2*Prices!C$2</f>
        <v/>
      </c>
      <c r="N2" s="212">
        <f>G2*Prices!D$2</f>
        <v/>
      </c>
      <c r="O2" s="212">
        <f>H2*Prices!E$2</f>
        <v/>
      </c>
      <c r="P2" s="212">
        <f>I2*5000+J2*8000+K2*1800</f>
        <v/>
      </c>
      <c r="Q2" s="212">
        <f>D2*Prices!$A$2</f>
        <v/>
      </c>
      <c r="R2" s="212">
        <f>L2+M2+N2+O2</f>
        <v/>
      </c>
      <c r="S2" s="212">
        <f>R2+Q2+P2</f>
        <v/>
      </c>
      <c r="T2" s="212">
        <f>P2+Q2+(R2-(R2*($U$1/100)))</f>
        <v/>
      </c>
      <c r="U2" s="212">
        <f>S2-T2</f>
        <v/>
      </c>
      <c r="V2" s="213">
        <f>((D2*0.6)/11.664)*Prices!$A$4+E2*38000+F2*51900+G2*60900</f>
        <v/>
      </c>
      <c r="W2" s="115" t="n"/>
      <c r="X2" s="115" t="n"/>
      <c r="Y2" s="115" t="n"/>
      <c r="Z2" s="115" t="n"/>
    </row>
    <row r="3" ht="15" customHeight="1" s="220">
      <c r="A3" s="115" t="inlineStr">
        <is>
          <t>ER819</t>
        </is>
      </c>
      <c r="B3" s="115" t="n">
        <v>3.876</v>
      </c>
      <c r="C3" s="115">
        <f>B3*(25/100)</f>
        <v/>
      </c>
      <c r="D3" s="115">
        <f>C3+B3</f>
        <v/>
      </c>
      <c r="E3" s="115" t="n">
        <v>0.42</v>
      </c>
      <c r="F3" s="115" t="n"/>
      <c r="G3" s="115" t="n"/>
      <c r="H3" s="115" t="n"/>
      <c r="I3" s="115" t="n"/>
      <c r="J3" s="115" t="n"/>
      <c r="K3" s="115" t="n"/>
      <c r="L3" s="212">
        <f>E3*Prices!B$2</f>
        <v/>
      </c>
      <c r="M3" s="212">
        <f>F3*Prices!C$2</f>
        <v/>
      </c>
      <c r="N3" s="212">
        <f>G3*Prices!D$2</f>
        <v/>
      </c>
      <c r="O3" s="212">
        <f>H3*Prices!E$2</f>
        <v/>
      </c>
      <c r="P3" s="212">
        <f>I3*5000+J3*8000+K3*1800</f>
        <v/>
      </c>
      <c r="Q3" s="212">
        <f>D3*Prices!$A$2</f>
        <v/>
      </c>
      <c r="R3" s="212">
        <f>L3+M3+N3+O3</f>
        <v/>
      </c>
      <c r="S3" s="212">
        <f>R3+Q3+P3</f>
        <v/>
      </c>
      <c r="T3" s="212">
        <f>P3+Q3+(R3-(R3*($U$1/100)))</f>
        <v/>
      </c>
      <c r="U3" s="212">
        <f>S3-T3</f>
        <v/>
      </c>
      <c r="V3" s="213">
        <f>((D3*0.6)/11.664)*Prices!$A$4+E3*38000+F3*51900+G3*60900</f>
        <v/>
      </c>
      <c r="W3" s="115" t="n"/>
      <c r="X3" s="115" t="n"/>
      <c r="Y3" s="115" t="n"/>
      <c r="Z3" s="115" t="n"/>
    </row>
    <row r="4" ht="15" customHeight="1" s="220">
      <c r="A4" s="115" t="inlineStr">
        <is>
          <t>ER122</t>
        </is>
      </c>
      <c r="B4" s="115" t="n">
        <v>3.145</v>
      </c>
      <c r="C4" s="115">
        <f>B4*(25/100)</f>
        <v/>
      </c>
      <c r="D4" s="115">
        <f>C4+B4</f>
        <v/>
      </c>
      <c r="E4" s="115" t="n">
        <v>1.05</v>
      </c>
      <c r="F4" s="115" t="n"/>
      <c r="G4" s="115" t="n"/>
      <c r="H4" s="115" t="n"/>
      <c r="I4" s="115" t="n"/>
      <c r="J4" s="115" t="n"/>
      <c r="K4" s="115" t="n"/>
      <c r="L4" s="212">
        <f>E4*Prices!B$2</f>
        <v/>
      </c>
      <c r="M4" s="212">
        <f>F4*Prices!C$2</f>
        <v/>
      </c>
      <c r="N4" s="212">
        <f>G4*Prices!D$2</f>
        <v/>
      </c>
      <c r="O4" s="212">
        <f>H4*Prices!E$2</f>
        <v/>
      </c>
      <c r="P4" s="212">
        <f>I4*5000+J4*8000+K4*1800</f>
        <v/>
      </c>
      <c r="Q4" s="212">
        <f>D4*Prices!$A$2</f>
        <v/>
      </c>
      <c r="R4" s="212">
        <f>L4+M4+N4+O4</f>
        <v/>
      </c>
      <c r="S4" s="212">
        <f>R4+Q4+P4</f>
        <v/>
      </c>
      <c r="T4" s="212">
        <f>P4+Q4+(R4-(R4*($U$1/100)))</f>
        <v/>
      </c>
      <c r="U4" s="212">
        <f>S4-T4</f>
        <v/>
      </c>
      <c r="V4" s="213">
        <f>((D4*0.6)/11.664)*Prices!$A$4+E4*38000+F4*51900+G4*60900</f>
        <v/>
      </c>
      <c r="W4" s="115" t="n"/>
      <c r="X4" s="115" t="n"/>
      <c r="Y4" s="115" t="n"/>
      <c r="Z4" s="115" t="n"/>
    </row>
    <row r="5" ht="15" customHeight="1" s="220">
      <c r="A5" s="115" t="inlineStr">
        <is>
          <t>LT122</t>
        </is>
      </c>
      <c r="B5" s="115" t="n">
        <v>5.131</v>
      </c>
      <c r="C5" s="115">
        <f>B5*(25/100)</f>
        <v/>
      </c>
      <c r="D5" s="115">
        <f>C5+B5</f>
        <v/>
      </c>
      <c r="E5" s="115" t="n">
        <v>1.83</v>
      </c>
      <c r="F5" s="115" t="n"/>
      <c r="G5" s="115" t="n"/>
      <c r="H5" s="115" t="n"/>
      <c r="I5" s="115" t="n"/>
      <c r="J5" s="115" t="n"/>
      <c r="K5" s="115" t="n"/>
      <c r="L5" s="212">
        <f>E5*Prices!B$2</f>
        <v/>
      </c>
      <c r="M5" s="212">
        <f>F5*Prices!C$2</f>
        <v/>
      </c>
      <c r="N5" s="212">
        <f>G5*Prices!D$2</f>
        <v/>
      </c>
      <c r="O5" s="212">
        <f>H5*Prices!E$2</f>
        <v/>
      </c>
      <c r="P5" s="212">
        <f>I5*5000+J5*8000+K5*1800</f>
        <v/>
      </c>
      <c r="Q5" s="212">
        <f>D5*Prices!$A$2</f>
        <v/>
      </c>
      <c r="R5" s="212">
        <f>L5+M5+N5+O5</f>
        <v/>
      </c>
      <c r="S5" s="212">
        <f>R5+Q5+P5</f>
        <v/>
      </c>
      <c r="T5" s="212">
        <f>P5+Q5+(R5-(R5*($U$1/100)))</f>
        <v/>
      </c>
      <c r="U5" s="212">
        <f>S5-T5</f>
        <v/>
      </c>
      <c r="V5" s="213">
        <f>((D5*0.6)/11.664)*Prices!$A$4+E5*38000+F5*51900+G5*60900</f>
        <v/>
      </c>
      <c r="W5" s="115" t="n"/>
      <c r="X5" s="115" t="n"/>
      <c r="Y5" s="115" t="n"/>
      <c r="Z5" s="115" t="n"/>
    </row>
    <row r="6" ht="15" customHeight="1" s="220">
      <c r="A6" s="115" t="inlineStr">
        <is>
          <t>LT66</t>
        </is>
      </c>
      <c r="B6" s="115" t="n">
        <v>6.37</v>
      </c>
      <c r="C6" s="115">
        <f>B6*(25/100)</f>
        <v/>
      </c>
      <c r="D6" s="115">
        <f>C6+B6</f>
        <v/>
      </c>
      <c r="E6" s="115">
        <f>1.21+0.47</f>
        <v/>
      </c>
      <c r="F6" s="115" t="n"/>
      <c r="G6" s="115" t="n"/>
      <c r="H6" s="115" t="n"/>
      <c r="I6" s="115" t="n"/>
      <c r="J6" s="115" t="n"/>
      <c r="K6" s="115" t="n"/>
      <c r="L6" s="212">
        <f>E6*Prices!B$2</f>
        <v/>
      </c>
      <c r="M6" s="212">
        <f>F6*Prices!C$2</f>
        <v/>
      </c>
      <c r="N6" s="212">
        <f>G6*Prices!D$2</f>
        <v/>
      </c>
      <c r="O6" s="212">
        <f>H6*Prices!E$2</f>
        <v/>
      </c>
      <c r="P6" s="212">
        <f>I6*5000+J6*8000+K6*1800</f>
        <v/>
      </c>
      <c r="Q6" s="212">
        <f>D6*Prices!$A$2</f>
        <v/>
      </c>
      <c r="R6" s="212">
        <f>L6+M6+N6+O6</f>
        <v/>
      </c>
      <c r="S6" s="212">
        <f>R6+Q6+P6</f>
        <v/>
      </c>
      <c r="T6" s="212">
        <f>P6+Q6+(R6-(R6*($U$1/100)))</f>
        <v/>
      </c>
      <c r="U6" s="212">
        <f>S6-T6</f>
        <v/>
      </c>
      <c r="V6" s="213">
        <f>((D6*0.6)/11.664)*Prices!$A$4+E6*38000+F6*51900+G6*60900</f>
        <v/>
      </c>
      <c r="W6" s="115" t="n"/>
      <c r="X6" s="115" t="n"/>
      <c r="Y6" s="115" t="n"/>
      <c r="Z6" s="115" t="n"/>
    </row>
    <row r="7" ht="15" customHeight="1" s="220">
      <c r="A7" s="115" t="inlineStr">
        <is>
          <t>ER66</t>
        </is>
      </c>
      <c r="B7" s="115" t="n">
        <v>6.65</v>
      </c>
      <c r="C7" s="115">
        <f>B7*(25/100)</f>
        <v/>
      </c>
      <c r="D7" s="115">
        <f>C7+B7</f>
        <v/>
      </c>
      <c r="E7" s="115">
        <f>0.86+0.51</f>
        <v/>
      </c>
      <c r="F7" s="115" t="n"/>
      <c r="G7" s="115" t="n"/>
      <c r="H7" s="115" t="n"/>
      <c r="I7" s="115" t="n"/>
      <c r="J7" s="115" t="n"/>
      <c r="K7" s="115" t="n"/>
      <c r="L7" s="212">
        <f>E7*Prices!B$2</f>
        <v/>
      </c>
      <c r="M7" s="212">
        <f>F7*Prices!C$2</f>
        <v/>
      </c>
      <c r="N7" s="212">
        <f>G7*Prices!D$2</f>
        <v/>
      </c>
      <c r="O7" s="212">
        <f>H7*Prices!E$2</f>
        <v/>
      </c>
      <c r="P7" s="212">
        <f>I7*5000+J7*8000+K7*1800</f>
        <v/>
      </c>
      <c r="Q7" s="212">
        <f>D7*Prices!$A$2</f>
        <v/>
      </c>
      <c r="R7" s="212">
        <f>L7+M7+N7+O7</f>
        <v/>
      </c>
      <c r="S7" s="212">
        <f>R7+Q7+P7</f>
        <v/>
      </c>
      <c r="T7" s="212">
        <f>P7+Q7+(R7-(R7*($U$1/100)))</f>
        <v/>
      </c>
      <c r="U7" s="212">
        <f>S7-T7</f>
        <v/>
      </c>
      <c r="V7" s="213">
        <f>((D7*0.6)/11.664)*Prices!$A$4+E7*38000+F7*51900+G7*60900</f>
        <v/>
      </c>
      <c r="W7" s="115" t="n"/>
      <c r="X7" s="115" t="n"/>
      <c r="Y7" s="115" t="n"/>
      <c r="Z7" s="115" t="n"/>
    </row>
    <row r="8" ht="15" customHeight="1" s="220">
      <c r="A8" s="115" t="inlineStr">
        <is>
          <t>LT130</t>
        </is>
      </c>
      <c r="B8" s="115" t="n">
        <v>4.93</v>
      </c>
      <c r="C8" s="115">
        <f>B8*(25/100)</f>
        <v/>
      </c>
      <c r="D8" s="115">
        <f>C8+B8</f>
        <v/>
      </c>
      <c r="E8" s="115" t="n">
        <v>1.85</v>
      </c>
      <c r="F8" s="115" t="n"/>
      <c r="G8" s="115" t="n"/>
      <c r="H8" s="115" t="n"/>
      <c r="I8" s="115" t="n"/>
      <c r="J8" s="115" t="n"/>
      <c r="K8" s="115" t="n"/>
      <c r="L8" s="212">
        <f>E8*Prices!B$2</f>
        <v/>
      </c>
      <c r="M8" s="212">
        <f>F8*Prices!C$2</f>
        <v/>
      </c>
      <c r="N8" s="212">
        <f>G8*Prices!D$2</f>
        <v/>
      </c>
      <c r="O8" s="212">
        <f>H8*Prices!E$2</f>
        <v/>
      </c>
      <c r="P8" s="212">
        <f>I8*5000+J8*8000+K8*1800</f>
        <v/>
      </c>
      <c r="Q8" s="212">
        <f>D8*Prices!$A$2</f>
        <v/>
      </c>
      <c r="R8" s="212">
        <f>L8+M8+N8+O8</f>
        <v/>
      </c>
      <c r="S8" s="212">
        <f>R8+Q8+P8</f>
        <v/>
      </c>
      <c r="T8" s="212">
        <f>P8+Q8+(R8-(R8*($U$1/100)))</f>
        <v/>
      </c>
      <c r="U8" s="212">
        <f>S8-T8</f>
        <v/>
      </c>
      <c r="V8" s="213">
        <f>((D8*0.6)/11.664)*Prices!$A$4+E8*38000+F8*51900+G8*60900</f>
        <v/>
      </c>
      <c r="W8" s="115" t="n"/>
      <c r="X8" s="115" t="n"/>
      <c r="Y8" s="115" t="n"/>
      <c r="Z8" s="115" t="n"/>
    </row>
    <row r="9" ht="15" customHeight="1" s="220">
      <c r="A9" s="115" t="inlineStr">
        <is>
          <t>ER130</t>
        </is>
      </c>
      <c r="B9" s="115" t="n">
        <v>4.224</v>
      </c>
      <c r="C9" s="115">
        <f>B9*(25/100)</f>
        <v/>
      </c>
      <c r="D9" s="115">
        <f>C9+B9</f>
        <v/>
      </c>
      <c r="E9" s="115" t="n">
        <v>0.88</v>
      </c>
      <c r="F9" s="115" t="n"/>
      <c r="G9" s="115" t="n"/>
      <c r="H9" s="115" t="n"/>
      <c r="I9" s="115" t="n"/>
      <c r="J9" s="115" t="n"/>
      <c r="K9" s="115" t="n"/>
      <c r="L9" s="212">
        <f>E9*Prices!B$2</f>
        <v/>
      </c>
      <c r="M9" s="212">
        <f>F9*Prices!C$2</f>
        <v/>
      </c>
      <c r="N9" s="212">
        <f>G9*Prices!D$2</f>
        <v/>
      </c>
      <c r="O9" s="212">
        <f>H9*Prices!E$2</f>
        <v/>
      </c>
      <c r="P9" s="212">
        <f>I9*5000+J9*8000+K9*1800</f>
        <v/>
      </c>
      <c r="Q9" s="212">
        <f>D9*Prices!$A$2</f>
        <v/>
      </c>
      <c r="R9" s="212">
        <f>L9+M9+N9+O9</f>
        <v/>
      </c>
      <c r="S9" s="212">
        <f>R9+Q9+P9</f>
        <v/>
      </c>
      <c r="T9" s="212">
        <f>P9+Q9+(R9-(R9*($U$1/100)))</f>
        <v/>
      </c>
      <c r="U9" s="212">
        <f>S9-T9</f>
        <v/>
      </c>
      <c r="V9" s="213">
        <f>((D9*0.6)/11.664)*Prices!$A$4+E9*38000+F9*51900+G9*60900</f>
        <v/>
      </c>
      <c r="W9" s="115" t="n"/>
      <c r="X9" s="115" t="n"/>
      <c r="Y9" s="115" t="n"/>
      <c r="Z9" s="115" t="n"/>
    </row>
    <row r="10" ht="15" customHeight="1" s="220">
      <c r="A10" s="115" t="inlineStr">
        <is>
          <t>LT174</t>
        </is>
      </c>
      <c r="B10" s="115" t="n">
        <v>5.12</v>
      </c>
      <c r="C10" s="115">
        <f>B10*(25/100)</f>
        <v/>
      </c>
      <c r="D10" s="115">
        <f>C10+B10</f>
        <v/>
      </c>
      <c r="E10" s="115">
        <f>0.9+0.32</f>
        <v/>
      </c>
      <c r="F10" s="115" t="n"/>
      <c r="G10" s="115" t="n"/>
      <c r="H10" s="115" t="n"/>
      <c r="I10" s="115" t="n"/>
      <c r="J10" s="115" t="n"/>
      <c r="K10" s="115" t="n"/>
      <c r="L10" s="212">
        <f>E10*Prices!B$2</f>
        <v/>
      </c>
      <c r="M10" s="212">
        <f>F10*Prices!C$2</f>
        <v/>
      </c>
      <c r="N10" s="212">
        <f>G10*Prices!D$2</f>
        <v/>
      </c>
      <c r="O10" s="212">
        <f>H10*Prices!E$2</f>
        <v/>
      </c>
      <c r="P10" s="212">
        <f>I10*5000+J10*8000+K10*1800</f>
        <v/>
      </c>
      <c r="Q10" s="212">
        <f>D10*Prices!$A$2</f>
        <v/>
      </c>
      <c r="R10" s="212">
        <f>L10+M10+N10+O10</f>
        <v/>
      </c>
      <c r="S10" s="212">
        <f>R10+Q10+P10</f>
        <v/>
      </c>
      <c r="T10" s="212">
        <f>P10+Q10+(R10-(R10*($U$1/100)))</f>
        <v/>
      </c>
      <c r="U10" s="212">
        <f>S10-T10</f>
        <v/>
      </c>
      <c r="V10" s="213">
        <f>((D10*0.6)/11.664)*Prices!$A$4+E10*38000+F10*51900+G10*60900</f>
        <v/>
      </c>
      <c r="W10" s="115" t="n"/>
      <c r="X10" s="115" t="n"/>
      <c r="Y10" s="115" t="n"/>
      <c r="Z10" s="115" t="n"/>
    </row>
    <row r="11" ht="15" customHeight="1" s="220">
      <c r="A11" s="115" t="inlineStr">
        <is>
          <t>ER174</t>
        </is>
      </c>
      <c r="B11" s="115" t="n">
        <v>5.332</v>
      </c>
      <c r="C11" s="115">
        <f>B11*(25/100)</f>
        <v/>
      </c>
      <c r="D11" s="115">
        <f>C11+B11</f>
        <v/>
      </c>
      <c r="E11" s="115">
        <f>0.96+0.38</f>
        <v/>
      </c>
      <c r="F11" s="115" t="n"/>
      <c r="G11" s="115" t="n"/>
      <c r="H11" s="115" t="n"/>
      <c r="I11" s="115" t="n"/>
      <c r="J11" s="115" t="n"/>
      <c r="K11" s="115" t="n"/>
      <c r="L11" s="212">
        <f>E11*Prices!B$2</f>
        <v/>
      </c>
      <c r="M11" s="212">
        <f>F11*Prices!C$2</f>
        <v/>
      </c>
      <c r="N11" s="212">
        <f>G11*Prices!D$2</f>
        <v/>
      </c>
      <c r="O11" s="212">
        <f>H11*Prices!E$2</f>
        <v/>
      </c>
      <c r="P11" s="212">
        <f>I11*5000+J11*8000+K11*1800</f>
        <v/>
      </c>
      <c r="Q11" s="212">
        <f>D11*Prices!$A$2</f>
        <v/>
      </c>
      <c r="R11" s="212">
        <f>L11+M11+N11+O11</f>
        <v/>
      </c>
      <c r="S11" s="212">
        <f>R11+Q11+P11</f>
        <v/>
      </c>
      <c r="T11" s="212">
        <f>P11+Q11+(R11-(R11*($U$1/100)))</f>
        <v/>
      </c>
      <c r="U11" s="212">
        <f>S11-T11</f>
        <v/>
      </c>
      <c r="V11" s="213">
        <f>((D11*0.6)/11.664)*Prices!$A$4+E11*38000+F11*51900+G11*60900</f>
        <v/>
      </c>
      <c r="W11" s="115" t="n"/>
      <c r="X11" s="115" t="n"/>
      <c r="Y11" s="115" t="n"/>
      <c r="Z11" s="115" t="n"/>
    </row>
    <row r="12" ht="15" customHeight="1" s="220">
      <c r="A12" s="115" t="inlineStr">
        <is>
          <t>LT110</t>
        </is>
      </c>
      <c r="B12" s="115" t="n">
        <v>2.64</v>
      </c>
      <c r="C12" s="115">
        <f>B12*(25/100)</f>
        <v/>
      </c>
      <c r="D12" s="115">
        <f>C12+B12</f>
        <v/>
      </c>
      <c r="E12" s="115" t="n">
        <v>0.7</v>
      </c>
      <c r="F12" s="115" t="n"/>
      <c r="G12" s="115" t="n"/>
      <c r="H12" s="115" t="n"/>
      <c r="I12" s="115" t="n"/>
      <c r="J12" s="115" t="n"/>
      <c r="K12" s="115" t="n"/>
      <c r="L12" s="212">
        <f>E12*Prices!B$2</f>
        <v/>
      </c>
      <c r="M12" s="212">
        <f>F12*Prices!C$2</f>
        <v/>
      </c>
      <c r="N12" s="212">
        <f>G12*Prices!D$2</f>
        <v/>
      </c>
      <c r="O12" s="212">
        <f>H12*Prices!E$2</f>
        <v/>
      </c>
      <c r="P12" s="212">
        <f>I12*5000+J12*8000+K12*1800</f>
        <v/>
      </c>
      <c r="Q12" s="212">
        <f>D12*Prices!$A$2</f>
        <v/>
      </c>
      <c r="R12" s="212">
        <f>L12+M12+N12+O12</f>
        <v/>
      </c>
      <c r="S12" s="212">
        <f>R12+Q12+P12</f>
        <v/>
      </c>
      <c r="T12" s="212">
        <f>P12+Q12+(R12-(R12*($U$1/100)))</f>
        <v/>
      </c>
      <c r="U12" s="212">
        <f>S12-T12</f>
        <v/>
      </c>
      <c r="V12" s="213">
        <f>((D12*0.6)/11.664)*Prices!$A$4+E12*38000+F12*51900+G12*60900</f>
        <v/>
      </c>
      <c r="W12" s="115" t="n"/>
      <c r="X12" s="115" t="n"/>
      <c r="Y12" s="115" t="n"/>
      <c r="Z12" s="115" t="n"/>
    </row>
    <row r="13" ht="15" customHeight="1" s="220">
      <c r="A13" s="115" t="inlineStr">
        <is>
          <t>ER110</t>
        </is>
      </c>
      <c r="B13" s="115" t="n">
        <v>2.68</v>
      </c>
      <c r="C13" s="115">
        <f>B13*(25/100)</f>
        <v/>
      </c>
      <c r="D13" s="115">
        <f>C13+B13</f>
        <v/>
      </c>
      <c r="E13" s="115" t="n">
        <v>0.68</v>
      </c>
      <c r="F13" s="115" t="n"/>
      <c r="G13" s="115" t="n"/>
      <c r="H13" s="115" t="n"/>
      <c r="I13" s="115" t="n"/>
      <c r="J13" s="115" t="n"/>
      <c r="K13" s="115" t="n"/>
      <c r="L13" s="212">
        <f>E13*Prices!B$2</f>
        <v/>
      </c>
      <c r="M13" s="212">
        <f>F13*Prices!C$2</f>
        <v/>
      </c>
      <c r="N13" s="212">
        <f>G13*Prices!D$2</f>
        <v/>
      </c>
      <c r="O13" s="212">
        <f>H13*Prices!E$2</f>
        <v/>
      </c>
      <c r="P13" s="212">
        <f>I13*5000+J13*8000+K13*1800</f>
        <v/>
      </c>
      <c r="Q13" s="212">
        <f>D13*Prices!$A$2</f>
        <v/>
      </c>
      <c r="R13" s="212">
        <f>L13+M13+N13+O13</f>
        <v/>
      </c>
      <c r="S13" s="212">
        <f>R13+Q13+P13</f>
        <v/>
      </c>
      <c r="T13" s="212">
        <f>P13+Q13+(R13-(R13*($U$1/100)))</f>
        <v/>
      </c>
      <c r="U13" s="212">
        <f>S13-T13</f>
        <v/>
      </c>
      <c r="V13" s="213">
        <f>((D13*0.6)/11.664)*Prices!$A$4+E13*38000+F13*51900+G13*60900</f>
        <v/>
      </c>
      <c r="W13" s="115" t="n"/>
      <c r="X13" s="115" t="n"/>
      <c r="Y13" s="115" t="n"/>
      <c r="Z13" s="115" t="n"/>
    </row>
    <row r="14" ht="15" customHeight="1" s="220">
      <c r="A14" s="26" t="inlineStr">
        <is>
          <t>RG120</t>
        </is>
      </c>
      <c r="B14" s="26" t="n">
        <v>7.79</v>
      </c>
      <c r="C14" s="26">
        <f>B14*(25/100)</f>
        <v/>
      </c>
      <c r="D14" s="26">
        <f>C14+B14</f>
        <v/>
      </c>
      <c r="E14" s="26" t="n">
        <v>1.61</v>
      </c>
      <c r="F14" s="26" t="n"/>
      <c r="G14" s="26" t="n"/>
      <c r="H14" s="26" t="n"/>
      <c r="I14" s="26" t="n"/>
      <c r="J14" s="26" t="n">
        <v>3.43</v>
      </c>
      <c r="K14" s="115" t="n"/>
      <c r="L14" s="212">
        <f>E14*Prices!B$2</f>
        <v/>
      </c>
      <c r="M14" s="212">
        <f>F14*Prices!C$2</f>
        <v/>
      </c>
      <c r="N14" s="212">
        <f>G14*Prices!D$2</f>
        <v/>
      </c>
      <c r="O14" s="212">
        <f>H14*Prices!E$2</f>
        <v/>
      </c>
      <c r="P14" s="212">
        <f>I14*5000+J14*15000+K14*1800</f>
        <v/>
      </c>
      <c r="Q14" s="212">
        <f>D14*Prices!$A$2</f>
        <v/>
      </c>
      <c r="R14" s="212">
        <f>L14+M14+N14+O14</f>
        <v/>
      </c>
      <c r="S14" s="212">
        <f>R14+Q14+P14</f>
        <v/>
      </c>
      <c r="T14" s="212">
        <f>P14+Q14+(R14-(R14*($U$1/100)))</f>
        <v/>
      </c>
      <c r="U14" s="212">
        <f>S14-T14</f>
        <v/>
      </c>
      <c r="V14" s="213">
        <f>((D14*0.6)/11.664)*Prices!$A$4+E14*38000+F14*51900+G14*60900</f>
        <v/>
      </c>
      <c r="W14" s="115" t="n"/>
      <c r="X14" s="115" t="n"/>
      <c r="Y14" s="115" t="n"/>
      <c r="Z14" s="115" t="n"/>
    </row>
    <row r="15" ht="15" customHeight="1" s="220">
      <c r="A15" s="26" t="inlineStr">
        <is>
          <t>RG66</t>
        </is>
      </c>
      <c r="B15" s="26" t="n">
        <v>10.166</v>
      </c>
      <c r="C15" s="26">
        <f>B15*(25/100)</f>
        <v/>
      </c>
      <c r="D15" s="26">
        <f>C15+B15</f>
        <v/>
      </c>
      <c r="E15" s="26">
        <f>1.5+0.24</f>
        <v/>
      </c>
      <c r="F15" s="26" t="n"/>
      <c r="G15" s="26" t="n"/>
      <c r="H15" s="26" t="n"/>
      <c r="I15" s="26" t="n"/>
      <c r="J15" s="26" t="n">
        <v>2</v>
      </c>
      <c r="K15" s="115" t="n"/>
      <c r="L15" s="212">
        <f>E15*Prices!B$2</f>
        <v/>
      </c>
      <c r="M15" s="212">
        <f>F15*Prices!C$2</f>
        <v/>
      </c>
      <c r="N15" s="212">
        <f>G15*Prices!D$2</f>
        <v/>
      </c>
      <c r="O15" s="212">
        <f>H15*Prices!E$2</f>
        <v/>
      </c>
      <c r="P15" s="212">
        <f>I15*5000+J15*15000+K15*1800</f>
        <v/>
      </c>
      <c r="Q15" s="212">
        <f>D15*Prices!$A$2</f>
        <v/>
      </c>
      <c r="R15" s="212">
        <f>L15+M15+N15+O15</f>
        <v/>
      </c>
      <c r="S15" s="212">
        <f>R15+Q15+P15</f>
        <v/>
      </c>
      <c r="T15" s="212">
        <f>P15+Q15+(R15-(R15*($U$1/100)))</f>
        <v/>
      </c>
      <c r="U15" s="212">
        <f>S15-T15</f>
        <v/>
      </c>
      <c r="V15" s="213">
        <f>((D15*0.6)/11.664)*Prices!$A$4+E15*38000+F15*51900+G15*60900</f>
        <v/>
      </c>
      <c r="W15" s="115" t="n"/>
      <c r="X15" s="115" t="n"/>
      <c r="Y15" s="115" t="n"/>
      <c r="Z15" s="115" t="n"/>
    </row>
    <row r="16" ht="15" customHeight="1" s="220">
      <c r="A16" s="26" t="inlineStr">
        <is>
          <t>RG738</t>
        </is>
      </c>
      <c r="B16" s="26" t="n">
        <v>8.188000000000001</v>
      </c>
      <c r="C16" s="26">
        <f>B16*(25/100)</f>
        <v/>
      </c>
      <c r="D16" s="26">
        <f>C16+B16</f>
        <v/>
      </c>
      <c r="E16" s="26" t="n">
        <v>1.72</v>
      </c>
      <c r="F16" s="26" t="n"/>
      <c r="G16" s="26" t="n"/>
      <c r="H16" s="26" t="n"/>
      <c r="I16" s="26" t="n"/>
      <c r="J16" s="26" t="n">
        <v>4.84</v>
      </c>
      <c r="K16" s="115" t="n"/>
      <c r="L16" s="212">
        <f>E16*Prices!B$2</f>
        <v/>
      </c>
      <c r="M16" s="212">
        <f>F16*Prices!C$2</f>
        <v/>
      </c>
      <c r="N16" s="212">
        <f>G16*Prices!D$2</f>
        <v/>
      </c>
      <c r="O16" s="212">
        <f>H16*Prices!E$2</f>
        <v/>
      </c>
      <c r="P16" s="212">
        <f>I16*5000+J16*15000+K16*1800</f>
        <v/>
      </c>
      <c r="Q16" s="212">
        <f>D16*Prices!$A$2</f>
        <v/>
      </c>
      <c r="R16" s="212">
        <f>L16+M16+N16+O16</f>
        <v/>
      </c>
      <c r="S16" s="212">
        <f>R16+Q16+P16</f>
        <v/>
      </c>
      <c r="T16" s="212">
        <f>P16+Q16+(R16-(R16*($U$1/100)))</f>
        <v/>
      </c>
      <c r="U16" s="212">
        <f>S16-T16</f>
        <v/>
      </c>
      <c r="V16" s="213">
        <f>((D16*0.6)/11.664)*Prices!$A$4+E16*38000+F16*51900+G16*60900</f>
        <v/>
      </c>
      <c r="W16" s="115" t="n"/>
      <c r="X16" s="115" t="n"/>
      <c r="Y16" s="115" t="n"/>
      <c r="Z16" s="115" t="n"/>
    </row>
    <row r="17" ht="15" customHeight="1" s="220">
      <c r="A17" s="26" t="inlineStr">
        <is>
          <t>RG1017</t>
        </is>
      </c>
      <c r="B17" s="26" t="n">
        <v>8.048</v>
      </c>
      <c r="C17" s="26">
        <f>B17*(25/100)</f>
        <v/>
      </c>
      <c r="D17" s="26">
        <f>C17+B17</f>
        <v/>
      </c>
      <c r="E17" s="26">
        <f>0.37</f>
        <v/>
      </c>
      <c r="F17" s="26" t="n">
        <v>0.96</v>
      </c>
      <c r="G17" s="26" t="n"/>
      <c r="H17" s="26" t="n">
        <v>0.59</v>
      </c>
      <c r="I17" s="26" t="n"/>
      <c r="J17" s="26" t="n">
        <v>4.84</v>
      </c>
      <c r="K17" s="115" t="n"/>
      <c r="L17" s="212">
        <f>E17*Prices!B$2</f>
        <v/>
      </c>
      <c r="M17" s="212">
        <f>F17*Prices!C$2</f>
        <v/>
      </c>
      <c r="N17" s="212">
        <f>G17*Prices!D$2</f>
        <v/>
      </c>
      <c r="O17" s="212">
        <f>H17*Prices!E$2</f>
        <v/>
      </c>
      <c r="P17" s="212">
        <f>I17*5000+J17*15000+K17*1800</f>
        <v/>
      </c>
      <c r="Q17" s="212">
        <f>D17*Prices!$A$2</f>
        <v/>
      </c>
      <c r="R17" s="212">
        <f>L17+M17+N17+O17</f>
        <v/>
      </c>
      <c r="S17" s="212">
        <f>R17+Q17+P17</f>
        <v/>
      </c>
      <c r="T17" s="212">
        <f>P17+Q17+(R17-(R17*($U$1/100)))</f>
        <v/>
      </c>
      <c r="U17" s="212">
        <f>S17-T17</f>
        <v/>
      </c>
      <c r="V17" s="213">
        <f>((D17*0.6)/11.664)*Prices!$A$4+E17*38000+F17*51900+G17*60900</f>
        <v/>
      </c>
      <c r="W17" s="115" t="n"/>
      <c r="X17" s="115" t="n"/>
      <c r="Y17" s="115" t="n"/>
      <c r="Z17" s="115" t="n"/>
    </row>
    <row r="18" ht="15" customHeight="1" s="220">
      <c r="A18" s="115" t="inlineStr">
        <is>
          <t>BS453</t>
        </is>
      </c>
      <c r="B18" s="115" t="n">
        <v>10.772</v>
      </c>
      <c r="C18" s="115">
        <f>B18*(25/100)</f>
        <v/>
      </c>
      <c r="D18" s="115">
        <f>C18+B18</f>
        <v/>
      </c>
      <c r="E18" s="115" t="n">
        <v>0.99</v>
      </c>
      <c r="F18" s="115" t="n"/>
      <c r="G18" s="115" t="n"/>
      <c r="H18" s="115" t="n"/>
      <c r="I18" s="115" t="n"/>
      <c r="J18" s="115" t="n"/>
      <c r="K18" s="115" t="n"/>
      <c r="L18" s="212">
        <f>E18*Prices!B$2</f>
        <v/>
      </c>
      <c r="M18" s="212">
        <f>F18*Prices!C$2</f>
        <v/>
      </c>
      <c r="N18" s="212">
        <f>G18*Prices!D$2</f>
        <v/>
      </c>
      <c r="O18" s="212">
        <f>H18*Prices!E$2</f>
        <v/>
      </c>
      <c r="P18" s="212">
        <f>I18*5000+J18*8000+K18*1800</f>
        <v/>
      </c>
      <c r="Q18" s="212">
        <f>D18*Prices!$A$2</f>
        <v/>
      </c>
      <c r="R18" s="212">
        <f>L18+M18+N18+O18</f>
        <v/>
      </c>
      <c r="S18" s="212">
        <f>R18+Q18+P18</f>
        <v/>
      </c>
      <c r="T18" s="212">
        <f>P18+Q18+(R18-(R18*($U$1/100)))</f>
        <v/>
      </c>
      <c r="U18" s="212">
        <f>S18-T18</f>
        <v/>
      </c>
      <c r="V18" s="213">
        <f>((D18*0.6)/11.664)*Prices!$A$4+E18*38000+F18*51900+G18*60900</f>
        <v/>
      </c>
      <c r="W18" s="115" t="n"/>
      <c r="X18" s="115" t="n"/>
      <c r="Y18" s="115" t="n"/>
      <c r="Z18" s="115" t="n"/>
    </row>
    <row r="19" ht="15" customHeight="1" s="220">
      <c r="A19" s="115" t="inlineStr">
        <is>
          <t>BS472</t>
        </is>
      </c>
      <c r="B19" s="115" t="n">
        <v>7.3</v>
      </c>
      <c r="C19" s="115">
        <f>B19*(25/100)</f>
        <v/>
      </c>
      <c r="D19" s="115">
        <f>C19+B19</f>
        <v/>
      </c>
      <c r="E19" s="115" t="n">
        <v>0.5</v>
      </c>
      <c r="F19" s="115" t="n"/>
      <c r="G19" s="115" t="n"/>
      <c r="H19" s="115" t="n"/>
      <c r="I19" s="115" t="n"/>
      <c r="J19" s="115" t="n"/>
      <c r="K19" s="115" t="n"/>
      <c r="L19" s="212">
        <f>E19*Prices!B$2</f>
        <v/>
      </c>
      <c r="M19" s="212">
        <f>F19*Prices!C$2</f>
        <v/>
      </c>
      <c r="N19" s="212">
        <f>G19*Prices!D$2</f>
        <v/>
      </c>
      <c r="O19" s="212">
        <f>H19*Prices!E$2</f>
        <v/>
      </c>
      <c r="P19" s="212">
        <f>I19*5000+J19*8000+K19*1800</f>
        <v/>
      </c>
      <c r="Q19" s="212">
        <f>D19*Prices!$A$2</f>
        <v/>
      </c>
      <c r="R19" s="212">
        <f>L19+M19+N19+O19</f>
        <v/>
      </c>
      <c r="S19" s="212">
        <f>R19+Q19+P19</f>
        <v/>
      </c>
      <c r="T19" s="212">
        <f>P19+Q19+(R19-(R19*($U$1/100)))</f>
        <v/>
      </c>
      <c r="U19" s="212">
        <f>S19-T19</f>
        <v/>
      </c>
      <c r="V19" s="213">
        <f>((D19*0.6)/11.664)*Prices!$A$4+E19*38000+F19*51900+G19*60900</f>
        <v/>
      </c>
      <c r="W19" s="115" t="n"/>
      <c r="X19" s="115" t="n"/>
      <c r="Y19" s="115" t="n"/>
      <c r="Z19" s="115" t="n"/>
    </row>
    <row r="20" ht="15" customHeight="1" s="220">
      <c r="A20" s="115" t="inlineStr">
        <is>
          <t>BS431</t>
        </is>
      </c>
      <c r="B20" s="115" t="n">
        <v>6.216</v>
      </c>
      <c r="C20" s="115">
        <f>B20*(25/100)</f>
        <v/>
      </c>
      <c r="D20" s="115">
        <f>C20+B20</f>
        <v/>
      </c>
      <c r="E20" s="115" t="n">
        <v>0.42</v>
      </c>
      <c r="F20" s="115" t="n"/>
      <c r="G20" s="115" t="n"/>
      <c r="H20" s="115" t="n"/>
      <c r="I20" s="115" t="n"/>
      <c r="J20" s="115" t="n"/>
      <c r="K20" s="115" t="n"/>
      <c r="L20" s="212">
        <f>E20*Prices!B$2</f>
        <v/>
      </c>
      <c r="M20" s="212">
        <f>F20*Prices!C$2</f>
        <v/>
      </c>
      <c r="N20" s="212">
        <f>G20*Prices!D$2</f>
        <v/>
      </c>
      <c r="O20" s="212">
        <f>H20*Prices!E$2</f>
        <v/>
      </c>
      <c r="P20" s="212">
        <f>I20*5000+J20*8000+K20*1800</f>
        <v/>
      </c>
      <c r="Q20" s="212">
        <f>D20*Prices!$A$2</f>
        <v/>
      </c>
      <c r="R20" s="212">
        <f>L20+M20+N20+O20</f>
        <v/>
      </c>
      <c r="S20" s="212">
        <f>R20+Q20+P20</f>
        <v/>
      </c>
      <c r="T20" s="212">
        <f>P20+Q20+(R20-(R20*($U$1/100)))</f>
        <v/>
      </c>
      <c r="U20" s="212">
        <f>S20-T20</f>
        <v/>
      </c>
      <c r="V20" s="213">
        <f>((D20*0.6)/11.664)*Prices!$A$4+E20*38000+F20*51900+G20*60900</f>
        <v/>
      </c>
      <c r="W20" s="115" t="n"/>
      <c r="X20" s="115" t="n"/>
      <c r="Y20" s="115" t="n"/>
      <c r="Z20" s="115" t="n"/>
    </row>
    <row r="21" ht="15" customHeight="1" s="220">
      <c r="A21" s="115" t="inlineStr">
        <is>
          <t>BS372</t>
        </is>
      </c>
      <c r="B21" s="115" t="n">
        <v>7.826</v>
      </c>
      <c r="C21" s="115">
        <f>B21*(25/100)</f>
        <v/>
      </c>
      <c r="D21" s="115">
        <f>C21+B21</f>
        <v/>
      </c>
      <c r="E21" s="115" t="n">
        <v>0.67</v>
      </c>
      <c r="F21" s="115" t="n"/>
      <c r="G21" s="115" t="n"/>
      <c r="H21" s="115" t="n"/>
      <c r="I21" s="115" t="n"/>
      <c r="J21" s="115" t="n"/>
      <c r="K21" s="115" t="n"/>
      <c r="L21" s="212">
        <f>E21*Prices!B$2</f>
        <v/>
      </c>
      <c r="M21" s="212">
        <f>F21*Prices!C$2</f>
        <v/>
      </c>
      <c r="N21" s="212">
        <f>G21*Prices!D$2</f>
        <v/>
      </c>
      <c r="O21" s="212">
        <f>H21*Prices!E$2</f>
        <v/>
      </c>
      <c r="P21" s="212">
        <f>I21*5000+J21*8000+K21*1800</f>
        <v/>
      </c>
      <c r="Q21" s="212">
        <f>D21*Prices!$A$2</f>
        <v/>
      </c>
      <c r="R21" s="212">
        <f>L21+M21+N21+O21</f>
        <v/>
      </c>
      <c r="S21" s="212">
        <f>R21+Q21+P21</f>
        <v/>
      </c>
      <c r="T21" s="212">
        <f>P21+Q21+(R21-(R21*($U$1/100)))</f>
        <v/>
      </c>
      <c r="U21" s="212">
        <f>S21-T21</f>
        <v/>
      </c>
      <c r="V21" s="213">
        <f>((D21*0.6)/11.664)*Prices!$A$4+E21*38000+F21*51900+G21*60900</f>
        <v/>
      </c>
      <c r="W21" s="115" t="n"/>
      <c r="X21" s="115" t="n"/>
      <c r="Y21" s="115" t="n"/>
      <c r="Z21" s="115" t="n"/>
    </row>
    <row r="22" ht="15" customHeight="1" s="220">
      <c r="A22" s="115" t="inlineStr">
        <is>
          <t>BS498</t>
        </is>
      </c>
      <c r="B22" s="115" t="n">
        <v>9.462</v>
      </c>
      <c r="C22" s="115">
        <f>B22*(25/100)</f>
        <v/>
      </c>
      <c r="D22" s="115">
        <f>C22+B22</f>
        <v/>
      </c>
      <c r="E22" s="115" t="n">
        <v>2.78</v>
      </c>
      <c r="F22" s="115" t="n"/>
      <c r="G22" s="115" t="n"/>
      <c r="H22" s="115" t="n"/>
      <c r="I22" s="115" t="n">
        <v>1.66</v>
      </c>
      <c r="J22" s="115" t="n"/>
      <c r="K22" s="115" t="n"/>
      <c r="L22" s="212">
        <f>E22*Prices!B$2</f>
        <v/>
      </c>
      <c r="M22" s="212">
        <f>F22*Prices!C$2</f>
        <v/>
      </c>
      <c r="N22" s="212">
        <f>G22*Prices!D$2</f>
        <v/>
      </c>
      <c r="O22" s="212">
        <f>H22*Prices!E$2</f>
        <v/>
      </c>
      <c r="P22" s="212">
        <f>I22*5000+J22*8000+K22*1800</f>
        <v/>
      </c>
      <c r="Q22" s="212">
        <f>D22*Prices!$A$2</f>
        <v/>
      </c>
      <c r="R22" s="212">
        <f>L22+M22+N22+O22</f>
        <v/>
      </c>
      <c r="S22" s="212">
        <f>R22+Q22+P22</f>
        <v/>
      </c>
      <c r="T22" s="212">
        <f>P22+Q22+(R22-(R22*($U$1/100)))</f>
        <v/>
      </c>
      <c r="U22" s="212">
        <f>S22-T22</f>
        <v/>
      </c>
      <c r="V22" s="213">
        <f>((D22*0.6)/11.664)*Prices!$A$4+E22*38000+F22*51900+G22*60900</f>
        <v/>
      </c>
      <c r="W22" s="115" t="n"/>
      <c r="X22" s="115" t="n"/>
      <c r="Y22" s="115" t="n"/>
      <c r="Z22" s="115" t="n"/>
    </row>
    <row r="23" ht="15" customHeight="1" s="220">
      <c r="A23" s="115" t="inlineStr">
        <is>
          <t>ER670</t>
        </is>
      </c>
      <c r="B23" s="115" t="n">
        <v>2.852</v>
      </c>
      <c r="C23" s="115">
        <f>B23*(25/100)</f>
        <v/>
      </c>
      <c r="D23" s="115">
        <f>C23+B23</f>
        <v/>
      </c>
      <c r="E23" s="115" t="n">
        <v>0.34</v>
      </c>
      <c r="F23" s="115" t="n"/>
      <c r="G23" s="115" t="n"/>
      <c r="H23" s="115" t="n"/>
      <c r="I23" s="115" t="n"/>
      <c r="J23" s="115" t="n"/>
      <c r="K23" s="115" t="n"/>
      <c r="L23" s="212">
        <f>E23*Prices!B$2</f>
        <v/>
      </c>
      <c r="M23" s="212">
        <f>F23*Prices!C$2</f>
        <v/>
      </c>
      <c r="N23" s="212">
        <f>G23*Prices!D$2</f>
        <v/>
      </c>
      <c r="O23" s="212">
        <f>H23*Prices!E$2</f>
        <v/>
      </c>
      <c r="P23" s="212">
        <f>I23*5000+J23*8000+K23*1800</f>
        <v/>
      </c>
      <c r="Q23" s="212">
        <f>D23*Prices!$A$2</f>
        <v/>
      </c>
      <c r="R23" s="212">
        <f>L23+M23+N23+O23</f>
        <v/>
      </c>
      <c r="S23" s="212">
        <f>R23+Q23+P23</f>
        <v/>
      </c>
      <c r="T23" s="212">
        <f>P23+Q23+(R23-(R23*($U$1/100)))</f>
        <v/>
      </c>
      <c r="U23" s="212">
        <f>S23-T23</f>
        <v/>
      </c>
      <c r="V23" s="213">
        <f>((D23*0.6)/11.664)*Prices!$A$4+E23*38000+F23*51900+G23*60900</f>
        <v/>
      </c>
      <c r="W23" s="115" t="n"/>
      <c r="X23" s="115" t="n"/>
      <c r="Y23" s="115" t="n"/>
      <c r="Z23" s="115" t="n"/>
    </row>
    <row r="24" ht="15" customHeight="1" s="220">
      <c r="A24" s="115" t="inlineStr">
        <is>
          <t>ER606</t>
        </is>
      </c>
      <c r="B24" s="115" t="n">
        <v>2.456</v>
      </c>
      <c r="C24" s="115">
        <f>B24*(25/100)</f>
        <v/>
      </c>
      <c r="D24" s="115">
        <f>C24+B24</f>
        <v/>
      </c>
      <c r="E24" s="115" t="n">
        <v>0.27</v>
      </c>
      <c r="F24" s="115" t="n"/>
      <c r="G24" s="115" t="n"/>
      <c r="H24" s="115" t="n"/>
      <c r="I24" s="115" t="n"/>
      <c r="J24" s="115" t="n"/>
      <c r="K24" s="115" t="n"/>
      <c r="L24" s="212">
        <f>E24*Prices!B$2</f>
        <v/>
      </c>
      <c r="M24" s="212">
        <f>F24*Prices!C$2</f>
        <v/>
      </c>
      <c r="N24" s="212">
        <f>G24*Prices!D$2</f>
        <v/>
      </c>
      <c r="O24" s="212">
        <f>H24*Prices!E$2</f>
        <v/>
      </c>
      <c r="P24" s="212">
        <f>I24*5000+J24*8000+K24*1800</f>
        <v/>
      </c>
      <c r="Q24" s="212">
        <f>D24*Prices!$A$2</f>
        <v/>
      </c>
      <c r="R24" s="212">
        <f>L24+M24+N24+O24</f>
        <v/>
      </c>
      <c r="S24" s="212">
        <f>R24+Q24+P24</f>
        <v/>
      </c>
      <c r="T24" s="212">
        <f>P24+Q24+(R24-(R24*($U$1/100)))</f>
        <v/>
      </c>
      <c r="U24" s="212">
        <f>S24-T24</f>
        <v/>
      </c>
      <c r="V24" s="213">
        <f>((D24*0.6)/11.664)*Prices!$A$4+E24*38000+F24*51900+G24*60900</f>
        <v/>
      </c>
      <c r="W24" s="115" t="n"/>
      <c r="X24" s="115" t="n"/>
      <c r="Y24" s="115" t="n"/>
      <c r="Z24" s="115" t="n"/>
    </row>
    <row r="25" ht="15" customHeight="1" s="220">
      <c r="A25" s="115" t="inlineStr">
        <is>
          <t>ER294</t>
        </is>
      </c>
      <c r="B25" s="115" t="n">
        <v>4.504</v>
      </c>
      <c r="C25" s="115">
        <f>B25*(25/100)</f>
        <v/>
      </c>
      <c r="D25" s="115">
        <f>C25+B25</f>
        <v/>
      </c>
      <c r="E25" s="115" t="n">
        <v>0.53</v>
      </c>
      <c r="F25" s="115" t="n"/>
      <c r="G25" s="115" t="n"/>
      <c r="H25" s="115" t="n"/>
      <c r="I25" s="115" t="n"/>
      <c r="J25" s="115" t="n"/>
      <c r="K25" s="115" t="n"/>
      <c r="L25" s="212">
        <f>E25*Prices!B$2</f>
        <v/>
      </c>
      <c r="M25" s="212">
        <f>F25*Prices!C$2</f>
        <v/>
      </c>
      <c r="N25" s="212">
        <f>G25*Prices!D$2</f>
        <v/>
      </c>
      <c r="O25" s="212">
        <f>H25*Prices!E$2</f>
        <v/>
      </c>
      <c r="P25" s="212">
        <f>I25*5000+J25*8000+K25*1800</f>
        <v/>
      </c>
      <c r="Q25" s="212">
        <f>D25*Prices!$A$2</f>
        <v/>
      </c>
      <c r="R25" s="212">
        <f>L25+M25+N25+O25</f>
        <v/>
      </c>
      <c r="S25" s="212">
        <f>R25+Q25+P25</f>
        <v/>
      </c>
      <c r="T25" s="212">
        <f>P25+Q25+(R25-(R25*($U$1/100)))</f>
        <v/>
      </c>
      <c r="U25" s="212">
        <f>S25-T25</f>
        <v/>
      </c>
      <c r="V25" s="213">
        <f>((D25*0.6)/11.664)*Prices!$A$4+E25*38000+F25*51900+G25*60900</f>
        <v/>
      </c>
      <c r="W25" s="115" t="n"/>
      <c r="X25" s="115" t="n"/>
      <c r="Y25" s="115" t="n"/>
      <c r="Z25" s="115" t="n"/>
    </row>
    <row r="26" ht="15" customHeight="1" s="220">
      <c r="A26" s="90" t="inlineStr">
        <is>
          <t>ER1832</t>
        </is>
      </c>
      <c r="B26" s="90" t="n">
        <v>3.024</v>
      </c>
      <c r="C26" s="115">
        <f>B26*(25/100)</f>
        <v/>
      </c>
      <c r="D26" s="115">
        <f>C26+B26</f>
        <v/>
      </c>
      <c r="E26" s="90" t="n">
        <v>0.43</v>
      </c>
      <c r="F26" s="90" t="n"/>
      <c r="G26" s="90" t="n"/>
      <c r="H26" s="90" t="n"/>
      <c r="I26" s="90" t="n"/>
      <c r="J26" s="90" t="n"/>
      <c r="K26" s="90" t="n"/>
      <c r="L26" s="212">
        <f>E26*Prices!B$2</f>
        <v/>
      </c>
      <c r="M26" s="212">
        <f>F26*Prices!C$2</f>
        <v/>
      </c>
      <c r="N26" s="212">
        <f>G26*Prices!D$2</f>
        <v/>
      </c>
      <c r="O26" s="212">
        <f>H26*Prices!E$2</f>
        <v/>
      </c>
      <c r="P26" s="212">
        <f>I26*5000+J26*8000+K26*1800</f>
        <v/>
      </c>
      <c r="Q26" s="212">
        <f>D26*Prices!$A$2</f>
        <v/>
      </c>
      <c r="R26" s="212">
        <f>L26+M26+N26+O26</f>
        <v/>
      </c>
      <c r="S26" s="212">
        <f>R26+Q26+P26</f>
        <v/>
      </c>
      <c r="T26" s="212">
        <f>P26+Q26+(R26-(R26*($U$1/100)))</f>
        <v/>
      </c>
      <c r="U26" s="212">
        <f>S26-T26</f>
        <v/>
      </c>
      <c r="V26" s="213">
        <f>((D26*0.6)/11.664)*Prices!$A$4+E26*38000+F26*51900+G26*60900</f>
        <v/>
      </c>
      <c r="W26" s="90" t="n"/>
      <c r="X26" s="90" t="n"/>
      <c r="Y26" s="90" t="n"/>
      <c r="Z26" s="90" t="n"/>
    </row>
    <row r="27" ht="15" customHeight="1" s="220">
      <c r="A27" s="115" t="inlineStr">
        <is>
          <t>ER1189</t>
        </is>
      </c>
      <c r="B27" s="90" t="n">
        <v>4.584</v>
      </c>
      <c r="C27" s="115">
        <f>B27*(25/100)</f>
        <v/>
      </c>
      <c r="D27" s="115">
        <f>C27+B27</f>
        <v/>
      </c>
      <c r="E27" s="90" t="n">
        <v>0.48</v>
      </c>
      <c r="F27" s="90" t="n"/>
      <c r="G27" s="90" t="n"/>
      <c r="H27" s="90" t="n"/>
      <c r="I27" s="90" t="n"/>
      <c r="J27" s="90" t="n"/>
      <c r="K27" s="90" t="n"/>
      <c r="L27" s="212">
        <f>E27*Prices!B$2</f>
        <v/>
      </c>
      <c r="M27" s="212">
        <f>F27*Prices!C$2</f>
        <v/>
      </c>
      <c r="N27" s="212">
        <f>G27*Prices!D$2</f>
        <v/>
      </c>
      <c r="O27" s="212">
        <f>H27*Prices!E$2</f>
        <v/>
      </c>
      <c r="P27" s="212">
        <f>I27*5000+J27*8000+K27*1800</f>
        <v/>
      </c>
      <c r="Q27" s="212">
        <f>D27*Prices!$A$2</f>
        <v/>
      </c>
      <c r="R27" s="212">
        <f>L27+M27+N27+O27</f>
        <v/>
      </c>
      <c r="S27" s="212">
        <f>R27+Q27+P27</f>
        <v/>
      </c>
      <c r="T27" s="212">
        <f>P27+Q27+(R27-(R27*($U$1/100)))</f>
        <v/>
      </c>
      <c r="U27" s="212">
        <f>S27-T27</f>
        <v/>
      </c>
      <c r="V27" s="213">
        <f>((D27*0.6)/11.664)*Prices!$A$4+E27*38000+F27*51900+G27*60900</f>
        <v/>
      </c>
      <c r="W27" s="90" t="n"/>
      <c r="X27" s="90" t="n"/>
      <c r="Y27" s="90" t="n"/>
      <c r="Z27" s="90" t="n"/>
    </row>
    <row r="28" ht="15" customHeight="1" s="220">
      <c r="A28" s="90" t="inlineStr">
        <is>
          <t>ER1195</t>
        </is>
      </c>
      <c r="B28" s="90" t="n">
        <v>3.282</v>
      </c>
      <c r="C28" s="115">
        <f>B28*(25/100)</f>
        <v/>
      </c>
      <c r="D28" s="115">
        <f>C28+B28</f>
        <v/>
      </c>
      <c r="E28" s="90" t="n">
        <v>0.44</v>
      </c>
      <c r="F28" s="90" t="n"/>
      <c r="G28" s="90" t="n"/>
      <c r="H28" s="90" t="n"/>
      <c r="I28" s="90" t="n"/>
      <c r="J28" s="90" t="n"/>
      <c r="K28" s="90" t="n"/>
      <c r="L28" s="212">
        <f>E28*Prices!B$2</f>
        <v/>
      </c>
      <c r="M28" s="212">
        <f>F28*Prices!C$2</f>
        <v/>
      </c>
      <c r="N28" s="212">
        <f>G28*Prices!D$2</f>
        <v/>
      </c>
      <c r="O28" s="212">
        <f>H28*Prices!E$2</f>
        <v/>
      </c>
      <c r="P28" s="212">
        <f>I28*5000+J28*8000+K28*1800</f>
        <v/>
      </c>
      <c r="Q28" s="212">
        <f>D28*Prices!$A$2</f>
        <v/>
      </c>
      <c r="R28" s="212">
        <f>L28+M28+N28+O28</f>
        <v/>
      </c>
      <c r="S28" s="212">
        <f>R28+Q28+P28</f>
        <v/>
      </c>
      <c r="T28" s="212">
        <f>P28+Q28+(R28-(R28*($U$1/100)))</f>
        <v/>
      </c>
      <c r="U28" s="212">
        <f>S28-T28</f>
        <v/>
      </c>
      <c r="V28" s="213">
        <f>((D28*0.6)/11.664)*Prices!$A$4+E28*38000+F28*51900+G28*60900</f>
        <v/>
      </c>
      <c r="W28" s="90" t="n"/>
      <c r="X28" s="90" t="n"/>
      <c r="Y28" s="90" t="n"/>
      <c r="Z28" s="90" t="n"/>
    </row>
    <row r="29" ht="15" customHeight="1" s="220">
      <c r="A29" s="90" t="inlineStr">
        <is>
          <t>ER1457</t>
        </is>
      </c>
      <c r="B29" s="90" t="n">
        <v>4.404</v>
      </c>
      <c r="C29" s="115">
        <f>B29*(25/100)</f>
        <v/>
      </c>
      <c r="D29" s="115">
        <f>C29+B29</f>
        <v/>
      </c>
      <c r="E29" s="90" t="n">
        <v>0.68</v>
      </c>
      <c r="F29" s="90" t="n"/>
      <c r="G29" s="90" t="n"/>
      <c r="H29" s="90" t="n"/>
      <c r="I29" s="90" t="n"/>
      <c r="J29" s="90" t="n"/>
      <c r="K29" s="90" t="n"/>
      <c r="L29" s="212">
        <f>E29*Prices!B$2</f>
        <v/>
      </c>
      <c r="M29" s="212">
        <f>F29*Prices!C$2</f>
        <v/>
      </c>
      <c r="N29" s="212">
        <f>G29*Prices!D$2</f>
        <v/>
      </c>
      <c r="O29" s="212">
        <f>H29*Prices!E$2</f>
        <v/>
      </c>
      <c r="P29" s="212">
        <f>I29*5000+J29*8000+K29*1800</f>
        <v/>
      </c>
      <c r="Q29" s="212">
        <f>D29*Prices!$A$2</f>
        <v/>
      </c>
      <c r="R29" s="212">
        <f>L29+M29+N29+O29</f>
        <v/>
      </c>
      <c r="S29" s="212">
        <f>R29+Q29+P29</f>
        <v/>
      </c>
      <c r="T29" s="212">
        <f>P29+Q29+(R29-(R29*($U$1/100)))</f>
        <v/>
      </c>
      <c r="U29" s="212">
        <f>S29-T29</f>
        <v/>
      </c>
      <c r="V29" s="213">
        <f>((D29*0.6)/11.664)*Prices!$A$4+E29*38000+F29*51900+G29*60900</f>
        <v/>
      </c>
      <c r="W29" s="90" t="n"/>
      <c r="X29" s="90" t="n"/>
      <c r="Y29" s="90" t="n"/>
      <c r="Z29" s="90" t="n"/>
    </row>
    <row r="30" ht="15" customHeight="1" s="220">
      <c r="A30" s="90" t="inlineStr">
        <is>
          <t>ER238</t>
        </is>
      </c>
      <c r="B30" s="90" t="n">
        <v>8.43</v>
      </c>
      <c r="C30" s="115">
        <f>B30*(25/100)</f>
        <v/>
      </c>
      <c r="D30" s="115">
        <f>C30+B30</f>
        <v/>
      </c>
      <c r="E30" s="90" t="n">
        <v>1.53</v>
      </c>
      <c r="F30" s="90" t="n"/>
      <c r="G30" s="90" t="n"/>
      <c r="H30" s="90" t="n"/>
      <c r="I30" s="90" t="n"/>
      <c r="J30" s="90" t="n"/>
      <c r="K30" s="90" t="n"/>
      <c r="L30" s="212">
        <f>E30*Prices!B$2</f>
        <v/>
      </c>
      <c r="M30" s="212">
        <f>F30*Prices!C$2</f>
        <v/>
      </c>
      <c r="N30" s="212">
        <f>G30*Prices!D$2</f>
        <v/>
      </c>
      <c r="O30" s="212">
        <f>H30*Prices!E$2</f>
        <v/>
      </c>
      <c r="P30" s="212">
        <f>I30*5000+J30*8000+K30*1800</f>
        <v/>
      </c>
      <c r="Q30" s="212">
        <f>D30*Prices!$A$2</f>
        <v/>
      </c>
      <c r="R30" s="212">
        <f>L30+M30+N30+O30</f>
        <v/>
      </c>
      <c r="S30" s="212">
        <f>R30+Q30+P30</f>
        <v/>
      </c>
      <c r="T30" s="212">
        <f>P30+Q30+(R30-(R30*($U$1/100)))</f>
        <v/>
      </c>
      <c r="U30" s="212">
        <f>S30-T30</f>
        <v/>
      </c>
      <c r="V30" s="213">
        <f>((D30*0.6)/11.664)*Prices!$A$4+E30*38000+F30*51900+G30*60900</f>
        <v/>
      </c>
      <c r="W30" s="90" t="n"/>
      <c r="X30" s="90" t="n"/>
      <c r="Y30" s="90" t="n"/>
      <c r="Z30" s="90" t="n"/>
    </row>
    <row r="31" ht="15" customHeight="1" s="220">
      <c r="A31" s="90" t="inlineStr">
        <is>
          <t>ER236</t>
        </is>
      </c>
      <c r="B31" s="90" t="n">
        <v>6.67</v>
      </c>
      <c r="C31" s="115">
        <f>B31*(25/100)</f>
        <v/>
      </c>
      <c r="D31" s="115">
        <f>C31+B31</f>
        <v/>
      </c>
      <c r="E31" s="90" t="n">
        <v>1.37</v>
      </c>
      <c r="F31" s="90" t="n"/>
      <c r="G31" s="90" t="n"/>
      <c r="H31" s="90" t="n"/>
      <c r="I31" s="90" t="n"/>
      <c r="J31" s="90" t="n"/>
      <c r="K31" s="90" t="n"/>
      <c r="L31" s="212">
        <f>E31*Prices!B$2</f>
        <v/>
      </c>
      <c r="M31" s="212">
        <f>F31*Prices!C$2</f>
        <v/>
      </c>
      <c r="N31" s="212">
        <f>G31*Prices!D$2</f>
        <v/>
      </c>
      <c r="O31" s="212">
        <f>H31*Prices!E$2</f>
        <v/>
      </c>
      <c r="P31" s="212">
        <f>I31*5000+J31*8000+K31*1800</f>
        <v/>
      </c>
      <c r="Q31" s="212">
        <f>D31*Prices!$A$2</f>
        <v/>
      </c>
      <c r="R31" s="212">
        <f>L31+M31+N31+O31</f>
        <v/>
      </c>
      <c r="S31" s="212">
        <f>R31+Q31+P31</f>
        <v/>
      </c>
      <c r="T31" s="212">
        <f>P31+Q31+(R31-(R31*($U$1/100)))</f>
        <v/>
      </c>
      <c r="U31" s="212">
        <f>S31-T31</f>
        <v/>
      </c>
      <c r="V31" s="213">
        <f>((D31*0.6)/11.664)*Prices!$A$4+E31*38000+F31*51900+G31*60900</f>
        <v/>
      </c>
      <c r="W31" s="90" t="n"/>
      <c r="X31" s="90" t="n"/>
      <c r="Y31" s="90" t="n"/>
      <c r="Z31" s="90" t="n"/>
    </row>
    <row r="32" ht="15" customHeight="1" s="220">
      <c r="A32" s="90" t="inlineStr">
        <is>
          <t>ER2448</t>
        </is>
      </c>
      <c r="B32" s="90" t="n">
        <v>2.146</v>
      </c>
      <c r="C32" s="115">
        <f>B32*(25/100)</f>
        <v/>
      </c>
      <c r="D32" s="115">
        <f>C32+B32</f>
        <v/>
      </c>
      <c r="E32" s="90" t="n">
        <v>0.18</v>
      </c>
      <c r="F32" s="90" t="n"/>
      <c r="G32" s="90" t="n"/>
      <c r="H32" s="90" t="n"/>
      <c r="I32" s="90" t="n"/>
      <c r="J32" s="90" t="n">
        <v>0.47</v>
      </c>
      <c r="K32" s="90" t="n">
        <v>5.92</v>
      </c>
      <c r="L32" s="212">
        <f>E32*Prices!B$2</f>
        <v/>
      </c>
      <c r="M32" s="212">
        <f>F32*Prices!C$2</f>
        <v/>
      </c>
      <c r="N32" s="212">
        <f>G32*Prices!D$2</f>
        <v/>
      </c>
      <c r="O32" s="212">
        <f>H32*Prices!E$2</f>
        <v/>
      </c>
      <c r="P32" s="212">
        <f>I32*5000+J32*8000+K32*300</f>
        <v/>
      </c>
      <c r="Q32" s="212">
        <f>D32*Prices!$A$2</f>
        <v/>
      </c>
      <c r="R32" s="212">
        <f>L32+M32+N32+O32</f>
        <v/>
      </c>
      <c r="S32" s="212">
        <f>R32+Q32+P32</f>
        <v/>
      </c>
      <c r="T32" s="212">
        <f>P32+Q32+(R32-(R32*($U$1/100)))</f>
        <v/>
      </c>
      <c r="U32" s="212">
        <f>S32-T32</f>
        <v/>
      </c>
      <c r="V32" s="213">
        <f>((D32*0.6)/11.664)*Prices!$A$4+E32*38000+F32*51900+G32*60900</f>
        <v/>
      </c>
      <c r="W32" s="90" t="n"/>
      <c r="X32" s="90" t="n"/>
      <c r="Y32" s="90" t="n"/>
      <c r="Z32" s="90" t="n"/>
    </row>
    <row r="33" ht="15" customHeight="1" s="220">
      <c r="A33" s="90" t="inlineStr">
        <is>
          <t>ER2031</t>
        </is>
      </c>
      <c r="B33" s="90" t="n">
        <v>1.742</v>
      </c>
      <c r="C33" s="115">
        <f>B33*(25/100)</f>
        <v/>
      </c>
      <c r="D33" s="115">
        <f>C33+B33</f>
        <v/>
      </c>
      <c r="E33" s="90" t="n">
        <v>0.17</v>
      </c>
      <c r="F33" s="90" t="n"/>
      <c r="G33" s="90" t="n"/>
      <c r="H33" s="90" t="n"/>
      <c r="I33" s="90" t="n"/>
      <c r="J33" s="90" t="n"/>
      <c r="K33" s="90" t="n">
        <v>3.82</v>
      </c>
      <c r="L33" s="212">
        <f>E33*Prices!B$2</f>
        <v/>
      </c>
      <c r="M33" s="212">
        <f>F33*Prices!C$2</f>
        <v/>
      </c>
      <c r="N33" s="212">
        <f>G33*Prices!D$2</f>
        <v/>
      </c>
      <c r="O33" s="212">
        <f>H33*Prices!E$2</f>
        <v/>
      </c>
      <c r="P33" s="212">
        <f>I33*5000+J33*8000+K33*500</f>
        <v/>
      </c>
      <c r="Q33" s="212">
        <f>D33*Prices!$A$2</f>
        <v/>
      </c>
      <c r="R33" s="212">
        <f>L33+M33+N33+O33</f>
        <v/>
      </c>
      <c r="S33" s="212">
        <f>R33+Q33+P33</f>
        <v/>
      </c>
      <c r="T33" s="212">
        <f>P33+Q33+(R33-(R33*($U$1/100)))</f>
        <v/>
      </c>
      <c r="U33" s="212">
        <f>S33-T33</f>
        <v/>
      </c>
      <c r="V33" s="213">
        <f>((D33*0.6)/11.664)*Prices!$A$4+E33*38000+F33*51900+G33*60900</f>
        <v/>
      </c>
      <c r="W33" s="90" t="n"/>
      <c r="X33" s="90" t="n"/>
      <c r="Y33" s="90" t="n"/>
      <c r="Z33" s="90" t="n"/>
    </row>
    <row r="34" ht="15" customHeight="1" s="220">
      <c r="A34" s="90" t="inlineStr">
        <is>
          <t>LT1315</t>
        </is>
      </c>
      <c r="B34" s="90" t="n">
        <v>3.786</v>
      </c>
      <c r="C34" s="115">
        <f>B34*(25/100)</f>
        <v/>
      </c>
      <c r="D34" s="115">
        <f>C34+B34</f>
        <v/>
      </c>
      <c r="E34" s="90" t="n">
        <v>0.9</v>
      </c>
      <c r="F34" s="90" t="n"/>
      <c r="G34" s="90" t="n"/>
      <c r="H34" s="90" t="n"/>
      <c r="I34" s="90" t="n"/>
      <c r="J34" s="90" t="n"/>
      <c r="K34" s="90" t="n">
        <v>3.97</v>
      </c>
      <c r="L34" s="212">
        <f>E34*Prices!B$2</f>
        <v/>
      </c>
      <c r="M34" s="212">
        <f>F34*Prices!C$2</f>
        <v/>
      </c>
      <c r="N34" s="212">
        <f>G34*Prices!D$2</f>
        <v/>
      </c>
      <c r="O34" s="212">
        <f>H34*Prices!E$2</f>
        <v/>
      </c>
      <c r="P34" s="212">
        <f>I34*5000+J34*8000+K34*3000</f>
        <v/>
      </c>
      <c r="Q34" s="212">
        <f>D34*Prices!$A$2</f>
        <v/>
      </c>
      <c r="R34" s="212">
        <f>L34+M34+N34+O34</f>
        <v/>
      </c>
      <c r="S34" s="212">
        <f>R34+Q34+P34</f>
        <v/>
      </c>
      <c r="T34" s="212">
        <f>P34+Q34+(R34-(R34*($U$1/100)))</f>
        <v/>
      </c>
      <c r="U34" s="212">
        <f>S34-T34</f>
        <v/>
      </c>
      <c r="V34" s="213">
        <f>((D34*0.6)/11.664)*Prices!$A$4+E34*38000+F34*51900+G34*60900</f>
        <v/>
      </c>
      <c r="W34" s="90" t="n"/>
      <c r="X34" s="90" t="n"/>
      <c r="Y34" s="90" t="n"/>
      <c r="Z34" s="90" t="n"/>
    </row>
    <row r="35" ht="15" customHeight="1" s="220">
      <c r="A35" s="90" t="inlineStr">
        <is>
          <t>LT1314</t>
        </is>
      </c>
      <c r="B35" s="90" t="n">
        <v>3.744</v>
      </c>
      <c r="C35" s="115">
        <f>B35*(25/100)</f>
        <v/>
      </c>
      <c r="D35" s="115">
        <f>C35+B35</f>
        <v/>
      </c>
      <c r="E35" s="90" t="n">
        <v>0.89</v>
      </c>
      <c r="F35" s="90" t="n"/>
      <c r="G35" s="90" t="n"/>
      <c r="H35" s="90" t="n"/>
      <c r="I35" s="90" t="n"/>
      <c r="J35" s="90" t="n"/>
      <c r="K35" s="90" t="n">
        <v>4.04</v>
      </c>
      <c r="L35" s="212">
        <f>E35*Prices!B$2</f>
        <v/>
      </c>
      <c r="M35" s="212">
        <f>F35*Prices!C$2</f>
        <v/>
      </c>
      <c r="N35" s="212">
        <f>G35*Prices!D$2</f>
        <v/>
      </c>
      <c r="O35" s="212">
        <f>H35*Prices!E$2</f>
        <v/>
      </c>
      <c r="P35" s="212">
        <f>I35*5000+J35*8000+K35*3000</f>
        <v/>
      </c>
      <c r="Q35" s="212">
        <f>D35*Prices!$A$2</f>
        <v/>
      </c>
      <c r="R35" s="212">
        <f>L35+M35+N35+O35</f>
        <v/>
      </c>
      <c r="S35" s="212">
        <f>R35+Q35+P35</f>
        <v/>
      </c>
      <c r="T35" s="212">
        <f>P35+Q35+(R35-(R35*($U$1/100)))</f>
        <v/>
      </c>
      <c r="U35" s="212">
        <f>S35-T35</f>
        <v/>
      </c>
      <c r="V35" s="213">
        <f>((D35*0.6)/11.664)*Prices!$A$4+E35*38000+F35*51900+G35*60900</f>
        <v/>
      </c>
      <c r="W35" s="90" t="n"/>
      <c r="X35" s="90" t="n"/>
      <c r="Y35" s="90" t="n"/>
      <c r="Z35" s="90" t="n"/>
    </row>
    <row r="36" ht="15" customHeight="1" s="220">
      <c r="A36" s="90" t="inlineStr">
        <is>
          <t>LT1045</t>
        </is>
      </c>
      <c r="B36" s="90" t="n">
        <v>6.76</v>
      </c>
      <c r="C36" s="115">
        <f>B36*(25/100)</f>
        <v/>
      </c>
      <c r="D36" s="115">
        <f>C36+B36</f>
        <v/>
      </c>
      <c r="E36" s="90" t="n">
        <v>0.35</v>
      </c>
      <c r="F36" s="90" t="n"/>
      <c r="G36" s="90" t="n"/>
      <c r="H36" s="90" t="n"/>
      <c r="I36" s="90" t="n"/>
      <c r="J36" s="90" t="n"/>
      <c r="K36" s="90" t="n">
        <v>7.85</v>
      </c>
      <c r="L36" s="212">
        <f>E36*Prices!B$2</f>
        <v/>
      </c>
      <c r="M36" s="212">
        <f>F36*Prices!C$2</f>
        <v/>
      </c>
      <c r="N36" s="212">
        <f>G36*Prices!D$2</f>
        <v/>
      </c>
      <c r="O36" s="212">
        <f>H36*Prices!E$2</f>
        <v/>
      </c>
      <c r="P36" s="212">
        <f>I36*5000+J36*8000+K36*3000</f>
        <v/>
      </c>
      <c r="Q36" s="212">
        <f>D36*Prices!$A$2</f>
        <v/>
      </c>
      <c r="R36" s="212">
        <f>L36+M36+N36+O36</f>
        <v/>
      </c>
      <c r="S36" s="212">
        <f>R36+Q36+P36</f>
        <v/>
      </c>
      <c r="T36" s="212">
        <f>P36+Q36+(R36-(R36*($U$1/100)))</f>
        <v/>
      </c>
      <c r="U36" s="212">
        <f>S36-T36</f>
        <v/>
      </c>
      <c r="V36" s="213">
        <f>((D36*0.6)/11.664)*Prices!$A$4+E36*38000+F36*51900+G36*60900</f>
        <v/>
      </c>
      <c r="W36" s="90" t="n"/>
      <c r="X36" s="90" t="n"/>
      <c r="Y36" s="90" t="n"/>
      <c r="Z36" s="90" t="n"/>
    </row>
    <row r="37" ht="15" customHeight="1" s="220">
      <c r="A37" s="90" t="inlineStr">
        <is>
          <t>LT809</t>
        </is>
      </c>
      <c r="B37" s="90" t="n">
        <v>18.278</v>
      </c>
      <c r="C37" s="115">
        <f>B37*(25/100)</f>
        <v/>
      </c>
      <c r="D37" s="115">
        <f>C37+B37</f>
        <v/>
      </c>
      <c r="E37" s="90" t="n">
        <v>4.06</v>
      </c>
      <c r="F37" s="90" t="n"/>
      <c r="G37" s="90" t="n"/>
      <c r="H37" s="90" t="n"/>
      <c r="I37" s="90" t="n"/>
      <c r="J37" s="90" t="n"/>
      <c r="K37" s="90" t="n">
        <v>16.3</v>
      </c>
      <c r="L37" s="212">
        <f>E37*Prices!B$2</f>
        <v/>
      </c>
      <c r="M37" s="212">
        <f>F37*Prices!C$2</f>
        <v/>
      </c>
      <c r="N37" s="212">
        <f>G37*Prices!D$2</f>
        <v/>
      </c>
      <c r="O37" s="212">
        <f>H37*Prices!E$2</f>
        <v/>
      </c>
      <c r="P37" s="212">
        <f>I37*5000+J37*8000+K37*3000</f>
        <v/>
      </c>
      <c r="Q37" s="212">
        <f>D37*Prices!$A$2</f>
        <v/>
      </c>
      <c r="R37" s="212">
        <f>L37+M37+N37+O37</f>
        <v/>
      </c>
      <c r="S37" s="212">
        <f>R37+Q37+P37</f>
        <v/>
      </c>
      <c r="T37" s="212">
        <f>P37+Q37+(R37-(R37*($U$1/100)))</f>
        <v/>
      </c>
      <c r="U37" s="212">
        <f>S37-T37</f>
        <v/>
      </c>
      <c r="V37" s="213">
        <f>((D37*0.6)/11.664)*Prices!$A$4+E37*38000+F37*51900+G37*60900</f>
        <v/>
      </c>
      <c r="W37" s="90" t="n"/>
      <c r="X37" s="90" t="n"/>
      <c r="Y37" s="90" t="n"/>
      <c r="Z37" s="90" t="n"/>
    </row>
    <row r="38" ht="15" customHeight="1" s="220">
      <c r="A38" s="90" t="inlineStr">
        <is>
          <t>LT644</t>
        </is>
      </c>
      <c r="B38" s="90" t="n">
        <v>13.728</v>
      </c>
      <c r="C38" s="115">
        <f>B38*(25/100)</f>
        <v/>
      </c>
      <c r="D38" s="115">
        <f>C38+B38</f>
        <v/>
      </c>
      <c r="E38" s="90" t="n">
        <v>0.28</v>
      </c>
      <c r="F38" s="90" t="n">
        <v>1.65</v>
      </c>
      <c r="G38" s="90" t="n"/>
      <c r="H38" s="90" t="n"/>
      <c r="I38" s="90" t="n">
        <v>43.47</v>
      </c>
      <c r="J38" s="90" t="n"/>
      <c r="K38" s="90" t="n">
        <v>5.06</v>
      </c>
      <c r="L38" s="212">
        <f>E38*Prices!B$2</f>
        <v/>
      </c>
      <c r="M38" s="212">
        <f>F38*Prices!C$2</f>
        <v/>
      </c>
      <c r="N38" s="212">
        <f>G38*Prices!D$2</f>
        <v/>
      </c>
      <c r="O38" s="212">
        <f>H38*Prices!E$2</f>
        <v/>
      </c>
      <c r="P38" s="212">
        <f>I38*5000+J38*8000+K38*3000</f>
        <v/>
      </c>
      <c r="Q38" s="212">
        <f>D38*Prices!$A$2</f>
        <v/>
      </c>
      <c r="R38" s="212">
        <f>L38+M38+N38+O38</f>
        <v/>
      </c>
      <c r="S38" s="212">
        <f>R38+Q38+P38</f>
        <v/>
      </c>
      <c r="T38" s="212">
        <f>P38+Q38+(R38-(R38*($U$1/100)))</f>
        <v/>
      </c>
      <c r="U38" s="212">
        <f>S38-T38</f>
        <v/>
      </c>
      <c r="V38" s="213">
        <f>((D38*0.6)/11.664)*Prices!$A$4+E38*38000+F38*51900+G38*60900</f>
        <v/>
      </c>
      <c r="W38" s="90" t="n"/>
      <c r="X38" s="90" t="n"/>
      <c r="Y38" s="90" t="n"/>
      <c r="Z38" s="90" t="n"/>
    </row>
    <row r="39" ht="15" customHeight="1" s="220">
      <c r="A39" s="90" t="inlineStr">
        <is>
          <t>RG3685</t>
        </is>
      </c>
      <c r="B39" s="90" t="n">
        <v>6.036</v>
      </c>
      <c r="C39" s="115">
        <f>B39*(25/100)</f>
        <v/>
      </c>
      <c r="D39" s="115">
        <f>C39+B39</f>
        <v/>
      </c>
      <c r="E39" s="90" t="n">
        <v>1.38</v>
      </c>
      <c r="F39" s="90" t="n"/>
      <c r="G39" s="90" t="n"/>
      <c r="H39" s="90" t="n"/>
      <c r="I39" s="90" t="n"/>
      <c r="J39" s="90" t="n"/>
      <c r="K39" s="90" t="n">
        <v>4.44</v>
      </c>
      <c r="L39" s="212">
        <f>E39*Prices!B$2</f>
        <v/>
      </c>
      <c r="M39" s="212">
        <f>F39*Prices!C$2</f>
        <v/>
      </c>
      <c r="N39" s="212">
        <f>G39*Prices!D$2</f>
        <v/>
      </c>
      <c r="O39" s="212">
        <f>H39*Prices!E$2</f>
        <v/>
      </c>
      <c r="P39" s="212">
        <f>I39*5000+J39*8000+K39*3000</f>
        <v/>
      </c>
      <c r="Q39" s="212">
        <f>D39*Prices!$A$2</f>
        <v/>
      </c>
      <c r="R39" s="212">
        <f>L39+M39+N39+O39</f>
        <v/>
      </c>
      <c r="S39" s="212">
        <f>R39+Q39+P39</f>
        <v/>
      </c>
      <c r="T39" s="212">
        <f>P39+Q39+(R39-(R39*($U$1/100)))</f>
        <v/>
      </c>
      <c r="U39" s="212">
        <f>S39-T39</f>
        <v/>
      </c>
      <c r="V39" s="213">
        <f>((D39*0.6)/11.664)*Prices!$A$4+E39*38000+F39*51900+G39*60900</f>
        <v/>
      </c>
      <c r="W39" s="90" t="n"/>
      <c r="X39" s="90" t="n"/>
      <c r="Y39" s="90" t="n"/>
      <c r="Z39" s="90" t="n"/>
    </row>
    <row r="40">
      <c r="A40" s="90" t="inlineStr">
        <is>
          <t>RG1056</t>
        </is>
      </c>
      <c r="B40" s="90" t="n">
        <v>15.692</v>
      </c>
      <c r="C40" s="115">
        <f>B40*(25/100)</f>
        <v/>
      </c>
      <c r="D40" s="115">
        <f>C40+B40</f>
        <v/>
      </c>
      <c r="E40" s="90" t="n">
        <v>2.38</v>
      </c>
      <c r="F40" s="90" t="n"/>
      <c r="G40" s="90" t="n"/>
      <c r="H40" s="90" t="n"/>
      <c r="I40" s="90" t="n"/>
      <c r="J40" s="90" t="n"/>
      <c r="K40" s="90">
        <f>11.78+5.68</f>
        <v/>
      </c>
      <c r="L40" s="212">
        <f>E40*Prices!B$2</f>
        <v/>
      </c>
      <c r="M40" s="212">
        <f>F40*Prices!C$2</f>
        <v/>
      </c>
      <c r="N40" s="212">
        <f>G40*Prices!D$2</f>
        <v/>
      </c>
      <c r="O40" s="212">
        <f>H40*Prices!E$2</f>
        <v/>
      </c>
      <c r="P40" s="212">
        <f>I40*5000+J40*8000+K40*3000</f>
        <v/>
      </c>
      <c r="Q40" s="212">
        <f>D40*Prices!$A$2</f>
        <v/>
      </c>
      <c r="R40" s="212">
        <f>L40+M40+N40+O40</f>
        <v/>
      </c>
      <c r="S40" s="212">
        <f>R40+Q40+P40</f>
        <v/>
      </c>
      <c r="T40" s="212">
        <f>P40+Q40+(R40-(R40*($U$1/100)))</f>
        <v/>
      </c>
      <c r="U40" s="212">
        <f>S40-T40</f>
        <v/>
      </c>
      <c r="V40" s="213">
        <f>((D40*0.6)/11.664)*Prices!$A$4+E40*38000+F40*51900+G40*60900</f>
        <v/>
      </c>
      <c r="W40" s="90" t="n"/>
      <c r="X40" s="90" t="n"/>
      <c r="Y40" s="90" t="n"/>
      <c r="Z40" s="90" t="n"/>
    </row>
    <row r="41">
      <c r="A41" s="90" t="inlineStr">
        <is>
          <t>RG2699</t>
        </is>
      </c>
      <c r="B41" s="90" t="n">
        <v>5.94</v>
      </c>
      <c r="C41" s="115">
        <f>B41*(25/100)</f>
        <v/>
      </c>
      <c r="D41" s="115">
        <f>C41+B41</f>
        <v/>
      </c>
      <c r="E41" s="90" t="n">
        <v>0.49</v>
      </c>
      <c r="F41" s="90" t="n"/>
      <c r="G41" s="90" t="n"/>
      <c r="H41" s="90" t="n"/>
      <c r="I41" s="90" t="n"/>
      <c r="J41" s="90" t="n"/>
      <c r="K41" s="90">
        <f>6.32+3.44</f>
        <v/>
      </c>
      <c r="L41" s="212">
        <f>E41*Prices!B$2</f>
        <v/>
      </c>
      <c r="M41" s="212">
        <f>F41*Prices!C$2</f>
        <v/>
      </c>
      <c r="N41" s="212">
        <f>G41*Prices!D$2</f>
        <v/>
      </c>
      <c r="O41" s="212">
        <f>H41*Prices!E$2</f>
        <v/>
      </c>
      <c r="P41" s="212">
        <f>I41*5000+J41*8000+K41*3000</f>
        <v/>
      </c>
      <c r="Q41" s="212">
        <f>D41*Prices!$A$2</f>
        <v/>
      </c>
      <c r="R41" s="212">
        <f>L41+M41+N41+O41</f>
        <v/>
      </c>
      <c r="S41" s="212">
        <f>R41+Q41+P41</f>
        <v/>
      </c>
      <c r="T41" s="212">
        <f>P41+Q41+(R41-(R41*($U$1/100)))</f>
        <v/>
      </c>
      <c r="U41" s="212">
        <f>S41-T41</f>
        <v/>
      </c>
      <c r="V41" s="213">
        <f>((D41*0.6)/11.664)*Prices!$A$4+E41*38000+F41*51900+G41*60900</f>
        <v/>
      </c>
      <c r="W41" s="90" t="n"/>
      <c r="X41" s="90" t="n"/>
      <c r="Y41" s="90" t="n"/>
      <c r="Z41" s="90" t="n"/>
    </row>
    <row r="42">
      <c r="A42" s="90" t="inlineStr">
        <is>
          <t>LT177</t>
        </is>
      </c>
      <c r="B42" s="90" t="n">
        <v>8.904</v>
      </c>
      <c r="C42" s="115">
        <f>B42*(25/100)</f>
        <v/>
      </c>
      <c r="D42" s="115">
        <f>C42+B42</f>
        <v/>
      </c>
      <c r="E42" s="90" t="n">
        <v>2.97</v>
      </c>
      <c r="F42" s="90" t="n"/>
      <c r="G42" s="90" t="n"/>
      <c r="H42" s="90" t="n"/>
      <c r="I42" s="90" t="n"/>
      <c r="J42" s="90" t="n"/>
      <c r="K42" s="90" t="n">
        <v>7.66</v>
      </c>
      <c r="L42" s="212">
        <f>E42*Prices!B$2</f>
        <v/>
      </c>
      <c r="M42" s="212">
        <f>F42*Prices!C$2</f>
        <v/>
      </c>
      <c r="N42" s="212">
        <f>G42*Prices!D$2</f>
        <v/>
      </c>
      <c r="O42" s="212">
        <f>H42*Prices!E$2</f>
        <v/>
      </c>
      <c r="P42" s="212">
        <f>I42*5000+J42*8000+K42*3000</f>
        <v/>
      </c>
      <c r="Q42" s="212">
        <f>D42*Prices!$A$2</f>
        <v/>
      </c>
      <c r="R42" s="212">
        <f>L42+M42+N42+O42</f>
        <v/>
      </c>
      <c r="S42" s="212">
        <f>R42+Q42+P42</f>
        <v/>
      </c>
      <c r="T42" s="212">
        <f>P42+Q42+(R42-(R42*($U$1/100)))</f>
        <v/>
      </c>
      <c r="U42" s="212">
        <f>S42-T42</f>
        <v/>
      </c>
      <c r="V42" s="213">
        <f>((D42*0.6)/11.664)*Prices!$A$4+E42*38000+F42*51900+G42*60900</f>
        <v/>
      </c>
      <c r="W42" s="90" t="n"/>
      <c r="X42" s="90" t="n"/>
      <c r="Y42" s="90" t="n"/>
      <c r="Z42" s="90" t="n"/>
    </row>
    <row r="43">
      <c r="A43" s="90" t="inlineStr">
        <is>
          <t>ER177</t>
        </is>
      </c>
      <c r="B43" s="90" t="n">
        <v>11.13</v>
      </c>
      <c r="C43" s="115">
        <f>B43*(25/100)</f>
        <v/>
      </c>
      <c r="D43" s="115">
        <f>C43+B43</f>
        <v/>
      </c>
      <c r="E43" s="90" t="n">
        <v>2.8</v>
      </c>
      <c r="F43" s="90" t="n"/>
      <c r="G43" s="90" t="n"/>
      <c r="H43" s="90" t="n"/>
      <c r="I43" s="90" t="n"/>
      <c r="J43" s="90" t="n"/>
      <c r="K43" s="90" t="n">
        <v>7.1</v>
      </c>
      <c r="L43" s="212">
        <f>E43*Prices!B$2</f>
        <v/>
      </c>
      <c r="M43" s="212">
        <f>F43*Prices!C$2</f>
        <v/>
      </c>
      <c r="N43" s="212">
        <f>G43*Prices!D$2</f>
        <v/>
      </c>
      <c r="O43" s="212">
        <f>H43*Prices!E$2</f>
        <v/>
      </c>
      <c r="P43" s="212">
        <f>I43*5000+J43*8000+K43*3000</f>
        <v/>
      </c>
      <c r="Q43" s="212">
        <f>D43*Prices!$A$2</f>
        <v/>
      </c>
      <c r="R43" s="212">
        <f>L43+M43+N43+O43</f>
        <v/>
      </c>
      <c r="S43" s="212">
        <f>R43+Q43+P43</f>
        <v/>
      </c>
      <c r="T43" s="212">
        <f>P43+Q43+(R43-(R43*($U$1/100)))</f>
        <v/>
      </c>
      <c r="U43" s="212">
        <f>S43-T43</f>
        <v/>
      </c>
      <c r="V43" s="213">
        <f>((D43*0.6)/11.664)*Prices!$A$4+E43*38000+F43*51900+G43*60900</f>
        <v/>
      </c>
      <c r="W43" s="90" t="n"/>
      <c r="X43" s="90" t="n"/>
      <c r="Y43" s="90" t="n"/>
      <c r="Z43" s="90" t="n"/>
    </row>
    <row r="44">
      <c r="A44" s="90" t="inlineStr">
        <is>
          <t>ER2584</t>
        </is>
      </c>
      <c r="B44" s="90" t="n">
        <v>6.046</v>
      </c>
      <c r="C44" s="115">
        <f>B44*(25/100)</f>
        <v/>
      </c>
      <c r="D44" s="115">
        <f>C44+B44</f>
        <v/>
      </c>
      <c r="E44" s="90" t="n">
        <v>1.21</v>
      </c>
      <c r="F44" s="90" t="n"/>
      <c r="G44" s="90" t="n"/>
      <c r="H44" s="90" t="n"/>
      <c r="I44" s="90" t="n"/>
      <c r="J44" s="90" t="n"/>
      <c r="K44" s="90">
        <f>2.51+1.65</f>
        <v/>
      </c>
      <c r="L44" s="212">
        <f>E44*Prices!B$2</f>
        <v/>
      </c>
      <c r="M44" s="212">
        <f>F44*Prices!C$2</f>
        <v/>
      </c>
      <c r="N44" s="212">
        <f>G44*Prices!D$2</f>
        <v/>
      </c>
      <c r="O44" s="212">
        <f>H44*Prices!E$2</f>
        <v/>
      </c>
      <c r="P44" s="212">
        <f>I44*5000+J44*8000+K44*3000</f>
        <v/>
      </c>
      <c r="Q44" s="212">
        <f>D44*Prices!$A$2</f>
        <v/>
      </c>
      <c r="R44" s="212">
        <f>L44+M44+N44+O44</f>
        <v/>
      </c>
      <c r="S44" s="212">
        <f>R44+Q44+P44</f>
        <v/>
      </c>
      <c r="T44" s="212">
        <f>P44+Q44+(R44-(R44*($U$1/100)))</f>
        <v/>
      </c>
      <c r="U44" s="212">
        <f>S44-T44</f>
        <v/>
      </c>
      <c r="V44" s="213">
        <f>((D44*0.6)/11.664)*Prices!$A$4+E44*38000+F44*51900+G44*60900</f>
        <v/>
      </c>
      <c r="W44" s="90" t="n"/>
      <c r="X44" s="90" t="n"/>
      <c r="Y44" s="90" t="n"/>
      <c r="Z44" s="90" t="n"/>
    </row>
    <row r="45">
      <c r="A45" s="90" t="inlineStr">
        <is>
          <t>ER2084</t>
        </is>
      </c>
      <c r="B45" s="90" t="n">
        <v>7.342</v>
      </c>
      <c r="C45" s="115">
        <f>B45*(25/100)</f>
        <v/>
      </c>
      <c r="D45" s="115">
        <f>C45+B45</f>
        <v/>
      </c>
      <c r="E45" s="90" t="n">
        <v>0.89</v>
      </c>
      <c r="F45" s="90" t="n"/>
      <c r="G45" s="90" t="n"/>
      <c r="H45" s="90" t="n"/>
      <c r="I45" s="90" t="n"/>
      <c r="J45" s="90" t="n"/>
      <c r="K45" s="90">
        <f>2.87+5.18</f>
        <v/>
      </c>
      <c r="L45" s="212">
        <f>E45*Prices!B$2</f>
        <v/>
      </c>
      <c r="M45" s="212">
        <f>F45*Prices!C$2</f>
        <v/>
      </c>
      <c r="N45" s="212">
        <f>G45*Prices!D$2</f>
        <v/>
      </c>
      <c r="O45" s="212">
        <f>H45*Prices!E$2</f>
        <v/>
      </c>
      <c r="P45" s="212">
        <f>I45*5000+J45*8000+K45*3000</f>
        <v/>
      </c>
      <c r="Q45" s="212">
        <f>D45*Prices!$A$2</f>
        <v/>
      </c>
      <c r="R45" s="212">
        <f>L45+M45+N45+O45</f>
        <v/>
      </c>
      <c r="S45" s="212">
        <f>R45+Q45+P45</f>
        <v/>
      </c>
      <c r="T45" s="212">
        <f>P45+Q45+(R45-(R45*($U$1/100)))</f>
        <v/>
      </c>
      <c r="U45" s="212">
        <f>S45-T45</f>
        <v/>
      </c>
      <c r="V45" s="213">
        <f>((D45*0.6)/11.664)*Prices!$A$4+E45*38000+F45*51900+G45*60900</f>
        <v/>
      </c>
      <c r="W45" s="90" t="n"/>
      <c r="X45" s="90" t="n"/>
      <c r="Y45" s="90" t="n"/>
      <c r="Z45" s="90" t="n"/>
    </row>
    <row r="46">
      <c r="A46" s="90" t="inlineStr">
        <is>
          <t>ER1939</t>
        </is>
      </c>
      <c r="B46" s="90" t="n">
        <v>11.382</v>
      </c>
      <c r="C46" s="115">
        <f>B46*(25/100)</f>
        <v/>
      </c>
      <c r="D46" s="115">
        <f>C46+B46</f>
        <v/>
      </c>
      <c r="E46" s="90" t="n">
        <v>2.15</v>
      </c>
      <c r="F46" s="90" t="n"/>
      <c r="G46" s="90" t="n"/>
      <c r="H46" s="90" t="n"/>
      <c r="I46" s="90" t="n"/>
      <c r="J46" s="90" t="n"/>
      <c r="K46" s="90">
        <f>5.4+6.49</f>
        <v/>
      </c>
      <c r="L46" s="212">
        <f>E46*Prices!B$2</f>
        <v/>
      </c>
      <c r="M46" s="212">
        <f>F46*Prices!C$2</f>
        <v/>
      </c>
      <c r="N46" s="212">
        <f>G46*Prices!D$2</f>
        <v/>
      </c>
      <c r="O46" s="212">
        <f>H46*Prices!E$2</f>
        <v/>
      </c>
      <c r="P46" s="212">
        <f>I46*5000+J46*8000+K46*3000</f>
        <v/>
      </c>
      <c r="Q46" s="212">
        <f>D46*Prices!$A$2</f>
        <v/>
      </c>
      <c r="R46" s="212">
        <f>L46+M46+N46+O46</f>
        <v/>
      </c>
      <c r="S46" s="212">
        <f>R46+Q46+P46</f>
        <v/>
      </c>
      <c r="T46" s="212">
        <f>P46+Q46+(R46-(R46*($U$1/100)))</f>
        <v/>
      </c>
      <c r="U46" s="212">
        <f>S46-T46</f>
        <v/>
      </c>
      <c r="V46" s="213">
        <f>((D46*0.6)/11.664)*Prices!$A$4+E46*38000+F46*51900+G46*60900</f>
        <v/>
      </c>
      <c r="W46" s="90" t="n"/>
      <c r="X46" s="90" t="n"/>
      <c r="Y46" s="90" t="n"/>
      <c r="Z46" s="90" t="n"/>
    </row>
    <row r="47">
      <c r="A47" s="90" t="inlineStr">
        <is>
          <t>ER2584</t>
        </is>
      </c>
      <c r="B47" s="90" t="n">
        <v>6.046</v>
      </c>
      <c r="C47" s="115">
        <f>B47*(25/100)</f>
        <v/>
      </c>
      <c r="D47" s="115">
        <f>C47+B47</f>
        <v/>
      </c>
      <c r="E47" s="90" t="n">
        <v>1.21</v>
      </c>
      <c r="F47" s="90" t="n"/>
      <c r="G47" s="90" t="n"/>
      <c r="H47" s="90" t="n"/>
      <c r="I47" s="90" t="n"/>
      <c r="J47" s="90" t="n"/>
      <c r="K47" s="90">
        <f>2.51+1.67</f>
        <v/>
      </c>
      <c r="L47" s="212">
        <f>E47*Prices!B$2</f>
        <v/>
      </c>
      <c r="M47" s="212">
        <f>F47*Prices!C$2</f>
        <v/>
      </c>
      <c r="N47" s="212">
        <f>G47*Prices!D$2</f>
        <v/>
      </c>
      <c r="O47" s="212">
        <f>H47*Prices!E$2</f>
        <v/>
      </c>
      <c r="P47" s="212">
        <f>I47*5000+J47*8000+K47*3000</f>
        <v/>
      </c>
      <c r="Q47" s="212">
        <f>D47*Prices!$A$2</f>
        <v/>
      </c>
      <c r="R47" s="212">
        <f>L47+M47+N47+O47</f>
        <v/>
      </c>
      <c r="S47" s="212">
        <f>R47+Q47+P47</f>
        <v/>
      </c>
      <c r="T47" s="212">
        <f>P47+Q47+(R47-(R47*($U$1/100)))</f>
        <v/>
      </c>
      <c r="U47" s="212">
        <f>S47-T47</f>
        <v/>
      </c>
      <c r="V47" s="213">
        <f>((D47*0.6)/11.664)*Prices!$A$4+E47*38000+F47*51900+G47*60900</f>
        <v/>
      </c>
      <c r="W47" s="90" t="n"/>
      <c r="X47" s="90" t="n"/>
      <c r="Y47" s="90" t="n"/>
      <c r="Z47" s="90" t="n"/>
    </row>
    <row r="48">
      <c r="A48" s="90" t="inlineStr">
        <is>
          <t>RG2699</t>
        </is>
      </c>
      <c r="B48" s="90" t="n">
        <v>5.94</v>
      </c>
      <c r="C48" s="115">
        <f>B48*(25/100)</f>
        <v/>
      </c>
      <c r="D48" s="115">
        <f>C48+B48</f>
        <v/>
      </c>
      <c r="E48" s="90" t="n">
        <v>0.49</v>
      </c>
      <c r="F48" s="90" t="n"/>
      <c r="G48" s="90" t="n"/>
      <c r="H48" s="90" t="n"/>
      <c r="I48" s="90" t="n"/>
      <c r="J48" s="90" t="n"/>
      <c r="K48" s="90">
        <f>3.44+6.32</f>
        <v/>
      </c>
      <c r="L48" s="212">
        <f>E48*Prices!B$2</f>
        <v/>
      </c>
      <c r="M48" s="212">
        <f>F48*Prices!C$2</f>
        <v/>
      </c>
      <c r="N48" s="212">
        <f>G48*Prices!D$2</f>
        <v/>
      </c>
      <c r="O48" s="212">
        <f>H48*Prices!E$2</f>
        <v/>
      </c>
      <c r="P48" s="212">
        <f>I48*5000+J48*8000+K48*3000</f>
        <v/>
      </c>
      <c r="Q48" s="212">
        <f>D48*Prices!$A$2</f>
        <v/>
      </c>
      <c r="R48" s="212">
        <f>L48+M48+N48+O48</f>
        <v/>
      </c>
      <c r="S48" s="212">
        <f>R48+Q48+P48</f>
        <v/>
      </c>
      <c r="T48" s="212">
        <f>P48+Q48+(R48-(R48*($U$1/100)))</f>
        <v/>
      </c>
      <c r="U48" s="212">
        <f>S48-T48</f>
        <v/>
      </c>
      <c r="V48" s="213">
        <f>((D48*0.6)/11.664)*Prices!$A$4+E48*38000+F48*51900+G48*60900</f>
        <v/>
      </c>
      <c r="W48" s="90" t="n"/>
      <c r="X48" s="90" t="n"/>
      <c r="Y48" s="90" t="n"/>
      <c r="Z48" s="90" t="n"/>
    </row>
    <row r="49">
      <c r="A49" s="90" t="inlineStr">
        <is>
          <t>LT1314</t>
        </is>
      </c>
      <c r="B49" s="90" t="n">
        <v>3.744</v>
      </c>
      <c r="C49" s="115">
        <f>B49*(25/100)</f>
        <v/>
      </c>
      <c r="D49" s="115">
        <f>C49+B49</f>
        <v/>
      </c>
      <c r="E49" s="90" t="n">
        <v>0.89</v>
      </c>
      <c r="F49" s="90" t="n"/>
      <c r="G49" s="90" t="n"/>
      <c r="H49" s="90" t="n"/>
      <c r="I49" s="90" t="n"/>
      <c r="J49" s="90" t="n"/>
      <c r="K49" s="90" t="n">
        <v>4.04</v>
      </c>
      <c r="L49" s="212">
        <f>E49*Prices!B$2</f>
        <v/>
      </c>
      <c r="M49" s="212">
        <f>F49*Prices!C$2</f>
        <v/>
      </c>
      <c r="N49" s="212">
        <f>G49*Prices!D$2</f>
        <v/>
      </c>
      <c r="O49" s="212">
        <f>H49*Prices!E$2</f>
        <v/>
      </c>
      <c r="P49" s="212">
        <f>I49*5000+J49*8000+K49*1800</f>
        <v/>
      </c>
      <c r="Q49" s="212">
        <f>D49*Prices!$A$2</f>
        <v/>
      </c>
      <c r="R49" s="212">
        <f>L49+M49+N49+O49</f>
        <v/>
      </c>
      <c r="S49" s="212">
        <f>R49+Q49+P49</f>
        <v/>
      </c>
      <c r="T49" s="212">
        <f>P49+Q49+(R49-(R49*($U$1/100)))</f>
        <v/>
      </c>
      <c r="U49" s="212">
        <f>S49-T49</f>
        <v/>
      </c>
      <c r="V49" s="213">
        <f>((D49*0.6)/11.664)*Prices!$A$4+E49*38000+F49*51900+G49*60900</f>
        <v/>
      </c>
      <c r="W49" s="90" t="n"/>
      <c r="X49" s="90" t="n"/>
      <c r="Y49" s="90" t="n"/>
      <c r="Z49" s="90" t="n"/>
    </row>
    <row r="50">
      <c r="A50" s="90" t="inlineStr">
        <is>
          <t>LT1315</t>
        </is>
      </c>
      <c r="B50" s="90" t="n">
        <v>3.786</v>
      </c>
      <c r="C50" s="115">
        <f>B50*(25/100)</f>
        <v/>
      </c>
      <c r="D50" s="115">
        <f>C50+B50</f>
        <v/>
      </c>
      <c r="E50" s="90" t="n">
        <v>0.9</v>
      </c>
      <c r="F50" s="90" t="n"/>
      <c r="G50" s="90" t="n"/>
      <c r="H50" s="90" t="n"/>
      <c r="I50" s="90" t="n"/>
      <c r="J50" s="90" t="n"/>
      <c r="K50" s="90" t="n">
        <v>3.97</v>
      </c>
      <c r="L50" s="212">
        <f>E50*Prices!B$2</f>
        <v/>
      </c>
      <c r="M50" s="212">
        <f>F50*Prices!C$2</f>
        <v/>
      </c>
      <c r="N50" s="212">
        <f>G50*Prices!D$2</f>
        <v/>
      </c>
      <c r="O50" s="212">
        <f>H50*Prices!E$2</f>
        <v/>
      </c>
      <c r="P50" s="212">
        <f>I50*5000+J50*8000+K50*1800</f>
        <v/>
      </c>
      <c r="Q50" s="212">
        <f>D50*Prices!$A$2</f>
        <v/>
      </c>
      <c r="R50" s="212">
        <f>L50+M50+N50+O50</f>
        <v/>
      </c>
      <c r="S50" s="212">
        <f>R50+Q50+P50</f>
        <v/>
      </c>
      <c r="T50" s="212">
        <f>P50+Q50+(R50-(R50*($U$1/100)))</f>
        <v/>
      </c>
      <c r="U50" s="212">
        <f>S50-T50</f>
        <v/>
      </c>
      <c r="V50" s="213">
        <f>((D50*0.6)/11.664)*Prices!$A$4+E50*38000+F50*51900+G50*60900</f>
        <v/>
      </c>
      <c r="W50" s="90" t="n"/>
      <c r="X50" s="90" t="n"/>
      <c r="Y50" s="90" t="n"/>
      <c r="Z50" s="90" t="n"/>
    </row>
    <row r="51">
      <c r="A51" s="90" t="inlineStr">
        <is>
          <t>LT1045</t>
        </is>
      </c>
      <c r="B51" s="90" t="n">
        <v>6.76</v>
      </c>
      <c r="C51" s="115">
        <f>B51*(25/100)</f>
        <v/>
      </c>
      <c r="D51" s="115">
        <f>C51+B51</f>
        <v/>
      </c>
      <c r="E51" s="90" t="n">
        <v>0.35</v>
      </c>
      <c r="F51" s="90" t="n"/>
      <c r="G51" s="90" t="n"/>
      <c r="H51" s="90" t="n"/>
      <c r="I51" s="90" t="n"/>
      <c r="J51" s="90" t="n"/>
      <c r="K51" s="90" t="n">
        <v>7.85</v>
      </c>
      <c r="L51" s="212">
        <f>E51*Prices!B$2</f>
        <v/>
      </c>
      <c r="M51" s="212">
        <f>F51*Prices!C$2</f>
        <v/>
      </c>
      <c r="N51" s="212">
        <f>G51*Prices!D$2</f>
        <v/>
      </c>
      <c r="O51" s="212">
        <f>H51*Prices!E$2</f>
        <v/>
      </c>
      <c r="P51" s="212">
        <f>I51*5000+J51*8000+K51*1800</f>
        <v/>
      </c>
      <c r="Q51" s="212">
        <f>D51*Prices!$A$2</f>
        <v/>
      </c>
      <c r="R51" s="212">
        <f>L51+M51+N51+O51</f>
        <v/>
      </c>
      <c r="S51" s="212">
        <f>R51+Q51+P51</f>
        <v/>
      </c>
      <c r="T51" s="212">
        <f>P51+Q51+(R51-(R51*($U$1/100)))</f>
        <v/>
      </c>
      <c r="U51" s="212">
        <f>S51-T51</f>
        <v/>
      </c>
      <c r="V51" s="213">
        <f>((D51*0.6)/11.664)*Prices!$A$4+E51*38000+F51*51900+G51*60900</f>
        <v/>
      </c>
      <c r="W51" s="90" t="n"/>
      <c r="X51" s="90" t="n"/>
      <c r="Y51" s="90" t="n"/>
      <c r="Z51" s="90" t="n"/>
    </row>
    <row r="52">
      <c r="A52" s="90" t="inlineStr">
        <is>
          <t>LT809</t>
        </is>
      </c>
      <c r="B52" s="90" t="n">
        <v>18.278</v>
      </c>
      <c r="C52" s="115">
        <f>B52*(25/100)</f>
        <v/>
      </c>
      <c r="D52" s="90">
        <f>C52+B52</f>
        <v/>
      </c>
      <c r="E52" s="90" t="n">
        <v>4.06</v>
      </c>
      <c r="F52" s="90" t="n"/>
      <c r="G52" s="90" t="n"/>
      <c r="H52" s="90" t="n"/>
      <c r="I52" s="90" t="n"/>
      <c r="J52" s="90" t="n"/>
      <c r="K52" s="90" t="n">
        <v>16.3</v>
      </c>
      <c r="L52" s="212">
        <f>E52*Prices!B$2</f>
        <v/>
      </c>
      <c r="M52" s="212">
        <f>F52*Prices!C$2</f>
        <v/>
      </c>
      <c r="N52" s="212">
        <f>G52*Prices!D$2</f>
        <v/>
      </c>
      <c r="O52" s="212">
        <f>H52*Prices!E$2</f>
        <v/>
      </c>
      <c r="P52" s="212">
        <f>I52*5000+J52*8000+K52*1800</f>
        <v/>
      </c>
      <c r="Q52" s="212">
        <f>D52*Prices!$A$2</f>
        <v/>
      </c>
      <c r="R52" s="212">
        <f>L52+M52+N52+O52</f>
        <v/>
      </c>
      <c r="S52" s="212">
        <f>R52+Q52+P52</f>
        <v/>
      </c>
      <c r="T52" s="212">
        <f>P52+Q52+(R52-(R52*($U$1/100)))</f>
        <v/>
      </c>
      <c r="U52" s="212">
        <f>S52-T52</f>
        <v/>
      </c>
      <c r="V52" s="213">
        <f>((D52*0.6)/11.664)*Prices!$A$4+E52*38000+F52*51900+G52*60900</f>
        <v/>
      </c>
      <c r="W52" s="90" t="n"/>
      <c r="X52" s="90" t="n"/>
      <c r="Y52" s="90" t="n"/>
      <c r="Z52" s="90" t="n"/>
    </row>
    <row r="53">
      <c r="A53" s="90" t="inlineStr">
        <is>
          <t>LT644</t>
        </is>
      </c>
      <c r="B53" s="90" t="n">
        <v>13.728</v>
      </c>
      <c r="C53" s="115">
        <f>B53*(25/100)</f>
        <v/>
      </c>
      <c r="D53" s="90">
        <f>C53+B53</f>
        <v/>
      </c>
      <c r="E53" s="90" t="n">
        <v>0.28</v>
      </c>
      <c r="F53" s="90" t="n">
        <v>1.65</v>
      </c>
      <c r="G53" s="90" t="n"/>
      <c r="H53" s="90" t="n"/>
      <c r="I53" s="90" t="n"/>
      <c r="J53" s="90" t="n"/>
      <c r="K53" s="90">
        <f>5.06+43.47</f>
        <v/>
      </c>
      <c r="L53" s="212">
        <f>E53*Prices!B$2</f>
        <v/>
      </c>
      <c r="M53" s="212">
        <f>F53*Prices!C$2</f>
        <v/>
      </c>
      <c r="N53" s="212">
        <f>G53*Prices!D$2</f>
        <v/>
      </c>
      <c r="O53" s="212">
        <f>H53*Prices!E$2</f>
        <v/>
      </c>
      <c r="P53" s="212">
        <f>I53*5000+J53*8000+K53*1800</f>
        <v/>
      </c>
      <c r="Q53" s="212">
        <f>D53*Prices!$A$2</f>
        <v/>
      </c>
      <c r="R53" s="212">
        <f>L53+M53+N53+O53</f>
        <v/>
      </c>
      <c r="S53" s="212">
        <f>R53+Q53+P53</f>
        <v/>
      </c>
      <c r="T53" s="212">
        <f>P53+Q53+(R53-(R53*($U$1/100)))</f>
        <v/>
      </c>
      <c r="U53" s="212">
        <f>S53-T53</f>
        <v/>
      </c>
      <c r="V53" s="213">
        <f>((D53*0.6)/11.664)*Prices!$A$4+E53*38000+F53*51900+G53*60900</f>
        <v/>
      </c>
      <c r="W53" s="90" t="n"/>
      <c r="X53" s="90" t="n"/>
      <c r="Y53" s="90" t="n"/>
      <c r="Z53" s="90" t="n"/>
    </row>
    <row r="54">
      <c r="A54" s="90" t="inlineStr">
        <is>
          <t>RG3685</t>
        </is>
      </c>
      <c r="B54" s="90" t="n">
        <v>6.036</v>
      </c>
      <c r="C54" s="115">
        <f>B54*(25/100)</f>
        <v/>
      </c>
      <c r="D54" s="90">
        <f>C54+B54</f>
        <v/>
      </c>
      <c r="E54" s="90" t="n">
        <v>1.38</v>
      </c>
      <c r="F54" s="90" t="n"/>
      <c r="G54" s="90" t="n"/>
      <c r="H54" s="90" t="n"/>
      <c r="I54" s="90" t="n"/>
      <c r="J54" s="90" t="n"/>
      <c r="K54" s="90" t="n">
        <v>4.44</v>
      </c>
      <c r="L54" s="212">
        <f>E54*Prices!B$2</f>
        <v/>
      </c>
      <c r="M54" s="212">
        <f>F54*Prices!C$2</f>
        <v/>
      </c>
      <c r="N54" s="212">
        <f>G54*Prices!D$2</f>
        <v/>
      </c>
      <c r="O54" s="212">
        <f>H54*Prices!E$2</f>
        <v/>
      </c>
      <c r="P54" s="212">
        <f>I54*5000+J54*8000+K54*1800</f>
        <v/>
      </c>
      <c r="Q54" s="212">
        <f>D54*Prices!$A$2</f>
        <v/>
      </c>
      <c r="R54" s="212">
        <f>L54+M54+N54+O54</f>
        <v/>
      </c>
      <c r="S54" s="212">
        <f>R54+Q54+P54</f>
        <v/>
      </c>
      <c r="T54" s="212">
        <f>P54+Q54+(R54-(R54*($U$1/100)))</f>
        <v/>
      </c>
      <c r="U54" s="212">
        <f>S54-T54</f>
        <v/>
      </c>
      <c r="V54" s="213">
        <f>((D54*0.6)/11.664)*Prices!$A$4+E54*38000+F54*51900+G54*60900</f>
        <v/>
      </c>
      <c r="W54" s="90" t="n"/>
      <c r="X54" s="90" t="n"/>
      <c r="Y54" s="90" t="n"/>
      <c r="Z54" s="90" t="n"/>
    </row>
    <row r="55">
      <c r="A55" s="90" t="inlineStr">
        <is>
          <t>RG1056</t>
        </is>
      </c>
      <c r="B55" s="90" t="n">
        <v>15.692</v>
      </c>
      <c r="C55" s="115">
        <f>B55*(25/100)</f>
        <v/>
      </c>
      <c r="D55" s="90">
        <f>C55+B55</f>
        <v/>
      </c>
      <c r="E55" s="90" t="n">
        <v>2.38</v>
      </c>
      <c r="F55" s="90" t="n"/>
      <c r="G55" s="90" t="n"/>
      <c r="H55" s="90" t="n"/>
      <c r="I55" s="90" t="n"/>
      <c r="J55" s="90" t="n"/>
      <c r="K55" s="90">
        <f>5.68+11.78</f>
        <v/>
      </c>
      <c r="L55" s="212">
        <f>E55*Prices!B$2</f>
        <v/>
      </c>
      <c r="M55" s="212">
        <f>F55*Prices!C$2</f>
        <v/>
      </c>
      <c r="N55" s="212">
        <f>G55*Prices!D$2</f>
        <v/>
      </c>
      <c r="O55" s="212">
        <f>H55*Prices!E$2</f>
        <v/>
      </c>
      <c r="P55" s="212">
        <f>I55*5000+J55*8000+K55*1800</f>
        <v/>
      </c>
      <c r="Q55" s="212">
        <f>D55*Prices!$A$2</f>
        <v/>
      </c>
      <c r="R55" s="212">
        <f>L55+M55+N55+O55</f>
        <v/>
      </c>
      <c r="S55" s="212">
        <f>R55+Q55+P55</f>
        <v/>
      </c>
      <c r="T55" s="212">
        <f>P55+Q55+(R55-(R55*($U$1/100)))</f>
        <v/>
      </c>
      <c r="U55" s="212">
        <f>S55-T55</f>
        <v/>
      </c>
      <c r="V55" s="213">
        <f>((D55*0.6)/11.664)*Prices!$A$4+E55*38000+F55*51900+G55*60900</f>
        <v/>
      </c>
      <c r="W55" s="90" t="n"/>
      <c r="X55" s="90" t="n"/>
      <c r="Y55" s="90" t="n"/>
      <c r="Z55" s="90" t="n"/>
    </row>
    <row r="56">
      <c r="A56" s="90" t="inlineStr">
        <is>
          <t>LT177</t>
        </is>
      </c>
      <c r="B56" s="90" t="n">
        <v>8.904</v>
      </c>
      <c r="C56" s="115">
        <f>B56*(25/100)</f>
        <v/>
      </c>
      <c r="D56" s="90">
        <f>C56+B56</f>
        <v/>
      </c>
      <c r="E56" s="90" t="n">
        <v>2.97</v>
      </c>
      <c r="F56" s="90" t="n"/>
      <c r="G56" s="90" t="n"/>
      <c r="H56" s="90" t="n"/>
      <c r="I56" s="90" t="n"/>
      <c r="J56" s="90" t="n"/>
      <c r="K56" s="90" t="n">
        <v>7.66</v>
      </c>
      <c r="L56" s="212">
        <f>E56*Prices!B$2</f>
        <v/>
      </c>
      <c r="M56" s="212">
        <f>F56*Prices!C$2</f>
        <v/>
      </c>
      <c r="N56" s="212">
        <f>G56*Prices!D$2</f>
        <v/>
      </c>
      <c r="O56" s="212">
        <f>H56*Prices!E$2</f>
        <v/>
      </c>
      <c r="P56" s="212">
        <f>I56*5000+J56*8000+K56*1800</f>
        <v/>
      </c>
      <c r="Q56" s="212">
        <f>D56*Prices!$A$2</f>
        <v/>
      </c>
      <c r="R56" s="212">
        <f>L56+M56+N56+O56</f>
        <v/>
      </c>
      <c r="S56" s="212">
        <f>R56+Q56+P56</f>
        <v/>
      </c>
      <c r="T56" s="212">
        <f>P56+Q56+(R56-(R56*($U$1/100)))</f>
        <v/>
      </c>
      <c r="U56" s="212">
        <f>S56-T56</f>
        <v/>
      </c>
      <c r="V56" s="213">
        <f>((D56*0.6)/11.664)*Prices!$A$4+E56*38000+F56*51900+G56*60900</f>
        <v/>
      </c>
      <c r="W56" s="90" t="n"/>
      <c r="X56" s="90" t="n"/>
      <c r="Y56" s="90" t="n"/>
      <c r="Z56" s="90" t="n"/>
    </row>
    <row r="57">
      <c r="A57" s="90" t="inlineStr">
        <is>
          <t>ER177</t>
        </is>
      </c>
      <c r="B57" s="90" t="n">
        <v>11.13</v>
      </c>
      <c r="C57" s="115">
        <f>B57*(25/100)</f>
        <v/>
      </c>
      <c r="D57" s="90">
        <f>C57+B57</f>
        <v/>
      </c>
      <c r="E57" s="90" t="n">
        <v>2.8</v>
      </c>
      <c r="F57" s="90" t="n"/>
      <c r="G57" s="90" t="n"/>
      <c r="H57" s="90" t="n"/>
      <c r="I57" s="90" t="n"/>
      <c r="J57" s="90" t="n"/>
      <c r="K57" s="90" t="n">
        <v>7.1</v>
      </c>
      <c r="L57" s="212">
        <f>E57*Prices!B$2</f>
        <v/>
      </c>
      <c r="M57" s="212">
        <f>F57*Prices!C$2</f>
        <v/>
      </c>
      <c r="N57" s="212">
        <f>G57*Prices!D$2</f>
        <v/>
      </c>
      <c r="O57" s="212">
        <f>H57*Prices!E$2</f>
        <v/>
      </c>
      <c r="P57" s="212">
        <f>I57*5000+J57*8000+K57*1800</f>
        <v/>
      </c>
      <c r="Q57" s="212">
        <f>D57*Prices!$A$2</f>
        <v/>
      </c>
      <c r="R57" s="212">
        <f>L57+M57+N57+O57</f>
        <v/>
      </c>
      <c r="S57" s="212">
        <f>R57+Q57+P57</f>
        <v/>
      </c>
      <c r="T57" s="212">
        <f>P57+Q57+(R57-(R57*($U$1/100)))</f>
        <v/>
      </c>
      <c r="U57" s="212">
        <f>S57-T57</f>
        <v/>
      </c>
      <c r="V57" s="213">
        <f>((D57*0.6)/11.664)*Prices!$A$4+E57*38000+F57*51900+G57*60900</f>
        <v/>
      </c>
      <c r="W57" s="90" t="n"/>
      <c r="X57" s="90" t="n"/>
      <c r="Y57" s="90" t="n"/>
      <c r="Z57" s="90" t="n"/>
    </row>
    <row r="58">
      <c r="A58" s="90" t="inlineStr">
        <is>
          <t>ER2584</t>
        </is>
      </c>
      <c r="B58" s="90" t="n">
        <v>6.046</v>
      </c>
      <c r="C58" s="115">
        <f>B58*(25/100)</f>
        <v/>
      </c>
      <c r="D58" s="90">
        <f>C58+B58</f>
        <v/>
      </c>
      <c r="E58" s="90" t="n">
        <v>1.21</v>
      </c>
      <c r="F58" s="90" t="n"/>
      <c r="G58" s="90" t="n"/>
      <c r="H58" s="90" t="n"/>
      <c r="I58" s="90" t="n"/>
      <c r="J58" s="90" t="n"/>
      <c r="K58" s="90">
        <f>2.51+1.65</f>
        <v/>
      </c>
      <c r="L58" s="212">
        <f>E58*Prices!B$2</f>
        <v/>
      </c>
      <c r="M58" s="212">
        <f>F58*Prices!C$2</f>
        <v/>
      </c>
      <c r="N58" s="212">
        <f>G58*Prices!D$2</f>
        <v/>
      </c>
      <c r="O58" s="212">
        <f>H58*Prices!E$2</f>
        <v/>
      </c>
      <c r="P58" s="212">
        <f>I58*5000+J58*8000+K58*1800</f>
        <v/>
      </c>
      <c r="Q58" s="212">
        <f>D58*Prices!$A$2</f>
        <v/>
      </c>
      <c r="R58" s="212">
        <f>L58+M58+N58+O58</f>
        <v/>
      </c>
      <c r="S58" s="212">
        <f>R58+Q58+P58</f>
        <v/>
      </c>
      <c r="T58" s="212">
        <f>P58+Q58+(R58-(R58*($U$1/100)))</f>
        <v/>
      </c>
      <c r="U58" s="212">
        <f>S58-T58</f>
        <v/>
      </c>
      <c r="V58" s="213">
        <f>((D58*0.6)/11.664)*Prices!$A$4+E58*38000+F58*51900+G58*60900</f>
        <v/>
      </c>
      <c r="W58" s="90" t="n"/>
      <c r="X58" s="90" t="n"/>
      <c r="Y58" s="90" t="n"/>
      <c r="Z58" s="90" t="n"/>
    </row>
    <row r="59">
      <c r="A59" s="90" t="inlineStr">
        <is>
          <t>ER2084</t>
        </is>
      </c>
      <c r="B59" s="90" t="n">
        <v>7.342</v>
      </c>
      <c r="C59" s="115">
        <f>B59*(25/100)</f>
        <v/>
      </c>
      <c r="D59" s="90">
        <f>C59+B59</f>
        <v/>
      </c>
      <c r="E59" s="90" t="n">
        <v>0.89</v>
      </c>
      <c r="F59" s="90" t="n"/>
      <c r="G59" s="90" t="n"/>
      <c r="H59" s="90" t="n"/>
      <c r="I59" s="90" t="n"/>
      <c r="J59" s="90" t="n"/>
      <c r="K59" s="90">
        <f>2.87+5.18</f>
        <v/>
      </c>
      <c r="L59" s="212">
        <f>E59*Prices!B$2</f>
        <v/>
      </c>
      <c r="M59" s="212">
        <f>F59*Prices!C$2</f>
        <v/>
      </c>
      <c r="N59" s="212">
        <f>G59*Prices!D$2</f>
        <v/>
      </c>
      <c r="O59" s="212">
        <f>H59*Prices!E$2</f>
        <v/>
      </c>
      <c r="P59" s="212">
        <f>I59*5000+J59*8000+K59*1800</f>
        <v/>
      </c>
      <c r="Q59" s="212">
        <f>D59*Prices!$A$2</f>
        <v/>
      </c>
      <c r="R59" s="212">
        <f>L59+M59+N59+O59</f>
        <v/>
      </c>
      <c r="S59" s="212">
        <f>R59+Q59+P59</f>
        <v/>
      </c>
      <c r="T59" s="212">
        <f>P59+Q59+(R59-(R59*($U$1/100)))</f>
        <v/>
      </c>
      <c r="U59" s="212">
        <f>S59-T59</f>
        <v/>
      </c>
      <c r="V59" s="213">
        <f>((D59*0.6)/11.664)*Prices!$A$4+E59*38000+F59*51900+G59*60900</f>
        <v/>
      </c>
      <c r="W59" s="90" t="n"/>
      <c r="X59" s="90" t="n"/>
      <c r="Y59" s="90" t="n"/>
      <c r="Z59" s="90" t="n"/>
    </row>
    <row r="60">
      <c r="A60" s="90" t="inlineStr">
        <is>
          <t>ER1939</t>
        </is>
      </c>
      <c r="B60" s="90" t="n">
        <v>11.38</v>
      </c>
      <c r="C60" s="115">
        <f>B60*(25/100)</f>
        <v/>
      </c>
      <c r="D60" s="90">
        <f>C60+B60</f>
        <v/>
      </c>
      <c r="E60" s="90" t="n">
        <v>2.15</v>
      </c>
      <c r="F60" s="90" t="n"/>
      <c r="G60" s="90" t="n"/>
      <c r="H60" s="90" t="n"/>
      <c r="I60" s="90" t="n"/>
      <c r="J60" s="90" t="n"/>
      <c r="K60" s="90">
        <f>5.4+6.49</f>
        <v/>
      </c>
      <c r="L60" s="212">
        <f>E60*Prices!B$2</f>
        <v/>
      </c>
      <c r="M60" s="212">
        <f>F60*Prices!C$2</f>
        <v/>
      </c>
      <c r="N60" s="212">
        <f>G60*Prices!D$2</f>
        <v/>
      </c>
      <c r="O60" s="212">
        <f>H60*Prices!E$2</f>
        <v/>
      </c>
      <c r="P60" s="212">
        <f>I60*5000+J60*8000+K60*1800</f>
        <v/>
      </c>
      <c r="Q60" s="212">
        <f>D60*Prices!$A$2</f>
        <v/>
      </c>
      <c r="R60" s="212">
        <f>L60+M60+N60+O60</f>
        <v/>
      </c>
      <c r="S60" s="212">
        <f>R60+Q60+P60</f>
        <v/>
      </c>
      <c r="T60" s="212">
        <f>P60+Q60+(R60-(R60*($U$1/100)))</f>
        <v/>
      </c>
      <c r="U60" s="212">
        <f>S60-T60</f>
        <v/>
      </c>
      <c r="V60" s="213">
        <f>((D60*0.6)/11.664)*Prices!$A$4+E60*38000+F60*51900+G60*60900</f>
        <v/>
      </c>
      <c r="W60" s="90" t="n"/>
      <c r="X60" s="90" t="n"/>
      <c r="Y60" s="90" t="n"/>
      <c r="Z60" s="90" t="n"/>
    </row>
    <row r="61">
      <c r="A61" s="26" t="inlineStr">
        <is>
          <t>NC163</t>
        </is>
      </c>
      <c r="B61" s="26">
        <f>34.07+6.572</f>
        <v/>
      </c>
      <c r="C61" s="26">
        <f>B61*(25/100)</f>
        <v/>
      </c>
      <c r="D61" s="26">
        <f>C61+B61</f>
        <v/>
      </c>
      <c r="E61" s="26">
        <f>6.55+1.19</f>
        <v/>
      </c>
      <c r="F61" s="90" t="n"/>
      <c r="G61" s="90" t="n"/>
      <c r="H61" s="90" t="n"/>
      <c r="I61" s="90" t="n"/>
      <c r="J61" s="90" t="n"/>
      <c r="K61" s="90" t="n"/>
      <c r="L61" s="212">
        <f>E61*Prices!B$2</f>
        <v/>
      </c>
      <c r="M61" s="212">
        <f>F61*Prices!C$2</f>
        <v/>
      </c>
      <c r="N61" s="212">
        <f>G61*Prices!D$2</f>
        <v/>
      </c>
      <c r="O61" s="212">
        <f>H61*Prices!E$2</f>
        <v/>
      </c>
      <c r="P61" s="212">
        <f>I61*5000+J61*8000+K61*1800</f>
        <v/>
      </c>
      <c r="Q61" s="212">
        <f>D61*Prices!$A$2</f>
        <v/>
      </c>
      <c r="R61" s="212">
        <f>L61+M61+N61+O61</f>
        <v/>
      </c>
      <c r="S61" s="212">
        <f>R61+Q61+P61</f>
        <v/>
      </c>
      <c r="T61" s="212">
        <f>P61+Q61+(R61-(R61*($U$1/100)))</f>
        <v/>
      </c>
      <c r="U61" s="212">
        <f>S61-T61</f>
        <v/>
      </c>
      <c r="V61" s="213">
        <f>((D61*0.6)/11.664)*Prices!$A$4+E61*38000+F61*51900+G61*60900</f>
        <v/>
      </c>
      <c r="W61" s="90" t="n"/>
      <c r="X61" s="90" t="n"/>
      <c r="Y61" s="90" t="n"/>
      <c r="Z61" s="90" t="n"/>
    </row>
    <row r="62">
      <c r="A62" s="26" t="inlineStr">
        <is>
          <t>NC414</t>
        </is>
      </c>
      <c r="B62" s="26">
        <f>27.522+9.58</f>
        <v/>
      </c>
      <c r="C62" s="26">
        <f>B62*(25/100)</f>
        <v/>
      </c>
      <c r="D62" s="26">
        <f>C62+B62</f>
        <v/>
      </c>
      <c r="E62" s="26">
        <f>1.84+6.36</f>
        <v/>
      </c>
      <c r="F62" s="90" t="n"/>
      <c r="G62" s="90" t="n"/>
      <c r="H62" s="90" t="n"/>
      <c r="I62" s="90" t="n"/>
      <c r="J62" s="90" t="n"/>
      <c r="K62" s="90" t="n"/>
      <c r="L62" s="212">
        <f>E62*Prices!B$2</f>
        <v/>
      </c>
      <c r="M62" s="212">
        <f>F62*Prices!C$2</f>
        <v/>
      </c>
      <c r="N62" s="212">
        <f>G62*Prices!D$2</f>
        <v/>
      </c>
      <c r="O62" s="212">
        <f>H62*Prices!E$2</f>
        <v/>
      </c>
      <c r="P62" s="212">
        <f>I62*5000+J62*8000+K62*1800</f>
        <v/>
      </c>
      <c r="Q62" s="212">
        <f>D62*Prices!$A$2</f>
        <v/>
      </c>
      <c r="R62" s="212">
        <f>L62+M62+N62+O62</f>
        <v/>
      </c>
      <c r="S62" s="212">
        <f>R62+Q62+P62</f>
        <v/>
      </c>
      <c r="T62" s="212">
        <f>P62+Q62+(R62-(R62*($U$1/100)))</f>
        <v/>
      </c>
      <c r="U62" s="212">
        <f>S62-T62</f>
        <v/>
      </c>
      <c r="V62" s="213">
        <f>((D62*0.6)/11.664)*Prices!$A$4+E62*38000+F62*51900+G62*60900</f>
        <v/>
      </c>
      <c r="W62" s="90" t="n"/>
      <c r="X62" s="90" t="n"/>
      <c r="Y62" s="90" t="n"/>
      <c r="Z62" s="90" t="n"/>
    </row>
    <row r="63">
      <c r="A63" s="26" t="inlineStr">
        <is>
          <t>NC182</t>
        </is>
      </c>
      <c r="B63" s="26">
        <f>20.97+8.362</f>
        <v/>
      </c>
      <c r="C63" s="26">
        <f>B63*(25/100)</f>
        <v/>
      </c>
      <c r="D63" s="26">
        <f>C63+B63</f>
        <v/>
      </c>
      <c r="E63" s="26">
        <f>4.47+1.39</f>
        <v/>
      </c>
      <c r="F63" s="90" t="n"/>
      <c r="G63" s="90" t="n"/>
      <c r="H63" s="90" t="n"/>
      <c r="I63" s="90" t="n"/>
      <c r="J63" s="90" t="n"/>
      <c r="K63" s="90" t="n"/>
      <c r="L63" s="212">
        <f>E63*Prices!B$2</f>
        <v/>
      </c>
      <c r="M63" s="212">
        <f>F63*Prices!C$2</f>
        <v/>
      </c>
      <c r="N63" s="212">
        <f>G63*Prices!D$2</f>
        <v/>
      </c>
      <c r="O63" s="212">
        <f>H63*Prices!E$2</f>
        <v/>
      </c>
      <c r="P63" s="212">
        <f>I63*5000+J63*8000+K63*1800</f>
        <v/>
      </c>
      <c r="Q63" s="212">
        <f>D63*Prices!$A$2</f>
        <v/>
      </c>
      <c r="R63" s="212">
        <f>L63+M63+N63+O63</f>
        <v/>
      </c>
      <c r="S63" s="212">
        <f>R63+Q63+P63</f>
        <v/>
      </c>
      <c r="T63" s="212">
        <f>P63+Q63+(R63-(R63*($U$1/100)))</f>
        <v/>
      </c>
      <c r="U63" s="212">
        <f>S63-T63</f>
        <v/>
      </c>
      <c r="V63" s="213">
        <f>((D63*0.6)/11.664)*Prices!$A$4+E63*38000+F63*51900+G63*60900</f>
        <v/>
      </c>
      <c r="W63" s="90" t="n"/>
      <c r="X63" s="90" t="n"/>
      <c r="Y63" s="90" t="n"/>
      <c r="Z63" s="90" t="n"/>
    </row>
    <row r="64">
      <c r="A64" s="26" t="inlineStr">
        <is>
          <t>NC372</t>
        </is>
      </c>
      <c r="B64" s="26">
        <f>23.358+3.86</f>
        <v/>
      </c>
      <c r="C64" s="26">
        <f>B64*(25/100)</f>
        <v/>
      </c>
      <c r="D64" s="26">
        <f>C64+B64</f>
        <v/>
      </c>
      <c r="E64" s="26">
        <f>7.36+1.25</f>
        <v/>
      </c>
      <c r="F64" s="90" t="n"/>
      <c r="G64" s="90" t="n"/>
      <c r="H64" s="90" t="n"/>
      <c r="I64" s="90" t="n"/>
      <c r="J64" s="90" t="n"/>
      <c r="K64" s="90" t="n"/>
      <c r="L64" s="212">
        <f>E64*Prices!B$2</f>
        <v/>
      </c>
      <c r="M64" s="212">
        <f>F64*Prices!C$2</f>
        <v/>
      </c>
      <c r="N64" s="212">
        <f>G64*Prices!D$2</f>
        <v/>
      </c>
      <c r="O64" s="212">
        <f>H64*Prices!E$2</f>
        <v/>
      </c>
      <c r="P64" s="212">
        <f>I64*5000+J64*8000+K64*1800</f>
        <v/>
      </c>
      <c r="Q64" s="212">
        <f>D64*Prices!$A$2</f>
        <v/>
      </c>
      <c r="R64" s="212">
        <f>L64+M64+N64+O64</f>
        <v/>
      </c>
      <c r="S64" s="212">
        <f>R64+Q64+P64</f>
        <v/>
      </c>
      <c r="T64" s="212">
        <f>P64+Q64+(R64-(R64*($U$1/100)))</f>
        <v/>
      </c>
      <c r="U64" s="212">
        <f>S64-T64</f>
        <v/>
      </c>
      <c r="V64" s="213">
        <f>((D64*0.6)/11.664)*Prices!$A$4+E64*38000+F64*51900+G64*60900</f>
        <v/>
      </c>
      <c r="W64" s="90" t="n"/>
      <c r="X64" s="90" t="n"/>
      <c r="Y64" s="90" t="n"/>
      <c r="Z64" s="90" t="n"/>
    </row>
    <row r="65">
      <c r="A65" s="26" t="inlineStr">
        <is>
          <t>NC307</t>
        </is>
      </c>
      <c r="B65" s="26">
        <f>22.7+8.498</f>
        <v/>
      </c>
      <c r="C65" s="26">
        <f>B65*(25/100)</f>
        <v/>
      </c>
      <c r="D65" s="26">
        <f>C65+B65</f>
        <v/>
      </c>
      <c r="E65" s="26">
        <f>5.89+2.66</f>
        <v/>
      </c>
      <c r="F65" s="90" t="n"/>
      <c r="G65" s="90" t="n"/>
      <c r="H65" s="90" t="n"/>
      <c r="I65" s="90" t="n"/>
      <c r="J65" s="90" t="n"/>
      <c r="K65" s="90" t="n"/>
      <c r="L65" s="212">
        <f>E65*Prices!B$2</f>
        <v/>
      </c>
      <c r="M65" s="212">
        <f>F65*Prices!C$2</f>
        <v/>
      </c>
      <c r="N65" s="212">
        <f>G65*Prices!D$2</f>
        <v/>
      </c>
      <c r="O65" s="212">
        <f>H65*Prices!E$2</f>
        <v/>
      </c>
      <c r="P65" s="212">
        <f>I65*5000+J65*8000+K65*1800</f>
        <v/>
      </c>
      <c r="Q65" s="212">
        <f>D65*Prices!$A$2</f>
        <v/>
      </c>
      <c r="R65" s="212">
        <f>L65+M65+N65+O65</f>
        <v/>
      </c>
      <c r="S65" s="212">
        <f>R65+Q65+P65</f>
        <v/>
      </c>
      <c r="T65" s="212">
        <f>P65+Q65+(R65-(R65*($U$1/100)))</f>
        <v/>
      </c>
      <c r="U65" s="212">
        <f>S65-T65</f>
        <v/>
      </c>
      <c r="V65" s="213">
        <f>((D65*0.6)/11.664)*Prices!$A$4+E65*38000+F65*51900+G65*60900</f>
        <v/>
      </c>
      <c r="W65" s="90" t="n"/>
      <c r="X65" s="90" t="n"/>
      <c r="Y65" s="90" t="n"/>
      <c r="Z65" s="90" t="n"/>
    </row>
    <row r="66">
      <c r="A66" s="90" t="inlineStr">
        <is>
          <t>ER393</t>
        </is>
      </c>
      <c r="B66" s="90" t="n">
        <v>3.598</v>
      </c>
      <c r="C66" s="115">
        <f>B66*(25/100)</f>
        <v/>
      </c>
      <c r="D66" s="26">
        <f>C66+B66</f>
        <v/>
      </c>
      <c r="E66" s="90" t="n">
        <v>0.61</v>
      </c>
      <c r="F66" s="90" t="n"/>
      <c r="G66" s="90" t="n"/>
      <c r="H66" s="90" t="n"/>
      <c r="I66" s="90" t="n"/>
      <c r="J66" s="90" t="n"/>
      <c r="K66" s="90" t="n"/>
      <c r="L66" s="212">
        <f>E66*Prices!B$2</f>
        <v/>
      </c>
      <c r="M66" s="212">
        <f>F66*Prices!C$2</f>
        <v/>
      </c>
      <c r="N66" s="212">
        <f>G66*Prices!D$2</f>
        <v/>
      </c>
      <c r="O66" s="212">
        <f>H66*Prices!E$2</f>
        <v/>
      </c>
      <c r="P66" s="212">
        <f>I66*5000+J66*8000+K66*1800</f>
        <v/>
      </c>
      <c r="Q66" s="212">
        <f>D66*Prices!$A$2</f>
        <v/>
      </c>
      <c r="R66" s="212">
        <f>L66+M66+N66+O66</f>
        <v/>
      </c>
      <c r="S66" s="212">
        <f>R66+Q66+P66</f>
        <v/>
      </c>
      <c r="T66" s="212">
        <f>P66+Q66+(R66-(R66*($U$1/100)))</f>
        <v/>
      </c>
      <c r="U66" s="212">
        <f>S66-T66</f>
        <v/>
      </c>
      <c r="V66" s="213">
        <f>((D66*0.6)/11.664)*Prices!$A$4+E66*38000+F66*51900+G66*60900</f>
        <v/>
      </c>
      <c r="W66" s="90" t="n"/>
      <c r="X66" s="90" t="n"/>
      <c r="Y66" s="90" t="n"/>
      <c r="Z66" s="90" t="n"/>
    </row>
    <row r="67">
      <c r="A67" s="90" t="inlineStr">
        <is>
          <t>ER435</t>
        </is>
      </c>
      <c r="B67" s="90" t="n">
        <v>4.312</v>
      </c>
      <c r="C67" s="115">
        <f>B67*(25/100)</f>
        <v/>
      </c>
      <c r="D67" s="26">
        <f>C67+B67</f>
        <v/>
      </c>
      <c r="E67" s="90" t="n">
        <v>0.88</v>
      </c>
      <c r="F67" s="90" t="n"/>
      <c r="G67" s="90" t="n"/>
      <c r="H67" s="90" t="n"/>
      <c r="I67" s="90" t="n"/>
      <c r="J67" s="90" t="n"/>
      <c r="K67" s="90" t="n"/>
      <c r="L67" s="212">
        <f>E67*Prices!B$2</f>
        <v/>
      </c>
      <c r="M67" s="212">
        <f>F67*Prices!C$2</f>
        <v/>
      </c>
      <c r="N67" s="212">
        <f>G67*Prices!D$2</f>
        <v/>
      </c>
      <c r="O67" s="212">
        <f>H67*Prices!E$2</f>
        <v/>
      </c>
      <c r="P67" s="212">
        <f>I67*5000+J67*8000+K67*1800</f>
        <v/>
      </c>
      <c r="Q67" s="212">
        <f>D67*Prices!$A$2</f>
        <v/>
      </c>
      <c r="R67" s="212">
        <f>L67+M67+N67+O67</f>
        <v/>
      </c>
      <c r="S67" s="212">
        <f>R67+Q67+P67</f>
        <v/>
      </c>
      <c r="T67" s="212">
        <f>P67+Q67+(R67-(R67*($U$1/100)))</f>
        <v/>
      </c>
      <c r="U67" s="212">
        <f>S67-T67</f>
        <v/>
      </c>
      <c r="V67" s="213">
        <f>((D67*0.6)/11.664)*Prices!$A$4+E67*38000+F67*51900+G67*60900</f>
        <v/>
      </c>
      <c r="W67" s="90" t="n"/>
      <c r="X67" s="90" t="n"/>
      <c r="Y67" s="90" t="n"/>
      <c r="Z67" s="90" t="n"/>
    </row>
    <row r="68">
      <c r="A68" s="90" t="inlineStr">
        <is>
          <t>ER1149</t>
        </is>
      </c>
      <c r="B68" s="90" t="n">
        <v>2.82</v>
      </c>
      <c r="C68" s="115">
        <f>B68*(25/100)</f>
        <v/>
      </c>
      <c r="D68" s="26">
        <f>C68+B68</f>
        <v/>
      </c>
      <c r="E68" s="90" t="n">
        <v>0.4</v>
      </c>
      <c r="F68" s="90" t="n"/>
      <c r="G68" s="90" t="n"/>
      <c r="H68" s="90" t="n"/>
      <c r="I68" s="90" t="n"/>
      <c r="J68" s="90" t="n"/>
      <c r="K68" s="90" t="n"/>
      <c r="L68" s="212">
        <f>E68*Prices!B$2</f>
        <v/>
      </c>
      <c r="M68" s="212">
        <f>F68*Prices!C$2</f>
        <v/>
      </c>
      <c r="N68" s="212">
        <f>G68*Prices!D$2</f>
        <v/>
      </c>
      <c r="O68" s="212">
        <f>H68*Prices!E$2</f>
        <v/>
      </c>
      <c r="P68" s="212">
        <f>I68*5000+J68*8000+K68*1800</f>
        <v/>
      </c>
      <c r="Q68" s="212">
        <f>D68*Prices!$A$2</f>
        <v/>
      </c>
      <c r="R68" s="212">
        <f>L68+M68+N68+O68</f>
        <v/>
      </c>
      <c r="S68" s="212">
        <f>R68+Q68+P68</f>
        <v/>
      </c>
      <c r="T68" s="212">
        <f>P68+Q68+(R68-(R68*($U$1/100)))</f>
        <v/>
      </c>
      <c r="U68" s="212">
        <f>S68-T68</f>
        <v/>
      </c>
      <c r="V68" s="213">
        <f>((D68*0.6)/11.664)*Prices!$A$4+E68*38000+F68*51900+G68*60900</f>
        <v/>
      </c>
      <c r="W68" s="90" t="n"/>
      <c r="X68" s="90" t="n"/>
      <c r="Y68" s="90" t="n"/>
      <c r="Z68" s="90" t="n"/>
    </row>
    <row r="69">
      <c r="A69" s="90" t="inlineStr">
        <is>
          <t>ER1641</t>
        </is>
      </c>
      <c r="B69" s="90" t="n">
        <v>4.302</v>
      </c>
      <c r="C69" s="115">
        <f>B69*(25/100)</f>
        <v/>
      </c>
      <c r="D69" s="26">
        <f>C69+B69</f>
        <v/>
      </c>
      <c r="E69" s="90" t="n">
        <v>1.24</v>
      </c>
      <c r="F69" s="90" t="n"/>
      <c r="G69" s="90" t="n"/>
      <c r="H69" s="90" t="n"/>
      <c r="I69" s="90" t="n"/>
      <c r="J69" s="90" t="n"/>
      <c r="K69" s="90" t="n"/>
      <c r="L69" s="212">
        <f>E69*Prices!B$2</f>
        <v/>
      </c>
      <c r="M69" s="212">
        <f>F69*Prices!C$2</f>
        <v/>
      </c>
      <c r="N69" s="212">
        <f>G69*Prices!D$2</f>
        <v/>
      </c>
      <c r="O69" s="212">
        <f>H69*Prices!E$2</f>
        <v/>
      </c>
      <c r="P69" s="212">
        <f>I69*5000+J69*8000+K69*1800</f>
        <v/>
      </c>
      <c r="Q69" s="212">
        <f>D69*Prices!$A$2</f>
        <v/>
      </c>
      <c r="R69" s="212">
        <f>L69+M69+N69+O69</f>
        <v/>
      </c>
      <c r="S69" s="212">
        <f>R69+Q69+P69</f>
        <v/>
      </c>
      <c r="T69" s="212">
        <f>P69+Q69+(R69-(R69*($U$1/100)))</f>
        <v/>
      </c>
      <c r="U69" s="212">
        <f>S69-T69</f>
        <v/>
      </c>
      <c r="V69" s="213">
        <f>((D69*0.6)/11.664)*Prices!$A$4+E69*38000+F69*51900+G69*60900</f>
        <v/>
      </c>
      <c r="W69" s="90" t="n"/>
      <c r="X69" s="90" t="n"/>
      <c r="Y69" s="90" t="n"/>
      <c r="Z69" s="90" t="n"/>
    </row>
    <row r="70">
      <c r="A70" s="90" t="inlineStr">
        <is>
          <t>ER1098</t>
        </is>
      </c>
      <c r="B70" s="90" t="n">
        <v>2.474</v>
      </c>
      <c r="C70" s="115">
        <f>B70*(25/100)</f>
        <v/>
      </c>
      <c r="D70" s="26">
        <f>C70+B70</f>
        <v/>
      </c>
      <c r="E70" s="90" t="n">
        <v>0.43</v>
      </c>
      <c r="F70" s="90" t="n"/>
      <c r="G70" s="90" t="n"/>
      <c r="H70" s="90" t="n"/>
      <c r="I70" s="90" t="n"/>
      <c r="J70" s="90" t="n"/>
      <c r="K70" s="90" t="n"/>
      <c r="L70" s="212">
        <f>E70*Prices!B$2</f>
        <v/>
      </c>
      <c r="M70" s="212">
        <f>F70*Prices!C$2</f>
        <v/>
      </c>
      <c r="N70" s="212">
        <f>G70*Prices!D$2</f>
        <v/>
      </c>
      <c r="O70" s="212">
        <f>H70*Prices!E$2</f>
        <v/>
      </c>
      <c r="P70" s="212">
        <f>I70*5000+J70*8000+K70*1800</f>
        <v/>
      </c>
      <c r="Q70" s="212">
        <f>D70*Prices!$A$2</f>
        <v/>
      </c>
      <c r="R70" s="212">
        <f>L70+M70+N70+O70</f>
        <v/>
      </c>
      <c r="S70" s="212">
        <f>R70+Q70+P70</f>
        <v/>
      </c>
      <c r="T70" s="212">
        <f>P70+Q70+(R70-(R70*($U$1/100)))</f>
        <v/>
      </c>
      <c r="U70" s="212">
        <f>S70-T70</f>
        <v/>
      </c>
      <c r="V70" s="213">
        <f>((D70*0.6)/11.664)*Prices!$A$4+E70*38000+F70*51900+G70*60900</f>
        <v/>
      </c>
      <c r="W70" s="90" t="n"/>
      <c r="X70" s="90" t="n"/>
      <c r="Y70" s="90" t="n"/>
      <c r="Z70" s="90" t="n"/>
    </row>
    <row r="71">
      <c r="A71" s="90" t="inlineStr">
        <is>
          <t>ER2598</t>
        </is>
      </c>
      <c r="B71" s="90" t="n">
        <v>1.61</v>
      </c>
      <c r="C71" s="115">
        <f>B71*(25/100)</f>
        <v/>
      </c>
      <c r="D71" s="26">
        <f>C71+B71</f>
        <v/>
      </c>
      <c r="E71" s="90" t="n">
        <v>0.2</v>
      </c>
      <c r="F71" s="90" t="n"/>
      <c r="G71" s="90" t="n"/>
      <c r="H71" s="90" t="n"/>
      <c r="I71" s="90" t="n"/>
      <c r="J71" s="90" t="n"/>
      <c r="K71" s="90" t="n"/>
      <c r="L71" s="212">
        <f>E71*Prices!B$2</f>
        <v/>
      </c>
      <c r="M71" s="212">
        <f>F71*Prices!C$2</f>
        <v/>
      </c>
      <c r="N71" s="212">
        <f>G71*Prices!D$2</f>
        <v/>
      </c>
      <c r="O71" s="212">
        <f>H71*Prices!E$2</f>
        <v/>
      </c>
      <c r="P71" s="212">
        <f>I71*5000+J71*8000+K71*1800</f>
        <v/>
      </c>
      <c r="Q71" s="212">
        <f>D71*Prices!$A$2</f>
        <v/>
      </c>
      <c r="R71" s="212">
        <f>L71+M71+N71+O71</f>
        <v/>
      </c>
      <c r="S71" s="212">
        <f>R71+Q71+P71</f>
        <v/>
      </c>
      <c r="T71" s="212">
        <f>P71+Q71+(R71-(R71*($U$1/100)))</f>
        <v/>
      </c>
      <c r="U71" s="212">
        <f>S71-T71</f>
        <v/>
      </c>
      <c r="V71" s="213">
        <f>((D71*0.6)/11.664)*Prices!$A$4+E71*38000+F71*51900+G71*60900</f>
        <v/>
      </c>
      <c r="W71" s="90" t="n"/>
      <c r="X71" s="90" t="n"/>
      <c r="Y71" s="90" t="n"/>
      <c r="Z71" s="90" t="n"/>
    </row>
    <row r="72">
      <c r="A72" s="90" t="inlineStr">
        <is>
          <t>ER2541</t>
        </is>
      </c>
      <c r="B72" s="90" t="n">
        <v>2.958</v>
      </c>
      <c r="C72" s="115">
        <f>B72*(25/100)</f>
        <v/>
      </c>
      <c r="D72" s="26">
        <f>C72+B72</f>
        <v/>
      </c>
      <c r="E72" s="90" t="n">
        <v>0.76</v>
      </c>
      <c r="F72" s="90" t="n"/>
      <c r="G72" s="90" t="n"/>
      <c r="H72" s="90" t="n"/>
      <c r="I72" s="90" t="n"/>
      <c r="J72" s="90" t="n"/>
      <c r="K72" s="90" t="n"/>
      <c r="L72" s="212">
        <f>E72*Prices!B$2</f>
        <v/>
      </c>
      <c r="M72" s="212">
        <f>F72*Prices!C$2</f>
        <v/>
      </c>
      <c r="N72" s="212">
        <f>G72*Prices!D$2</f>
        <v/>
      </c>
      <c r="O72" s="212">
        <f>H72*Prices!E$2</f>
        <v/>
      </c>
      <c r="P72" s="212">
        <f>I72*5000+J72*8000+K72*1800</f>
        <v/>
      </c>
      <c r="Q72" s="212">
        <f>D72*Prices!$A$2</f>
        <v/>
      </c>
      <c r="R72" s="212">
        <f>L72+M72+N72+O72</f>
        <v/>
      </c>
      <c r="S72" s="212">
        <f>R72+Q72+P72</f>
        <v/>
      </c>
      <c r="T72" s="212">
        <f>P72+Q72+(R72-(R72*($U$1/100)))</f>
        <v/>
      </c>
      <c r="U72" s="212">
        <f>S72-T72</f>
        <v/>
      </c>
      <c r="V72" s="213">
        <f>((D72*0.6)/11.664)*Prices!$A$4+E72*38000+F72*51900+G72*60900</f>
        <v/>
      </c>
      <c r="W72" s="90" t="n"/>
      <c r="X72" s="90" t="n"/>
      <c r="Y72" s="90" t="n"/>
      <c r="Z72" s="90" t="n"/>
    </row>
    <row r="73">
      <c r="A73" s="90" t="inlineStr">
        <is>
          <t>ER1852</t>
        </is>
      </c>
      <c r="B73" s="90" t="n">
        <v>1.488</v>
      </c>
      <c r="C73" s="115">
        <f>B73*(25/100)</f>
        <v/>
      </c>
      <c r="D73" s="26">
        <f>C73+B73</f>
        <v/>
      </c>
      <c r="E73" s="90" t="n">
        <v>0.26</v>
      </c>
      <c r="F73" s="90" t="n"/>
      <c r="G73" s="90" t="n"/>
      <c r="H73" s="90" t="n"/>
      <c r="I73" s="90" t="n"/>
      <c r="J73" s="90" t="n"/>
      <c r="K73" s="90" t="n"/>
      <c r="L73" s="212">
        <f>E73*Prices!B$2</f>
        <v/>
      </c>
      <c r="M73" s="212">
        <f>F73*Prices!C$2</f>
        <v/>
      </c>
      <c r="N73" s="212">
        <f>G73*Prices!D$2</f>
        <v/>
      </c>
      <c r="O73" s="212">
        <f>H73*Prices!E$2</f>
        <v/>
      </c>
      <c r="P73" s="212">
        <f>I73*5000+J73*8000+K73*1800</f>
        <v/>
      </c>
      <c r="Q73" s="212">
        <f>D73*Prices!$A$2</f>
        <v/>
      </c>
      <c r="R73" s="212">
        <f>L73+M73+N73+O73</f>
        <v/>
      </c>
      <c r="S73" s="212">
        <f>R73+Q73+P73</f>
        <v/>
      </c>
      <c r="T73" s="212">
        <f>P73+Q73+(R73-(R73*($U$1/100)))</f>
        <v/>
      </c>
      <c r="U73" s="212">
        <f>S73-T73</f>
        <v/>
      </c>
      <c r="V73" s="213">
        <f>((D73*0.6)/11.664)*Prices!$A$4+E73*38000+F73*51900+G73*60900</f>
        <v/>
      </c>
      <c r="W73" s="90" t="n"/>
      <c r="X73" s="90" t="n"/>
      <c r="Y73" s="90" t="n"/>
      <c r="Z73" s="90" t="n"/>
    </row>
    <row r="74">
      <c r="A74" s="90" t="inlineStr">
        <is>
          <t>ER808</t>
        </is>
      </c>
      <c r="B74" s="90" t="n">
        <v>1.892</v>
      </c>
      <c r="C74" s="115">
        <f>B74*(25/100)</f>
        <v/>
      </c>
      <c r="D74" s="26">
        <f>C74+B74</f>
        <v/>
      </c>
      <c r="E74" s="90" t="n">
        <v>0.19</v>
      </c>
      <c r="F74" s="90" t="n"/>
      <c r="G74" s="90" t="n"/>
      <c r="H74" s="90" t="n"/>
      <c r="I74" s="90" t="n"/>
      <c r="J74" s="90" t="n"/>
      <c r="K74" s="90" t="n"/>
      <c r="L74" s="212">
        <f>E74*Prices!B$2</f>
        <v/>
      </c>
      <c r="M74" s="212">
        <f>F74*Prices!C$2</f>
        <v/>
      </c>
      <c r="N74" s="212">
        <f>G74*Prices!D$2</f>
        <v/>
      </c>
      <c r="O74" s="212">
        <f>H74*Prices!E$2</f>
        <v/>
      </c>
      <c r="P74" s="212">
        <f>I74*5000+J74*8000+K74*1800</f>
        <v/>
      </c>
      <c r="Q74" s="212">
        <f>D74*Prices!$A$2</f>
        <v/>
      </c>
      <c r="R74" s="212">
        <f>L74+M74+N74+O74</f>
        <v/>
      </c>
      <c r="S74" s="212">
        <f>R74+Q74+P74</f>
        <v/>
      </c>
      <c r="T74" s="212">
        <f>P74+Q74+(R74-(R74*($U$1/100)))</f>
        <v/>
      </c>
      <c r="U74" s="212">
        <f>S74-T74</f>
        <v/>
      </c>
      <c r="V74" s="213">
        <f>((D74*0.6)/11.664)*Prices!$A$4+E74*38000+F74*51900+G74*60900</f>
        <v/>
      </c>
      <c r="W74" s="90" t="n"/>
      <c r="X74" s="90" t="n"/>
      <c r="Y74" s="90" t="n"/>
      <c r="Z74" s="90" t="n"/>
    </row>
    <row r="75">
      <c r="A75" s="90" t="inlineStr">
        <is>
          <t>ER2596</t>
        </is>
      </c>
      <c r="B75" s="90" t="n">
        <v>1.314</v>
      </c>
      <c r="C75" s="115">
        <f>B75*(25/100)</f>
        <v/>
      </c>
      <c r="D75" s="26">
        <f>C75+B75</f>
        <v/>
      </c>
      <c r="E75" s="90" t="n">
        <v>0.23</v>
      </c>
      <c r="F75" s="90" t="n"/>
      <c r="G75" s="90" t="n"/>
      <c r="H75" s="90" t="n"/>
      <c r="I75" s="90" t="n"/>
      <c r="J75" s="90" t="n"/>
      <c r="K75" s="90" t="n"/>
      <c r="L75" s="212">
        <f>E75*Prices!B$2</f>
        <v/>
      </c>
      <c r="M75" s="212">
        <f>F75*Prices!C$2</f>
        <v/>
      </c>
      <c r="N75" s="212">
        <f>G75*Prices!D$2</f>
        <v/>
      </c>
      <c r="O75" s="212">
        <f>H75*Prices!E$2</f>
        <v/>
      </c>
      <c r="P75" s="212">
        <f>I75*5000+J75*8000+K75*1800</f>
        <v/>
      </c>
      <c r="Q75" s="212">
        <f>D75*Prices!$A$2</f>
        <v/>
      </c>
      <c r="R75" s="212">
        <f>L75+M75+N75+O75</f>
        <v/>
      </c>
      <c r="S75" s="212">
        <f>R75+Q75+P75</f>
        <v/>
      </c>
      <c r="T75" s="212">
        <f>P75+Q75+(R75-(R75*($U$1/100)))</f>
        <v/>
      </c>
      <c r="U75" s="212">
        <f>S75-T75</f>
        <v/>
      </c>
      <c r="V75" s="213">
        <f>((D75*0.6)/11.664)*Prices!$A$4+E75*38000+F75*51900+G75*60900</f>
        <v/>
      </c>
      <c r="W75" s="90" t="n"/>
      <c r="X75" s="90" t="n"/>
      <c r="Y75" s="90" t="n"/>
      <c r="Z75" s="90" t="n"/>
    </row>
    <row r="76">
      <c r="A76" s="90" t="inlineStr">
        <is>
          <t>ER1881</t>
        </is>
      </c>
      <c r="B76" s="90" t="n">
        <v>2.6</v>
      </c>
      <c r="C76" s="115">
        <f>B76*(25/100)</f>
        <v/>
      </c>
      <c r="D76" s="26">
        <f>C76+B76</f>
        <v/>
      </c>
      <c r="E76" s="90" t="n">
        <v>0.18</v>
      </c>
      <c r="F76" s="90" t="n">
        <v>0.14</v>
      </c>
      <c r="G76" s="90" t="n"/>
      <c r="H76" s="90" t="n"/>
      <c r="I76" s="90" t="n"/>
      <c r="J76" s="90" t="n"/>
      <c r="K76" s="90" t="n">
        <v>8.18</v>
      </c>
      <c r="L76" s="212">
        <f>E76*Prices!B$2</f>
        <v/>
      </c>
      <c r="M76" s="212">
        <f>F76*Prices!C$2</f>
        <v/>
      </c>
      <c r="N76" s="212">
        <f>G76*Prices!D$2</f>
        <v/>
      </c>
      <c r="O76" s="212">
        <f>H76*Prices!E$2</f>
        <v/>
      </c>
      <c r="P76" s="212">
        <f>I76*5000+J76*8000+K76*1800</f>
        <v/>
      </c>
      <c r="Q76" s="212">
        <f>D76*Prices!$A$2</f>
        <v/>
      </c>
      <c r="R76" s="212">
        <f>L76+M76+N76+O76</f>
        <v/>
      </c>
      <c r="S76" s="212">
        <f>R76+Q76+P76</f>
        <v/>
      </c>
      <c r="T76" s="212">
        <f>P76+Q76+(R76-(R76*($U$1/100)))</f>
        <v/>
      </c>
      <c r="U76" s="212">
        <f>S76-T76</f>
        <v/>
      </c>
      <c r="V76" s="213">
        <f>((D76*0.6)/11.664)*Prices!$A$4+E76*38000+F76*51900+G76*60900</f>
        <v/>
      </c>
      <c r="W76" s="90" t="n"/>
      <c r="X76" s="90" t="n"/>
      <c r="Y76" s="90" t="n"/>
      <c r="Z76" s="90" t="n"/>
    </row>
    <row r="77">
      <c r="A77" s="90" t="inlineStr">
        <is>
          <t>ER1615</t>
        </is>
      </c>
      <c r="B77" s="90" t="n">
        <v>2.514</v>
      </c>
      <c r="C77" s="115">
        <f>B77*(25/100)</f>
        <v/>
      </c>
      <c r="D77" s="26">
        <f>C77+B77</f>
        <v/>
      </c>
      <c r="E77" s="90" t="n">
        <v>0.62</v>
      </c>
      <c r="F77" s="90" t="n"/>
      <c r="G77" s="90" t="n"/>
      <c r="H77" s="90" t="n"/>
      <c r="I77" s="90" t="n"/>
      <c r="J77" s="90" t="n"/>
      <c r="K77" s="90" t="n">
        <v>3.66</v>
      </c>
      <c r="L77" s="212">
        <f>E77*Prices!B$2</f>
        <v/>
      </c>
      <c r="M77" s="212">
        <f>F77*Prices!C$2</f>
        <v/>
      </c>
      <c r="N77" s="212">
        <f>G77*Prices!D$2</f>
        <v/>
      </c>
      <c r="O77" s="212">
        <f>H77*Prices!E$2</f>
        <v/>
      </c>
      <c r="P77" s="212">
        <f>I77*5000+J77*8000+K77*1800</f>
        <v/>
      </c>
      <c r="Q77" s="212">
        <f>D77*Prices!$A$2</f>
        <v/>
      </c>
      <c r="R77" s="212">
        <f>L77+M77+N77+O77</f>
        <v/>
      </c>
      <c r="S77" s="212">
        <f>R77+Q77+P77</f>
        <v/>
      </c>
      <c r="T77" s="212">
        <f>P77+Q77+(R77-(R77*($U$1/100)))</f>
        <v/>
      </c>
      <c r="U77" s="212">
        <f>S77-T77</f>
        <v/>
      </c>
      <c r="V77" s="213">
        <f>((D77*0.6)/11.664)*Prices!$A$4+E77*38000+F77*51900+G77*60900</f>
        <v/>
      </c>
      <c r="W77" s="90" t="n"/>
      <c r="X77" s="90" t="n"/>
      <c r="Y77" s="90" t="n"/>
      <c r="Z77" s="90" t="n"/>
    </row>
    <row r="78">
      <c r="A78" s="90" t="inlineStr">
        <is>
          <t>ER241</t>
        </is>
      </c>
      <c r="B78" s="90" t="n">
        <v>4.466</v>
      </c>
      <c r="C78" s="115">
        <f>B78*(25/100)</f>
        <v/>
      </c>
      <c r="D78" s="26">
        <f>C78+B78</f>
        <v/>
      </c>
      <c r="E78" s="90" t="n">
        <v>0.6</v>
      </c>
      <c r="F78" s="90" t="n"/>
      <c r="G78" s="90" t="n"/>
      <c r="H78" s="90" t="n"/>
      <c r="I78" s="90" t="n"/>
      <c r="J78" s="90" t="n"/>
      <c r="K78" s="90" t="n">
        <v>7.62</v>
      </c>
      <c r="L78" s="212">
        <f>E78*Prices!B$2</f>
        <v/>
      </c>
      <c r="M78" s="212">
        <f>F78*Prices!C$2</f>
        <v/>
      </c>
      <c r="N78" s="212">
        <f>G78*Prices!D$2</f>
        <v/>
      </c>
      <c r="O78" s="212">
        <f>H78*Prices!E$2</f>
        <v/>
      </c>
      <c r="P78" s="212">
        <f>I78*5000+J78*8000+K78*1800</f>
        <v/>
      </c>
      <c r="Q78" s="212">
        <f>D78*Prices!$A$2</f>
        <v/>
      </c>
      <c r="R78" s="212">
        <f>L78+M78+N78+O78</f>
        <v/>
      </c>
      <c r="S78" s="212">
        <f>R78+Q78+P78</f>
        <v/>
      </c>
      <c r="T78" s="212">
        <f>P78+Q78+(R78-(R78*($U$1/100)))</f>
        <v/>
      </c>
      <c r="U78" s="212">
        <f>S78-T78</f>
        <v/>
      </c>
      <c r="V78" s="213">
        <f>((D78*0.6)/11.664)*Prices!$A$4+E78*38000+F78*51900+G78*60900</f>
        <v/>
      </c>
      <c r="W78" s="90" t="n"/>
      <c r="X78" s="90" t="n"/>
      <c r="Y78" s="90" t="n"/>
      <c r="Z78" s="90" t="n"/>
    </row>
    <row r="79">
      <c r="A79" s="90" t="inlineStr">
        <is>
          <t>ER2301</t>
        </is>
      </c>
      <c r="B79" s="90" t="n">
        <v>1.692</v>
      </c>
      <c r="C79" s="115">
        <f>B79*(25/100)</f>
        <v/>
      </c>
      <c r="D79" s="26">
        <f>C79+B79</f>
        <v/>
      </c>
      <c r="E79" s="90" t="n">
        <v>0.29</v>
      </c>
      <c r="F79" s="90" t="n"/>
      <c r="G79" s="90" t="n"/>
      <c r="H79" s="90" t="n"/>
      <c r="I79" s="90" t="n"/>
      <c r="J79" s="90" t="n"/>
      <c r="K79" s="90" t="n">
        <v>1.4</v>
      </c>
      <c r="L79" s="212">
        <f>E79*Prices!B$2</f>
        <v/>
      </c>
      <c r="M79" s="212">
        <f>F79*Prices!C$2</f>
        <v/>
      </c>
      <c r="N79" s="212">
        <f>G79*Prices!D$2</f>
        <v/>
      </c>
      <c r="O79" s="212">
        <f>H79*Prices!E$2</f>
        <v/>
      </c>
      <c r="P79" s="212">
        <f>I79*5000+J79*8000+K79*1800</f>
        <v/>
      </c>
      <c r="Q79" s="212">
        <f>D79*Prices!$A$2</f>
        <v/>
      </c>
      <c r="R79" s="212">
        <f>L79+M79+N79+O79</f>
        <v/>
      </c>
      <c r="S79" s="212">
        <f>R79+Q79+P79</f>
        <v/>
      </c>
      <c r="T79" s="212">
        <f>P79+Q79+(R79-(R79*($U$1/100)))</f>
        <v/>
      </c>
      <c r="U79" s="212">
        <f>S79-T79</f>
        <v/>
      </c>
      <c r="V79" s="213">
        <f>((D79*0.6)/11.664)*Prices!$A$4+E79*38000+F79*51900+G79*60900</f>
        <v/>
      </c>
      <c r="W79" s="90" t="n"/>
      <c r="X79" s="90" t="n"/>
      <c r="Y79" s="90" t="n"/>
      <c r="Z79" s="90" t="n"/>
    </row>
    <row r="80">
      <c r="A80" s="90" t="inlineStr">
        <is>
          <t>AJ1</t>
        </is>
      </c>
      <c r="B80" s="169" t="n">
        <v>1.278</v>
      </c>
      <c r="C80" s="115">
        <f>B80*(25/100)</f>
        <v/>
      </c>
      <c r="D80" s="26">
        <f>C80+B80</f>
        <v/>
      </c>
      <c r="E80" s="90">
        <f>0.205+0.055</f>
        <v/>
      </c>
      <c r="F80" s="90" t="n"/>
      <c r="G80" s="90" t="n"/>
      <c r="H80" s="90" t="n"/>
      <c r="I80" s="90" t="n"/>
      <c r="J80" s="90" t="n"/>
      <c r="K80" s="90" t="n"/>
      <c r="L80" s="212">
        <f>E80*Prices!B$2</f>
        <v/>
      </c>
      <c r="M80" s="212">
        <f>F80*Prices!C$2</f>
        <v/>
      </c>
      <c r="N80" s="212">
        <f>G80*Prices!D$2</f>
        <v/>
      </c>
      <c r="O80" s="212">
        <f>H80*Prices!E$2</f>
        <v/>
      </c>
      <c r="P80" s="212">
        <f>I80*5000+J80*8000+K80*1800</f>
        <v/>
      </c>
      <c r="Q80" s="212">
        <f>D80*Prices!$A$2</f>
        <v/>
      </c>
      <c r="R80" s="212">
        <f>L80+M80+N80+O80</f>
        <v/>
      </c>
      <c r="S80" s="212">
        <f>R80+Q80+P80</f>
        <v/>
      </c>
      <c r="T80" s="212">
        <f>P80+Q80+(R80-(R80*($U$1/100)))</f>
        <v/>
      </c>
      <c r="U80" s="212">
        <f>S80-T80</f>
        <v/>
      </c>
      <c r="V80" s="213">
        <f>((D80*0.6)/11.664)*Prices!$A$4+E80*38000+F80*51900+G80*60900</f>
        <v/>
      </c>
      <c r="W80" s="90" t="n"/>
      <c r="X80" s="90" t="n"/>
      <c r="Y80" s="90" t="n"/>
      <c r="Z80" s="90" t="n"/>
    </row>
    <row r="81">
      <c r="A81" s="90" t="n"/>
      <c r="B81" s="90" t="n"/>
      <c r="C81" s="115">
        <f>B81*(25/100)</f>
        <v/>
      </c>
      <c r="D81" s="26">
        <f>C81+B81</f>
        <v/>
      </c>
      <c r="E81" s="90" t="n"/>
      <c r="F81" s="90" t="n"/>
      <c r="G81" s="90" t="n"/>
      <c r="H81" s="90" t="n"/>
      <c r="I81" s="90" t="n"/>
      <c r="J81" s="90" t="n"/>
      <c r="K81" s="90" t="n"/>
      <c r="L81" s="212">
        <f>E81*Prices!B$2</f>
        <v/>
      </c>
      <c r="M81" s="212">
        <f>F81*Prices!C$2</f>
        <v/>
      </c>
      <c r="N81" s="212">
        <f>G81*Prices!D$2</f>
        <v/>
      </c>
      <c r="O81" s="212">
        <f>H81*Prices!E$2</f>
        <v/>
      </c>
      <c r="P81" s="212">
        <f>I81*5000+J81*8000+K81*1800</f>
        <v/>
      </c>
      <c r="Q81" s="212">
        <f>D81*Prices!$A$2</f>
        <v/>
      </c>
      <c r="R81" s="212">
        <f>L81+M81+N81+O81</f>
        <v/>
      </c>
      <c r="S81" s="212">
        <f>R81+Q81+P81</f>
        <v/>
      </c>
      <c r="T81" s="212">
        <f>P81+Q81+(R81-(R81*($U$1/100)))</f>
        <v/>
      </c>
      <c r="U81" s="212">
        <f>S81-T81</f>
        <v/>
      </c>
      <c r="V81" s="213">
        <f>((D81*0.6)/11.664)*Prices!$A$4+E81*38000+F81*51900+G81*60900</f>
        <v/>
      </c>
      <c r="W81" s="90" t="n"/>
      <c r="X81" s="90" t="n"/>
      <c r="Y81" s="90" t="n"/>
      <c r="Z81" s="90" t="n"/>
    </row>
    <row r="82">
      <c r="A82" s="90" t="n"/>
      <c r="B82" s="90" t="n"/>
      <c r="C82" s="115">
        <f>B82*(25/100)</f>
        <v/>
      </c>
      <c r="D82" s="26">
        <f>C82+B82</f>
        <v/>
      </c>
      <c r="E82" s="90" t="n"/>
      <c r="F82" s="90" t="n"/>
      <c r="G82" s="90" t="n"/>
      <c r="H82" s="90" t="n"/>
      <c r="I82" s="90" t="n"/>
      <c r="J82" s="90" t="n"/>
      <c r="K82" s="90" t="n"/>
      <c r="L82" s="212">
        <f>E82*Prices!B$2</f>
        <v/>
      </c>
      <c r="M82" s="212">
        <f>F82*Prices!C$2</f>
        <v/>
      </c>
      <c r="N82" s="212">
        <f>G82*Prices!D$2</f>
        <v/>
      </c>
      <c r="O82" s="212">
        <f>H82*Prices!E$2</f>
        <v/>
      </c>
      <c r="P82" s="212">
        <f>I82*5000+J82*8000+K82*1800</f>
        <v/>
      </c>
      <c r="Q82" s="212">
        <f>D82*Prices!$A$2</f>
        <v/>
      </c>
      <c r="R82" s="212">
        <f>L82+M82+N82+O82</f>
        <v/>
      </c>
      <c r="S82" s="212">
        <f>R82+Q82+P82</f>
        <v/>
      </c>
      <c r="T82" s="212">
        <f>P82+Q82+(R82-(R82*($U$1/100)))</f>
        <v/>
      </c>
      <c r="U82" s="212">
        <f>S82-T82</f>
        <v/>
      </c>
      <c r="V82" s="213">
        <f>((D82*0.6)/11.664)*Prices!$A$4+E82*38000+F82*51900+G82*60900</f>
        <v/>
      </c>
      <c r="W82" s="90" t="n"/>
      <c r="X82" s="90" t="n"/>
      <c r="Y82" s="90" t="n"/>
      <c r="Z82" s="90" t="n"/>
    </row>
    <row r="83">
      <c r="A83" s="90" t="n"/>
      <c r="B83" s="90" t="n"/>
      <c r="C83" s="115">
        <f>B83*(25/100)</f>
        <v/>
      </c>
      <c r="D83" s="26">
        <f>C83+B83</f>
        <v/>
      </c>
      <c r="E83" s="90" t="n"/>
      <c r="F83" s="90" t="n"/>
      <c r="G83" s="90" t="n"/>
      <c r="H83" s="90" t="n"/>
      <c r="I83" s="90" t="n"/>
      <c r="J83" s="90" t="n"/>
      <c r="K83" s="90" t="n"/>
      <c r="L83" s="212">
        <f>E83*Prices!B$2</f>
        <v/>
      </c>
      <c r="M83" s="212">
        <f>F83*Prices!C$2</f>
        <v/>
      </c>
      <c r="N83" s="212">
        <f>G83*Prices!D$2</f>
        <v/>
      </c>
      <c r="O83" s="212">
        <f>H83*Prices!E$2</f>
        <v/>
      </c>
      <c r="P83" s="212">
        <f>I83*5000+J83*8000+K83*1800</f>
        <v/>
      </c>
      <c r="Q83" s="212">
        <f>D83*Prices!$A$2</f>
        <v/>
      </c>
      <c r="R83" s="212">
        <f>L83+M83+N83+O83</f>
        <v/>
      </c>
      <c r="S83" s="212">
        <f>R83+Q83+P83</f>
        <v/>
      </c>
      <c r="T83" s="212">
        <f>P83+Q83+(R83-(R83*($U$1/100)))</f>
        <v/>
      </c>
      <c r="U83" s="212">
        <f>S83-T83</f>
        <v/>
      </c>
      <c r="V83" s="213">
        <f>((D83*0.6)/11.664)*Prices!$A$4+E83*38000+F83*51900+G83*60900</f>
        <v/>
      </c>
      <c r="W83" s="90" t="n"/>
      <c r="X83" s="90" t="n"/>
      <c r="Y83" s="90" t="n"/>
      <c r="Z83" s="90" t="n"/>
    </row>
    <row r="84">
      <c r="A84" s="90" t="n"/>
      <c r="B84" s="90" t="n"/>
      <c r="C84" s="115">
        <f>B84*(25/100)</f>
        <v/>
      </c>
      <c r="D84" s="26">
        <f>C84+B84</f>
        <v/>
      </c>
      <c r="E84" s="90" t="n"/>
      <c r="F84" s="90" t="n"/>
      <c r="G84" s="90" t="n"/>
      <c r="H84" s="90" t="n"/>
      <c r="I84" s="90" t="n"/>
      <c r="J84" s="90" t="n"/>
      <c r="K84" s="90" t="n"/>
      <c r="L84" s="212">
        <f>E84*Prices!B$2</f>
        <v/>
      </c>
      <c r="M84" s="212">
        <f>F84*Prices!C$2</f>
        <v/>
      </c>
      <c r="N84" s="212">
        <f>G84*Prices!D$2</f>
        <v/>
      </c>
      <c r="O84" s="212">
        <f>H84*Prices!E$2</f>
        <v/>
      </c>
      <c r="P84" s="212">
        <f>I84*5000+J84*8000+K84*1800</f>
        <v/>
      </c>
      <c r="Q84" s="212">
        <f>D84*Prices!$A$2</f>
        <v/>
      </c>
      <c r="R84" s="212">
        <f>L84+M84+N84+O84</f>
        <v/>
      </c>
      <c r="S84" s="212">
        <f>R84+Q84+P84</f>
        <v/>
      </c>
      <c r="T84" s="212">
        <f>P84+Q84+(R84-(R84*($U$1/100)))</f>
        <v/>
      </c>
      <c r="U84" s="212">
        <f>S84-T84</f>
        <v/>
      </c>
      <c r="V84" s="213">
        <f>((D84*0.6)/11.664)*Prices!$A$4+E84*38000+F84*51900+G84*60900</f>
        <v/>
      </c>
      <c r="W84" s="90" t="n"/>
      <c r="X84" s="90" t="n"/>
      <c r="Y84" s="90" t="n"/>
      <c r="Z84" s="90" t="n"/>
    </row>
    <row r="85">
      <c r="A85" s="90" t="n"/>
      <c r="B85" s="90" t="n"/>
      <c r="C85" s="115">
        <f>B85*(25/100)</f>
        <v/>
      </c>
      <c r="D85" s="26">
        <f>C85+B85</f>
        <v/>
      </c>
      <c r="E85" s="90" t="n"/>
      <c r="F85" s="90" t="n"/>
      <c r="G85" s="90" t="n"/>
      <c r="H85" s="90" t="n"/>
      <c r="I85" s="90" t="n"/>
      <c r="J85" s="90" t="n"/>
      <c r="K85" s="90" t="n"/>
      <c r="L85" s="212">
        <f>E85*Prices!B$2</f>
        <v/>
      </c>
      <c r="M85" s="212">
        <f>F85*Prices!C$2</f>
        <v/>
      </c>
      <c r="N85" s="212">
        <f>G85*Prices!D$2</f>
        <v/>
      </c>
      <c r="O85" s="212">
        <f>H85*Prices!E$2</f>
        <v/>
      </c>
      <c r="P85" s="212">
        <f>I85*5000+J85*8000+K85*1800</f>
        <v/>
      </c>
      <c r="Q85" s="212">
        <f>D85*Prices!$A$2</f>
        <v/>
      </c>
      <c r="R85" s="212">
        <f>L85+M85+N85+O85</f>
        <v/>
      </c>
      <c r="S85" s="212">
        <f>R85+Q85+P85</f>
        <v/>
      </c>
      <c r="T85" s="212">
        <f>P85+Q85+(R85-(R85*($U$1/100)))</f>
        <v/>
      </c>
      <c r="U85" s="212">
        <f>S85-T85</f>
        <v/>
      </c>
      <c r="V85" s="213">
        <f>((D85*0.6)/11.664)*Prices!$A$4+E85*38000+F85*51900+G85*60900</f>
        <v/>
      </c>
      <c r="W85" s="90" t="n"/>
      <c r="X85" s="90" t="n"/>
      <c r="Y85" s="90" t="n"/>
      <c r="Z85" s="90" t="n"/>
    </row>
    <row r="86">
      <c r="A86" s="90" t="n"/>
      <c r="B86" s="90" t="n"/>
      <c r="C86" s="115">
        <f>B86*(25/100)</f>
        <v/>
      </c>
      <c r="D86" s="26">
        <f>C86+B86</f>
        <v/>
      </c>
      <c r="E86" s="90" t="n"/>
      <c r="F86" s="90" t="n"/>
      <c r="G86" s="90" t="n"/>
      <c r="H86" s="90" t="n"/>
      <c r="I86" s="90" t="n"/>
      <c r="J86" s="90" t="n"/>
      <c r="K86" s="90" t="n"/>
      <c r="L86" s="212">
        <f>E86*Prices!B$2</f>
        <v/>
      </c>
      <c r="M86" s="212">
        <f>F86*Prices!C$2</f>
        <v/>
      </c>
      <c r="N86" s="212">
        <f>G86*Prices!D$2</f>
        <v/>
      </c>
      <c r="O86" s="212">
        <f>H86*Prices!E$2</f>
        <v/>
      </c>
      <c r="P86" s="212">
        <f>I86*5000+J86*8000+K86*1800</f>
        <v/>
      </c>
      <c r="Q86" s="212">
        <f>D86*Prices!$A$2</f>
        <v/>
      </c>
      <c r="R86" s="212">
        <f>L86+M86+N86+O86</f>
        <v/>
      </c>
      <c r="S86" s="212">
        <f>R86+Q86+P86</f>
        <v/>
      </c>
      <c r="T86" s="212">
        <f>P86+Q86+(R86-(R86*($U$1/100)))</f>
        <v/>
      </c>
      <c r="U86" s="212">
        <f>S86-T86</f>
        <v/>
      </c>
      <c r="V86" s="213">
        <f>((D86*0.6)/11.664)*Prices!$A$4+E86*38000+F86*51900+G86*60900</f>
        <v/>
      </c>
      <c r="W86" s="90" t="n"/>
      <c r="X86" s="90" t="n"/>
      <c r="Y86" s="90" t="n"/>
      <c r="Z86" s="90" t="n"/>
    </row>
    <row r="87">
      <c r="A87" s="90" t="n"/>
      <c r="B87" s="90" t="n"/>
      <c r="C87" s="115">
        <f>B87*(25/100)</f>
        <v/>
      </c>
      <c r="D87" s="26">
        <f>C87+B87</f>
        <v/>
      </c>
      <c r="E87" s="90" t="n"/>
      <c r="F87" s="90" t="n"/>
      <c r="G87" s="90" t="n"/>
      <c r="H87" s="90" t="n"/>
      <c r="I87" s="90" t="n"/>
      <c r="J87" s="90" t="n"/>
      <c r="K87" s="90" t="n"/>
      <c r="L87" s="212">
        <f>E87*Prices!B$2</f>
        <v/>
      </c>
      <c r="M87" s="212">
        <f>F87*Prices!C$2</f>
        <v/>
      </c>
      <c r="N87" s="212">
        <f>G87*Prices!D$2</f>
        <v/>
      </c>
      <c r="O87" s="212">
        <f>H87*Prices!E$2</f>
        <v/>
      </c>
      <c r="P87" s="212">
        <f>I87*5000+J87*8000+K87*1800</f>
        <v/>
      </c>
      <c r="Q87" s="212">
        <f>D87*Prices!$A$2</f>
        <v/>
      </c>
      <c r="R87" s="212">
        <f>L87+M87+N87+O87</f>
        <v/>
      </c>
      <c r="S87" s="212">
        <f>R87+Q87+P87</f>
        <v/>
      </c>
      <c r="T87" s="212">
        <f>P87+Q87+(R87-(R87*($U$1/100)))</f>
        <v/>
      </c>
      <c r="U87" s="212">
        <f>S87-T87</f>
        <v/>
      </c>
      <c r="V87" s="213">
        <f>((D87*0.6)/11.664)*Prices!$A$4+E87*38000+F87*51900+G87*60900</f>
        <v/>
      </c>
      <c r="W87" s="90" t="n"/>
      <c r="X87" s="90" t="n"/>
      <c r="Y87" s="90" t="n"/>
      <c r="Z87" s="90" t="n"/>
    </row>
    <row r="88">
      <c r="A88" s="90" t="n"/>
      <c r="B88" s="90" t="n"/>
      <c r="C88" s="115">
        <f>B88*(25/100)</f>
        <v/>
      </c>
      <c r="D88" s="26">
        <f>C88+B88</f>
        <v/>
      </c>
      <c r="E88" s="90" t="n"/>
      <c r="F88" s="90" t="n"/>
      <c r="G88" s="90" t="n"/>
      <c r="H88" s="90" t="n"/>
      <c r="I88" s="90" t="n"/>
      <c r="J88" s="90" t="n"/>
      <c r="K88" s="90" t="n"/>
      <c r="L88" s="212">
        <f>E88*Prices!B$2</f>
        <v/>
      </c>
      <c r="M88" s="212">
        <f>F88*Prices!C$2</f>
        <v/>
      </c>
      <c r="N88" s="212">
        <f>G88*Prices!D$2</f>
        <v/>
      </c>
      <c r="O88" s="212">
        <f>H88*Prices!E$2</f>
        <v/>
      </c>
      <c r="P88" s="212">
        <f>I88*5000+J88*8000+K88*1800</f>
        <v/>
      </c>
      <c r="Q88" s="212">
        <f>D88*Prices!$A$2</f>
        <v/>
      </c>
      <c r="R88" s="212">
        <f>L88+M88+N88+O88</f>
        <v/>
      </c>
      <c r="S88" s="212">
        <f>R88+Q88+P88</f>
        <v/>
      </c>
      <c r="T88" s="212">
        <f>P88+Q88+(R88-(R88*($U$1/100)))</f>
        <v/>
      </c>
      <c r="U88" s="212">
        <f>S88-T88</f>
        <v/>
      </c>
      <c r="V88" s="213">
        <f>((D88*0.6)/11.664)*Prices!$A$4+E88*38000+F88*51900+G88*60900</f>
        <v/>
      </c>
      <c r="W88" s="90" t="n"/>
      <c r="X88" s="90" t="n"/>
      <c r="Y88" s="90" t="n"/>
      <c r="Z88" s="90" t="n"/>
    </row>
    <row r="89">
      <c r="A89" s="90" t="n"/>
      <c r="B89" s="90" t="n"/>
      <c r="C89" s="115">
        <f>B89*(25/100)</f>
        <v/>
      </c>
      <c r="D89" s="26">
        <f>C89+B89</f>
        <v/>
      </c>
      <c r="E89" s="90" t="n"/>
      <c r="F89" s="90" t="n"/>
      <c r="G89" s="90" t="n"/>
      <c r="H89" s="90" t="n"/>
      <c r="I89" s="90" t="n"/>
      <c r="J89" s="90" t="n"/>
      <c r="K89" s="90" t="n"/>
      <c r="L89" s="212">
        <f>E89*Prices!B$2</f>
        <v/>
      </c>
      <c r="M89" s="212">
        <f>F89*Prices!C$2</f>
        <v/>
      </c>
      <c r="N89" s="212">
        <f>G89*Prices!D$2</f>
        <v/>
      </c>
      <c r="O89" s="212">
        <f>H89*Prices!E$2</f>
        <v/>
      </c>
      <c r="P89" s="212">
        <f>I89*5000+J89*8000+K89*1800</f>
        <v/>
      </c>
      <c r="Q89" s="212">
        <f>D89*Prices!$A$2</f>
        <v/>
      </c>
      <c r="R89" s="212">
        <f>L89+M89+N89+O89</f>
        <v/>
      </c>
      <c r="S89" s="212">
        <f>R89+Q89+P89</f>
        <v/>
      </c>
      <c r="T89" s="212">
        <f>P89+Q89+(R89-(R89*($U$1/100)))</f>
        <v/>
      </c>
      <c r="U89" s="212">
        <f>S89-T89</f>
        <v/>
      </c>
      <c r="V89" s="213">
        <f>((D89*0.6)/11.664)*Prices!$A$4+E89*38000+F89*51900+G89*60900</f>
        <v/>
      </c>
      <c r="W89" s="90" t="n"/>
      <c r="X89" s="90" t="n"/>
      <c r="Y89" s="90" t="n"/>
      <c r="Z89" s="90" t="n"/>
    </row>
    <row r="90">
      <c r="A90" s="90" t="n"/>
      <c r="B90" s="90" t="n"/>
      <c r="C90" s="115">
        <f>B90*(25/100)</f>
        <v/>
      </c>
      <c r="D90" s="26">
        <f>C90+B90</f>
        <v/>
      </c>
      <c r="E90" s="90" t="n"/>
      <c r="F90" s="90" t="n"/>
      <c r="G90" s="90" t="n"/>
      <c r="H90" s="90" t="n"/>
      <c r="I90" s="90" t="n"/>
      <c r="J90" s="90" t="n"/>
      <c r="K90" s="90" t="n"/>
      <c r="L90" s="212">
        <f>E90*Prices!B$2</f>
        <v/>
      </c>
      <c r="M90" s="212">
        <f>F90*Prices!C$2</f>
        <v/>
      </c>
      <c r="N90" s="212">
        <f>G90*Prices!D$2</f>
        <v/>
      </c>
      <c r="O90" s="212">
        <f>H90*Prices!E$2</f>
        <v/>
      </c>
      <c r="P90" s="212">
        <f>I90*5000+J90*8000+K90*1800</f>
        <v/>
      </c>
      <c r="Q90" s="212">
        <f>D90*Prices!$A$2</f>
        <v/>
      </c>
      <c r="R90" s="212">
        <f>L90+M90+N90+O90</f>
        <v/>
      </c>
      <c r="S90" s="212">
        <f>R90+Q90+P90</f>
        <v/>
      </c>
      <c r="T90" s="212">
        <f>P90+Q90+(R90-(R90*($U$1/100)))</f>
        <v/>
      </c>
      <c r="U90" s="212">
        <f>S90-T90</f>
        <v/>
      </c>
      <c r="V90" s="213">
        <f>((D90*0.6)/11.664)*Prices!$A$4+E90*38000+F90*51900+G90*60900</f>
        <v/>
      </c>
      <c r="W90" s="90" t="n"/>
      <c r="X90" s="90" t="n"/>
      <c r="Y90" s="90" t="n"/>
      <c r="Z90" s="90" t="n"/>
    </row>
    <row r="91">
      <c r="A91" s="90" t="n"/>
      <c r="B91" s="90" t="n"/>
      <c r="C91" s="115">
        <f>B91*(25/100)</f>
        <v/>
      </c>
      <c r="D91" s="26">
        <f>C91+B91</f>
        <v/>
      </c>
      <c r="E91" s="90" t="n"/>
      <c r="F91" s="90" t="n"/>
      <c r="G91" s="90" t="n"/>
      <c r="H91" s="90" t="n"/>
      <c r="I91" s="90" t="n"/>
      <c r="J91" s="90" t="n"/>
      <c r="K91" s="90" t="n"/>
      <c r="L91" s="212">
        <f>E91*Prices!B$2</f>
        <v/>
      </c>
      <c r="M91" s="212">
        <f>F91*Prices!C$2</f>
        <v/>
      </c>
      <c r="N91" s="212">
        <f>G91*Prices!D$2</f>
        <v/>
      </c>
      <c r="O91" s="212">
        <f>H91*Prices!E$2</f>
        <v/>
      </c>
      <c r="P91" s="212">
        <f>I91*5000+J91*8000+K91*1800</f>
        <v/>
      </c>
      <c r="Q91" s="212">
        <f>D91*Prices!$A$2</f>
        <v/>
      </c>
      <c r="R91" s="212">
        <f>L91+M91+N91+O91</f>
        <v/>
      </c>
      <c r="S91" s="212">
        <f>R91+Q91+P91</f>
        <v/>
      </c>
      <c r="T91" s="212">
        <f>P91+Q91+(R91-(R91*($U$1/100)))</f>
        <v/>
      </c>
      <c r="U91" s="212">
        <f>S91-T91</f>
        <v/>
      </c>
      <c r="V91" s="213">
        <f>((D91*0.6)/11.664)*Prices!$A$4+E91*38000+F91*51900+G91*60900</f>
        <v/>
      </c>
      <c r="W91" s="90" t="n"/>
      <c r="X91" s="90" t="n"/>
      <c r="Y91" s="90" t="n"/>
      <c r="Z91" s="90" t="n"/>
    </row>
    <row r="92">
      <c r="A92" s="90" t="n"/>
      <c r="B92" s="90" t="n"/>
      <c r="C92" s="115">
        <f>B92*(25/100)</f>
        <v/>
      </c>
      <c r="D92" s="26">
        <f>C92+B92</f>
        <v/>
      </c>
      <c r="E92" s="90" t="n"/>
      <c r="F92" s="90" t="n"/>
      <c r="G92" s="90" t="n"/>
      <c r="H92" s="90" t="n"/>
      <c r="I92" s="90" t="n"/>
      <c r="J92" s="90" t="n"/>
      <c r="K92" s="90" t="n"/>
      <c r="L92" s="212">
        <f>E92*Prices!B$2</f>
        <v/>
      </c>
      <c r="M92" s="212">
        <f>F92*Prices!C$2</f>
        <v/>
      </c>
      <c r="N92" s="212">
        <f>G92*Prices!D$2</f>
        <v/>
      </c>
      <c r="O92" s="212">
        <f>H92*Prices!E$2</f>
        <v/>
      </c>
      <c r="P92" s="212">
        <f>I92*5000+J92*8000+K92*1800</f>
        <v/>
      </c>
      <c r="Q92" s="212">
        <f>D92*Prices!$A$2</f>
        <v/>
      </c>
      <c r="R92" s="212">
        <f>L92+M92+N92+O92</f>
        <v/>
      </c>
      <c r="S92" s="212">
        <f>R92+Q92+P92</f>
        <v/>
      </c>
      <c r="T92" s="212">
        <f>P92+Q92+(R92-(R92*($U$1/100)))</f>
        <v/>
      </c>
      <c r="U92" s="212">
        <f>S92-T92</f>
        <v/>
      </c>
      <c r="V92" s="213">
        <f>((D92*0.6)/11.664)*Prices!$A$4+E92*38000+F92*51900+G92*60900</f>
        <v/>
      </c>
      <c r="W92" s="90" t="n"/>
      <c r="X92" s="90" t="n"/>
      <c r="Y92" s="90" t="n"/>
      <c r="Z92" s="90" t="n"/>
    </row>
    <row r="93">
      <c r="A93" s="90" t="n"/>
      <c r="B93" s="90" t="n"/>
      <c r="C93" s="115">
        <f>B93*(25/100)</f>
        <v/>
      </c>
      <c r="D93" s="26">
        <f>C93+B93</f>
        <v/>
      </c>
      <c r="E93" s="90" t="n"/>
      <c r="F93" s="90" t="n"/>
      <c r="G93" s="90" t="n"/>
      <c r="H93" s="90" t="n"/>
      <c r="I93" s="90" t="n"/>
      <c r="J93" s="90" t="n"/>
      <c r="K93" s="90" t="n"/>
      <c r="L93" s="212">
        <f>E93*Prices!B$2</f>
        <v/>
      </c>
      <c r="M93" s="212">
        <f>F93*Prices!C$2</f>
        <v/>
      </c>
      <c r="N93" s="212">
        <f>G93*Prices!D$2</f>
        <v/>
      </c>
      <c r="O93" s="212">
        <f>H93*Prices!E$2</f>
        <v/>
      </c>
      <c r="P93" s="212">
        <f>I93*5000+J93*8000+K93*1800</f>
        <v/>
      </c>
      <c r="Q93" s="212">
        <f>D93*Prices!$A$2</f>
        <v/>
      </c>
      <c r="R93" s="212">
        <f>L93+M93+N93+O93</f>
        <v/>
      </c>
      <c r="S93" s="212">
        <f>R93+Q93+P93</f>
        <v/>
      </c>
      <c r="T93" s="212">
        <f>P93+Q93+(R93-(R93*($U$1/100)))</f>
        <v/>
      </c>
      <c r="U93" s="212">
        <f>S93-T93</f>
        <v/>
      </c>
      <c r="V93" s="213">
        <f>((D93*0.6)/11.664)*Prices!$A$4+E93*38000+F93*51900+G93*60900</f>
        <v/>
      </c>
      <c r="W93" s="90" t="n"/>
      <c r="X93" s="90" t="n"/>
      <c r="Y93" s="90" t="n"/>
      <c r="Z93" s="90" t="n"/>
    </row>
    <row r="94">
      <c r="A94" s="90" t="n"/>
      <c r="B94" s="90" t="n"/>
      <c r="C94" s="115">
        <f>B94*(25/100)</f>
        <v/>
      </c>
      <c r="D94" s="26">
        <f>C94+B94</f>
        <v/>
      </c>
      <c r="E94" s="90" t="n"/>
      <c r="F94" s="90" t="n"/>
      <c r="G94" s="90" t="n"/>
      <c r="H94" s="90" t="n"/>
      <c r="I94" s="90" t="n"/>
      <c r="J94" s="90" t="n"/>
      <c r="K94" s="90" t="n"/>
      <c r="L94" s="212">
        <f>E94*Prices!B$2</f>
        <v/>
      </c>
      <c r="M94" s="212">
        <f>F94*Prices!C$2</f>
        <v/>
      </c>
      <c r="N94" s="212">
        <f>G94*Prices!D$2</f>
        <v/>
      </c>
      <c r="O94" s="212">
        <f>H94*Prices!E$2</f>
        <v/>
      </c>
      <c r="P94" s="212">
        <f>I94*5000+J94*8000+K94*1800</f>
        <v/>
      </c>
      <c r="Q94" s="212">
        <f>D94*Prices!$A$2</f>
        <v/>
      </c>
      <c r="R94" s="212">
        <f>L94+M94+N94+O94</f>
        <v/>
      </c>
      <c r="S94" s="212">
        <f>R94+Q94+P94</f>
        <v/>
      </c>
      <c r="T94" s="212">
        <f>P94+Q94+(R94-(R94*($U$1/100)))</f>
        <v/>
      </c>
      <c r="U94" s="212">
        <f>S94-T94</f>
        <v/>
      </c>
      <c r="V94" s="213">
        <f>((D94*0.6)/11.664)*Prices!$A$4+E94*38000+F94*51900+G94*60900</f>
        <v/>
      </c>
      <c r="W94" s="90" t="n"/>
      <c r="X94" s="90" t="n"/>
      <c r="Y94" s="90" t="n"/>
      <c r="Z94" s="90" t="n"/>
    </row>
    <row r="95">
      <c r="A95" s="90" t="n"/>
      <c r="B95" s="90" t="n"/>
      <c r="C95" s="115">
        <f>B95*(25/100)</f>
        <v/>
      </c>
      <c r="D95" s="26">
        <f>C95+B95</f>
        <v/>
      </c>
      <c r="E95" s="90" t="n"/>
      <c r="F95" s="90" t="n"/>
      <c r="G95" s="90" t="n"/>
      <c r="H95" s="90" t="n"/>
      <c r="I95" s="90" t="n"/>
      <c r="J95" s="90" t="n"/>
      <c r="K95" s="90" t="n"/>
      <c r="L95" s="212">
        <f>E95*Prices!B$2</f>
        <v/>
      </c>
      <c r="M95" s="212">
        <f>F95*Prices!C$2</f>
        <v/>
      </c>
      <c r="N95" s="212">
        <f>G95*Prices!D$2</f>
        <v/>
      </c>
      <c r="O95" s="212">
        <f>H95*Prices!E$2</f>
        <v/>
      </c>
      <c r="P95" s="212">
        <f>I95*5000+J95*8000+K95*1800</f>
        <v/>
      </c>
      <c r="Q95" s="212">
        <f>D95*Prices!$A$2</f>
        <v/>
      </c>
      <c r="R95" s="212">
        <f>L95+M95+N95+O95</f>
        <v/>
      </c>
      <c r="S95" s="212">
        <f>R95+Q95+P95</f>
        <v/>
      </c>
      <c r="T95" s="212">
        <f>P95+Q95+(R95-(R95*($U$1/100)))</f>
        <v/>
      </c>
      <c r="U95" s="212">
        <f>S95-T95</f>
        <v/>
      </c>
      <c r="V95" s="213">
        <f>((D95*0.6)/11.664)*Prices!$A$4+E95*38000+F95*51900+G95*60900</f>
        <v/>
      </c>
      <c r="W95" s="90" t="n"/>
      <c r="X95" s="90" t="n"/>
      <c r="Y95" s="90" t="n"/>
      <c r="Z95" s="90" t="n"/>
    </row>
    <row r="96">
      <c r="A96" s="90" t="n"/>
      <c r="B96" s="90" t="n"/>
      <c r="C96" s="90" t="n"/>
      <c r="D96" s="90" t="n"/>
      <c r="E96" s="90" t="n"/>
      <c r="F96" s="90" t="n"/>
      <c r="G96" s="90" t="n"/>
      <c r="H96" s="90" t="n"/>
      <c r="I96" s="90" t="n"/>
      <c r="J96" s="90" t="n"/>
      <c r="K96" s="90" t="n"/>
      <c r="L96" s="212">
        <f>E96*Prices!B$2</f>
        <v/>
      </c>
      <c r="M96" s="212">
        <f>F96*Prices!C$2</f>
        <v/>
      </c>
      <c r="N96" s="212">
        <f>G96*Prices!D$2</f>
        <v/>
      </c>
      <c r="O96" s="212">
        <f>H96*Prices!E$2</f>
        <v/>
      </c>
      <c r="P96" s="212">
        <f>I96*5000+J96*8000+K96*1800</f>
        <v/>
      </c>
      <c r="Q96" s="212">
        <f>D96*Prices!$A$2</f>
        <v/>
      </c>
      <c r="R96" s="212">
        <f>L96+M96+N96+O96</f>
        <v/>
      </c>
      <c r="S96" s="212">
        <f>R96+Q96+P96</f>
        <v/>
      </c>
      <c r="T96" s="212">
        <f>P96+Q96+(R96-(R96*($U$1/100)))</f>
        <v/>
      </c>
      <c r="U96" s="212">
        <f>S96-T96</f>
        <v/>
      </c>
      <c r="V96" s="213">
        <f>((D96*0.6)/11.664)*Prices!$A$4+E96*38000+F96*51900+G96*60900</f>
        <v/>
      </c>
      <c r="W96" s="90" t="n"/>
      <c r="X96" s="90" t="n"/>
      <c r="Y96" s="90" t="n"/>
      <c r="Z96" s="90" t="n"/>
    </row>
    <row r="97">
      <c r="A97" s="90" t="n"/>
      <c r="B97" s="90" t="n"/>
      <c r="C97" s="90" t="n"/>
      <c r="D97" s="90" t="n"/>
      <c r="E97" s="90" t="n"/>
      <c r="F97" s="90" t="n"/>
      <c r="G97" s="90" t="n"/>
      <c r="H97" s="90" t="n"/>
      <c r="I97" s="90" t="n"/>
      <c r="J97" s="90" t="n"/>
      <c r="K97" s="90" t="n"/>
      <c r="L97" s="212">
        <f>E97*Prices!B$2</f>
        <v/>
      </c>
      <c r="M97" s="212">
        <f>F97*Prices!C$2</f>
        <v/>
      </c>
      <c r="N97" s="212">
        <f>G97*Prices!D$2</f>
        <v/>
      </c>
      <c r="O97" s="212">
        <f>H97*Prices!E$2</f>
        <v/>
      </c>
      <c r="P97" s="212">
        <f>I97*5000+J97*8000+K97*1800</f>
        <v/>
      </c>
      <c r="Q97" s="212">
        <f>D97*Prices!$A$2</f>
        <v/>
      </c>
      <c r="R97" s="212">
        <f>L97+M97+N97+O97</f>
        <v/>
      </c>
      <c r="S97" s="212">
        <f>R97+Q97+P97</f>
        <v/>
      </c>
      <c r="T97" s="212">
        <f>P97+Q97+(R97-(R97*($U$1/100)))</f>
        <v/>
      </c>
      <c r="U97" s="212">
        <f>S97-T97</f>
        <v/>
      </c>
      <c r="V97" s="213">
        <f>((D97*0.6)/11.664)*Prices!$A$4+E97*38000+F97*51900+G97*60900</f>
        <v/>
      </c>
      <c r="W97" s="90" t="n"/>
      <c r="X97" s="90" t="n"/>
      <c r="Y97" s="90" t="n"/>
      <c r="Z97" s="90" t="n"/>
    </row>
    <row r="98">
      <c r="A98" s="90" t="n"/>
      <c r="B98" s="90" t="n"/>
      <c r="C98" s="90" t="n"/>
      <c r="D98" s="90" t="n"/>
      <c r="E98" s="90" t="n"/>
      <c r="F98" s="90" t="n"/>
      <c r="G98" s="90" t="n"/>
      <c r="H98" s="90" t="n"/>
      <c r="I98" s="90" t="n"/>
      <c r="J98" s="90" t="n"/>
      <c r="K98" s="90" t="n"/>
      <c r="L98" s="212">
        <f>E98*Prices!B$2</f>
        <v/>
      </c>
      <c r="M98" s="212">
        <f>F98*Prices!C$2</f>
        <v/>
      </c>
      <c r="N98" s="212">
        <f>G98*Prices!D$2</f>
        <v/>
      </c>
      <c r="O98" s="212">
        <f>H98*Prices!E$2</f>
        <v/>
      </c>
      <c r="P98" s="212">
        <f>I98*5000+J98*8000+K98*1800</f>
        <v/>
      </c>
      <c r="Q98" s="212">
        <f>D98*Prices!$A$2</f>
        <v/>
      </c>
      <c r="R98" s="212">
        <f>L98+M98+N98+O98</f>
        <v/>
      </c>
      <c r="S98" s="212">
        <f>R98+Q98+P98</f>
        <v/>
      </c>
      <c r="T98" s="212">
        <f>P98+Q98+(R98-(R98*($U$1/100)))</f>
        <v/>
      </c>
      <c r="U98" s="212">
        <f>S98-T98</f>
        <v/>
      </c>
      <c r="V98" s="213">
        <f>((D98*0.6)/11.664)*Prices!$A$4+E98*38000+F98*51900+G98*60900</f>
        <v/>
      </c>
      <c r="W98" s="90" t="n"/>
      <c r="X98" s="90" t="n"/>
      <c r="Y98" s="90" t="n"/>
      <c r="Z98" s="90" t="n"/>
    </row>
    <row r="99">
      <c r="A99" s="90" t="n"/>
      <c r="B99" s="90" t="n"/>
      <c r="C99" s="90" t="n"/>
      <c r="D99" s="90" t="n"/>
      <c r="E99" s="90" t="n"/>
      <c r="F99" s="90" t="n"/>
      <c r="G99" s="90" t="n"/>
      <c r="H99" s="90" t="n"/>
      <c r="I99" s="90" t="n"/>
      <c r="J99" s="90" t="n"/>
      <c r="K99" s="90" t="n"/>
      <c r="L99" s="212">
        <f>E99*Prices!B$2</f>
        <v/>
      </c>
      <c r="M99" s="212">
        <f>F99*Prices!C$2</f>
        <v/>
      </c>
      <c r="N99" s="212">
        <f>G99*Prices!D$2</f>
        <v/>
      </c>
      <c r="O99" s="212">
        <f>H99*Prices!E$2</f>
        <v/>
      </c>
      <c r="P99" s="212">
        <f>I99*5000+J99*8000+K99*1800</f>
        <v/>
      </c>
      <c r="Q99" s="212">
        <f>D99*Prices!$A$2</f>
        <v/>
      </c>
      <c r="R99" s="212">
        <f>L99+M99+N99+O99</f>
        <v/>
      </c>
      <c r="S99" s="212">
        <f>R99+Q99+P99</f>
        <v/>
      </c>
      <c r="T99" s="212">
        <f>P99+Q99+(R99-(R99*($U$1/100)))</f>
        <v/>
      </c>
      <c r="U99" s="212">
        <f>S99-T99</f>
        <v/>
      </c>
      <c r="V99" s="213">
        <f>((D99*0.6)/11.664)*Prices!$A$4+E99*38000+F99*51900+G99*60900</f>
        <v/>
      </c>
      <c r="W99" s="90" t="n"/>
      <c r="X99" s="90" t="n"/>
      <c r="Y99" s="90" t="n"/>
      <c r="Z99" s="90" t="n"/>
    </row>
    <row r="100">
      <c r="A100" s="90" t="n"/>
      <c r="B100" s="90" t="n"/>
      <c r="C100" s="90" t="n"/>
      <c r="D100" s="90" t="n"/>
      <c r="E100" s="90" t="n"/>
      <c r="F100" s="90" t="n"/>
      <c r="G100" s="90" t="n"/>
      <c r="H100" s="90" t="n"/>
      <c r="I100" s="90" t="n"/>
      <c r="J100" s="90" t="n"/>
      <c r="K100" s="90" t="n"/>
      <c r="L100" s="212">
        <f>E100*Prices!B$2</f>
        <v/>
      </c>
      <c r="M100" s="212">
        <f>F100*Prices!C$2</f>
        <v/>
      </c>
      <c r="N100" s="212">
        <f>G100*Prices!D$2</f>
        <v/>
      </c>
      <c r="O100" s="212">
        <f>H100*Prices!E$2</f>
        <v/>
      </c>
      <c r="P100" s="212">
        <f>I100*5000+J100*8000+K100*1800</f>
        <v/>
      </c>
      <c r="Q100" s="212">
        <f>D100*Prices!$A$2</f>
        <v/>
      </c>
      <c r="R100" s="212">
        <f>L100+M100+N100+O100</f>
        <v/>
      </c>
      <c r="S100" s="212">
        <f>R100+Q100+P100</f>
        <v/>
      </c>
      <c r="T100" s="212">
        <f>P100+Q100+(R100-(R100*($U$1/100)))</f>
        <v/>
      </c>
      <c r="U100" s="212">
        <f>S100-T100</f>
        <v/>
      </c>
      <c r="V100" s="213">
        <f>((D100*0.6)/11.664)*Prices!$A$4+E100*38000+F100*51900+G100*60900</f>
        <v/>
      </c>
      <c r="W100" s="90" t="n"/>
      <c r="X100" s="90" t="n"/>
      <c r="Y100" s="90" t="n"/>
      <c r="Z100" s="90" t="n"/>
    </row>
    <row r="101">
      <c r="A101" s="90" t="n"/>
      <c r="B101" s="90" t="n"/>
      <c r="C101" s="90" t="n"/>
      <c r="D101" s="90" t="n"/>
      <c r="E101" s="90" t="n"/>
      <c r="F101" s="90" t="n"/>
      <c r="G101" s="90" t="n"/>
      <c r="H101" s="90" t="n"/>
      <c r="I101" s="90" t="n"/>
      <c r="J101" s="90" t="n"/>
      <c r="K101" s="90" t="n"/>
      <c r="L101" s="90" t="n"/>
      <c r="M101" s="90" t="n"/>
      <c r="N101" s="90" t="n"/>
      <c r="O101" s="90" t="n"/>
      <c r="P101" s="90" t="n"/>
      <c r="Q101" s="90" t="n"/>
      <c r="R101" s="90" t="n"/>
      <c r="S101" s="90" t="n"/>
      <c r="T101" s="90" t="n"/>
      <c r="U101" s="90" t="n"/>
      <c r="V101" s="90" t="n"/>
      <c r="W101" s="90" t="n"/>
      <c r="X101" s="90" t="n"/>
      <c r="Y101" s="90" t="n"/>
      <c r="Z101" s="90" t="n"/>
    </row>
    <row r="102">
      <c r="A102" s="90" t="n"/>
      <c r="B102" s="90" t="n"/>
      <c r="C102" s="90" t="n"/>
      <c r="D102" s="90" t="n"/>
      <c r="E102" s="90" t="n"/>
      <c r="F102" s="90" t="n"/>
      <c r="G102" s="90" t="n"/>
      <c r="H102" s="90" t="n"/>
      <c r="I102" s="90" t="n"/>
      <c r="J102" s="90" t="n"/>
      <c r="K102" s="90" t="n"/>
      <c r="L102" s="90" t="n"/>
      <c r="M102" s="90" t="n"/>
      <c r="N102" s="90" t="n"/>
      <c r="O102" s="90" t="n"/>
      <c r="P102" s="90" t="n"/>
      <c r="Q102" s="90" t="n"/>
      <c r="R102" s="90" t="n"/>
      <c r="S102" s="90" t="n"/>
      <c r="T102" s="90" t="n"/>
      <c r="U102" s="90" t="n"/>
      <c r="V102" s="90" t="n"/>
      <c r="W102" s="90" t="n"/>
      <c r="X102" s="90" t="n"/>
      <c r="Y102" s="90" t="n"/>
      <c r="Z102" s="90" t="n"/>
    </row>
    <row r="103">
      <c r="A103" s="90" t="n"/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90" t="n"/>
      <c r="N103" s="90" t="n"/>
      <c r="O103" s="90" t="n"/>
      <c r="P103" s="90" t="n"/>
      <c r="Q103" s="90" t="n"/>
      <c r="R103" s="90" t="n"/>
      <c r="S103" s="90" t="n"/>
      <c r="T103" s="90" t="n"/>
      <c r="U103" s="90" t="n"/>
      <c r="V103" s="90" t="n"/>
      <c r="W103" s="90" t="n"/>
      <c r="X103" s="90" t="n"/>
      <c r="Y103" s="90" t="n"/>
      <c r="Z103" s="90" t="n"/>
    </row>
    <row r="104">
      <c r="A104" s="90" t="n"/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90" t="n"/>
      <c r="N104" s="90" t="n"/>
      <c r="O104" s="90" t="n"/>
      <c r="P104" s="90" t="n"/>
      <c r="Q104" s="90" t="n"/>
      <c r="R104" s="90" t="n"/>
      <c r="S104" s="90" t="n"/>
      <c r="T104" s="90" t="n"/>
      <c r="U104" s="90" t="n"/>
      <c r="V104" s="90" t="n"/>
      <c r="W104" s="90" t="n"/>
      <c r="X104" s="90" t="n"/>
      <c r="Y104" s="90" t="n"/>
      <c r="Z104" s="90" t="n"/>
    </row>
    <row r="105">
      <c r="A105" s="90" t="n"/>
      <c r="B105" s="90" t="n"/>
      <c r="C105" s="90" t="n"/>
      <c r="D105" s="90" t="n"/>
      <c r="E105" s="90" t="n"/>
      <c r="F105" s="90" t="n"/>
      <c r="G105" s="90" t="n"/>
      <c r="H105" s="90" t="n"/>
      <c r="I105" s="90" t="n"/>
      <c r="J105" s="90" t="n"/>
      <c r="K105" s="90" t="n"/>
      <c r="L105" s="90" t="n"/>
      <c r="M105" s="90" t="n"/>
      <c r="N105" s="90" t="n"/>
      <c r="O105" s="90" t="n"/>
      <c r="P105" s="90" t="n"/>
      <c r="Q105" s="90" t="n"/>
      <c r="R105" s="90" t="n"/>
      <c r="S105" s="90" t="n"/>
      <c r="T105" s="90" t="n"/>
      <c r="U105" s="90" t="n"/>
      <c r="V105" s="90" t="n"/>
      <c r="W105" s="90" t="n"/>
      <c r="X105" s="90" t="n"/>
      <c r="Y105" s="90" t="n"/>
      <c r="Z105" s="90" t="n"/>
    </row>
    <row r="106">
      <c r="A106" s="90" t="n"/>
      <c r="B106" s="90" t="n"/>
      <c r="C106" s="90" t="n"/>
      <c r="D106" s="90" t="n"/>
      <c r="E106" s="90" t="n"/>
      <c r="F106" s="90" t="n"/>
      <c r="G106" s="90" t="n"/>
      <c r="H106" s="90" t="n"/>
      <c r="I106" s="90" t="n"/>
      <c r="J106" s="90" t="n"/>
      <c r="K106" s="90" t="n"/>
      <c r="L106" s="90" t="n"/>
      <c r="M106" s="90" t="n"/>
      <c r="N106" s="90" t="n"/>
      <c r="O106" s="90" t="n"/>
      <c r="P106" s="90" t="n"/>
      <c r="Q106" s="90" t="n"/>
      <c r="R106" s="90" t="n"/>
      <c r="S106" s="90" t="n"/>
      <c r="T106" s="90" t="n"/>
      <c r="U106" s="90" t="n"/>
      <c r="V106" s="90" t="n"/>
      <c r="W106" s="90" t="n"/>
      <c r="X106" s="90" t="n"/>
      <c r="Y106" s="90" t="n"/>
      <c r="Z106" s="90" t="n"/>
    </row>
    <row r="107">
      <c r="A107" s="90" t="n"/>
      <c r="B107" s="90" t="n"/>
      <c r="C107" s="90" t="n"/>
      <c r="D107" s="90" t="n"/>
      <c r="E107" s="90" t="n"/>
      <c r="F107" s="90" t="n"/>
      <c r="G107" s="90" t="n"/>
      <c r="H107" s="90" t="n"/>
      <c r="I107" s="90" t="n"/>
      <c r="J107" s="90" t="n"/>
      <c r="K107" s="90" t="n"/>
      <c r="L107" s="90" t="n"/>
      <c r="M107" s="90" t="n"/>
      <c r="N107" s="90" t="n"/>
      <c r="O107" s="90" t="n"/>
      <c r="P107" s="90" t="n"/>
      <c r="Q107" s="90" t="n"/>
      <c r="R107" s="90" t="n"/>
      <c r="S107" s="90" t="n"/>
      <c r="T107" s="90" t="n"/>
      <c r="U107" s="90" t="n"/>
      <c r="V107" s="90" t="n"/>
      <c r="W107" s="90" t="n"/>
      <c r="X107" s="90" t="n"/>
      <c r="Y107" s="90" t="n"/>
      <c r="Z107" s="90" t="n"/>
    </row>
    <row r="108">
      <c r="A108" s="90" t="n"/>
      <c r="B108" s="90" t="n"/>
      <c r="C108" s="90" t="n"/>
      <c r="D108" s="90" t="n"/>
      <c r="E108" s="90" t="n"/>
      <c r="F108" s="90" t="n"/>
      <c r="G108" s="90" t="n"/>
      <c r="H108" s="90" t="n"/>
      <c r="I108" s="90" t="n"/>
      <c r="J108" s="90" t="n"/>
      <c r="K108" s="90" t="n"/>
      <c r="L108" s="90" t="n"/>
      <c r="M108" s="90" t="n"/>
      <c r="N108" s="90" t="n"/>
      <c r="O108" s="90" t="n"/>
      <c r="P108" s="90" t="n"/>
      <c r="Q108" s="90" t="n"/>
      <c r="R108" s="90" t="n"/>
      <c r="S108" s="90" t="n"/>
      <c r="T108" s="90" t="n"/>
      <c r="U108" s="90" t="n"/>
      <c r="V108" s="90" t="n"/>
      <c r="W108" s="90" t="n"/>
      <c r="X108" s="90" t="n"/>
      <c r="Y108" s="90" t="n"/>
      <c r="Z108" s="90" t="n"/>
    </row>
    <row r="109">
      <c r="A109" s="90" t="n"/>
      <c r="B109" s="90" t="n"/>
      <c r="C109" s="90" t="n"/>
      <c r="D109" s="90" t="n"/>
      <c r="E109" s="90" t="n"/>
      <c r="F109" s="90" t="n"/>
      <c r="G109" s="90" t="n"/>
      <c r="H109" s="90" t="n"/>
      <c r="I109" s="90" t="n"/>
      <c r="J109" s="90" t="n"/>
      <c r="K109" s="90" t="n"/>
      <c r="L109" s="90" t="n"/>
      <c r="M109" s="90" t="n"/>
      <c r="N109" s="90" t="n"/>
      <c r="O109" s="90" t="n"/>
      <c r="P109" s="90" t="n"/>
      <c r="Q109" s="90" t="n"/>
      <c r="R109" s="90" t="n"/>
      <c r="S109" s="90" t="n"/>
      <c r="T109" s="90" t="n"/>
      <c r="U109" s="90" t="n"/>
      <c r="V109" s="90" t="n"/>
      <c r="W109" s="90" t="n"/>
      <c r="X109" s="90" t="n"/>
      <c r="Y109" s="90" t="n"/>
      <c r="Z109" s="90" t="n"/>
    </row>
    <row r="110">
      <c r="A110" s="90" t="n"/>
      <c r="B110" s="90" t="n"/>
      <c r="C110" s="90" t="n"/>
      <c r="D110" s="90" t="n"/>
      <c r="E110" s="90" t="n"/>
      <c r="F110" s="90" t="n"/>
      <c r="G110" s="90" t="n"/>
      <c r="H110" s="90" t="n"/>
      <c r="I110" s="90" t="n"/>
      <c r="J110" s="90" t="n"/>
      <c r="K110" s="90" t="n"/>
      <c r="L110" s="90" t="n"/>
      <c r="M110" s="90" t="n"/>
      <c r="N110" s="90" t="n"/>
      <c r="O110" s="90" t="n"/>
      <c r="P110" s="90" t="n"/>
      <c r="Q110" s="90" t="n"/>
      <c r="R110" s="90" t="n"/>
      <c r="S110" s="90" t="n"/>
      <c r="T110" s="90" t="n"/>
      <c r="U110" s="90" t="n"/>
      <c r="V110" s="90" t="n"/>
      <c r="W110" s="90" t="n"/>
      <c r="X110" s="90" t="n"/>
      <c r="Y110" s="90" t="n"/>
      <c r="Z110" s="90" t="n"/>
    </row>
    <row r="111">
      <c r="A111" s="90" t="n"/>
      <c r="B111" s="90" t="n"/>
      <c r="C111" s="90" t="n"/>
      <c r="D111" s="90" t="n"/>
      <c r="E111" s="90" t="n"/>
      <c r="F111" s="90" t="n"/>
      <c r="G111" s="90" t="n"/>
      <c r="H111" s="90" t="n"/>
      <c r="I111" s="90" t="n"/>
      <c r="J111" s="90" t="n"/>
      <c r="K111" s="90" t="n"/>
      <c r="L111" s="90" t="n"/>
      <c r="M111" s="90" t="n"/>
      <c r="N111" s="90" t="n"/>
      <c r="O111" s="90" t="n"/>
      <c r="P111" s="90" t="n"/>
      <c r="Q111" s="90" t="n"/>
      <c r="R111" s="90" t="n"/>
      <c r="S111" s="90" t="n"/>
      <c r="T111" s="90" t="n"/>
      <c r="U111" s="90" t="n"/>
      <c r="V111" s="90" t="n"/>
      <c r="W111" s="90" t="n"/>
      <c r="X111" s="90" t="n"/>
      <c r="Y111" s="90" t="n"/>
      <c r="Z111" s="90" t="n"/>
    </row>
    <row r="112">
      <c r="A112" s="90" t="n"/>
      <c r="B112" s="90" t="n"/>
      <c r="C112" s="90" t="n"/>
      <c r="D112" s="90" t="n"/>
      <c r="E112" s="90" t="n"/>
      <c r="F112" s="90" t="n"/>
      <c r="G112" s="90" t="n"/>
      <c r="H112" s="90" t="n"/>
      <c r="I112" s="90" t="n"/>
      <c r="J112" s="90" t="n"/>
      <c r="K112" s="90" t="n"/>
      <c r="L112" s="90" t="n"/>
      <c r="M112" s="90" t="n"/>
      <c r="N112" s="90" t="n"/>
      <c r="O112" s="90" t="n"/>
      <c r="P112" s="90" t="n"/>
      <c r="Q112" s="90" t="n"/>
      <c r="R112" s="90" t="n"/>
      <c r="S112" s="90" t="n"/>
      <c r="T112" s="90" t="n"/>
      <c r="U112" s="90" t="n"/>
      <c r="V112" s="90" t="n"/>
      <c r="W112" s="90" t="n"/>
      <c r="X112" s="90" t="n"/>
      <c r="Y112" s="90" t="n"/>
      <c r="Z112" s="90" t="n"/>
    </row>
    <row r="113">
      <c r="A113" s="90" t="n"/>
      <c r="B113" s="90" t="n"/>
      <c r="C113" s="90" t="n"/>
      <c r="D113" s="90" t="n"/>
      <c r="E113" s="90" t="n"/>
      <c r="F113" s="90" t="n"/>
      <c r="G113" s="90" t="n"/>
      <c r="H113" s="90" t="n"/>
      <c r="I113" s="90" t="n"/>
      <c r="J113" s="90" t="n"/>
      <c r="K113" s="90" t="n"/>
      <c r="L113" s="90" t="n"/>
      <c r="M113" s="90" t="n"/>
      <c r="N113" s="90" t="n"/>
      <c r="O113" s="90" t="n"/>
      <c r="P113" s="90" t="n"/>
      <c r="Q113" s="90" t="n"/>
      <c r="R113" s="90" t="n"/>
      <c r="S113" s="90" t="n"/>
      <c r="T113" s="90" t="n"/>
      <c r="U113" s="90" t="n"/>
      <c r="V113" s="90" t="n"/>
      <c r="W113" s="90" t="n"/>
      <c r="X113" s="90" t="n"/>
      <c r="Y113" s="90" t="n"/>
      <c r="Z113" s="90" t="n"/>
    </row>
    <row r="114">
      <c r="A114" s="90" t="n"/>
      <c r="B114" s="90" t="n"/>
      <c r="C114" s="90" t="n"/>
      <c r="D114" s="90" t="n"/>
      <c r="E114" s="90" t="n"/>
      <c r="F114" s="90" t="n"/>
      <c r="G114" s="90" t="n"/>
      <c r="H114" s="90" t="n"/>
      <c r="I114" s="90" t="n"/>
      <c r="J114" s="90" t="n"/>
      <c r="K114" s="90" t="n"/>
      <c r="L114" s="90" t="n"/>
      <c r="M114" s="90" t="n"/>
      <c r="N114" s="90" t="n"/>
      <c r="O114" s="90" t="n"/>
      <c r="P114" s="90" t="n"/>
      <c r="Q114" s="90" t="n"/>
      <c r="R114" s="90" t="n"/>
      <c r="S114" s="90" t="n"/>
      <c r="T114" s="90" t="n"/>
      <c r="U114" s="90" t="n"/>
      <c r="V114" s="90" t="n"/>
      <c r="W114" s="90" t="n"/>
      <c r="X114" s="90" t="n"/>
      <c r="Y114" s="90" t="n"/>
      <c r="Z114" s="90" t="n"/>
    </row>
    <row r="115">
      <c r="A115" s="90" t="n"/>
      <c r="B115" s="90" t="n"/>
      <c r="C115" s="90" t="n"/>
      <c r="D115" s="90" t="n"/>
      <c r="E115" s="90" t="n"/>
      <c r="F115" s="90" t="n"/>
      <c r="G115" s="90" t="n"/>
      <c r="H115" s="90" t="n"/>
      <c r="I115" s="90" t="n"/>
      <c r="J115" s="90" t="n"/>
      <c r="K115" s="90" t="n"/>
      <c r="L115" s="90" t="n"/>
      <c r="M115" s="90" t="n"/>
      <c r="N115" s="90" t="n"/>
      <c r="O115" s="90" t="n"/>
      <c r="P115" s="90" t="n"/>
      <c r="Q115" s="90" t="n"/>
      <c r="R115" s="90" t="n"/>
      <c r="S115" s="90" t="n"/>
      <c r="T115" s="90" t="n"/>
      <c r="U115" s="90" t="n"/>
      <c r="V115" s="90" t="n"/>
      <c r="W115" s="90" t="n"/>
      <c r="X115" s="90" t="n"/>
      <c r="Y115" s="90" t="n"/>
      <c r="Z115" s="90" t="n"/>
    </row>
    <row r="116">
      <c r="A116" s="90" t="n"/>
      <c r="B116" s="90" t="n"/>
      <c r="C116" s="90" t="n"/>
      <c r="D116" s="90" t="n"/>
      <c r="E116" s="90" t="n"/>
      <c r="F116" s="90" t="n"/>
      <c r="G116" s="90" t="n"/>
      <c r="H116" s="90" t="n"/>
      <c r="I116" s="90" t="n"/>
      <c r="J116" s="90" t="n"/>
      <c r="K116" s="90" t="n"/>
      <c r="L116" s="90" t="n"/>
      <c r="M116" s="90" t="n"/>
      <c r="N116" s="90" t="n"/>
      <c r="O116" s="90" t="n"/>
      <c r="P116" s="90" t="n"/>
      <c r="Q116" s="90" t="n"/>
      <c r="R116" s="90" t="n"/>
      <c r="S116" s="90" t="n"/>
      <c r="T116" s="90" t="n"/>
      <c r="U116" s="90" t="n"/>
      <c r="V116" s="90" t="n"/>
      <c r="W116" s="90" t="n"/>
      <c r="X116" s="90" t="n"/>
      <c r="Y116" s="90" t="n"/>
      <c r="Z116" s="90" t="n"/>
    </row>
    <row r="117">
      <c r="A117" s="90" t="n"/>
      <c r="B117" s="90" t="n"/>
      <c r="C117" s="90" t="n"/>
      <c r="D117" s="90" t="n"/>
      <c r="E117" s="90" t="n"/>
      <c r="F117" s="90" t="n"/>
      <c r="G117" s="90" t="n"/>
      <c r="H117" s="90" t="n"/>
      <c r="I117" s="90" t="n"/>
      <c r="J117" s="90" t="n"/>
      <c r="K117" s="90" t="n"/>
      <c r="L117" s="90" t="n"/>
      <c r="M117" s="90" t="n"/>
      <c r="N117" s="90" t="n"/>
      <c r="O117" s="90" t="n"/>
      <c r="P117" s="90" t="n"/>
      <c r="Q117" s="90" t="n"/>
      <c r="R117" s="90" t="n"/>
      <c r="S117" s="90" t="n"/>
      <c r="T117" s="90" t="n"/>
      <c r="U117" s="90" t="n"/>
      <c r="V117" s="90" t="n"/>
      <c r="W117" s="90" t="n"/>
      <c r="X117" s="90" t="n"/>
      <c r="Y117" s="90" t="n"/>
      <c r="Z117" s="90" t="n"/>
    </row>
    <row r="118">
      <c r="A118" s="90" t="n"/>
      <c r="B118" s="90" t="n"/>
      <c r="C118" s="90" t="n"/>
      <c r="D118" s="90" t="n"/>
      <c r="E118" s="90" t="n"/>
      <c r="F118" s="90" t="n"/>
      <c r="G118" s="90" t="n"/>
      <c r="H118" s="90" t="n"/>
      <c r="I118" s="90" t="n"/>
      <c r="J118" s="90" t="n"/>
      <c r="K118" s="90" t="n"/>
      <c r="L118" s="90" t="n"/>
      <c r="M118" s="90" t="n"/>
      <c r="N118" s="90" t="n"/>
      <c r="O118" s="90" t="n"/>
      <c r="P118" s="90" t="n"/>
      <c r="Q118" s="90" t="n"/>
      <c r="R118" s="90" t="n"/>
      <c r="S118" s="90" t="n"/>
      <c r="T118" s="90" t="n"/>
      <c r="U118" s="90" t="n"/>
      <c r="V118" s="90" t="n"/>
      <c r="W118" s="90" t="n"/>
      <c r="X118" s="90" t="n"/>
      <c r="Y118" s="90" t="n"/>
      <c r="Z118" s="90" t="n"/>
    </row>
    <row r="119">
      <c r="A119" s="90" t="n"/>
      <c r="B119" s="90" t="n"/>
      <c r="C119" s="90" t="n"/>
      <c r="D119" s="90" t="n"/>
      <c r="E119" s="90" t="n"/>
      <c r="F119" s="90" t="n"/>
      <c r="G119" s="90" t="n"/>
      <c r="H119" s="90" t="n"/>
      <c r="I119" s="90" t="n"/>
      <c r="J119" s="90" t="n"/>
      <c r="K119" s="90" t="n"/>
      <c r="L119" s="90" t="n"/>
      <c r="M119" s="90" t="n"/>
      <c r="N119" s="90" t="n"/>
      <c r="O119" s="90" t="n"/>
      <c r="P119" s="90" t="n"/>
      <c r="Q119" s="90" t="n"/>
      <c r="R119" s="90" t="n"/>
      <c r="S119" s="90" t="n"/>
      <c r="T119" s="90" t="n"/>
      <c r="U119" s="90" t="n"/>
      <c r="V119" s="90" t="n"/>
      <c r="W119" s="90" t="n"/>
      <c r="X119" s="90" t="n"/>
      <c r="Y119" s="90" t="n"/>
      <c r="Z119" s="90" t="n"/>
    </row>
    <row r="120">
      <c r="A120" s="90" t="n"/>
      <c r="B120" s="90" t="n"/>
      <c r="C120" s="90" t="n"/>
      <c r="D120" s="90" t="n"/>
      <c r="E120" s="90" t="n"/>
      <c r="F120" s="90" t="n"/>
      <c r="G120" s="90" t="n"/>
      <c r="H120" s="90" t="n"/>
      <c r="I120" s="90" t="n"/>
      <c r="J120" s="90" t="n"/>
      <c r="K120" s="90" t="n"/>
      <c r="L120" s="90" t="n"/>
      <c r="M120" s="90" t="n"/>
      <c r="N120" s="90" t="n"/>
      <c r="O120" s="90" t="n"/>
      <c r="P120" s="90" t="n"/>
      <c r="Q120" s="90" t="n"/>
      <c r="R120" s="90" t="n"/>
      <c r="S120" s="90" t="n"/>
      <c r="T120" s="90" t="n"/>
      <c r="U120" s="90" t="n"/>
      <c r="V120" s="90" t="n"/>
      <c r="W120" s="90" t="n"/>
      <c r="X120" s="90" t="n"/>
      <c r="Y120" s="90" t="n"/>
      <c r="Z120" s="90" t="n"/>
    </row>
    <row r="121">
      <c r="A121" s="90" t="n"/>
      <c r="B121" s="90" t="n"/>
      <c r="C121" s="90" t="n"/>
      <c r="D121" s="90" t="n"/>
      <c r="E121" s="90" t="n"/>
      <c r="F121" s="90" t="n"/>
      <c r="G121" s="90" t="n"/>
      <c r="H121" s="90" t="n"/>
      <c r="I121" s="90" t="n"/>
      <c r="J121" s="90" t="n"/>
      <c r="K121" s="90" t="n"/>
      <c r="L121" s="90" t="n"/>
      <c r="M121" s="90" t="n"/>
      <c r="N121" s="90" t="n"/>
      <c r="O121" s="90" t="n"/>
      <c r="P121" s="90" t="n"/>
      <c r="Q121" s="90" t="n"/>
      <c r="R121" s="90" t="n"/>
      <c r="S121" s="90" t="n"/>
      <c r="T121" s="90" t="n"/>
      <c r="U121" s="90" t="n"/>
      <c r="V121" s="90" t="n"/>
      <c r="W121" s="90" t="n"/>
      <c r="X121" s="90" t="n"/>
      <c r="Y121" s="90" t="n"/>
      <c r="Z121" s="90" t="n"/>
    </row>
    <row r="122">
      <c r="A122" s="90" t="n"/>
      <c r="B122" s="90" t="n"/>
      <c r="C122" s="90" t="n"/>
      <c r="D122" s="90" t="n"/>
      <c r="E122" s="90" t="n"/>
      <c r="F122" s="90" t="n"/>
      <c r="G122" s="90" t="n"/>
      <c r="H122" s="90" t="n"/>
      <c r="I122" s="90" t="n"/>
      <c r="J122" s="90" t="n"/>
      <c r="K122" s="90" t="n"/>
      <c r="L122" s="90" t="n"/>
      <c r="M122" s="90" t="n"/>
      <c r="N122" s="90" t="n"/>
      <c r="O122" s="90" t="n"/>
      <c r="P122" s="90" t="n"/>
      <c r="Q122" s="90" t="n"/>
      <c r="R122" s="90" t="n"/>
      <c r="S122" s="90" t="n"/>
      <c r="T122" s="90" t="n"/>
      <c r="U122" s="90" t="n"/>
      <c r="V122" s="90" t="n"/>
      <c r="W122" s="90" t="n"/>
      <c r="X122" s="90" t="n"/>
      <c r="Y122" s="90" t="n"/>
      <c r="Z122" s="90" t="n"/>
    </row>
    <row r="123">
      <c r="A123" s="90" t="n"/>
      <c r="B123" s="90" t="n"/>
      <c r="C123" s="90" t="n"/>
      <c r="D123" s="90" t="n"/>
      <c r="E123" s="90" t="n"/>
      <c r="F123" s="90" t="n"/>
      <c r="G123" s="90" t="n"/>
      <c r="H123" s="90" t="n"/>
      <c r="I123" s="90" t="n"/>
      <c r="J123" s="90" t="n"/>
      <c r="K123" s="90" t="n"/>
      <c r="L123" s="90" t="n"/>
      <c r="M123" s="90" t="n"/>
      <c r="N123" s="90" t="n"/>
      <c r="O123" s="90" t="n"/>
      <c r="P123" s="90" t="n"/>
      <c r="Q123" s="90" t="n"/>
      <c r="R123" s="90" t="n"/>
      <c r="S123" s="90" t="n"/>
      <c r="T123" s="90" t="n"/>
      <c r="U123" s="90" t="n"/>
      <c r="V123" s="90" t="n"/>
      <c r="W123" s="90" t="n"/>
      <c r="X123" s="90" t="n"/>
      <c r="Y123" s="90" t="n"/>
      <c r="Z123" s="90" t="n"/>
    </row>
    <row r="124">
      <c r="A124" s="90" t="n"/>
      <c r="B124" s="90" t="n"/>
      <c r="C124" s="90" t="n"/>
      <c r="D124" s="90" t="n"/>
      <c r="E124" s="90" t="n"/>
      <c r="F124" s="90" t="n"/>
      <c r="G124" s="90" t="n"/>
      <c r="H124" s="90" t="n"/>
      <c r="I124" s="90" t="n"/>
      <c r="J124" s="90" t="n"/>
      <c r="K124" s="90" t="n"/>
      <c r="L124" s="90" t="n"/>
      <c r="M124" s="90" t="n"/>
      <c r="N124" s="90" t="n"/>
      <c r="O124" s="90" t="n"/>
      <c r="P124" s="90" t="n"/>
      <c r="Q124" s="90" t="n"/>
      <c r="R124" s="90" t="n"/>
      <c r="S124" s="90" t="n"/>
      <c r="T124" s="90" t="n"/>
      <c r="U124" s="90" t="n"/>
      <c r="V124" s="90" t="n"/>
      <c r="W124" s="90" t="n"/>
      <c r="X124" s="90" t="n"/>
      <c r="Y124" s="90" t="n"/>
      <c r="Z124" s="90" t="n"/>
    </row>
    <row r="125">
      <c r="A125" s="90" t="n"/>
      <c r="B125" s="90" t="n"/>
      <c r="C125" s="90" t="n"/>
      <c r="D125" s="90" t="n"/>
      <c r="E125" s="90" t="n"/>
      <c r="F125" s="90" t="n"/>
      <c r="G125" s="90" t="n"/>
      <c r="H125" s="90" t="n"/>
      <c r="I125" s="90" t="n"/>
      <c r="J125" s="90" t="n"/>
      <c r="K125" s="90" t="n"/>
      <c r="L125" s="90" t="n"/>
      <c r="M125" s="90" t="n"/>
      <c r="N125" s="90" t="n"/>
      <c r="O125" s="90" t="n"/>
      <c r="P125" s="90" t="n"/>
      <c r="Q125" s="90" t="n"/>
      <c r="R125" s="90" t="n"/>
      <c r="S125" s="90" t="n"/>
      <c r="T125" s="90" t="n"/>
      <c r="U125" s="90" t="n"/>
      <c r="V125" s="90" t="n"/>
      <c r="W125" s="90" t="n"/>
      <c r="X125" s="90" t="n"/>
      <c r="Y125" s="90" t="n"/>
      <c r="Z125" s="90" t="n"/>
    </row>
    <row r="126">
      <c r="A126" s="90" t="n"/>
      <c r="B126" s="90" t="n"/>
      <c r="C126" s="90" t="n"/>
      <c r="D126" s="90" t="n"/>
      <c r="E126" s="90" t="n"/>
      <c r="F126" s="90" t="n"/>
      <c r="G126" s="90" t="n"/>
      <c r="H126" s="90" t="n"/>
      <c r="I126" s="90" t="n"/>
      <c r="J126" s="90" t="n"/>
      <c r="K126" s="90" t="n"/>
      <c r="L126" s="90" t="n"/>
      <c r="M126" s="90" t="n"/>
      <c r="N126" s="90" t="n"/>
      <c r="O126" s="90" t="n"/>
      <c r="P126" s="90" t="n"/>
      <c r="Q126" s="90" t="n"/>
      <c r="R126" s="90" t="n"/>
      <c r="S126" s="90" t="n"/>
      <c r="T126" s="90" t="n"/>
      <c r="U126" s="90" t="n"/>
      <c r="V126" s="90" t="n"/>
      <c r="W126" s="90" t="n"/>
      <c r="X126" s="90" t="n"/>
      <c r="Y126" s="90" t="n"/>
      <c r="Z126" s="90" t="n"/>
    </row>
    <row r="127">
      <c r="A127" s="90" t="n"/>
      <c r="B127" s="90" t="n"/>
      <c r="C127" s="90" t="n"/>
      <c r="D127" s="90" t="n"/>
      <c r="E127" s="90" t="n"/>
      <c r="F127" s="90" t="n"/>
      <c r="G127" s="90" t="n"/>
      <c r="H127" s="90" t="n"/>
      <c r="I127" s="90" t="n"/>
      <c r="J127" s="90" t="n"/>
      <c r="K127" s="90" t="n"/>
      <c r="L127" s="90" t="n"/>
      <c r="M127" s="90" t="n"/>
      <c r="N127" s="90" t="n"/>
      <c r="O127" s="90" t="n"/>
      <c r="P127" s="90" t="n"/>
      <c r="Q127" s="90" t="n"/>
      <c r="R127" s="90" t="n"/>
      <c r="S127" s="90" t="n"/>
      <c r="T127" s="90" t="n"/>
      <c r="U127" s="90" t="n"/>
      <c r="V127" s="90" t="n"/>
      <c r="W127" s="90" t="n"/>
      <c r="X127" s="90" t="n"/>
      <c r="Y127" s="90" t="n"/>
      <c r="Z127" s="90" t="n"/>
    </row>
    <row r="128">
      <c r="A128" s="90" t="n"/>
      <c r="B128" s="90" t="n"/>
      <c r="C128" s="90" t="n"/>
      <c r="D128" s="90" t="n"/>
      <c r="E128" s="90" t="n"/>
      <c r="F128" s="90" t="n"/>
      <c r="G128" s="90" t="n"/>
      <c r="H128" s="90" t="n"/>
      <c r="I128" s="90" t="n"/>
      <c r="J128" s="90" t="n"/>
      <c r="K128" s="90" t="n"/>
      <c r="L128" s="90" t="n"/>
      <c r="M128" s="90" t="n"/>
      <c r="N128" s="90" t="n"/>
      <c r="O128" s="90" t="n"/>
      <c r="P128" s="90" t="n"/>
      <c r="Q128" s="90" t="n"/>
      <c r="R128" s="90" t="n"/>
      <c r="S128" s="90" t="n"/>
      <c r="T128" s="90" t="n"/>
      <c r="U128" s="90" t="n"/>
      <c r="V128" s="90" t="n"/>
      <c r="W128" s="90" t="n"/>
      <c r="X128" s="90" t="n"/>
      <c r="Y128" s="90" t="n"/>
      <c r="Z128" s="90" t="n"/>
    </row>
    <row r="129">
      <c r="A129" s="90" t="n"/>
      <c r="B129" s="90" t="n"/>
      <c r="C129" s="90" t="n"/>
      <c r="D129" s="90" t="n"/>
      <c r="E129" s="90" t="n"/>
      <c r="F129" s="90" t="n"/>
      <c r="G129" s="90" t="n"/>
      <c r="H129" s="90" t="n"/>
      <c r="I129" s="90" t="n"/>
      <c r="J129" s="90" t="n"/>
      <c r="K129" s="90" t="n"/>
      <c r="L129" s="90" t="n"/>
      <c r="M129" s="90" t="n"/>
      <c r="N129" s="90" t="n"/>
      <c r="O129" s="90" t="n"/>
      <c r="P129" s="90" t="n"/>
      <c r="Q129" s="90" t="n"/>
      <c r="R129" s="90" t="n"/>
      <c r="S129" s="90" t="n"/>
      <c r="T129" s="90" t="n"/>
      <c r="U129" s="90" t="n"/>
      <c r="V129" s="90" t="n"/>
      <c r="W129" s="90" t="n"/>
      <c r="X129" s="90" t="n"/>
      <c r="Y129" s="90" t="n"/>
      <c r="Z129" s="90" t="n"/>
    </row>
    <row r="130">
      <c r="A130" s="90" t="n"/>
      <c r="B130" s="90" t="n"/>
      <c r="C130" s="90" t="n"/>
      <c r="D130" s="90" t="n"/>
      <c r="E130" s="90" t="n"/>
      <c r="F130" s="90" t="n"/>
      <c r="G130" s="90" t="n"/>
      <c r="H130" s="90" t="n"/>
      <c r="I130" s="90" t="n"/>
      <c r="J130" s="90" t="n"/>
      <c r="K130" s="90" t="n"/>
      <c r="L130" s="90" t="n"/>
      <c r="M130" s="90" t="n"/>
      <c r="N130" s="90" t="n"/>
      <c r="O130" s="90" t="n"/>
      <c r="P130" s="90" t="n"/>
      <c r="Q130" s="90" t="n"/>
      <c r="R130" s="90" t="n"/>
      <c r="S130" s="90" t="n"/>
      <c r="T130" s="90" t="n"/>
      <c r="U130" s="90" t="n"/>
      <c r="V130" s="90" t="n"/>
      <c r="W130" s="90" t="n"/>
      <c r="X130" s="90" t="n"/>
      <c r="Y130" s="90" t="n"/>
      <c r="Z130" s="90" t="n"/>
    </row>
    <row r="131">
      <c r="A131" s="90" t="n"/>
      <c r="B131" s="90" t="n"/>
      <c r="C131" s="90" t="n"/>
      <c r="D131" s="90" t="n"/>
      <c r="E131" s="90" t="n"/>
      <c r="F131" s="90" t="n"/>
      <c r="G131" s="90" t="n"/>
      <c r="H131" s="90" t="n"/>
      <c r="I131" s="90" t="n"/>
      <c r="J131" s="90" t="n"/>
      <c r="K131" s="90" t="n"/>
      <c r="L131" s="90" t="n"/>
      <c r="M131" s="90" t="n"/>
      <c r="N131" s="90" t="n"/>
      <c r="O131" s="90" t="n"/>
      <c r="P131" s="90" t="n"/>
      <c r="Q131" s="90" t="n"/>
      <c r="R131" s="90" t="n"/>
      <c r="S131" s="90" t="n"/>
      <c r="T131" s="90" t="n"/>
      <c r="U131" s="90" t="n"/>
      <c r="V131" s="90" t="n"/>
      <c r="W131" s="90" t="n"/>
      <c r="X131" s="90" t="n"/>
      <c r="Y131" s="90" t="n"/>
      <c r="Z131" s="90" t="n"/>
    </row>
    <row r="132">
      <c r="A132" s="90" t="n"/>
      <c r="B132" s="90" t="n"/>
      <c r="C132" s="90" t="n"/>
      <c r="D132" s="90" t="n"/>
      <c r="E132" s="90" t="n"/>
      <c r="F132" s="90" t="n"/>
      <c r="G132" s="90" t="n"/>
      <c r="H132" s="90" t="n"/>
      <c r="I132" s="90" t="n"/>
      <c r="J132" s="90" t="n"/>
      <c r="K132" s="90" t="n"/>
      <c r="L132" s="90" t="n"/>
      <c r="M132" s="90" t="n"/>
      <c r="N132" s="90" t="n"/>
      <c r="O132" s="90" t="n"/>
      <c r="P132" s="90" t="n"/>
      <c r="Q132" s="90" t="n"/>
      <c r="R132" s="90" t="n"/>
      <c r="S132" s="90" t="n"/>
      <c r="T132" s="90" t="n"/>
      <c r="U132" s="90" t="n"/>
      <c r="V132" s="90" t="n"/>
      <c r="W132" s="90" t="n"/>
      <c r="X132" s="90" t="n"/>
      <c r="Y132" s="90" t="n"/>
      <c r="Z132" s="90" t="n"/>
    </row>
    <row r="133">
      <c r="A133" s="90" t="n"/>
      <c r="B133" s="90" t="n"/>
      <c r="C133" s="90" t="n"/>
      <c r="D133" s="90" t="n"/>
      <c r="E133" s="90" t="n"/>
      <c r="F133" s="90" t="n"/>
      <c r="G133" s="90" t="n"/>
      <c r="H133" s="90" t="n"/>
      <c r="I133" s="90" t="n"/>
      <c r="J133" s="90" t="n"/>
      <c r="K133" s="90" t="n"/>
      <c r="L133" s="90" t="n"/>
      <c r="M133" s="90" t="n"/>
      <c r="N133" s="90" t="n"/>
      <c r="O133" s="90" t="n"/>
      <c r="P133" s="90" t="n"/>
      <c r="Q133" s="90" t="n"/>
      <c r="R133" s="90" t="n"/>
      <c r="S133" s="90" t="n"/>
      <c r="T133" s="90" t="n"/>
      <c r="U133" s="90" t="n"/>
      <c r="V133" s="90" t="n"/>
      <c r="W133" s="90" t="n"/>
      <c r="X133" s="90" t="n"/>
      <c r="Y133" s="90" t="n"/>
      <c r="Z133" s="90" t="n"/>
    </row>
    <row r="134">
      <c r="A134" s="90" t="n"/>
      <c r="B134" s="90" t="n"/>
      <c r="C134" s="90" t="n"/>
      <c r="D134" s="90" t="n"/>
      <c r="E134" s="90" t="n"/>
      <c r="F134" s="90" t="n"/>
      <c r="G134" s="90" t="n"/>
      <c r="H134" s="90" t="n"/>
      <c r="I134" s="90" t="n"/>
      <c r="J134" s="90" t="n"/>
      <c r="K134" s="90" t="n"/>
      <c r="L134" s="90" t="n"/>
      <c r="M134" s="90" t="n"/>
      <c r="N134" s="90" t="n"/>
      <c r="O134" s="90" t="n"/>
      <c r="P134" s="90" t="n"/>
      <c r="Q134" s="90" t="n"/>
      <c r="R134" s="90" t="n"/>
      <c r="S134" s="90" t="n"/>
      <c r="T134" s="90" t="n"/>
      <c r="U134" s="90" t="n"/>
      <c r="V134" s="90" t="n"/>
      <c r="W134" s="90" t="n"/>
      <c r="X134" s="90" t="n"/>
      <c r="Y134" s="90" t="n"/>
      <c r="Z134" s="90" t="n"/>
    </row>
    <row r="135">
      <c r="A135" s="90" t="n"/>
      <c r="B135" s="90" t="n"/>
      <c r="C135" s="90" t="n"/>
      <c r="D135" s="90" t="n"/>
      <c r="E135" s="90" t="n"/>
      <c r="F135" s="90" t="n"/>
      <c r="G135" s="90" t="n"/>
      <c r="H135" s="90" t="n"/>
      <c r="I135" s="90" t="n"/>
      <c r="J135" s="90" t="n"/>
      <c r="K135" s="90" t="n"/>
      <c r="L135" s="90" t="n"/>
      <c r="M135" s="90" t="n"/>
      <c r="N135" s="90" t="n"/>
      <c r="O135" s="90" t="n"/>
      <c r="P135" s="90" t="n"/>
      <c r="Q135" s="90" t="n"/>
      <c r="R135" s="90" t="n"/>
      <c r="S135" s="90" t="n"/>
      <c r="T135" s="90" t="n"/>
      <c r="U135" s="90" t="n"/>
      <c r="V135" s="90" t="n"/>
      <c r="W135" s="90" t="n"/>
      <c r="X135" s="90" t="n"/>
      <c r="Y135" s="90" t="n"/>
      <c r="Z135" s="90" t="n"/>
    </row>
    <row r="136">
      <c r="A136" s="90" t="n"/>
      <c r="B136" s="90" t="n"/>
      <c r="C136" s="90" t="n"/>
      <c r="D136" s="90" t="n"/>
      <c r="E136" s="90" t="n"/>
      <c r="F136" s="90" t="n"/>
      <c r="G136" s="90" t="n"/>
      <c r="H136" s="90" t="n"/>
      <c r="I136" s="90" t="n"/>
      <c r="J136" s="90" t="n"/>
      <c r="K136" s="90" t="n"/>
      <c r="L136" s="90" t="n"/>
      <c r="M136" s="90" t="n"/>
      <c r="N136" s="90" t="n"/>
      <c r="O136" s="90" t="n"/>
      <c r="P136" s="90" t="n"/>
      <c r="Q136" s="90" t="n"/>
      <c r="R136" s="90" t="n"/>
      <c r="S136" s="90" t="n"/>
      <c r="T136" s="90" t="n"/>
      <c r="U136" s="90" t="n"/>
      <c r="V136" s="90" t="n"/>
      <c r="W136" s="90" t="n"/>
      <c r="X136" s="90" t="n"/>
      <c r="Y136" s="90" t="n"/>
      <c r="Z136" s="90" t="n"/>
    </row>
    <row r="137">
      <c r="A137" s="90" t="n"/>
      <c r="B137" s="90" t="n"/>
      <c r="C137" s="90" t="n"/>
      <c r="D137" s="90" t="n"/>
      <c r="E137" s="90" t="n"/>
      <c r="F137" s="90" t="n"/>
      <c r="G137" s="90" t="n"/>
      <c r="H137" s="90" t="n"/>
      <c r="I137" s="90" t="n"/>
      <c r="J137" s="90" t="n"/>
      <c r="K137" s="90" t="n"/>
      <c r="L137" s="90" t="n"/>
      <c r="M137" s="90" t="n"/>
      <c r="N137" s="90" t="n"/>
      <c r="O137" s="90" t="n"/>
      <c r="P137" s="90" t="n"/>
      <c r="Q137" s="90" t="n"/>
      <c r="R137" s="90" t="n"/>
      <c r="S137" s="90" t="n"/>
      <c r="T137" s="90" t="n"/>
      <c r="U137" s="90" t="n"/>
      <c r="V137" s="90" t="n"/>
      <c r="W137" s="90" t="n"/>
      <c r="X137" s="90" t="n"/>
      <c r="Y137" s="90" t="n"/>
      <c r="Z137" s="90" t="n"/>
    </row>
    <row r="138">
      <c r="A138" s="90" t="n"/>
      <c r="B138" s="90" t="n"/>
      <c r="C138" s="90" t="n"/>
      <c r="D138" s="90" t="n"/>
      <c r="E138" s="90" t="n"/>
      <c r="F138" s="90" t="n"/>
      <c r="G138" s="90" t="n"/>
      <c r="H138" s="90" t="n"/>
      <c r="I138" s="90" t="n"/>
      <c r="J138" s="90" t="n"/>
      <c r="K138" s="90" t="n"/>
      <c r="L138" s="90" t="n"/>
      <c r="M138" s="90" t="n"/>
      <c r="N138" s="90" t="n"/>
      <c r="O138" s="90" t="n"/>
      <c r="P138" s="90" t="n"/>
      <c r="Q138" s="90" t="n"/>
      <c r="R138" s="90" t="n"/>
      <c r="S138" s="90" t="n"/>
      <c r="T138" s="90" t="n"/>
      <c r="U138" s="90" t="n"/>
      <c r="V138" s="90" t="n"/>
      <c r="W138" s="90" t="n"/>
      <c r="X138" s="90" t="n"/>
      <c r="Y138" s="90" t="n"/>
      <c r="Z138" s="90" t="n"/>
    </row>
    <row r="139">
      <c r="A139" s="90" t="n"/>
      <c r="B139" s="90" t="n"/>
      <c r="C139" s="90" t="n"/>
      <c r="D139" s="90" t="n"/>
      <c r="E139" s="90" t="n"/>
      <c r="F139" s="90" t="n"/>
      <c r="G139" s="90" t="n"/>
      <c r="H139" s="90" t="n"/>
      <c r="I139" s="90" t="n"/>
      <c r="J139" s="90" t="n"/>
      <c r="K139" s="90" t="n"/>
      <c r="L139" s="90" t="n"/>
      <c r="M139" s="90" t="n"/>
      <c r="N139" s="90" t="n"/>
      <c r="O139" s="90" t="n"/>
      <c r="P139" s="90" t="n"/>
      <c r="Q139" s="90" t="n"/>
      <c r="R139" s="90" t="n"/>
      <c r="S139" s="90" t="n"/>
      <c r="T139" s="90" t="n"/>
      <c r="U139" s="90" t="n"/>
      <c r="V139" s="90" t="n"/>
      <c r="W139" s="90" t="n"/>
      <c r="X139" s="90" t="n"/>
      <c r="Y139" s="90" t="n"/>
      <c r="Z139" s="90" t="n"/>
    </row>
    <row r="140">
      <c r="A140" s="90" t="n"/>
      <c r="B140" s="90" t="n"/>
      <c r="C140" s="90" t="n"/>
      <c r="D140" s="90" t="n"/>
      <c r="E140" s="90" t="n"/>
      <c r="F140" s="90" t="n"/>
      <c r="G140" s="90" t="n"/>
      <c r="H140" s="90" t="n"/>
      <c r="I140" s="90" t="n"/>
      <c r="J140" s="90" t="n"/>
      <c r="K140" s="90" t="n"/>
      <c r="L140" s="90" t="n"/>
      <c r="M140" s="90" t="n"/>
      <c r="N140" s="90" t="n"/>
      <c r="O140" s="90" t="n"/>
      <c r="P140" s="90" t="n"/>
      <c r="Q140" s="90" t="n"/>
      <c r="R140" s="90" t="n"/>
      <c r="S140" s="90" t="n"/>
      <c r="T140" s="90" t="n"/>
      <c r="U140" s="90" t="n"/>
      <c r="V140" s="90" t="n"/>
      <c r="W140" s="90" t="n"/>
      <c r="X140" s="90" t="n"/>
      <c r="Y140" s="90" t="n"/>
      <c r="Z140" s="90" t="n"/>
    </row>
    <row r="141">
      <c r="A141" s="90" t="n"/>
      <c r="B141" s="90" t="n"/>
      <c r="C141" s="90" t="n"/>
      <c r="D141" s="90" t="n"/>
      <c r="E141" s="90" t="n"/>
      <c r="F141" s="90" t="n"/>
      <c r="G141" s="90" t="n"/>
      <c r="H141" s="90" t="n"/>
      <c r="I141" s="90" t="n"/>
      <c r="J141" s="90" t="n"/>
      <c r="K141" s="90" t="n"/>
      <c r="L141" s="90" t="n"/>
      <c r="M141" s="90" t="n"/>
      <c r="N141" s="90" t="n"/>
      <c r="O141" s="90" t="n"/>
      <c r="P141" s="90" t="n"/>
      <c r="Q141" s="90" t="n"/>
      <c r="R141" s="90" t="n"/>
      <c r="S141" s="90" t="n"/>
      <c r="T141" s="90" t="n"/>
      <c r="U141" s="90" t="n"/>
      <c r="V141" s="90" t="n"/>
      <c r="W141" s="90" t="n"/>
      <c r="X141" s="90" t="n"/>
      <c r="Y141" s="90" t="n"/>
      <c r="Z141" s="90" t="n"/>
    </row>
    <row r="142">
      <c r="A142" s="90" t="n"/>
      <c r="B142" s="90" t="n"/>
      <c r="C142" s="90" t="n"/>
      <c r="D142" s="90" t="n"/>
      <c r="E142" s="90" t="n"/>
      <c r="F142" s="90" t="n"/>
      <c r="G142" s="90" t="n"/>
      <c r="H142" s="90" t="n"/>
      <c r="I142" s="90" t="n"/>
      <c r="J142" s="90" t="n"/>
      <c r="K142" s="90" t="n"/>
      <c r="L142" s="90" t="n"/>
      <c r="M142" s="90" t="n"/>
      <c r="N142" s="90" t="n"/>
      <c r="O142" s="90" t="n"/>
      <c r="P142" s="90" t="n"/>
      <c r="Q142" s="90" t="n"/>
      <c r="R142" s="90" t="n"/>
      <c r="S142" s="90" t="n"/>
      <c r="T142" s="90" t="n"/>
      <c r="U142" s="90" t="n"/>
      <c r="V142" s="90" t="n"/>
      <c r="W142" s="90" t="n"/>
      <c r="X142" s="90" t="n"/>
      <c r="Y142" s="90" t="n"/>
      <c r="Z142" s="90" t="n"/>
    </row>
    <row r="143">
      <c r="A143" s="90" t="n"/>
      <c r="B143" s="90" t="n"/>
      <c r="C143" s="90" t="n"/>
      <c r="D143" s="90" t="n"/>
      <c r="E143" s="90" t="n"/>
      <c r="F143" s="90" t="n"/>
      <c r="G143" s="90" t="n"/>
      <c r="H143" s="90" t="n"/>
      <c r="I143" s="90" t="n"/>
      <c r="J143" s="90" t="n"/>
      <c r="K143" s="90" t="n"/>
      <c r="L143" s="90" t="n"/>
      <c r="M143" s="90" t="n"/>
      <c r="N143" s="90" t="n"/>
      <c r="O143" s="90" t="n"/>
      <c r="P143" s="90" t="n"/>
      <c r="Q143" s="90" t="n"/>
      <c r="R143" s="90" t="n"/>
      <c r="S143" s="90" t="n"/>
      <c r="T143" s="90" t="n"/>
      <c r="U143" s="90" t="n"/>
      <c r="V143" s="90" t="n"/>
      <c r="W143" s="90" t="n"/>
      <c r="X143" s="90" t="n"/>
      <c r="Y143" s="90" t="n"/>
      <c r="Z143" s="90" t="n"/>
    </row>
    <row r="144">
      <c r="A144" s="90" t="n"/>
      <c r="B144" s="90" t="n"/>
      <c r="C144" s="90" t="n"/>
      <c r="D144" s="90" t="n"/>
      <c r="E144" s="90" t="n"/>
      <c r="F144" s="90" t="n"/>
      <c r="G144" s="90" t="n"/>
      <c r="H144" s="90" t="n"/>
      <c r="I144" s="90" t="n"/>
      <c r="J144" s="90" t="n"/>
      <c r="K144" s="90" t="n"/>
      <c r="L144" s="90" t="n"/>
      <c r="M144" s="90" t="n"/>
      <c r="N144" s="90" t="n"/>
      <c r="O144" s="90" t="n"/>
      <c r="P144" s="90" t="n"/>
      <c r="Q144" s="90" t="n"/>
      <c r="R144" s="90" t="n"/>
      <c r="S144" s="90" t="n"/>
      <c r="T144" s="90" t="n"/>
      <c r="U144" s="90" t="n"/>
      <c r="V144" s="90" t="n"/>
      <c r="W144" s="90" t="n"/>
      <c r="X144" s="90" t="n"/>
      <c r="Y144" s="90" t="n"/>
      <c r="Z144" s="90" t="n"/>
    </row>
    <row r="145">
      <c r="A145" s="90" t="n"/>
      <c r="B145" s="90" t="n"/>
      <c r="C145" s="90" t="n"/>
      <c r="D145" s="90" t="n"/>
      <c r="E145" s="90" t="n"/>
      <c r="F145" s="90" t="n"/>
      <c r="G145" s="90" t="n"/>
      <c r="H145" s="90" t="n"/>
      <c r="I145" s="90" t="n"/>
      <c r="J145" s="90" t="n"/>
      <c r="K145" s="90" t="n"/>
      <c r="L145" s="90" t="n"/>
      <c r="M145" s="90" t="n"/>
      <c r="N145" s="90" t="n"/>
      <c r="O145" s="90" t="n"/>
      <c r="P145" s="90" t="n"/>
      <c r="Q145" s="90" t="n"/>
      <c r="R145" s="90" t="n"/>
      <c r="S145" s="90" t="n"/>
      <c r="T145" s="90" t="n"/>
      <c r="U145" s="90" t="n"/>
      <c r="V145" s="90" t="n"/>
      <c r="W145" s="90" t="n"/>
      <c r="X145" s="90" t="n"/>
      <c r="Y145" s="90" t="n"/>
      <c r="Z145" s="90" t="n"/>
    </row>
    <row r="146">
      <c r="A146" s="90" t="n"/>
      <c r="B146" s="90" t="n"/>
      <c r="C146" s="90" t="n"/>
      <c r="D146" s="90" t="n"/>
      <c r="E146" s="90" t="n"/>
      <c r="F146" s="90" t="n"/>
      <c r="G146" s="90" t="n"/>
      <c r="H146" s="90" t="n"/>
      <c r="I146" s="90" t="n"/>
      <c r="J146" s="90" t="n"/>
      <c r="K146" s="90" t="n"/>
      <c r="L146" s="90" t="n"/>
      <c r="M146" s="90" t="n"/>
      <c r="N146" s="90" t="n"/>
      <c r="O146" s="90" t="n"/>
      <c r="P146" s="90" t="n"/>
      <c r="Q146" s="90" t="n"/>
      <c r="R146" s="90" t="n"/>
      <c r="S146" s="90" t="n"/>
      <c r="T146" s="90" t="n"/>
      <c r="U146" s="90" t="n"/>
      <c r="V146" s="90" t="n"/>
      <c r="W146" s="90" t="n"/>
      <c r="X146" s="90" t="n"/>
      <c r="Y146" s="90" t="n"/>
      <c r="Z146" s="90" t="n"/>
    </row>
    <row r="147">
      <c r="A147" s="90" t="n"/>
      <c r="B147" s="90" t="n"/>
      <c r="C147" s="90" t="n"/>
      <c r="D147" s="90" t="n"/>
      <c r="E147" s="90" t="n"/>
      <c r="F147" s="90" t="n"/>
      <c r="G147" s="90" t="n"/>
      <c r="H147" s="90" t="n"/>
      <c r="I147" s="90" t="n"/>
      <c r="J147" s="90" t="n"/>
      <c r="K147" s="90" t="n"/>
      <c r="L147" s="90" t="n"/>
      <c r="M147" s="90" t="n"/>
      <c r="N147" s="90" t="n"/>
      <c r="O147" s="90" t="n"/>
      <c r="P147" s="90" t="n"/>
      <c r="Q147" s="90" t="n"/>
      <c r="R147" s="90" t="n"/>
      <c r="S147" s="90" t="n"/>
      <c r="T147" s="90" t="n"/>
      <c r="U147" s="90" t="n"/>
      <c r="V147" s="90" t="n"/>
      <c r="W147" s="90" t="n"/>
      <c r="X147" s="90" t="n"/>
      <c r="Y147" s="90" t="n"/>
      <c r="Z147" s="90" t="n"/>
    </row>
    <row r="148">
      <c r="A148" s="90" t="n"/>
      <c r="B148" s="90" t="n"/>
      <c r="C148" s="90" t="n"/>
      <c r="D148" s="90" t="n"/>
      <c r="E148" s="90" t="n"/>
      <c r="F148" s="90" t="n"/>
      <c r="G148" s="90" t="n"/>
      <c r="H148" s="90" t="n"/>
      <c r="I148" s="90" t="n"/>
      <c r="J148" s="90" t="n"/>
      <c r="K148" s="90" t="n"/>
      <c r="L148" s="90" t="n"/>
      <c r="M148" s="90" t="n"/>
      <c r="N148" s="90" t="n"/>
      <c r="O148" s="90" t="n"/>
      <c r="P148" s="90" t="n"/>
      <c r="Q148" s="90" t="n"/>
      <c r="R148" s="90" t="n"/>
      <c r="S148" s="90" t="n"/>
      <c r="T148" s="90" t="n"/>
      <c r="U148" s="90" t="n"/>
      <c r="V148" s="90" t="n"/>
      <c r="W148" s="90" t="n"/>
      <c r="X148" s="90" t="n"/>
      <c r="Y148" s="90" t="n"/>
      <c r="Z148" s="90" t="n"/>
    </row>
    <row r="149">
      <c r="A149" s="90" t="n"/>
      <c r="B149" s="90" t="n"/>
      <c r="C149" s="90" t="n"/>
      <c r="D149" s="90" t="n"/>
      <c r="E149" s="90" t="n"/>
      <c r="F149" s="90" t="n"/>
      <c r="G149" s="90" t="n"/>
      <c r="H149" s="90" t="n"/>
      <c r="I149" s="90" t="n"/>
      <c r="J149" s="90" t="n"/>
      <c r="K149" s="90" t="n"/>
      <c r="L149" s="90" t="n"/>
      <c r="M149" s="90" t="n"/>
      <c r="N149" s="90" t="n"/>
      <c r="O149" s="90" t="n"/>
      <c r="P149" s="90" t="n"/>
      <c r="Q149" s="90" t="n"/>
      <c r="R149" s="90" t="n"/>
      <c r="S149" s="90" t="n"/>
      <c r="T149" s="90" t="n"/>
      <c r="U149" s="90" t="n"/>
      <c r="V149" s="90" t="n"/>
      <c r="W149" s="90" t="n"/>
      <c r="X149" s="90" t="n"/>
      <c r="Y149" s="90" t="n"/>
      <c r="Z149" s="90" t="n"/>
    </row>
    <row r="150">
      <c r="A150" s="90" t="n"/>
      <c r="B150" s="90" t="n"/>
      <c r="C150" s="90" t="n"/>
      <c r="D150" s="90" t="n"/>
      <c r="E150" s="90" t="n"/>
      <c r="F150" s="90" t="n"/>
      <c r="G150" s="90" t="n"/>
      <c r="H150" s="90" t="n"/>
      <c r="I150" s="90" t="n"/>
      <c r="J150" s="90" t="n"/>
      <c r="K150" s="90" t="n"/>
      <c r="L150" s="90" t="n"/>
      <c r="M150" s="90" t="n"/>
      <c r="N150" s="90" t="n"/>
      <c r="O150" s="90" t="n"/>
      <c r="P150" s="90" t="n"/>
      <c r="Q150" s="90" t="n"/>
      <c r="R150" s="90" t="n"/>
      <c r="S150" s="90" t="n"/>
      <c r="T150" s="90" t="n"/>
      <c r="U150" s="90" t="n"/>
      <c r="V150" s="90" t="n"/>
      <c r="W150" s="90" t="n"/>
      <c r="X150" s="90" t="n"/>
      <c r="Y150" s="90" t="n"/>
      <c r="Z150" s="90" t="n"/>
    </row>
    <row r="151">
      <c r="A151" s="90" t="n"/>
      <c r="B151" s="90" t="n"/>
      <c r="C151" s="90" t="n"/>
      <c r="D151" s="90" t="n"/>
      <c r="E151" s="90" t="n"/>
      <c r="F151" s="90" t="n"/>
      <c r="G151" s="90" t="n"/>
      <c r="H151" s="90" t="n"/>
      <c r="I151" s="90" t="n"/>
      <c r="J151" s="90" t="n"/>
      <c r="K151" s="90" t="n"/>
      <c r="L151" s="90" t="n"/>
      <c r="M151" s="90" t="n"/>
      <c r="N151" s="90" t="n"/>
      <c r="O151" s="90" t="n"/>
      <c r="P151" s="90" t="n"/>
      <c r="Q151" s="90" t="n"/>
      <c r="R151" s="90" t="n"/>
      <c r="S151" s="90" t="n"/>
      <c r="T151" s="90" t="n"/>
      <c r="U151" s="90" t="n"/>
      <c r="V151" s="90" t="n"/>
      <c r="W151" s="90" t="n"/>
      <c r="X151" s="90" t="n"/>
      <c r="Y151" s="90" t="n"/>
      <c r="Z151" s="90" t="n"/>
    </row>
    <row r="152">
      <c r="A152" s="90" t="n"/>
      <c r="B152" s="90" t="n"/>
      <c r="C152" s="90" t="n"/>
      <c r="D152" s="90" t="n"/>
      <c r="E152" s="90" t="n"/>
      <c r="F152" s="90" t="n"/>
      <c r="G152" s="90" t="n"/>
      <c r="H152" s="90" t="n"/>
      <c r="I152" s="90" t="n"/>
      <c r="J152" s="90" t="n"/>
      <c r="K152" s="90" t="n"/>
      <c r="L152" s="90" t="n"/>
      <c r="M152" s="90" t="n"/>
      <c r="N152" s="90" t="n"/>
      <c r="O152" s="90" t="n"/>
      <c r="P152" s="90" t="n"/>
      <c r="Q152" s="90" t="n"/>
      <c r="R152" s="90" t="n"/>
      <c r="S152" s="90" t="n"/>
      <c r="T152" s="90" t="n"/>
      <c r="U152" s="90" t="n"/>
      <c r="V152" s="90" t="n"/>
      <c r="W152" s="90" t="n"/>
      <c r="X152" s="90" t="n"/>
      <c r="Y152" s="90" t="n"/>
      <c r="Z152" s="90" t="n"/>
    </row>
    <row r="153">
      <c r="A153" s="90" t="n"/>
      <c r="B153" s="90" t="n"/>
      <c r="C153" s="90" t="n"/>
      <c r="D153" s="90" t="n"/>
      <c r="E153" s="90" t="n"/>
      <c r="F153" s="90" t="n"/>
      <c r="G153" s="90" t="n"/>
      <c r="H153" s="90" t="n"/>
      <c r="I153" s="90" t="n"/>
      <c r="J153" s="90" t="n"/>
      <c r="K153" s="90" t="n"/>
      <c r="L153" s="90" t="n"/>
      <c r="M153" s="90" t="n"/>
      <c r="N153" s="90" t="n"/>
      <c r="O153" s="90" t="n"/>
      <c r="P153" s="90" t="n"/>
      <c r="Q153" s="90" t="n"/>
      <c r="R153" s="90" t="n"/>
      <c r="S153" s="90" t="n"/>
      <c r="T153" s="90" t="n"/>
      <c r="U153" s="90" t="n"/>
      <c r="V153" s="90" t="n"/>
      <c r="W153" s="90" t="n"/>
      <c r="X153" s="90" t="n"/>
      <c r="Y153" s="90" t="n"/>
      <c r="Z153" s="90" t="n"/>
    </row>
    <row r="154">
      <c r="A154" s="90" t="n"/>
      <c r="B154" s="90" t="n"/>
      <c r="C154" s="90" t="n"/>
      <c r="D154" s="90" t="n"/>
      <c r="E154" s="90" t="n"/>
      <c r="F154" s="90" t="n"/>
      <c r="G154" s="90" t="n"/>
      <c r="H154" s="90" t="n"/>
      <c r="I154" s="90" t="n"/>
      <c r="J154" s="90" t="n"/>
      <c r="K154" s="90" t="n"/>
      <c r="L154" s="90" t="n"/>
      <c r="M154" s="90" t="n"/>
      <c r="N154" s="90" t="n"/>
      <c r="O154" s="90" t="n"/>
      <c r="P154" s="90" t="n"/>
      <c r="Q154" s="90" t="n"/>
      <c r="R154" s="90" t="n"/>
      <c r="S154" s="90" t="n"/>
      <c r="T154" s="90" t="n"/>
      <c r="U154" s="90" t="n"/>
      <c r="V154" s="90" t="n"/>
      <c r="W154" s="90" t="n"/>
      <c r="X154" s="90" t="n"/>
      <c r="Y154" s="90" t="n"/>
      <c r="Z154" s="90" t="n"/>
    </row>
    <row r="155">
      <c r="A155" s="90" t="n"/>
      <c r="B155" s="90" t="n"/>
      <c r="C155" s="90" t="n"/>
      <c r="D155" s="90" t="n"/>
      <c r="E155" s="90" t="n"/>
      <c r="F155" s="90" t="n"/>
      <c r="G155" s="90" t="n"/>
      <c r="H155" s="90" t="n"/>
      <c r="I155" s="90" t="n"/>
      <c r="J155" s="90" t="n"/>
      <c r="K155" s="90" t="n"/>
      <c r="L155" s="90" t="n"/>
      <c r="M155" s="90" t="n"/>
      <c r="N155" s="90" t="n"/>
      <c r="O155" s="90" t="n"/>
      <c r="P155" s="90" t="n"/>
      <c r="Q155" s="90" t="n"/>
      <c r="R155" s="90" t="n"/>
      <c r="S155" s="90" t="n"/>
      <c r="T155" s="90" t="n"/>
      <c r="U155" s="90" t="n"/>
      <c r="V155" s="90" t="n"/>
      <c r="W155" s="90" t="n"/>
      <c r="X155" s="90" t="n"/>
      <c r="Y155" s="90" t="n"/>
      <c r="Z155" s="90" t="n"/>
    </row>
    <row r="156">
      <c r="A156" s="90" t="n"/>
      <c r="B156" s="90" t="n"/>
      <c r="C156" s="90" t="n"/>
      <c r="D156" s="90" t="n"/>
      <c r="E156" s="90" t="n"/>
      <c r="F156" s="90" t="n"/>
      <c r="G156" s="90" t="n"/>
      <c r="H156" s="90" t="n"/>
      <c r="I156" s="90" t="n"/>
      <c r="J156" s="90" t="n"/>
      <c r="K156" s="90" t="n"/>
      <c r="L156" s="90" t="n"/>
      <c r="M156" s="90" t="n"/>
      <c r="N156" s="90" t="n"/>
      <c r="O156" s="90" t="n"/>
      <c r="P156" s="90" t="n"/>
      <c r="Q156" s="90" t="n"/>
      <c r="R156" s="90" t="n"/>
      <c r="S156" s="90" t="n"/>
      <c r="T156" s="90" t="n"/>
      <c r="U156" s="90" t="n"/>
      <c r="V156" s="90" t="n"/>
      <c r="W156" s="90" t="n"/>
      <c r="X156" s="90" t="n"/>
      <c r="Y156" s="90" t="n"/>
      <c r="Z156" s="90" t="n"/>
    </row>
    <row r="157">
      <c r="A157" s="90" t="n"/>
      <c r="B157" s="90" t="n"/>
      <c r="C157" s="90" t="n"/>
      <c r="D157" s="90" t="n"/>
      <c r="E157" s="90" t="n"/>
      <c r="F157" s="90" t="n"/>
      <c r="G157" s="90" t="n"/>
      <c r="H157" s="90" t="n"/>
      <c r="I157" s="90" t="n"/>
      <c r="J157" s="90" t="n"/>
      <c r="K157" s="90" t="n"/>
      <c r="L157" s="90" t="n"/>
      <c r="M157" s="90" t="n"/>
      <c r="N157" s="90" t="n"/>
      <c r="O157" s="90" t="n"/>
      <c r="P157" s="90" t="n"/>
      <c r="Q157" s="90" t="n"/>
      <c r="R157" s="90" t="n"/>
      <c r="S157" s="90" t="n"/>
      <c r="T157" s="90" t="n"/>
      <c r="U157" s="90" t="n"/>
      <c r="V157" s="90" t="n"/>
      <c r="W157" s="90" t="n"/>
      <c r="X157" s="90" t="n"/>
      <c r="Y157" s="90" t="n"/>
      <c r="Z157" s="90" t="n"/>
    </row>
    <row r="158">
      <c r="A158" s="90" t="n"/>
      <c r="B158" s="90" t="n"/>
      <c r="C158" s="90" t="n"/>
      <c r="D158" s="90" t="n"/>
      <c r="E158" s="90" t="n"/>
      <c r="F158" s="90" t="n"/>
      <c r="G158" s="90" t="n"/>
      <c r="H158" s="90" t="n"/>
      <c r="I158" s="90" t="n"/>
      <c r="J158" s="90" t="n"/>
      <c r="K158" s="90" t="n"/>
      <c r="L158" s="90" t="n"/>
      <c r="M158" s="90" t="n"/>
      <c r="N158" s="90" t="n"/>
      <c r="O158" s="90" t="n"/>
      <c r="P158" s="90" t="n"/>
      <c r="Q158" s="90" t="n"/>
      <c r="R158" s="90" t="n"/>
      <c r="S158" s="90" t="n"/>
      <c r="T158" s="90" t="n"/>
      <c r="U158" s="90" t="n"/>
      <c r="V158" s="90" t="n"/>
      <c r="W158" s="90" t="n"/>
      <c r="X158" s="90" t="n"/>
      <c r="Y158" s="90" t="n"/>
      <c r="Z158" s="90" t="n"/>
    </row>
    <row r="159">
      <c r="A159" s="90" t="n"/>
      <c r="B159" s="90" t="n"/>
      <c r="C159" s="90" t="n"/>
      <c r="D159" s="90" t="n"/>
      <c r="E159" s="90" t="n"/>
      <c r="F159" s="90" t="n"/>
      <c r="G159" s="90" t="n"/>
      <c r="H159" s="90" t="n"/>
      <c r="I159" s="90" t="n"/>
      <c r="J159" s="90" t="n"/>
      <c r="K159" s="90" t="n"/>
      <c r="L159" s="90" t="n"/>
      <c r="M159" s="90" t="n"/>
      <c r="N159" s="90" t="n"/>
      <c r="O159" s="90" t="n"/>
      <c r="P159" s="90" t="n"/>
      <c r="Q159" s="90" t="n"/>
      <c r="R159" s="90" t="n"/>
      <c r="S159" s="90" t="n"/>
      <c r="T159" s="90" t="n"/>
      <c r="U159" s="90" t="n"/>
      <c r="V159" s="90" t="n"/>
      <c r="W159" s="90" t="n"/>
      <c r="X159" s="90" t="n"/>
      <c r="Y159" s="90" t="n"/>
      <c r="Z159" s="90" t="n"/>
    </row>
    <row r="160">
      <c r="A160" s="90" t="n"/>
      <c r="B160" s="90" t="n"/>
      <c r="C160" s="90" t="n"/>
      <c r="D160" s="90" t="n"/>
      <c r="E160" s="90" t="n"/>
      <c r="F160" s="90" t="n"/>
      <c r="G160" s="90" t="n"/>
      <c r="H160" s="90" t="n"/>
      <c r="I160" s="90" t="n"/>
      <c r="J160" s="90" t="n"/>
      <c r="K160" s="90" t="n"/>
      <c r="L160" s="90" t="n"/>
      <c r="M160" s="90" t="n"/>
      <c r="N160" s="90" t="n"/>
      <c r="O160" s="90" t="n"/>
      <c r="P160" s="90" t="n"/>
      <c r="Q160" s="90" t="n"/>
      <c r="R160" s="90" t="n"/>
      <c r="S160" s="90" t="n"/>
      <c r="T160" s="90" t="n"/>
      <c r="U160" s="90" t="n"/>
      <c r="V160" s="90" t="n"/>
      <c r="W160" s="90" t="n"/>
      <c r="X160" s="90" t="n"/>
      <c r="Y160" s="90" t="n"/>
      <c r="Z160" s="90" t="n"/>
    </row>
    <row r="161">
      <c r="A161" s="90" t="n"/>
      <c r="B161" s="90" t="n"/>
      <c r="C161" s="90" t="n"/>
      <c r="D161" s="90" t="n"/>
      <c r="E161" s="90" t="n"/>
      <c r="F161" s="90" t="n"/>
      <c r="G161" s="90" t="n"/>
      <c r="H161" s="90" t="n"/>
      <c r="I161" s="90" t="n"/>
      <c r="J161" s="90" t="n"/>
      <c r="K161" s="90" t="n"/>
      <c r="L161" s="90" t="n"/>
      <c r="M161" s="90" t="n"/>
      <c r="N161" s="90" t="n"/>
      <c r="O161" s="90" t="n"/>
      <c r="P161" s="90" t="n"/>
      <c r="Q161" s="90" t="n"/>
      <c r="R161" s="90" t="n"/>
      <c r="S161" s="90" t="n"/>
      <c r="T161" s="90" t="n"/>
      <c r="U161" s="90" t="n"/>
      <c r="V161" s="90" t="n"/>
      <c r="W161" s="90" t="n"/>
      <c r="X161" s="90" t="n"/>
      <c r="Y161" s="90" t="n"/>
      <c r="Z161" s="90" t="n"/>
    </row>
    <row r="162">
      <c r="A162" s="90" t="n"/>
      <c r="B162" s="90" t="n"/>
      <c r="C162" s="90" t="n"/>
      <c r="D162" s="90" t="n"/>
      <c r="E162" s="90" t="n"/>
      <c r="F162" s="90" t="n"/>
      <c r="G162" s="90" t="n"/>
      <c r="H162" s="90" t="n"/>
      <c r="I162" s="90" t="n"/>
      <c r="J162" s="90" t="n"/>
      <c r="K162" s="90" t="n"/>
      <c r="L162" s="90" t="n"/>
      <c r="M162" s="90" t="n"/>
      <c r="N162" s="90" t="n"/>
      <c r="O162" s="90" t="n"/>
      <c r="P162" s="90" t="n"/>
      <c r="Q162" s="90" t="n"/>
      <c r="R162" s="90" t="n"/>
      <c r="S162" s="90" t="n"/>
      <c r="T162" s="90" t="n"/>
      <c r="U162" s="90" t="n"/>
      <c r="V162" s="90" t="n"/>
      <c r="W162" s="90" t="n"/>
      <c r="X162" s="90" t="n"/>
      <c r="Y162" s="90" t="n"/>
      <c r="Z162" s="90" t="n"/>
    </row>
    <row r="163">
      <c r="A163" s="90" t="n"/>
      <c r="B163" s="90" t="n"/>
      <c r="C163" s="90" t="n"/>
      <c r="D163" s="90" t="n"/>
      <c r="E163" s="90" t="n"/>
      <c r="F163" s="90" t="n"/>
      <c r="G163" s="90" t="n"/>
      <c r="H163" s="90" t="n"/>
      <c r="I163" s="90" t="n"/>
      <c r="J163" s="90" t="n"/>
      <c r="K163" s="90" t="n"/>
      <c r="L163" s="90" t="n"/>
      <c r="M163" s="90" t="n"/>
      <c r="N163" s="90" t="n"/>
      <c r="O163" s="90" t="n"/>
      <c r="P163" s="90" t="n"/>
      <c r="Q163" s="90" t="n"/>
      <c r="R163" s="90" t="n"/>
      <c r="S163" s="90" t="n"/>
      <c r="T163" s="90" t="n"/>
      <c r="U163" s="90" t="n"/>
      <c r="V163" s="90" t="n"/>
      <c r="W163" s="90" t="n"/>
      <c r="X163" s="90" t="n"/>
      <c r="Y163" s="90" t="n"/>
      <c r="Z163" s="90" t="n"/>
    </row>
    <row r="164">
      <c r="A164" s="90" t="n"/>
      <c r="B164" s="90" t="n"/>
      <c r="C164" s="90" t="n"/>
      <c r="D164" s="90" t="n"/>
      <c r="E164" s="90" t="n"/>
      <c r="F164" s="90" t="n"/>
      <c r="G164" s="90" t="n"/>
      <c r="H164" s="90" t="n"/>
      <c r="I164" s="90" t="n"/>
      <c r="J164" s="90" t="n"/>
      <c r="K164" s="90" t="n"/>
      <c r="L164" s="90" t="n"/>
      <c r="M164" s="90" t="n"/>
      <c r="N164" s="90" t="n"/>
      <c r="O164" s="90" t="n"/>
      <c r="P164" s="90" t="n"/>
      <c r="Q164" s="90" t="n"/>
      <c r="R164" s="90" t="n"/>
      <c r="S164" s="90" t="n"/>
      <c r="T164" s="90" t="n"/>
      <c r="U164" s="90" t="n"/>
      <c r="V164" s="90" t="n"/>
      <c r="W164" s="90" t="n"/>
      <c r="X164" s="90" t="n"/>
      <c r="Y164" s="90" t="n"/>
      <c r="Z164" s="90" t="n"/>
    </row>
    <row r="165">
      <c r="A165" s="90" t="n"/>
      <c r="B165" s="90" t="n"/>
      <c r="C165" s="90" t="n"/>
      <c r="D165" s="90" t="n"/>
      <c r="E165" s="90" t="n"/>
      <c r="F165" s="90" t="n"/>
      <c r="G165" s="90" t="n"/>
      <c r="H165" s="90" t="n"/>
      <c r="I165" s="90" t="n"/>
      <c r="J165" s="90" t="n"/>
      <c r="K165" s="90" t="n"/>
      <c r="L165" s="90" t="n"/>
      <c r="M165" s="90" t="n"/>
      <c r="N165" s="90" t="n"/>
      <c r="O165" s="90" t="n"/>
      <c r="P165" s="90" t="n"/>
      <c r="Q165" s="90" t="n"/>
      <c r="R165" s="90" t="n"/>
      <c r="S165" s="90" t="n"/>
      <c r="T165" s="90" t="n"/>
      <c r="U165" s="90" t="n"/>
      <c r="V165" s="90" t="n"/>
      <c r="W165" s="90" t="n"/>
      <c r="X165" s="90" t="n"/>
      <c r="Y165" s="90" t="n"/>
      <c r="Z165" s="90" t="n"/>
    </row>
    <row r="166">
      <c r="A166" s="90" t="n"/>
      <c r="B166" s="90" t="n"/>
      <c r="C166" s="90" t="n"/>
      <c r="D166" s="90" t="n"/>
      <c r="E166" s="90" t="n"/>
      <c r="F166" s="90" t="n"/>
      <c r="G166" s="90" t="n"/>
      <c r="H166" s="90" t="n"/>
      <c r="I166" s="90" t="n"/>
      <c r="J166" s="90" t="n"/>
      <c r="K166" s="90" t="n"/>
      <c r="L166" s="90" t="n"/>
      <c r="M166" s="90" t="n"/>
      <c r="N166" s="90" t="n"/>
      <c r="O166" s="90" t="n"/>
      <c r="P166" s="90" t="n"/>
      <c r="Q166" s="90" t="n"/>
      <c r="R166" s="90" t="n"/>
      <c r="S166" s="90" t="n"/>
      <c r="T166" s="90" t="n"/>
      <c r="U166" s="90" t="n"/>
      <c r="V166" s="90" t="n"/>
      <c r="W166" s="90" t="n"/>
      <c r="X166" s="90" t="n"/>
      <c r="Y166" s="90" t="n"/>
      <c r="Z166" s="90" t="n"/>
    </row>
    <row r="167">
      <c r="A167" s="90" t="n"/>
      <c r="B167" s="90" t="n"/>
      <c r="C167" s="90" t="n"/>
      <c r="D167" s="90" t="n"/>
      <c r="E167" s="90" t="n"/>
      <c r="F167" s="90" t="n"/>
      <c r="G167" s="90" t="n"/>
      <c r="H167" s="90" t="n"/>
      <c r="I167" s="90" t="n"/>
      <c r="J167" s="90" t="n"/>
      <c r="K167" s="90" t="n"/>
      <c r="L167" s="90" t="n"/>
      <c r="M167" s="90" t="n"/>
      <c r="N167" s="90" t="n"/>
      <c r="O167" s="90" t="n"/>
      <c r="P167" s="90" t="n"/>
      <c r="Q167" s="90" t="n"/>
      <c r="R167" s="90" t="n"/>
      <c r="S167" s="90" t="n"/>
      <c r="T167" s="90" t="n"/>
      <c r="U167" s="90" t="n"/>
      <c r="V167" s="90" t="n"/>
      <c r="W167" s="90" t="n"/>
      <c r="X167" s="90" t="n"/>
      <c r="Y167" s="90" t="n"/>
      <c r="Z167" s="90" t="n"/>
    </row>
    <row r="168">
      <c r="A168" s="90" t="n"/>
      <c r="B168" s="90" t="n"/>
      <c r="C168" s="90" t="n"/>
      <c r="D168" s="90" t="n"/>
      <c r="E168" s="90" t="n"/>
      <c r="F168" s="90" t="n"/>
      <c r="G168" s="90" t="n"/>
      <c r="H168" s="90" t="n"/>
      <c r="I168" s="90" t="n"/>
      <c r="J168" s="90" t="n"/>
      <c r="K168" s="90" t="n"/>
      <c r="L168" s="90" t="n"/>
      <c r="M168" s="90" t="n"/>
      <c r="N168" s="90" t="n"/>
      <c r="O168" s="90" t="n"/>
      <c r="P168" s="90" t="n"/>
      <c r="Q168" s="90" t="n"/>
      <c r="R168" s="90" t="n"/>
      <c r="S168" s="90" t="n"/>
      <c r="T168" s="90" t="n"/>
      <c r="U168" s="90" t="n"/>
      <c r="V168" s="90" t="n"/>
      <c r="W168" s="90" t="n"/>
      <c r="X168" s="90" t="n"/>
      <c r="Y168" s="90" t="n"/>
      <c r="Z168" s="90" t="n"/>
    </row>
    <row r="169">
      <c r="A169" s="90" t="n"/>
      <c r="B169" s="90" t="n"/>
      <c r="C169" s="90" t="n"/>
      <c r="D169" s="90" t="n"/>
      <c r="E169" s="90" t="n"/>
      <c r="F169" s="90" t="n"/>
      <c r="G169" s="90" t="n"/>
      <c r="H169" s="90" t="n"/>
      <c r="I169" s="90" t="n"/>
      <c r="J169" s="90" t="n"/>
      <c r="K169" s="90" t="n"/>
      <c r="L169" s="90" t="n"/>
      <c r="M169" s="90" t="n"/>
      <c r="N169" s="90" t="n"/>
      <c r="O169" s="90" t="n"/>
      <c r="P169" s="90" t="n"/>
      <c r="Q169" s="90" t="n"/>
      <c r="R169" s="90" t="n"/>
      <c r="S169" s="90" t="n"/>
      <c r="T169" s="90" t="n"/>
      <c r="U169" s="90" t="n"/>
      <c r="V169" s="90" t="n"/>
      <c r="W169" s="90" t="n"/>
      <c r="X169" s="90" t="n"/>
      <c r="Y169" s="90" t="n"/>
      <c r="Z169" s="90" t="n"/>
    </row>
    <row r="170">
      <c r="A170" s="90" t="n"/>
      <c r="B170" s="90" t="n"/>
      <c r="C170" s="90" t="n"/>
      <c r="D170" s="90" t="n"/>
      <c r="E170" s="90" t="n"/>
      <c r="F170" s="90" t="n"/>
      <c r="G170" s="90" t="n"/>
      <c r="H170" s="90" t="n"/>
      <c r="I170" s="90" t="n"/>
      <c r="J170" s="90" t="n"/>
      <c r="K170" s="90" t="n"/>
      <c r="L170" s="90" t="n"/>
      <c r="M170" s="90" t="n"/>
      <c r="N170" s="90" t="n"/>
      <c r="O170" s="90" t="n"/>
      <c r="P170" s="90" t="n"/>
      <c r="Q170" s="90" t="n"/>
      <c r="R170" s="90" t="n"/>
      <c r="S170" s="90" t="n"/>
      <c r="T170" s="90" t="n"/>
      <c r="U170" s="90" t="n"/>
      <c r="V170" s="90" t="n"/>
      <c r="W170" s="90" t="n"/>
      <c r="X170" s="90" t="n"/>
      <c r="Y170" s="90" t="n"/>
      <c r="Z170" s="90" t="n"/>
    </row>
    <row r="171">
      <c r="A171" s="90" t="n"/>
      <c r="B171" s="90" t="n"/>
      <c r="C171" s="90" t="n"/>
      <c r="D171" s="90" t="n"/>
      <c r="E171" s="90" t="n"/>
      <c r="F171" s="90" t="n"/>
      <c r="G171" s="90" t="n"/>
      <c r="H171" s="90" t="n"/>
      <c r="I171" s="90" t="n"/>
      <c r="J171" s="90" t="n"/>
      <c r="K171" s="90" t="n"/>
      <c r="L171" s="90" t="n"/>
      <c r="M171" s="90" t="n"/>
      <c r="N171" s="90" t="n"/>
      <c r="O171" s="90" t="n"/>
      <c r="P171" s="90" t="n"/>
      <c r="Q171" s="90" t="n"/>
      <c r="R171" s="90" t="n"/>
      <c r="S171" s="90" t="n"/>
      <c r="T171" s="90" t="n"/>
      <c r="U171" s="90" t="n"/>
      <c r="V171" s="90" t="n"/>
      <c r="W171" s="90" t="n"/>
      <c r="X171" s="90" t="n"/>
      <c r="Y171" s="90" t="n"/>
      <c r="Z171" s="90" t="n"/>
    </row>
    <row r="172">
      <c r="A172" s="90" t="n"/>
      <c r="B172" s="90" t="n"/>
      <c r="C172" s="90" t="n"/>
      <c r="D172" s="90" t="n"/>
      <c r="E172" s="90" t="n"/>
      <c r="F172" s="90" t="n"/>
      <c r="G172" s="90" t="n"/>
      <c r="H172" s="90" t="n"/>
      <c r="I172" s="90" t="n"/>
      <c r="J172" s="90" t="n"/>
      <c r="K172" s="90" t="n"/>
      <c r="L172" s="90" t="n"/>
      <c r="M172" s="90" t="n"/>
      <c r="N172" s="90" t="n"/>
      <c r="O172" s="90" t="n"/>
      <c r="P172" s="90" t="n"/>
      <c r="Q172" s="90" t="n"/>
      <c r="R172" s="90" t="n"/>
      <c r="S172" s="90" t="n"/>
      <c r="T172" s="90" t="n"/>
      <c r="U172" s="90" t="n"/>
      <c r="V172" s="90" t="n"/>
      <c r="W172" s="90" t="n"/>
      <c r="X172" s="90" t="n"/>
      <c r="Y172" s="90" t="n"/>
      <c r="Z172" s="90" t="n"/>
    </row>
    <row r="173">
      <c r="A173" s="90" t="n"/>
      <c r="B173" s="90" t="n"/>
      <c r="C173" s="90" t="n"/>
      <c r="D173" s="90" t="n"/>
      <c r="E173" s="90" t="n"/>
      <c r="F173" s="90" t="n"/>
      <c r="G173" s="90" t="n"/>
      <c r="H173" s="90" t="n"/>
      <c r="I173" s="90" t="n"/>
      <c r="J173" s="90" t="n"/>
      <c r="K173" s="90" t="n"/>
      <c r="L173" s="90" t="n"/>
      <c r="M173" s="90" t="n"/>
      <c r="N173" s="90" t="n"/>
      <c r="O173" s="90" t="n"/>
      <c r="P173" s="90" t="n"/>
      <c r="Q173" s="90" t="n"/>
      <c r="R173" s="90" t="n"/>
      <c r="S173" s="90" t="n"/>
      <c r="T173" s="90" t="n"/>
      <c r="U173" s="90" t="n"/>
      <c r="V173" s="90" t="n"/>
      <c r="W173" s="90" t="n"/>
      <c r="X173" s="90" t="n"/>
      <c r="Y173" s="90" t="n"/>
      <c r="Z173" s="90" t="n"/>
    </row>
    <row r="174">
      <c r="A174" s="90" t="n"/>
      <c r="B174" s="90" t="n"/>
      <c r="C174" s="90" t="n"/>
      <c r="D174" s="90" t="n"/>
      <c r="E174" s="90" t="n"/>
      <c r="F174" s="90" t="n"/>
      <c r="G174" s="90" t="n"/>
      <c r="H174" s="90" t="n"/>
      <c r="I174" s="90" t="n"/>
      <c r="J174" s="90" t="n"/>
      <c r="K174" s="90" t="n"/>
      <c r="L174" s="90" t="n"/>
      <c r="M174" s="90" t="n"/>
      <c r="N174" s="90" t="n"/>
      <c r="O174" s="90" t="n"/>
      <c r="P174" s="90" t="n"/>
      <c r="Q174" s="90" t="n"/>
      <c r="R174" s="90" t="n"/>
      <c r="S174" s="90" t="n"/>
      <c r="T174" s="90" t="n"/>
      <c r="U174" s="90" t="n"/>
      <c r="V174" s="90" t="n"/>
      <c r="W174" s="90" t="n"/>
      <c r="X174" s="90" t="n"/>
      <c r="Y174" s="90" t="n"/>
      <c r="Z174" s="90" t="n"/>
    </row>
    <row r="175">
      <c r="A175" s="90" t="n"/>
      <c r="B175" s="90" t="n"/>
      <c r="C175" s="90" t="n"/>
      <c r="D175" s="90" t="n"/>
      <c r="E175" s="90" t="n"/>
      <c r="F175" s="90" t="n"/>
      <c r="G175" s="90" t="n"/>
      <c r="H175" s="90" t="n"/>
      <c r="I175" s="90" t="n"/>
      <c r="J175" s="90" t="n"/>
      <c r="K175" s="90" t="n"/>
      <c r="L175" s="90" t="n"/>
      <c r="M175" s="90" t="n"/>
      <c r="N175" s="90" t="n"/>
      <c r="O175" s="90" t="n"/>
      <c r="P175" s="90" t="n"/>
      <c r="Q175" s="90" t="n"/>
      <c r="R175" s="90" t="n"/>
      <c r="S175" s="90" t="n"/>
      <c r="T175" s="90" t="n"/>
      <c r="U175" s="90" t="n"/>
      <c r="V175" s="90" t="n"/>
      <c r="W175" s="90" t="n"/>
      <c r="X175" s="90" t="n"/>
      <c r="Y175" s="90" t="n"/>
      <c r="Z175" s="90" t="n"/>
    </row>
    <row r="176">
      <c r="A176" s="90" t="n"/>
      <c r="B176" s="90" t="n"/>
      <c r="C176" s="90" t="n"/>
      <c r="D176" s="90" t="n"/>
      <c r="E176" s="90" t="n"/>
      <c r="F176" s="90" t="n"/>
      <c r="G176" s="90" t="n"/>
      <c r="H176" s="90" t="n"/>
      <c r="I176" s="90" t="n"/>
      <c r="J176" s="90" t="n"/>
      <c r="K176" s="90" t="n"/>
      <c r="L176" s="90" t="n"/>
      <c r="M176" s="90" t="n"/>
      <c r="N176" s="90" t="n"/>
      <c r="O176" s="90" t="n"/>
      <c r="P176" s="90" t="n"/>
      <c r="Q176" s="90" t="n"/>
      <c r="R176" s="90" t="n"/>
      <c r="S176" s="90" t="n"/>
      <c r="T176" s="90" t="n"/>
      <c r="U176" s="90" t="n"/>
      <c r="V176" s="90" t="n"/>
      <c r="W176" s="90" t="n"/>
      <c r="X176" s="90" t="n"/>
      <c r="Y176" s="90" t="n"/>
      <c r="Z176" s="90" t="n"/>
    </row>
    <row r="177">
      <c r="A177" s="90" t="n"/>
      <c r="B177" s="90" t="n"/>
      <c r="C177" s="90" t="n"/>
      <c r="D177" s="90" t="n"/>
      <c r="E177" s="90" t="n"/>
      <c r="F177" s="90" t="n"/>
      <c r="G177" s="90" t="n"/>
      <c r="H177" s="90" t="n"/>
      <c r="I177" s="90" t="n"/>
      <c r="J177" s="90" t="n"/>
      <c r="K177" s="90" t="n"/>
      <c r="L177" s="90" t="n"/>
      <c r="M177" s="90" t="n"/>
      <c r="N177" s="90" t="n"/>
      <c r="O177" s="90" t="n"/>
      <c r="P177" s="90" t="n"/>
      <c r="Q177" s="90" t="n"/>
      <c r="R177" s="90" t="n"/>
      <c r="S177" s="90" t="n"/>
      <c r="T177" s="90" t="n"/>
      <c r="U177" s="90" t="n"/>
      <c r="V177" s="90" t="n"/>
      <c r="W177" s="90" t="n"/>
      <c r="X177" s="90" t="n"/>
      <c r="Y177" s="90" t="n"/>
      <c r="Z177" s="90" t="n"/>
    </row>
    <row r="178">
      <c r="A178" s="90" t="n"/>
      <c r="B178" s="90" t="n"/>
      <c r="C178" s="90" t="n"/>
      <c r="D178" s="90" t="n"/>
      <c r="E178" s="90" t="n"/>
      <c r="F178" s="90" t="n"/>
      <c r="G178" s="90" t="n"/>
      <c r="H178" s="90" t="n"/>
      <c r="I178" s="90" t="n"/>
      <c r="J178" s="90" t="n"/>
      <c r="K178" s="90" t="n"/>
      <c r="L178" s="90" t="n"/>
      <c r="M178" s="90" t="n"/>
      <c r="N178" s="90" t="n"/>
      <c r="O178" s="90" t="n"/>
      <c r="P178" s="90" t="n"/>
      <c r="Q178" s="90" t="n"/>
      <c r="R178" s="90" t="n"/>
      <c r="S178" s="90" t="n"/>
      <c r="T178" s="90" t="n"/>
      <c r="U178" s="90" t="n"/>
      <c r="V178" s="90" t="n"/>
      <c r="W178" s="90" t="n"/>
      <c r="X178" s="90" t="n"/>
      <c r="Y178" s="90" t="n"/>
      <c r="Z178" s="90" t="n"/>
    </row>
    <row r="179">
      <c r="A179" s="90" t="n"/>
      <c r="B179" s="90" t="n"/>
      <c r="C179" s="90" t="n"/>
      <c r="D179" s="90" t="n"/>
      <c r="E179" s="90" t="n"/>
      <c r="F179" s="90" t="n"/>
      <c r="G179" s="90" t="n"/>
      <c r="H179" s="90" t="n"/>
      <c r="I179" s="90" t="n"/>
      <c r="J179" s="90" t="n"/>
      <c r="K179" s="90" t="n"/>
      <c r="L179" s="90" t="n"/>
      <c r="M179" s="90" t="n"/>
      <c r="N179" s="90" t="n"/>
      <c r="O179" s="90" t="n"/>
      <c r="P179" s="90" t="n"/>
      <c r="Q179" s="90" t="n"/>
      <c r="R179" s="90" t="n"/>
      <c r="S179" s="90" t="n"/>
      <c r="T179" s="90" t="n"/>
      <c r="U179" s="90" t="n"/>
      <c r="V179" s="90" t="n"/>
      <c r="W179" s="90" t="n"/>
      <c r="X179" s="90" t="n"/>
      <c r="Y179" s="90" t="n"/>
      <c r="Z179" s="90" t="n"/>
    </row>
    <row r="180">
      <c r="A180" s="90" t="n"/>
      <c r="B180" s="90" t="n"/>
      <c r="C180" s="90" t="n"/>
      <c r="D180" s="90" t="n"/>
      <c r="E180" s="90" t="n"/>
      <c r="F180" s="90" t="n"/>
      <c r="G180" s="90" t="n"/>
      <c r="H180" s="90" t="n"/>
      <c r="I180" s="90" t="n"/>
      <c r="J180" s="90" t="n"/>
      <c r="K180" s="90" t="n"/>
      <c r="L180" s="90" t="n"/>
      <c r="M180" s="90" t="n"/>
      <c r="N180" s="90" t="n"/>
      <c r="O180" s="90" t="n"/>
      <c r="P180" s="90" t="n"/>
      <c r="Q180" s="90" t="n"/>
      <c r="R180" s="90" t="n"/>
      <c r="S180" s="90" t="n"/>
      <c r="T180" s="90" t="n"/>
      <c r="U180" s="90" t="n"/>
      <c r="V180" s="90" t="n"/>
      <c r="W180" s="90" t="n"/>
      <c r="X180" s="90" t="n"/>
      <c r="Y180" s="90" t="n"/>
      <c r="Z180" s="90" t="n"/>
    </row>
    <row r="181">
      <c r="A181" s="90" t="n"/>
      <c r="B181" s="90" t="n"/>
      <c r="C181" s="90" t="n"/>
      <c r="D181" s="90" t="n"/>
      <c r="E181" s="90" t="n"/>
      <c r="F181" s="90" t="n"/>
      <c r="G181" s="90" t="n"/>
      <c r="H181" s="90" t="n"/>
      <c r="I181" s="90" t="n"/>
      <c r="J181" s="90" t="n"/>
      <c r="K181" s="90" t="n"/>
      <c r="L181" s="90" t="n"/>
      <c r="M181" s="90" t="n"/>
      <c r="N181" s="90" t="n"/>
      <c r="O181" s="90" t="n"/>
      <c r="P181" s="90" t="n"/>
      <c r="Q181" s="90" t="n"/>
      <c r="R181" s="90" t="n"/>
      <c r="S181" s="90" t="n"/>
      <c r="T181" s="90" t="n"/>
      <c r="U181" s="90" t="n"/>
      <c r="V181" s="90" t="n"/>
      <c r="W181" s="90" t="n"/>
      <c r="X181" s="90" t="n"/>
      <c r="Y181" s="90" t="n"/>
      <c r="Z181" s="90" t="n"/>
    </row>
    <row r="182">
      <c r="A182" s="90" t="n"/>
      <c r="B182" s="90" t="n"/>
      <c r="C182" s="90" t="n"/>
      <c r="D182" s="90" t="n"/>
      <c r="E182" s="90" t="n"/>
      <c r="F182" s="90" t="n"/>
      <c r="G182" s="90" t="n"/>
      <c r="H182" s="90" t="n"/>
      <c r="I182" s="90" t="n"/>
      <c r="J182" s="90" t="n"/>
      <c r="K182" s="90" t="n"/>
      <c r="L182" s="90" t="n"/>
      <c r="M182" s="90" t="n"/>
      <c r="N182" s="90" t="n"/>
      <c r="O182" s="90" t="n"/>
      <c r="P182" s="90" t="n"/>
      <c r="Q182" s="90" t="n"/>
      <c r="R182" s="90" t="n"/>
      <c r="S182" s="90" t="n"/>
      <c r="T182" s="90" t="n"/>
      <c r="U182" s="90" t="n"/>
      <c r="V182" s="90" t="n"/>
      <c r="W182" s="90" t="n"/>
      <c r="X182" s="90" t="n"/>
      <c r="Y182" s="90" t="n"/>
      <c r="Z182" s="90" t="n"/>
    </row>
    <row r="183">
      <c r="A183" s="90" t="n"/>
      <c r="B183" s="90" t="n"/>
      <c r="C183" s="90" t="n"/>
      <c r="D183" s="90" t="n"/>
      <c r="E183" s="90" t="n"/>
      <c r="F183" s="90" t="n"/>
      <c r="G183" s="90" t="n"/>
      <c r="H183" s="90" t="n"/>
      <c r="I183" s="90" t="n"/>
      <c r="J183" s="90" t="n"/>
      <c r="K183" s="90" t="n"/>
      <c r="L183" s="90" t="n"/>
      <c r="M183" s="90" t="n"/>
      <c r="N183" s="90" t="n"/>
      <c r="O183" s="90" t="n"/>
      <c r="P183" s="90" t="n"/>
      <c r="Q183" s="90" t="n"/>
      <c r="R183" s="90" t="n"/>
      <c r="S183" s="90" t="n"/>
      <c r="T183" s="90" t="n"/>
      <c r="U183" s="90" t="n"/>
      <c r="V183" s="90" t="n"/>
      <c r="W183" s="90" t="n"/>
      <c r="X183" s="90" t="n"/>
      <c r="Y183" s="90" t="n"/>
      <c r="Z183" s="90" t="n"/>
    </row>
    <row r="184">
      <c r="A184" s="90" t="n"/>
      <c r="B184" s="90" t="n"/>
      <c r="C184" s="90" t="n"/>
      <c r="D184" s="90" t="n"/>
      <c r="E184" s="90" t="n"/>
      <c r="F184" s="90" t="n"/>
      <c r="G184" s="90" t="n"/>
      <c r="H184" s="90" t="n"/>
      <c r="I184" s="90" t="n"/>
      <c r="J184" s="90" t="n"/>
      <c r="K184" s="90" t="n"/>
      <c r="L184" s="90" t="n"/>
      <c r="M184" s="90" t="n"/>
      <c r="N184" s="90" t="n"/>
      <c r="O184" s="90" t="n"/>
      <c r="P184" s="90" t="n"/>
      <c r="Q184" s="90" t="n"/>
      <c r="R184" s="90" t="n"/>
      <c r="S184" s="90" t="n"/>
      <c r="T184" s="90" t="n"/>
      <c r="U184" s="90" t="n"/>
      <c r="V184" s="90" t="n"/>
      <c r="W184" s="90" t="n"/>
      <c r="X184" s="90" t="n"/>
      <c r="Y184" s="90" t="n"/>
      <c r="Z184" s="90" t="n"/>
    </row>
    <row r="185">
      <c r="A185" s="90" t="n"/>
      <c r="B185" s="90" t="n"/>
      <c r="C185" s="90" t="n"/>
      <c r="D185" s="90" t="n"/>
      <c r="E185" s="90" t="n"/>
      <c r="F185" s="90" t="n"/>
      <c r="G185" s="90" t="n"/>
      <c r="H185" s="90" t="n"/>
      <c r="I185" s="90" t="n"/>
      <c r="J185" s="90" t="n"/>
      <c r="K185" s="90" t="n"/>
      <c r="L185" s="90" t="n"/>
      <c r="M185" s="90" t="n"/>
      <c r="N185" s="90" t="n"/>
      <c r="O185" s="90" t="n"/>
      <c r="P185" s="90" t="n"/>
      <c r="Q185" s="90" t="n"/>
      <c r="R185" s="90" t="n"/>
      <c r="S185" s="90" t="n"/>
      <c r="T185" s="90" t="n"/>
      <c r="U185" s="90" t="n"/>
      <c r="V185" s="90" t="n"/>
      <c r="W185" s="90" t="n"/>
      <c r="X185" s="90" t="n"/>
      <c r="Y185" s="90" t="n"/>
      <c r="Z185" s="90" t="n"/>
    </row>
    <row r="186">
      <c r="A186" s="90" t="n"/>
      <c r="B186" s="90" t="n"/>
      <c r="C186" s="90" t="n"/>
      <c r="D186" s="90" t="n"/>
      <c r="E186" s="90" t="n"/>
      <c r="F186" s="90" t="n"/>
      <c r="G186" s="90" t="n"/>
      <c r="H186" s="90" t="n"/>
      <c r="I186" s="90" t="n"/>
      <c r="J186" s="90" t="n"/>
      <c r="K186" s="90" t="n"/>
      <c r="L186" s="90" t="n"/>
      <c r="M186" s="90" t="n"/>
      <c r="N186" s="90" t="n"/>
      <c r="O186" s="90" t="n"/>
      <c r="P186" s="90" t="n"/>
      <c r="Q186" s="90" t="n"/>
      <c r="R186" s="90" t="n"/>
      <c r="S186" s="90" t="n"/>
      <c r="T186" s="90" t="n"/>
      <c r="U186" s="90" t="n"/>
      <c r="V186" s="90" t="n"/>
      <c r="W186" s="90" t="n"/>
      <c r="X186" s="90" t="n"/>
      <c r="Y186" s="90" t="n"/>
      <c r="Z186" s="90" t="n"/>
    </row>
    <row r="187">
      <c r="A187" s="90" t="n"/>
      <c r="B187" s="90" t="n"/>
      <c r="C187" s="90" t="n"/>
      <c r="D187" s="90" t="n"/>
      <c r="E187" s="90" t="n"/>
      <c r="F187" s="90" t="n"/>
      <c r="G187" s="90" t="n"/>
      <c r="H187" s="90" t="n"/>
      <c r="I187" s="90" t="n"/>
      <c r="J187" s="90" t="n"/>
      <c r="K187" s="90" t="n"/>
      <c r="L187" s="90" t="n"/>
      <c r="M187" s="90" t="n"/>
      <c r="N187" s="90" t="n"/>
      <c r="O187" s="90" t="n"/>
      <c r="P187" s="90" t="n"/>
      <c r="Q187" s="90" t="n"/>
      <c r="R187" s="90" t="n"/>
      <c r="S187" s="90" t="n"/>
      <c r="T187" s="90" t="n"/>
      <c r="U187" s="90" t="n"/>
      <c r="V187" s="90" t="n"/>
      <c r="W187" s="90" t="n"/>
      <c r="X187" s="90" t="n"/>
      <c r="Y187" s="90" t="n"/>
      <c r="Z187" s="90" t="n"/>
    </row>
    <row r="188">
      <c r="A188" s="90" t="n"/>
      <c r="B188" s="90" t="n"/>
      <c r="C188" s="90" t="n"/>
      <c r="D188" s="90" t="n"/>
      <c r="E188" s="90" t="n"/>
      <c r="F188" s="90" t="n"/>
      <c r="G188" s="90" t="n"/>
      <c r="H188" s="90" t="n"/>
      <c r="I188" s="90" t="n"/>
      <c r="J188" s="90" t="n"/>
      <c r="K188" s="90" t="n"/>
      <c r="L188" s="90" t="n"/>
      <c r="M188" s="90" t="n"/>
      <c r="N188" s="90" t="n"/>
      <c r="O188" s="90" t="n"/>
      <c r="P188" s="90" t="n"/>
      <c r="Q188" s="90" t="n"/>
      <c r="R188" s="90" t="n"/>
      <c r="S188" s="90" t="n"/>
      <c r="T188" s="90" t="n"/>
      <c r="U188" s="90" t="n"/>
      <c r="V188" s="90" t="n"/>
      <c r="W188" s="90" t="n"/>
      <c r="X188" s="90" t="n"/>
      <c r="Y188" s="90" t="n"/>
      <c r="Z188" s="90" t="n"/>
    </row>
    <row r="189">
      <c r="A189" s="90" t="n"/>
      <c r="B189" s="90" t="n"/>
      <c r="C189" s="90" t="n"/>
      <c r="D189" s="90" t="n"/>
      <c r="E189" s="90" t="n"/>
      <c r="F189" s="90" t="n"/>
      <c r="G189" s="90" t="n"/>
      <c r="H189" s="90" t="n"/>
      <c r="I189" s="90" t="n"/>
      <c r="J189" s="90" t="n"/>
      <c r="K189" s="90" t="n"/>
      <c r="L189" s="90" t="n"/>
      <c r="M189" s="90" t="n"/>
      <c r="N189" s="90" t="n"/>
      <c r="O189" s="90" t="n"/>
      <c r="P189" s="90" t="n"/>
      <c r="Q189" s="90" t="n"/>
      <c r="R189" s="90" t="n"/>
      <c r="S189" s="90" t="n"/>
      <c r="T189" s="90" t="n"/>
      <c r="U189" s="90" t="n"/>
      <c r="V189" s="90" t="n"/>
      <c r="W189" s="90" t="n"/>
      <c r="X189" s="90" t="n"/>
      <c r="Y189" s="90" t="n"/>
      <c r="Z189" s="90" t="n"/>
    </row>
    <row r="190">
      <c r="A190" s="90" t="n"/>
      <c r="B190" s="90" t="n"/>
      <c r="C190" s="90" t="n"/>
      <c r="D190" s="90" t="n"/>
      <c r="E190" s="90" t="n"/>
      <c r="F190" s="90" t="n"/>
      <c r="G190" s="90" t="n"/>
      <c r="H190" s="90" t="n"/>
      <c r="I190" s="90" t="n"/>
      <c r="J190" s="90" t="n"/>
      <c r="K190" s="90" t="n"/>
      <c r="L190" s="90" t="n"/>
      <c r="M190" s="90" t="n"/>
      <c r="N190" s="90" t="n"/>
      <c r="O190" s="90" t="n"/>
      <c r="P190" s="90" t="n"/>
      <c r="Q190" s="90" t="n"/>
      <c r="R190" s="90" t="n"/>
      <c r="S190" s="90" t="n"/>
      <c r="T190" s="90" t="n"/>
      <c r="U190" s="90" t="n"/>
      <c r="V190" s="90" t="n"/>
      <c r="W190" s="90" t="n"/>
      <c r="X190" s="90" t="n"/>
      <c r="Y190" s="90" t="n"/>
      <c r="Z190" s="90" t="n"/>
    </row>
    <row r="191">
      <c r="A191" s="90" t="n"/>
      <c r="B191" s="90" t="n"/>
      <c r="C191" s="90" t="n"/>
      <c r="D191" s="90" t="n"/>
      <c r="E191" s="90" t="n"/>
      <c r="F191" s="90" t="n"/>
      <c r="G191" s="90" t="n"/>
      <c r="H191" s="90" t="n"/>
      <c r="I191" s="90" t="n"/>
      <c r="J191" s="90" t="n"/>
      <c r="K191" s="90" t="n"/>
      <c r="L191" s="90" t="n"/>
      <c r="M191" s="90" t="n"/>
      <c r="N191" s="90" t="n"/>
      <c r="O191" s="90" t="n"/>
      <c r="P191" s="90" t="n"/>
      <c r="Q191" s="90" t="n"/>
      <c r="R191" s="90" t="n"/>
      <c r="S191" s="90" t="n"/>
      <c r="T191" s="90" t="n"/>
      <c r="U191" s="90" t="n"/>
      <c r="V191" s="90" t="n"/>
      <c r="W191" s="90" t="n"/>
      <c r="X191" s="90" t="n"/>
      <c r="Y191" s="90" t="n"/>
      <c r="Z191" s="90" t="n"/>
    </row>
    <row r="192">
      <c r="A192" s="90" t="n"/>
      <c r="B192" s="90" t="n"/>
      <c r="C192" s="90" t="n"/>
      <c r="D192" s="90" t="n"/>
      <c r="E192" s="90" t="n"/>
      <c r="F192" s="90" t="n"/>
      <c r="G192" s="90" t="n"/>
      <c r="H192" s="90" t="n"/>
      <c r="I192" s="90" t="n"/>
      <c r="J192" s="90" t="n"/>
      <c r="K192" s="90" t="n"/>
      <c r="L192" s="90" t="n"/>
      <c r="M192" s="90" t="n"/>
      <c r="N192" s="90" t="n"/>
      <c r="O192" s="90" t="n"/>
      <c r="P192" s="90" t="n"/>
      <c r="Q192" s="90" t="n"/>
      <c r="R192" s="90" t="n"/>
      <c r="S192" s="90" t="n"/>
      <c r="T192" s="90" t="n"/>
      <c r="U192" s="90" t="n"/>
      <c r="V192" s="90" t="n"/>
      <c r="W192" s="90" t="n"/>
      <c r="X192" s="90" t="n"/>
      <c r="Y192" s="90" t="n"/>
      <c r="Z192" s="90" t="n"/>
    </row>
    <row r="193">
      <c r="A193" s="90" t="n"/>
      <c r="B193" s="90" t="n"/>
      <c r="C193" s="90" t="n"/>
      <c r="D193" s="90" t="n"/>
      <c r="E193" s="90" t="n"/>
      <c r="F193" s="90" t="n"/>
      <c r="G193" s="90" t="n"/>
      <c r="H193" s="90" t="n"/>
      <c r="I193" s="90" t="n"/>
      <c r="J193" s="90" t="n"/>
      <c r="K193" s="90" t="n"/>
      <c r="L193" s="90" t="n"/>
      <c r="M193" s="90" t="n"/>
      <c r="N193" s="90" t="n"/>
      <c r="O193" s="90" t="n"/>
      <c r="P193" s="90" t="n"/>
      <c r="Q193" s="90" t="n"/>
      <c r="R193" s="90" t="n"/>
      <c r="S193" s="90" t="n"/>
      <c r="T193" s="90" t="n"/>
      <c r="U193" s="90" t="n"/>
      <c r="V193" s="90" t="n"/>
      <c r="W193" s="90" t="n"/>
      <c r="X193" s="90" t="n"/>
      <c r="Y193" s="90" t="n"/>
      <c r="Z193" s="90" t="n"/>
    </row>
    <row r="194">
      <c r="A194" s="90" t="n"/>
      <c r="B194" s="90" t="n"/>
      <c r="C194" s="90" t="n"/>
      <c r="D194" s="90" t="n"/>
      <c r="E194" s="90" t="n"/>
      <c r="F194" s="90" t="n"/>
      <c r="G194" s="90" t="n"/>
      <c r="H194" s="90" t="n"/>
      <c r="I194" s="90" t="n"/>
      <c r="J194" s="90" t="n"/>
      <c r="K194" s="90" t="n"/>
      <c r="L194" s="90" t="n"/>
      <c r="M194" s="90" t="n"/>
      <c r="N194" s="90" t="n"/>
      <c r="O194" s="90" t="n"/>
      <c r="P194" s="90" t="n"/>
      <c r="Q194" s="90" t="n"/>
      <c r="R194" s="90" t="n"/>
      <c r="S194" s="90" t="n"/>
      <c r="T194" s="90" t="n"/>
      <c r="U194" s="90" t="n"/>
      <c r="V194" s="90" t="n"/>
      <c r="W194" s="90" t="n"/>
      <c r="X194" s="90" t="n"/>
      <c r="Y194" s="90" t="n"/>
      <c r="Z194" s="90" t="n"/>
    </row>
    <row r="195">
      <c r="A195" s="90" t="n"/>
      <c r="B195" s="90" t="n"/>
      <c r="C195" s="90" t="n"/>
      <c r="D195" s="90" t="n"/>
      <c r="E195" s="90" t="n"/>
      <c r="F195" s="90" t="n"/>
      <c r="G195" s="90" t="n"/>
      <c r="H195" s="90" t="n"/>
      <c r="I195" s="90" t="n"/>
      <c r="J195" s="90" t="n"/>
      <c r="K195" s="90" t="n"/>
      <c r="L195" s="90" t="n"/>
      <c r="M195" s="90" t="n"/>
      <c r="N195" s="90" t="n"/>
      <c r="O195" s="90" t="n"/>
      <c r="P195" s="90" t="n"/>
      <c r="Q195" s="90" t="n"/>
      <c r="R195" s="90" t="n"/>
      <c r="S195" s="90" t="n"/>
      <c r="T195" s="90" t="n"/>
      <c r="U195" s="90" t="n"/>
      <c r="V195" s="90" t="n"/>
      <c r="W195" s="90" t="n"/>
      <c r="X195" s="90" t="n"/>
      <c r="Y195" s="90" t="n"/>
      <c r="Z195" s="90" t="n"/>
    </row>
    <row r="196">
      <c r="A196" s="90" t="n"/>
      <c r="B196" s="90" t="n"/>
      <c r="C196" s="90" t="n"/>
      <c r="D196" s="90" t="n"/>
      <c r="E196" s="90" t="n"/>
      <c r="F196" s="90" t="n"/>
      <c r="G196" s="90" t="n"/>
      <c r="H196" s="90" t="n"/>
      <c r="I196" s="90" t="n"/>
      <c r="J196" s="90" t="n"/>
      <c r="K196" s="90" t="n"/>
      <c r="L196" s="90" t="n"/>
      <c r="M196" s="90" t="n"/>
      <c r="N196" s="90" t="n"/>
      <c r="O196" s="90" t="n"/>
      <c r="P196" s="90" t="n"/>
      <c r="Q196" s="90" t="n"/>
      <c r="R196" s="90" t="n"/>
      <c r="S196" s="90" t="n"/>
      <c r="T196" s="90" t="n"/>
      <c r="U196" s="90" t="n"/>
      <c r="V196" s="90" t="n"/>
      <c r="W196" s="90" t="n"/>
      <c r="X196" s="90" t="n"/>
      <c r="Y196" s="90" t="n"/>
      <c r="Z196" s="90" t="n"/>
    </row>
    <row r="197">
      <c r="A197" s="90" t="n"/>
      <c r="B197" s="90" t="n"/>
      <c r="C197" s="90" t="n"/>
      <c r="D197" s="90" t="n"/>
      <c r="E197" s="90" t="n"/>
      <c r="F197" s="90" t="n"/>
      <c r="G197" s="90" t="n"/>
      <c r="H197" s="90" t="n"/>
      <c r="I197" s="90" t="n"/>
      <c r="J197" s="90" t="n"/>
      <c r="K197" s="90" t="n"/>
      <c r="L197" s="90" t="n"/>
      <c r="M197" s="90" t="n"/>
      <c r="N197" s="90" t="n"/>
      <c r="O197" s="90" t="n"/>
      <c r="P197" s="90" t="n"/>
      <c r="Q197" s="90" t="n"/>
      <c r="R197" s="90" t="n"/>
      <c r="S197" s="90" t="n"/>
      <c r="T197" s="90" t="n"/>
      <c r="U197" s="90" t="n"/>
      <c r="V197" s="90" t="n"/>
      <c r="W197" s="90" t="n"/>
      <c r="X197" s="90" t="n"/>
      <c r="Y197" s="90" t="n"/>
      <c r="Z197" s="90" t="n"/>
    </row>
    <row r="198">
      <c r="A198" s="90" t="n"/>
      <c r="B198" s="90" t="n"/>
      <c r="C198" s="90" t="n"/>
      <c r="D198" s="90" t="n"/>
      <c r="E198" s="90" t="n"/>
      <c r="F198" s="90" t="n"/>
      <c r="G198" s="90" t="n"/>
      <c r="H198" s="90" t="n"/>
      <c r="I198" s="90" t="n"/>
      <c r="J198" s="90" t="n"/>
      <c r="K198" s="90" t="n"/>
      <c r="L198" s="90" t="n"/>
      <c r="M198" s="90" t="n"/>
      <c r="N198" s="90" t="n"/>
      <c r="O198" s="90" t="n"/>
      <c r="P198" s="90" t="n"/>
      <c r="Q198" s="90" t="n"/>
      <c r="R198" s="90" t="n"/>
      <c r="S198" s="90" t="n"/>
      <c r="T198" s="90" t="n"/>
      <c r="U198" s="90" t="n"/>
      <c r="V198" s="90" t="n"/>
      <c r="W198" s="90" t="n"/>
      <c r="X198" s="90" t="n"/>
      <c r="Y198" s="90" t="n"/>
      <c r="Z198" s="90" t="n"/>
    </row>
    <row r="199">
      <c r="A199" s="90" t="n"/>
      <c r="B199" s="90" t="n"/>
      <c r="C199" s="90" t="n"/>
      <c r="D199" s="90" t="n"/>
      <c r="E199" s="90" t="n"/>
      <c r="F199" s="90" t="n"/>
      <c r="G199" s="90" t="n"/>
      <c r="H199" s="90" t="n"/>
      <c r="I199" s="90" t="n"/>
      <c r="J199" s="90" t="n"/>
      <c r="K199" s="90" t="n"/>
      <c r="L199" s="90" t="n"/>
      <c r="M199" s="90" t="n"/>
      <c r="N199" s="90" t="n"/>
      <c r="O199" s="90" t="n"/>
      <c r="P199" s="90" t="n"/>
      <c r="Q199" s="90" t="n"/>
      <c r="R199" s="90" t="n"/>
      <c r="S199" s="90" t="n"/>
      <c r="T199" s="90" t="n"/>
      <c r="U199" s="90" t="n"/>
      <c r="V199" s="90" t="n"/>
      <c r="W199" s="90" t="n"/>
      <c r="X199" s="90" t="n"/>
      <c r="Y199" s="90" t="n"/>
      <c r="Z199" s="90" t="n"/>
    </row>
    <row r="200">
      <c r="A200" s="90" t="n"/>
      <c r="B200" s="90" t="n"/>
      <c r="C200" s="90" t="n"/>
      <c r="D200" s="90" t="n"/>
      <c r="E200" s="90" t="n"/>
      <c r="F200" s="90" t="n"/>
      <c r="G200" s="90" t="n"/>
      <c r="H200" s="90" t="n"/>
      <c r="I200" s="90" t="n"/>
      <c r="J200" s="90" t="n"/>
      <c r="K200" s="90" t="n"/>
      <c r="L200" s="90" t="n"/>
      <c r="M200" s="90" t="n"/>
      <c r="N200" s="90" t="n"/>
      <c r="O200" s="90" t="n"/>
      <c r="P200" s="90" t="n"/>
      <c r="Q200" s="90" t="n"/>
      <c r="R200" s="90" t="n"/>
      <c r="S200" s="90" t="n"/>
      <c r="T200" s="90" t="n"/>
      <c r="U200" s="90" t="n"/>
      <c r="V200" s="90" t="n"/>
      <c r="W200" s="90" t="n"/>
      <c r="X200" s="90" t="n"/>
      <c r="Y200" s="90" t="n"/>
      <c r="Z200" s="90" t="n"/>
    </row>
    <row r="201">
      <c r="A201" s="90" t="n"/>
      <c r="B201" s="90" t="n"/>
      <c r="C201" s="90" t="n"/>
      <c r="D201" s="90" t="n"/>
      <c r="E201" s="90" t="n"/>
      <c r="F201" s="90" t="n"/>
      <c r="G201" s="90" t="n"/>
      <c r="H201" s="90" t="n"/>
      <c r="I201" s="90" t="n"/>
      <c r="J201" s="90" t="n"/>
      <c r="K201" s="90" t="n"/>
      <c r="L201" s="90" t="n"/>
      <c r="M201" s="90" t="n"/>
      <c r="N201" s="90" t="n"/>
      <c r="O201" s="90" t="n"/>
      <c r="P201" s="90" t="n"/>
      <c r="Q201" s="90" t="n"/>
      <c r="R201" s="90" t="n"/>
      <c r="S201" s="90" t="n"/>
      <c r="T201" s="90" t="n"/>
      <c r="U201" s="90" t="n"/>
      <c r="V201" s="90" t="n"/>
      <c r="W201" s="90" t="n"/>
      <c r="X201" s="90" t="n"/>
      <c r="Y201" s="90" t="n"/>
      <c r="Z201" s="90" t="n"/>
    </row>
    <row r="202">
      <c r="A202" s="90" t="n"/>
      <c r="B202" s="90" t="n"/>
      <c r="C202" s="90" t="n"/>
      <c r="D202" s="90" t="n"/>
      <c r="E202" s="90" t="n"/>
      <c r="F202" s="90" t="n"/>
      <c r="G202" s="90" t="n"/>
      <c r="H202" s="90" t="n"/>
      <c r="I202" s="90" t="n"/>
      <c r="J202" s="90" t="n"/>
      <c r="K202" s="90" t="n"/>
      <c r="L202" s="90" t="n"/>
      <c r="M202" s="90" t="n"/>
      <c r="N202" s="90" t="n"/>
      <c r="O202" s="90" t="n"/>
      <c r="P202" s="90" t="n"/>
      <c r="Q202" s="90" t="n"/>
      <c r="R202" s="90" t="n"/>
      <c r="S202" s="90" t="n"/>
      <c r="T202" s="90" t="n"/>
      <c r="U202" s="90" t="n"/>
      <c r="V202" s="90" t="n"/>
      <c r="W202" s="90" t="n"/>
      <c r="X202" s="90" t="n"/>
      <c r="Y202" s="90" t="n"/>
      <c r="Z202" s="90" t="n"/>
    </row>
    <row r="203">
      <c r="A203" s="90" t="n"/>
      <c r="B203" s="90" t="n"/>
      <c r="C203" s="90" t="n"/>
      <c r="D203" s="90" t="n"/>
      <c r="E203" s="90" t="n"/>
      <c r="F203" s="90" t="n"/>
      <c r="G203" s="90" t="n"/>
      <c r="H203" s="90" t="n"/>
      <c r="I203" s="90" t="n"/>
      <c r="J203" s="90" t="n"/>
      <c r="K203" s="90" t="n"/>
      <c r="L203" s="90" t="n"/>
      <c r="M203" s="90" t="n"/>
      <c r="N203" s="90" t="n"/>
      <c r="O203" s="90" t="n"/>
      <c r="P203" s="90" t="n"/>
      <c r="Q203" s="90" t="n"/>
      <c r="R203" s="90" t="n"/>
      <c r="S203" s="90" t="n"/>
      <c r="T203" s="90" t="n"/>
      <c r="U203" s="90" t="n"/>
      <c r="V203" s="90" t="n"/>
      <c r="W203" s="90" t="n"/>
      <c r="X203" s="90" t="n"/>
      <c r="Y203" s="90" t="n"/>
      <c r="Z203" s="90" t="n"/>
    </row>
    <row r="204">
      <c r="A204" s="90" t="n"/>
      <c r="B204" s="90" t="n"/>
      <c r="C204" s="90" t="n"/>
      <c r="D204" s="90" t="n"/>
      <c r="E204" s="90" t="n"/>
      <c r="F204" s="90" t="n"/>
      <c r="G204" s="90" t="n"/>
      <c r="H204" s="90" t="n"/>
      <c r="I204" s="90" t="n"/>
      <c r="J204" s="90" t="n"/>
      <c r="K204" s="90" t="n"/>
      <c r="L204" s="90" t="n"/>
      <c r="M204" s="90" t="n"/>
      <c r="N204" s="90" t="n"/>
      <c r="O204" s="90" t="n"/>
      <c r="P204" s="90" t="n"/>
      <c r="Q204" s="90" t="n"/>
      <c r="R204" s="90" t="n"/>
      <c r="S204" s="90" t="n"/>
      <c r="T204" s="90" t="n"/>
      <c r="U204" s="90" t="n"/>
      <c r="V204" s="90" t="n"/>
      <c r="W204" s="90" t="n"/>
      <c r="X204" s="90" t="n"/>
      <c r="Y204" s="90" t="n"/>
      <c r="Z204" s="90" t="n"/>
    </row>
    <row r="205">
      <c r="A205" s="90" t="n"/>
      <c r="B205" s="90" t="n"/>
      <c r="C205" s="90" t="n"/>
      <c r="D205" s="90" t="n"/>
      <c r="E205" s="90" t="n"/>
      <c r="F205" s="90" t="n"/>
      <c r="G205" s="90" t="n"/>
      <c r="H205" s="90" t="n"/>
      <c r="I205" s="90" t="n"/>
      <c r="J205" s="90" t="n"/>
      <c r="K205" s="90" t="n"/>
      <c r="L205" s="90" t="n"/>
      <c r="M205" s="90" t="n"/>
      <c r="N205" s="90" t="n"/>
      <c r="O205" s="90" t="n"/>
      <c r="P205" s="90" t="n"/>
      <c r="Q205" s="90" t="n"/>
      <c r="R205" s="90" t="n"/>
      <c r="S205" s="90" t="n"/>
      <c r="T205" s="90" t="n"/>
      <c r="U205" s="90" t="n"/>
      <c r="V205" s="90" t="n"/>
      <c r="W205" s="90" t="n"/>
      <c r="X205" s="90" t="n"/>
      <c r="Y205" s="90" t="n"/>
      <c r="Z205" s="90" t="n"/>
    </row>
    <row r="206">
      <c r="A206" s="90" t="n"/>
      <c r="B206" s="90" t="n"/>
      <c r="C206" s="90" t="n"/>
      <c r="D206" s="90" t="n"/>
      <c r="E206" s="90" t="n"/>
      <c r="F206" s="90" t="n"/>
      <c r="G206" s="90" t="n"/>
      <c r="H206" s="90" t="n"/>
      <c r="I206" s="90" t="n"/>
      <c r="J206" s="90" t="n"/>
      <c r="K206" s="90" t="n"/>
      <c r="L206" s="90" t="n"/>
      <c r="M206" s="90" t="n"/>
      <c r="N206" s="90" t="n"/>
      <c r="O206" s="90" t="n"/>
      <c r="P206" s="90" t="n"/>
      <c r="Q206" s="90" t="n"/>
      <c r="R206" s="90" t="n"/>
      <c r="S206" s="90" t="n"/>
      <c r="T206" s="90" t="n"/>
      <c r="U206" s="90" t="n"/>
      <c r="V206" s="90" t="n"/>
      <c r="W206" s="90" t="n"/>
      <c r="X206" s="90" t="n"/>
      <c r="Y206" s="90" t="n"/>
      <c r="Z206" s="90" t="n"/>
    </row>
    <row r="207">
      <c r="A207" s="90" t="n"/>
      <c r="B207" s="90" t="n"/>
      <c r="C207" s="90" t="n"/>
      <c r="D207" s="90" t="n"/>
      <c r="E207" s="90" t="n"/>
      <c r="F207" s="90" t="n"/>
      <c r="G207" s="90" t="n"/>
      <c r="H207" s="90" t="n"/>
      <c r="I207" s="90" t="n"/>
      <c r="J207" s="90" t="n"/>
      <c r="K207" s="90" t="n"/>
      <c r="L207" s="90" t="n"/>
      <c r="M207" s="90" t="n"/>
      <c r="N207" s="90" t="n"/>
      <c r="O207" s="90" t="n"/>
      <c r="P207" s="90" t="n"/>
      <c r="Q207" s="90" t="n"/>
      <c r="R207" s="90" t="n"/>
      <c r="S207" s="90" t="n"/>
      <c r="T207" s="90" t="n"/>
      <c r="U207" s="90" t="n"/>
      <c r="V207" s="90" t="n"/>
      <c r="W207" s="90" t="n"/>
      <c r="X207" s="90" t="n"/>
      <c r="Y207" s="90" t="n"/>
      <c r="Z207" s="90" t="n"/>
    </row>
    <row r="208">
      <c r="A208" s="90" t="n"/>
      <c r="B208" s="90" t="n"/>
      <c r="C208" s="90" t="n"/>
      <c r="D208" s="90" t="n"/>
      <c r="E208" s="90" t="n"/>
      <c r="F208" s="90" t="n"/>
      <c r="G208" s="90" t="n"/>
      <c r="H208" s="90" t="n"/>
      <c r="I208" s="90" t="n"/>
      <c r="J208" s="90" t="n"/>
      <c r="K208" s="90" t="n"/>
      <c r="L208" s="90" t="n"/>
      <c r="M208" s="90" t="n"/>
      <c r="N208" s="90" t="n"/>
      <c r="O208" s="90" t="n"/>
      <c r="P208" s="90" t="n"/>
      <c r="Q208" s="90" t="n"/>
      <c r="R208" s="90" t="n"/>
      <c r="S208" s="90" t="n"/>
      <c r="T208" s="90" t="n"/>
      <c r="U208" s="90" t="n"/>
      <c r="V208" s="90" t="n"/>
      <c r="W208" s="90" t="n"/>
      <c r="X208" s="90" t="n"/>
      <c r="Y208" s="90" t="n"/>
      <c r="Z208" s="90" t="n"/>
    </row>
    <row r="209">
      <c r="A209" s="90" t="n"/>
      <c r="B209" s="90" t="n"/>
      <c r="C209" s="90" t="n"/>
      <c r="D209" s="90" t="n"/>
      <c r="E209" s="90" t="n"/>
      <c r="F209" s="90" t="n"/>
      <c r="G209" s="90" t="n"/>
      <c r="H209" s="90" t="n"/>
      <c r="I209" s="90" t="n"/>
      <c r="J209" s="90" t="n"/>
      <c r="K209" s="90" t="n"/>
      <c r="L209" s="90" t="n"/>
      <c r="M209" s="90" t="n"/>
      <c r="N209" s="90" t="n"/>
      <c r="O209" s="90" t="n"/>
      <c r="P209" s="90" t="n"/>
      <c r="Q209" s="90" t="n"/>
      <c r="R209" s="90" t="n"/>
      <c r="S209" s="90" t="n"/>
      <c r="T209" s="90" t="n"/>
      <c r="U209" s="90" t="n"/>
      <c r="V209" s="90" t="n"/>
      <c r="W209" s="90" t="n"/>
      <c r="X209" s="90" t="n"/>
      <c r="Y209" s="90" t="n"/>
      <c r="Z209" s="90" t="n"/>
    </row>
    <row r="210">
      <c r="A210" s="90" t="n"/>
      <c r="B210" s="90" t="n"/>
      <c r="C210" s="90" t="n"/>
      <c r="D210" s="90" t="n"/>
      <c r="E210" s="90" t="n"/>
      <c r="F210" s="90" t="n"/>
      <c r="G210" s="90" t="n"/>
      <c r="H210" s="90" t="n"/>
      <c r="I210" s="90" t="n"/>
      <c r="J210" s="90" t="n"/>
      <c r="K210" s="90" t="n"/>
      <c r="L210" s="90" t="n"/>
      <c r="M210" s="90" t="n"/>
      <c r="N210" s="90" t="n"/>
      <c r="O210" s="90" t="n"/>
      <c r="P210" s="90" t="n"/>
      <c r="Q210" s="90" t="n"/>
      <c r="R210" s="90" t="n"/>
      <c r="S210" s="90" t="n"/>
      <c r="T210" s="90" t="n"/>
      <c r="U210" s="90" t="n"/>
      <c r="V210" s="90" t="n"/>
      <c r="W210" s="90" t="n"/>
      <c r="X210" s="90" t="n"/>
      <c r="Y210" s="90" t="n"/>
      <c r="Z210" s="90" t="n"/>
    </row>
    <row r="211">
      <c r="A211" s="90" t="n"/>
      <c r="B211" s="90" t="n"/>
      <c r="C211" s="90" t="n"/>
      <c r="D211" s="90" t="n"/>
      <c r="E211" s="90" t="n"/>
      <c r="F211" s="90" t="n"/>
      <c r="G211" s="90" t="n"/>
      <c r="H211" s="90" t="n"/>
      <c r="I211" s="90" t="n"/>
      <c r="J211" s="90" t="n"/>
      <c r="K211" s="90" t="n"/>
      <c r="L211" s="90" t="n"/>
      <c r="M211" s="90" t="n"/>
      <c r="N211" s="90" t="n"/>
      <c r="O211" s="90" t="n"/>
      <c r="P211" s="90" t="n"/>
      <c r="Q211" s="90" t="n"/>
      <c r="R211" s="90" t="n"/>
      <c r="S211" s="90" t="n"/>
      <c r="T211" s="90" t="n"/>
      <c r="U211" s="90" t="n"/>
      <c r="V211" s="90" t="n"/>
      <c r="W211" s="90" t="n"/>
      <c r="X211" s="90" t="n"/>
      <c r="Y211" s="90" t="n"/>
      <c r="Z211" s="90" t="n"/>
    </row>
    <row r="212">
      <c r="A212" s="90" t="n"/>
      <c r="B212" s="90" t="n"/>
      <c r="C212" s="90" t="n"/>
      <c r="D212" s="90" t="n"/>
      <c r="E212" s="90" t="n"/>
      <c r="F212" s="90" t="n"/>
      <c r="G212" s="90" t="n"/>
      <c r="H212" s="90" t="n"/>
      <c r="I212" s="90" t="n"/>
      <c r="J212" s="90" t="n"/>
      <c r="K212" s="90" t="n"/>
      <c r="L212" s="90" t="n"/>
      <c r="M212" s="90" t="n"/>
      <c r="N212" s="90" t="n"/>
      <c r="O212" s="90" t="n"/>
      <c r="P212" s="90" t="n"/>
      <c r="Q212" s="90" t="n"/>
      <c r="R212" s="90" t="n"/>
      <c r="S212" s="90" t="n"/>
      <c r="T212" s="90" t="n"/>
      <c r="U212" s="90" t="n"/>
      <c r="V212" s="90" t="n"/>
      <c r="W212" s="90" t="n"/>
      <c r="X212" s="90" t="n"/>
      <c r="Y212" s="90" t="n"/>
      <c r="Z212" s="90" t="n"/>
    </row>
    <row r="213">
      <c r="A213" s="90" t="n"/>
      <c r="B213" s="90" t="n"/>
      <c r="C213" s="90" t="n"/>
      <c r="D213" s="90" t="n"/>
      <c r="E213" s="90" t="n"/>
      <c r="F213" s="90" t="n"/>
      <c r="G213" s="90" t="n"/>
      <c r="H213" s="90" t="n"/>
      <c r="I213" s="90" t="n"/>
      <c r="J213" s="90" t="n"/>
      <c r="K213" s="90" t="n"/>
      <c r="L213" s="90" t="n"/>
      <c r="M213" s="90" t="n"/>
      <c r="N213" s="90" t="n"/>
      <c r="O213" s="90" t="n"/>
      <c r="P213" s="90" t="n"/>
      <c r="Q213" s="90" t="n"/>
      <c r="R213" s="90" t="n"/>
      <c r="S213" s="90" t="n"/>
      <c r="T213" s="90" t="n"/>
      <c r="U213" s="90" t="n"/>
      <c r="V213" s="90" t="n"/>
      <c r="W213" s="90" t="n"/>
      <c r="X213" s="90" t="n"/>
      <c r="Y213" s="90" t="n"/>
      <c r="Z213" s="90" t="n"/>
    </row>
    <row r="214">
      <c r="A214" s="90" t="n"/>
      <c r="B214" s="90" t="n"/>
      <c r="C214" s="90" t="n"/>
      <c r="D214" s="90" t="n"/>
      <c r="E214" s="90" t="n"/>
      <c r="F214" s="90" t="n"/>
      <c r="G214" s="90" t="n"/>
      <c r="H214" s="90" t="n"/>
      <c r="I214" s="90" t="n"/>
      <c r="J214" s="90" t="n"/>
      <c r="K214" s="90" t="n"/>
      <c r="L214" s="90" t="n"/>
      <c r="M214" s="90" t="n"/>
      <c r="N214" s="90" t="n"/>
      <c r="O214" s="90" t="n"/>
      <c r="P214" s="90" t="n"/>
      <c r="Q214" s="90" t="n"/>
      <c r="R214" s="90" t="n"/>
      <c r="S214" s="90" t="n"/>
      <c r="T214" s="90" t="n"/>
      <c r="U214" s="90" t="n"/>
      <c r="V214" s="90" t="n"/>
      <c r="W214" s="90" t="n"/>
      <c r="X214" s="90" t="n"/>
      <c r="Y214" s="90" t="n"/>
      <c r="Z214" s="90" t="n"/>
    </row>
    <row r="215">
      <c r="A215" s="90" t="n"/>
      <c r="B215" s="90" t="n"/>
      <c r="C215" s="90" t="n"/>
      <c r="D215" s="90" t="n"/>
      <c r="E215" s="90" t="n"/>
      <c r="F215" s="90" t="n"/>
      <c r="G215" s="90" t="n"/>
      <c r="H215" s="90" t="n"/>
      <c r="I215" s="90" t="n"/>
      <c r="J215" s="90" t="n"/>
      <c r="K215" s="90" t="n"/>
      <c r="L215" s="90" t="n"/>
      <c r="M215" s="90" t="n"/>
      <c r="N215" s="90" t="n"/>
      <c r="O215" s="90" t="n"/>
      <c r="P215" s="90" t="n"/>
      <c r="Q215" s="90" t="n"/>
      <c r="R215" s="90" t="n"/>
      <c r="S215" s="90" t="n"/>
      <c r="T215" s="90" t="n"/>
      <c r="U215" s="90" t="n"/>
      <c r="V215" s="90" t="n"/>
      <c r="W215" s="90" t="n"/>
      <c r="X215" s="90" t="n"/>
      <c r="Y215" s="90" t="n"/>
      <c r="Z215" s="90" t="n"/>
    </row>
    <row r="216">
      <c r="A216" s="90" t="n"/>
      <c r="B216" s="90" t="n"/>
      <c r="C216" s="90" t="n"/>
      <c r="D216" s="90" t="n"/>
      <c r="E216" s="90" t="n"/>
      <c r="F216" s="90" t="n"/>
      <c r="G216" s="90" t="n"/>
      <c r="H216" s="90" t="n"/>
      <c r="I216" s="90" t="n"/>
      <c r="J216" s="90" t="n"/>
      <c r="K216" s="90" t="n"/>
      <c r="L216" s="90" t="n"/>
      <c r="M216" s="90" t="n"/>
      <c r="N216" s="90" t="n"/>
      <c r="O216" s="90" t="n"/>
      <c r="P216" s="90" t="n"/>
      <c r="Q216" s="90" t="n"/>
      <c r="R216" s="90" t="n"/>
      <c r="S216" s="90" t="n"/>
      <c r="T216" s="90" t="n"/>
      <c r="U216" s="90" t="n"/>
      <c r="V216" s="90" t="n"/>
      <c r="W216" s="90" t="n"/>
      <c r="X216" s="90" t="n"/>
      <c r="Y216" s="90" t="n"/>
      <c r="Z216" s="90" t="n"/>
    </row>
    <row r="217">
      <c r="A217" s="90" t="n"/>
      <c r="B217" s="90" t="n"/>
      <c r="C217" s="90" t="n"/>
      <c r="D217" s="90" t="n"/>
      <c r="E217" s="90" t="n"/>
      <c r="F217" s="90" t="n"/>
      <c r="G217" s="90" t="n"/>
      <c r="H217" s="90" t="n"/>
      <c r="I217" s="90" t="n"/>
      <c r="J217" s="90" t="n"/>
      <c r="K217" s="90" t="n"/>
      <c r="L217" s="90" t="n"/>
      <c r="M217" s="90" t="n"/>
      <c r="N217" s="90" t="n"/>
      <c r="O217" s="90" t="n"/>
      <c r="P217" s="90" t="n"/>
      <c r="Q217" s="90" t="n"/>
      <c r="R217" s="90" t="n"/>
      <c r="S217" s="90" t="n"/>
      <c r="T217" s="90" t="n"/>
      <c r="U217" s="90" t="n"/>
      <c r="V217" s="90" t="n"/>
      <c r="W217" s="90" t="n"/>
      <c r="X217" s="90" t="n"/>
      <c r="Y217" s="90" t="n"/>
      <c r="Z217" s="90" t="n"/>
    </row>
    <row r="218">
      <c r="A218" s="90" t="n"/>
      <c r="B218" s="90" t="n"/>
      <c r="C218" s="90" t="n"/>
      <c r="D218" s="90" t="n"/>
      <c r="E218" s="90" t="n"/>
      <c r="F218" s="90" t="n"/>
      <c r="G218" s="90" t="n"/>
      <c r="H218" s="90" t="n"/>
      <c r="I218" s="90" t="n"/>
      <c r="J218" s="90" t="n"/>
      <c r="K218" s="90" t="n"/>
      <c r="L218" s="90" t="n"/>
      <c r="M218" s="90" t="n"/>
      <c r="N218" s="90" t="n"/>
      <c r="O218" s="90" t="n"/>
      <c r="P218" s="90" t="n"/>
      <c r="Q218" s="90" t="n"/>
      <c r="R218" s="90" t="n"/>
      <c r="S218" s="90" t="n"/>
      <c r="T218" s="90" t="n"/>
      <c r="U218" s="90" t="n"/>
      <c r="V218" s="90" t="n"/>
      <c r="W218" s="90" t="n"/>
      <c r="X218" s="90" t="n"/>
      <c r="Y218" s="90" t="n"/>
      <c r="Z218" s="90" t="n"/>
    </row>
    <row r="219">
      <c r="A219" s="90" t="n"/>
      <c r="B219" s="90" t="n"/>
      <c r="C219" s="90" t="n"/>
      <c r="D219" s="90" t="n"/>
      <c r="E219" s="90" t="n"/>
      <c r="F219" s="90" t="n"/>
      <c r="G219" s="90" t="n"/>
      <c r="H219" s="90" t="n"/>
      <c r="I219" s="90" t="n"/>
      <c r="J219" s="90" t="n"/>
      <c r="K219" s="90" t="n"/>
      <c r="L219" s="90" t="n"/>
      <c r="M219" s="90" t="n"/>
      <c r="N219" s="90" t="n"/>
      <c r="O219" s="90" t="n"/>
      <c r="P219" s="90" t="n"/>
      <c r="Q219" s="90" t="n"/>
      <c r="R219" s="90" t="n"/>
      <c r="S219" s="90" t="n"/>
      <c r="T219" s="90" t="n"/>
      <c r="U219" s="90" t="n"/>
      <c r="V219" s="90" t="n"/>
      <c r="W219" s="90" t="n"/>
      <c r="X219" s="90" t="n"/>
      <c r="Y219" s="90" t="n"/>
      <c r="Z219" s="90" t="n"/>
    </row>
    <row r="220">
      <c r="A220" s="90" t="n"/>
      <c r="B220" s="90" t="n"/>
      <c r="C220" s="90" t="n"/>
      <c r="D220" s="90" t="n"/>
      <c r="E220" s="90" t="n"/>
      <c r="F220" s="90" t="n"/>
      <c r="G220" s="90" t="n"/>
      <c r="H220" s="90" t="n"/>
      <c r="I220" s="90" t="n"/>
      <c r="J220" s="90" t="n"/>
      <c r="K220" s="90" t="n"/>
      <c r="L220" s="90" t="n"/>
      <c r="M220" s="90" t="n"/>
      <c r="N220" s="90" t="n"/>
      <c r="O220" s="90" t="n"/>
      <c r="P220" s="90" t="n"/>
      <c r="Q220" s="90" t="n"/>
      <c r="R220" s="90" t="n"/>
      <c r="S220" s="90" t="n"/>
      <c r="T220" s="90" t="n"/>
      <c r="U220" s="90" t="n"/>
      <c r="V220" s="90" t="n"/>
      <c r="W220" s="90" t="n"/>
      <c r="X220" s="90" t="n"/>
      <c r="Y220" s="90" t="n"/>
      <c r="Z220" s="90" t="n"/>
    </row>
    <row r="221">
      <c r="A221" s="90" t="n"/>
      <c r="B221" s="90" t="n"/>
      <c r="C221" s="90" t="n"/>
      <c r="D221" s="90" t="n"/>
      <c r="E221" s="90" t="n"/>
      <c r="F221" s="90" t="n"/>
      <c r="G221" s="90" t="n"/>
      <c r="H221" s="90" t="n"/>
      <c r="I221" s="90" t="n"/>
      <c r="J221" s="90" t="n"/>
      <c r="K221" s="90" t="n"/>
      <c r="L221" s="90" t="n"/>
      <c r="M221" s="90" t="n"/>
      <c r="N221" s="90" t="n"/>
      <c r="O221" s="90" t="n"/>
      <c r="P221" s="90" t="n"/>
      <c r="Q221" s="90" t="n"/>
      <c r="R221" s="90" t="n"/>
      <c r="S221" s="90" t="n"/>
      <c r="T221" s="90" t="n"/>
      <c r="U221" s="90" t="n"/>
      <c r="V221" s="90" t="n"/>
      <c r="W221" s="90" t="n"/>
      <c r="X221" s="90" t="n"/>
      <c r="Y221" s="90" t="n"/>
      <c r="Z221" s="90" t="n"/>
    </row>
    <row r="222">
      <c r="A222" s="90" t="n"/>
      <c r="B222" s="90" t="n"/>
      <c r="C222" s="90" t="n"/>
      <c r="D222" s="90" t="n"/>
      <c r="E222" s="90" t="n"/>
      <c r="F222" s="90" t="n"/>
      <c r="G222" s="90" t="n"/>
      <c r="H222" s="90" t="n"/>
      <c r="I222" s="90" t="n"/>
      <c r="J222" s="90" t="n"/>
      <c r="K222" s="90" t="n"/>
      <c r="L222" s="90" t="n"/>
      <c r="M222" s="90" t="n"/>
      <c r="N222" s="90" t="n"/>
      <c r="O222" s="90" t="n"/>
      <c r="P222" s="90" t="n"/>
      <c r="Q222" s="90" t="n"/>
      <c r="R222" s="90" t="n"/>
      <c r="S222" s="90" t="n"/>
      <c r="T222" s="90" t="n"/>
      <c r="U222" s="90" t="n"/>
      <c r="V222" s="90" t="n"/>
      <c r="W222" s="90" t="n"/>
      <c r="X222" s="90" t="n"/>
      <c r="Y222" s="90" t="n"/>
      <c r="Z222" s="90" t="n"/>
    </row>
    <row r="223">
      <c r="A223" s="90" t="n"/>
      <c r="B223" s="90" t="n"/>
      <c r="C223" s="90" t="n"/>
      <c r="D223" s="90" t="n"/>
      <c r="E223" s="90" t="n"/>
      <c r="F223" s="90" t="n"/>
      <c r="G223" s="90" t="n"/>
      <c r="H223" s="90" t="n"/>
      <c r="I223" s="90" t="n"/>
      <c r="J223" s="90" t="n"/>
      <c r="K223" s="90" t="n"/>
      <c r="L223" s="90" t="n"/>
      <c r="M223" s="90" t="n"/>
      <c r="N223" s="90" t="n"/>
      <c r="O223" s="90" t="n"/>
      <c r="P223" s="90" t="n"/>
      <c r="Q223" s="90" t="n"/>
      <c r="R223" s="90" t="n"/>
      <c r="S223" s="90" t="n"/>
      <c r="T223" s="90" t="n"/>
      <c r="U223" s="90" t="n"/>
      <c r="V223" s="90" t="n"/>
      <c r="W223" s="90" t="n"/>
      <c r="X223" s="90" t="n"/>
      <c r="Y223" s="90" t="n"/>
      <c r="Z223" s="90" t="n"/>
    </row>
    <row r="224">
      <c r="A224" s="90" t="n"/>
      <c r="B224" s="90" t="n"/>
      <c r="C224" s="90" t="n"/>
      <c r="D224" s="90" t="n"/>
      <c r="E224" s="90" t="n"/>
      <c r="F224" s="90" t="n"/>
      <c r="G224" s="90" t="n"/>
      <c r="H224" s="90" t="n"/>
      <c r="I224" s="90" t="n"/>
      <c r="J224" s="90" t="n"/>
      <c r="K224" s="90" t="n"/>
      <c r="L224" s="90" t="n"/>
      <c r="M224" s="90" t="n"/>
      <c r="N224" s="90" t="n"/>
      <c r="O224" s="90" t="n"/>
      <c r="P224" s="90" t="n"/>
      <c r="Q224" s="90" t="n"/>
      <c r="R224" s="90" t="n"/>
      <c r="S224" s="90" t="n"/>
      <c r="T224" s="90" t="n"/>
      <c r="U224" s="90" t="n"/>
      <c r="V224" s="90" t="n"/>
      <c r="W224" s="90" t="n"/>
      <c r="X224" s="90" t="n"/>
      <c r="Y224" s="90" t="n"/>
      <c r="Z224" s="90" t="n"/>
    </row>
    <row r="225">
      <c r="A225" s="90" t="n"/>
      <c r="B225" s="90" t="n"/>
      <c r="C225" s="90" t="n"/>
      <c r="D225" s="90" t="n"/>
      <c r="E225" s="90" t="n"/>
      <c r="F225" s="90" t="n"/>
      <c r="G225" s="90" t="n"/>
      <c r="H225" s="90" t="n"/>
      <c r="I225" s="90" t="n"/>
      <c r="J225" s="90" t="n"/>
      <c r="K225" s="90" t="n"/>
      <c r="L225" s="90" t="n"/>
      <c r="M225" s="90" t="n"/>
      <c r="N225" s="90" t="n"/>
      <c r="O225" s="90" t="n"/>
      <c r="P225" s="90" t="n"/>
      <c r="Q225" s="90" t="n"/>
      <c r="R225" s="90" t="n"/>
      <c r="S225" s="90" t="n"/>
      <c r="T225" s="90" t="n"/>
      <c r="U225" s="90" t="n"/>
      <c r="V225" s="90" t="n"/>
      <c r="W225" s="90" t="n"/>
      <c r="X225" s="90" t="n"/>
      <c r="Y225" s="90" t="n"/>
      <c r="Z225" s="90" t="n"/>
    </row>
    <row r="226">
      <c r="A226" s="90" t="n"/>
      <c r="B226" s="90" t="n"/>
      <c r="C226" s="90" t="n"/>
      <c r="D226" s="90" t="n"/>
      <c r="E226" s="90" t="n"/>
      <c r="F226" s="90" t="n"/>
      <c r="G226" s="90" t="n"/>
      <c r="H226" s="90" t="n"/>
      <c r="I226" s="90" t="n"/>
      <c r="J226" s="90" t="n"/>
      <c r="K226" s="90" t="n"/>
      <c r="L226" s="90" t="n"/>
      <c r="M226" s="90" t="n"/>
      <c r="N226" s="90" t="n"/>
      <c r="O226" s="90" t="n"/>
      <c r="P226" s="90" t="n"/>
      <c r="Q226" s="90" t="n"/>
      <c r="R226" s="90" t="n"/>
      <c r="S226" s="90" t="n"/>
      <c r="T226" s="90" t="n"/>
      <c r="U226" s="90" t="n"/>
      <c r="V226" s="90" t="n"/>
      <c r="W226" s="90" t="n"/>
      <c r="X226" s="90" t="n"/>
      <c r="Y226" s="90" t="n"/>
      <c r="Z226" s="90" t="n"/>
    </row>
    <row r="227">
      <c r="A227" s="90" t="n"/>
      <c r="B227" s="90" t="n"/>
      <c r="C227" s="90" t="n"/>
      <c r="D227" s="90" t="n"/>
      <c r="E227" s="90" t="n"/>
      <c r="F227" s="90" t="n"/>
      <c r="G227" s="90" t="n"/>
      <c r="H227" s="90" t="n"/>
      <c r="I227" s="90" t="n"/>
      <c r="J227" s="90" t="n"/>
      <c r="K227" s="90" t="n"/>
      <c r="L227" s="90" t="n"/>
      <c r="M227" s="90" t="n"/>
      <c r="N227" s="90" t="n"/>
      <c r="O227" s="90" t="n"/>
      <c r="P227" s="90" t="n"/>
      <c r="Q227" s="90" t="n"/>
      <c r="R227" s="90" t="n"/>
      <c r="S227" s="90" t="n"/>
      <c r="T227" s="90" t="n"/>
      <c r="U227" s="90" t="n"/>
      <c r="V227" s="90" t="n"/>
      <c r="W227" s="90" t="n"/>
      <c r="X227" s="90" t="n"/>
      <c r="Y227" s="90" t="n"/>
      <c r="Z227" s="90" t="n"/>
    </row>
    <row r="228">
      <c r="A228" s="90" t="n"/>
      <c r="B228" s="90" t="n"/>
      <c r="C228" s="90" t="n"/>
      <c r="D228" s="90" t="n"/>
      <c r="E228" s="90" t="n"/>
      <c r="F228" s="90" t="n"/>
      <c r="G228" s="90" t="n"/>
      <c r="H228" s="90" t="n"/>
      <c r="I228" s="90" t="n"/>
      <c r="J228" s="90" t="n"/>
      <c r="K228" s="90" t="n"/>
      <c r="L228" s="90" t="n"/>
      <c r="M228" s="90" t="n"/>
      <c r="N228" s="90" t="n"/>
      <c r="O228" s="90" t="n"/>
      <c r="P228" s="90" t="n"/>
      <c r="Q228" s="90" t="n"/>
      <c r="R228" s="90" t="n"/>
      <c r="S228" s="90" t="n"/>
      <c r="T228" s="90" t="n"/>
      <c r="U228" s="90" t="n"/>
      <c r="V228" s="90" t="n"/>
      <c r="W228" s="90" t="n"/>
      <c r="X228" s="90" t="n"/>
      <c r="Y228" s="90" t="n"/>
      <c r="Z228" s="90" t="n"/>
    </row>
    <row r="229">
      <c r="A229" s="90" t="n"/>
      <c r="B229" s="90" t="n"/>
      <c r="C229" s="90" t="n"/>
      <c r="D229" s="90" t="n"/>
      <c r="E229" s="90" t="n"/>
      <c r="F229" s="90" t="n"/>
      <c r="G229" s="90" t="n"/>
      <c r="H229" s="90" t="n"/>
      <c r="I229" s="90" t="n"/>
      <c r="J229" s="90" t="n"/>
      <c r="K229" s="90" t="n"/>
      <c r="L229" s="90" t="n"/>
      <c r="M229" s="90" t="n"/>
      <c r="N229" s="90" t="n"/>
      <c r="O229" s="90" t="n"/>
      <c r="P229" s="90" t="n"/>
      <c r="Q229" s="90" t="n"/>
      <c r="R229" s="90" t="n"/>
      <c r="S229" s="90" t="n"/>
      <c r="T229" s="90" t="n"/>
      <c r="U229" s="90" t="n"/>
      <c r="V229" s="90" t="n"/>
      <c r="W229" s="90" t="n"/>
      <c r="X229" s="90" t="n"/>
      <c r="Y229" s="90" t="n"/>
      <c r="Z229" s="90" t="n"/>
    </row>
    <row r="230">
      <c r="A230" s="90" t="n"/>
      <c r="B230" s="90" t="n"/>
      <c r="C230" s="90" t="n"/>
      <c r="D230" s="90" t="n"/>
      <c r="E230" s="90" t="n"/>
      <c r="F230" s="90" t="n"/>
      <c r="G230" s="90" t="n"/>
      <c r="H230" s="90" t="n"/>
      <c r="I230" s="90" t="n"/>
      <c r="J230" s="90" t="n"/>
      <c r="K230" s="90" t="n"/>
      <c r="L230" s="90" t="n"/>
      <c r="M230" s="90" t="n"/>
      <c r="N230" s="90" t="n"/>
      <c r="O230" s="90" t="n"/>
      <c r="P230" s="90" t="n"/>
      <c r="Q230" s="90" t="n"/>
      <c r="R230" s="90" t="n"/>
      <c r="S230" s="90" t="n"/>
      <c r="T230" s="90" t="n"/>
      <c r="U230" s="90" t="n"/>
      <c r="V230" s="90" t="n"/>
      <c r="W230" s="90" t="n"/>
      <c r="X230" s="90" t="n"/>
      <c r="Y230" s="90" t="n"/>
      <c r="Z230" s="90" t="n"/>
    </row>
    <row r="231">
      <c r="A231" s="90" t="n"/>
      <c r="B231" s="90" t="n"/>
      <c r="C231" s="90" t="n"/>
      <c r="D231" s="90" t="n"/>
      <c r="E231" s="90" t="n"/>
      <c r="F231" s="90" t="n"/>
      <c r="G231" s="90" t="n"/>
      <c r="H231" s="90" t="n"/>
      <c r="I231" s="90" t="n"/>
      <c r="J231" s="90" t="n"/>
      <c r="K231" s="90" t="n"/>
      <c r="L231" s="90" t="n"/>
      <c r="M231" s="90" t="n"/>
      <c r="N231" s="90" t="n"/>
      <c r="O231" s="90" t="n"/>
      <c r="P231" s="90" t="n"/>
      <c r="Q231" s="90" t="n"/>
      <c r="R231" s="90" t="n"/>
      <c r="S231" s="90" t="n"/>
      <c r="T231" s="90" t="n"/>
      <c r="U231" s="90" t="n"/>
      <c r="V231" s="90" t="n"/>
      <c r="W231" s="90" t="n"/>
      <c r="X231" s="90" t="n"/>
      <c r="Y231" s="90" t="n"/>
      <c r="Z231" s="90" t="n"/>
    </row>
    <row r="232">
      <c r="A232" s="90" t="n"/>
      <c r="B232" s="90" t="n"/>
      <c r="C232" s="90" t="n"/>
      <c r="D232" s="90" t="n"/>
      <c r="E232" s="90" t="n"/>
      <c r="F232" s="90" t="n"/>
      <c r="G232" s="90" t="n"/>
      <c r="H232" s="90" t="n"/>
      <c r="I232" s="90" t="n"/>
      <c r="J232" s="90" t="n"/>
      <c r="K232" s="90" t="n"/>
      <c r="L232" s="90" t="n"/>
      <c r="M232" s="90" t="n"/>
      <c r="N232" s="90" t="n"/>
      <c r="O232" s="90" t="n"/>
      <c r="P232" s="90" t="n"/>
      <c r="Q232" s="90" t="n"/>
      <c r="R232" s="90" t="n"/>
      <c r="S232" s="90" t="n"/>
      <c r="T232" s="90" t="n"/>
      <c r="U232" s="90" t="n"/>
      <c r="V232" s="90" t="n"/>
      <c r="W232" s="90" t="n"/>
      <c r="X232" s="90" t="n"/>
      <c r="Y232" s="90" t="n"/>
      <c r="Z232" s="90" t="n"/>
    </row>
    <row r="233">
      <c r="A233" s="90" t="n"/>
      <c r="B233" s="90" t="n"/>
      <c r="C233" s="90" t="n"/>
      <c r="D233" s="90" t="n"/>
      <c r="E233" s="90" t="n"/>
      <c r="F233" s="90" t="n"/>
      <c r="G233" s="90" t="n"/>
      <c r="H233" s="90" t="n"/>
      <c r="I233" s="90" t="n"/>
      <c r="J233" s="90" t="n"/>
      <c r="K233" s="90" t="n"/>
      <c r="L233" s="90" t="n"/>
      <c r="M233" s="90" t="n"/>
      <c r="N233" s="90" t="n"/>
      <c r="O233" s="90" t="n"/>
      <c r="P233" s="90" t="n"/>
      <c r="Q233" s="90" t="n"/>
      <c r="R233" s="90" t="n"/>
      <c r="S233" s="90" t="n"/>
      <c r="T233" s="90" t="n"/>
      <c r="U233" s="90" t="n"/>
      <c r="V233" s="90" t="n"/>
      <c r="W233" s="90" t="n"/>
      <c r="X233" s="90" t="n"/>
      <c r="Y233" s="90" t="n"/>
      <c r="Z233" s="90" t="n"/>
    </row>
    <row r="234">
      <c r="A234" s="90" t="n"/>
      <c r="B234" s="90" t="n"/>
      <c r="C234" s="90" t="n"/>
      <c r="D234" s="90" t="n"/>
      <c r="E234" s="90" t="n"/>
      <c r="F234" s="90" t="n"/>
      <c r="G234" s="90" t="n"/>
      <c r="H234" s="90" t="n"/>
      <c r="I234" s="90" t="n"/>
      <c r="J234" s="90" t="n"/>
      <c r="K234" s="90" t="n"/>
      <c r="L234" s="90" t="n"/>
      <c r="M234" s="90" t="n"/>
      <c r="N234" s="90" t="n"/>
      <c r="O234" s="90" t="n"/>
      <c r="P234" s="90" t="n"/>
      <c r="Q234" s="90" t="n"/>
      <c r="R234" s="90" t="n"/>
      <c r="S234" s="90" t="n"/>
      <c r="T234" s="90" t="n"/>
      <c r="U234" s="90" t="n"/>
      <c r="V234" s="90" t="n"/>
      <c r="W234" s="90" t="n"/>
      <c r="X234" s="90" t="n"/>
      <c r="Y234" s="90" t="n"/>
      <c r="Z234" s="90" t="n"/>
    </row>
    <row r="235">
      <c r="A235" s="90" t="n"/>
      <c r="B235" s="90" t="n"/>
      <c r="C235" s="90" t="n"/>
      <c r="D235" s="90" t="n"/>
      <c r="E235" s="90" t="n"/>
      <c r="F235" s="90" t="n"/>
      <c r="G235" s="90" t="n"/>
      <c r="H235" s="90" t="n"/>
      <c r="I235" s="90" t="n"/>
      <c r="J235" s="90" t="n"/>
      <c r="K235" s="90" t="n"/>
      <c r="L235" s="90" t="n"/>
      <c r="M235" s="90" t="n"/>
      <c r="N235" s="90" t="n"/>
      <c r="O235" s="90" t="n"/>
      <c r="P235" s="90" t="n"/>
      <c r="Q235" s="90" t="n"/>
      <c r="R235" s="90" t="n"/>
      <c r="S235" s="90" t="n"/>
      <c r="T235" s="90" t="n"/>
      <c r="U235" s="90" t="n"/>
      <c r="V235" s="90" t="n"/>
      <c r="W235" s="90" t="n"/>
      <c r="X235" s="90" t="n"/>
      <c r="Y235" s="90" t="n"/>
      <c r="Z235" s="90" t="n"/>
    </row>
    <row r="236">
      <c r="A236" s="90" t="n"/>
      <c r="B236" s="90" t="n"/>
      <c r="C236" s="90" t="n"/>
      <c r="D236" s="90" t="n"/>
      <c r="E236" s="90" t="n"/>
      <c r="F236" s="90" t="n"/>
      <c r="G236" s="90" t="n"/>
      <c r="H236" s="90" t="n"/>
      <c r="I236" s="90" t="n"/>
      <c r="J236" s="90" t="n"/>
      <c r="K236" s="90" t="n"/>
      <c r="L236" s="90" t="n"/>
      <c r="M236" s="90" t="n"/>
      <c r="N236" s="90" t="n"/>
      <c r="O236" s="90" t="n"/>
      <c r="P236" s="90" t="n"/>
      <c r="Q236" s="90" t="n"/>
      <c r="R236" s="90" t="n"/>
      <c r="S236" s="90" t="n"/>
      <c r="T236" s="90" t="n"/>
      <c r="U236" s="90" t="n"/>
      <c r="V236" s="90" t="n"/>
      <c r="W236" s="90" t="n"/>
      <c r="X236" s="90" t="n"/>
      <c r="Y236" s="90" t="n"/>
      <c r="Z236" s="90" t="n"/>
    </row>
    <row r="237">
      <c r="A237" s="90" t="n"/>
      <c r="B237" s="90" t="n"/>
      <c r="C237" s="90" t="n"/>
      <c r="D237" s="90" t="n"/>
      <c r="E237" s="90" t="n"/>
      <c r="F237" s="90" t="n"/>
      <c r="G237" s="90" t="n"/>
      <c r="H237" s="90" t="n"/>
      <c r="I237" s="90" t="n"/>
      <c r="J237" s="90" t="n"/>
      <c r="K237" s="90" t="n"/>
      <c r="L237" s="90" t="n"/>
      <c r="M237" s="90" t="n"/>
      <c r="N237" s="90" t="n"/>
      <c r="O237" s="90" t="n"/>
      <c r="P237" s="90" t="n"/>
      <c r="Q237" s="90" t="n"/>
      <c r="R237" s="90" t="n"/>
      <c r="S237" s="90" t="n"/>
      <c r="T237" s="90" t="n"/>
      <c r="U237" s="90" t="n"/>
      <c r="V237" s="90" t="n"/>
      <c r="W237" s="90" t="n"/>
      <c r="X237" s="90" t="n"/>
      <c r="Y237" s="90" t="n"/>
      <c r="Z237" s="90" t="n"/>
    </row>
    <row r="238">
      <c r="A238" s="90" t="n"/>
      <c r="B238" s="90" t="n"/>
      <c r="C238" s="90" t="n"/>
      <c r="D238" s="90" t="n"/>
      <c r="E238" s="90" t="n"/>
      <c r="F238" s="90" t="n"/>
      <c r="G238" s="90" t="n"/>
      <c r="H238" s="90" t="n"/>
      <c r="I238" s="90" t="n"/>
      <c r="J238" s="90" t="n"/>
      <c r="K238" s="90" t="n"/>
      <c r="L238" s="90" t="n"/>
      <c r="M238" s="90" t="n"/>
      <c r="N238" s="90" t="n"/>
      <c r="O238" s="90" t="n"/>
      <c r="P238" s="90" t="n"/>
      <c r="Q238" s="90" t="n"/>
      <c r="R238" s="90" t="n"/>
      <c r="S238" s="90" t="n"/>
      <c r="T238" s="90" t="n"/>
      <c r="U238" s="90" t="n"/>
      <c r="V238" s="90" t="n"/>
      <c r="W238" s="90" t="n"/>
      <c r="X238" s="90" t="n"/>
      <c r="Y238" s="90" t="n"/>
      <c r="Z238" s="90" t="n"/>
    </row>
    <row r="239">
      <c r="A239" s="90" t="n"/>
      <c r="B239" s="90" t="n"/>
      <c r="C239" s="90" t="n"/>
      <c r="D239" s="90" t="n"/>
      <c r="E239" s="90" t="n"/>
      <c r="F239" s="90" t="n"/>
      <c r="G239" s="90" t="n"/>
      <c r="H239" s="90" t="n"/>
      <c r="I239" s="90" t="n"/>
      <c r="J239" s="90" t="n"/>
      <c r="K239" s="90" t="n"/>
      <c r="L239" s="90" t="n"/>
      <c r="M239" s="90" t="n"/>
      <c r="N239" s="90" t="n"/>
      <c r="O239" s="90" t="n"/>
      <c r="P239" s="90" t="n"/>
      <c r="Q239" s="90" t="n"/>
      <c r="R239" s="90" t="n"/>
      <c r="S239" s="90" t="n"/>
      <c r="T239" s="90" t="n"/>
      <c r="U239" s="90" t="n"/>
      <c r="V239" s="90" t="n"/>
      <c r="W239" s="90" t="n"/>
      <c r="X239" s="90" t="n"/>
      <c r="Y239" s="90" t="n"/>
      <c r="Z239" s="90" t="n"/>
    </row>
    <row r="240">
      <c r="A240" s="90" t="n"/>
      <c r="B240" s="90" t="n"/>
      <c r="C240" s="90" t="n"/>
      <c r="D240" s="90" t="n"/>
      <c r="E240" s="90" t="n"/>
      <c r="F240" s="90" t="n"/>
      <c r="G240" s="90" t="n"/>
      <c r="H240" s="90" t="n"/>
      <c r="I240" s="90" t="n"/>
      <c r="J240" s="90" t="n"/>
      <c r="K240" s="90" t="n"/>
      <c r="L240" s="90" t="n"/>
      <c r="M240" s="90" t="n"/>
      <c r="N240" s="90" t="n"/>
      <c r="O240" s="90" t="n"/>
      <c r="P240" s="90" t="n"/>
      <c r="Q240" s="90" t="n"/>
      <c r="R240" s="90" t="n"/>
      <c r="S240" s="90" t="n"/>
      <c r="T240" s="90" t="n"/>
      <c r="U240" s="90" t="n"/>
      <c r="V240" s="90" t="n"/>
      <c r="W240" s="90" t="n"/>
      <c r="X240" s="90" t="n"/>
      <c r="Y240" s="90" t="n"/>
      <c r="Z240" s="90" t="n"/>
    </row>
    <row r="241">
      <c r="A241" s="90" t="n"/>
      <c r="B241" s="90" t="n"/>
      <c r="C241" s="90" t="n"/>
      <c r="D241" s="90" t="n"/>
      <c r="E241" s="90" t="n"/>
      <c r="F241" s="90" t="n"/>
      <c r="G241" s="90" t="n"/>
      <c r="H241" s="90" t="n"/>
      <c r="I241" s="90" t="n"/>
      <c r="J241" s="90" t="n"/>
      <c r="K241" s="90" t="n"/>
      <c r="L241" s="90" t="n"/>
      <c r="M241" s="90" t="n"/>
      <c r="N241" s="90" t="n"/>
      <c r="O241" s="90" t="n"/>
      <c r="P241" s="90" t="n"/>
      <c r="Q241" s="90" t="n"/>
      <c r="R241" s="90" t="n"/>
      <c r="S241" s="90" t="n"/>
      <c r="T241" s="90" t="n"/>
      <c r="U241" s="90" t="n"/>
      <c r="V241" s="90" t="n"/>
      <c r="W241" s="90" t="n"/>
      <c r="X241" s="90" t="n"/>
      <c r="Y241" s="90" t="n"/>
      <c r="Z241" s="90" t="n"/>
    </row>
    <row r="242">
      <c r="A242" s="90" t="n"/>
      <c r="B242" s="90" t="n"/>
      <c r="C242" s="90" t="n"/>
      <c r="D242" s="90" t="n"/>
      <c r="E242" s="90" t="n"/>
      <c r="F242" s="90" t="n"/>
      <c r="G242" s="90" t="n"/>
      <c r="H242" s="90" t="n"/>
      <c r="I242" s="90" t="n"/>
      <c r="J242" s="90" t="n"/>
      <c r="K242" s="90" t="n"/>
      <c r="L242" s="90" t="n"/>
      <c r="M242" s="90" t="n"/>
      <c r="N242" s="90" t="n"/>
      <c r="O242" s="90" t="n"/>
      <c r="P242" s="90" t="n"/>
      <c r="Q242" s="90" t="n"/>
      <c r="R242" s="90" t="n"/>
      <c r="S242" s="90" t="n"/>
      <c r="T242" s="90" t="n"/>
      <c r="U242" s="90" t="n"/>
      <c r="V242" s="90" t="n"/>
      <c r="W242" s="90" t="n"/>
      <c r="X242" s="90" t="n"/>
      <c r="Y242" s="90" t="n"/>
      <c r="Z242" s="90" t="n"/>
    </row>
    <row r="243">
      <c r="A243" s="90" t="n"/>
      <c r="B243" s="90" t="n"/>
      <c r="C243" s="90" t="n"/>
      <c r="D243" s="90" t="n"/>
      <c r="E243" s="90" t="n"/>
      <c r="F243" s="90" t="n"/>
      <c r="G243" s="90" t="n"/>
      <c r="H243" s="90" t="n"/>
      <c r="I243" s="90" t="n"/>
      <c r="J243" s="90" t="n"/>
      <c r="K243" s="90" t="n"/>
      <c r="L243" s="90" t="n"/>
      <c r="M243" s="90" t="n"/>
      <c r="N243" s="90" t="n"/>
      <c r="O243" s="90" t="n"/>
      <c r="P243" s="90" t="n"/>
      <c r="Q243" s="90" t="n"/>
      <c r="R243" s="90" t="n"/>
      <c r="S243" s="90" t="n"/>
      <c r="T243" s="90" t="n"/>
      <c r="U243" s="90" t="n"/>
      <c r="V243" s="90" t="n"/>
      <c r="W243" s="90" t="n"/>
      <c r="X243" s="90" t="n"/>
      <c r="Y243" s="90" t="n"/>
      <c r="Z243" s="90" t="n"/>
    </row>
    <row r="244">
      <c r="A244" s="90" t="n"/>
      <c r="B244" s="90" t="n"/>
      <c r="C244" s="90" t="n"/>
      <c r="D244" s="90" t="n"/>
      <c r="E244" s="90" t="n"/>
      <c r="F244" s="90" t="n"/>
      <c r="G244" s="90" t="n"/>
      <c r="H244" s="90" t="n"/>
      <c r="I244" s="90" t="n"/>
      <c r="J244" s="90" t="n"/>
      <c r="K244" s="90" t="n"/>
      <c r="L244" s="90" t="n"/>
      <c r="M244" s="90" t="n"/>
      <c r="N244" s="90" t="n"/>
      <c r="O244" s="90" t="n"/>
      <c r="P244" s="90" t="n"/>
      <c r="Q244" s="90" t="n"/>
      <c r="R244" s="90" t="n"/>
      <c r="S244" s="90" t="n"/>
      <c r="T244" s="90" t="n"/>
      <c r="U244" s="90" t="n"/>
      <c r="V244" s="90" t="n"/>
      <c r="W244" s="90" t="n"/>
      <c r="X244" s="90" t="n"/>
      <c r="Y244" s="90" t="n"/>
      <c r="Z244" s="90" t="n"/>
    </row>
    <row r="245">
      <c r="A245" s="90" t="n"/>
      <c r="B245" s="90" t="n"/>
      <c r="C245" s="90" t="n"/>
      <c r="D245" s="90" t="n"/>
      <c r="E245" s="90" t="n"/>
      <c r="F245" s="90" t="n"/>
      <c r="G245" s="90" t="n"/>
      <c r="H245" s="90" t="n"/>
      <c r="I245" s="90" t="n"/>
      <c r="J245" s="90" t="n"/>
      <c r="K245" s="90" t="n"/>
      <c r="L245" s="90" t="n"/>
      <c r="M245" s="90" t="n"/>
      <c r="N245" s="90" t="n"/>
      <c r="O245" s="90" t="n"/>
      <c r="P245" s="90" t="n"/>
      <c r="Q245" s="90" t="n"/>
      <c r="R245" s="90" t="n"/>
      <c r="S245" s="90" t="n"/>
      <c r="T245" s="90" t="n"/>
      <c r="U245" s="90" t="n"/>
      <c r="V245" s="90" t="n"/>
      <c r="W245" s="90" t="n"/>
      <c r="X245" s="90" t="n"/>
      <c r="Y245" s="90" t="n"/>
      <c r="Z245" s="90" t="n"/>
    </row>
    <row r="246">
      <c r="A246" s="90" t="n"/>
      <c r="B246" s="90" t="n"/>
      <c r="C246" s="90" t="n"/>
      <c r="D246" s="90" t="n"/>
      <c r="E246" s="90" t="n"/>
      <c r="F246" s="90" t="n"/>
      <c r="G246" s="90" t="n"/>
      <c r="H246" s="90" t="n"/>
      <c r="I246" s="90" t="n"/>
      <c r="J246" s="90" t="n"/>
      <c r="K246" s="90" t="n"/>
      <c r="L246" s="90" t="n"/>
      <c r="M246" s="90" t="n"/>
      <c r="N246" s="90" t="n"/>
      <c r="O246" s="90" t="n"/>
      <c r="P246" s="90" t="n"/>
      <c r="Q246" s="90" t="n"/>
      <c r="R246" s="90" t="n"/>
      <c r="S246" s="90" t="n"/>
      <c r="T246" s="90" t="n"/>
      <c r="U246" s="90" t="n"/>
      <c r="V246" s="90" t="n"/>
      <c r="W246" s="90" t="n"/>
      <c r="X246" s="90" t="n"/>
      <c r="Y246" s="90" t="n"/>
      <c r="Z246" s="90" t="n"/>
    </row>
    <row r="247">
      <c r="A247" s="90" t="n"/>
      <c r="B247" s="90" t="n"/>
      <c r="C247" s="90" t="n"/>
      <c r="D247" s="90" t="n"/>
      <c r="E247" s="90" t="n"/>
      <c r="F247" s="90" t="n"/>
      <c r="G247" s="90" t="n"/>
      <c r="H247" s="90" t="n"/>
      <c r="I247" s="90" t="n"/>
      <c r="J247" s="90" t="n"/>
      <c r="K247" s="90" t="n"/>
      <c r="L247" s="90" t="n"/>
      <c r="M247" s="90" t="n"/>
      <c r="N247" s="90" t="n"/>
      <c r="O247" s="90" t="n"/>
      <c r="P247" s="90" t="n"/>
      <c r="Q247" s="90" t="n"/>
      <c r="R247" s="90" t="n"/>
      <c r="S247" s="90" t="n"/>
      <c r="T247" s="90" t="n"/>
      <c r="U247" s="90" t="n"/>
      <c r="V247" s="90" t="n"/>
      <c r="W247" s="90" t="n"/>
      <c r="X247" s="90" t="n"/>
      <c r="Y247" s="90" t="n"/>
      <c r="Z247" s="90" t="n"/>
    </row>
    <row r="248">
      <c r="A248" s="90" t="n"/>
      <c r="B248" s="90" t="n"/>
      <c r="C248" s="90" t="n"/>
      <c r="D248" s="90" t="n"/>
      <c r="E248" s="90" t="n"/>
      <c r="F248" s="90" t="n"/>
      <c r="G248" s="90" t="n"/>
      <c r="H248" s="90" t="n"/>
      <c r="I248" s="90" t="n"/>
      <c r="J248" s="90" t="n"/>
      <c r="K248" s="90" t="n"/>
      <c r="L248" s="90" t="n"/>
      <c r="M248" s="90" t="n"/>
      <c r="N248" s="90" t="n"/>
      <c r="O248" s="90" t="n"/>
      <c r="P248" s="90" t="n"/>
      <c r="Q248" s="90" t="n"/>
      <c r="R248" s="90" t="n"/>
      <c r="S248" s="90" t="n"/>
      <c r="T248" s="90" t="n"/>
      <c r="U248" s="90" t="n"/>
      <c r="V248" s="90" t="n"/>
      <c r="W248" s="90" t="n"/>
      <c r="X248" s="90" t="n"/>
      <c r="Y248" s="90" t="n"/>
      <c r="Z248" s="90" t="n"/>
    </row>
    <row r="249">
      <c r="A249" s="90" t="n"/>
      <c r="B249" s="90" t="n"/>
      <c r="C249" s="90" t="n"/>
      <c r="D249" s="90" t="n"/>
      <c r="E249" s="90" t="n"/>
      <c r="F249" s="90" t="n"/>
      <c r="G249" s="90" t="n"/>
      <c r="H249" s="90" t="n"/>
      <c r="I249" s="90" t="n"/>
      <c r="J249" s="90" t="n"/>
      <c r="K249" s="90" t="n"/>
      <c r="L249" s="90" t="n"/>
      <c r="M249" s="90" t="n"/>
      <c r="N249" s="90" t="n"/>
      <c r="O249" s="90" t="n"/>
      <c r="P249" s="90" t="n"/>
      <c r="Q249" s="90" t="n"/>
      <c r="R249" s="90" t="n"/>
      <c r="S249" s="90" t="n"/>
      <c r="T249" s="90" t="n"/>
      <c r="U249" s="90" t="n"/>
      <c r="V249" s="90" t="n"/>
      <c r="W249" s="90" t="n"/>
      <c r="X249" s="90" t="n"/>
      <c r="Y249" s="90" t="n"/>
      <c r="Z249" s="90" t="n"/>
    </row>
    <row r="250">
      <c r="A250" s="90" t="n"/>
      <c r="B250" s="90" t="n"/>
      <c r="C250" s="90" t="n"/>
      <c r="D250" s="90" t="n"/>
      <c r="E250" s="90" t="n"/>
      <c r="F250" s="90" t="n"/>
      <c r="G250" s="90" t="n"/>
      <c r="H250" s="90" t="n"/>
      <c r="I250" s="90" t="n"/>
      <c r="J250" s="90" t="n"/>
      <c r="K250" s="90" t="n"/>
      <c r="L250" s="90" t="n"/>
      <c r="M250" s="90" t="n"/>
      <c r="N250" s="90" t="n"/>
      <c r="O250" s="90" t="n"/>
      <c r="P250" s="90" t="n"/>
      <c r="Q250" s="90" t="n"/>
      <c r="R250" s="90" t="n"/>
      <c r="S250" s="90" t="n"/>
      <c r="T250" s="90" t="n"/>
      <c r="U250" s="90" t="n"/>
      <c r="V250" s="90" t="n"/>
      <c r="W250" s="90" t="n"/>
      <c r="X250" s="90" t="n"/>
      <c r="Y250" s="90" t="n"/>
      <c r="Z250" s="90" t="n"/>
    </row>
    <row r="251">
      <c r="A251" s="90" t="n"/>
      <c r="B251" s="90" t="n"/>
      <c r="C251" s="90" t="n"/>
      <c r="D251" s="90" t="n"/>
      <c r="E251" s="90" t="n"/>
      <c r="F251" s="90" t="n"/>
      <c r="G251" s="90" t="n"/>
      <c r="H251" s="90" t="n"/>
      <c r="I251" s="90" t="n"/>
      <c r="J251" s="90" t="n"/>
      <c r="K251" s="90" t="n"/>
      <c r="L251" s="90" t="n"/>
      <c r="M251" s="90" t="n"/>
      <c r="N251" s="90" t="n"/>
      <c r="O251" s="90" t="n"/>
      <c r="P251" s="90" t="n"/>
      <c r="Q251" s="90" t="n"/>
      <c r="R251" s="90" t="n"/>
      <c r="S251" s="90" t="n"/>
      <c r="T251" s="90" t="n"/>
      <c r="U251" s="90" t="n"/>
      <c r="V251" s="90" t="n"/>
      <c r="W251" s="90" t="n"/>
      <c r="X251" s="90" t="n"/>
      <c r="Y251" s="90" t="n"/>
      <c r="Z251" s="90" t="n"/>
    </row>
    <row r="252">
      <c r="A252" s="90" t="n"/>
      <c r="B252" s="90" t="n"/>
      <c r="C252" s="90" t="n"/>
      <c r="D252" s="90" t="n"/>
      <c r="E252" s="90" t="n"/>
      <c r="F252" s="90" t="n"/>
      <c r="G252" s="90" t="n"/>
      <c r="H252" s="90" t="n"/>
      <c r="I252" s="90" t="n"/>
      <c r="J252" s="90" t="n"/>
      <c r="K252" s="90" t="n"/>
      <c r="L252" s="90" t="n"/>
      <c r="M252" s="90" t="n"/>
      <c r="N252" s="90" t="n"/>
      <c r="O252" s="90" t="n"/>
      <c r="P252" s="90" t="n"/>
      <c r="Q252" s="90" t="n"/>
      <c r="R252" s="90" t="n"/>
      <c r="S252" s="90" t="n"/>
      <c r="T252" s="90" t="n"/>
      <c r="U252" s="90" t="n"/>
      <c r="V252" s="90" t="n"/>
      <c r="W252" s="90" t="n"/>
      <c r="X252" s="90" t="n"/>
      <c r="Y252" s="90" t="n"/>
      <c r="Z252" s="90" t="n"/>
    </row>
    <row r="253">
      <c r="A253" s="90" t="n"/>
      <c r="B253" s="90" t="n"/>
      <c r="C253" s="90" t="n"/>
      <c r="D253" s="90" t="n"/>
      <c r="E253" s="90" t="n"/>
      <c r="F253" s="90" t="n"/>
      <c r="G253" s="90" t="n"/>
      <c r="H253" s="90" t="n"/>
      <c r="I253" s="90" t="n"/>
      <c r="J253" s="90" t="n"/>
      <c r="K253" s="90" t="n"/>
      <c r="L253" s="90" t="n"/>
      <c r="M253" s="90" t="n"/>
      <c r="N253" s="90" t="n"/>
      <c r="O253" s="90" t="n"/>
      <c r="P253" s="90" t="n"/>
      <c r="Q253" s="90" t="n"/>
      <c r="R253" s="90" t="n"/>
      <c r="S253" s="90" t="n"/>
      <c r="T253" s="90" t="n"/>
      <c r="U253" s="90" t="n"/>
      <c r="V253" s="90" t="n"/>
      <c r="W253" s="90" t="n"/>
      <c r="X253" s="90" t="n"/>
      <c r="Y253" s="90" t="n"/>
      <c r="Z253" s="90" t="n"/>
    </row>
    <row r="254">
      <c r="A254" s="90" t="n"/>
      <c r="B254" s="90" t="n"/>
      <c r="C254" s="90" t="n"/>
      <c r="D254" s="90" t="n"/>
      <c r="E254" s="90" t="n"/>
      <c r="F254" s="90" t="n"/>
      <c r="G254" s="90" t="n"/>
      <c r="H254" s="90" t="n"/>
      <c r="I254" s="90" t="n"/>
      <c r="J254" s="90" t="n"/>
      <c r="K254" s="90" t="n"/>
      <c r="L254" s="90" t="n"/>
      <c r="M254" s="90" t="n"/>
      <c r="N254" s="90" t="n"/>
      <c r="O254" s="90" t="n"/>
      <c r="P254" s="90" t="n"/>
      <c r="Q254" s="90" t="n"/>
      <c r="R254" s="90" t="n"/>
      <c r="S254" s="90" t="n"/>
      <c r="T254" s="90" t="n"/>
      <c r="U254" s="90" t="n"/>
      <c r="V254" s="90" t="n"/>
      <c r="W254" s="90" t="n"/>
      <c r="X254" s="90" t="n"/>
      <c r="Y254" s="90" t="n"/>
      <c r="Z254" s="90" t="n"/>
    </row>
    <row r="255">
      <c r="A255" s="90" t="n"/>
      <c r="B255" s="90" t="n"/>
      <c r="C255" s="90" t="n"/>
      <c r="D255" s="90" t="n"/>
      <c r="E255" s="90" t="n"/>
      <c r="F255" s="90" t="n"/>
      <c r="G255" s="90" t="n"/>
      <c r="H255" s="90" t="n"/>
      <c r="I255" s="90" t="n"/>
      <c r="J255" s="90" t="n"/>
      <c r="K255" s="90" t="n"/>
      <c r="L255" s="90" t="n"/>
      <c r="M255" s="90" t="n"/>
      <c r="N255" s="90" t="n"/>
      <c r="O255" s="90" t="n"/>
      <c r="P255" s="90" t="n"/>
      <c r="Q255" s="90" t="n"/>
      <c r="R255" s="90" t="n"/>
      <c r="S255" s="90" t="n"/>
      <c r="T255" s="90" t="n"/>
      <c r="U255" s="90" t="n"/>
      <c r="V255" s="90" t="n"/>
      <c r="W255" s="90" t="n"/>
      <c r="X255" s="90" t="n"/>
      <c r="Y255" s="90" t="n"/>
      <c r="Z255" s="90" t="n"/>
    </row>
    <row r="256">
      <c r="A256" s="90" t="n"/>
      <c r="B256" s="90" t="n"/>
      <c r="C256" s="90" t="n"/>
      <c r="D256" s="90" t="n"/>
      <c r="E256" s="90" t="n"/>
      <c r="F256" s="90" t="n"/>
      <c r="G256" s="90" t="n"/>
      <c r="H256" s="90" t="n"/>
      <c r="I256" s="90" t="n"/>
      <c r="J256" s="90" t="n"/>
      <c r="K256" s="90" t="n"/>
      <c r="L256" s="90" t="n"/>
      <c r="M256" s="90" t="n"/>
      <c r="N256" s="90" t="n"/>
      <c r="O256" s="90" t="n"/>
      <c r="P256" s="90" t="n"/>
      <c r="Q256" s="90" t="n"/>
      <c r="R256" s="90" t="n"/>
      <c r="S256" s="90" t="n"/>
      <c r="T256" s="90" t="n"/>
      <c r="U256" s="90" t="n"/>
      <c r="V256" s="90" t="n"/>
      <c r="W256" s="90" t="n"/>
      <c r="X256" s="90" t="n"/>
      <c r="Y256" s="90" t="n"/>
      <c r="Z256" s="90" t="n"/>
    </row>
    <row r="257">
      <c r="A257" s="90" t="n"/>
      <c r="B257" s="90" t="n"/>
      <c r="C257" s="90" t="n"/>
      <c r="D257" s="90" t="n"/>
      <c r="E257" s="90" t="n"/>
      <c r="F257" s="90" t="n"/>
      <c r="G257" s="90" t="n"/>
      <c r="H257" s="90" t="n"/>
      <c r="I257" s="90" t="n"/>
      <c r="J257" s="90" t="n"/>
      <c r="K257" s="90" t="n"/>
      <c r="L257" s="90" t="n"/>
      <c r="M257" s="90" t="n"/>
      <c r="N257" s="90" t="n"/>
      <c r="O257" s="90" t="n"/>
      <c r="P257" s="90" t="n"/>
      <c r="Q257" s="90" t="n"/>
      <c r="R257" s="90" t="n"/>
      <c r="S257" s="90" t="n"/>
      <c r="T257" s="90" t="n"/>
      <c r="U257" s="90" t="n"/>
      <c r="V257" s="90" t="n"/>
      <c r="W257" s="90" t="n"/>
      <c r="X257" s="90" t="n"/>
      <c r="Y257" s="90" t="n"/>
      <c r="Z257" s="90" t="n"/>
    </row>
    <row r="258">
      <c r="A258" s="90" t="n"/>
      <c r="B258" s="90" t="n"/>
      <c r="C258" s="90" t="n"/>
      <c r="D258" s="90" t="n"/>
      <c r="E258" s="90" t="n"/>
      <c r="F258" s="90" t="n"/>
      <c r="G258" s="90" t="n"/>
      <c r="H258" s="90" t="n"/>
      <c r="I258" s="90" t="n"/>
      <c r="J258" s="90" t="n"/>
      <c r="K258" s="90" t="n"/>
      <c r="L258" s="90" t="n"/>
      <c r="M258" s="90" t="n"/>
      <c r="N258" s="90" t="n"/>
      <c r="O258" s="90" t="n"/>
      <c r="P258" s="90" t="n"/>
      <c r="Q258" s="90" t="n"/>
      <c r="R258" s="90" t="n"/>
      <c r="S258" s="90" t="n"/>
      <c r="T258" s="90" t="n"/>
      <c r="U258" s="90" t="n"/>
      <c r="V258" s="90" t="n"/>
      <c r="W258" s="90" t="n"/>
      <c r="X258" s="90" t="n"/>
      <c r="Y258" s="90" t="n"/>
      <c r="Z258" s="90" t="n"/>
    </row>
    <row r="259">
      <c r="A259" s="90" t="n"/>
      <c r="B259" s="90" t="n"/>
      <c r="C259" s="90" t="n"/>
      <c r="D259" s="90" t="n"/>
      <c r="E259" s="90" t="n"/>
      <c r="F259" s="90" t="n"/>
      <c r="G259" s="90" t="n"/>
      <c r="H259" s="90" t="n"/>
      <c r="I259" s="90" t="n"/>
      <c r="J259" s="90" t="n"/>
      <c r="K259" s="90" t="n"/>
      <c r="L259" s="90" t="n"/>
      <c r="M259" s="90" t="n"/>
      <c r="N259" s="90" t="n"/>
      <c r="O259" s="90" t="n"/>
      <c r="P259" s="90" t="n"/>
      <c r="Q259" s="90" t="n"/>
      <c r="R259" s="90" t="n"/>
      <c r="S259" s="90" t="n"/>
      <c r="T259" s="90" t="n"/>
      <c r="U259" s="90" t="n"/>
      <c r="V259" s="90" t="n"/>
      <c r="W259" s="90" t="n"/>
      <c r="X259" s="90" t="n"/>
      <c r="Y259" s="90" t="n"/>
      <c r="Z259" s="90" t="n"/>
    </row>
    <row r="260">
      <c r="A260" s="90" t="n"/>
      <c r="B260" s="90" t="n"/>
      <c r="C260" s="90" t="n"/>
      <c r="D260" s="90" t="n"/>
      <c r="E260" s="90" t="n"/>
      <c r="F260" s="90" t="n"/>
      <c r="G260" s="90" t="n"/>
      <c r="H260" s="90" t="n"/>
      <c r="I260" s="90" t="n"/>
      <c r="J260" s="90" t="n"/>
      <c r="K260" s="90" t="n"/>
      <c r="L260" s="90" t="n"/>
      <c r="M260" s="90" t="n"/>
      <c r="N260" s="90" t="n"/>
      <c r="O260" s="90" t="n"/>
      <c r="P260" s="90" t="n"/>
      <c r="Q260" s="90" t="n"/>
      <c r="R260" s="90" t="n"/>
      <c r="S260" s="90" t="n"/>
      <c r="T260" s="90" t="n"/>
      <c r="U260" s="90" t="n"/>
      <c r="V260" s="90" t="n"/>
      <c r="W260" s="90" t="n"/>
      <c r="X260" s="90" t="n"/>
      <c r="Y260" s="90" t="n"/>
      <c r="Z260" s="90" t="n"/>
    </row>
    <row r="261">
      <c r="A261" s="90" t="n"/>
      <c r="B261" s="90" t="n"/>
      <c r="C261" s="90" t="n"/>
      <c r="D261" s="90" t="n"/>
      <c r="E261" s="90" t="n"/>
      <c r="F261" s="90" t="n"/>
      <c r="G261" s="90" t="n"/>
      <c r="H261" s="90" t="n"/>
      <c r="I261" s="90" t="n"/>
      <c r="J261" s="90" t="n"/>
      <c r="K261" s="90" t="n"/>
      <c r="L261" s="90" t="n"/>
      <c r="M261" s="90" t="n"/>
      <c r="N261" s="90" t="n"/>
      <c r="O261" s="90" t="n"/>
      <c r="P261" s="90" t="n"/>
      <c r="Q261" s="90" t="n"/>
      <c r="R261" s="90" t="n"/>
      <c r="S261" s="90" t="n"/>
      <c r="T261" s="90" t="n"/>
      <c r="U261" s="90" t="n"/>
      <c r="V261" s="90" t="n"/>
      <c r="W261" s="90" t="n"/>
      <c r="X261" s="90" t="n"/>
      <c r="Y261" s="90" t="n"/>
      <c r="Z261" s="90" t="n"/>
    </row>
    <row r="262">
      <c r="A262" s="90" t="n"/>
      <c r="B262" s="90" t="n"/>
      <c r="C262" s="90" t="n"/>
      <c r="D262" s="90" t="n"/>
      <c r="E262" s="90" t="n"/>
      <c r="F262" s="90" t="n"/>
      <c r="G262" s="90" t="n"/>
      <c r="H262" s="90" t="n"/>
      <c r="I262" s="90" t="n"/>
      <c r="J262" s="90" t="n"/>
      <c r="K262" s="90" t="n"/>
      <c r="L262" s="90" t="n"/>
      <c r="M262" s="90" t="n"/>
      <c r="N262" s="90" t="n"/>
      <c r="O262" s="90" t="n"/>
      <c r="P262" s="90" t="n"/>
      <c r="Q262" s="90" t="n"/>
      <c r="R262" s="90" t="n"/>
      <c r="S262" s="90" t="n"/>
      <c r="T262" s="90" t="n"/>
      <c r="U262" s="90" t="n"/>
      <c r="V262" s="90" t="n"/>
      <c r="W262" s="90" t="n"/>
      <c r="X262" s="90" t="n"/>
      <c r="Y262" s="90" t="n"/>
      <c r="Z262" s="90" t="n"/>
    </row>
    <row r="263">
      <c r="A263" s="90" t="n"/>
      <c r="B263" s="90" t="n"/>
      <c r="C263" s="90" t="n"/>
      <c r="D263" s="90" t="n"/>
      <c r="E263" s="90" t="n"/>
      <c r="F263" s="90" t="n"/>
      <c r="G263" s="90" t="n"/>
      <c r="H263" s="90" t="n"/>
      <c r="I263" s="90" t="n"/>
      <c r="J263" s="90" t="n"/>
      <c r="K263" s="90" t="n"/>
      <c r="L263" s="90" t="n"/>
      <c r="M263" s="90" t="n"/>
      <c r="N263" s="90" t="n"/>
      <c r="O263" s="90" t="n"/>
      <c r="P263" s="90" t="n"/>
      <c r="Q263" s="90" t="n"/>
      <c r="R263" s="90" t="n"/>
      <c r="S263" s="90" t="n"/>
      <c r="T263" s="90" t="n"/>
      <c r="U263" s="90" t="n"/>
      <c r="V263" s="90" t="n"/>
      <c r="W263" s="90" t="n"/>
      <c r="X263" s="90" t="n"/>
      <c r="Y263" s="90" t="n"/>
      <c r="Z263" s="90" t="n"/>
    </row>
    <row r="264">
      <c r="A264" s="90" t="n"/>
      <c r="B264" s="90" t="n"/>
      <c r="C264" s="90" t="n"/>
      <c r="D264" s="90" t="n"/>
      <c r="E264" s="90" t="n"/>
      <c r="F264" s="90" t="n"/>
      <c r="G264" s="90" t="n"/>
      <c r="H264" s="90" t="n"/>
      <c r="I264" s="90" t="n"/>
      <c r="J264" s="90" t="n"/>
      <c r="K264" s="90" t="n"/>
      <c r="L264" s="90" t="n"/>
      <c r="M264" s="90" t="n"/>
      <c r="N264" s="90" t="n"/>
      <c r="O264" s="90" t="n"/>
      <c r="P264" s="90" t="n"/>
      <c r="Q264" s="90" t="n"/>
      <c r="R264" s="90" t="n"/>
      <c r="S264" s="90" t="n"/>
      <c r="T264" s="90" t="n"/>
      <c r="U264" s="90" t="n"/>
      <c r="V264" s="90" t="n"/>
      <c r="W264" s="90" t="n"/>
      <c r="X264" s="90" t="n"/>
      <c r="Y264" s="90" t="n"/>
      <c r="Z264" s="90" t="n"/>
    </row>
    <row r="265">
      <c r="A265" s="90" t="n"/>
      <c r="B265" s="90" t="n"/>
      <c r="C265" s="90" t="n"/>
      <c r="D265" s="90" t="n"/>
      <c r="E265" s="90" t="n"/>
      <c r="F265" s="90" t="n"/>
      <c r="G265" s="90" t="n"/>
      <c r="H265" s="90" t="n"/>
      <c r="I265" s="90" t="n"/>
      <c r="J265" s="90" t="n"/>
      <c r="K265" s="90" t="n"/>
      <c r="L265" s="90" t="n"/>
      <c r="M265" s="90" t="n"/>
      <c r="N265" s="90" t="n"/>
      <c r="O265" s="90" t="n"/>
      <c r="P265" s="90" t="n"/>
      <c r="Q265" s="90" t="n"/>
      <c r="R265" s="90" t="n"/>
      <c r="S265" s="90" t="n"/>
      <c r="T265" s="90" t="n"/>
      <c r="U265" s="90" t="n"/>
      <c r="V265" s="90" t="n"/>
      <c r="W265" s="90" t="n"/>
      <c r="X265" s="90" t="n"/>
      <c r="Y265" s="90" t="n"/>
      <c r="Z265" s="90" t="n"/>
    </row>
    <row r="266">
      <c r="A266" s="90" t="n"/>
      <c r="B266" s="90" t="n"/>
      <c r="C266" s="90" t="n"/>
      <c r="D266" s="90" t="n"/>
      <c r="E266" s="90" t="n"/>
      <c r="F266" s="90" t="n"/>
      <c r="G266" s="90" t="n"/>
      <c r="H266" s="90" t="n"/>
      <c r="I266" s="90" t="n"/>
      <c r="J266" s="90" t="n"/>
      <c r="K266" s="90" t="n"/>
      <c r="L266" s="90" t="n"/>
      <c r="M266" s="90" t="n"/>
      <c r="N266" s="90" t="n"/>
      <c r="O266" s="90" t="n"/>
      <c r="P266" s="90" t="n"/>
      <c r="Q266" s="90" t="n"/>
      <c r="R266" s="90" t="n"/>
      <c r="S266" s="90" t="n"/>
      <c r="T266" s="90" t="n"/>
      <c r="U266" s="90" t="n"/>
      <c r="V266" s="90" t="n"/>
      <c r="W266" s="90" t="n"/>
      <c r="X266" s="90" t="n"/>
      <c r="Y266" s="90" t="n"/>
      <c r="Z266" s="90" t="n"/>
    </row>
    <row r="267">
      <c r="A267" s="90" t="n"/>
      <c r="B267" s="90" t="n"/>
      <c r="C267" s="90" t="n"/>
      <c r="D267" s="90" t="n"/>
      <c r="E267" s="90" t="n"/>
      <c r="F267" s="90" t="n"/>
      <c r="G267" s="90" t="n"/>
      <c r="H267" s="90" t="n"/>
      <c r="I267" s="90" t="n"/>
      <c r="J267" s="90" t="n"/>
      <c r="K267" s="90" t="n"/>
      <c r="L267" s="90" t="n"/>
      <c r="M267" s="90" t="n"/>
      <c r="N267" s="90" t="n"/>
      <c r="O267" s="90" t="n"/>
      <c r="P267" s="90" t="n"/>
      <c r="Q267" s="90" t="n"/>
      <c r="R267" s="90" t="n"/>
      <c r="S267" s="90" t="n"/>
      <c r="T267" s="90" t="n"/>
      <c r="U267" s="90" t="n"/>
      <c r="V267" s="90" t="n"/>
      <c r="W267" s="90" t="n"/>
      <c r="X267" s="90" t="n"/>
      <c r="Y267" s="90" t="n"/>
      <c r="Z267" s="90" t="n"/>
    </row>
    <row r="268">
      <c r="A268" s="90" t="n"/>
      <c r="B268" s="90" t="n"/>
      <c r="C268" s="90" t="n"/>
      <c r="D268" s="90" t="n"/>
      <c r="E268" s="90" t="n"/>
      <c r="F268" s="90" t="n"/>
      <c r="G268" s="90" t="n"/>
      <c r="H268" s="90" t="n"/>
      <c r="I268" s="90" t="n"/>
      <c r="J268" s="90" t="n"/>
      <c r="K268" s="90" t="n"/>
      <c r="L268" s="90" t="n"/>
      <c r="M268" s="90" t="n"/>
      <c r="N268" s="90" t="n"/>
      <c r="O268" s="90" t="n"/>
      <c r="P268" s="90" t="n"/>
      <c r="Q268" s="90" t="n"/>
      <c r="R268" s="90" t="n"/>
      <c r="S268" s="90" t="n"/>
      <c r="T268" s="90" t="n"/>
      <c r="U268" s="90" t="n"/>
      <c r="V268" s="90" t="n"/>
      <c r="W268" s="90" t="n"/>
      <c r="X268" s="90" t="n"/>
      <c r="Y268" s="90" t="n"/>
      <c r="Z268" s="90" t="n"/>
    </row>
    <row r="269">
      <c r="A269" s="90" t="n"/>
      <c r="B269" s="90" t="n"/>
      <c r="C269" s="90" t="n"/>
      <c r="D269" s="90" t="n"/>
      <c r="E269" s="90" t="n"/>
      <c r="F269" s="90" t="n"/>
      <c r="G269" s="90" t="n"/>
      <c r="H269" s="90" t="n"/>
      <c r="I269" s="90" t="n"/>
      <c r="J269" s="90" t="n"/>
      <c r="K269" s="90" t="n"/>
      <c r="L269" s="90" t="n"/>
      <c r="M269" s="90" t="n"/>
      <c r="N269" s="90" t="n"/>
      <c r="O269" s="90" t="n"/>
      <c r="P269" s="90" t="n"/>
      <c r="Q269" s="90" t="n"/>
      <c r="R269" s="90" t="n"/>
      <c r="S269" s="90" t="n"/>
      <c r="T269" s="90" t="n"/>
      <c r="U269" s="90" t="n"/>
      <c r="V269" s="90" t="n"/>
      <c r="W269" s="90" t="n"/>
      <c r="X269" s="90" t="n"/>
      <c r="Y269" s="90" t="n"/>
      <c r="Z269" s="90" t="n"/>
    </row>
    <row r="270">
      <c r="A270" s="90" t="n"/>
      <c r="B270" s="90" t="n"/>
      <c r="C270" s="90" t="n"/>
      <c r="D270" s="90" t="n"/>
      <c r="E270" s="90" t="n"/>
      <c r="F270" s="90" t="n"/>
      <c r="G270" s="90" t="n"/>
      <c r="H270" s="90" t="n"/>
      <c r="I270" s="90" t="n"/>
      <c r="J270" s="90" t="n"/>
      <c r="K270" s="90" t="n"/>
      <c r="L270" s="90" t="n"/>
      <c r="M270" s="90" t="n"/>
      <c r="N270" s="90" t="n"/>
      <c r="O270" s="90" t="n"/>
      <c r="P270" s="90" t="n"/>
      <c r="Q270" s="90" t="n"/>
      <c r="R270" s="90" t="n"/>
      <c r="S270" s="90" t="n"/>
      <c r="T270" s="90" t="n"/>
      <c r="U270" s="90" t="n"/>
      <c r="V270" s="90" t="n"/>
      <c r="W270" s="90" t="n"/>
      <c r="X270" s="90" t="n"/>
      <c r="Y270" s="90" t="n"/>
      <c r="Z270" s="90" t="n"/>
    </row>
    <row r="271">
      <c r="A271" s="90" t="n"/>
      <c r="B271" s="90" t="n"/>
      <c r="C271" s="90" t="n"/>
      <c r="D271" s="90" t="n"/>
      <c r="E271" s="90" t="n"/>
      <c r="F271" s="90" t="n"/>
      <c r="G271" s="90" t="n"/>
      <c r="H271" s="90" t="n"/>
      <c r="I271" s="90" t="n"/>
      <c r="J271" s="90" t="n"/>
      <c r="K271" s="90" t="n"/>
      <c r="L271" s="90" t="n"/>
      <c r="M271" s="90" t="n"/>
      <c r="N271" s="90" t="n"/>
      <c r="O271" s="90" t="n"/>
      <c r="P271" s="90" t="n"/>
      <c r="Q271" s="90" t="n"/>
      <c r="R271" s="90" t="n"/>
      <c r="S271" s="90" t="n"/>
      <c r="T271" s="90" t="n"/>
      <c r="U271" s="90" t="n"/>
      <c r="V271" s="90" t="n"/>
      <c r="W271" s="90" t="n"/>
      <c r="X271" s="90" t="n"/>
      <c r="Y271" s="90" t="n"/>
      <c r="Z271" s="90" t="n"/>
    </row>
    <row r="272">
      <c r="A272" s="90" t="n"/>
      <c r="B272" s="90" t="n"/>
      <c r="C272" s="90" t="n"/>
      <c r="D272" s="90" t="n"/>
      <c r="E272" s="90" t="n"/>
      <c r="F272" s="90" t="n"/>
      <c r="G272" s="90" t="n"/>
      <c r="H272" s="90" t="n"/>
      <c r="I272" s="90" t="n"/>
      <c r="J272" s="90" t="n"/>
      <c r="K272" s="90" t="n"/>
      <c r="L272" s="90" t="n"/>
      <c r="M272" s="90" t="n"/>
      <c r="N272" s="90" t="n"/>
      <c r="O272" s="90" t="n"/>
      <c r="P272" s="90" t="n"/>
      <c r="Q272" s="90" t="n"/>
      <c r="R272" s="90" t="n"/>
      <c r="S272" s="90" t="n"/>
      <c r="T272" s="90" t="n"/>
      <c r="U272" s="90" t="n"/>
      <c r="V272" s="90" t="n"/>
      <c r="W272" s="90" t="n"/>
      <c r="X272" s="90" t="n"/>
      <c r="Y272" s="90" t="n"/>
      <c r="Z272" s="90" t="n"/>
    </row>
    <row r="273">
      <c r="A273" s="90" t="n"/>
      <c r="B273" s="90" t="n"/>
      <c r="C273" s="90" t="n"/>
      <c r="D273" s="90" t="n"/>
      <c r="E273" s="90" t="n"/>
      <c r="F273" s="90" t="n"/>
      <c r="G273" s="90" t="n"/>
      <c r="H273" s="90" t="n"/>
      <c r="I273" s="90" t="n"/>
      <c r="J273" s="90" t="n"/>
      <c r="K273" s="90" t="n"/>
      <c r="L273" s="90" t="n"/>
      <c r="M273" s="90" t="n"/>
      <c r="N273" s="90" t="n"/>
      <c r="O273" s="90" t="n"/>
      <c r="P273" s="90" t="n"/>
      <c r="Q273" s="90" t="n"/>
      <c r="R273" s="90" t="n"/>
      <c r="S273" s="90" t="n"/>
      <c r="T273" s="90" t="n"/>
      <c r="U273" s="90" t="n"/>
      <c r="V273" s="90" t="n"/>
      <c r="W273" s="90" t="n"/>
      <c r="X273" s="90" t="n"/>
      <c r="Y273" s="90" t="n"/>
      <c r="Z273" s="90" t="n"/>
    </row>
    <row r="274">
      <c r="A274" s="90" t="n"/>
      <c r="B274" s="90" t="n"/>
      <c r="C274" s="90" t="n"/>
      <c r="D274" s="90" t="n"/>
      <c r="E274" s="90" t="n"/>
      <c r="F274" s="90" t="n"/>
      <c r="G274" s="90" t="n"/>
      <c r="H274" s="90" t="n"/>
      <c r="I274" s="90" t="n"/>
      <c r="J274" s="90" t="n"/>
      <c r="K274" s="90" t="n"/>
      <c r="L274" s="90" t="n"/>
      <c r="M274" s="90" t="n"/>
      <c r="N274" s="90" t="n"/>
      <c r="O274" s="90" t="n"/>
      <c r="P274" s="90" t="n"/>
      <c r="Q274" s="90" t="n"/>
      <c r="R274" s="90" t="n"/>
      <c r="S274" s="90" t="n"/>
      <c r="T274" s="90" t="n"/>
      <c r="U274" s="90" t="n"/>
      <c r="V274" s="90" t="n"/>
      <c r="W274" s="90" t="n"/>
      <c r="X274" s="90" t="n"/>
      <c r="Y274" s="90" t="n"/>
      <c r="Z274" s="90" t="n"/>
    </row>
    <row r="275">
      <c r="A275" s="90" t="n"/>
      <c r="B275" s="90" t="n"/>
      <c r="C275" s="90" t="n"/>
      <c r="D275" s="90" t="n"/>
      <c r="E275" s="90" t="n"/>
      <c r="F275" s="90" t="n"/>
      <c r="G275" s="90" t="n"/>
      <c r="H275" s="90" t="n"/>
      <c r="I275" s="90" t="n"/>
      <c r="J275" s="90" t="n"/>
      <c r="K275" s="90" t="n"/>
      <c r="L275" s="90" t="n"/>
      <c r="M275" s="90" t="n"/>
      <c r="N275" s="90" t="n"/>
      <c r="O275" s="90" t="n"/>
      <c r="P275" s="90" t="n"/>
      <c r="Q275" s="90" t="n"/>
      <c r="R275" s="90" t="n"/>
      <c r="S275" s="90" t="n"/>
      <c r="T275" s="90" t="n"/>
      <c r="U275" s="90" t="n"/>
      <c r="V275" s="90" t="n"/>
      <c r="W275" s="90" t="n"/>
      <c r="X275" s="90" t="n"/>
      <c r="Y275" s="90" t="n"/>
      <c r="Z275" s="90" t="n"/>
    </row>
    <row r="276">
      <c r="A276" s="90" t="n"/>
      <c r="B276" s="90" t="n"/>
      <c r="C276" s="90" t="n"/>
      <c r="D276" s="90" t="n"/>
      <c r="E276" s="90" t="n"/>
      <c r="F276" s="90" t="n"/>
      <c r="G276" s="90" t="n"/>
      <c r="H276" s="90" t="n"/>
      <c r="I276" s="90" t="n"/>
      <c r="J276" s="90" t="n"/>
      <c r="K276" s="90" t="n"/>
      <c r="L276" s="90" t="n"/>
      <c r="M276" s="90" t="n"/>
      <c r="N276" s="90" t="n"/>
      <c r="O276" s="90" t="n"/>
      <c r="P276" s="90" t="n"/>
      <c r="Q276" s="90" t="n"/>
      <c r="R276" s="90" t="n"/>
      <c r="S276" s="90" t="n"/>
      <c r="T276" s="90" t="n"/>
      <c r="U276" s="90" t="n"/>
      <c r="V276" s="90" t="n"/>
      <c r="W276" s="90" t="n"/>
      <c r="X276" s="90" t="n"/>
      <c r="Y276" s="90" t="n"/>
      <c r="Z276" s="90" t="n"/>
    </row>
    <row r="277">
      <c r="A277" s="90" t="n"/>
      <c r="B277" s="90" t="n"/>
      <c r="C277" s="90" t="n"/>
      <c r="D277" s="90" t="n"/>
      <c r="E277" s="90" t="n"/>
      <c r="F277" s="90" t="n"/>
      <c r="G277" s="90" t="n"/>
      <c r="H277" s="90" t="n"/>
      <c r="I277" s="90" t="n"/>
      <c r="J277" s="90" t="n"/>
      <c r="K277" s="90" t="n"/>
      <c r="L277" s="90" t="n"/>
      <c r="M277" s="90" t="n"/>
      <c r="N277" s="90" t="n"/>
      <c r="O277" s="90" t="n"/>
      <c r="P277" s="90" t="n"/>
      <c r="Q277" s="90" t="n"/>
      <c r="R277" s="90" t="n"/>
      <c r="S277" s="90" t="n"/>
      <c r="T277" s="90" t="n"/>
      <c r="U277" s="90" t="n"/>
      <c r="V277" s="90" t="n"/>
      <c r="W277" s="90" t="n"/>
      <c r="X277" s="90" t="n"/>
      <c r="Y277" s="90" t="n"/>
      <c r="Z277" s="90" t="n"/>
    </row>
    <row r="278">
      <c r="A278" s="90" t="n"/>
      <c r="B278" s="90" t="n"/>
      <c r="C278" s="90" t="n"/>
      <c r="D278" s="90" t="n"/>
      <c r="E278" s="90" t="n"/>
      <c r="F278" s="90" t="n"/>
      <c r="G278" s="90" t="n"/>
      <c r="H278" s="90" t="n"/>
      <c r="I278" s="90" t="n"/>
      <c r="J278" s="90" t="n"/>
      <c r="K278" s="90" t="n"/>
      <c r="L278" s="90" t="n"/>
      <c r="M278" s="90" t="n"/>
      <c r="N278" s="90" t="n"/>
      <c r="O278" s="90" t="n"/>
      <c r="P278" s="90" t="n"/>
      <c r="Q278" s="90" t="n"/>
      <c r="R278" s="90" t="n"/>
      <c r="S278" s="90" t="n"/>
      <c r="T278" s="90" t="n"/>
      <c r="U278" s="90" t="n"/>
      <c r="V278" s="90" t="n"/>
      <c r="W278" s="90" t="n"/>
      <c r="X278" s="90" t="n"/>
      <c r="Y278" s="90" t="n"/>
      <c r="Z278" s="90" t="n"/>
    </row>
    <row r="279">
      <c r="A279" s="90" t="n"/>
      <c r="B279" s="90" t="n"/>
      <c r="C279" s="90" t="n"/>
      <c r="D279" s="90" t="n"/>
      <c r="E279" s="90" t="n"/>
      <c r="F279" s="90" t="n"/>
      <c r="G279" s="90" t="n"/>
      <c r="H279" s="90" t="n"/>
      <c r="I279" s="90" t="n"/>
      <c r="J279" s="90" t="n"/>
      <c r="K279" s="90" t="n"/>
      <c r="L279" s="90" t="n"/>
      <c r="M279" s="90" t="n"/>
      <c r="N279" s="90" t="n"/>
      <c r="O279" s="90" t="n"/>
      <c r="P279" s="90" t="n"/>
      <c r="Q279" s="90" t="n"/>
      <c r="R279" s="90" t="n"/>
      <c r="S279" s="90" t="n"/>
      <c r="T279" s="90" t="n"/>
      <c r="U279" s="90" t="n"/>
      <c r="V279" s="90" t="n"/>
      <c r="W279" s="90" t="n"/>
      <c r="X279" s="90" t="n"/>
      <c r="Y279" s="90" t="n"/>
      <c r="Z279" s="90" t="n"/>
    </row>
    <row r="280">
      <c r="A280" s="90" t="n"/>
      <c r="B280" s="90" t="n"/>
      <c r="C280" s="90" t="n"/>
      <c r="D280" s="90" t="n"/>
      <c r="E280" s="90" t="n"/>
      <c r="F280" s="90" t="n"/>
      <c r="G280" s="90" t="n"/>
      <c r="H280" s="90" t="n"/>
      <c r="I280" s="90" t="n"/>
      <c r="J280" s="90" t="n"/>
      <c r="K280" s="90" t="n"/>
      <c r="L280" s="90" t="n"/>
      <c r="M280" s="90" t="n"/>
      <c r="N280" s="90" t="n"/>
      <c r="O280" s="90" t="n"/>
      <c r="P280" s="90" t="n"/>
      <c r="Q280" s="90" t="n"/>
      <c r="R280" s="90" t="n"/>
      <c r="S280" s="90" t="n"/>
      <c r="T280" s="90" t="n"/>
      <c r="U280" s="90" t="n"/>
      <c r="V280" s="90" t="n"/>
      <c r="W280" s="90" t="n"/>
      <c r="X280" s="90" t="n"/>
      <c r="Y280" s="90" t="n"/>
      <c r="Z280" s="90" t="n"/>
    </row>
    <row r="281">
      <c r="A281" s="90" t="n"/>
      <c r="B281" s="90" t="n"/>
      <c r="C281" s="90" t="n"/>
      <c r="D281" s="90" t="n"/>
      <c r="E281" s="90" t="n"/>
      <c r="F281" s="90" t="n"/>
      <c r="G281" s="90" t="n"/>
      <c r="H281" s="90" t="n"/>
      <c r="I281" s="90" t="n"/>
      <c r="J281" s="90" t="n"/>
      <c r="K281" s="90" t="n"/>
      <c r="L281" s="90" t="n"/>
      <c r="M281" s="90" t="n"/>
      <c r="N281" s="90" t="n"/>
      <c r="O281" s="90" t="n"/>
      <c r="P281" s="90" t="n"/>
      <c r="Q281" s="90" t="n"/>
      <c r="R281" s="90" t="n"/>
      <c r="S281" s="90" t="n"/>
      <c r="T281" s="90" t="n"/>
      <c r="U281" s="90" t="n"/>
      <c r="V281" s="90" t="n"/>
      <c r="W281" s="90" t="n"/>
      <c r="X281" s="90" t="n"/>
      <c r="Y281" s="90" t="n"/>
      <c r="Z281" s="90" t="n"/>
    </row>
    <row r="282">
      <c r="A282" s="90" t="n"/>
      <c r="B282" s="90" t="n"/>
      <c r="C282" s="90" t="n"/>
      <c r="D282" s="90" t="n"/>
      <c r="E282" s="90" t="n"/>
      <c r="F282" s="90" t="n"/>
      <c r="G282" s="90" t="n"/>
      <c r="H282" s="90" t="n"/>
      <c r="I282" s="90" t="n"/>
      <c r="J282" s="90" t="n"/>
      <c r="K282" s="90" t="n"/>
      <c r="L282" s="90" t="n"/>
      <c r="M282" s="90" t="n"/>
      <c r="N282" s="90" t="n"/>
      <c r="O282" s="90" t="n"/>
      <c r="P282" s="90" t="n"/>
      <c r="Q282" s="90" t="n"/>
      <c r="R282" s="90" t="n"/>
      <c r="S282" s="90" t="n"/>
      <c r="T282" s="90" t="n"/>
      <c r="U282" s="90" t="n"/>
      <c r="V282" s="90" t="n"/>
      <c r="W282" s="90" t="n"/>
      <c r="X282" s="90" t="n"/>
      <c r="Y282" s="90" t="n"/>
      <c r="Z282" s="90" t="n"/>
    </row>
    <row r="283">
      <c r="A283" s="90" t="n"/>
      <c r="B283" s="90" t="n"/>
      <c r="C283" s="90" t="n"/>
      <c r="D283" s="90" t="n"/>
      <c r="E283" s="90" t="n"/>
      <c r="F283" s="90" t="n"/>
      <c r="G283" s="90" t="n"/>
      <c r="H283" s="90" t="n"/>
      <c r="I283" s="90" t="n"/>
      <c r="J283" s="90" t="n"/>
      <c r="K283" s="90" t="n"/>
      <c r="L283" s="90" t="n"/>
      <c r="M283" s="90" t="n"/>
      <c r="N283" s="90" t="n"/>
      <c r="O283" s="90" t="n"/>
      <c r="P283" s="90" t="n"/>
      <c r="Q283" s="90" t="n"/>
      <c r="R283" s="90" t="n"/>
      <c r="S283" s="90" t="n"/>
      <c r="T283" s="90" t="n"/>
      <c r="U283" s="90" t="n"/>
      <c r="V283" s="90" t="n"/>
      <c r="W283" s="90" t="n"/>
      <c r="X283" s="90" t="n"/>
      <c r="Y283" s="90" t="n"/>
      <c r="Z283" s="90" t="n"/>
    </row>
    <row r="284">
      <c r="A284" s="90" t="n"/>
      <c r="B284" s="90" t="n"/>
      <c r="C284" s="90" t="n"/>
      <c r="D284" s="90" t="n"/>
      <c r="E284" s="90" t="n"/>
      <c r="F284" s="90" t="n"/>
      <c r="G284" s="90" t="n"/>
      <c r="H284" s="90" t="n"/>
      <c r="I284" s="90" t="n"/>
      <c r="J284" s="90" t="n"/>
      <c r="K284" s="90" t="n"/>
      <c r="L284" s="90" t="n"/>
      <c r="M284" s="90" t="n"/>
      <c r="N284" s="90" t="n"/>
      <c r="O284" s="90" t="n"/>
      <c r="P284" s="90" t="n"/>
      <c r="Q284" s="90" t="n"/>
      <c r="R284" s="90" t="n"/>
      <c r="S284" s="90" t="n"/>
      <c r="T284" s="90" t="n"/>
      <c r="U284" s="90" t="n"/>
      <c r="V284" s="90" t="n"/>
      <c r="W284" s="90" t="n"/>
      <c r="X284" s="90" t="n"/>
      <c r="Y284" s="90" t="n"/>
      <c r="Z284" s="90" t="n"/>
    </row>
    <row r="285">
      <c r="A285" s="90" t="n"/>
      <c r="B285" s="90" t="n"/>
      <c r="C285" s="90" t="n"/>
      <c r="D285" s="90" t="n"/>
      <c r="E285" s="90" t="n"/>
      <c r="F285" s="90" t="n"/>
      <c r="G285" s="90" t="n"/>
      <c r="H285" s="90" t="n"/>
      <c r="I285" s="90" t="n"/>
      <c r="J285" s="90" t="n"/>
      <c r="K285" s="90" t="n"/>
      <c r="L285" s="90" t="n"/>
      <c r="M285" s="90" t="n"/>
      <c r="N285" s="90" t="n"/>
      <c r="O285" s="90" t="n"/>
      <c r="P285" s="90" t="n"/>
      <c r="Q285" s="90" t="n"/>
      <c r="R285" s="90" t="n"/>
      <c r="S285" s="90" t="n"/>
      <c r="T285" s="90" t="n"/>
      <c r="U285" s="90" t="n"/>
      <c r="V285" s="90" t="n"/>
      <c r="W285" s="90" t="n"/>
      <c r="X285" s="90" t="n"/>
      <c r="Y285" s="90" t="n"/>
      <c r="Z285" s="90" t="n"/>
    </row>
    <row r="286">
      <c r="A286" s="90" t="n"/>
      <c r="B286" s="90" t="n"/>
      <c r="C286" s="90" t="n"/>
      <c r="D286" s="90" t="n"/>
      <c r="E286" s="90" t="n"/>
      <c r="F286" s="90" t="n"/>
      <c r="G286" s="90" t="n"/>
      <c r="H286" s="90" t="n"/>
      <c r="I286" s="90" t="n"/>
      <c r="J286" s="90" t="n"/>
      <c r="K286" s="90" t="n"/>
      <c r="L286" s="90" t="n"/>
      <c r="M286" s="90" t="n"/>
      <c r="N286" s="90" t="n"/>
      <c r="O286" s="90" t="n"/>
      <c r="P286" s="90" t="n"/>
      <c r="Q286" s="90" t="n"/>
      <c r="R286" s="90" t="n"/>
      <c r="S286" s="90" t="n"/>
      <c r="T286" s="90" t="n"/>
      <c r="U286" s="90" t="n"/>
      <c r="V286" s="90" t="n"/>
      <c r="W286" s="90" t="n"/>
      <c r="X286" s="90" t="n"/>
      <c r="Y286" s="90" t="n"/>
      <c r="Z286" s="90" t="n"/>
    </row>
    <row r="287">
      <c r="A287" s="90" t="n"/>
      <c r="B287" s="90" t="n"/>
      <c r="C287" s="90" t="n"/>
      <c r="D287" s="90" t="n"/>
      <c r="E287" s="90" t="n"/>
      <c r="F287" s="90" t="n"/>
      <c r="G287" s="90" t="n"/>
      <c r="H287" s="90" t="n"/>
      <c r="I287" s="90" t="n"/>
      <c r="J287" s="90" t="n"/>
      <c r="K287" s="90" t="n"/>
      <c r="L287" s="90" t="n"/>
      <c r="M287" s="90" t="n"/>
      <c r="N287" s="90" t="n"/>
      <c r="O287" s="90" t="n"/>
      <c r="P287" s="90" t="n"/>
      <c r="Q287" s="90" t="n"/>
      <c r="R287" s="90" t="n"/>
      <c r="S287" s="90" t="n"/>
      <c r="T287" s="90" t="n"/>
      <c r="U287" s="90" t="n"/>
      <c r="V287" s="90" t="n"/>
      <c r="W287" s="90" t="n"/>
      <c r="X287" s="90" t="n"/>
      <c r="Y287" s="90" t="n"/>
      <c r="Z287" s="90" t="n"/>
    </row>
    <row r="288">
      <c r="A288" s="90" t="n"/>
      <c r="B288" s="90" t="n"/>
      <c r="C288" s="90" t="n"/>
      <c r="D288" s="90" t="n"/>
      <c r="E288" s="90" t="n"/>
      <c r="F288" s="90" t="n"/>
      <c r="G288" s="90" t="n"/>
      <c r="H288" s="90" t="n"/>
      <c r="I288" s="90" t="n"/>
      <c r="J288" s="90" t="n"/>
      <c r="K288" s="90" t="n"/>
      <c r="L288" s="90" t="n"/>
      <c r="M288" s="90" t="n"/>
      <c r="N288" s="90" t="n"/>
      <c r="O288" s="90" t="n"/>
      <c r="P288" s="90" t="n"/>
      <c r="Q288" s="90" t="n"/>
      <c r="R288" s="90" t="n"/>
      <c r="S288" s="90" t="n"/>
      <c r="T288" s="90" t="n"/>
      <c r="U288" s="90" t="n"/>
      <c r="V288" s="90" t="n"/>
      <c r="W288" s="90" t="n"/>
      <c r="X288" s="90" t="n"/>
      <c r="Y288" s="90" t="n"/>
      <c r="Z288" s="90" t="n"/>
    </row>
    <row r="289">
      <c r="A289" s="90" t="n"/>
      <c r="B289" s="90" t="n"/>
      <c r="C289" s="90" t="n"/>
      <c r="D289" s="90" t="n"/>
      <c r="E289" s="90" t="n"/>
      <c r="F289" s="90" t="n"/>
      <c r="G289" s="90" t="n"/>
      <c r="H289" s="90" t="n"/>
      <c r="I289" s="90" t="n"/>
      <c r="J289" s="90" t="n"/>
      <c r="K289" s="90" t="n"/>
      <c r="L289" s="90" t="n"/>
      <c r="M289" s="90" t="n"/>
      <c r="N289" s="90" t="n"/>
      <c r="O289" s="90" t="n"/>
      <c r="P289" s="90" t="n"/>
      <c r="Q289" s="90" t="n"/>
      <c r="R289" s="90" t="n"/>
      <c r="S289" s="90" t="n"/>
      <c r="T289" s="90" t="n"/>
      <c r="U289" s="90" t="n"/>
      <c r="V289" s="90" t="n"/>
      <c r="W289" s="90" t="n"/>
      <c r="X289" s="90" t="n"/>
      <c r="Y289" s="90" t="n"/>
      <c r="Z289" s="90" t="n"/>
    </row>
    <row r="290">
      <c r="A290" s="90" t="n"/>
      <c r="B290" s="90" t="n"/>
      <c r="C290" s="90" t="n"/>
      <c r="D290" s="90" t="n"/>
      <c r="E290" s="90" t="n"/>
      <c r="F290" s="90" t="n"/>
      <c r="G290" s="90" t="n"/>
      <c r="H290" s="90" t="n"/>
      <c r="I290" s="90" t="n"/>
      <c r="J290" s="90" t="n"/>
      <c r="K290" s="90" t="n"/>
      <c r="L290" s="90" t="n"/>
      <c r="M290" s="90" t="n"/>
      <c r="N290" s="90" t="n"/>
      <c r="O290" s="90" t="n"/>
      <c r="P290" s="90" t="n"/>
      <c r="Q290" s="90" t="n"/>
      <c r="R290" s="90" t="n"/>
      <c r="S290" s="90" t="n"/>
      <c r="T290" s="90" t="n"/>
      <c r="U290" s="90" t="n"/>
      <c r="V290" s="90" t="n"/>
      <c r="W290" s="90" t="n"/>
      <c r="X290" s="90" t="n"/>
      <c r="Y290" s="90" t="n"/>
      <c r="Z290" s="90" t="n"/>
    </row>
    <row r="291">
      <c r="A291" s="90" t="n"/>
      <c r="B291" s="90" t="n"/>
      <c r="C291" s="90" t="n"/>
      <c r="D291" s="90" t="n"/>
      <c r="E291" s="90" t="n"/>
      <c r="F291" s="90" t="n"/>
      <c r="G291" s="90" t="n"/>
      <c r="H291" s="90" t="n"/>
      <c r="I291" s="90" t="n"/>
      <c r="J291" s="90" t="n"/>
      <c r="K291" s="90" t="n"/>
      <c r="L291" s="90" t="n"/>
      <c r="M291" s="90" t="n"/>
      <c r="N291" s="90" t="n"/>
      <c r="O291" s="90" t="n"/>
      <c r="P291" s="90" t="n"/>
      <c r="Q291" s="90" t="n"/>
      <c r="R291" s="90" t="n"/>
      <c r="S291" s="90" t="n"/>
      <c r="T291" s="90" t="n"/>
      <c r="U291" s="90" t="n"/>
      <c r="V291" s="90" t="n"/>
      <c r="W291" s="90" t="n"/>
      <c r="X291" s="90" t="n"/>
      <c r="Y291" s="90" t="n"/>
      <c r="Z291" s="90" t="n"/>
    </row>
    <row r="292">
      <c r="A292" s="90" t="n"/>
      <c r="B292" s="90" t="n"/>
      <c r="C292" s="90" t="n"/>
      <c r="D292" s="90" t="n"/>
      <c r="E292" s="90" t="n"/>
      <c r="F292" s="90" t="n"/>
      <c r="G292" s="90" t="n"/>
      <c r="H292" s="90" t="n"/>
      <c r="I292" s="90" t="n"/>
      <c r="J292" s="90" t="n"/>
      <c r="K292" s="90" t="n"/>
      <c r="L292" s="90" t="n"/>
      <c r="M292" s="90" t="n"/>
      <c r="N292" s="90" t="n"/>
      <c r="O292" s="90" t="n"/>
      <c r="P292" s="90" t="n"/>
      <c r="Q292" s="90" t="n"/>
      <c r="R292" s="90" t="n"/>
      <c r="S292" s="90" t="n"/>
      <c r="T292" s="90" t="n"/>
      <c r="U292" s="90" t="n"/>
      <c r="V292" s="90" t="n"/>
      <c r="W292" s="90" t="n"/>
      <c r="X292" s="90" t="n"/>
      <c r="Y292" s="90" t="n"/>
      <c r="Z292" s="90" t="n"/>
    </row>
    <row r="293">
      <c r="A293" s="90" t="n"/>
      <c r="B293" s="90" t="n"/>
      <c r="C293" s="90" t="n"/>
      <c r="D293" s="90" t="n"/>
      <c r="E293" s="90" t="n"/>
      <c r="F293" s="90" t="n"/>
      <c r="G293" s="90" t="n"/>
      <c r="H293" s="90" t="n"/>
      <c r="I293" s="90" t="n"/>
      <c r="J293" s="90" t="n"/>
      <c r="K293" s="90" t="n"/>
      <c r="L293" s="90" t="n"/>
      <c r="M293" s="90" t="n"/>
      <c r="N293" s="90" t="n"/>
      <c r="O293" s="90" t="n"/>
      <c r="P293" s="90" t="n"/>
      <c r="Q293" s="90" t="n"/>
      <c r="R293" s="90" t="n"/>
      <c r="S293" s="90" t="n"/>
      <c r="T293" s="90" t="n"/>
      <c r="U293" s="90" t="n"/>
      <c r="V293" s="90" t="n"/>
      <c r="W293" s="90" t="n"/>
      <c r="X293" s="90" t="n"/>
      <c r="Y293" s="90" t="n"/>
      <c r="Z293" s="90" t="n"/>
    </row>
    <row r="294">
      <c r="A294" s="90" t="n"/>
      <c r="B294" s="90" t="n"/>
      <c r="C294" s="90" t="n"/>
      <c r="D294" s="90" t="n"/>
      <c r="E294" s="90" t="n"/>
      <c r="F294" s="90" t="n"/>
      <c r="G294" s="90" t="n"/>
      <c r="H294" s="90" t="n"/>
      <c r="I294" s="90" t="n"/>
      <c r="J294" s="90" t="n"/>
      <c r="K294" s="90" t="n"/>
      <c r="L294" s="90" t="n"/>
      <c r="M294" s="90" t="n"/>
      <c r="N294" s="90" t="n"/>
      <c r="O294" s="90" t="n"/>
      <c r="P294" s="90" t="n"/>
      <c r="Q294" s="90" t="n"/>
      <c r="R294" s="90" t="n"/>
      <c r="S294" s="90" t="n"/>
      <c r="T294" s="90" t="n"/>
      <c r="U294" s="90" t="n"/>
      <c r="V294" s="90" t="n"/>
      <c r="W294" s="90" t="n"/>
      <c r="X294" s="90" t="n"/>
      <c r="Y294" s="90" t="n"/>
      <c r="Z294" s="90" t="n"/>
    </row>
    <row r="295">
      <c r="A295" s="90" t="n"/>
      <c r="B295" s="90" t="n"/>
      <c r="C295" s="90" t="n"/>
      <c r="D295" s="90" t="n"/>
      <c r="E295" s="90" t="n"/>
      <c r="F295" s="90" t="n"/>
      <c r="G295" s="90" t="n"/>
      <c r="H295" s="90" t="n"/>
      <c r="I295" s="90" t="n"/>
      <c r="J295" s="90" t="n"/>
      <c r="K295" s="90" t="n"/>
      <c r="L295" s="90" t="n"/>
      <c r="M295" s="90" t="n"/>
      <c r="N295" s="90" t="n"/>
      <c r="O295" s="90" t="n"/>
      <c r="P295" s="90" t="n"/>
      <c r="Q295" s="90" t="n"/>
      <c r="R295" s="90" t="n"/>
      <c r="S295" s="90" t="n"/>
      <c r="T295" s="90" t="n"/>
      <c r="U295" s="90" t="n"/>
      <c r="V295" s="90" t="n"/>
      <c r="W295" s="90" t="n"/>
      <c r="X295" s="90" t="n"/>
      <c r="Y295" s="90" t="n"/>
      <c r="Z295" s="90" t="n"/>
    </row>
    <row r="296">
      <c r="A296" s="90" t="n"/>
      <c r="B296" s="90" t="n"/>
      <c r="C296" s="90" t="n"/>
      <c r="D296" s="90" t="n"/>
      <c r="E296" s="90" t="n"/>
      <c r="F296" s="90" t="n"/>
      <c r="G296" s="90" t="n"/>
      <c r="H296" s="90" t="n"/>
      <c r="I296" s="90" t="n"/>
      <c r="J296" s="90" t="n"/>
      <c r="K296" s="90" t="n"/>
      <c r="L296" s="90" t="n"/>
      <c r="M296" s="90" t="n"/>
      <c r="N296" s="90" t="n"/>
      <c r="O296" s="90" t="n"/>
      <c r="P296" s="90" t="n"/>
      <c r="Q296" s="90" t="n"/>
      <c r="R296" s="90" t="n"/>
      <c r="S296" s="90" t="n"/>
      <c r="T296" s="90" t="n"/>
      <c r="U296" s="90" t="n"/>
      <c r="V296" s="90" t="n"/>
      <c r="W296" s="90" t="n"/>
      <c r="X296" s="90" t="n"/>
      <c r="Y296" s="90" t="n"/>
      <c r="Z296" s="90" t="n"/>
    </row>
    <row r="297">
      <c r="A297" s="90" t="n"/>
      <c r="B297" s="90" t="n"/>
      <c r="C297" s="90" t="n"/>
      <c r="D297" s="90" t="n"/>
      <c r="E297" s="90" t="n"/>
      <c r="F297" s="90" t="n"/>
      <c r="G297" s="90" t="n"/>
      <c r="H297" s="90" t="n"/>
      <c r="I297" s="90" t="n"/>
      <c r="J297" s="90" t="n"/>
      <c r="K297" s="90" t="n"/>
      <c r="L297" s="90" t="n"/>
      <c r="M297" s="90" t="n"/>
      <c r="N297" s="90" t="n"/>
      <c r="O297" s="90" t="n"/>
      <c r="P297" s="90" t="n"/>
      <c r="Q297" s="90" t="n"/>
      <c r="R297" s="90" t="n"/>
      <c r="S297" s="90" t="n"/>
      <c r="T297" s="90" t="n"/>
      <c r="U297" s="90" t="n"/>
      <c r="V297" s="90" t="n"/>
      <c r="W297" s="90" t="n"/>
      <c r="X297" s="90" t="n"/>
      <c r="Y297" s="90" t="n"/>
      <c r="Z297" s="90" t="n"/>
    </row>
    <row r="298">
      <c r="A298" s="90" t="n"/>
      <c r="B298" s="90" t="n"/>
      <c r="C298" s="90" t="n"/>
      <c r="D298" s="90" t="n"/>
      <c r="E298" s="90" t="n"/>
      <c r="F298" s="90" t="n"/>
      <c r="G298" s="90" t="n"/>
      <c r="H298" s="90" t="n"/>
      <c r="I298" s="90" t="n"/>
      <c r="J298" s="90" t="n"/>
      <c r="K298" s="90" t="n"/>
      <c r="L298" s="90" t="n"/>
      <c r="M298" s="90" t="n"/>
      <c r="N298" s="90" t="n"/>
      <c r="O298" s="90" t="n"/>
      <c r="P298" s="90" t="n"/>
      <c r="Q298" s="90" t="n"/>
      <c r="R298" s="90" t="n"/>
      <c r="S298" s="90" t="n"/>
      <c r="T298" s="90" t="n"/>
      <c r="U298" s="90" t="n"/>
      <c r="V298" s="90" t="n"/>
      <c r="W298" s="90" t="n"/>
      <c r="X298" s="90" t="n"/>
      <c r="Y298" s="90" t="n"/>
      <c r="Z298" s="90" t="n"/>
    </row>
    <row r="299">
      <c r="A299" s="90" t="n"/>
      <c r="B299" s="90" t="n"/>
      <c r="C299" s="90" t="n"/>
      <c r="D299" s="90" t="n"/>
      <c r="E299" s="90" t="n"/>
      <c r="F299" s="90" t="n"/>
      <c r="G299" s="90" t="n"/>
      <c r="H299" s="90" t="n"/>
      <c r="I299" s="90" t="n"/>
      <c r="J299" s="90" t="n"/>
      <c r="K299" s="90" t="n"/>
      <c r="L299" s="90" t="n"/>
      <c r="M299" s="90" t="n"/>
      <c r="N299" s="90" t="n"/>
      <c r="O299" s="90" t="n"/>
      <c r="P299" s="90" t="n"/>
      <c r="Q299" s="90" t="n"/>
      <c r="R299" s="90" t="n"/>
      <c r="S299" s="90" t="n"/>
      <c r="T299" s="90" t="n"/>
      <c r="U299" s="90" t="n"/>
      <c r="V299" s="90" t="n"/>
      <c r="W299" s="90" t="n"/>
      <c r="X299" s="90" t="n"/>
      <c r="Y299" s="90" t="n"/>
      <c r="Z299" s="90" t="n"/>
    </row>
    <row r="300">
      <c r="A300" s="90" t="n"/>
      <c r="B300" s="90" t="n"/>
      <c r="C300" s="90" t="n"/>
      <c r="D300" s="90" t="n"/>
      <c r="E300" s="90" t="n"/>
      <c r="F300" s="90" t="n"/>
      <c r="G300" s="90" t="n"/>
      <c r="H300" s="90" t="n"/>
      <c r="I300" s="90" t="n"/>
      <c r="J300" s="90" t="n"/>
      <c r="K300" s="90" t="n"/>
      <c r="L300" s="90" t="n"/>
      <c r="M300" s="90" t="n"/>
      <c r="N300" s="90" t="n"/>
      <c r="O300" s="90" t="n"/>
      <c r="P300" s="90" t="n"/>
      <c r="Q300" s="90" t="n"/>
      <c r="R300" s="90" t="n"/>
      <c r="S300" s="90" t="n"/>
      <c r="T300" s="90" t="n"/>
      <c r="U300" s="90" t="n"/>
      <c r="V300" s="90" t="n"/>
      <c r="W300" s="90" t="n"/>
      <c r="X300" s="90" t="n"/>
      <c r="Y300" s="90" t="n"/>
      <c r="Z300" s="90" t="n"/>
    </row>
    <row r="301">
      <c r="A301" s="90" t="n"/>
      <c r="B301" s="90" t="n"/>
      <c r="C301" s="90" t="n"/>
      <c r="D301" s="90" t="n"/>
      <c r="E301" s="90" t="n"/>
      <c r="F301" s="90" t="n"/>
      <c r="G301" s="90" t="n"/>
      <c r="H301" s="90" t="n"/>
      <c r="I301" s="90" t="n"/>
      <c r="J301" s="90" t="n"/>
      <c r="K301" s="90" t="n"/>
      <c r="L301" s="90" t="n"/>
      <c r="M301" s="90" t="n"/>
      <c r="N301" s="90" t="n"/>
      <c r="O301" s="90" t="n"/>
      <c r="P301" s="90" t="n"/>
      <c r="Q301" s="90" t="n"/>
      <c r="R301" s="90" t="n"/>
      <c r="S301" s="90" t="n"/>
      <c r="T301" s="90" t="n"/>
      <c r="U301" s="90" t="n"/>
      <c r="V301" s="90" t="n"/>
      <c r="W301" s="90" t="n"/>
      <c r="X301" s="90" t="n"/>
      <c r="Y301" s="90" t="n"/>
      <c r="Z301" s="90" t="n"/>
    </row>
    <row r="302">
      <c r="A302" s="90" t="n"/>
      <c r="B302" s="90" t="n"/>
      <c r="C302" s="90" t="n"/>
      <c r="D302" s="90" t="n"/>
      <c r="E302" s="90" t="n"/>
      <c r="F302" s="90" t="n"/>
      <c r="G302" s="90" t="n"/>
      <c r="H302" s="90" t="n"/>
      <c r="I302" s="90" t="n"/>
      <c r="J302" s="90" t="n"/>
      <c r="K302" s="90" t="n"/>
      <c r="L302" s="90" t="n"/>
      <c r="M302" s="90" t="n"/>
      <c r="N302" s="90" t="n"/>
      <c r="O302" s="90" t="n"/>
      <c r="P302" s="90" t="n"/>
      <c r="Q302" s="90" t="n"/>
      <c r="R302" s="90" t="n"/>
      <c r="S302" s="90" t="n"/>
      <c r="T302" s="90" t="n"/>
      <c r="U302" s="90" t="n"/>
      <c r="V302" s="90" t="n"/>
      <c r="W302" s="90" t="n"/>
      <c r="X302" s="90" t="n"/>
      <c r="Y302" s="90" t="n"/>
      <c r="Z302" s="90" t="n"/>
    </row>
    <row r="303">
      <c r="A303" s="90" t="n"/>
      <c r="B303" s="90" t="n"/>
      <c r="C303" s="90" t="n"/>
      <c r="D303" s="90" t="n"/>
      <c r="E303" s="90" t="n"/>
      <c r="F303" s="90" t="n"/>
      <c r="G303" s="90" t="n"/>
      <c r="H303" s="90" t="n"/>
      <c r="I303" s="90" t="n"/>
      <c r="J303" s="90" t="n"/>
      <c r="K303" s="90" t="n"/>
      <c r="L303" s="90" t="n"/>
      <c r="M303" s="90" t="n"/>
      <c r="N303" s="90" t="n"/>
      <c r="O303" s="90" t="n"/>
      <c r="P303" s="90" t="n"/>
      <c r="Q303" s="90" t="n"/>
      <c r="R303" s="90" t="n"/>
      <c r="S303" s="90" t="n"/>
      <c r="T303" s="90" t="n"/>
      <c r="U303" s="90" t="n"/>
      <c r="V303" s="90" t="n"/>
      <c r="W303" s="90" t="n"/>
      <c r="X303" s="90" t="n"/>
      <c r="Y303" s="90" t="n"/>
      <c r="Z303" s="90" t="n"/>
    </row>
    <row r="304">
      <c r="A304" s="90" t="n"/>
      <c r="B304" s="90" t="n"/>
      <c r="C304" s="90" t="n"/>
      <c r="D304" s="90" t="n"/>
      <c r="E304" s="90" t="n"/>
      <c r="F304" s="90" t="n"/>
      <c r="G304" s="90" t="n"/>
      <c r="H304" s="90" t="n"/>
      <c r="I304" s="90" t="n"/>
      <c r="J304" s="90" t="n"/>
      <c r="K304" s="90" t="n"/>
      <c r="L304" s="90" t="n"/>
      <c r="M304" s="90" t="n"/>
      <c r="N304" s="90" t="n"/>
      <c r="O304" s="90" t="n"/>
      <c r="P304" s="90" t="n"/>
      <c r="Q304" s="90" t="n"/>
      <c r="R304" s="90" t="n"/>
      <c r="S304" s="90" t="n"/>
      <c r="T304" s="90" t="n"/>
      <c r="U304" s="90" t="n"/>
      <c r="V304" s="90" t="n"/>
      <c r="W304" s="90" t="n"/>
      <c r="X304" s="90" t="n"/>
      <c r="Y304" s="90" t="n"/>
      <c r="Z304" s="90" t="n"/>
    </row>
    <row r="305">
      <c r="A305" s="90" t="n"/>
      <c r="B305" s="90" t="n"/>
      <c r="C305" s="90" t="n"/>
      <c r="D305" s="90" t="n"/>
      <c r="E305" s="90" t="n"/>
      <c r="F305" s="90" t="n"/>
      <c r="G305" s="90" t="n"/>
      <c r="H305" s="90" t="n"/>
      <c r="I305" s="90" t="n"/>
      <c r="J305" s="90" t="n"/>
      <c r="K305" s="90" t="n"/>
      <c r="L305" s="90" t="n"/>
      <c r="M305" s="90" t="n"/>
      <c r="N305" s="90" t="n"/>
      <c r="O305" s="90" t="n"/>
      <c r="P305" s="90" t="n"/>
      <c r="Q305" s="90" t="n"/>
      <c r="R305" s="90" t="n"/>
      <c r="S305" s="90" t="n"/>
      <c r="T305" s="90" t="n"/>
      <c r="U305" s="90" t="n"/>
      <c r="V305" s="90" t="n"/>
      <c r="W305" s="90" t="n"/>
      <c r="X305" s="90" t="n"/>
      <c r="Y305" s="90" t="n"/>
      <c r="Z305" s="90" t="n"/>
    </row>
    <row r="306">
      <c r="A306" s="90" t="n"/>
      <c r="B306" s="90" t="n"/>
      <c r="C306" s="90" t="n"/>
      <c r="D306" s="90" t="n"/>
      <c r="E306" s="90" t="n"/>
      <c r="F306" s="90" t="n"/>
      <c r="G306" s="90" t="n"/>
      <c r="H306" s="90" t="n"/>
      <c r="I306" s="90" t="n"/>
      <c r="J306" s="90" t="n"/>
      <c r="K306" s="90" t="n"/>
      <c r="L306" s="90" t="n"/>
      <c r="M306" s="90" t="n"/>
      <c r="N306" s="90" t="n"/>
      <c r="O306" s="90" t="n"/>
      <c r="P306" s="90" t="n"/>
      <c r="Q306" s="90" t="n"/>
      <c r="R306" s="90" t="n"/>
      <c r="S306" s="90" t="n"/>
      <c r="T306" s="90" t="n"/>
      <c r="U306" s="90" t="n"/>
      <c r="V306" s="90" t="n"/>
      <c r="W306" s="90" t="n"/>
      <c r="X306" s="90" t="n"/>
      <c r="Y306" s="90" t="n"/>
      <c r="Z306" s="90" t="n"/>
    </row>
    <row r="307">
      <c r="A307" s="90" t="n"/>
      <c r="B307" s="90" t="n"/>
      <c r="C307" s="90" t="n"/>
      <c r="D307" s="90" t="n"/>
      <c r="E307" s="90" t="n"/>
      <c r="F307" s="90" t="n"/>
      <c r="G307" s="90" t="n"/>
      <c r="H307" s="90" t="n"/>
      <c r="I307" s="90" t="n"/>
      <c r="J307" s="90" t="n"/>
      <c r="K307" s="90" t="n"/>
      <c r="L307" s="90" t="n"/>
      <c r="M307" s="90" t="n"/>
      <c r="N307" s="90" t="n"/>
      <c r="O307" s="90" t="n"/>
      <c r="P307" s="90" t="n"/>
      <c r="Q307" s="90" t="n"/>
      <c r="R307" s="90" t="n"/>
      <c r="S307" s="90" t="n"/>
      <c r="T307" s="90" t="n"/>
      <c r="U307" s="90" t="n"/>
      <c r="V307" s="90" t="n"/>
      <c r="W307" s="90" t="n"/>
      <c r="X307" s="90" t="n"/>
      <c r="Y307" s="90" t="n"/>
      <c r="Z307" s="90" t="n"/>
    </row>
    <row r="308">
      <c r="A308" s="90" t="n"/>
      <c r="B308" s="90" t="n"/>
      <c r="C308" s="90" t="n"/>
      <c r="D308" s="90" t="n"/>
      <c r="E308" s="90" t="n"/>
      <c r="F308" s="90" t="n"/>
      <c r="G308" s="90" t="n"/>
      <c r="H308" s="90" t="n"/>
      <c r="I308" s="90" t="n"/>
      <c r="J308" s="90" t="n"/>
      <c r="K308" s="90" t="n"/>
      <c r="L308" s="90" t="n"/>
      <c r="M308" s="90" t="n"/>
      <c r="N308" s="90" t="n"/>
      <c r="O308" s="90" t="n"/>
      <c r="P308" s="90" t="n"/>
      <c r="Q308" s="90" t="n"/>
      <c r="R308" s="90" t="n"/>
      <c r="S308" s="90" t="n"/>
      <c r="T308" s="90" t="n"/>
      <c r="U308" s="90" t="n"/>
      <c r="V308" s="90" t="n"/>
      <c r="W308" s="90" t="n"/>
      <c r="X308" s="90" t="n"/>
      <c r="Y308" s="90" t="n"/>
      <c r="Z308" s="90" t="n"/>
    </row>
    <row r="309">
      <c r="A309" s="90" t="n"/>
      <c r="B309" s="90" t="n"/>
      <c r="C309" s="90" t="n"/>
      <c r="D309" s="90" t="n"/>
      <c r="E309" s="90" t="n"/>
      <c r="F309" s="90" t="n"/>
      <c r="G309" s="90" t="n"/>
      <c r="H309" s="90" t="n"/>
      <c r="I309" s="90" t="n"/>
      <c r="J309" s="90" t="n"/>
      <c r="K309" s="90" t="n"/>
      <c r="L309" s="90" t="n"/>
      <c r="M309" s="90" t="n"/>
      <c r="N309" s="90" t="n"/>
      <c r="O309" s="90" t="n"/>
      <c r="P309" s="90" t="n"/>
      <c r="Q309" s="90" t="n"/>
      <c r="R309" s="90" t="n"/>
      <c r="S309" s="90" t="n"/>
      <c r="T309" s="90" t="n"/>
      <c r="U309" s="90" t="n"/>
      <c r="V309" s="90" t="n"/>
      <c r="W309" s="90" t="n"/>
      <c r="X309" s="90" t="n"/>
      <c r="Y309" s="90" t="n"/>
      <c r="Z309" s="90" t="n"/>
    </row>
    <row r="310">
      <c r="A310" s="90" t="n"/>
      <c r="B310" s="90" t="n"/>
      <c r="C310" s="90" t="n"/>
      <c r="D310" s="90" t="n"/>
      <c r="E310" s="90" t="n"/>
      <c r="F310" s="90" t="n"/>
      <c r="G310" s="90" t="n"/>
      <c r="H310" s="90" t="n"/>
      <c r="I310" s="90" t="n"/>
      <c r="J310" s="90" t="n"/>
      <c r="K310" s="90" t="n"/>
      <c r="L310" s="90" t="n"/>
      <c r="M310" s="90" t="n"/>
      <c r="N310" s="90" t="n"/>
      <c r="O310" s="90" t="n"/>
      <c r="P310" s="90" t="n"/>
      <c r="Q310" s="90" t="n"/>
      <c r="R310" s="90" t="n"/>
      <c r="S310" s="90" t="n"/>
      <c r="T310" s="90" t="n"/>
      <c r="U310" s="90" t="n"/>
      <c r="V310" s="90" t="n"/>
      <c r="W310" s="90" t="n"/>
      <c r="X310" s="90" t="n"/>
      <c r="Y310" s="90" t="n"/>
      <c r="Z310" s="90" t="n"/>
    </row>
    <row r="311">
      <c r="A311" s="90" t="n"/>
      <c r="B311" s="90" t="n"/>
      <c r="C311" s="90" t="n"/>
      <c r="D311" s="90" t="n"/>
      <c r="E311" s="90" t="n"/>
      <c r="F311" s="90" t="n"/>
      <c r="G311" s="90" t="n"/>
      <c r="H311" s="90" t="n"/>
      <c r="I311" s="90" t="n"/>
      <c r="J311" s="90" t="n"/>
      <c r="K311" s="90" t="n"/>
      <c r="L311" s="90" t="n"/>
      <c r="M311" s="90" t="n"/>
      <c r="N311" s="90" t="n"/>
      <c r="O311" s="90" t="n"/>
      <c r="P311" s="90" t="n"/>
      <c r="Q311" s="90" t="n"/>
      <c r="R311" s="90" t="n"/>
      <c r="S311" s="90" t="n"/>
      <c r="T311" s="90" t="n"/>
      <c r="U311" s="90" t="n"/>
      <c r="V311" s="90" t="n"/>
      <c r="W311" s="90" t="n"/>
      <c r="X311" s="90" t="n"/>
      <c r="Y311" s="90" t="n"/>
      <c r="Z311" s="90" t="n"/>
    </row>
    <row r="312">
      <c r="A312" s="90" t="n"/>
      <c r="B312" s="90" t="n"/>
      <c r="C312" s="90" t="n"/>
      <c r="D312" s="90" t="n"/>
      <c r="E312" s="90" t="n"/>
      <c r="F312" s="90" t="n"/>
      <c r="G312" s="90" t="n"/>
      <c r="H312" s="90" t="n"/>
      <c r="I312" s="90" t="n"/>
      <c r="J312" s="90" t="n"/>
      <c r="K312" s="90" t="n"/>
      <c r="L312" s="90" t="n"/>
      <c r="M312" s="90" t="n"/>
      <c r="N312" s="90" t="n"/>
      <c r="O312" s="90" t="n"/>
      <c r="P312" s="90" t="n"/>
      <c r="Q312" s="90" t="n"/>
      <c r="R312" s="90" t="n"/>
      <c r="S312" s="90" t="n"/>
      <c r="T312" s="90" t="n"/>
      <c r="U312" s="90" t="n"/>
      <c r="V312" s="90" t="n"/>
      <c r="W312" s="90" t="n"/>
      <c r="X312" s="90" t="n"/>
      <c r="Y312" s="90" t="n"/>
      <c r="Z312" s="90" t="n"/>
    </row>
    <row r="313">
      <c r="A313" s="90" t="n"/>
      <c r="B313" s="90" t="n"/>
      <c r="C313" s="90" t="n"/>
      <c r="D313" s="90" t="n"/>
      <c r="E313" s="90" t="n"/>
      <c r="F313" s="90" t="n"/>
      <c r="G313" s="90" t="n"/>
      <c r="H313" s="90" t="n"/>
      <c r="I313" s="90" t="n"/>
      <c r="J313" s="90" t="n"/>
      <c r="K313" s="90" t="n"/>
      <c r="L313" s="90" t="n"/>
      <c r="M313" s="90" t="n"/>
      <c r="N313" s="90" t="n"/>
      <c r="O313" s="90" t="n"/>
      <c r="P313" s="90" t="n"/>
      <c r="Q313" s="90" t="n"/>
      <c r="R313" s="90" t="n"/>
      <c r="S313" s="90" t="n"/>
      <c r="T313" s="90" t="n"/>
      <c r="U313" s="90" t="n"/>
      <c r="V313" s="90" t="n"/>
      <c r="W313" s="90" t="n"/>
      <c r="X313" s="90" t="n"/>
      <c r="Y313" s="90" t="n"/>
      <c r="Z313" s="90" t="n"/>
    </row>
    <row r="314">
      <c r="A314" s="90" t="n"/>
      <c r="B314" s="90" t="n"/>
      <c r="C314" s="90" t="n"/>
      <c r="D314" s="90" t="n"/>
      <c r="E314" s="90" t="n"/>
      <c r="F314" s="90" t="n"/>
      <c r="G314" s="90" t="n"/>
      <c r="H314" s="90" t="n"/>
      <c r="I314" s="90" t="n"/>
      <c r="J314" s="90" t="n"/>
      <c r="K314" s="90" t="n"/>
      <c r="L314" s="90" t="n"/>
      <c r="M314" s="90" t="n"/>
      <c r="N314" s="90" t="n"/>
      <c r="O314" s="90" t="n"/>
      <c r="P314" s="90" t="n"/>
      <c r="Q314" s="90" t="n"/>
      <c r="R314" s="90" t="n"/>
      <c r="S314" s="90" t="n"/>
      <c r="T314" s="90" t="n"/>
      <c r="U314" s="90" t="n"/>
      <c r="V314" s="90" t="n"/>
      <c r="W314" s="90" t="n"/>
      <c r="X314" s="90" t="n"/>
      <c r="Y314" s="90" t="n"/>
      <c r="Z314" s="90" t="n"/>
    </row>
    <row r="315">
      <c r="A315" s="90" t="n"/>
      <c r="B315" s="90" t="n"/>
      <c r="C315" s="90" t="n"/>
      <c r="D315" s="90" t="n"/>
      <c r="E315" s="90" t="n"/>
      <c r="F315" s="90" t="n"/>
      <c r="G315" s="90" t="n"/>
      <c r="H315" s="90" t="n"/>
      <c r="I315" s="90" t="n"/>
      <c r="J315" s="90" t="n"/>
      <c r="K315" s="90" t="n"/>
      <c r="L315" s="90" t="n"/>
      <c r="M315" s="90" t="n"/>
      <c r="N315" s="90" t="n"/>
      <c r="O315" s="90" t="n"/>
      <c r="P315" s="90" t="n"/>
      <c r="Q315" s="90" t="n"/>
      <c r="R315" s="90" t="n"/>
      <c r="S315" s="90" t="n"/>
      <c r="T315" s="90" t="n"/>
      <c r="U315" s="90" t="n"/>
      <c r="V315" s="90" t="n"/>
      <c r="W315" s="90" t="n"/>
      <c r="X315" s="90" t="n"/>
      <c r="Y315" s="90" t="n"/>
      <c r="Z315" s="90" t="n"/>
    </row>
    <row r="316">
      <c r="A316" s="90" t="n"/>
      <c r="B316" s="90" t="n"/>
      <c r="C316" s="90" t="n"/>
      <c r="D316" s="90" t="n"/>
      <c r="E316" s="90" t="n"/>
      <c r="F316" s="90" t="n"/>
      <c r="G316" s="90" t="n"/>
      <c r="H316" s="90" t="n"/>
      <c r="I316" s="90" t="n"/>
      <c r="J316" s="90" t="n"/>
      <c r="K316" s="90" t="n"/>
      <c r="L316" s="90" t="n"/>
      <c r="M316" s="90" t="n"/>
      <c r="N316" s="90" t="n"/>
      <c r="O316" s="90" t="n"/>
      <c r="P316" s="90" t="n"/>
      <c r="Q316" s="90" t="n"/>
      <c r="R316" s="90" t="n"/>
      <c r="S316" s="90" t="n"/>
      <c r="T316" s="90" t="n"/>
      <c r="U316" s="90" t="n"/>
      <c r="V316" s="90" t="n"/>
      <c r="W316" s="90" t="n"/>
      <c r="X316" s="90" t="n"/>
      <c r="Y316" s="90" t="n"/>
      <c r="Z316" s="90" t="n"/>
    </row>
    <row r="317">
      <c r="A317" s="90" t="n"/>
      <c r="B317" s="90" t="n"/>
      <c r="C317" s="90" t="n"/>
      <c r="D317" s="90" t="n"/>
      <c r="E317" s="90" t="n"/>
      <c r="F317" s="90" t="n"/>
      <c r="G317" s="90" t="n"/>
      <c r="H317" s="90" t="n"/>
      <c r="I317" s="90" t="n"/>
      <c r="J317" s="90" t="n"/>
      <c r="K317" s="90" t="n"/>
      <c r="L317" s="90" t="n"/>
      <c r="M317" s="90" t="n"/>
      <c r="N317" s="90" t="n"/>
      <c r="O317" s="90" t="n"/>
      <c r="P317" s="90" t="n"/>
      <c r="Q317" s="90" t="n"/>
      <c r="R317" s="90" t="n"/>
      <c r="S317" s="90" t="n"/>
      <c r="T317" s="90" t="n"/>
      <c r="U317" s="90" t="n"/>
      <c r="V317" s="90" t="n"/>
      <c r="W317" s="90" t="n"/>
      <c r="X317" s="90" t="n"/>
      <c r="Y317" s="90" t="n"/>
      <c r="Z317" s="90" t="n"/>
    </row>
    <row r="318">
      <c r="A318" s="90" t="n"/>
      <c r="B318" s="90" t="n"/>
      <c r="C318" s="90" t="n"/>
      <c r="D318" s="90" t="n"/>
      <c r="E318" s="90" t="n"/>
      <c r="F318" s="90" t="n"/>
      <c r="G318" s="90" t="n"/>
      <c r="H318" s="90" t="n"/>
      <c r="I318" s="90" t="n"/>
      <c r="J318" s="90" t="n"/>
      <c r="K318" s="90" t="n"/>
      <c r="L318" s="90" t="n"/>
      <c r="M318" s="90" t="n"/>
      <c r="N318" s="90" t="n"/>
      <c r="O318" s="90" t="n"/>
      <c r="P318" s="90" t="n"/>
      <c r="Q318" s="90" t="n"/>
      <c r="R318" s="90" t="n"/>
      <c r="S318" s="90" t="n"/>
      <c r="T318" s="90" t="n"/>
      <c r="U318" s="90" t="n"/>
      <c r="V318" s="90" t="n"/>
      <c r="W318" s="90" t="n"/>
      <c r="X318" s="90" t="n"/>
      <c r="Y318" s="90" t="n"/>
      <c r="Z318" s="90" t="n"/>
    </row>
    <row r="319">
      <c r="A319" s="90" t="n"/>
      <c r="B319" s="90" t="n"/>
      <c r="C319" s="90" t="n"/>
      <c r="D319" s="90" t="n"/>
      <c r="E319" s="90" t="n"/>
      <c r="F319" s="90" t="n"/>
      <c r="G319" s="90" t="n"/>
      <c r="H319" s="90" t="n"/>
      <c r="I319" s="90" t="n"/>
      <c r="J319" s="90" t="n"/>
      <c r="K319" s="90" t="n"/>
      <c r="L319" s="90" t="n"/>
      <c r="M319" s="90" t="n"/>
      <c r="N319" s="90" t="n"/>
      <c r="O319" s="90" t="n"/>
      <c r="P319" s="90" t="n"/>
      <c r="Q319" s="90" t="n"/>
      <c r="R319" s="90" t="n"/>
      <c r="S319" s="90" t="n"/>
      <c r="T319" s="90" t="n"/>
      <c r="U319" s="90" t="n"/>
      <c r="V319" s="90" t="n"/>
      <c r="W319" s="90" t="n"/>
      <c r="X319" s="90" t="n"/>
      <c r="Y319" s="90" t="n"/>
      <c r="Z319" s="90" t="n"/>
    </row>
    <row r="320">
      <c r="A320" s="90" t="n"/>
      <c r="B320" s="90" t="n"/>
      <c r="C320" s="90" t="n"/>
      <c r="D320" s="90" t="n"/>
      <c r="E320" s="90" t="n"/>
      <c r="F320" s="90" t="n"/>
      <c r="G320" s="90" t="n"/>
      <c r="H320" s="90" t="n"/>
      <c r="I320" s="90" t="n"/>
      <c r="J320" s="90" t="n"/>
      <c r="K320" s="90" t="n"/>
      <c r="L320" s="90" t="n"/>
      <c r="M320" s="90" t="n"/>
      <c r="N320" s="90" t="n"/>
      <c r="O320" s="90" t="n"/>
      <c r="P320" s="90" t="n"/>
      <c r="Q320" s="90" t="n"/>
      <c r="R320" s="90" t="n"/>
      <c r="S320" s="90" t="n"/>
      <c r="T320" s="90" t="n"/>
      <c r="U320" s="90" t="n"/>
      <c r="V320" s="90" t="n"/>
      <c r="W320" s="90" t="n"/>
      <c r="X320" s="90" t="n"/>
      <c r="Y320" s="90" t="n"/>
      <c r="Z320" s="90" t="n"/>
    </row>
    <row r="321">
      <c r="A321" s="90" t="n"/>
      <c r="B321" s="90" t="n"/>
      <c r="C321" s="90" t="n"/>
      <c r="D321" s="90" t="n"/>
      <c r="E321" s="90" t="n"/>
      <c r="F321" s="90" t="n"/>
      <c r="G321" s="90" t="n"/>
      <c r="H321" s="90" t="n"/>
      <c r="I321" s="90" t="n"/>
      <c r="J321" s="90" t="n"/>
      <c r="K321" s="90" t="n"/>
      <c r="L321" s="90" t="n"/>
      <c r="M321" s="90" t="n"/>
      <c r="N321" s="90" t="n"/>
      <c r="O321" s="90" t="n"/>
      <c r="P321" s="90" t="n"/>
      <c r="Q321" s="90" t="n"/>
      <c r="R321" s="90" t="n"/>
      <c r="S321" s="90" t="n"/>
      <c r="T321" s="90" t="n"/>
      <c r="U321" s="90" t="n"/>
      <c r="V321" s="90" t="n"/>
      <c r="W321" s="90" t="n"/>
      <c r="X321" s="90" t="n"/>
      <c r="Y321" s="90" t="n"/>
      <c r="Z321" s="90" t="n"/>
    </row>
    <row r="322">
      <c r="A322" s="90" t="n"/>
      <c r="B322" s="90" t="n"/>
      <c r="C322" s="90" t="n"/>
      <c r="D322" s="90" t="n"/>
      <c r="E322" s="90" t="n"/>
      <c r="F322" s="90" t="n"/>
      <c r="G322" s="90" t="n"/>
      <c r="H322" s="90" t="n"/>
      <c r="I322" s="90" t="n"/>
      <c r="J322" s="90" t="n"/>
      <c r="K322" s="90" t="n"/>
      <c r="L322" s="90" t="n"/>
      <c r="M322" s="90" t="n"/>
      <c r="N322" s="90" t="n"/>
      <c r="O322" s="90" t="n"/>
      <c r="P322" s="90" t="n"/>
      <c r="Q322" s="90" t="n"/>
      <c r="R322" s="90" t="n"/>
      <c r="S322" s="90" t="n"/>
      <c r="T322" s="90" t="n"/>
      <c r="U322" s="90" t="n"/>
      <c r="V322" s="90" t="n"/>
      <c r="W322" s="90" t="n"/>
      <c r="X322" s="90" t="n"/>
      <c r="Y322" s="90" t="n"/>
      <c r="Z322" s="90" t="n"/>
    </row>
    <row r="323">
      <c r="A323" s="90" t="n"/>
      <c r="B323" s="90" t="n"/>
      <c r="C323" s="90" t="n"/>
      <c r="D323" s="90" t="n"/>
      <c r="E323" s="90" t="n"/>
      <c r="F323" s="90" t="n"/>
      <c r="G323" s="90" t="n"/>
      <c r="H323" s="90" t="n"/>
      <c r="I323" s="90" t="n"/>
      <c r="J323" s="90" t="n"/>
      <c r="K323" s="90" t="n"/>
      <c r="L323" s="90" t="n"/>
      <c r="M323" s="90" t="n"/>
      <c r="N323" s="90" t="n"/>
      <c r="O323" s="90" t="n"/>
      <c r="P323" s="90" t="n"/>
      <c r="Q323" s="90" t="n"/>
      <c r="R323" s="90" t="n"/>
      <c r="S323" s="90" t="n"/>
      <c r="T323" s="90" t="n"/>
      <c r="U323" s="90" t="n"/>
      <c r="V323" s="90" t="n"/>
      <c r="W323" s="90" t="n"/>
      <c r="X323" s="90" t="n"/>
      <c r="Y323" s="90" t="n"/>
      <c r="Z323" s="90" t="n"/>
    </row>
    <row r="324">
      <c r="A324" s="90" t="n"/>
      <c r="B324" s="90" t="n"/>
      <c r="C324" s="90" t="n"/>
      <c r="D324" s="90" t="n"/>
      <c r="E324" s="90" t="n"/>
      <c r="F324" s="90" t="n"/>
      <c r="G324" s="90" t="n"/>
      <c r="H324" s="90" t="n"/>
      <c r="I324" s="90" t="n"/>
      <c r="J324" s="90" t="n"/>
      <c r="K324" s="90" t="n"/>
      <c r="L324" s="90" t="n"/>
      <c r="M324" s="90" t="n"/>
      <c r="N324" s="90" t="n"/>
      <c r="O324" s="90" t="n"/>
      <c r="P324" s="90" t="n"/>
      <c r="Q324" s="90" t="n"/>
      <c r="R324" s="90" t="n"/>
      <c r="S324" s="90" t="n"/>
      <c r="T324" s="90" t="n"/>
      <c r="U324" s="90" t="n"/>
      <c r="V324" s="90" t="n"/>
      <c r="W324" s="90" t="n"/>
      <c r="X324" s="90" t="n"/>
      <c r="Y324" s="90" t="n"/>
      <c r="Z324" s="90" t="n"/>
    </row>
    <row r="325">
      <c r="A325" s="90" t="n"/>
      <c r="B325" s="90" t="n"/>
      <c r="C325" s="90" t="n"/>
      <c r="D325" s="90" t="n"/>
      <c r="E325" s="90" t="n"/>
      <c r="F325" s="90" t="n"/>
      <c r="G325" s="90" t="n"/>
      <c r="H325" s="90" t="n"/>
      <c r="I325" s="90" t="n"/>
      <c r="J325" s="90" t="n"/>
      <c r="K325" s="90" t="n"/>
      <c r="L325" s="90" t="n"/>
      <c r="M325" s="90" t="n"/>
      <c r="N325" s="90" t="n"/>
      <c r="O325" s="90" t="n"/>
      <c r="P325" s="90" t="n"/>
      <c r="Q325" s="90" t="n"/>
      <c r="R325" s="90" t="n"/>
      <c r="S325" s="90" t="n"/>
      <c r="T325" s="90" t="n"/>
      <c r="U325" s="90" t="n"/>
      <c r="V325" s="90" t="n"/>
      <c r="W325" s="90" t="n"/>
      <c r="X325" s="90" t="n"/>
      <c r="Y325" s="90" t="n"/>
      <c r="Z325" s="90" t="n"/>
    </row>
    <row r="326">
      <c r="A326" s="90" t="n"/>
      <c r="B326" s="90" t="n"/>
      <c r="C326" s="90" t="n"/>
      <c r="D326" s="90" t="n"/>
      <c r="E326" s="90" t="n"/>
      <c r="F326" s="90" t="n"/>
      <c r="G326" s="90" t="n"/>
      <c r="H326" s="90" t="n"/>
      <c r="I326" s="90" t="n"/>
      <c r="J326" s="90" t="n"/>
      <c r="K326" s="90" t="n"/>
      <c r="L326" s="90" t="n"/>
      <c r="M326" s="90" t="n"/>
      <c r="N326" s="90" t="n"/>
      <c r="O326" s="90" t="n"/>
      <c r="P326" s="90" t="n"/>
      <c r="Q326" s="90" t="n"/>
      <c r="R326" s="90" t="n"/>
      <c r="S326" s="90" t="n"/>
      <c r="T326" s="90" t="n"/>
      <c r="U326" s="90" t="n"/>
      <c r="V326" s="90" t="n"/>
      <c r="W326" s="90" t="n"/>
      <c r="X326" s="90" t="n"/>
      <c r="Y326" s="90" t="n"/>
      <c r="Z326" s="90" t="n"/>
    </row>
    <row r="327">
      <c r="A327" s="90" t="n"/>
      <c r="B327" s="90" t="n"/>
      <c r="C327" s="90" t="n"/>
      <c r="D327" s="90" t="n"/>
      <c r="E327" s="90" t="n"/>
      <c r="F327" s="90" t="n"/>
      <c r="G327" s="90" t="n"/>
      <c r="H327" s="90" t="n"/>
      <c r="I327" s="90" t="n"/>
      <c r="J327" s="90" t="n"/>
      <c r="K327" s="90" t="n"/>
      <c r="L327" s="90" t="n"/>
      <c r="M327" s="90" t="n"/>
      <c r="N327" s="90" t="n"/>
      <c r="O327" s="90" t="n"/>
      <c r="P327" s="90" t="n"/>
      <c r="Q327" s="90" t="n"/>
      <c r="R327" s="90" t="n"/>
      <c r="S327" s="90" t="n"/>
      <c r="T327" s="90" t="n"/>
      <c r="U327" s="90" t="n"/>
      <c r="V327" s="90" t="n"/>
      <c r="W327" s="90" t="n"/>
      <c r="X327" s="90" t="n"/>
      <c r="Y327" s="90" t="n"/>
      <c r="Z327" s="90" t="n"/>
    </row>
    <row r="328">
      <c r="A328" s="90" t="n"/>
      <c r="B328" s="90" t="n"/>
      <c r="C328" s="90" t="n"/>
      <c r="D328" s="90" t="n"/>
      <c r="E328" s="90" t="n"/>
      <c r="F328" s="90" t="n"/>
      <c r="G328" s="90" t="n"/>
      <c r="H328" s="90" t="n"/>
      <c r="I328" s="90" t="n"/>
      <c r="J328" s="90" t="n"/>
      <c r="K328" s="90" t="n"/>
      <c r="L328" s="90" t="n"/>
      <c r="M328" s="90" t="n"/>
      <c r="N328" s="90" t="n"/>
      <c r="O328" s="90" t="n"/>
      <c r="P328" s="90" t="n"/>
      <c r="Q328" s="90" t="n"/>
      <c r="R328" s="90" t="n"/>
      <c r="S328" s="90" t="n"/>
      <c r="T328" s="90" t="n"/>
      <c r="U328" s="90" t="n"/>
      <c r="V328" s="90" t="n"/>
      <c r="W328" s="90" t="n"/>
      <c r="X328" s="90" t="n"/>
      <c r="Y328" s="90" t="n"/>
      <c r="Z328" s="90" t="n"/>
    </row>
    <row r="329">
      <c r="A329" s="90" t="n"/>
      <c r="B329" s="90" t="n"/>
      <c r="C329" s="90" t="n"/>
      <c r="D329" s="90" t="n"/>
      <c r="E329" s="90" t="n"/>
      <c r="F329" s="90" t="n"/>
      <c r="G329" s="90" t="n"/>
      <c r="H329" s="90" t="n"/>
      <c r="I329" s="90" t="n"/>
      <c r="J329" s="90" t="n"/>
      <c r="K329" s="90" t="n"/>
      <c r="L329" s="90" t="n"/>
      <c r="M329" s="90" t="n"/>
      <c r="N329" s="90" t="n"/>
      <c r="O329" s="90" t="n"/>
      <c r="P329" s="90" t="n"/>
      <c r="Q329" s="90" t="n"/>
      <c r="R329" s="90" t="n"/>
      <c r="S329" s="90" t="n"/>
      <c r="T329" s="90" t="n"/>
      <c r="U329" s="90" t="n"/>
      <c r="V329" s="90" t="n"/>
      <c r="W329" s="90" t="n"/>
      <c r="X329" s="90" t="n"/>
      <c r="Y329" s="90" t="n"/>
      <c r="Z329" s="90" t="n"/>
    </row>
    <row r="330">
      <c r="A330" s="90" t="n"/>
      <c r="B330" s="90" t="n"/>
      <c r="C330" s="90" t="n"/>
      <c r="D330" s="90" t="n"/>
      <c r="E330" s="90" t="n"/>
      <c r="F330" s="90" t="n"/>
      <c r="G330" s="90" t="n"/>
      <c r="H330" s="90" t="n"/>
      <c r="I330" s="90" t="n"/>
      <c r="J330" s="90" t="n"/>
      <c r="K330" s="90" t="n"/>
      <c r="L330" s="90" t="n"/>
      <c r="M330" s="90" t="n"/>
      <c r="N330" s="90" t="n"/>
      <c r="O330" s="90" t="n"/>
      <c r="P330" s="90" t="n"/>
      <c r="Q330" s="90" t="n"/>
      <c r="R330" s="90" t="n"/>
      <c r="S330" s="90" t="n"/>
      <c r="T330" s="90" t="n"/>
      <c r="U330" s="90" t="n"/>
      <c r="V330" s="90" t="n"/>
      <c r="W330" s="90" t="n"/>
      <c r="X330" s="90" t="n"/>
      <c r="Y330" s="90" t="n"/>
      <c r="Z330" s="90" t="n"/>
    </row>
    <row r="331">
      <c r="A331" s="90" t="n"/>
      <c r="B331" s="90" t="n"/>
      <c r="C331" s="90" t="n"/>
      <c r="D331" s="90" t="n"/>
      <c r="E331" s="90" t="n"/>
      <c r="F331" s="90" t="n"/>
      <c r="G331" s="90" t="n"/>
      <c r="H331" s="90" t="n"/>
      <c r="I331" s="90" t="n"/>
      <c r="J331" s="90" t="n"/>
      <c r="K331" s="90" t="n"/>
      <c r="L331" s="90" t="n"/>
      <c r="M331" s="90" t="n"/>
      <c r="N331" s="90" t="n"/>
      <c r="O331" s="90" t="n"/>
      <c r="P331" s="90" t="n"/>
      <c r="Q331" s="90" t="n"/>
      <c r="R331" s="90" t="n"/>
      <c r="S331" s="90" t="n"/>
      <c r="T331" s="90" t="n"/>
      <c r="U331" s="90" t="n"/>
      <c r="V331" s="90" t="n"/>
      <c r="W331" s="90" t="n"/>
      <c r="X331" s="90" t="n"/>
      <c r="Y331" s="90" t="n"/>
      <c r="Z331" s="90" t="n"/>
    </row>
    <row r="332">
      <c r="A332" s="90" t="n"/>
      <c r="B332" s="90" t="n"/>
      <c r="C332" s="90" t="n"/>
      <c r="D332" s="90" t="n"/>
      <c r="E332" s="90" t="n"/>
      <c r="F332" s="90" t="n"/>
      <c r="G332" s="90" t="n"/>
      <c r="H332" s="90" t="n"/>
      <c r="I332" s="90" t="n"/>
      <c r="J332" s="90" t="n"/>
      <c r="K332" s="90" t="n"/>
      <c r="L332" s="90" t="n"/>
      <c r="M332" s="90" t="n"/>
      <c r="N332" s="90" t="n"/>
      <c r="O332" s="90" t="n"/>
      <c r="P332" s="90" t="n"/>
      <c r="Q332" s="90" t="n"/>
      <c r="R332" s="90" t="n"/>
      <c r="S332" s="90" t="n"/>
      <c r="T332" s="90" t="n"/>
      <c r="U332" s="90" t="n"/>
      <c r="V332" s="90" t="n"/>
      <c r="W332" s="90" t="n"/>
      <c r="X332" s="90" t="n"/>
      <c r="Y332" s="90" t="n"/>
      <c r="Z332" s="90" t="n"/>
    </row>
    <row r="333">
      <c r="A333" s="90" t="n"/>
      <c r="B333" s="90" t="n"/>
      <c r="C333" s="90" t="n"/>
      <c r="D333" s="90" t="n"/>
      <c r="E333" s="90" t="n"/>
      <c r="F333" s="90" t="n"/>
      <c r="G333" s="90" t="n"/>
      <c r="H333" s="90" t="n"/>
      <c r="I333" s="90" t="n"/>
      <c r="J333" s="90" t="n"/>
      <c r="K333" s="90" t="n"/>
      <c r="L333" s="90" t="n"/>
      <c r="M333" s="90" t="n"/>
      <c r="N333" s="90" t="n"/>
      <c r="O333" s="90" t="n"/>
      <c r="P333" s="90" t="n"/>
      <c r="Q333" s="90" t="n"/>
      <c r="R333" s="90" t="n"/>
      <c r="S333" s="90" t="n"/>
      <c r="T333" s="90" t="n"/>
      <c r="U333" s="90" t="n"/>
      <c r="V333" s="90" t="n"/>
      <c r="W333" s="90" t="n"/>
      <c r="X333" s="90" t="n"/>
      <c r="Y333" s="90" t="n"/>
      <c r="Z333" s="90" t="n"/>
    </row>
    <row r="334">
      <c r="A334" s="90" t="n"/>
      <c r="B334" s="90" t="n"/>
      <c r="C334" s="90" t="n"/>
      <c r="D334" s="90" t="n"/>
      <c r="E334" s="90" t="n"/>
      <c r="F334" s="90" t="n"/>
      <c r="G334" s="90" t="n"/>
      <c r="H334" s="90" t="n"/>
      <c r="I334" s="90" t="n"/>
      <c r="J334" s="90" t="n"/>
      <c r="K334" s="90" t="n"/>
      <c r="L334" s="90" t="n"/>
      <c r="M334" s="90" t="n"/>
      <c r="N334" s="90" t="n"/>
      <c r="O334" s="90" t="n"/>
      <c r="P334" s="90" t="n"/>
      <c r="Q334" s="90" t="n"/>
      <c r="R334" s="90" t="n"/>
      <c r="S334" s="90" t="n"/>
      <c r="T334" s="90" t="n"/>
      <c r="U334" s="90" t="n"/>
      <c r="V334" s="90" t="n"/>
      <c r="W334" s="90" t="n"/>
      <c r="X334" s="90" t="n"/>
      <c r="Y334" s="90" t="n"/>
      <c r="Z334" s="90" t="n"/>
    </row>
    <row r="335">
      <c r="A335" s="90" t="n"/>
      <c r="B335" s="90" t="n"/>
      <c r="C335" s="90" t="n"/>
      <c r="D335" s="90" t="n"/>
      <c r="E335" s="90" t="n"/>
      <c r="F335" s="90" t="n"/>
      <c r="G335" s="90" t="n"/>
      <c r="H335" s="90" t="n"/>
      <c r="I335" s="90" t="n"/>
      <c r="J335" s="90" t="n"/>
      <c r="K335" s="90" t="n"/>
      <c r="L335" s="90" t="n"/>
      <c r="M335" s="90" t="n"/>
      <c r="N335" s="90" t="n"/>
      <c r="O335" s="90" t="n"/>
      <c r="P335" s="90" t="n"/>
      <c r="Q335" s="90" t="n"/>
      <c r="R335" s="90" t="n"/>
      <c r="S335" s="90" t="n"/>
      <c r="T335" s="90" t="n"/>
      <c r="U335" s="90" t="n"/>
      <c r="V335" s="90" t="n"/>
      <c r="W335" s="90" t="n"/>
      <c r="X335" s="90" t="n"/>
      <c r="Y335" s="90" t="n"/>
      <c r="Z335" s="90" t="n"/>
    </row>
    <row r="336">
      <c r="A336" s="90" t="n"/>
      <c r="B336" s="90" t="n"/>
      <c r="C336" s="90" t="n"/>
      <c r="D336" s="90" t="n"/>
      <c r="E336" s="90" t="n"/>
      <c r="F336" s="90" t="n"/>
      <c r="G336" s="90" t="n"/>
      <c r="H336" s="90" t="n"/>
      <c r="I336" s="90" t="n"/>
      <c r="J336" s="90" t="n"/>
      <c r="K336" s="90" t="n"/>
      <c r="L336" s="90" t="n"/>
      <c r="M336" s="90" t="n"/>
      <c r="N336" s="90" t="n"/>
      <c r="O336" s="90" t="n"/>
      <c r="P336" s="90" t="n"/>
      <c r="Q336" s="90" t="n"/>
      <c r="R336" s="90" t="n"/>
      <c r="S336" s="90" t="n"/>
      <c r="T336" s="90" t="n"/>
      <c r="U336" s="90" t="n"/>
      <c r="V336" s="90" t="n"/>
      <c r="W336" s="90" t="n"/>
      <c r="X336" s="90" t="n"/>
      <c r="Y336" s="90" t="n"/>
      <c r="Z336" s="90" t="n"/>
    </row>
    <row r="337">
      <c r="A337" s="90" t="n"/>
      <c r="B337" s="90" t="n"/>
      <c r="C337" s="90" t="n"/>
      <c r="D337" s="90" t="n"/>
      <c r="E337" s="90" t="n"/>
      <c r="F337" s="90" t="n"/>
      <c r="G337" s="90" t="n"/>
      <c r="H337" s="90" t="n"/>
      <c r="I337" s="90" t="n"/>
      <c r="J337" s="90" t="n"/>
      <c r="K337" s="90" t="n"/>
      <c r="L337" s="90" t="n"/>
      <c r="M337" s="90" t="n"/>
      <c r="N337" s="90" t="n"/>
      <c r="O337" s="90" t="n"/>
      <c r="P337" s="90" t="n"/>
      <c r="Q337" s="90" t="n"/>
      <c r="R337" s="90" t="n"/>
      <c r="S337" s="90" t="n"/>
      <c r="T337" s="90" t="n"/>
      <c r="U337" s="90" t="n"/>
      <c r="V337" s="90" t="n"/>
      <c r="W337" s="90" t="n"/>
      <c r="X337" s="90" t="n"/>
      <c r="Y337" s="90" t="n"/>
      <c r="Z337" s="90" t="n"/>
    </row>
    <row r="338">
      <c r="A338" s="90" t="n"/>
      <c r="B338" s="90" t="n"/>
      <c r="C338" s="90" t="n"/>
      <c r="D338" s="90" t="n"/>
      <c r="E338" s="90" t="n"/>
      <c r="F338" s="90" t="n"/>
      <c r="G338" s="90" t="n"/>
      <c r="H338" s="90" t="n"/>
      <c r="I338" s="90" t="n"/>
      <c r="J338" s="90" t="n"/>
      <c r="K338" s="90" t="n"/>
      <c r="L338" s="90" t="n"/>
      <c r="M338" s="90" t="n"/>
      <c r="N338" s="90" t="n"/>
      <c r="O338" s="90" t="n"/>
      <c r="P338" s="90" t="n"/>
      <c r="Q338" s="90" t="n"/>
      <c r="R338" s="90" t="n"/>
      <c r="S338" s="90" t="n"/>
      <c r="T338" s="90" t="n"/>
      <c r="U338" s="90" t="n"/>
      <c r="V338" s="90" t="n"/>
      <c r="W338" s="90" t="n"/>
      <c r="X338" s="90" t="n"/>
      <c r="Y338" s="90" t="n"/>
      <c r="Z338" s="90" t="n"/>
    </row>
    <row r="339">
      <c r="A339" s="90" t="n"/>
      <c r="B339" s="90" t="n"/>
      <c r="C339" s="90" t="n"/>
      <c r="D339" s="90" t="n"/>
      <c r="E339" s="90" t="n"/>
      <c r="F339" s="90" t="n"/>
      <c r="G339" s="90" t="n"/>
      <c r="H339" s="90" t="n"/>
      <c r="I339" s="90" t="n"/>
      <c r="J339" s="90" t="n"/>
      <c r="K339" s="90" t="n"/>
      <c r="L339" s="90" t="n"/>
      <c r="M339" s="90" t="n"/>
      <c r="N339" s="90" t="n"/>
      <c r="O339" s="90" t="n"/>
      <c r="P339" s="90" t="n"/>
      <c r="Q339" s="90" t="n"/>
      <c r="R339" s="90" t="n"/>
      <c r="S339" s="90" t="n"/>
      <c r="T339" s="90" t="n"/>
      <c r="U339" s="90" t="n"/>
      <c r="V339" s="90" t="n"/>
      <c r="W339" s="90" t="n"/>
      <c r="X339" s="90" t="n"/>
      <c r="Y339" s="90" t="n"/>
      <c r="Z339" s="90" t="n"/>
    </row>
    <row r="340">
      <c r="A340" s="90" t="n"/>
      <c r="B340" s="90" t="n"/>
      <c r="C340" s="90" t="n"/>
      <c r="D340" s="90" t="n"/>
      <c r="E340" s="90" t="n"/>
      <c r="F340" s="90" t="n"/>
      <c r="G340" s="90" t="n"/>
      <c r="H340" s="90" t="n"/>
      <c r="I340" s="90" t="n"/>
      <c r="J340" s="90" t="n"/>
      <c r="K340" s="90" t="n"/>
      <c r="L340" s="90" t="n"/>
      <c r="M340" s="90" t="n"/>
      <c r="N340" s="90" t="n"/>
      <c r="O340" s="90" t="n"/>
      <c r="P340" s="90" t="n"/>
      <c r="Q340" s="90" t="n"/>
      <c r="R340" s="90" t="n"/>
      <c r="S340" s="90" t="n"/>
      <c r="T340" s="90" t="n"/>
      <c r="U340" s="90" t="n"/>
      <c r="V340" s="90" t="n"/>
      <c r="W340" s="90" t="n"/>
      <c r="X340" s="90" t="n"/>
      <c r="Y340" s="90" t="n"/>
      <c r="Z340" s="90" t="n"/>
    </row>
    <row r="341">
      <c r="A341" s="90" t="n"/>
      <c r="B341" s="90" t="n"/>
      <c r="C341" s="90" t="n"/>
      <c r="D341" s="90" t="n"/>
      <c r="E341" s="90" t="n"/>
      <c r="F341" s="90" t="n"/>
      <c r="G341" s="90" t="n"/>
      <c r="H341" s="90" t="n"/>
      <c r="I341" s="90" t="n"/>
      <c r="J341" s="90" t="n"/>
      <c r="K341" s="90" t="n"/>
      <c r="L341" s="90" t="n"/>
      <c r="M341" s="90" t="n"/>
      <c r="N341" s="90" t="n"/>
      <c r="O341" s="90" t="n"/>
      <c r="P341" s="90" t="n"/>
      <c r="Q341" s="90" t="n"/>
      <c r="R341" s="90" t="n"/>
      <c r="S341" s="90" t="n"/>
      <c r="T341" s="90" t="n"/>
      <c r="U341" s="90" t="n"/>
      <c r="V341" s="90" t="n"/>
      <c r="W341" s="90" t="n"/>
      <c r="X341" s="90" t="n"/>
      <c r="Y341" s="90" t="n"/>
      <c r="Z341" s="90" t="n"/>
    </row>
    <row r="342">
      <c r="A342" s="90" t="n"/>
      <c r="B342" s="90" t="n"/>
      <c r="C342" s="90" t="n"/>
      <c r="D342" s="90" t="n"/>
      <c r="E342" s="90" t="n"/>
      <c r="F342" s="90" t="n"/>
      <c r="G342" s="90" t="n"/>
      <c r="H342" s="90" t="n"/>
      <c r="I342" s="90" t="n"/>
      <c r="J342" s="90" t="n"/>
      <c r="K342" s="90" t="n"/>
      <c r="L342" s="90" t="n"/>
      <c r="M342" s="90" t="n"/>
      <c r="N342" s="90" t="n"/>
      <c r="O342" s="90" t="n"/>
      <c r="P342" s="90" t="n"/>
      <c r="Q342" s="90" t="n"/>
      <c r="R342" s="90" t="n"/>
      <c r="S342" s="90" t="n"/>
      <c r="T342" s="90" t="n"/>
      <c r="U342" s="90" t="n"/>
      <c r="V342" s="90" t="n"/>
      <c r="W342" s="90" t="n"/>
      <c r="X342" s="90" t="n"/>
      <c r="Y342" s="90" t="n"/>
      <c r="Z342" s="90" t="n"/>
    </row>
    <row r="343">
      <c r="A343" s="90" t="n"/>
      <c r="B343" s="90" t="n"/>
      <c r="C343" s="90" t="n"/>
      <c r="D343" s="90" t="n"/>
      <c r="E343" s="90" t="n"/>
      <c r="F343" s="90" t="n"/>
      <c r="G343" s="90" t="n"/>
      <c r="H343" s="90" t="n"/>
      <c r="I343" s="90" t="n"/>
      <c r="J343" s="90" t="n"/>
      <c r="K343" s="90" t="n"/>
      <c r="L343" s="90" t="n"/>
      <c r="M343" s="90" t="n"/>
      <c r="N343" s="90" t="n"/>
      <c r="O343" s="90" t="n"/>
      <c r="P343" s="90" t="n"/>
      <c r="Q343" s="90" t="n"/>
      <c r="R343" s="90" t="n"/>
      <c r="S343" s="90" t="n"/>
      <c r="T343" s="90" t="n"/>
      <c r="U343" s="90" t="n"/>
      <c r="V343" s="90" t="n"/>
      <c r="W343" s="90" t="n"/>
      <c r="X343" s="90" t="n"/>
      <c r="Y343" s="90" t="n"/>
      <c r="Z343" s="90" t="n"/>
    </row>
    <row r="344">
      <c r="A344" s="90" t="n"/>
      <c r="B344" s="90" t="n"/>
      <c r="C344" s="90" t="n"/>
      <c r="D344" s="90" t="n"/>
      <c r="E344" s="90" t="n"/>
      <c r="F344" s="90" t="n"/>
      <c r="G344" s="90" t="n"/>
      <c r="H344" s="90" t="n"/>
      <c r="I344" s="90" t="n"/>
      <c r="J344" s="90" t="n"/>
      <c r="K344" s="90" t="n"/>
      <c r="L344" s="90" t="n"/>
      <c r="M344" s="90" t="n"/>
      <c r="N344" s="90" t="n"/>
      <c r="O344" s="90" t="n"/>
      <c r="P344" s="90" t="n"/>
      <c r="Q344" s="90" t="n"/>
      <c r="R344" s="90" t="n"/>
      <c r="S344" s="90" t="n"/>
      <c r="T344" s="90" t="n"/>
      <c r="U344" s="90" t="n"/>
      <c r="V344" s="90" t="n"/>
      <c r="W344" s="90" t="n"/>
      <c r="X344" s="90" t="n"/>
      <c r="Y344" s="90" t="n"/>
      <c r="Z344" s="90" t="n"/>
    </row>
    <row r="345">
      <c r="A345" s="90" t="n"/>
      <c r="B345" s="90" t="n"/>
      <c r="C345" s="90" t="n"/>
      <c r="D345" s="90" t="n"/>
      <c r="E345" s="90" t="n"/>
      <c r="F345" s="90" t="n"/>
      <c r="G345" s="90" t="n"/>
      <c r="H345" s="90" t="n"/>
      <c r="I345" s="90" t="n"/>
      <c r="J345" s="90" t="n"/>
      <c r="K345" s="90" t="n"/>
      <c r="L345" s="90" t="n"/>
      <c r="M345" s="90" t="n"/>
      <c r="N345" s="90" t="n"/>
      <c r="O345" s="90" t="n"/>
      <c r="P345" s="90" t="n"/>
      <c r="Q345" s="90" t="n"/>
      <c r="R345" s="90" t="n"/>
      <c r="S345" s="90" t="n"/>
      <c r="T345" s="90" t="n"/>
      <c r="U345" s="90" t="n"/>
      <c r="V345" s="90" t="n"/>
      <c r="W345" s="90" t="n"/>
      <c r="X345" s="90" t="n"/>
      <c r="Y345" s="90" t="n"/>
      <c r="Z345" s="90" t="n"/>
    </row>
    <row r="346">
      <c r="A346" s="90" t="n"/>
      <c r="B346" s="90" t="n"/>
      <c r="C346" s="90" t="n"/>
      <c r="D346" s="90" t="n"/>
      <c r="E346" s="90" t="n"/>
      <c r="F346" s="90" t="n"/>
      <c r="G346" s="90" t="n"/>
      <c r="H346" s="90" t="n"/>
      <c r="I346" s="90" t="n"/>
      <c r="J346" s="90" t="n"/>
      <c r="K346" s="90" t="n"/>
      <c r="L346" s="90" t="n"/>
      <c r="M346" s="90" t="n"/>
      <c r="N346" s="90" t="n"/>
      <c r="O346" s="90" t="n"/>
      <c r="P346" s="90" t="n"/>
      <c r="Q346" s="90" t="n"/>
      <c r="R346" s="90" t="n"/>
      <c r="S346" s="90" t="n"/>
      <c r="T346" s="90" t="n"/>
      <c r="U346" s="90" t="n"/>
      <c r="V346" s="90" t="n"/>
      <c r="W346" s="90" t="n"/>
      <c r="X346" s="90" t="n"/>
      <c r="Y346" s="90" t="n"/>
      <c r="Z346" s="90" t="n"/>
    </row>
    <row r="347">
      <c r="A347" s="90" t="n"/>
      <c r="B347" s="90" t="n"/>
      <c r="C347" s="90" t="n"/>
      <c r="D347" s="90" t="n"/>
      <c r="E347" s="90" t="n"/>
      <c r="F347" s="90" t="n"/>
      <c r="G347" s="90" t="n"/>
      <c r="H347" s="90" t="n"/>
      <c r="I347" s="90" t="n"/>
      <c r="J347" s="90" t="n"/>
      <c r="K347" s="90" t="n"/>
      <c r="L347" s="90" t="n"/>
      <c r="M347" s="90" t="n"/>
      <c r="N347" s="90" t="n"/>
      <c r="O347" s="90" t="n"/>
      <c r="P347" s="90" t="n"/>
      <c r="Q347" s="90" t="n"/>
      <c r="R347" s="90" t="n"/>
      <c r="S347" s="90" t="n"/>
      <c r="T347" s="90" t="n"/>
      <c r="U347" s="90" t="n"/>
      <c r="V347" s="90" t="n"/>
      <c r="W347" s="90" t="n"/>
      <c r="X347" s="90" t="n"/>
      <c r="Y347" s="90" t="n"/>
      <c r="Z347" s="90" t="n"/>
    </row>
    <row r="348">
      <c r="A348" s="90" t="n"/>
      <c r="B348" s="90" t="n"/>
      <c r="C348" s="90" t="n"/>
      <c r="D348" s="90" t="n"/>
      <c r="E348" s="90" t="n"/>
      <c r="F348" s="90" t="n"/>
      <c r="G348" s="90" t="n"/>
      <c r="H348" s="90" t="n"/>
      <c r="I348" s="90" t="n"/>
      <c r="J348" s="90" t="n"/>
      <c r="K348" s="90" t="n"/>
      <c r="L348" s="90" t="n"/>
      <c r="M348" s="90" t="n"/>
      <c r="N348" s="90" t="n"/>
      <c r="O348" s="90" t="n"/>
      <c r="P348" s="90" t="n"/>
      <c r="Q348" s="90" t="n"/>
      <c r="R348" s="90" t="n"/>
      <c r="S348" s="90" t="n"/>
      <c r="T348" s="90" t="n"/>
      <c r="U348" s="90" t="n"/>
      <c r="V348" s="90" t="n"/>
      <c r="W348" s="90" t="n"/>
      <c r="X348" s="90" t="n"/>
      <c r="Y348" s="90" t="n"/>
      <c r="Z348" s="90" t="n"/>
    </row>
    <row r="349">
      <c r="A349" s="90" t="n"/>
      <c r="B349" s="90" t="n"/>
      <c r="C349" s="90" t="n"/>
      <c r="D349" s="90" t="n"/>
      <c r="E349" s="90" t="n"/>
      <c r="F349" s="90" t="n"/>
      <c r="G349" s="90" t="n"/>
      <c r="H349" s="90" t="n"/>
      <c r="I349" s="90" t="n"/>
      <c r="J349" s="90" t="n"/>
      <c r="K349" s="90" t="n"/>
      <c r="L349" s="90" t="n"/>
      <c r="M349" s="90" t="n"/>
      <c r="N349" s="90" t="n"/>
      <c r="O349" s="90" t="n"/>
      <c r="P349" s="90" t="n"/>
      <c r="Q349" s="90" t="n"/>
      <c r="R349" s="90" t="n"/>
      <c r="S349" s="90" t="n"/>
      <c r="T349" s="90" t="n"/>
      <c r="U349" s="90" t="n"/>
      <c r="V349" s="90" t="n"/>
      <c r="W349" s="90" t="n"/>
      <c r="X349" s="90" t="n"/>
      <c r="Y349" s="90" t="n"/>
      <c r="Z349" s="90" t="n"/>
    </row>
    <row r="350">
      <c r="A350" s="90" t="n"/>
      <c r="B350" s="90" t="n"/>
      <c r="C350" s="90" t="n"/>
      <c r="D350" s="90" t="n"/>
      <c r="E350" s="90" t="n"/>
      <c r="F350" s="90" t="n"/>
      <c r="G350" s="90" t="n"/>
      <c r="H350" s="90" t="n"/>
      <c r="I350" s="90" t="n"/>
      <c r="J350" s="90" t="n"/>
      <c r="K350" s="90" t="n"/>
      <c r="L350" s="90" t="n"/>
      <c r="M350" s="90" t="n"/>
      <c r="N350" s="90" t="n"/>
      <c r="O350" s="90" t="n"/>
      <c r="P350" s="90" t="n"/>
      <c r="Q350" s="90" t="n"/>
      <c r="R350" s="90" t="n"/>
      <c r="S350" s="90" t="n"/>
      <c r="T350" s="90" t="n"/>
      <c r="U350" s="90" t="n"/>
      <c r="V350" s="90" t="n"/>
      <c r="W350" s="90" t="n"/>
      <c r="X350" s="90" t="n"/>
      <c r="Y350" s="90" t="n"/>
      <c r="Z350" s="90" t="n"/>
    </row>
    <row r="351">
      <c r="A351" s="90" t="n"/>
      <c r="B351" s="90" t="n"/>
      <c r="C351" s="90" t="n"/>
      <c r="D351" s="90" t="n"/>
      <c r="E351" s="90" t="n"/>
      <c r="F351" s="90" t="n"/>
      <c r="G351" s="90" t="n"/>
      <c r="H351" s="90" t="n"/>
      <c r="I351" s="90" t="n"/>
      <c r="J351" s="90" t="n"/>
      <c r="K351" s="90" t="n"/>
      <c r="L351" s="90" t="n"/>
      <c r="M351" s="90" t="n"/>
      <c r="N351" s="90" t="n"/>
      <c r="O351" s="90" t="n"/>
      <c r="P351" s="90" t="n"/>
      <c r="Q351" s="90" t="n"/>
      <c r="R351" s="90" t="n"/>
      <c r="S351" s="90" t="n"/>
      <c r="T351" s="90" t="n"/>
      <c r="U351" s="90" t="n"/>
      <c r="V351" s="90" t="n"/>
      <c r="W351" s="90" t="n"/>
      <c r="X351" s="90" t="n"/>
      <c r="Y351" s="90" t="n"/>
      <c r="Z351" s="90" t="n"/>
    </row>
    <row r="352">
      <c r="A352" s="90" t="n"/>
      <c r="B352" s="90" t="n"/>
      <c r="C352" s="90" t="n"/>
      <c r="D352" s="90" t="n"/>
      <c r="E352" s="90" t="n"/>
      <c r="F352" s="90" t="n"/>
      <c r="G352" s="90" t="n"/>
      <c r="H352" s="90" t="n"/>
      <c r="I352" s="90" t="n"/>
      <c r="J352" s="90" t="n"/>
      <c r="K352" s="90" t="n"/>
      <c r="L352" s="90" t="n"/>
      <c r="M352" s="90" t="n"/>
      <c r="N352" s="90" t="n"/>
      <c r="O352" s="90" t="n"/>
      <c r="P352" s="90" t="n"/>
      <c r="Q352" s="90" t="n"/>
      <c r="R352" s="90" t="n"/>
      <c r="S352" s="90" t="n"/>
      <c r="T352" s="90" t="n"/>
      <c r="U352" s="90" t="n"/>
      <c r="V352" s="90" t="n"/>
      <c r="W352" s="90" t="n"/>
      <c r="X352" s="90" t="n"/>
      <c r="Y352" s="90" t="n"/>
      <c r="Z352" s="90" t="n"/>
    </row>
    <row r="353">
      <c r="A353" s="90" t="n"/>
      <c r="B353" s="90" t="n"/>
      <c r="C353" s="90" t="n"/>
      <c r="D353" s="90" t="n"/>
      <c r="E353" s="90" t="n"/>
      <c r="F353" s="90" t="n"/>
      <c r="G353" s="90" t="n"/>
      <c r="H353" s="90" t="n"/>
      <c r="I353" s="90" t="n"/>
      <c r="J353" s="90" t="n"/>
      <c r="K353" s="90" t="n"/>
      <c r="L353" s="90" t="n"/>
      <c r="M353" s="90" t="n"/>
      <c r="N353" s="90" t="n"/>
      <c r="O353" s="90" t="n"/>
      <c r="P353" s="90" t="n"/>
      <c r="Q353" s="90" t="n"/>
      <c r="R353" s="90" t="n"/>
      <c r="S353" s="90" t="n"/>
      <c r="T353" s="90" t="n"/>
      <c r="U353" s="90" t="n"/>
      <c r="V353" s="90" t="n"/>
      <c r="W353" s="90" t="n"/>
      <c r="X353" s="90" t="n"/>
      <c r="Y353" s="90" t="n"/>
      <c r="Z353" s="90" t="n"/>
    </row>
    <row r="354">
      <c r="A354" s="90" t="n"/>
      <c r="B354" s="90" t="n"/>
      <c r="C354" s="90" t="n"/>
      <c r="D354" s="90" t="n"/>
      <c r="E354" s="90" t="n"/>
      <c r="F354" s="90" t="n"/>
      <c r="G354" s="90" t="n"/>
      <c r="H354" s="90" t="n"/>
      <c r="I354" s="90" t="n"/>
      <c r="J354" s="90" t="n"/>
      <c r="K354" s="90" t="n"/>
      <c r="L354" s="90" t="n"/>
      <c r="M354" s="90" t="n"/>
      <c r="N354" s="90" t="n"/>
      <c r="O354" s="90" t="n"/>
      <c r="P354" s="90" t="n"/>
      <c r="Q354" s="90" t="n"/>
      <c r="R354" s="90" t="n"/>
      <c r="S354" s="90" t="n"/>
      <c r="T354" s="90" t="n"/>
      <c r="U354" s="90" t="n"/>
      <c r="V354" s="90" t="n"/>
      <c r="W354" s="90" t="n"/>
      <c r="X354" s="90" t="n"/>
      <c r="Y354" s="90" t="n"/>
      <c r="Z354" s="90" t="n"/>
    </row>
    <row r="355">
      <c r="A355" s="90" t="n"/>
      <c r="B355" s="90" t="n"/>
      <c r="C355" s="90" t="n"/>
      <c r="D355" s="90" t="n"/>
      <c r="E355" s="90" t="n"/>
      <c r="F355" s="90" t="n"/>
      <c r="G355" s="90" t="n"/>
      <c r="H355" s="90" t="n"/>
      <c r="I355" s="90" t="n"/>
      <c r="J355" s="90" t="n"/>
      <c r="K355" s="90" t="n"/>
      <c r="L355" s="90" t="n"/>
      <c r="M355" s="90" t="n"/>
      <c r="N355" s="90" t="n"/>
      <c r="O355" s="90" t="n"/>
      <c r="P355" s="90" t="n"/>
      <c r="Q355" s="90" t="n"/>
      <c r="R355" s="90" t="n"/>
      <c r="S355" s="90" t="n"/>
      <c r="T355" s="90" t="n"/>
      <c r="U355" s="90" t="n"/>
      <c r="V355" s="90" t="n"/>
      <c r="W355" s="90" t="n"/>
      <c r="X355" s="90" t="n"/>
      <c r="Y355" s="90" t="n"/>
      <c r="Z355" s="90" t="n"/>
    </row>
    <row r="356">
      <c r="A356" s="90" t="n"/>
      <c r="B356" s="90" t="n"/>
      <c r="C356" s="90" t="n"/>
      <c r="D356" s="90" t="n"/>
      <c r="E356" s="90" t="n"/>
      <c r="F356" s="90" t="n"/>
      <c r="G356" s="90" t="n"/>
      <c r="H356" s="90" t="n"/>
      <c r="I356" s="90" t="n"/>
      <c r="J356" s="90" t="n"/>
      <c r="K356" s="90" t="n"/>
      <c r="L356" s="90" t="n"/>
      <c r="M356" s="90" t="n"/>
      <c r="N356" s="90" t="n"/>
      <c r="O356" s="90" t="n"/>
      <c r="P356" s="90" t="n"/>
      <c r="Q356" s="90" t="n"/>
      <c r="R356" s="90" t="n"/>
      <c r="S356" s="90" t="n"/>
      <c r="T356" s="90" t="n"/>
      <c r="U356" s="90" t="n"/>
      <c r="V356" s="90" t="n"/>
      <c r="W356" s="90" t="n"/>
      <c r="X356" s="90" t="n"/>
      <c r="Y356" s="90" t="n"/>
      <c r="Z356" s="90" t="n"/>
    </row>
    <row r="357">
      <c r="A357" s="90" t="n"/>
      <c r="B357" s="90" t="n"/>
      <c r="C357" s="90" t="n"/>
      <c r="D357" s="90" t="n"/>
      <c r="E357" s="90" t="n"/>
      <c r="F357" s="90" t="n"/>
      <c r="G357" s="90" t="n"/>
      <c r="H357" s="90" t="n"/>
      <c r="I357" s="90" t="n"/>
      <c r="J357" s="90" t="n"/>
      <c r="K357" s="90" t="n"/>
      <c r="L357" s="90" t="n"/>
      <c r="M357" s="90" t="n"/>
      <c r="N357" s="90" t="n"/>
      <c r="O357" s="90" t="n"/>
      <c r="P357" s="90" t="n"/>
      <c r="Q357" s="90" t="n"/>
      <c r="R357" s="90" t="n"/>
      <c r="S357" s="90" t="n"/>
      <c r="T357" s="90" t="n"/>
      <c r="U357" s="90" t="n"/>
      <c r="V357" s="90" t="n"/>
      <c r="W357" s="90" t="n"/>
      <c r="X357" s="90" t="n"/>
      <c r="Y357" s="90" t="n"/>
      <c r="Z357" s="90" t="n"/>
    </row>
    <row r="358">
      <c r="A358" s="90" t="n"/>
      <c r="B358" s="90" t="n"/>
      <c r="C358" s="90" t="n"/>
      <c r="D358" s="90" t="n"/>
      <c r="E358" s="90" t="n"/>
      <c r="F358" s="90" t="n"/>
      <c r="G358" s="90" t="n"/>
      <c r="H358" s="90" t="n"/>
      <c r="I358" s="90" t="n"/>
      <c r="J358" s="90" t="n"/>
      <c r="K358" s="90" t="n"/>
      <c r="L358" s="90" t="n"/>
      <c r="M358" s="90" t="n"/>
      <c r="N358" s="90" t="n"/>
      <c r="O358" s="90" t="n"/>
      <c r="P358" s="90" t="n"/>
      <c r="Q358" s="90" t="n"/>
      <c r="R358" s="90" t="n"/>
      <c r="S358" s="90" t="n"/>
      <c r="T358" s="90" t="n"/>
      <c r="U358" s="90" t="n"/>
      <c r="V358" s="90" t="n"/>
      <c r="W358" s="90" t="n"/>
      <c r="X358" s="90" t="n"/>
      <c r="Y358" s="90" t="n"/>
      <c r="Z358" s="90" t="n"/>
    </row>
    <row r="359">
      <c r="A359" s="90" t="n"/>
      <c r="B359" s="90" t="n"/>
      <c r="C359" s="90" t="n"/>
      <c r="D359" s="90" t="n"/>
      <c r="E359" s="90" t="n"/>
      <c r="F359" s="90" t="n"/>
      <c r="G359" s="90" t="n"/>
      <c r="H359" s="90" t="n"/>
      <c r="I359" s="90" t="n"/>
      <c r="J359" s="90" t="n"/>
      <c r="K359" s="90" t="n"/>
      <c r="L359" s="90" t="n"/>
      <c r="M359" s="90" t="n"/>
      <c r="N359" s="90" t="n"/>
      <c r="O359" s="90" t="n"/>
      <c r="P359" s="90" t="n"/>
      <c r="Q359" s="90" t="n"/>
      <c r="R359" s="90" t="n"/>
      <c r="S359" s="90" t="n"/>
      <c r="T359" s="90" t="n"/>
      <c r="U359" s="90" t="n"/>
      <c r="V359" s="90" t="n"/>
      <c r="W359" s="90" t="n"/>
      <c r="X359" s="90" t="n"/>
      <c r="Y359" s="90" t="n"/>
      <c r="Z359" s="90" t="n"/>
    </row>
    <row r="360">
      <c r="A360" s="90" t="n"/>
      <c r="B360" s="90" t="n"/>
      <c r="C360" s="90" t="n"/>
      <c r="D360" s="90" t="n"/>
      <c r="E360" s="90" t="n"/>
      <c r="F360" s="90" t="n"/>
      <c r="G360" s="90" t="n"/>
      <c r="H360" s="90" t="n"/>
      <c r="I360" s="90" t="n"/>
      <c r="J360" s="90" t="n"/>
      <c r="K360" s="90" t="n"/>
      <c r="L360" s="90" t="n"/>
      <c r="M360" s="90" t="n"/>
      <c r="N360" s="90" t="n"/>
      <c r="O360" s="90" t="n"/>
      <c r="P360" s="90" t="n"/>
      <c r="Q360" s="90" t="n"/>
      <c r="R360" s="90" t="n"/>
      <c r="S360" s="90" t="n"/>
      <c r="T360" s="90" t="n"/>
      <c r="U360" s="90" t="n"/>
      <c r="V360" s="90" t="n"/>
      <c r="W360" s="90" t="n"/>
      <c r="X360" s="90" t="n"/>
      <c r="Y360" s="90" t="n"/>
      <c r="Z360" s="90" t="n"/>
    </row>
    <row r="361">
      <c r="A361" s="90" t="n"/>
      <c r="B361" s="90" t="n"/>
      <c r="C361" s="90" t="n"/>
      <c r="D361" s="90" t="n"/>
      <c r="E361" s="90" t="n"/>
      <c r="F361" s="90" t="n"/>
      <c r="G361" s="90" t="n"/>
      <c r="H361" s="90" t="n"/>
      <c r="I361" s="90" t="n"/>
      <c r="J361" s="90" t="n"/>
      <c r="K361" s="90" t="n"/>
      <c r="L361" s="90" t="n"/>
      <c r="M361" s="90" t="n"/>
      <c r="N361" s="90" t="n"/>
      <c r="O361" s="90" t="n"/>
      <c r="P361" s="90" t="n"/>
      <c r="Q361" s="90" t="n"/>
      <c r="R361" s="90" t="n"/>
      <c r="S361" s="90" t="n"/>
      <c r="T361" s="90" t="n"/>
      <c r="U361" s="90" t="n"/>
      <c r="V361" s="90" t="n"/>
      <c r="W361" s="90" t="n"/>
      <c r="X361" s="90" t="n"/>
      <c r="Y361" s="90" t="n"/>
      <c r="Z361" s="90" t="n"/>
    </row>
    <row r="362">
      <c r="A362" s="90" t="n"/>
      <c r="B362" s="90" t="n"/>
      <c r="C362" s="90" t="n"/>
      <c r="D362" s="90" t="n"/>
      <c r="E362" s="90" t="n"/>
      <c r="F362" s="90" t="n"/>
      <c r="G362" s="90" t="n"/>
      <c r="H362" s="90" t="n"/>
      <c r="I362" s="90" t="n"/>
      <c r="J362" s="90" t="n"/>
      <c r="K362" s="90" t="n"/>
      <c r="L362" s="90" t="n"/>
      <c r="M362" s="90" t="n"/>
      <c r="N362" s="90" t="n"/>
      <c r="O362" s="90" t="n"/>
      <c r="P362" s="90" t="n"/>
      <c r="Q362" s="90" t="n"/>
      <c r="R362" s="90" t="n"/>
      <c r="S362" s="90" t="n"/>
      <c r="T362" s="90" t="n"/>
      <c r="U362" s="90" t="n"/>
      <c r="V362" s="90" t="n"/>
      <c r="W362" s="90" t="n"/>
      <c r="X362" s="90" t="n"/>
      <c r="Y362" s="90" t="n"/>
      <c r="Z362" s="90" t="n"/>
    </row>
    <row r="363">
      <c r="A363" s="90" t="n"/>
      <c r="B363" s="90" t="n"/>
      <c r="C363" s="90" t="n"/>
      <c r="D363" s="90" t="n"/>
      <c r="E363" s="90" t="n"/>
      <c r="F363" s="90" t="n"/>
      <c r="G363" s="90" t="n"/>
      <c r="H363" s="90" t="n"/>
      <c r="I363" s="90" t="n"/>
      <c r="J363" s="90" t="n"/>
      <c r="K363" s="90" t="n"/>
      <c r="L363" s="90" t="n"/>
      <c r="M363" s="90" t="n"/>
      <c r="N363" s="90" t="n"/>
      <c r="O363" s="90" t="n"/>
      <c r="P363" s="90" t="n"/>
      <c r="Q363" s="90" t="n"/>
      <c r="R363" s="90" t="n"/>
      <c r="S363" s="90" t="n"/>
      <c r="T363" s="90" t="n"/>
      <c r="U363" s="90" t="n"/>
      <c r="V363" s="90" t="n"/>
      <c r="W363" s="90" t="n"/>
      <c r="X363" s="90" t="n"/>
      <c r="Y363" s="90" t="n"/>
      <c r="Z363" s="90" t="n"/>
    </row>
    <row r="364">
      <c r="A364" s="90" t="n"/>
      <c r="B364" s="90" t="n"/>
      <c r="C364" s="90" t="n"/>
      <c r="D364" s="90" t="n"/>
      <c r="E364" s="90" t="n"/>
      <c r="F364" s="90" t="n"/>
      <c r="G364" s="90" t="n"/>
      <c r="H364" s="90" t="n"/>
      <c r="I364" s="90" t="n"/>
      <c r="J364" s="90" t="n"/>
      <c r="K364" s="90" t="n"/>
      <c r="L364" s="90" t="n"/>
      <c r="M364" s="90" t="n"/>
      <c r="N364" s="90" t="n"/>
      <c r="O364" s="90" t="n"/>
      <c r="P364" s="90" t="n"/>
      <c r="Q364" s="90" t="n"/>
      <c r="R364" s="90" t="n"/>
      <c r="S364" s="90" t="n"/>
      <c r="T364" s="90" t="n"/>
      <c r="U364" s="90" t="n"/>
      <c r="V364" s="90" t="n"/>
      <c r="W364" s="90" t="n"/>
      <c r="X364" s="90" t="n"/>
      <c r="Y364" s="90" t="n"/>
      <c r="Z364" s="90" t="n"/>
    </row>
    <row r="365">
      <c r="A365" s="90" t="n"/>
      <c r="B365" s="90" t="n"/>
      <c r="C365" s="90" t="n"/>
      <c r="D365" s="90" t="n"/>
      <c r="E365" s="90" t="n"/>
      <c r="F365" s="90" t="n"/>
      <c r="G365" s="90" t="n"/>
      <c r="H365" s="90" t="n"/>
      <c r="I365" s="90" t="n"/>
      <c r="J365" s="90" t="n"/>
      <c r="K365" s="90" t="n"/>
      <c r="L365" s="90" t="n"/>
      <c r="M365" s="90" t="n"/>
      <c r="N365" s="90" t="n"/>
      <c r="O365" s="90" t="n"/>
      <c r="P365" s="90" t="n"/>
      <c r="Q365" s="90" t="n"/>
      <c r="R365" s="90" t="n"/>
      <c r="S365" s="90" t="n"/>
      <c r="T365" s="90" t="n"/>
      <c r="U365" s="90" t="n"/>
      <c r="V365" s="90" t="n"/>
      <c r="W365" s="90" t="n"/>
      <c r="X365" s="90" t="n"/>
      <c r="Y365" s="90" t="n"/>
      <c r="Z365" s="90" t="n"/>
    </row>
    <row r="366">
      <c r="A366" s="90" t="n"/>
      <c r="B366" s="90" t="n"/>
      <c r="C366" s="90" t="n"/>
      <c r="D366" s="90" t="n"/>
      <c r="E366" s="90" t="n"/>
      <c r="F366" s="90" t="n"/>
      <c r="G366" s="90" t="n"/>
      <c r="H366" s="90" t="n"/>
      <c r="I366" s="90" t="n"/>
      <c r="J366" s="90" t="n"/>
      <c r="K366" s="90" t="n"/>
      <c r="L366" s="90" t="n"/>
      <c r="M366" s="90" t="n"/>
      <c r="N366" s="90" t="n"/>
      <c r="O366" s="90" t="n"/>
      <c r="P366" s="90" t="n"/>
      <c r="Q366" s="90" t="n"/>
      <c r="R366" s="90" t="n"/>
      <c r="S366" s="90" t="n"/>
      <c r="T366" s="90" t="n"/>
      <c r="U366" s="90" t="n"/>
      <c r="V366" s="90" t="n"/>
      <c r="W366" s="90" t="n"/>
      <c r="X366" s="90" t="n"/>
      <c r="Y366" s="90" t="n"/>
      <c r="Z366" s="90" t="n"/>
    </row>
    <row r="367">
      <c r="A367" s="90" t="n"/>
      <c r="B367" s="90" t="n"/>
      <c r="C367" s="90" t="n"/>
      <c r="D367" s="90" t="n"/>
      <c r="E367" s="90" t="n"/>
      <c r="F367" s="90" t="n"/>
      <c r="G367" s="90" t="n"/>
      <c r="H367" s="90" t="n"/>
      <c r="I367" s="90" t="n"/>
      <c r="J367" s="90" t="n"/>
      <c r="K367" s="90" t="n"/>
      <c r="L367" s="90" t="n"/>
      <c r="M367" s="90" t="n"/>
      <c r="N367" s="90" t="n"/>
      <c r="O367" s="90" t="n"/>
      <c r="P367" s="90" t="n"/>
      <c r="Q367" s="90" t="n"/>
      <c r="R367" s="90" t="n"/>
      <c r="S367" s="90" t="n"/>
      <c r="T367" s="90" t="n"/>
      <c r="U367" s="90" t="n"/>
      <c r="V367" s="90" t="n"/>
      <c r="W367" s="90" t="n"/>
      <c r="X367" s="90" t="n"/>
      <c r="Y367" s="90" t="n"/>
      <c r="Z367" s="90" t="n"/>
    </row>
    <row r="368">
      <c r="A368" s="90" t="n"/>
      <c r="B368" s="90" t="n"/>
      <c r="C368" s="90" t="n"/>
      <c r="D368" s="90" t="n"/>
      <c r="E368" s="90" t="n"/>
      <c r="F368" s="90" t="n"/>
      <c r="G368" s="90" t="n"/>
      <c r="H368" s="90" t="n"/>
      <c r="I368" s="90" t="n"/>
      <c r="J368" s="90" t="n"/>
      <c r="K368" s="90" t="n"/>
      <c r="L368" s="90" t="n"/>
      <c r="M368" s="90" t="n"/>
      <c r="N368" s="90" t="n"/>
      <c r="O368" s="90" t="n"/>
      <c r="P368" s="90" t="n"/>
      <c r="Q368" s="90" t="n"/>
      <c r="R368" s="90" t="n"/>
      <c r="S368" s="90" t="n"/>
      <c r="T368" s="90" t="n"/>
      <c r="U368" s="90" t="n"/>
      <c r="V368" s="90" t="n"/>
      <c r="W368" s="90" t="n"/>
      <c r="X368" s="90" t="n"/>
      <c r="Y368" s="90" t="n"/>
      <c r="Z368" s="90" t="n"/>
    </row>
    <row r="369">
      <c r="A369" s="90" t="n"/>
      <c r="B369" s="90" t="n"/>
      <c r="C369" s="90" t="n"/>
      <c r="D369" s="90" t="n"/>
      <c r="E369" s="90" t="n"/>
      <c r="F369" s="90" t="n"/>
      <c r="G369" s="90" t="n"/>
      <c r="H369" s="90" t="n"/>
      <c r="I369" s="90" t="n"/>
      <c r="J369" s="90" t="n"/>
      <c r="K369" s="90" t="n"/>
      <c r="L369" s="90" t="n"/>
      <c r="M369" s="90" t="n"/>
      <c r="N369" s="90" t="n"/>
      <c r="O369" s="90" t="n"/>
      <c r="P369" s="90" t="n"/>
      <c r="Q369" s="90" t="n"/>
      <c r="R369" s="90" t="n"/>
      <c r="S369" s="90" t="n"/>
      <c r="T369" s="90" t="n"/>
      <c r="U369" s="90" t="n"/>
      <c r="V369" s="90" t="n"/>
      <c r="W369" s="90" t="n"/>
      <c r="X369" s="90" t="n"/>
      <c r="Y369" s="90" t="n"/>
      <c r="Z369" s="90" t="n"/>
    </row>
    <row r="370">
      <c r="A370" s="90" t="n"/>
      <c r="B370" s="90" t="n"/>
      <c r="C370" s="90" t="n"/>
      <c r="D370" s="90" t="n"/>
      <c r="E370" s="90" t="n"/>
      <c r="F370" s="90" t="n"/>
      <c r="G370" s="90" t="n"/>
      <c r="H370" s="90" t="n"/>
      <c r="I370" s="90" t="n"/>
      <c r="J370" s="90" t="n"/>
      <c r="K370" s="90" t="n"/>
      <c r="L370" s="90" t="n"/>
      <c r="M370" s="90" t="n"/>
      <c r="N370" s="90" t="n"/>
      <c r="O370" s="90" t="n"/>
      <c r="P370" s="90" t="n"/>
      <c r="Q370" s="90" t="n"/>
      <c r="R370" s="90" t="n"/>
      <c r="S370" s="90" t="n"/>
      <c r="T370" s="90" t="n"/>
      <c r="U370" s="90" t="n"/>
      <c r="V370" s="90" t="n"/>
      <c r="W370" s="90" t="n"/>
      <c r="X370" s="90" t="n"/>
      <c r="Y370" s="90" t="n"/>
      <c r="Z370" s="90" t="n"/>
    </row>
    <row r="371">
      <c r="A371" s="90" t="n"/>
      <c r="B371" s="90" t="n"/>
      <c r="C371" s="90" t="n"/>
      <c r="D371" s="90" t="n"/>
      <c r="E371" s="90" t="n"/>
      <c r="F371" s="90" t="n"/>
      <c r="G371" s="90" t="n"/>
      <c r="H371" s="90" t="n"/>
      <c r="I371" s="90" t="n"/>
      <c r="J371" s="90" t="n"/>
      <c r="K371" s="90" t="n"/>
      <c r="L371" s="90" t="n"/>
      <c r="M371" s="90" t="n"/>
      <c r="N371" s="90" t="n"/>
      <c r="O371" s="90" t="n"/>
      <c r="P371" s="90" t="n"/>
      <c r="Q371" s="90" t="n"/>
      <c r="R371" s="90" t="n"/>
      <c r="S371" s="90" t="n"/>
      <c r="T371" s="90" t="n"/>
      <c r="U371" s="90" t="n"/>
      <c r="V371" s="90" t="n"/>
      <c r="W371" s="90" t="n"/>
      <c r="X371" s="90" t="n"/>
      <c r="Y371" s="90" t="n"/>
      <c r="Z371" s="90" t="n"/>
    </row>
    <row r="372">
      <c r="A372" s="90" t="n"/>
      <c r="B372" s="90" t="n"/>
      <c r="C372" s="90" t="n"/>
      <c r="D372" s="90" t="n"/>
      <c r="E372" s="90" t="n"/>
      <c r="F372" s="90" t="n"/>
      <c r="G372" s="90" t="n"/>
      <c r="H372" s="90" t="n"/>
      <c r="I372" s="90" t="n"/>
      <c r="J372" s="90" t="n"/>
      <c r="K372" s="90" t="n"/>
      <c r="L372" s="90" t="n"/>
      <c r="M372" s="90" t="n"/>
      <c r="N372" s="90" t="n"/>
      <c r="O372" s="90" t="n"/>
      <c r="P372" s="90" t="n"/>
      <c r="Q372" s="90" t="n"/>
      <c r="R372" s="90" t="n"/>
      <c r="S372" s="90" t="n"/>
      <c r="T372" s="90" t="n"/>
      <c r="U372" s="90" t="n"/>
      <c r="V372" s="90" t="n"/>
      <c r="W372" s="90" t="n"/>
      <c r="X372" s="90" t="n"/>
      <c r="Y372" s="90" t="n"/>
      <c r="Z372" s="90" t="n"/>
    </row>
    <row r="373">
      <c r="A373" s="90" t="n"/>
      <c r="B373" s="90" t="n"/>
      <c r="C373" s="90" t="n"/>
      <c r="D373" s="90" t="n"/>
      <c r="E373" s="90" t="n"/>
      <c r="F373" s="90" t="n"/>
      <c r="G373" s="90" t="n"/>
      <c r="H373" s="90" t="n"/>
      <c r="I373" s="90" t="n"/>
      <c r="J373" s="90" t="n"/>
      <c r="K373" s="90" t="n"/>
      <c r="L373" s="90" t="n"/>
      <c r="M373" s="90" t="n"/>
      <c r="N373" s="90" t="n"/>
      <c r="O373" s="90" t="n"/>
      <c r="P373" s="90" t="n"/>
      <c r="Q373" s="90" t="n"/>
      <c r="R373" s="90" t="n"/>
      <c r="S373" s="90" t="n"/>
      <c r="T373" s="90" t="n"/>
      <c r="U373" s="90" t="n"/>
      <c r="V373" s="90" t="n"/>
      <c r="W373" s="90" t="n"/>
      <c r="X373" s="90" t="n"/>
      <c r="Y373" s="90" t="n"/>
      <c r="Z373" s="90" t="n"/>
    </row>
    <row r="374">
      <c r="A374" s="90" t="n"/>
      <c r="B374" s="90" t="n"/>
      <c r="C374" s="90" t="n"/>
      <c r="D374" s="90" t="n"/>
      <c r="E374" s="90" t="n"/>
      <c r="F374" s="90" t="n"/>
      <c r="G374" s="90" t="n"/>
      <c r="H374" s="90" t="n"/>
      <c r="I374" s="90" t="n"/>
      <c r="J374" s="90" t="n"/>
      <c r="K374" s="90" t="n"/>
      <c r="L374" s="90" t="n"/>
      <c r="M374" s="90" t="n"/>
      <c r="N374" s="90" t="n"/>
      <c r="O374" s="90" t="n"/>
      <c r="P374" s="90" t="n"/>
      <c r="Q374" s="90" t="n"/>
      <c r="R374" s="90" t="n"/>
      <c r="S374" s="90" t="n"/>
      <c r="T374" s="90" t="n"/>
      <c r="U374" s="90" t="n"/>
      <c r="V374" s="90" t="n"/>
      <c r="W374" s="90" t="n"/>
      <c r="X374" s="90" t="n"/>
      <c r="Y374" s="90" t="n"/>
      <c r="Z374" s="90" t="n"/>
    </row>
    <row r="375">
      <c r="A375" s="90" t="n"/>
      <c r="B375" s="90" t="n"/>
      <c r="C375" s="90" t="n"/>
      <c r="D375" s="90" t="n"/>
      <c r="E375" s="90" t="n"/>
      <c r="F375" s="90" t="n"/>
      <c r="G375" s="90" t="n"/>
      <c r="H375" s="90" t="n"/>
      <c r="I375" s="90" t="n"/>
      <c r="J375" s="90" t="n"/>
      <c r="K375" s="90" t="n"/>
      <c r="L375" s="90" t="n"/>
      <c r="M375" s="90" t="n"/>
      <c r="N375" s="90" t="n"/>
      <c r="O375" s="90" t="n"/>
      <c r="P375" s="90" t="n"/>
      <c r="Q375" s="90" t="n"/>
      <c r="R375" s="90" t="n"/>
      <c r="S375" s="90" t="n"/>
      <c r="T375" s="90" t="n"/>
      <c r="U375" s="90" t="n"/>
      <c r="V375" s="90" t="n"/>
      <c r="W375" s="90" t="n"/>
      <c r="X375" s="90" t="n"/>
      <c r="Y375" s="90" t="n"/>
      <c r="Z375" s="90" t="n"/>
    </row>
    <row r="376">
      <c r="A376" s="90" t="n"/>
      <c r="B376" s="90" t="n"/>
      <c r="C376" s="90" t="n"/>
      <c r="D376" s="90" t="n"/>
      <c r="E376" s="90" t="n"/>
      <c r="F376" s="90" t="n"/>
      <c r="G376" s="90" t="n"/>
      <c r="H376" s="90" t="n"/>
      <c r="I376" s="90" t="n"/>
      <c r="J376" s="90" t="n"/>
      <c r="K376" s="90" t="n"/>
      <c r="L376" s="90" t="n"/>
      <c r="M376" s="90" t="n"/>
      <c r="N376" s="90" t="n"/>
      <c r="O376" s="90" t="n"/>
      <c r="P376" s="90" t="n"/>
      <c r="Q376" s="90" t="n"/>
      <c r="R376" s="90" t="n"/>
      <c r="S376" s="90" t="n"/>
      <c r="T376" s="90" t="n"/>
      <c r="U376" s="90" t="n"/>
      <c r="V376" s="90" t="n"/>
      <c r="W376" s="90" t="n"/>
      <c r="X376" s="90" t="n"/>
      <c r="Y376" s="90" t="n"/>
      <c r="Z376" s="90" t="n"/>
    </row>
    <row r="377">
      <c r="A377" s="90" t="n"/>
      <c r="B377" s="90" t="n"/>
      <c r="C377" s="90" t="n"/>
      <c r="D377" s="90" t="n"/>
      <c r="E377" s="90" t="n"/>
      <c r="F377" s="90" t="n"/>
      <c r="G377" s="90" t="n"/>
      <c r="H377" s="90" t="n"/>
      <c r="I377" s="90" t="n"/>
      <c r="J377" s="90" t="n"/>
      <c r="K377" s="90" t="n"/>
      <c r="L377" s="90" t="n"/>
      <c r="M377" s="90" t="n"/>
      <c r="N377" s="90" t="n"/>
      <c r="O377" s="90" t="n"/>
      <c r="P377" s="90" t="n"/>
      <c r="Q377" s="90" t="n"/>
      <c r="R377" s="90" t="n"/>
      <c r="S377" s="90" t="n"/>
      <c r="T377" s="90" t="n"/>
      <c r="U377" s="90" t="n"/>
      <c r="V377" s="90" t="n"/>
      <c r="W377" s="90" t="n"/>
      <c r="X377" s="90" t="n"/>
      <c r="Y377" s="90" t="n"/>
      <c r="Z377" s="90" t="n"/>
    </row>
    <row r="378">
      <c r="A378" s="90" t="n"/>
      <c r="B378" s="90" t="n"/>
      <c r="C378" s="90" t="n"/>
      <c r="D378" s="90" t="n"/>
      <c r="E378" s="90" t="n"/>
      <c r="F378" s="90" t="n"/>
      <c r="G378" s="90" t="n"/>
      <c r="H378" s="90" t="n"/>
      <c r="I378" s="90" t="n"/>
      <c r="J378" s="90" t="n"/>
      <c r="K378" s="90" t="n"/>
      <c r="L378" s="90" t="n"/>
      <c r="M378" s="90" t="n"/>
      <c r="N378" s="90" t="n"/>
      <c r="O378" s="90" t="n"/>
      <c r="P378" s="90" t="n"/>
      <c r="Q378" s="90" t="n"/>
      <c r="R378" s="90" t="n"/>
      <c r="S378" s="90" t="n"/>
      <c r="T378" s="90" t="n"/>
      <c r="U378" s="90" t="n"/>
      <c r="V378" s="90" t="n"/>
      <c r="W378" s="90" t="n"/>
      <c r="X378" s="90" t="n"/>
      <c r="Y378" s="90" t="n"/>
      <c r="Z378" s="90" t="n"/>
    </row>
    <row r="379">
      <c r="A379" s="90" t="n"/>
      <c r="B379" s="90" t="n"/>
      <c r="C379" s="90" t="n"/>
      <c r="D379" s="90" t="n"/>
      <c r="E379" s="90" t="n"/>
      <c r="F379" s="90" t="n"/>
      <c r="G379" s="90" t="n"/>
      <c r="H379" s="90" t="n"/>
      <c r="I379" s="90" t="n"/>
      <c r="J379" s="90" t="n"/>
      <c r="K379" s="90" t="n"/>
      <c r="L379" s="90" t="n"/>
      <c r="M379" s="90" t="n"/>
      <c r="N379" s="90" t="n"/>
      <c r="O379" s="90" t="n"/>
      <c r="P379" s="90" t="n"/>
      <c r="Q379" s="90" t="n"/>
      <c r="R379" s="90" t="n"/>
      <c r="S379" s="90" t="n"/>
      <c r="T379" s="90" t="n"/>
      <c r="U379" s="90" t="n"/>
      <c r="V379" s="90" t="n"/>
      <c r="W379" s="90" t="n"/>
      <c r="X379" s="90" t="n"/>
      <c r="Y379" s="90" t="n"/>
      <c r="Z379" s="90" t="n"/>
    </row>
    <row r="380">
      <c r="A380" s="90" t="n"/>
      <c r="B380" s="90" t="n"/>
      <c r="C380" s="90" t="n"/>
      <c r="D380" s="90" t="n"/>
      <c r="E380" s="90" t="n"/>
      <c r="F380" s="90" t="n"/>
      <c r="G380" s="90" t="n"/>
      <c r="H380" s="90" t="n"/>
      <c r="I380" s="90" t="n"/>
      <c r="J380" s="90" t="n"/>
      <c r="K380" s="90" t="n"/>
      <c r="L380" s="90" t="n"/>
      <c r="M380" s="90" t="n"/>
      <c r="N380" s="90" t="n"/>
      <c r="O380" s="90" t="n"/>
      <c r="P380" s="90" t="n"/>
      <c r="Q380" s="90" t="n"/>
      <c r="R380" s="90" t="n"/>
      <c r="S380" s="90" t="n"/>
      <c r="T380" s="90" t="n"/>
      <c r="U380" s="90" t="n"/>
      <c r="V380" s="90" t="n"/>
      <c r="W380" s="90" t="n"/>
      <c r="X380" s="90" t="n"/>
      <c r="Y380" s="90" t="n"/>
      <c r="Z380" s="90" t="n"/>
    </row>
    <row r="381">
      <c r="A381" s="90" t="n"/>
      <c r="B381" s="90" t="n"/>
      <c r="C381" s="90" t="n"/>
      <c r="D381" s="90" t="n"/>
      <c r="E381" s="90" t="n"/>
      <c r="F381" s="90" t="n"/>
      <c r="G381" s="90" t="n"/>
      <c r="H381" s="90" t="n"/>
      <c r="I381" s="90" t="n"/>
      <c r="J381" s="90" t="n"/>
      <c r="K381" s="90" t="n"/>
      <c r="L381" s="90" t="n"/>
      <c r="M381" s="90" t="n"/>
      <c r="N381" s="90" t="n"/>
      <c r="O381" s="90" t="n"/>
      <c r="P381" s="90" t="n"/>
      <c r="Q381" s="90" t="n"/>
      <c r="R381" s="90" t="n"/>
      <c r="S381" s="90" t="n"/>
      <c r="T381" s="90" t="n"/>
      <c r="U381" s="90" t="n"/>
      <c r="V381" s="90" t="n"/>
      <c r="W381" s="90" t="n"/>
      <c r="X381" s="90" t="n"/>
      <c r="Y381" s="90" t="n"/>
      <c r="Z381" s="90" t="n"/>
    </row>
    <row r="382">
      <c r="A382" s="90" t="n"/>
      <c r="B382" s="90" t="n"/>
      <c r="C382" s="90" t="n"/>
      <c r="D382" s="90" t="n"/>
      <c r="E382" s="90" t="n"/>
      <c r="F382" s="90" t="n"/>
      <c r="G382" s="90" t="n"/>
      <c r="H382" s="90" t="n"/>
      <c r="I382" s="90" t="n"/>
      <c r="J382" s="90" t="n"/>
      <c r="K382" s="90" t="n"/>
      <c r="L382" s="90" t="n"/>
      <c r="M382" s="90" t="n"/>
      <c r="N382" s="90" t="n"/>
      <c r="O382" s="90" t="n"/>
      <c r="P382" s="90" t="n"/>
      <c r="Q382" s="90" t="n"/>
      <c r="R382" s="90" t="n"/>
      <c r="S382" s="90" t="n"/>
      <c r="T382" s="90" t="n"/>
      <c r="U382" s="90" t="n"/>
      <c r="V382" s="90" t="n"/>
      <c r="W382" s="90" t="n"/>
      <c r="X382" s="90" t="n"/>
      <c r="Y382" s="90" t="n"/>
      <c r="Z382" s="90" t="n"/>
    </row>
    <row r="383">
      <c r="A383" s="90" t="n"/>
      <c r="B383" s="90" t="n"/>
      <c r="C383" s="90" t="n"/>
      <c r="D383" s="90" t="n"/>
      <c r="E383" s="90" t="n"/>
      <c r="F383" s="90" t="n"/>
      <c r="G383" s="90" t="n"/>
      <c r="H383" s="90" t="n"/>
      <c r="I383" s="90" t="n"/>
      <c r="J383" s="90" t="n"/>
      <c r="K383" s="90" t="n"/>
      <c r="L383" s="90" t="n"/>
      <c r="M383" s="90" t="n"/>
      <c r="N383" s="90" t="n"/>
      <c r="O383" s="90" t="n"/>
      <c r="P383" s="90" t="n"/>
      <c r="Q383" s="90" t="n"/>
      <c r="R383" s="90" t="n"/>
      <c r="S383" s="90" t="n"/>
      <c r="T383" s="90" t="n"/>
      <c r="U383" s="90" t="n"/>
      <c r="V383" s="90" t="n"/>
      <c r="W383" s="90" t="n"/>
      <c r="X383" s="90" t="n"/>
      <c r="Y383" s="90" t="n"/>
      <c r="Z383" s="90" t="n"/>
    </row>
    <row r="384">
      <c r="A384" s="90" t="n"/>
      <c r="B384" s="90" t="n"/>
      <c r="C384" s="90" t="n"/>
      <c r="D384" s="90" t="n"/>
      <c r="E384" s="90" t="n"/>
      <c r="F384" s="90" t="n"/>
      <c r="G384" s="90" t="n"/>
      <c r="H384" s="90" t="n"/>
      <c r="I384" s="90" t="n"/>
      <c r="J384" s="90" t="n"/>
      <c r="K384" s="90" t="n"/>
      <c r="L384" s="90" t="n"/>
      <c r="M384" s="90" t="n"/>
      <c r="N384" s="90" t="n"/>
      <c r="O384" s="90" t="n"/>
      <c r="P384" s="90" t="n"/>
      <c r="Q384" s="90" t="n"/>
      <c r="R384" s="90" t="n"/>
      <c r="S384" s="90" t="n"/>
      <c r="T384" s="90" t="n"/>
      <c r="U384" s="90" t="n"/>
      <c r="V384" s="90" t="n"/>
      <c r="W384" s="90" t="n"/>
      <c r="X384" s="90" t="n"/>
      <c r="Y384" s="90" t="n"/>
      <c r="Z384" s="90" t="n"/>
    </row>
    <row r="385">
      <c r="A385" s="90" t="n"/>
      <c r="B385" s="90" t="n"/>
      <c r="C385" s="90" t="n"/>
      <c r="D385" s="90" t="n"/>
      <c r="E385" s="90" t="n"/>
      <c r="F385" s="90" t="n"/>
      <c r="G385" s="90" t="n"/>
      <c r="H385" s="90" t="n"/>
      <c r="I385" s="90" t="n"/>
      <c r="J385" s="90" t="n"/>
      <c r="K385" s="90" t="n"/>
      <c r="L385" s="90" t="n"/>
      <c r="M385" s="90" t="n"/>
      <c r="N385" s="90" t="n"/>
      <c r="O385" s="90" t="n"/>
      <c r="P385" s="90" t="n"/>
      <c r="Q385" s="90" t="n"/>
      <c r="R385" s="90" t="n"/>
      <c r="S385" s="90" t="n"/>
      <c r="T385" s="90" t="n"/>
      <c r="U385" s="90" t="n"/>
      <c r="V385" s="90" t="n"/>
      <c r="W385" s="90" t="n"/>
      <c r="X385" s="90" t="n"/>
      <c r="Y385" s="90" t="n"/>
      <c r="Z385" s="90" t="n"/>
    </row>
    <row r="386">
      <c r="A386" s="90" t="n"/>
      <c r="B386" s="90" t="n"/>
      <c r="C386" s="90" t="n"/>
      <c r="D386" s="90" t="n"/>
      <c r="E386" s="90" t="n"/>
      <c r="F386" s="90" t="n"/>
      <c r="G386" s="90" t="n"/>
      <c r="H386" s="90" t="n"/>
      <c r="I386" s="90" t="n"/>
      <c r="J386" s="90" t="n"/>
      <c r="K386" s="90" t="n"/>
      <c r="L386" s="90" t="n"/>
      <c r="M386" s="90" t="n"/>
      <c r="N386" s="90" t="n"/>
      <c r="O386" s="90" t="n"/>
      <c r="P386" s="90" t="n"/>
      <c r="Q386" s="90" t="n"/>
      <c r="R386" s="90" t="n"/>
      <c r="S386" s="90" t="n"/>
      <c r="T386" s="90" t="n"/>
      <c r="U386" s="90" t="n"/>
      <c r="V386" s="90" t="n"/>
      <c r="W386" s="90" t="n"/>
      <c r="X386" s="90" t="n"/>
      <c r="Y386" s="90" t="n"/>
      <c r="Z386" s="90" t="n"/>
    </row>
    <row r="387">
      <c r="A387" s="90" t="n"/>
      <c r="B387" s="90" t="n"/>
      <c r="C387" s="90" t="n"/>
      <c r="D387" s="90" t="n"/>
      <c r="E387" s="90" t="n"/>
      <c r="F387" s="90" t="n"/>
      <c r="G387" s="90" t="n"/>
      <c r="H387" s="90" t="n"/>
      <c r="I387" s="90" t="n"/>
      <c r="J387" s="90" t="n"/>
      <c r="K387" s="90" t="n"/>
      <c r="L387" s="90" t="n"/>
      <c r="M387" s="90" t="n"/>
      <c r="N387" s="90" t="n"/>
      <c r="O387" s="90" t="n"/>
      <c r="P387" s="90" t="n"/>
      <c r="Q387" s="90" t="n"/>
      <c r="R387" s="90" t="n"/>
      <c r="S387" s="90" t="n"/>
      <c r="T387" s="90" t="n"/>
      <c r="U387" s="90" t="n"/>
      <c r="V387" s="90" t="n"/>
      <c r="W387" s="90" t="n"/>
      <c r="X387" s="90" t="n"/>
      <c r="Y387" s="90" t="n"/>
      <c r="Z387" s="90" t="n"/>
    </row>
    <row r="388">
      <c r="A388" s="90" t="n"/>
      <c r="B388" s="90" t="n"/>
      <c r="C388" s="90" t="n"/>
      <c r="D388" s="90" t="n"/>
      <c r="E388" s="90" t="n"/>
      <c r="F388" s="90" t="n"/>
      <c r="G388" s="90" t="n"/>
      <c r="H388" s="90" t="n"/>
      <c r="I388" s="90" t="n"/>
      <c r="J388" s="90" t="n"/>
      <c r="K388" s="90" t="n"/>
      <c r="L388" s="90" t="n"/>
      <c r="M388" s="90" t="n"/>
      <c r="N388" s="90" t="n"/>
      <c r="O388" s="90" t="n"/>
      <c r="P388" s="90" t="n"/>
      <c r="Q388" s="90" t="n"/>
      <c r="R388" s="90" t="n"/>
      <c r="S388" s="90" t="n"/>
      <c r="T388" s="90" t="n"/>
      <c r="U388" s="90" t="n"/>
      <c r="V388" s="90" t="n"/>
      <c r="W388" s="90" t="n"/>
      <c r="X388" s="90" t="n"/>
      <c r="Y388" s="90" t="n"/>
      <c r="Z388" s="90" t="n"/>
    </row>
    <row r="389">
      <c r="A389" s="90" t="n"/>
      <c r="B389" s="90" t="n"/>
      <c r="C389" s="90" t="n"/>
      <c r="D389" s="90" t="n"/>
      <c r="E389" s="90" t="n"/>
      <c r="F389" s="90" t="n"/>
      <c r="G389" s="90" t="n"/>
      <c r="H389" s="90" t="n"/>
      <c r="I389" s="90" t="n"/>
      <c r="J389" s="90" t="n"/>
      <c r="K389" s="90" t="n"/>
      <c r="L389" s="90" t="n"/>
      <c r="M389" s="90" t="n"/>
      <c r="N389" s="90" t="n"/>
      <c r="O389" s="90" t="n"/>
      <c r="P389" s="90" t="n"/>
      <c r="Q389" s="90" t="n"/>
      <c r="R389" s="90" t="n"/>
      <c r="S389" s="90" t="n"/>
      <c r="T389" s="90" t="n"/>
      <c r="U389" s="90" t="n"/>
      <c r="V389" s="90" t="n"/>
      <c r="W389" s="90" t="n"/>
      <c r="X389" s="90" t="n"/>
      <c r="Y389" s="90" t="n"/>
      <c r="Z389" s="90" t="n"/>
    </row>
    <row r="390">
      <c r="A390" s="90" t="n"/>
      <c r="B390" s="90" t="n"/>
      <c r="C390" s="90" t="n"/>
      <c r="D390" s="90" t="n"/>
      <c r="E390" s="90" t="n"/>
      <c r="F390" s="90" t="n"/>
      <c r="G390" s="90" t="n"/>
      <c r="H390" s="90" t="n"/>
      <c r="I390" s="90" t="n"/>
      <c r="J390" s="90" t="n"/>
      <c r="K390" s="90" t="n"/>
      <c r="L390" s="90" t="n"/>
      <c r="M390" s="90" t="n"/>
      <c r="N390" s="90" t="n"/>
      <c r="O390" s="90" t="n"/>
      <c r="P390" s="90" t="n"/>
      <c r="Q390" s="90" t="n"/>
      <c r="R390" s="90" t="n"/>
      <c r="S390" s="90" t="n"/>
      <c r="T390" s="90" t="n"/>
      <c r="U390" s="90" t="n"/>
      <c r="V390" s="90" t="n"/>
      <c r="W390" s="90" t="n"/>
      <c r="X390" s="90" t="n"/>
      <c r="Y390" s="90" t="n"/>
      <c r="Z390" s="90" t="n"/>
    </row>
    <row r="391">
      <c r="A391" s="90" t="n"/>
      <c r="B391" s="90" t="n"/>
      <c r="C391" s="90" t="n"/>
      <c r="D391" s="90" t="n"/>
      <c r="E391" s="90" t="n"/>
      <c r="F391" s="90" t="n"/>
      <c r="G391" s="90" t="n"/>
      <c r="H391" s="90" t="n"/>
      <c r="I391" s="90" t="n"/>
      <c r="J391" s="90" t="n"/>
      <c r="K391" s="90" t="n"/>
      <c r="L391" s="90" t="n"/>
      <c r="M391" s="90" t="n"/>
      <c r="N391" s="90" t="n"/>
      <c r="O391" s="90" t="n"/>
      <c r="P391" s="90" t="n"/>
      <c r="Q391" s="90" t="n"/>
      <c r="R391" s="90" t="n"/>
      <c r="S391" s="90" t="n"/>
      <c r="T391" s="90" t="n"/>
      <c r="U391" s="90" t="n"/>
      <c r="V391" s="90" t="n"/>
      <c r="W391" s="90" t="n"/>
      <c r="X391" s="90" t="n"/>
      <c r="Y391" s="90" t="n"/>
      <c r="Z391" s="90" t="n"/>
    </row>
    <row r="392">
      <c r="A392" s="90" t="n"/>
      <c r="B392" s="90" t="n"/>
      <c r="C392" s="90" t="n"/>
      <c r="D392" s="90" t="n"/>
      <c r="E392" s="90" t="n"/>
      <c r="F392" s="90" t="n"/>
      <c r="G392" s="90" t="n"/>
      <c r="H392" s="90" t="n"/>
      <c r="I392" s="90" t="n"/>
      <c r="J392" s="90" t="n"/>
      <c r="K392" s="90" t="n"/>
      <c r="L392" s="90" t="n"/>
      <c r="M392" s="90" t="n"/>
      <c r="N392" s="90" t="n"/>
      <c r="O392" s="90" t="n"/>
      <c r="P392" s="90" t="n"/>
      <c r="Q392" s="90" t="n"/>
      <c r="R392" s="90" t="n"/>
      <c r="S392" s="90" t="n"/>
      <c r="T392" s="90" t="n"/>
      <c r="U392" s="90" t="n"/>
      <c r="V392" s="90" t="n"/>
      <c r="W392" s="90" t="n"/>
      <c r="X392" s="90" t="n"/>
      <c r="Y392" s="90" t="n"/>
      <c r="Z392" s="90" t="n"/>
    </row>
    <row r="393">
      <c r="A393" s="90" t="n"/>
      <c r="B393" s="90" t="n"/>
      <c r="C393" s="90" t="n"/>
      <c r="D393" s="90" t="n"/>
      <c r="E393" s="90" t="n"/>
      <c r="F393" s="90" t="n"/>
      <c r="G393" s="90" t="n"/>
      <c r="H393" s="90" t="n"/>
      <c r="I393" s="90" t="n"/>
      <c r="J393" s="90" t="n"/>
      <c r="K393" s="90" t="n"/>
      <c r="L393" s="90" t="n"/>
      <c r="M393" s="90" t="n"/>
      <c r="N393" s="90" t="n"/>
      <c r="O393" s="90" t="n"/>
      <c r="P393" s="90" t="n"/>
      <c r="Q393" s="90" t="n"/>
      <c r="R393" s="90" t="n"/>
      <c r="S393" s="90" t="n"/>
      <c r="T393" s="90" t="n"/>
      <c r="U393" s="90" t="n"/>
      <c r="V393" s="90" t="n"/>
      <c r="W393" s="90" t="n"/>
      <c r="X393" s="90" t="n"/>
      <c r="Y393" s="90" t="n"/>
      <c r="Z393" s="90" t="n"/>
    </row>
    <row r="394">
      <c r="A394" s="90" t="n"/>
      <c r="B394" s="90" t="n"/>
      <c r="C394" s="90" t="n"/>
      <c r="D394" s="90" t="n"/>
      <c r="E394" s="90" t="n"/>
      <c r="F394" s="90" t="n"/>
      <c r="G394" s="90" t="n"/>
      <c r="H394" s="90" t="n"/>
      <c r="I394" s="90" t="n"/>
      <c r="J394" s="90" t="n"/>
      <c r="K394" s="90" t="n"/>
      <c r="L394" s="90" t="n"/>
      <c r="M394" s="90" t="n"/>
      <c r="N394" s="90" t="n"/>
      <c r="O394" s="90" t="n"/>
      <c r="P394" s="90" t="n"/>
      <c r="Q394" s="90" t="n"/>
      <c r="R394" s="90" t="n"/>
      <c r="S394" s="90" t="n"/>
      <c r="T394" s="90" t="n"/>
      <c r="U394" s="90" t="n"/>
      <c r="V394" s="90" t="n"/>
      <c r="W394" s="90" t="n"/>
      <c r="X394" s="90" t="n"/>
      <c r="Y394" s="90" t="n"/>
      <c r="Z394" s="90" t="n"/>
    </row>
    <row r="395">
      <c r="A395" s="90" t="n"/>
      <c r="B395" s="90" t="n"/>
      <c r="C395" s="90" t="n"/>
      <c r="D395" s="90" t="n"/>
      <c r="E395" s="90" t="n"/>
      <c r="F395" s="90" t="n"/>
      <c r="G395" s="90" t="n"/>
      <c r="H395" s="90" t="n"/>
      <c r="I395" s="90" t="n"/>
      <c r="J395" s="90" t="n"/>
      <c r="K395" s="90" t="n"/>
      <c r="L395" s="90" t="n"/>
      <c r="M395" s="90" t="n"/>
      <c r="N395" s="90" t="n"/>
      <c r="O395" s="90" t="n"/>
      <c r="P395" s="90" t="n"/>
      <c r="Q395" s="90" t="n"/>
      <c r="R395" s="90" t="n"/>
      <c r="S395" s="90" t="n"/>
      <c r="T395" s="90" t="n"/>
      <c r="U395" s="90" t="n"/>
      <c r="V395" s="90" t="n"/>
      <c r="W395" s="90" t="n"/>
      <c r="X395" s="90" t="n"/>
      <c r="Y395" s="90" t="n"/>
      <c r="Z395" s="90" t="n"/>
    </row>
    <row r="396">
      <c r="A396" s="90" t="n"/>
      <c r="B396" s="90" t="n"/>
      <c r="C396" s="90" t="n"/>
      <c r="D396" s="90" t="n"/>
      <c r="E396" s="90" t="n"/>
      <c r="F396" s="90" t="n"/>
      <c r="G396" s="90" t="n"/>
      <c r="H396" s="90" t="n"/>
      <c r="I396" s="90" t="n"/>
      <c r="J396" s="90" t="n"/>
      <c r="K396" s="90" t="n"/>
      <c r="L396" s="90" t="n"/>
      <c r="M396" s="90" t="n"/>
      <c r="N396" s="90" t="n"/>
      <c r="O396" s="90" t="n"/>
      <c r="P396" s="90" t="n"/>
      <c r="Q396" s="90" t="n"/>
      <c r="R396" s="90" t="n"/>
      <c r="S396" s="90" t="n"/>
      <c r="T396" s="90" t="n"/>
      <c r="U396" s="90" t="n"/>
      <c r="V396" s="90" t="n"/>
      <c r="W396" s="90" t="n"/>
      <c r="X396" s="90" t="n"/>
      <c r="Y396" s="90" t="n"/>
      <c r="Z396" s="90" t="n"/>
    </row>
    <row r="397">
      <c r="A397" s="90" t="n"/>
      <c r="B397" s="90" t="n"/>
      <c r="C397" s="90" t="n"/>
      <c r="D397" s="90" t="n"/>
      <c r="E397" s="90" t="n"/>
      <c r="F397" s="90" t="n"/>
      <c r="G397" s="90" t="n"/>
      <c r="H397" s="90" t="n"/>
      <c r="I397" s="90" t="n"/>
      <c r="J397" s="90" t="n"/>
      <c r="K397" s="90" t="n"/>
      <c r="L397" s="90" t="n"/>
      <c r="M397" s="90" t="n"/>
      <c r="N397" s="90" t="n"/>
      <c r="O397" s="90" t="n"/>
      <c r="P397" s="90" t="n"/>
      <c r="Q397" s="90" t="n"/>
      <c r="R397" s="90" t="n"/>
      <c r="S397" s="90" t="n"/>
      <c r="T397" s="90" t="n"/>
      <c r="U397" s="90" t="n"/>
      <c r="V397" s="90" t="n"/>
      <c r="W397" s="90" t="n"/>
      <c r="X397" s="90" t="n"/>
      <c r="Y397" s="90" t="n"/>
      <c r="Z397" s="90" t="n"/>
    </row>
    <row r="398">
      <c r="A398" s="90" t="n"/>
      <c r="B398" s="90" t="n"/>
      <c r="C398" s="90" t="n"/>
      <c r="D398" s="90" t="n"/>
      <c r="E398" s="90" t="n"/>
      <c r="F398" s="90" t="n"/>
      <c r="G398" s="90" t="n"/>
      <c r="H398" s="90" t="n"/>
      <c r="I398" s="90" t="n"/>
      <c r="J398" s="90" t="n"/>
      <c r="K398" s="90" t="n"/>
      <c r="L398" s="90" t="n"/>
      <c r="M398" s="90" t="n"/>
      <c r="N398" s="90" t="n"/>
      <c r="O398" s="90" t="n"/>
      <c r="P398" s="90" t="n"/>
      <c r="Q398" s="90" t="n"/>
      <c r="R398" s="90" t="n"/>
      <c r="S398" s="90" t="n"/>
      <c r="T398" s="90" t="n"/>
      <c r="U398" s="90" t="n"/>
      <c r="V398" s="90" t="n"/>
      <c r="W398" s="90" t="n"/>
      <c r="X398" s="90" t="n"/>
      <c r="Y398" s="90" t="n"/>
      <c r="Z398" s="90" t="n"/>
    </row>
    <row r="399">
      <c r="A399" s="90" t="n"/>
      <c r="B399" s="90" t="n"/>
      <c r="C399" s="90" t="n"/>
      <c r="D399" s="90" t="n"/>
      <c r="E399" s="90" t="n"/>
      <c r="F399" s="90" t="n"/>
      <c r="G399" s="90" t="n"/>
      <c r="H399" s="90" t="n"/>
      <c r="I399" s="90" t="n"/>
      <c r="J399" s="90" t="n"/>
      <c r="K399" s="90" t="n"/>
      <c r="L399" s="90" t="n"/>
      <c r="M399" s="90" t="n"/>
      <c r="N399" s="90" t="n"/>
      <c r="O399" s="90" t="n"/>
      <c r="P399" s="90" t="n"/>
      <c r="Q399" s="90" t="n"/>
      <c r="R399" s="90" t="n"/>
      <c r="S399" s="90" t="n"/>
      <c r="T399" s="90" t="n"/>
      <c r="U399" s="90" t="n"/>
      <c r="V399" s="90" t="n"/>
      <c r="W399" s="90" t="n"/>
      <c r="X399" s="90" t="n"/>
      <c r="Y399" s="90" t="n"/>
      <c r="Z399" s="90" t="n"/>
    </row>
    <row r="400">
      <c r="A400" s="90" t="n"/>
      <c r="B400" s="90" t="n"/>
      <c r="C400" s="90" t="n"/>
      <c r="D400" s="90" t="n"/>
      <c r="E400" s="90" t="n"/>
      <c r="F400" s="90" t="n"/>
      <c r="G400" s="90" t="n"/>
      <c r="H400" s="90" t="n"/>
      <c r="I400" s="90" t="n"/>
      <c r="J400" s="90" t="n"/>
      <c r="K400" s="90" t="n"/>
      <c r="L400" s="90" t="n"/>
      <c r="M400" s="90" t="n"/>
      <c r="N400" s="90" t="n"/>
      <c r="O400" s="90" t="n"/>
      <c r="P400" s="90" t="n"/>
      <c r="Q400" s="90" t="n"/>
      <c r="R400" s="90" t="n"/>
      <c r="S400" s="90" t="n"/>
      <c r="T400" s="90" t="n"/>
      <c r="U400" s="90" t="n"/>
      <c r="V400" s="90" t="n"/>
      <c r="W400" s="90" t="n"/>
      <c r="X400" s="90" t="n"/>
      <c r="Y400" s="90" t="n"/>
      <c r="Z400" s="90" t="n"/>
    </row>
    <row r="401">
      <c r="A401" s="90" t="n"/>
      <c r="B401" s="90" t="n"/>
      <c r="C401" s="90" t="n"/>
      <c r="D401" s="90" t="n"/>
      <c r="E401" s="90" t="n"/>
      <c r="F401" s="90" t="n"/>
      <c r="G401" s="90" t="n"/>
      <c r="H401" s="90" t="n"/>
      <c r="I401" s="90" t="n"/>
      <c r="J401" s="90" t="n"/>
      <c r="K401" s="90" t="n"/>
      <c r="L401" s="90" t="n"/>
      <c r="M401" s="90" t="n"/>
      <c r="N401" s="90" t="n"/>
      <c r="O401" s="90" t="n"/>
      <c r="P401" s="90" t="n"/>
      <c r="Q401" s="90" t="n"/>
      <c r="R401" s="90" t="n"/>
      <c r="S401" s="90" t="n"/>
      <c r="T401" s="90" t="n"/>
      <c r="U401" s="90" t="n"/>
      <c r="V401" s="90" t="n"/>
      <c r="W401" s="90" t="n"/>
      <c r="X401" s="90" t="n"/>
      <c r="Y401" s="90" t="n"/>
      <c r="Z401" s="90" t="n"/>
    </row>
    <row r="402">
      <c r="A402" s="90" t="n"/>
      <c r="B402" s="90" t="n"/>
      <c r="C402" s="90" t="n"/>
      <c r="D402" s="90" t="n"/>
      <c r="E402" s="90" t="n"/>
      <c r="F402" s="90" t="n"/>
      <c r="G402" s="90" t="n"/>
      <c r="H402" s="90" t="n"/>
      <c r="I402" s="90" t="n"/>
      <c r="J402" s="90" t="n"/>
      <c r="K402" s="90" t="n"/>
      <c r="L402" s="90" t="n"/>
      <c r="M402" s="90" t="n"/>
      <c r="N402" s="90" t="n"/>
      <c r="O402" s="90" t="n"/>
      <c r="P402" s="90" t="n"/>
      <c r="Q402" s="90" t="n"/>
      <c r="R402" s="90" t="n"/>
      <c r="S402" s="90" t="n"/>
      <c r="T402" s="90" t="n"/>
      <c r="U402" s="90" t="n"/>
      <c r="V402" s="90" t="n"/>
      <c r="W402" s="90" t="n"/>
      <c r="X402" s="90" t="n"/>
      <c r="Y402" s="90" t="n"/>
      <c r="Z402" s="90" t="n"/>
    </row>
    <row r="403">
      <c r="A403" s="90" t="n"/>
      <c r="B403" s="90" t="n"/>
      <c r="C403" s="90" t="n"/>
      <c r="D403" s="90" t="n"/>
      <c r="E403" s="90" t="n"/>
      <c r="F403" s="90" t="n"/>
      <c r="G403" s="90" t="n"/>
      <c r="H403" s="90" t="n"/>
      <c r="I403" s="90" t="n"/>
      <c r="J403" s="90" t="n"/>
      <c r="K403" s="90" t="n"/>
      <c r="L403" s="90" t="n"/>
      <c r="M403" s="90" t="n"/>
      <c r="N403" s="90" t="n"/>
      <c r="O403" s="90" t="n"/>
      <c r="P403" s="90" t="n"/>
      <c r="Q403" s="90" t="n"/>
      <c r="R403" s="90" t="n"/>
      <c r="S403" s="90" t="n"/>
      <c r="T403" s="90" t="n"/>
      <c r="U403" s="90" t="n"/>
      <c r="V403" s="90" t="n"/>
      <c r="W403" s="90" t="n"/>
      <c r="X403" s="90" t="n"/>
      <c r="Y403" s="90" t="n"/>
      <c r="Z403" s="90" t="n"/>
    </row>
    <row r="404">
      <c r="A404" s="90" t="n"/>
      <c r="B404" s="90" t="n"/>
      <c r="C404" s="90" t="n"/>
      <c r="D404" s="90" t="n"/>
      <c r="E404" s="90" t="n"/>
      <c r="F404" s="90" t="n"/>
      <c r="G404" s="90" t="n"/>
      <c r="H404" s="90" t="n"/>
      <c r="I404" s="90" t="n"/>
      <c r="J404" s="90" t="n"/>
      <c r="K404" s="90" t="n"/>
      <c r="L404" s="90" t="n"/>
      <c r="M404" s="90" t="n"/>
      <c r="N404" s="90" t="n"/>
      <c r="O404" s="90" t="n"/>
      <c r="P404" s="90" t="n"/>
      <c r="Q404" s="90" t="n"/>
      <c r="R404" s="90" t="n"/>
      <c r="S404" s="90" t="n"/>
      <c r="T404" s="90" t="n"/>
      <c r="U404" s="90" t="n"/>
      <c r="V404" s="90" t="n"/>
      <c r="W404" s="90" t="n"/>
      <c r="X404" s="90" t="n"/>
      <c r="Y404" s="90" t="n"/>
      <c r="Z404" s="90" t="n"/>
    </row>
    <row r="405">
      <c r="A405" s="90" t="n"/>
      <c r="B405" s="90" t="n"/>
      <c r="C405" s="90" t="n"/>
      <c r="D405" s="90" t="n"/>
      <c r="E405" s="90" t="n"/>
      <c r="F405" s="90" t="n"/>
      <c r="G405" s="90" t="n"/>
      <c r="H405" s="90" t="n"/>
      <c r="I405" s="90" t="n"/>
      <c r="J405" s="90" t="n"/>
      <c r="K405" s="90" t="n"/>
      <c r="L405" s="90" t="n"/>
      <c r="M405" s="90" t="n"/>
      <c r="N405" s="90" t="n"/>
      <c r="O405" s="90" t="n"/>
      <c r="P405" s="90" t="n"/>
      <c r="Q405" s="90" t="n"/>
      <c r="R405" s="90" t="n"/>
      <c r="S405" s="90" t="n"/>
      <c r="T405" s="90" t="n"/>
      <c r="U405" s="90" t="n"/>
      <c r="V405" s="90" t="n"/>
      <c r="W405" s="90" t="n"/>
      <c r="X405" s="90" t="n"/>
      <c r="Y405" s="90" t="n"/>
      <c r="Z405" s="90" t="n"/>
    </row>
    <row r="406">
      <c r="A406" s="90" t="n"/>
      <c r="B406" s="90" t="n"/>
      <c r="C406" s="90" t="n"/>
      <c r="D406" s="90" t="n"/>
      <c r="E406" s="90" t="n"/>
      <c r="F406" s="90" t="n"/>
      <c r="G406" s="90" t="n"/>
      <c r="H406" s="90" t="n"/>
      <c r="I406" s="90" t="n"/>
      <c r="J406" s="90" t="n"/>
      <c r="K406" s="90" t="n"/>
      <c r="L406" s="90" t="n"/>
      <c r="M406" s="90" t="n"/>
      <c r="N406" s="90" t="n"/>
      <c r="O406" s="90" t="n"/>
      <c r="P406" s="90" t="n"/>
      <c r="Q406" s="90" t="n"/>
      <c r="R406" s="90" t="n"/>
      <c r="S406" s="90" t="n"/>
      <c r="T406" s="90" t="n"/>
      <c r="U406" s="90" t="n"/>
      <c r="V406" s="90" t="n"/>
      <c r="W406" s="90" t="n"/>
      <c r="X406" s="90" t="n"/>
      <c r="Y406" s="90" t="n"/>
      <c r="Z406" s="90" t="n"/>
    </row>
    <row r="407">
      <c r="A407" s="90" t="n"/>
      <c r="B407" s="90" t="n"/>
      <c r="C407" s="90" t="n"/>
      <c r="D407" s="90" t="n"/>
      <c r="E407" s="90" t="n"/>
      <c r="F407" s="90" t="n"/>
      <c r="G407" s="90" t="n"/>
      <c r="H407" s="90" t="n"/>
      <c r="I407" s="90" t="n"/>
      <c r="J407" s="90" t="n"/>
      <c r="K407" s="90" t="n"/>
      <c r="L407" s="90" t="n"/>
      <c r="M407" s="90" t="n"/>
      <c r="N407" s="90" t="n"/>
      <c r="O407" s="90" t="n"/>
      <c r="P407" s="90" t="n"/>
      <c r="Q407" s="90" t="n"/>
      <c r="R407" s="90" t="n"/>
      <c r="S407" s="90" t="n"/>
      <c r="T407" s="90" t="n"/>
      <c r="U407" s="90" t="n"/>
      <c r="V407" s="90" t="n"/>
      <c r="W407" s="90" t="n"/>
      <c r="X407" s="90" t="n"/>
      <c r="Y407" s="90" t="n"/>
      <c r="Z407" s="90" t="n"/>
    </row>
    <row r="408">
      <c r="A408" s="90" t="n"/>
      <c r="B408" s="90" t="n"/>
      <c r="C408" s="90" t="n"/>
      <c r="D408" s="90" t="n"/>
      <c r="E408" s="90" t="n"/>
      <c r="F408" s="90" t="n"/>
      <c r="G408" s="90" t="n"/>
      <c r="H408" s="90" t="n"/>
      <c r="I408" s="90" t="n"/>
      <c r="J408" s="90" t="n"/>
      <c r="K408" s="90" t="n"/>
      <c r="L408" s="90" t="n"/>
      <c r="M408" s="90" t="n"/>
      <c r="N408" s="90" t="n"/>
      <c r="O408" s="90" t="n"/>
      <c r="P408" s="90" t="n"/>
      <c r="Q408" s="90" t="n"/>
      <c r="R408" s="90" t="n"/>
      <c r="S408" s="90" t="n"/>
      <c r="T408" s="90" t="n"/>
      <c r="U408" s="90" t="n"/>
      <c r="V408" s="90" t="n"/>
      <c r="W408" s="90" t="n"/>
      <c r="X408" s="90" t="n"/>
      <c r="Y408" s="90" t="n"/>
      <c r="Z408" s="90" t="n"/>
    </row>
    <row r="409">
      <c r="A409" s="90" t="n"/>
      <c r="B409" s="90" t="n"/>
      <c r="C409" s="90" t="n"/>
      <c r="D409" s="90" t="n"/>
      <c r="E409" s="90" t="n"/>
      <c r="F409" s="90" t="n"/>
      <c r="G409" s="90" t="n"/>
      <c r="H409" s="90" t="n"/>
      <c r="I409" s="90" t="n"/>
      <c r="J409" s="90" t="n"/>
      <c r="K409" s="90" t="n"/>
      <c r="L409" s="90" t="n"/>
      <c r="M409" s="90" t="n"/>
      <c r="N409" s="90" t="n"/>
      <c r="O409" s="90" t="n"/>
      <c r="P409" s="90" t="n"/>
      <c r="Q409" s="90" t="n"/>
      <c r="R409" s="90" t="n"/>
      <c r="S409" s="90" t="n"/>
      <c r="T409" s="90" t="n"/>
      <c r="U409" s="90" t="n"/>
      <c r="V409" s="90" t="n"/>
      <c r="W409" s="90" t="n"/>
      <c r="X409" s="90" t="n"/>
      <c r="Y409" s="90" t="n"/>
      <c r="Z409" s="90" t="n"/>
    </row>
    <row r="410">
      <c r="A410" s="90" t="n"/>
      <c r="B410" s="90" t="n"/>
      <c r="C410" s="90" t="n"/>
      <c r="D410" s="90" t="n"/>
      <c r="E410" s="90" t="n"/>
      <c r="F410" s="90" t="n"/>
      <c r="G410" s="90" t="n"/>
      <c r="H410" s="90" t="n"/>
      <c r="I410" s="90" t="n"/>
      <c r="J410" s="90" t="n"/>
      <c r="K410" s="90" t="n"/>
      <c r="L410" s="90" t="n"/>
      <c r="M410" s="90" t="n"/>
      <c r="N410" s="90" t="n"/>
      <c r="O410" s="90" t="n"/>
      <c r="P410" s="90" t="n"/>
      <c r="Q410" s="90" t="n"/>
      <c r="R410" s="90" t="n"/>
      <c r="S410" s="90" t="n"/>
      <c r="T410" s="90" t="n"/>
      <c r="U410" s="90" t="n"/>
      <c r="V410" s="90" t="n"/>
      <c r="W410" s="90" t="n"/>
      <c r="X410" s="90" t="n"/>
      <c r="Y410" s="90" t="n"/>
      <c r="Z410" s="90" t="n"/>
    </row>
    <row r="411">
      <c r="A411" s="90" t="n"/>
      <c r="B411" s="90" t="n"/>
      <c r="C411" s="90" t="n"/>
      <c r="D411" s="90" t="n"/>
      <c r="E411" s="90" t="n"/>
      <c r="F411" s="90" t="n"/>
      <c r="G411" s="90" t="n"/>
      <c r="H411" s="90" t="n"/>
      <c r="I411" s="90" t="n"/>
      <c r="J411" s="90" t="n"/>
      <c r="K411" s="90" t="n"/>
      <c r="L411" s="90" t="n"/>
      <c r="M411" s="90" t="n"/>
      <c r="N411" s="90" t="n"/>
      <c r="O411" s="90" t="n"/>
      <c r="P411" s="90" t="n"/>
      <c r="Q411" s="90" t="n"/>
      <c r="R411" s="90" t="n"/>
      <c r="S411" s="90" t="n"/>
      <c r="T411" s="90" t="n"/>
      <c r="U411" s="90" t="n"/>
      <c r="V411" s="90" t="n"/>
      <c r="W411" s="90" t="n"/>
      <c r="X411" s="90" t="n"/>
      <c r="Y411" s="90" t="n"/>
      <c r="Z411" s="90" t="n"/>
    </row>
    <row r="412">
      <c r="A412" s="90" t="n"/>
      <c r="B412" s="90" t="n"/>
      <c r="C412" s="90" t="n"/>
      <c r="D412" s="90" t="n"/>
      <c r="E412" s="90" t="n"/>
      <c r="F412" s="90" t="n"/>
      <c r="G412" s="90" t="n"/>
      <c r="H412" s="90" t="n"/>
      <c r="I412" s="90" t="n"/>
      <c r="J412" s="90" t="n"/>
      <c r="K412" s="90" t="n"/>
      <c r="L412" s="90" t="n"/>
      <c r="M412" s="90" t="n"/>
      <c r="N412" s="90" t="n"/>
      <c r="O412" s="90" t="n"/>
      <c r="P412" s="90" t="n"/>
      <c r="Q412" s="90" t="n"/>
      <c r="R412" s="90" t="n"/>
      <c r="S412" s="90" t="n"/>
      <c r="T412" s="90" t="n"/>
      <c r="U412" s="90" t="n"/>
      <c r="V412" s="90" t="n"/>
      <c r="W412" s="90" t="n"/>
      <c r="X412" s="90" t="n"/>
      <c r="Y412" s="90" t="n"/>
      <c r="Z412" s="90" t="n"/>
    </row>
    <row r="413">
      <c r="A413" s="90" t="n"/>
      <c r="B413" s="90" t="n"/>
      <c r="C413" s="90" t="n"/>
      <c r="D413" s="90" t="n"/>
      <c r="E413" s="90" t="n"/>
      <c r="F413" s="90" t="n"/>
      <c r="G413" s="90" t="n"/>
      <c r="H413" s="90" t="n"/>
      <c r="I413" s="90" t="n"/>
      <c r="J413" s="90" t="n"/>
      <c r="K413" s="90" t="n"/>
      <c r="L413" s="90" t="n"/>
      <c r="M413" s="90" t="n"/>
      <c r="N413" s="90" t="n"/>
      <c r="O413" s="90" t="n"/>
      <c r="P413" s="90" t="n"/>
      <c r="Q413" s="90" t="n"/>
      <c r="R413" s="90" t="n"/>
      <c r="S413" s="90" t="n"/>
      <c r="T413" s="90" t="n"/>
      <c r="U413" s="90" t="n"/>
      <c r="V413" s="90" t="n"/>
      <c r="W413" s="90" t="n"/>
      <c r="X413" s="90" t="n"/>
      <c r="Y413" s="90" t="n"/>
      <c r="Z413" s="90" t="n"/>
    </row>
    <row r="414">
      <c r="A414" s="90" t="n"/>
      <c r="B414" s="90" t="n"/>
      <c r="C414" s="90" t="n"/>
      <c r="D414" s="90" t="n"/>
      <c r="E414" s="90" t="n"/>
      <c r="F414" s="90" t="n"/>
      <c r="G414" s="90" t="n"/>
      <c r="H414" s="90" t="n"/>
      <c r="I414" s="90" t="n"/>
      <c r="J414" s="90" t="n"/>
      <c r="K414" s="90" t="n"/>
      <c r="L414" s="90" t="n"/>
      <c r="M414" s="90" t="n"/>
      <c r="N414" s="90" t="n"/>
      <c r="O414" s="90" t="n"/>
      <c r="P414" s="90" t="n"/>
      <c r="Q414" s="90" t="n"/>
      <c r="R414" s="90" t="n"/>
      <c r="S414" s="90" t="n"/>
      <c r="T414" s="90" t="n"/>
      <c r="U414" s="90" t="n"/>
      <c r="V414" s="90" t="n"/>
      <c r="W414" s="90" t="n"/>
      <c r="X414" s="90" t="n"/>
      <c r="Y414" s="90" t="n"/>
      <c r="Z414" s="90" t="n"/>
    </row>
    <row r="415">
      <c r="A415" s="90" t="n"/>
      <c r="B415" s="90" t="n"/>
      <c r="C415" s="90" t="n"/>
      <c r="D415" s="90" t="n"/>
      <c r="E415" s="90" t="n"/>
      <c r="F415" s="90" t="n"/>
      <c r="G415" s="90" t="n"/>
      <c r="H415" s="90" t="n"/>
      <c r="I415" s="90" t="n"/>
      <c r="J415" s="90" t="n"/>
      <c r="K415" s="90" t="n"/>
      <c r="L415" s="90" t="n"/>
      <c r="M415" s="90" t="n"/>
      <c r="N415" s="90" t="n"/>
      <c r="O415" s="90" t="n"/>
      <c r="P415" s="90" t="n"/>
      <c r="Q415" s="90" t="n"/>
      <c r="R415" s="90" t="n"/>
      <c r="S415" s="90" t="n"/>
      <c r="T415" s="90" t="n"/>
      <c r="U415" s="90" t="n"/>
      <c r="V415" s="90" t="n"/>
      <c r="W415" s="90" t="n"/>
      <c r="X415" s="90" t="n"/>
      <c r="Y415" s="90" t="n"/>
      <c r="Z415" s="90" t="n"/>
    </row>
    <row r="416">
      <c r="A416" s="90" t="n"/>
      <c r="B416" s="90" t="n"/>
      <c r="C416" s="90" t="n"/>
      <c r="D416" s="90" t="n"/>
      <c r="E416" s="90" t="n"/>
      <c r="F416" s="90" t="n"/>
      <c r="G416" s="90" t="n"/>
      <c r="H416" s="90" t="n"/>
      <c r="I416" s="90" t="n"/>
      <c r="J416" s="90" t="n"/>
      <c r="K416" s="90" t="n"/>
      <c r="L416" s="90" t="n"/>
      <c r="M416" s="90" t="n"/>
      <c r="N416" s="90" t="n"/>
      <c r="O416" s="90" t="n"/>
      <c r="P416" s="90" t="n"/>
      <c r="Q416" s="90" t="n"/>
      <c r="R416" s="90" t="n"/>
      <c r="S416" s="90" t="n"/>
      <c r="T416" s="90" t="n"/>
      <c r="U416" s="90" t="n"/>
      <c r="V416" s="90" t="n"/>
      <c r="W416" s="90" t="n"/>
      <c r="X416" s="90" t="n"/>
      <c r="Y416" s="90" t="n"/>
      <c r="Z416" s="90" t="n"/>
    </row>
    <row r="417">
      <c r="A417" s="90" t="n"/>
      <c r="B417" s="90" t="n"/>
      <c r="C417" s="90" t="n"/>
      <c r="D417" s="90" t="n"/>
      <c r="E417" s="90" t="n"/>
      <c r="F417" s="90" t="n"/>
      <c r="G417" s="90" t="n"/>
      <c r="H417" s="90" t="n"/>
      <c r="I417" s="90" t="n"/>
      <c r="J417" s="90" t="n"/>
      <c r="K417" s="90" t="n"/>
      <c r="L417" s="90" t="n"/>
      <c r="M417" s="90" t="n"/>
      <c r="N417" s="90" t="n"/>
      <c r="O417" s="90" t="n"/>
      <c r="P417" s="90" t="n"/>
      <c r="Q417" s="90" t="n"/>
      <c r="R417" s="90" t="n"/>
      <c r="S417" s="90" t="n"/>
      <c r="T417" s="90" t="n"/>
      <c r="U417" s="90" t="n"/>
      <c r="V417" s="90" t="n"/>
      <c r="W417" s="90" t="n"/>
      <c r="X417" s="90" t="n"/>
      <c r="Y417" s="90" t="n"/>
      <c r="Z417" s="90" t="n"/>
    </row>
    <row r="418">
      <c r="A418" s="90" t="n"/>
      <c r="B418" s="90" t="n"/>
      <c r="C418" s="90" t="n"/>
      <c r="D418" s="90" t="n"/>
      <c r="E418" s="90" t="n"/>
      <c r="F418" s="90" t="n"/>
      <c r="G418" s="90" t="n"/>
      <c r="H418" s="90" t="n"/>
      <c r="I418" s="90" t="n"/>
      <c r="J418" s="90" t="n"/>
      <c r="K418" s="90" t="n"/>
      <c r="L418" s="90" t="n"/>
      <c r="M418" s="90" t="n"/>
      <c r="N418" s="90" t="n"/>
      <c r="O418" s="90" t="n"/>
      <c r="P418" s="90" t="n"/>
      <c r="Q418" s="90" t="n"/>
      <c r="R418" s="90" t="n"/>
      <c r="S418" s="90" t="n"/>
      <c r="T418" s="90" t="n"/>
      <c r="U418" s="90" t="n"/>
      <c r="V418" s="90" t="n"/>
      <c r="W418" s="90" t="n"/>
      <c r="X418" s="90" t="n"/>
      <c r="Y418" s="90" t="n"/>
      <c r="Z418" s="90" t="n"/>
    </row>
    <row r="419">
      <c r="A419" s="90" t="n"/>
      <c r="B419" s="90" t="n"/>
      <c r="C419" s="90" t="n"/>
      <c r="D419" s="90" t="n"/>
      <c r="E419" s="90" t="n"/>
      <c r="F419" s="90" t="n"/>
      <c r="G419" s="90" t="n"/>
      <c r="H419" s="90" t="n"/>
      <c r="I419" s="90" t="n"/>
      <c r="J419" s="90" t="n"/>
      <c r="K419" s="90" t="n"/>
      <c r="L419" s="90" t="n"/>
      <c r="M419" s="90" t="n"/>
      <c r="N419" s="90" t="n"/>
      <c r="O419" s="90" t="n"/>
      <c r="P419" s="90" t="n"/>
      <c r="Q419" s="90" t="n"/>
      <c r="R419" s="90" t="n"/>
      <c r="S419" s="90" t="n"/>
      <c r="T419" s="90" t="n"/>
      <c r="U419" s="90" t="n"/>
      <c r="V419" s="90" t="n"/>
      <c r="W419" s="90" t="n"/>
      <c r="X419" s="90" t="n"/>
      <c r="Y419" s="90" t="n"/>
      <c r="Z419" s="90" t="n"/>
    </row>
    <row r="420">
      <c r="A420" s="90" t="n"/>
      <c r="B420" s="90" t="n"/>
      <c r="C420" s="90" t="n"/>
      <c r="D420" s="90" t="n"/>
      <c r="E420" s="90" t="n"/>
      <c r="F420" s="90" t="n"/>
      <c r="G420" s="90" t="n"/>
      <c r="H420" s="90" t="n"/>
      <c r="I420" s="90" t="n"/>
      <c r="J420" s="90" t="n"/>
      <c r="K420" s="90" t="n"/>
      <c r="L420" s="90" t="n"/>
      <c r="M420" s="90" t="n"/>
      <c r="N420" s="90" t="n"/>
      <c r="O420" s="90" t="n"/>
      <c r="P420" s="90" t="n"/>
      <c r="Q420" s="90" t="n"/>
      <c r="R420" s="90" t="n"/>
      <c r="S420" s="90" t="n"/>
      <c r="T420" s="90" t="n"/>
      <c r="U420" s="90" t="n"/>
      <c r="V420" s="90" t="n"/>
      <c r="W420" s="90" t="n"/>
      <c r="X420" s="90" t="n"/>
      <c r="Y420" s="90" t="n"/>
      <c r="Z420" s="90" t="n"/>
    </row>
    <row r="421">
      <c r="A421" s="90" t="n"/>
      <c r="B421" s="90" t="n"/>
      <c r="C421" s="90" t="n"/>
      <c r="D421" s="90" t="n"/>
      <c r="E421" s="90" t="n"/>
      <c r="F421" s="90" t="n"/>
      <c r="G421" s="90" t="n"/>
      <c r="H421" s="90" t="n"/>
      <c r="I421" s="90" t="n"/>
      <c r="J421" s="90" t="n"/>
      <c r="K421" s="90" t="n"/>
      <c r="L421" s="90" t="n"/>
      <c r="M421" s="90" t="n"/>
      <c r="N421" s="90" t="n"/>
      <c r="O421" s="90" t="n"/>
      <c r="P421" s="90" t="n"/>
      <c r="Q421" s="90" t="n"/>
      <c r="R421" s="90" t="n"/>
      <c r="S421" s="90" t="n"/>
      <c r="T421" s="90" t="n"/>
      <c r="U421" s="90" t="n"/>
      <c r="V421" s="90" t="n"/>
      <c r="W421" s="90" t="n"/>
      <c r="X421" s="90" t="n"/>
      <c r="Y421" s="90" t="n"/>
      <c r="Z421" s="90" t="n"/>
    </row>
    <row r="422">
      <c r="A422" s="90" t="n"/>
      <c r="B422" s="90" t="n"/>
      <c r="C422" s="90" t="n"/>
      <c r="D422" s="90" t="n"/>
      <c r="E422" s="90" t="n"/>
      <c r="F422" s="90" t="n"/>
      <c r="G422" s="90" t="n"/>
      <c r="H422" s="90" t="n"/>
      <c r="I422" s="90" t="n"/>
      <c r="J422" s="90" t="n"/>
      <c r="K422" s="90" t="n"/>
      <c r="L422" s="90" t="n"/>
      <c r="M422" s="90" t="n"/>
      <c r="N422" s="90" t="n"/>
      <c r="O422" s="90" t="n"/>
      <c r="P422" s="90" t="n"/>
      <c r="Q422" s="90" t="n"/>
      <c r="R422" s="90" t="n"/>
      <c r="S422" s="90" t="n"/>
      <c r="T422" s="90" t="n"/>
      <c r="U422" s="90" t="n"/>
      <c r="V422" s="90" t="n"/>
      <c r="W422" s="90" t="n"/>
      <c r="X422" s="90" t="n"/>
      <c r="Y422" s="90" t="n"/>
      <c r="Z422" s="90" t="n"/>
    </row>
    <row r="423">
      <c r="A423" s="90" t="n"/>
      <c r="B423" s="90" t="n"/>
      <c r="C423" s="90" t="n"/>
      <c r="D423" s="90" t="n"/>
      <c r="E423" s="90" t="n"/>
      <c r="F423" s="90" t="n"/>
      <c r="G423" s="90" t="n"/>
      <c r="H423" s="90" t="n"/>
      <c r="I423" s="90" t="n"/>
      <c r="J423" s="90" t="n"/>
      <c r="K423" s="90" t="n"/>
      <c r="L423" s="90" t="n"/>
      <c r="M423" s="90" t="n"/>
      <c r="N423" s="90" t="n"/>
      <c r="O423" s="90" t="n"/>
      <c r="P423" s="90" t="n"/>
      <c r="Q423" s="90" t="n"/>
      <c r="R423" s="90" t="n"/>
      <c r="S423" s="90" t="n"/>
      <c r="T423" s="90" t="n"/>
      <c r="U423" s="90" t="n"/>
      <c r="V423" s="90" t="n"/>
      <c r="W423" s="90" t="n"/>
      <c r="X423" s="90" t="n"/>
      <c r="Y423" s="90" t="n"/>
      <c r="Z423" s="90" t="n"/>
    </row>
    <row r="424">
      <c r="A424" s="90" t="n"/>
      <c r="B424" s="90" t="n"/>
      <c r="C424" s="90" t="n"/>
      <c r="D424" s="90" t="n"/>
      <c r="E424" s="90" t="n"/>
      <c r="F424" s="90" t="n"/>
      <c r="G424" s="90" t="n"/>
      <c r="H424" s="90" t="n"/>
      <c r="I424" s="90" t="n"/>
      <c r="J424" s="90" t="n"/>
      <c r="K424" s="90" t="n"/>
      <c r="L424" s="90" t="n"/>
      <c r="M424" s="90" t="n"/>
      <c r="N424" s="90" t="n"/>
      <c r="O424" s="90" t="n"/>
      <c r="P424" s="90" t="n"/>
      <c r="Q424" s="90" t="n"/>
      <c r="R424" s="90" t="n"/>
      <c r="S424" s="90" t="n"/>
      <c r="T424" s="90" t="n"/>
      <c r="U424" s="90" t="n"/>
      <c r="V424" s="90" t="n"/>
      <c r="W424" s="90" t="n"/>
      <c r="X424" s="90" t="n"/>
      <c r="Y424" s="90" t="n"/>
      <c r="Z424" s="90" t="n"/>
    </row>
    <row r="425">
      <c r="A425" s="90" t="n"/>
      <c r="B425" s="90" t="n"/>
      <c r="C425" s="90" t="n"/>
      <c r="D425" s="90" t="n"/>
      <c r="E425" s="90" t="n"/>
      <c r="F425" s="90" t="n"/>
      <c r="G425" s="90" t="n"/>
      <c r="H425" s="90" t="n"/>
      <c r="I425" s="90" t="n"/>
      <c r="J425" s="90" t="n"/>
      <c r="K425" s="90" t="n"/>
      <c r="L425" s="90" t="n"/>
      <c r="M425" s="90" t="n"/>
      <c r="N425" s="90" t="n"/>
      <c r="O425" s="90" t="n"/>
      <c r="P425" s="90" t="n"/>
      <c r="Q425" s="90" t="n"/>
      <c r="R425" s="90" t="n"/>
      <c r="S425" s="90" t="n"/>
      <c r="T425" s="90" t="n"/>
      <c r="U425" s="90" t="n"/>
      <c r="V425" s="90" t="n"/>
      <c r="W425" s="90" t="n"/>
      <c r="X425" s="90" t="n"/>
      <c r="Y425" s="90" t="n"/>
      <c r="Z425" s="90" t="n"/>
    </row>
    <row r="426">
      <c r="A426" s="90" t="n"/>
      <c r="B426" s="90" t="n"/>
      <c r="C426" s="90" t="n"/>
      <c r="D426" s="90" t="n"/>
      <c r="E426" s="90" t="n"/>
      <c r="F426" s="90" t="n"/>
      <c r="G426" s="90" t="n"/>
      <c r="H426" s="90" t="n"/>
      <c r="I426" s="90" t="n"/>
      <c r="J426" s="90" t="n"/>
      <c r="K426" s="90" t="n"/>
      <c r="L426" s="90" t="n"/>
      <c r="M426" s="90" t="n"/>
      <c r="N426" s="90" t="n"/>
      <c r="O426" s="90" t="n"/>
      <c r="P426" s="90" t="n"/>
      <c r="Q426" s="90" t="n"/>
      <c r="R426" s="90" t="n"/>
      <c r="S426" s="90" t="n"/>
      <c r="T426" s="90" t="n"/>
      <c r="U426" s="90" t="n"/>
      <c r="V426" s="90" t="n"/>
      <c r="W426" s="90" t="n"/>
      <c r="X426" s="90" t="n"/>
      <c r="Y426" s="90" t="n"/>
      <c r="Z426" s="90" t="n"/>
    </row>
    <row r="427">
      <c r="A427" s="90" t="n"/>
      <c r="B427" s="90" t="n"/>
      <c r="C427" s="90" t="n"/>
      <c r="D427" s="90" t="n"/>
      <c r="E427" s="90" t="n"/>
      <c r="F427" s="90" t="n"/>
      <c r="G427" s="90" t="n"/>
      <c r="H427" s="90" t="n"/>
      <c r="I427" s="90" t="n"/>
      <c r="J427" s="90" t="n"/>
      <c r="K427" s="90" t="n"/>
      <c r="L427" s="90" t="n"/>
      <c r="M427" s="90" t="n"/>
      <c r="N427" s="90" t="n"/>
      <c r="O427" s="90" t="n"/>
      <c r="P427" s="90" t="n"/>
      <c r="Q427" s="90" t="n"/>
      <c r="R427" s="90" t="n"/>
      <c r="S427" s="90" t="n"/>
      <c r="T427" s="90" t="n"/>
      <c r="U427" s="90" t="n"/>
      <c r="V427" s="90" t="n"/>
      <c r="W427" s="90" t="n"/>
      <c r="X427" s="90" t="n"/>
      <c r="Y427" s="90" t="n"/>
      <c r="Z427" s="90" t="n"/>
    </row>
    <row r="428">
      <c r="A428" s="90" t="n"/>
      <c r="B428" s="90" t="n"/>
      <c r="C428" s="90" t="n"/>
      <c r="D428" s="90" t="n"/>
      <c r="E428" s="90" t="n"/>
      <c r="F428" s="90" t="n"/>
      <c r="G428" s="90" t="n"/>
      <c r="H428" s="90" t="n"/>
      <c r="I428" s="90" t="n"/>
      <c r="J428" s="90" t="n"/>
      <c r="K428" s="90" t="n"/>
      <c r="L428" s="90" t="n"/>
      <c r="M428" s="90" t="n"/>
      <c r="N428" s="90" t="n"/>
      <c r="O428" s="90" t="n"/>
      <c r="P428" s="90" t="n"/>
      <c r="Q428" s="90" t="n"/>
      <c r="R428" s="90" t="n"/>
      <c r="S428" s="90" t="n"/>
      <c r="T428" s="90" t="n"/>
      <c r="U428" s="90" t="n"/>
      <c r="V428" s="90" t="n"/>
      <c r="W428" s="90" t="n"/>
      <c r="X428" s="90" t="n"/>
      <c r="Y428" s="90" t="n"/>
      <c r="Z428" s="90" t="n"/>
    </row>
    <row r="429">
      <c r="A429" s="90" t="n"/>
      <c r="B429" s="90" t="n"/>
      <c r="C429" s="90" t="n"/>
      <c r="D429" s="90" t="n"/>
      <c r="E429" s="90" t="n"/>
      <c r="F429" s="90" t="n"/>
      <c r="G429" s="90" t="n"/>
      <c r="H429" s="90" t="n"/>
      <c r="I429" s="90" t="n"/>
      <c r="J429" s="90" t="n"/>
      <c r="K429" s="90" t="n"/>
      <c r="L429" s="90" t="n"/>
      <c r="M429" s="90" t="n"/>
      <c r="N429" s="90" t="n"/>
      <c r="O429" s="90" t="n"/>
      <c r="P429" s="90" t="n"/>
      <c r="Q429" s="90" t="n"/>
      <c r="R429" s="90" t="n"/>
      <c r="S429" s="90" t="n"/>
      <c r="T429" s="90" t="n"/>
      <c r="U429" s="90" t="n"/>
      <c r="V429" s="90" t="n"/>
      <c r="W429" s="90" t="n"/>
      <c r="X429" s="90" t="n"/>
      <c r="Y429" s="90" t="n"/>
      <c r="Z429" s="90" t="n"/>
    </row>
    <row r="430">
      <c r="A430" s="90" t="n"/>
      <c r="B430" s="90" t="n"/>
      <c r="C430" s="90" t="n"/>
      <c r="D430" s="90" t="n"/>
      <c r="E430" s="90" t="n"/>
      <c r="F430" s="90" t="n"/>
      <c r="G430" s="90" t="n"/>
      <c r="H430" s="90" t="n"/>
      <c r="I430" s="90" t="n"/>
      <c r="J430" s="90" t="n"/>
      <c r="K430" s="90" t="n"/>
      <c r="L430" s="90" t="n"/>
      <c r="M430" s="90" t="n"/>
      <c r="N430" s="90" t="n"/>
      <c r="O430" s="90" t="n"/>
      <c r="P430" s="90" t="n"/>
      <c r="Q430" s="90" t="n"/>
      <c r="R430" s="90" t="n"/>
      <c r="S430" s="90" t="n"/>
      <c r="T430" s="90" t="n"/>
      <c r="U430" s="90" t="n"/>
      <c r="V430" s="90" t="n"/>
      <c r="W430" s="90" t="n"/>
      <c r="X430" s="90" t="n"/>
      <c r="Y430" s="90" t="n"/>
      <c r="Z430" s="90" t="n"/>
    </row>
    <row r="431">
      <c r="A431" s="90" t="n"/>
      <c r="B431" s="90" t="n"/>
      <c r="C431" s="90" t="n"/>
      <c r="D431" s="90" t="n"/>
      <c r="E431" s="90" t="n"/>
      <c r="F431" s="90" t="n"/>
      <c r="G431" s="90" t="n"/>
      <c r="H431" s="90" t="n"/>
      <c r="I431" s="90" t="n"/>
      <c r="J431" s="90" t="n"/>
      <c r="K431" s="90" t="n"/>
      <c r="L431" s="90" t="n"/>
      <c r="M431" s="90" t="n"/>
      <c r="N431" s="90" t="n"/>
      <c r="O431" s="90" t="n"/>
      <c r="P431" s="90" t="n"/>
      <c r="Q431" s="90" t="n"/>
      <c r="R431" s="90" t="n"/>
      <c r="S431" s="90" t="n"/>
      <c r="T431" s="90" t="n"/>
      <c r="U431" s="90" t="n"/>
      <c r="V431" s="90" t="n"/>
      <c r="W431" s="90" t="n"/>
      <c r="X431" s="90" t="n"/>
      <c r="Y431" s="90" t="n"/>
      <c r="Z431" s="90" t="n"/>
    </row>
    <row r="432">
      <c r="A432" s="90" t="n"/>
      <c r="B432" s="90" t="n"/>
      <c r="C432" s="90" t="n"/>
      <c r="D432" s="90" t="n"/>
      <c r="E432" s="90" t="n"/>
      <c r="F432" s="90" t="n"/>
      <c r="G432" s="90" t="n"/>
      <c r="H432" s="90" t="n"/>
      <c r="I432" s="90" t="n"/>
      <c r="J432" s="90" t="n"/>
      <c r="K432" s="90" t="n"/>
      <c r="L432" s="90" t="n"/>
      <c r="M432" s="90" t="n"/>
      <c r="N432" s="90" t="n"/>
      <c r="O432" s="90" t="n"/>
      <c r="P432" s="90" t="n"/>
      <c r="Q432" s="90" t="n"/>
      <c r="R432" s="90" t="n"/>
      <c r="S432" s="90" t="n"/>
      <c r="T432" s="90" t="n"/>
      <c r="U432" s="90" t="n"/>
      <c r="V432" s="90" t="n"/>
      <c r="W432" s="90" t="n"/>
      <c r="X432" s="90" t="n"/>
      <c r="Y432" s="90" t="n"/>
      <c r="Z432" s="90" t="n"/>
    </row>
    <row r="433">
      <c r="A433" s="90" t="n"/>
      <c r="B433" s="90" t="n"/>
      <c r="C433" s="90" t="n"/>
      <c r="D433" s="90" t="n"/>
      <c r="E433" s="90" t="n"/>
      <c r="F433" s="90" t="n"/>
      <c r="G433" s="90" t="n"/>
      <c r="H433" s="90" t="n"/>
      <c r="I433" s="90" t="n"/>
      <c r="J433" s="90" t="n"/>
      <c r="K433" s="90" t="n"/>
      <c r="L433" s="90" t="n"/>
      <c r="M433" s="90" t="n"/>
      <c r="N433" s="90" t="n"/>
      <c r="O433" s="90" t="n"/>
      <c r="P433" s="90" t="n"/>
      <c r="Q433" s="90" t="n"/>
      <c r="R433" s="90" t="n"/>
      <c r="S433" s="90" t="n"/>
      <c r="T433" s="90" t="n"/>
      <c r="U433" s="90" t="n"/>
      <c r="V433" s="90" t="n"/>
      <c r="W433" s="90" t="n"/>
      <c r="X433" s="90" t="n"/>
      <c r="Y433" s="90" t="n"/>
      <c r="Z433" s="90" t="n"/>
    </row>
    <row r="434">
      <c r="A434" s="90" t="n"/>
      <c r="B434" s="90" t="n"/>
      <c r="C434" s="90" t="n"/>
      <c r="D434" s="90" t="n"/>
      <c r="E434" s="90" t="n"/>
      <c r="F434" s="90" t="n"/>
      <c r="G434" s="90" t="n"/>
      <c r="H434" s="90" t="n"/>
      <c r="I434" s="90" t="n"/>
      <c r="J434" s="90" t="n"/>
      <c r="K434" s="90" t="n"/>
      <c r="L434" s="90" t="n"/>
      <c r="M434" s="90" t="n"/>
      <c r="N434" s="90" t="n"/>
      <c r="O434" s="90" t="n"/>
      <c r="P434" s="90" t="n"/>
      <c r="Q434" s="90" t="n"/>
      <c r="R434" s="90" t="n"/>
      <c r="S434" s="90" t="n"/>
      <c r="T434" s="90" t="n"/>
      <c r="U434" s="90" t="n"/>
      <c r="V434" s="90" t="n"/>
      <c r="W434" s="90" t="n"/>
      <c r="X434" s="90" t="n"/>
      <c r="Y434" s="90" t="n"/>
      <c r="Z434" s="90" t="n"/>
    </row>
    <row r="435">
      <c r="A435" s="90" t="n"/>
      <c r="B435" s="90" t="n"/>
      <c r="C435" s="90" t="n"/>
      <c r="D435" s="90" t="n"/>
      <c r="E435" s="90" t="n"/>
      <c r="F435" s="90" t="n"/>
      <c r="G435" s="90" t="n"/>
      <c r="H435" s="90" t="n"/>
      <c r="I435" s="90" t="n"/>
      <c r="J435" s="90" t="n"/>
      <c r="K435" s="90" t="n"/>
      <c r="L435" s="90" t="n"/>
      <c r="M435" s="90" t="n"/>
      <c r="N435" s="90" t="n"/>
      <c r="O435" s="90" t="n"/>
      <c r="P435" s="90" t="n"/>
      <c r="Q435" s="90" t="n"/>
      <c r="R435" s="90" t="n"/>
      <c r="S435" s="90" t="n"/>
      <c r="T435" s="90" t="n"/>
      <c r="U435" s="90" t="n"/>
      <c r="V435" s="90" t="n"/>
      <c r="W435" s="90" t="n"/>
      <c r="X435" s="90" t="n"/>
      <c r="Y435" s="90" t="n"/>
      <c r="Z435" s="90" t="n"/>
    </row>
    <row r="436">
      <c r="A436" s="90" t="n"/>
      <c r="B436" s="90" t="n"/>
      <c r="C436" s="90" t="n"/>
      <c r="D436" s="90" t="n"/>
      <c r="E436" s="90" t="n"/>
      <c r="F436" s="90" t="n"/>
      <c r="G436" s="90" t="n"/>
      <c r="H436" s="90" t="n"/>
      <c r="I436" s="90" t="n"/>
      <c r="J436" s="90" t="n"/>
      <c r="K436" s="90" t="n"/>
      <c r="L436" s="90" t="n"/>
      <c r="M436" s="90" t="n"/>
      <c r="N436" s="90" t="n"/>
      <c r="O436" s="90" t="n"/>
      <c r="P436" s="90" t="n"/>
      <c r="Q436" s="90" t="n"/>
      <c r="R436" s="90" t="n"/>
      <c r="S436" s="90" t="n"/>
      <c r="T436" s="90" t="n"/>
      <c r="U436" s="90" t="n"/>
      <c r="V436" s="90" t="n"/>
      <c r="W436" s="90" t="n"/>
      <c r="X436" s="90" t="n"/>
      <c r="Y436" s="90" t="n"/>
      <c r="Z436" s="90" t="n"/>
    </row>
    <row r="437">
      <c r="A437" s="90" t="n"/>
      <c r="B437" s="90" t="n"/>
      <c r="C437" s="90" t="n"/>
      <c r="D437" s="90" t="n"/>
      <c r="E437" s="90" t="n"/>
      <c r="F437" s="90" t="n"/>
      <c r="G437" s="90" t="n"/>
      <c r="H437" s="90" t="n"/>
      <c r="I437" s="90" t="n"/>
      <c r="J437" s="90" t="n"/>
      <c r="K437" s="90" t="n"/>
      <c r="L437" s="90" t="n"/>
      <c r="M437" s="90" t="n"/>
      <c r="N437" s="90" t="n"/>
      <c r="O437" s="90" t="n"/>
      <c r="P437" s="90" t="n"/>
      <c r="Q437" s="90" t="n"/>
      <c r="R437" s="90" t="n"/>
      <c r="S437" s="90" t="n"/>
      <c r="T437" s="90" t="n"/>
      <c r="U437" s="90" t="n"/>
      <c r="V437" s="90" t="n"/>
      <c r="W437" s="90" t="n"/>
      <c r="X437" s="90" t="n"/>
      <c r="Y437" s="90" t="n"/>
      <c r="Z437" s="90" t="n"/>
    </row>
    <row r="438">
      <c r="A438" s="90" t="n"/>
      <c r="B438" s="90" t="n"/>
      <c r="C438" s="90" t="n"/>
      <c r="D438" s="90" t="n"/>
      <c r="E438" s="90" t="n"/>
      <c r="F438" s="90" t="n"/>
      <c r="G438" s="90" t="n"/>
      <c r="H438" s="90" t="n"/>
      <c r="I438" s="90" t="n"/>
      <c r="J438" s="90" t="n"/>
      <c r="K438" s="90" t="n"/>
      <c r="L438" s="90" t="n"/>
      <c r="M438" s="90" t="n"/>
      <c r="N438" s="90" t="n"/>
      <c r="O438" s="90" t="n"/>
      <c r="P438" s="90" t="n"/>
      <c r="Q438" s="90" t="n"/>
      <c r="R438" s="90" t="n"/>
      <c r="S438" s="90" t="n"/>
      <c r="T438" s="90" t="n"/>
      <c r="U438" s="90" t="n"/>
      <c r="V438" s="90" t="n"/>
      <c r="W438" s="90" t="n"/>
      <c r="X438" s="90" t="n"/>
      <c r="Y438" s="90" t="n"/>
      <c r="Z438" s="90" t="n"/>
    </row>
    <row r="439">
      <c r="A439" s="90" t="n"/>
      <c r="B439" s="90" t="n"/>
      <c r="C439" s="90" t="n"/>
      <c r="D439" s="90" t="n"/>
      <c r="E439" s="90" t="n"/>
      <c r="F439" s="90" t="n"/>
      <c r="G439" s="90" t="n"/>
      <c r="H439" s="90" t="n"/>
      <c r="I439" s="90" t="n"/>
      <c r="J439" s="90" t="n"/>
      <c r="K439" s="90" t="n"/>
      <c r="L439" s="90" t="n"/>
      <c r="M439" s="90" t="n"/>
      <c r="N439" s="90" t="n"/>
      <c r="O439" s="90" t="n"/>
      <c r="P439" s="90" t="n"/>
      <c r="Q439" s="90" t="n"/>
      <c r="R439" s="90" t="n"/>
      <c r="S439" s="90" t="n"/>
      <c r="T439" s="90" t="n"/>
      <c r="U439" s="90" t="n"/>
      <c r="V439" s="90" t="n"/>
      <c r="W439" s="90" t="n"/>
      <c r="X439" s="90" t="n"/>
      <c r="Y439" s="90" t="n"/>
      <c r="Z439" s="90" t="n"/>
    </row>
    <row r="440">
      <c r="A440" s="90" t="n"/>
      <c r="B440" s="90" t="n"/>
      <c r="C440" s="90" t="n"/>
      <c r="D440" s="90" t="n"/>
      <c r="E440" s="90" t="n"/>
      <c r="F440" s="90" t="n"/>
      <c r="G440" s="90" t="n"/>
      <c r="H440" s="90" t="n"/>
      <c r="I440" s="90" t="n"/>
      <c r="J440" s="90" t="n"/>
      <c r="K440" s="90" t="n"/>
      <c r="L440" s="90" t="n"/>
      <c r="M440" s="90" t="n"/>
      <c r="N440" s="90" t="n"/>
      <c r="O440" s="90" t="n"/>
      <c r="P440" s="90" t="n"/>
      <c r="Q440" s="90" t="n"/>
      <c r="R440" s="90" t="n"/>
      <c r="S440" s="90" t="n"/>
      <c r="T440" s="90" t="n"/>
      <c r="U440" s="90" t="n"/>
      <c r="V440" s="90" t="n"/>
      <c r="W440" s="90" t="n"/>
      <c r="X440" s="90" t="n"/>
      <c r="Y440" s="90" t="n"/>
      <c r="Z440" s="90" t="n"/>
    </row>
    <row r="441">
      <c r="A441" s="90" t="n"/>
      <c r="B441" s="90" t="n"/>
      <c r="C441" s="90" t="n"/>
      <c r="D441" s="90" t="n"/>
      <c r="E441" s="90" t="n"/>
      <c r="F441" s="90" t="n"/>
      <c r="G441" s="90" t="n"/>
      <c r="H441" s="90" t="n"/>
      <c r="I441" s="90" t="n"/>
      <c r="J441" s="90" t="n"/>
      <c r="K441" s="90" t="n"/>
      <c r="L441" s="90" t="n"/>
      <c r="M441" s="90" t="n"/>
      <c r="N441" s="90" t="n"/>
      <c r="O441" s="90" t="n"/>
      <c r="P441" s="90" t="n"/>
      <c r="Q441" s="90" t="n"/>
      <c r="R441" s="90" t="n"/>
      <c r="S441" s="90" t="n"/>
      <c r="T441" s="90" t="n"/>
      <c r="U441" s="90" t="n"/>
      <c r="V441" s="90" t="n"/>
      <c r="W441" s="90" t="n"/>
      <c r="X441" s="90" t="n"/>
      <c r="Y441" s="90" t="n"/>
      <c r="Z441" s="90" t="n"/>
    </row>
    <row r="442">
      <c r="A442" s="90" t="n"/>
      <c r="B442" s="90" t="n"/>
      <c r="C442" s="90" t="n"/>
      <c r="D442" s="90" t="n"/>
      <c r="E442" s="90" t="n"/>
      <c r="F442" s="90" t="n"/>
      <c r="G442" s="90" t="n"/>
      <c r="H442" s="90" t="n"/>
      <c r="I442" s="90" t="n"/>
      <c r="J442" s="90" t="n"/>
      <c r="K442" s="90" t="n"/>
      <c r="L442" s="90" t="n"/>
      <c r="M442" s="90" t="n"/>
      <c r="N442" s="90" t="n"/>
      <c r="O442" s="90" t="n"/>
      <c r="P442" s="90" t="n"/>
      <c r="Q442" s="90" t="n"/>
      <c r="R442" s="90" t="n"/>
      <c r="S442" s="90" t="n"/>
      <c r="T442" s="90" t="n"/>
      <c r="U442" s="90" t="n"/>
      <c r="V442" s="90" t="n"/>
      <c r="W442" s="90" t="n"/>
      <c r="X442" s="90" t="n"/>
      <c r="Y442" s="90" t="n"/>
      <c r="Z442" s="90" t="n"/>
    </row>
    <row r="443">
      <c r="A443" s="90" t="n"/>
      <c r="B443" s="90" t="n"/>
      <c r="C443" s="90" t="n"/>
      <c r="D443" s="90" t="n"/>
      <c r="E443" s="90" t="n"/>
      <c r="F443" s="90" t="n"/>
      <c r="G443" s="90" t="n"/>
      <c r="H443" s="90" t="n"/>
      <c r="I443" s="90" t="n"/>
      <c r="J443" s="90" t="n"/>
      <c r="K443" s="90" t="n"/>
      <c r="L443" s="90" t="n"/>
      <c r="M443" s="90" t="n"/>
      <c r="N443" s="90" t="n"/>
      <c r="O443" s="90" t="n"/>
      <c r="P443" s="90" t="n"/>
      <c r="Q443" s="90" t="n"/>
      <c r="R443" s="90" t="n"/>
      <c r="S443" s="90" t="n"/>
      <c r="T443" s="90" t="n"/>
      <c r="U443" s="90" t="n"/>
      <c r="V443" s="90" t="n"/>
      <c r="W443" s="90" t="n"/>
      <c r="X443" s="90" t="n"/>
      <c r="Y443" s="90" t="n"/>
      <c r="Z443" s="90" t="n"/>
    </row>
    <row r="444">
      <c r="A444" s="90" t="n"/>
      <c r="B444" s="90" t="n"/>
      <c r="C444" s="90" t="n"/>
      <c r="D444" s="90" t="n"/>
      <c r="E444" s="90" t="n"/>
      <c r="F444" s="90" t="n"/>
      <c r="G444" s="90" t="n"/>
      <c r="H444" s="90" t="n"/>
      <c r="I444" s="90" t="n"/>
      <c r="J444" s="90" t="n"/>
      <c r="K444" s="90" t="n"/>
      <c r="L444" s="90" t="n"/>
      <c r="M444" s="90" t="n"/>
      <c r="N444" s="90" t="n"/>
      <c r="O444" s="90" t="n"/>
      <c r="P444" s="90" t="n"/>
      <c r="Q444" s="90" t="n"/>
      <c r="R444" s="90" t="n"/>
      <c r="S444" s="90" t="n"/>
      <c r="T444" s="90" t="n"/>
      <c r="U444" s="90" t="n"/>
      <c r="V444" s="90" t="n"/>
      <c r="W444" s="90" t="n"/>
      <c r="X444" s="90" t="n"/>
      <c r="Y444" s="90" t="n"/>
      <c r="Z444" s="90" t="n"/>
    </row>
    <row r="445">
      <c r="A445" s="90" t="n"/>
      <c r="B445" s="90" t="n"/>
      <c r="C445" s="90" t="n"/>
      <c r="D445" s="90" t="n"/>
      <c r="E445" s="90" t="n"/>
      <c r="F445" s="90" t="n"/>
      <c r="G445" s="90" t="n"/>
      <c r="H445" s="90" t="n"/>
      <c r="I445" s="90" t="n"/>
      <c r="J445" s="90" t="n"/>
      <c r="K445" s="90" t="n"/>
      <c r="L445" s="90" t="n"/>
      <c r="M445" s="90" t="n"/>
      <c r="N445" s="90" t="n"/>
      <c r="O445" s="90" t="n"/>
      <c r="P445" s="90" t="n"/>
      <c r="Q445" s="90" t="n"/>
      <c r="R445" s="90" t="n"/>
      <c r="S445" s="90" t="n"/>
      <c r="T445" s="90" t="n"/>
      <c r="U445" s="90" t="n"/>
      <c r="V445" s="90" t="n"/>
      <c r="W445" s="90" t="n"/>
      <c r="X445" s="90" t="n"/>
      <c r="Y445" s="90" t="n"/>
      <c r="Z445" s="90" t="n"/>
    </row>
    <row r="446">
      <c r="A446" s="90" t="n"/>
      <c r="B446" s="90" t="n"/>
      <c r="C446" s="90" t="n"/>
      <c r="D446" s="90" t="n"/>
      <c r="E446" s="90" t="n"/>
      <c r="F446" s="90" t="n"/>
      <c r="G446" s="90" t="n"/>
      <c r="H446" s="90" t="n"/>
      <c r="I446" s="90" t="n"/>
      <c r="J446" s="90" t="n"/>
      <c r="K446" s="90" t="n"/>
      <c r="L446" s="90" t="n"/>
      <c r="M446" s="90" t="n"/>
      <c r="N446" s="90" t="n"/>
      <c r="O446" s="90" t="n"/>
      <c r="P446" s="90" t="n"/>
      <c r="Q446" s="90" t="n"/>
      <c r="R446" s="90" t="n"/>
      <c r="S446" s="90" t="n"/>
      <c r="T446" s="90" t="n"/>
      <c r="U446" s="90" t="n"/>
      <c r="V446" s="90" t="n"/>
      <c r="W446" s="90" t="n"/>
      <c r="X446" s="90" t="n"/>
      <c r="Y446" s="90" t="n"/>
      <c r="Z446" s="90" t="n"/>
    </row>
    <row r="447">
      <c r="A447" s="90" t="n"/>
      <c r="B447" s="90" t="n"/>
      <c r="C447" s="90" t="n"/>
      <c r="D447" s="90" t="n"/>
      <c r="E447" s="90" t="n"/>
      <c r="F447" s="90" t="n"/>
      <c r="G447" s="90" t="n"/>
      <c r="H447" s="90" t="n"/>
      <c r="I447" s="90" t="n"/>
      <c r="J447" s="90" t="n"/>
      <c r="K447" s="90" t="n"/>
      <c r="L447" s="90" t="n"/>
      <c r="M447" s="90" t="n"/>
      <c r="N447" s="90" t="n"/>
      <c r="O447" s="90" t="n"/>
      <c r="P447" s="90" t="n"/>
      <c r="Q447" s="90" t="n"/>
      <c r="R447" s="90" t="n"/>
      <c r="S447" s="90" t="n"/>
      <c r="T447" s="90" t="n"/>
      <c r="U447" s="90" t="n"/>
      <c r="V447" s="90" t="n"/>
      <c r="W447" s="90" t="n"/>
      <c r="X447" s="90" t="n"/>
      <c r="Y447" s="90" t="n"/>
      <c r="Z447" s="90" t="n"/>
    </row>
    <row r="448">
      <c r="A448" s="90" t="n"/>
      <c r="B448" s="90" t="n"/>
      <c r="C448" s="90" t="n"/>
      <c r="D448" s="90" t="n"/>
      <c r="E448" s="90" t="n"/>
      <c r="F448" s="90" t="n"/>
      <c r="G448" s="90" t="n"/>
      <c r="H448" s="90" t="n"/>
      <c r="I448" s="90" t="n"/>
      <c r="J448" s="90" t="n"/>
      <c r="K448" s="90" t="n"/>
      <c r="L448" s="90" t="n"/>
      <c r="M448" s="90" t="n"/>
      <c r="N448" s="90" t="n"/>
      <c r="O448" s="90" t="n"/>
      <c r="P448" s="90" t="n"/>
      <c r="Q448" s="90" t="n"/>
      <c r="R448" s="90" t="n"/>
      <c r="S448" s="90" t="n"/>
      <c r="T448" s="90" t="n"/>
      <c r="U448" s="90" t="n"/>
      <c r="V448" s="90" t="n"/>
      <c r="W448" s="90" t="n"/>
      <c r="X448" s="90" t="n"/>
      <c r="Y448" s="90" t="n"/>
      <c r="Z448" s="90" t="n"/>
    </row>
    <row r="449">
      <c r="A449" s="90" t="n"/>
      <c r="B449" s="90" t="n"/>
      <c r="C449" s="90" t="n"/>
      <c r="D449" s="90" t="n"/>
      <c r="E449" s="90" t="n"/>
      <c r="F449" s="90" t="n"/>
      <c r="G449" s="90" t="n"/>
      <c r="H449" s="90" t="n"/>
      <c r="I449" s="90" t="n"/>
      <c r="J449" s="90" t="n"/>
      <c r="K449" s="90" t="n"/>
      <c r="L449" s="90" t="n"/>
      <c r="M449" s="90" t="n"/>
      <c r="N449" s="90" t="n"/>
      <c r="O449" s="90" t="n"/>
      <c r="P449" s="90" t="n"/>
      <c r="Q449" s="90" t="n"/>
      <c r="R449" s="90" t="n"/>
      <c r="S449" s="90" t="n"/>
      <c r="T449" s="90" t="n"/>
      <c r="U449" s="90" t="n"/>
      <c r="V449" s="90" t="n"/>
      <c r="W449" s="90" t="n"/>
      <c r="X449" s="90" t="n"/>
      <c r="Y449" s="90" t="n"/>
      <c r="Z449" s="90" t="n"/>
    </row>
    <row r="450">
      <c r="A450" s="90" t="n"/>
      <c r="B450" s="90" t="n"/>
      <c r="C450" s="90" t="n"/>
      <c r="D450" s="90" t="n"/>
      <c r="E450" s="90" t="n"/>
      <c r="F450" s="90" t="n"/>
      <c r="G450" s="90" t="n"/>
      <c r="H450" s="90" t="n"/>
      <c r="I450" s="90" t="n"/>
      <c r="J450" s="90" t="n"/>
      <c r="K450" s="90" t="n"/>
      <c r="L450" s="90" t="n"/>
      <c r="M450" s="90" t="n"/>
      <c r="N450" s="90" t="n"/>
      <c r="O450" s="90" t="n"/>
      <c r="P450" s="90" t="n"/>
      <c r="Q450" s="90" t="n"/>
      <c r="R450" s="90" t="n"/>
      <c r="S450" s="90" t="n"/>
      <c r="T450" s="90" t="n"/>
      <c r="U450" s="90" t="n"/>
      <c r="V450" s="90" t="n"/>
      <c r="W450" s="90" t="n"/>
      <c r="X450" s="90" t="n"/>
      <c r="Y450" s="90" t="n"/>
      <c r="Z450" s="90" t="n"/>
    </row>
    <row r="451">
      <c r="A451" s="90" t="n"/>
      <c r="B451" s="90" t="n"/>
      <c r="C451" s="90" t="n"/>
      <c r="D451" s="90" t="n"/>
      <c r="E451" s="90" t="n"/>
      <c r="F451" s="90" t="n"/>
      <c r="G451" s="90" t="n"/>
      <c r="H451" s="90" t="n"/>
      <c r="I451" s="90" t="n"/>
      <c r="J451" s="90" t="n"/>
      <c r="K451" s="90" t="n"/>
      <c r="L451" s="90" t="n"/>
      <c r="M451" s="90" t="n"/>
      <c r="N451" s="90" t="n"/>
      <c r="O451" s="90" t="n"/>
      <c r="P451" s="90" t="n"/>
      <c r="Q451" s="90" t="n"/>
      <c r="R451" s="90" t="n"/>
      <c r="S451" s="90" t="n"/>
      <c r="T451" s="90" t="n"/>
      <c r="U451" s="90" t="n"/>
      <c r="V451" s="90" t="n"/>
      <c r="W451" s="90" t="n"/>
      <c r="X451" s="90" t="n"/>
      <c r="Y451" s="90" t="n"/>
      <c r="Z451" s="90" t="n"/>
    </row>
    <row r="452">
      <c r="A452" s="90" t="n"/>
      <c r="B452" s="90" t="n"/>
      <c r="C452" s="90" t="n"/>
      <c r="D452" s="90" t="n"/>
      <c r="E452" s="90" t="n"/>
      <c r="F452" s="90" t="n"/>
      <c r="G452" s="90" t="n"/>
      <c r="H452" s="90" t="n"/>
      <c r="I452" s="90" t="n"/>
      <c r="J452" s="90" t="n"/>
      <c r="K452" s="90" t="n"/>
      <c r="L452" s="90" t="n"/>
      <c r="M452" s="90" t="n"/>
      <c r="N452" s="90" t="n"/>
      <c r="O452" s="90" t="n"/>
      <c r="P452" s="90" t="n"/>
      <c r="Q452" s="90" t="n"/>
      <c r="R452" s="90" t="n"/>
      <c r="S452" s="90" t="n"/>
      <c r="T452" s="90" t="n"/>
      <c r="U452" s="90" t="n"/>
      <c r="V452" s="90" t="n"/>
      <c r="W452" s="90" t="n"/>
      <c r="X452" s="90" t="n"/>
      <c r="Y452" s="90" t="n"/>
      <c r="Z452" s="90" t="n"/>
    </row>
    <row r="453">
      <c r="A453" s="90" t="n"/>
      <c r="B453" s="90" t="n"/>
      <c r="C453" s="90" t="n"/>
      <c r="D453" s="90" t="n"/>
      <c r="E453" s="90" t="n"/>
      <c r="F453" s="90" t="n"/>
      <c r="G453" s="90" t="n"/>
      <c r="H453" s="90" t="n"/>
      <c r="I453" s="90" t="n"/>
      <c r="J453" s="90" t="n"/>
      <c r="K453" s="90" t="n"/>
      <c r="L453" s="90" t="n"/>
      <c r="M453" s="90" t="n"/>
      <c r="N453" s="90" t="n"/>
      <c r="O453" s="90" t="n"/>
      <c r="P453" s="90" t="n"/>
      <c r="Q453" s="90" t="n"/>
      <c r="R453" s="90" t="n"/>
      <c r="S453" s="90" t="n"/>
      <c r="T453" s="90" t="n"/>
      <c r="U453" s="90" t="n"/>
      <c r="V453" s="90" t="n"/>
      <c r="W453" s="90" t="n"/>
      <c r="X453" s="90" t="n"/>
      <c r="Y453" s="90" t="n"/>
      <c r="Z453" s="90" t="n"/>
    </row>
    <row r="454">
      <c r="A454" s="90" t="n"/>
      <c r="B454" s="90" t="n"/>
      <c r="C454" s="90" t="n"/>
      <c r="D454" s="90" t="n"/>
      <c r="E454" s="90" t="n"/>
      <c r="F454" s="90" t="n"/>
      <c r="G454" s="90" t="n"/>
      <c r="H454" s="90" t="n"/>
      <c r="I454" s="90" t="n"/>
      <c r="J454" s="90" t="n"/>
      <c r="K454" s="90" t="n"/>
      <c r="L454" s="90" t="n"/>
      <c r="M454" s="90" t="n"/>
      <c r="N454" s="90" t="n"/>
      <c r="O454" s="90" t="n"/>
      <c r="P454" s="90" t="n"/>
      <c r="Q454" s="90" t="n"/>
      <c r="R454" s="90" t="n"/>
      <c r="S454" s="90" t="n"/>
      <c r="T454" s="90" t="n"/>
      <c r="U454" s="90" t="n"/>
      <c r="V454" s="90" t="n"/>
      <c r="W454" s="90" t="n"/>
      <c r="X454" s="90" t="n"/>
      <c r="Y454" s="90" t="n"/>
      <c r="Z454" s="90" t="n"/>
    </row>
    <row r="455">
      <c r="A455" s="90" t="n"/>
      <c r="B455" s="90" t="n"/>
      <c r="C455" s="90" t="n"/>
      <c r="D455" s="90" t="n"/>
      <c r="E455" s="90" t="n"/>
      <c r="F455" s="90" t="n"/>
      <c r="G455" s="90" t="n"/>
      <c r="H455" s="90" t="n"/>
      <c r="I455" s="90" t="n"/>
      <c r="J455" s="90" t="n"/>
      <c r="K455" s="90" t="n"/>
      <c r="L455" s="90" t="n"/>
      <c r="M455" s="90" t="n"/>
      <c r="N455" s="90" t="n"/>
      <c r="O455" s="90" t="n"/>
      <c r="P455" s="90" t="n"/>
      <c r="Q455" s="90" t="n"/>
      <c r="R455" s="90" t="n"/>
      <c r="S455" s="90" t="n"/>
      <c r="T455" s="90" t="n"/>
      <c r="U455" s="90" t="n"/>
      <c r="V455" s="90" t="n"/>
      <c r="W455" s="90" t="n"/>
      <c r="X455" s="90" t="n"/>
      <c r="Y455" s="90" t="n"/>
      <c r="Z455" s="90" t="n"/>
    </row>
    <row r="456">
      <c r="A456" s="90" t="n"/>
      <c r="B456" s="90" t="n"/>
      <c r="C456" s="90" t="n"/>
      <c r="D456" s="90" t="n"/>
      <c r="E456" s="90" t="n"/>
      <c r="F456" s="90" t="n"/>
      <c r="G456" s="90" t="n"/>
      <c r="H456" s="90" t="n"/>
      <c r="I456" s="90" t="n"/>
      <c r="J456" s="90" t="n"/>
      <c r="K456" s="90" t="n"/>
      <c r="L456" s="90" t="n"/>
      <c r="M456" s="90" t="n"/>
      <c r="N456" s="90" t="n"/>
      <c r="O456" s="90" t="n"/>
      <c r="P456" s="90" t="n"/>
      <c r="Q456" s="90" t="n"/>
      <c r="R456" s="90" t="n"/>
      <c r="S456" s="90" t="n"/>
      <c r="T456" s="90" t="n"/>
      <c r="U456" s="90" t="n"/>
      <c r="V456" s="90" t="n"/>
      <c r="W456" s="90" t="n"/>
      <c r="X456" s="90" t="n"/>
      <c r="Y456" s="90" t="n"/>
      <c r="Z456" s="90" t="n"/>
    </row>
    <row r="457">
      <c r="A457" s="90" t="n"/>
      <c r="B457" s="90" t="n"/>
      <c r="C457" s="90" t="n"/>
      <c r="D457" s="90" t="n"/>
      <c r="E457" s="90" t="n"/>
      <c r="F457" s="90" t="n"/>
      <c r="G457" s="90" t="n"/>
      <c r="H457" s="90" t="n"/>
      <c r="I457" s="90" t="n"/>
      <c r="J457" s="90" t="n"/>
      <c r="K457" s="90" t="n"/>
      <c r="L457" s="90" t="n"/>
      <c r="M457" s="90" t="n"/>
      <c r="N457" s="90" t="n"/>
      <c r="O457" s="90" t="n"/>
      <c r="P457" s="90" t="n"/>
      <c r="Q457" s="90" t="n"/>
      <c r="R457" s="90" t="n"/>
      <c r="S457" s="90" t="n"/>
      <c r="T457" s="90" t="n"/>
      <c r="U457" s="90" t="n"/>
      <c r="V457" s="90" t="n"/>
      <c r="W457" s="90" t="n"/>
      <c r="X457" s="90" t="n"/>
      <c r="Y457" s="90" t="n"/>
      <c r="Z457" s="90" t="n"/>
    </row>
    <row r="458">
      <c r="A458" s="90" t="n"/>
      <c r="B458" s="90" t="n"/>
      <c r="C458" s="90" t="n"/>
      <c r="D458" s="90" t="n"/>
      <c r="E458" s="90" t="n"/>
      <c r="F458" s="90" t="n"/>
      <c r="G458" s="90" t="n"/>
      <c r="H458" s="90" t="n"/>
      <c r="I458" s="90" t="n"/>
      <c r="J458" s="90" t="n"/>
      <c r="K458" s="90" t="n"/>
      <c r="L458" s="90" t="n"/>
      <c r="M458" s="90" t="n"/>
      <c r="N458" s="90" t="n"/>
      <c r="O458" s="90" t="n"/>
      <c r="P458" s="90" t="n"/>
      <c r="Q458" s="90" t="n"/>
      <c r="R458" s="90" t="n"/>
      <c r="S458" s="90" t="n"/>
      <c r="T458" s="90" t="n"/>
      <c r="U458" s="90" t="n"/>
      <c r="V458" s="90" t="n"/>
      <c r="W458" s="90" t="n"/>
      <c r="X458" s="90" t="n"/>
      <c r="Y458" s="90" t="n"/>
      <c r="Z458" s="90" t="n"/>
    </row>
    <row r="459">
      <c r="A459" s="90" t="n"/>
      <c r="B459" s="90" t="n"/>
      <c r="C459" s="90" t="n"/>
      <c r="D459" s="90" t="n"/>
      <c r="E459" s="90" t="n"/>
      <c r="F459" s="90" t="n"/>
      <c r="G459" s="90" t="n"/>
      <c r="H459" s="90" t="n"/>
      <c r="I459" s="90" t="n"/>
      <c r="J459" s="90" t="n"/>
      <c r="K459" s="90" t="n"/>
      <c r="L459" s="90" t="n"/>
      <c r="M459" s="90" t="n"/>
      <c r="N459" s="90" t="n"/>
      <c r="O459" s="90" t="n"/>
      <c r="P459" s="90" t="n"/>
      <c r="Q459" s="90" t="n"/>
      <c r="R459" s="90" t="n"/>
      <c r="S459" s="90" t="n"/>
      <c r="T459" s="90" t="n"/>
      <c r="U459" s="90" t="n"/>
      <c r="V459" s="90" t="n"/>
      <c r="W459" s="90" t="n"/>
      <c r="X459" s="90" t="n"/>
      <c r="Y459" s="90" t="n"/>
      <c r="Z459" s="90" t="n"/>
    </row>
    <row r="460">
      <c r="A460" s="90" t="n"/>
      <c r="B460" s="90" t="n"/>
      <c r="C460" s="90" t="n"/>
      <c r="D460" s="90" t="n"/>
      <c r="E460" s="90" t="n"/>
      <c r="F460" s="90" t="n"/>
      <c r="G460" s="90" t="n"/>
      <c r="H460" s="90" t="n"/>
      <c r="I460" s="90" t="n"/>
      <c r="J460" s="90" t="n"/>
      <c r="K460" s="90" t="n"/>
      <c r="L460" s="90" t="n"/>
      <c r="M460" s="90" t="n"/>
      <c r="N460" s="90" t="n"/>
      <c r="O460" s="90" t="n"/>
      <c r="P460" s="90" t="n"/>
      <c r="Q460" s="90" t="n"/>
      <c r="R460" s="90" t="n"/>
      <c r="S460" s="90" t="n"/>
      <c r="T460" s="90" t="n"/>
      <c r="U460" s="90" t="n"/>
      <c r="V460" s="90" t="n"/>
      <c r="W460" s="90" t="n"/>
      <c r="X460" s="90" t="n"/>
      <c r="Y460" s="90" t="n"/>
      <c r="Z460" s="90" t="n"/>
    </row>
    <row r="461">
      <c r="A461" s="90" t="n"/>
      <c r="B461" s="90" t="n"/>
      <c r="C461" s="90" t="n"/>
      <c r="D461" s="90" t="n"/>
      <c r="E461" s="90" t="n"/>
      <c r="F461" s="90" t="n"/>
      <c r="G461" s="90" t="n"/>
      <c r="H461" s="90" t="n"/>
      <c r="I461" s="90" t="n"/>
      <c r="J461" s="90" t="n"/>
      <c r="K461" s="90" t="n"/>
      <c r="L461" s="90" t="n"/>
      <c r="M461" s="90" t="n"/>
      <c r="N461" s="90" t="n"/>
      <c r="O461" s="90" t="n"/>
      <c r="P461" s="90" t="n"/>
      <c r="Q461" s="90" t="n"/>
      <c r="R461" s="90" t="n"/>
      <c r="S461" s="90" t="n"/>
      <c r="T461" s="90" t="n"/>
      <c r="U461" s="90" t="n"/>
      <c r="V461" s="90" t="n"/>
      <c r="W461" s="90" t="n"/>
      <c r="X461" s="90" t="n"/>
      <c r="Y461" s="90" t="n"/>
      <c r="Z461" s="90" t="n"/>
    </row>
    <row r="462">
      <c r="A462" s="90" t="n"/>
      <c r="B462" s="90" t="n"/>
      <c r="C462" s="90" t="n"/>
      <c r="D462" s="90" t="n"/>
      <c r="E462" s="90" t="n"/>
      <c r="F462" s="90" t="n"/>
      <c r="G462" s="90" t="n"/>
      <c r="H462" s="90" t="n"/>
      <c r="I462" s="90" t="n"/>
      <c r="J462" s="90" t="n"/>
      <c r="K462" s="90" t="n"/>
      <c r="L462" s="90" t="n"/>
      <c r="M462" s="90" t="n"/>
      <c r="N462" s="90" t="n"/>
      <c r="O462" s="90" t="n"/>
      <c r="P462" s="90" t="n"/>
      <c r="Q462" s="90" t="n"/>
      <c r="R462" s="90" t="n"/>
      <c r="S462" s="90" t="n"/>
      <c r="T462" s="90" t="n"/>
      <c r="U462" s="90" t="n"/>
      <c r="V462" s="90" t="n"/>
      <c r="W462" s="90" t="n"/>
      <c r="X462" s="90" t="n"/>
      <c r="Y462" s="90" t="n"/>
      <c r="Z462" s="90" t="n"/>
    </row>
    <row r="463">
      <c r="A463" s="90" t="n"/>
      <c r="B463" s="90" t="n"/>
      <c r="C463" s="90" t="n"/>
      <c r="D463" s="90" t="n"/>
      <c r="E463" s="90" t="n"/>
      <c r="F463" s="90" t="n"/>
      <c r="G463" s="90" t="n"/>
      <c r="H463" s="90" t="n"/>
      <c r="I463" s="90" t="n"/>
      <c r="J463" s="90" t="n"/>
      <c r="K463" s="90" t="n"/>
      <c r="L463" s="90" t="n"/>
      <c r="M463" s="90" t="n"/>
      <c r="N463" s="90" t="n"/>
      <c r="O463" s="90" t="n"/>
      <c r="P463" s="90" t="n"/>
      <c r="Q463" s="90" t="n"/>
      <c r="R463" s="90" t="n"/>
      <c r="S463" s="90" t="n"/>
      <c r="T463" s="90" t="n"/>
      <c r="U463" s="90" t="n"/>
      <c r="V463" s="90" t="n"/>
      <c r="W463" s="90" t="n"/>
      <c r="X463" s="90" t="n"/>
      <c r="Y463" s="90" t="n"/>
      <c r="Z463" s="90" t="n"/>
    </row>
    <row r="464">
      <c r="A464" s="90" t="n"/>
      <c r="B464" s="90" t="n"/>
      <c r="C464" s="90" t="n"/>
      <c r="D464" s="90" t="n"/>
      <c r="E464" s="90" t="n"/>
      <c r="F464" s="90" t="n"/>
      <c r="G464" s="90" t="n"/>
      <c r="H464" s="90" t="n"/>
      <c r="I464" s="90" t="n"/>
      <c r="J464" s="90" t="n"/>
      <c r="K464" s="90" t="n"/>
      <c r="L464" s="90" t="n"/>
      <c r="M464" s="90" t="n"/>
      <c r="N464" s="90" t="n"/>
      <c r="O464" s="90" t="n"/>
      <c r="P464" s="90" t="n"/>
      <c r="Q464" s="90" t="n"/>
      <c r="R464" s="90" t="n"/>
      <c r="S464" s="90" t="n"/>
      <c r="T464" s="90" t="n"/>
      <c r="U464" s="90" t="n"/>
      <c r="V464" s="90" t="n"/>
      <c r="W464" s="90" t="n"/>
      <c r="X464" s="90" t="n"/>
      <c r="Y464" s="90" t="n"/>
      <c r="Z464" s="90" t="n"/>
    </row>
    <row r="465">
      <c r="A465" s="90" t="n"/>
      <c r="B465" s="90" t="n"/>
      <c r="C465" s="90" t="n"/>
      <c r="D465" s="90" t="n"/>
      <c r="E465" s="90" t="n"/>
      <c r="F465" s="90" t="n"/>
      <c r="G465" s="90" t="n"/>
      <c r="H465" s="90" t="n"/>
      <c r="I465" s="90" t="n"/>
      <c r="J465" s="90" t="n"/>
      <c r="K465" s="90" t="n"/>
      <c r="L465" s="90" t="n"/>
      <c r="M465" s="90" t="n"/>
      <c r="N465" s="90" t="n"/>
      <c r="O465" s="90" t="n"/>
      <c r="P465" s="90" t="n"/>
      <c r="Q465" s="90" t="n"/>
      <c r="R465" s="90" t="n"/>
      <c r="S465" s="90" t="n"/>
      <c r="T465" s="90" t="n"/>
      <c r="U465" s="90" t="n"/>
      <c r="V465" s="90" t="n"/>
      <c r="W465" s="90" t="n"/>
      <c r="X465" s="90" t="n"/>
      <c r="Y465" s="90" t="n"/>
      <c r="Z465" s="90" t="n"/>
    </row>
    <row r="466">
      <c r="A466" s="90" t="n"/>
      <c r="B466" s="90" t="n"/>
      <c r="C466" s="90" t="n"/>
      <c r="D466" s="90" t="n"/>
      <c r="E466" s="90" t="n"/>
      <c r="F466" s="90" t="n"/>
      <c r="G466" s="90" t="n"/>
      <c r="H466" s="90" t="n"/>
      <c r="I466" s="90" t="n"/>
      <c r="J466" s="90" t="n"/>
      <c r="K466" s="90" t="n"/>
      <c r="L466" s="90" t="n"/>
      <c r="M466" s="90" t="n"/>
      <c r="N466" s="90" t="n"/>
      <c r="O466" s="90" t="n"/>
      <c r="P466" s="90" t="n"/>
      <c r="Q466" s="90" t="n"/>
      <c r="R466" s="90" t="n"/>
      <c r="S466" s="90" t="n"/>
      <c r="T466" s="90" t="n"/>
      <c r="U466" s="90" t="n"/>
      <c r="V466" s="90" t="n"/>
      <c r="W466" s="90" t="n"/>
      <c r="X466" s="90" t="n"/>
      <c r="Y466" s="90" t="n"/>
      <c r="Z466" s="90" t="n"/>
    </row>
    <row r="467">
      <c r="A467" s="90" t="n"/>
      <c r="B467" s="90" t="n"/>
      <c r="C467" s="90" t="n"/>
      <c r="D467" s="90" t="n"/>
      <c r="E467" s="90" t="n"/>
      <c r="F467" s="90" t="n"/>
      <c r="G467" s="90" t="n"/>
      <c r="H467" s="90" t="n"/>
      <c r="I467" s="90" t="n"/>
      <c r="J467" s="90" t="n"/>
      <c r="K467" s="90" t="n"/>
      <c r="L467" s="90" t="n"/>
      <c r="M467" s="90" t="n"/>
      <c r="N467" s="90" t="n"/>
      <c r="O467" s="90" t="n"/>
      <c r="P467" s="90" t="n"/>
      <c r="Q467" s="90" t="n"/>
      <c r="R467" s="90" t="n"/>
      <c r="S467" s="90" t="n"/>
      <c r="T467" s="90" t="n"/>
      <c r="U467" s="90" t="n"/>
      <c r="V467" s="90" t="n"/>
      <c r="W467" s="90" t="n"/>
      <c r="X467" s="90" t="n"/>
      <c r="Y467" s="90" t="n"/>
      <c r="Z467" s="90" t="n"/>
    </row>
    <row r="468">
      <c r="A468" s="90" t="n"/>
      <c r="B468" s="90" t="n"/>
      <c r="C468" s="90" t="n"/>
      <c r="D468" s="90" t="n"/>
      <c r="E468" s="90" t="n"/>
      <c r="F468" s="90" t="n"/>
      <c r="G468" s="90" t="n"/>
      <c r="H468" s="90" t="n"/>
      <c r="I468" s="90" t="n"/>
      <c r="J468" s="90" t="n"/>
      <c r="K468" s="90" t="n"/>
      <c r="L468" s="90" t="n"/>
      <c r="M468" s="90" t="n"/>
      <c r="N468" s="90" t="n"/>
      <c r="O468" s="90" t="n"/>
      <c r="P468" s="90" t="n"/>
      <c r="Q468" s="90" t="n"/>
      <c r="R468" s="90" t="n"/>
      <c r="S468" s="90" t="n"/>
      <c r="T468" s="90" t="n"/>
      <c r="U468" s="90" t="n"/>
      <c r="V468" s="90" t="n"/>
      <c r="W468" s="90" t="n"/>
      <c r="X468" s="90" t="n"/>
      <c r="Y468" s="90" t="n"/>
      <c r="Z468" s="90" t="n"/>
    </row>
    <row r="469">
      <c r="A469" s="90" t="n"/>
      <c r="B469" s="90" t="n"/>
      <c r="C469" s="90" t="n"/>
      <c r="D469" s="90" t="n"/>
      <c r="E469" s="90" t="n"/>
      <c r="F469" s="90" t="n"/>
      <c r="G469" s="90" t="n"/>
      <c r="H469" s="90" t="n"/>
      <c r="I469" s="90" t="n"/>
      <c r="J469" s="90" t="n"/>
      <c r="K469" s="90" t="n"/>
      <c r="L469" s="90" t="n"/>
      <c r="M469" s="90" t="n"/>
      <c r="N469" s="90" t="n"/>
      <c r="O469" s="90" t="n"/>
      <c r="P469" s="90" t="n"/>
      <c r="Q469" s="90" t="n"/>
      <c r="R469" s="90" t="n"/>
      <c r="S469" s="90" t="n"/>
      <c r="T469" s="90" t="n"/>
      <c r="U469" s="90" t="n"/>
      <c r="V469" s="90" t="n"/>
      <c r="W469" s="90" t="n"/>
      <c r="X469" s="90" t="n"/>
      <c r="Y469" s="90" t="n"/>
      <c r="Z469" s="90" t="n"/>
    </row>
    <row r="470">
      <c r="A470" s="90" t="n"/>
      <c r="B470" s="90" t="n"/>
      <c r="C470" s="90" t="n"/>
      <c r="D470" s="90" t="n"/>
      <c r="E470" s="90" t="n"/>
      <c r="F470" s="90" t="n"/>
      <c r="G470" s="90" t="n"/>
      <c r="H470" s="90" t="n"/>
      <c r="I470" s="90" t="n"/>
      <c r="J470" s="90" t="n"/>
      <c r="K470" s="90" t="n"/>
      <c r="L470" s="90" t="n"/>
      <c r="M470" s="90" t="n"/>
      <c r="N470" s="90" t="n"/>
      <c r="O470" s="90" t="n"/>
      <c r="P470" s="90" t="n"/>
      <c r="Q470" s="90" t="n"/>
      <c r="R470" s="90" t="n"/>
      <c r="S470" s="90" t="n"/>
      <c r="T470" s="90" t="n"/>
      <c r="U470" s="90" t="n"/>
      <c r="V470" s="90" t="n"/>
      <c r="W470" s="90" t="n"/>
      <c r="X470" s="90" t="n"/>
      <c r="Y470" s="90" t="n"/>
      <c r="Z470" s="90" t="n"/>
    </row>
    <row r="471">
      <c r="A471" s="90" t="n"/>
      <c r="B471" s="90" t="n"/>
      <c r="C471" s="90" t="n"/>
      <c r="D471" s="90" t="n"/>
      <c r="E471" s="90" t="n"/>
      <c r="F471" s="90" t="n"/>
      <c r="G471" s="90" t="n"/>
      <c r="H471" s="90" t="n"/>
      <c r="I471" s="90" t="n"/>
      <c r="J471" s="90" t="n"/>
      <c r="K471" s="90" t="n"/>
      <c r="L471" s="90" t="n"/>
      <c r="M471" s="90" t="n"/>
      <c r="N471" s="90" t="n"/>
      <c r="O471" s="90" t="n"/>
      <c r="P471" s="90" t="n"/>
      <c r="Q471" s="90" t="n"/>
      <c r="R471" s="90" t="n"/>
      <c r="S471" s="90" t="n"/>
      <c r="T471" s="90" t="n"/>
      <c r="U471" s="90" t="n"/>
      <c r="V471" s="90" t="n"/>
      <c r="W471" s="90" t="n"/>
      <c r="X471" s="90" t="n"/>
      <c r="Y471" s="90" t="n"/>
      <c r="Z471" s="90" t="n"/>
    </row>
    <row r="472">
      <c r="A472" s="90" t="n"/>
      <c r="B472" s="90" t="n"/>
      <c r="C472" s="90" t="n"/>
      <c r="D472" s="90" t="n"/>
      <c r="E472" s="90" t="n"/>
      <c r="F472" s="90" t="n"/>
      <c r="G472" s="90" t="n"/>
      <c r="H472" s="90" t="n"/>
      <c r="I472" s="90" t="n"/>
      <c r="J472" s="90" t="n"/>
      <c r="K472" s="90" t="n"/>
      <c r="L472" s="90" t="n"/>
      <c r="M472" s="90" t="n"/>
      <c r="N472" s="90" t="n"/>
      <c r="O472" s="90" t="n"/>
      <c r="P472" s="90" t="n"/>
      <c r="Q472" s="90" t="n"/>
      <c r="R472" s="90" t="n"/>
      <c r="S472" s="90" t="n"/>
      <c r="T472" s="90" t="n"/>
      <c r="U472" s="90" t="n"/>
      <c r="V472" s="90" t="n"/>
      <c r="W472" s="90" t="n"/>
      <c r="X472" s="90" t="n"/>
      <c r="Y472" s="90" t="n"/>
      <c r="Z472" s="90" t="n"/>
    </row>
    <row r="473">
      <c r="A473" s="90" t="n"/>
      <c r="B473" s="90" t="n"/>
      <c r="C473" s="90" t="n"/>
      <c r="D473" s="90" t="n"/>
      <c r="E473" s="90" t="n"/>
      <c r="F473" s="90" t="n"/>
      <c r="G473" s="90" t="n"/>
      <c r="H473" s="90" t="n"/>
      <c r="I473" s="90" t="n"/>
      <c r="J473" s="90" t="n"/>
      <c r="K473" s="90" t="n"/>
      <c r="L473" s="90" t="n"/>
      <c r="M473" s="90" t="n"/>
      <c r="N473" s="90" t="n"/>
      <c r="O473" s="90" t="n"/>
      <c r="P473" s="90" t="n"/>
      <c r="Q473" s="90" t="n"/>
      <c r="R473" s="90" t="n"/>
      <c r="S473" s="90" t="n"/>
      <c r="T473" s="90" t="n"/>
      <c r="U473" s="90" t="n"/>
      <c r="V473" s="90" t="n"/>
      <c r="W473" s="90" t="n"/>
      <c r="X473" s="90" t="n"/>
      <c r="Y473" s="90" t="n"/>
      <c r="Z473" s="90" t="n"/>
    </row>
    <row r="474">
      <c r="A474" s="90" t="n"/>
      <c r="B474" s="90" t="n"/>
      <c r="C474" s="90" t="n"/>
      <c r="D474" s="90" t="n"/>
      <c r="E474" s="90" t="n"/>
      <c r="F474" s="90" t="n"/>
      <c r="G474" s="90" t="n"/>
      <c r="H474" s="90" t="n"/>
      <c r="I474" s="90" t="n"/>
      <c r="J474" s="90" t="n"/>
      <c r="K474" s="90" t="n"/>
      <c r="L474" s="90" t="n"/>
      <c r="M474" s="90" t="n"/>
      <c r="N474" s="90" t="n"/>
      <c r="O474" s="90" t="n"/>
      <c r="P474" s="90" t="n"/>
      <c r="Q474" s="90" t="n"/>
      <c r="R474" s="90" t="n"/>
      <c r="S474" s="90" t="n"/>
      <c r="T474" s="90" t="n"/>
      <c r="U474" s="90" t="n"/>
      <c r="V474" s="90" t="n"/>
      <c r="W474" s="90" t="n"/>
      <c r="X474" s="90" t="n"/>
      <c r="Y474" s="90" t="n"/>
      <c r="Z474" s="90" t="n"/>
    </row>
    <row r="475">
      <c r="A475" s="90" t="n"/>
      <c r="B475" s="90" t="n"/>
      <c r="C475" s="90" t="n"/>
      <c r="D475" s="90" t="n"/>
      <c r="E475" s="90" t="n"/>
      <c r="F475" s="90" t="n"/>
      <c r="G475" s="90" t="n"/>
      <c r="H475" s="90" t="n"/>
      <c r="I475" s="90" t="n"/>
      <c r="J475" s="90" t="n"/>
      <c r="K475" s="90" t="n"/>
      <c r="L475" s="90" t="n"/>
      <c r="M475" s="90" t="n"/>
      <c r="N475" s="90" t="n"/>
      <c r="O475" s="90" t="n"/>
      <c r="P475" s="90" t="n"/>
      <c r="Q475" s="90" t="n"/>
      <c r="R475" s="90" t="n"/>
      <c r="S475" s="90" t="n"/>
      <c r="T475" s="90" t="n"/>
      <c r="U475" s="90" t="n"/>
      <c r="V475" s="90" t="n"/>
      <c r="W475" s="90" t="n"/>
      <c r="X475" s="90" t="n"/>
      <c r="Y475" s="90" t="n"/>
      <c r="Z475" s="90" t="n"/>
    </row>
    <row r="476">
      <c r="A476" s="90" t="n"/>
      <c r="B476" s="90" t="n"/>
      <c r="C476" s="90" t="n"/>
      <c r="D476" s="90" t="n"/>
      <c r="E476" s="90" t="n"/>
      <c r="F476" s="90" t="n"/>
      <c r="G476" s="90" t="n"/>
      <c r="H476" s="90" t="n"/>
      <c r="I476" s="90" t="n"/>
      <c r="J476" s="90" t="n"/>
      <c r="K476" s="90" t="n"/>
      <c r="L476" s="90" t="n"/>
      <c r="M476" s="90" t="n"/>
      <c r="N476" s="90" t="n"/>
      <c r="O476" s="90" t="n"/>
      <c r="P476" s="90" t="n"/>
      <c r="Q476" s="90" t="n"/>
      <c r="R476" s="90" t="n"/>
      <c r="S476" s="90" t="n"/>
      <c r="T476" s="90" t="n"/>
      <c r="U476" s="90" t="n"/>
      <c r="V476" s="90" t="n"/>
      <c r="W476" s="90" t="n"/>
      <c r="X476" s="90" t="n"/>
      <c r="Y476" s="90" t="n"/>
      <c r="Z476" s="90" t="n"/>
    </row>
    <row r="477">
      <c r="A477" s="90" t="n"/>
      <c r="B477" s="90" t="n"/>
      <c r="C477" s="90" t="n"/>
      <c r="D477" s="90" t="n"/>
      <c r="E477" s="90" t="n"/>
      <c r="F477" s="90" t="n"/>
      <c r="G477" s="90" t="n"/>
      <c r="H477" s="90" t="n"/>
      <c r="I477" s="90" t="n"/>
      <c r="J477" s="90" t="n"/>
      <c r="K477" s="90" t="n"/>
      <c r="L477" s="90" t="n"/>
      <c r="M477" s="90" t="n"/>
      <c r="N477" s="90" t="n"/>
      <c r="O477" s="90" t="n"/>
      <c r="P477" s="90" t="n"/>
      <c r="Q477" s="90" t="n"/>
      <c r="R477" s="90" t="n"/>
      <c r="S477" s="90" t="n"/>
      <c r="T477" s="90" t="n"/>
      <c r="U477" s="90" t="n"/>
      <c r="V477" s="90" t="n"/>
      <c r="W477" s="90" t="n"/>
      <c r="X477" s="90" t="n"/>
      <c r="Y477" s="90" t="n"/>
      <c r="Z477" s="90" t="n"/>
    </row>
    <row r="478">
      <c r="A478" s="90" t="n"/>
      <c r="B478" s="90" t="n"/>
      <c r="C478" s="90" t="n"/>
      <c r="D478" s="90" t="n"/>
      <c r="E478" s="90" t="n"/>
      <c r="F478" s="90" t="n"/>
      <c r="G478" s="90" t="n"/>
      <c r="H478" s="90" t="n"/>
      <c r="I478" s="90" t="n"/>
      <c r="J478" s="90" t="n"/>
      <c r="K478" s="90" t="n"/>
      <c r="L478" s="90" t="n"/>
      <c r="M478" s="90" t="n"/>
      <c r="N478" s="90" t="n"/>
      <c r="O478" s="90" t="n"/>
      <c r="P478" s="90" t="n"/>
      <c r="Q478" s="90" t="n"/>
      <c r="R478" s="90" t="n"/>
      <c r="S478" s="90" t="n"/>
      <c r="T478" s="90" t="n"/>
      <c r="U478" s="90" t="n"/>
      <c r="V478" s="90" t="n"/>
      <c r="W478" s="90" t="n"/>
      <c r="X478" s="90" t="n"/>
      <c r="Y478" s="90" t="n"/>
      <c r="Z478" s="90" t="n"/>
    </row>
    <row r="479">
      <c r="A479" s="90" t="n"/>
      <c r="B479" s="90" t="n"/>
      <c r="C479" s="90" t="n"/>
      <c r="D479" s="90" t="n"/>
      <c r="E479" s="90" t="n"/>
      <c r="F479" s="90" t="n"/>
      <c r="G479" s="90" t="n"/>
      <c r="H479" s="90" t="n"/>
      <c r="I479" s="90" t="n"/>
      <c r="J479" s="90" t="n"/>
      <c r="K479" s="90" t="n"/>
      <c r="L479" s="90" t="n"/>
      <c r="M479" s="90" t="n"/>
      <c r="N479" s="90" t="n"/>
      <c r="O479" s="90" t="n"/>
      <c r="P479" s="90" t="n"/>
      <c r="Q479" s="90" t="n"/>
      <c r="R479" s="90" t="n"/>
      <c r="S479" s="90" t="n"/>
      <c r="T479" s="90" t="n"/>
      <c r="U479" s="90" t="n"/>
      <c r="V479" s="90" t="n"/>
      <c r="W479" s="90" t="n"/>
      <c r="X479" s="90" t="n"/>
      <c r="Y479" s="90" t="n"/>
      <c r="Z479" s="90" t="n"/>
    </row>
    <row r="480">
      <c r="A480" s="90" t="n"/>
      <c r="B480" s="90" t="n"/>
      <c r="C480" s="90" t="n"/>
      <c r="D480" s="90" t="n"/>
      <c r="E480" s="90" t="n"/>
      <c r="F480" s="90" t="n"/>
      <c r="G480" s="90" t="n"/>
      <c r="H480" s="90" t="n"/>
      <c r="I480" s="90" t="n"/>
      <c r="J480" s="90" t="n"/>
      <c r="K480" s="90" t="n"/>
      <c r="L480" s="90" t="n"/>
      <c r="M480" s="90" t="n"/>
      <c r="N480" s="90" t="n"/>
      <c r="O480" s="90" t="n"/>
      <c r="P480" s="90" t="n"/>
      <c r="Q480" s="90" t="n"/>
      <c r="R480" s="90" t="n"/>
      <c r="S480" s="90" t="n"/>
      <c r="T480" s="90" t="n"/>
      <c r="U480" s="90" t="n"/>
      <c r="V480" s="90" t="n"/>
      <c r="W480" s="90" t="n"/>
      <c r="X480" s="90" t="n"/>
      <c r="Y480" s="90" t="n"/>
      <c r="Z480" s="90" t="n"/>
    </row>
    <row r="481">
      <c r="A481" s="90" t="n"/>
      <c r="B481" s="90" t="n"/>
      <c r="C481" s="90" t="n"/>
      <c r="D481" s="90" t="n"/>
      <c r="E481" s="90" t="n"/>
      <c r="F481" s="90" t="n"/>
      <c r="G481" s="90" t="n"/>
      <c r="H481" s="90" t="n"/>
      <c r="I481" s="90" t="n"/>
      <c r="J481" s="90" t="n"/>
      <c r="K481" s="90" t="n"/>
      <c r="L481" s="90" t="n"/>
      <c r="M481" s="90" t="n"/>
      <c r="N481" s="90" t="n"/>
      <c r="O481" s="90" t="n"/>
      <c r="P481" s="90" t="n"/>
      <c r="Q481" s="90" t="n"/>
      <c r="R481" s="90" t="n"/>
      <c r="S481" s="90" t="n"/>
      <c r="T481" s="90" t="n"/>
      <c r="U481" s="90" t="n"/>
      <c r="V481" s="90" t="n"/>
      <c r="W481" s="90" t="n"/>
      <c r="X481" s="90" t="n"/>
      <c r="Y481" s="90" t="n"/>
      <c r="Z481" s="90" t="n"/>
    </row>
    <row r="482">
      <c r="A482" s="90" t="n"/>
      <c r="B482" s="90" t="n"/>
      <c r="C482" s="90" t="n"/>
      <c r="D482" s="90" t="n"/>
      <c r="E482" s="90" t="n"/>
      <c r="F482" s="90" t="n"/>
      <c r="G482" s="90" t="n"/>
      <c r="H482" s="90" t="n"/>
      <c r="I482" s="90" t="n"/>
      <c r="J482" s="90" t="n"/>
      <c r="K482" s="90" t="n"/>
      <c r="L482" s="90" t="n"/>
      <c r="M482" s="90" t="n"/>
      <c r="N482" s="90" t="n"/>
      <c r="O482" s="90" t="n"/>
      <c r="P482" s="90" t="n"/>
      <c r="Q482" s="90" t="n"/>
      <c r="R482" s="90" t="n"/>
      <c r="S482" s="90" t="n"/>
      <c r="T482" s="90" t="n"/>
      <c r="U482" s="90" t="n"/>
      <c r="V482" s="90" t="n"/>
      <c r="W482" s="90" t="n"/>
      <c r="X482" s="90" t="n"/>
      <c r="Y482" s="90" t="n"/>
      <c r="Z482" s="90" t="n"/>
    </row>
    <row r="483">
      <c r="A483" s="90" t="n"/>
      <c r="B483" s="90" t="n"/>
      <c r="C483" s="90" t="n"/>
      <c r="D483" s="90" t="n"/>
      <c r="E483" s="90" t="n"/>
      <c r="F483" s="90" t="n"/>
      <c r="G483" s="90" t="n"/>
      <c r="H483" s="90" t="n"/>
      <c r="I483" s="90" t="n"/>
      <c r="J483" s="90" t="n"/>
      <c r="K483" s="90" t="n"/>
      <c r="L483" s="90" t="n"/>
      <c r="M483" s="90" t="n"/>
      <c r="N483" s="90" t="n"/>
      <c r="O483" s="90" t="n"/>
      <c r="P483" s="90" t="n"/>
      <c r="Q483" s="90" t="n"/>
      <c r="R483" s="90" t="n"/>
      <c r="S483" s="90" t="n"/>
      <c r="T483" s="90" t="n"/>
      <c r="U483" s="90" t="n"/>
      <c r="V483" s="90" t="n"/>
      <c r="W483" s="90" t="n"/>
      <c r="X483" s="90" t="n"/>
      <c r="Y483" s="90" t="n"/>
      <c r="Z483" s="90" t="n"/>
    </row>
    <row r="484">
      <c r="A484" s="90" t="n"/>
      <c r="B484" s="90" t="n"/>
      <c r="C484" s="90" t="n"/>
      <c r="D484" s="90" t="n"/>
      <c r="E484" s="90" t="n"/>
      <c r="F484" s="90" t="n"/>
      <c r="G484" s="90" t="n"/>
      <c r="H484" s="90" t="n"/>
      <c r="I484" s="90" t="n"/>
      <c r="J484" s="90" t="n"/>
      <c r="K484" s="90" t="n"/>
      <c r="L484" s="90" t="n"/>
      <c r="M484" s="90" t="n"/>
      <c r="N484" s="90" t="n"/>
      <c r="O484" s="90" t="n"/>
      <c r="P484" s="90" t="n"/>
      <c r="Q484" s="90" t="n"/>
      <c r="R484" s="90" t="n"/>
      <c r="S484" s="90" t="n"/>
      <c r="T484" s="90" t="n"/>
      <c r="U484" s="90" t="n"/>
      <c r="V484" s="90" t="n"/>
      <c r="W484" s="90" t="n"/>
      <c r="X484" s="90" t="n"/>
      <c r="Y484" s="90" t="n"/>
      <c r="Z484" s="90" t="n"/>
    </row>
    <row r="485">
      <c r="A485" s="90" t="n"/>
      <c r="B485" s="90" t="n"/>
      <c r="C485" s="90" t="n"/>
      <c r="D485" s="90" t="n"/>
      <c r="E485" s="90" t="n"/>
      <c r="F485" s="90" t="n"/>
      <c r="G485" s="90" t="n"/>
      <c r="H485" s="90" t="n"/>
      <c r="I485" s="90" t="n"/>
      <c r="J485" s="90" t="n"/>
      <c r="K485" s="90" t="n"/>
      <c r="L485" s="90" t="n"/>
      <c r="M485" s="90" t="n"/>
      <c r="N485" s="90" t="n"/>
      <c r="O485" s="90" t="n"/>
      <c r="P485" s="90" t="n"/>
      <c r="Q485" s="90" t="n"/>
      <c r="R485" s="90" t="n"/>
      <c r="S485" s="90" t="n"/>
      <c r="T485" s="90" t="n"/>
      <c r="U485" s="90" t="n"/>
      <c r="V485" s="90" t="n"/>
      <c r="W485" s="90" t="n"/>
      <c r="X485" s="90" t="n"/>
      <c r="Y485" s="90" t="n"/>
      <c r="Z485" s="90" t="n"/>
    </row>
    <row r="486">
      <c r="A486" s="90" t="n"/>
      <c r="B486" s="90" t="n"/>
      <c r="C486" s="90" t="n"/>
      <c r="D486" s="90" t="n"/>
      <c r="E486" s="90" t="n"/>
      <c r="F486" s="90" t="n"/>
      <c r="G486" s="90" t="n"/>
      <c r="H486" s="90" t="n"/>
      <c r="I486" s="90" t="n"/>
      <c r="J486" s="90" t="n"/>
      <c r="K486" s="90" t="n"/>
      <c r="L486" s="90" t="n"/>
      <c r="M486" s="90" t="n"/>
      <c r="N486" s="90" t="n"/>
      <c r="O486" s="90" t="n"/>
      <c r="P486" s="90" t="n"/>
      <c r="Q486" s="90" t="n"/>
      <c r="R486" s="90" t="n"/>
      <c r="S486" s="90" t="n"/>
      <c r="T486" s="90" t="n"/>
      <c r="U486" s="90" t="n"/>
      <c r="V486" s="90" t="n"/>
      <c r="W486" s="90" t="n"/>
      <c r="X486" s="90" t="n"/>
      <c r="Y486" s="90" t="n"/>
      <c r="Z486" s="90" t="n"/>
    </row>
    <row r="487">
      <c r="A487" s="90" t="n"/>
      <c r="B487" s="90" t="n"/>
      <c r="C487" s="90" t="n"/>
      <c r="D487" s="90" t="n"/>
      <c r="E487" s="90" t="n"/>
      <c r="F487" s="90" t="n"/>
      <c r="G487" s="90" t="n"/>
      <c r="H487" s="90" t="n"/>
      <c r="I487" s="90" t="n"/>
      <c r="J487" s="90" t="n"/>
      <c r="K487" s="90" t="n"/>
      <c r="L487" s="90" t="n"/>
      <c r="M487" s="90" t="n"/>
      <c r="N487" s="90" t="n"/>
      <c r="O487" s="90" t="n"/>
      <c r="P487" s="90" t="n"/>
      <c r="Q487" s="90" t="n"/>
      <c r="R487" s="90" t="n"/>
      <c r="S487" s="90" t="n"/>
      <c r="T487" s="90" t="n"/>
      <c r="U487" s="90" t="n"/>
      <c r="V487" s="90" t="n"/>
      <c r="W487" s="90" t="n"/>
      <c r="X487" s="90" t="n"/>
      <c r="Y487" s="90" t="n"/>
      <c r="Z487" s="90" t="n"/>
    </row>
    <row r="488">
      <c r="A488" s="90" t="n"/>
      <c r="B488" s="90" t="n"/>
      <c r="C488" s="90" t="n"/>
      <c r="D488" s="90" t="n"/>
      <c r="E488" s="90" t="n"/>
      <c r="F488" s="90" t="n"/>
      <c r="G488" s="90" t="n"/>
      <c r="H488" s="90" t="n"/>
      <c r="I488" s="90" t="n"/>
      <c r="J488" s="90" t="n"/>
      <c r="K488" s="90" t="n"/>
      <c r="L488" s="90" t="n"/>
      <c r="M488" s="90" t="n"/>
      <c r="N488" s="90" t="n"/>
      <c r="O488" s="90" t="n"/>
      <c r="P488" s="90" t="n"/>
      <c r="Q488" s="90" t="n"/>
      <c r="R488" s="90" t="n"/>
      <c r="S488" s="90" t="n"/>
      <c r="T488" s="90" t="n"/>
      <c r="U488" s="90" t="n"/>
      <c r="V488" s="90" t="n"/>
      <c r="W488" s="90" t="n"/>
      <c r="X488" s="90" t="n"/>
      <c r="Y488" s="90" t="n"/>
      <c r="Z488" s="90" t="n"/>
    </row>
    <row r="489">
      <c r="A489" s="90" t="n"/>
      <c r="B489" s="90" t="n"/>
      <c r="C489" s="90" t="n"/>
      <c r="D489" s="90" t="n"/>
      <c r="E489" s="90" t="n"/>
      <c r="F489" s="90" t="n"/>
      <c r="G489" s="90" t="n"/>
      <c r="H489" s="90" t="n"/>
      <c r="I489" s="90" t="n"/>
      <c r="J489" s="90" t="n"/>
      <c r="K489" s="90" t="n"/>
      <c r="L489" s="90" t="n"/>
      <c r="M489" s="90" t="n"/>
      <c r="N489" s="90" t="n"/>
      <c r="O489" s="90" t="n"/>
      <c r="P489" s="90" t="n"/>
      <c r="Q489" s="90" t="n"/>
      <c r="R489" s="90" t="n"/>
      <c r="S489" s="90" t="n"/>
      <c r="T489" s="90" t="n"/>
      <c r="U489" s="90" t="n"/>
      <c r="V489" s="90" t="n"/>
      <c r="W489" s="90" t="n"/>
      <c r="X489" s="90" t="n"/>
      <c r="Y489" s="90" t="n"/>
      <c r="Z489" s="90" t="n"/>
    </row>
    <row r="490">
      <c r="A490" s="90" t="n"/>
      <c r="B490" s="90" t="n"/>
      <c r="C490" s="90" t="n"/>
      <c r="D490" s="90" t="n"/>
      <c r="E490" s="90" t="n"/>
      <c r="F490" s="90" t="n"/>
      <c r="G490" s="90" t="n"/>
      <c r="H490" s="90" t="n"/>
      <c r="I490" s="90" t="n"/>
      <c r="J490" s="90" t="n"/>
      <c r="K490" s="90" t="n"/>
      <c r="L490" s="90" t="n"/>
      <c r="M490" s="90" t="n"/>
      <c r="N490" s="90" t="n"/>
      <c r="O490" s="90" t="n"/>
      <c r="P490" s="90" t="n"/>
      <c r="Q490" s="90" t="n"/>
      <c r="R490" s="90" t="n"/>
      <c r="S490" s="90" t="n"/>
      <c r="T490" s="90" t="n"/>
      <c r="U490" s="90" t="n"/>
      <c r="V490" s="90" t="n"/>
      <c r="W490" s="90" t="n"/>
      <c r="X490" s="90" t="n"/>
      <c r="Y490" s="90" t="n"/>
      <c r="Z490" s="90" t="n"/>
    </row>
    <row r="491">
      <c r="A491" s="90" t="n"/>
      <c r="B491" s="90" t="n"/>
      <c r="C491" s="90" t="n"/>
      <c r="D491" s="90" t="n"/>
      <c r="E491" s="90" t="n"/>
      <c r="F491" s="90" t="n"/>
      <c r="G491" s="90" t="n"/>
      <c r="H491" s="90" t="n"/>
      <c r="I491" s="90" t="n"/>
      <c r="J491" s="90" t="n"/>
      <c r="K491" s="90" t="n"/>
      <c r="L491" s="90" t="n"/>
      <c r="M491" s="90" t="n"/>
      <c r="N491" s="90" t="n"/>
      <c r="O491" s="90" t="n"/>
      <c r="P491" s="90" t="n"/>
      <c r="Q491" s="90" t="n"/>
      <c r="R491" s="90" t="n"/>
      <c r="S491" s="90" t="n"/>
      <c r="T491" s="90" t="n"/>
      <c r="U491" s="90" t="n"/>
      <c r="V491" s="90" t="n"/>
      <c r="W491" s="90" t="n"/>
      <c r="X491" s="90" t="n"/>
      <c r="Y491" s="90" t="n"/>
      <c r="Z491" s="90" t="n"/>
    </row>
    <row r="492">
      <c r="A492" s="90" t="n"/>
      <c r="B492" s="90" t="n"/>
      <c r="C492" s="90" t="n"/>
      <c r="D492" s="90" t="n"/>
      <c r="E492" s="90" t="n"/>
      <c r="F492" s="90" t="n"/>
      <c r="G492" s="90" t="n"/>
      <c r="H492" s="90" t="n"/>
      <c r="I492" s="90" t="n"/>
      <c r="J492" s="90" t="n"/>
      <c r="K492" s="90" t="n"/>
      <c r="L492" s="90" t="n"/>
      <c r="M492" s="90" t="n"/>
      <c r="N492" s="90" t="n"/>
      <c r="O492" s="90" t="n"/>
      <c r="P492" s="90" t="n"/>
      <c r="Q492" s="90" t="n"/>
      <c r="R492" s="90" t="n"/>
      <c r="S492" s="90" t="n"/>
      <c r="T492" s="90" t="n"/>
      <c r="U492" s="90" t="n"/>
      <c r="V492" s="90" t="n"/>
      <c r="W492" s="90" t="n"/>
      <c r="X492" s="90" t="n"/>
      <c r="Y492" s="90" t="n"/>
      <c r="Z492" s="90" t="n"/>
    </row>
    <row r="493">
      <c r="A493" s="90" t="n"/>
      <c r="B493" s="90" t="n"/>
      <c r="C493" s="90" t="n"/>
      <c r="D493" s="90" t="n"/>
      <c r="E493" s="90" t="n"/>
      <c r="F493" s="90" t="n"/>
      <c r="G493" s="90" t="n"/>
      <c r="H493" s="90" t="n"/>
      <c r="I493" s="90" t="n"/>
      <c r="J493" s="90" t="n"/>
      <c r="K493" s="90" t="n"/>
      <c r="L493" s="90" t="n"/>
      <c r="M493" s="90" t="n"/>
      <c r="N493" s="90" t="n"/>
      <c r="O493" s="90" t="n"/>
      <c r="P493" s="90" t="n"/>
      <c r="Q493" s="90" t="n"/>
      <c r="R493" s="90" t="n"/>
      <c r="S493" s="90" t="n"/>
      <c r="T493" s="90" t="n"/>
      <c r="U493" s="90" t="n"/>
      <c r="V493" s="90" t="n"/>
      <c r="W493" s="90" t="n"/>
      <c r="X493" s="90" t="n"/>
      <c r="Y493" s="90" t="n"/>
      <c r="Z493" s="90" t="n"/>
    </row>
    <row r="494">
      <c r="A494" s="90" t="n"/>
      <c r="B494" s="90" t="n"/>
      <c r="C494" s="90" t="n"/>
      <c r="D494" s="90" t="n"/>
      <c r="E494" s="90" t="n"/>
      <c r="F494" s="90" t="n"/>
      <c r="G494" s="90" t="n"/>
      <c r="H494" s="90" t="n"/>
      <c r="I494" s="90" t="n"/>
      <c r="J494" s="90" t="n"/>
      <c r="K494" s="90" t="n"/>
      <c r="L494" s="90" t="n"/>
      <c r="M494" s="90" t="n"/>
      <c r="N494" s="90" t="n"/>
      <c r="O494" s="90" t="n"/>
      <c r="P494" s="90" t="n"/>
      <c r="Q494" s="90" t="n"/>
      <c r="R494" s="90" t="n"/>
      <c r="S494" s="90" t="n"/>
      <c r="T494" s="90" t="n"/>
      <c r="U494" s="90" t="n"/>
      <c r="V494" s="90" t="n"/>
      <c r="W494" s="90" t="n"/>
      <c r="X494" s="90" t="n"/>
      <c r="Y494" s="90" t="n"/>
      <c r="Z494" s="90" t="n"/>
    </row>
    <row r="495">
      <c r="A495" s="90" t="n"/>
      <c r="B495" s="90" t="n"/>
      <c r="C495" s="90" t="n"/>
      <c r="D495" s="90" t="n"/>
      <c r="E495" s="90" t="n"/>
      <c r="F495" s="90" t="n"/>
      <c r="G495" s="90" t="n"/>
      <c r="H495" s="90" t="n"/>
      <c r="I495" s="90" t="n"/>
      <c r="J495" s="90" t="n"/>
      <c r="K495" s="90" t="n"/>
      <c r="L495" s="90" t="n"/>
      <c r="M495" s="90" t="n"/>
      <c r="N495" s="90" t="n"/>
      <c r="O495" s="90" t="n"/>
      <c r="P495" s="90" t="n"/>
      <c r="Q495" s="90" t="n"/>
      <c r="R495" s="90" t="n"/>
      <c r="S495" s="90" t="n"/>
      <c r="T495" s="90" t="n"/>
      <c r="U495" s="90" t="n"/>
      <c r="V495" s="90" t="n"/>
      <c r="W495" s="90" t="n"/>
      <c r="X495" s="90" t="n"/>
      <c r="Y495" s="90" t="n"/>
      <c r="Z495" s="90" t="n"/>
    </row>
    <row r="496">
      <c r="A496" s="90" t="n"/>
      <c r="B496" s="90" t="n"/>
      <c r="C496" s="90" t="n"/>
      <c r="D496" s="90" t="n"/>
      <c r="E496" s="90" t="n"/>
      <c r="F496" s="90" t="n"/>
      <c r="G496" s="90" t="n"/>
      <c r="H496" s="90" t="n"/>
      <c r="I496" s="90" t="n"/>
      <c r="J496" s="90" t="n"/>
      <c r="K496" s="90" t="n"/>
      <c r="L496" s="90" t="n"/>
      <c r="M496" s="90" t="n"/>
      <c r="N496" s="90" t="n"/>
      <c r="O496" s="90" t="n"/>
      <c r="P496" s="90" t="n"/>
      <c r="Q496" s="90" t="n"/>
      <c r="R496" s="90" t="n"/>
      <c r="S496" s="90" t="n"/>
      <c r="T496" s="90" t="n"/>
      <c r="U496" s="90" t="n"/>
      <c r="V496" s="90" t="n"/>
      <c r="W496" s="90" t="n"/>
      <c r="X496" s="90" t="n"/>
      <c r="Y496" s="90" t="n"/>
      <c r="Z496" s="90" t="n"/>
    </row>
    <row r="497">
      <c r="A497" s="90" t="n"/>
      <c r="B497" s="90" t="n"/>
      <c r="C497" s="90" t="n"/>
      <c r="D497" s="90" t="n"/>
      <c r="E497" s="90" t="n"/>
      <c r="F497" s="90" t="n"/>
      <c r="G497" s="90" t="n"/>
      <c r="H497" s="90" t="n"/>
      <c r="I497" s="90" t="n"/>
      <c r="J497" s="90" t="n"/>
      <c r="K497" s="90" t="n"/>
      <c r="L497" s="90" t="n"/>
      <c r="M497" s="90" t="n"/>
      <c r="N497" s="90" t="n"/>
      <c r="O497" s="90" t="n"/>
      <c r="P497" s="90" t="n"/>
      <c r="Q497" s="90" t="n"/>
      <c r="R497" s="90" t="n"/>
      <c r="S497" s="90" t="n"/>
      <c r="T497" s="90" t="n"/>
      <c r="U497" s="90" t="n"/>
      <c r="V497" s="90" t="n"/>
      <c r="W497" s="90" t="n"/>
      <c r="X497" s="90" t="n"/>
      <c r="Y497" s="90" t="n"/>
      <c r="Z497" s="90" t="n"/>
    </row>
    <row r="498">
      <c r="A498" s="90" t="n"/>
      <c r="B498" s="90" t="n"/>
      <c r="C498" s="90" t="n"/>
      <c r="D498" s="90" t="n"/>
      <c r="E498" s="90" t="n"/>
      <c r="F498" s="90" t="n"/>
      <c r="G498" s="90" t="n"/>
      <c r="H498" s="90" t="n"/>
      <c r="I498" s="90" t="n"/>
      <c r="J498" s="90" t="n"/>
      <c r="K498" s="90" t="n"/>
      <c r="L498" s="90" t="n"/>
      <c r="M498" s="90" t="n"/>
      <c r="N498" s="90" t="n"/>
      <c r="O498" s="90" t="n"/>
      <c r="P498" s="90" t="n"/>
      <c r="Q498" s="90" t="n"/>
      <c r="R498" s="90" t="n"/>
      <c r="S498" s="90" t="n"/>
      <c r="T498" s="90" t="n"/>
      <c r="U498" s="90" t="n"/>
      <c r="V498" s="90" t="n"/>
      <c r="W498" s="90" t="n"/>
      <c r="X498" s="90" t="n"/>
      <c r="Y498" s="90" t="n"/>
      <c r="Z498" s="90" t="n"/>
    </row>
    <row r="499">
      <c r="A499" s="90" t="n"/>
      <c r="B499" s="90" t="n"/>
      <c r="C499" s="90" t="n"/>
      <c r="D499" s="90" t="n"/>
      <c r="E499" s="90" t="n"/>
      <c r="F499" s="90" t="n"/>
      <c r="G499" s="90" t="n"/>
      <c r="H499" s="90" t="n"/>
      <c r="I499" s="90" t="n"/>
      <c r="J499" s="90" t="n"/>
      <c r="K499" s="90" t="n"/>
      <c r="L499" s="90" t="n"/>
      <c r="M499" s="90" t="n"/>
      <c r="N499" s="90" t="n"/>
      <c r="O499" s="90" t="n"/>
      <c r="P499" s="90" t="n"/>
      <c r="Q499" s="90" t="n"/>
      <c r="R499" s="90" t="n"/>
      <c r="S499" s="90" t="n"/>
      <c r="T499" s="90" t="n"/>
      <c r="U499" s="90" t="n"/>
      <c r="V499" s="90" t="n"/>
      <c r="W499" s="90" t="n"/>
      <c r="X499" s="90" t="n"/>
      <c r="Y499" s="90" t="n"/>
      <c r="Z499" s="90" t="n"/>
    </row>
    <row r="500">
      <c r="A500" s="90" t="n"/>
      <c r="B500" s="90" t="n"/>
      <c r="C500" s="90" t="n"/>
      <c r="D500" s="90" t="n"/>
      <c r="E500" s="90" t="n"/>
      <c r="F500" s="90" t="n"/>
      <c r="G500" s="90" t="n"/>
      <c r="H500" s="90" t="n"/>
      <c r="I500" s="90" t="n"/>
      <c r="J500" s="90" t="n"/>
      <c r="K500" s="90" t="n"/>
      <c r="L500" s="90" t="n"/>
      <c r="M500" s="90" t="n"/>
      <c r="N500" s="90" t="n"/>
      <c r="O500" s="90" t="n"/>
      <c r="P500" s="90" t="n"/>
      <c r="Q500" s="90" t="n"/>
      <c r="R500" s="90" t="n"/>
      <c r="S500" s="90" t="n"/>
      <c r="T500" s="90" t="n"/>
      <c r="U500" s="90" t="n"/>
      <c r="V500" s="90" t="n"/>
      <c r="W500" s="90" t="n"/>
      <c r="X500" s="90" t="n"/>
      <c r="Y500" s="90" t="n"/>
      <c r="Z500" s="90" t="n"/>
    </row>
    <row r="501">
      <c r="A501" s="90" t="n"/>
      <c r="B501" s="90" t="n"/>
      <c r="C501" s="90" t="n"/>
      <c r="D501" s="90" t="n"/>
      <c r="E501" s="90" t="n"/>
      <c r="F501" s="90" t="n"/>
      <c r="G501" s="90" t="n"/>
      <c r="H501" s="90" t="n"/>
      <c r="I501" s="90" t="n"/>
      <c r="J501" s="90" t="n"/>
      <c r="K501" s="90" t="n"/>
      <c r="L501" s="90" t="n"/>
      <c r="M501" s="90" t="n"/>
      <c r="N501" s="90" t="n"/>
      <c r="O501" s="90" t="n"/>
      <c r="P501" s="90" t="n"/>
      <c r="Q501" s="90" t="n"/>
      <c r="R501" s="90" t="n"/>
      <c r="S501" s="90" t="n"/>
      <c r="T501" s="90" t="n"/>
      <c r="U501" s="90" t="n"/>
      <c r="V501" s="90" t="n"/>
      <c r="W501" s="90" t="n"/>
      <c r="X501" s="90" t="n"/>
      <c r="Y501" s="90" t="n"/>
      <c r="Z501" s="90" t="n"/>
    </row>
    <row r="502">
      <c r="A502" s="90" t="n"/>
      <c r="B502" s="90" t="n"/>
      <c r="C502" s="90" t="n"/>
      <c r="D502" s="90" t="n"/>
      <c r="E502" s="90" t="n"/>
      <c r="F502" s="90" t="n"/>
      <c r="G502" s="90" t="n"/>
      <c r="H502" s="90" t="n"/>
      <c r="I502" s="90" t="n"/>
      <c r="J502" s="90" t="n"/>
      <c r="K502" s="90" t="n"/>
      <c r="L502" s="90" t="n"/>
      <c r="M502" s="90" t="n"/>
      <c r="N502" s="90" t="n"/>
      <c r="O502" s="90" t="n"/>
      <c r="P502" s="90" t="n"/>
      <c r="Q502" s="90" t="n"/>
      <c r="R502" s="90" t="n"/>
      <c r="S502" s="90" t="n"/>
      <c r="T502" s="90" t="n"/>
      <c r="U502" s="90" t="n"/>
      <c r="V502" s="90" t="n"/>
      <c r="W502" s="90" t="n"/>
      <c r="X502" s="90" t="n"/>
      <c r="Y502" s="90" t="n"/>
      <c r="Z502" s="90" t="n"/>
    </row>
    <row r="503">
      <c r="A503" s="90" t="n"/>
      <c r="B503" s="90" t="n"/>
      <c r="C503" s="90" t="n"/>
      <c r="D503" s="90" t="n"/>
      <c r="E503" s="90" t="n"/>
      <c r="F503" s="90" t="n"/>
      <c r="G503" s="90" t="n"/>
      <c r="H503" s="90" t="n"/>
      <c r="I503" s="90" t="n"/>
      <c r="J503" s="90" t="n"/>
      <c r="K503" s="90" t="n"/>
      <c r="L503" s="90" t="n"/>
      <c r="M503" s="90" t="n"/>
      <c r="N503" s="90" t="n"/>
      <c r="O503" s="90" t="n"/>
      <c r="P503" s="90" t="n"/>
      <c r="Q503" s="90" t="n"/>
      <c r="R503" s="90" t="n"/>
      <c r="S503" s="90" t="n"/>
      <c r="T503" s="90" t="n"/>
      <c r="U503" s="90" t="n"/>
      <c r="V503" s="90" t="n"/>
      <c r="W503" s="90" t="n"/>
      <c r="X503" s="90" t="n"/>
      <c r="Y503" s="90" t="n"/>
      <c r="Z503" s="90" t="n"/>
    </row>
    <row r="504">
      <c r="A504" s="90" t="n"/>
      <c r="B504" s="90" t="n"/>
      <c r="C504" s="90" t="n"/>
      <c r="D504" s="90" t="n"/>
      <c r="E504" s="90" t="n"/>
      <c r="F504" s="90" t="n"/>
      <c r="G504" s="90" t="n"/>
      <c r="H504" s="90" t="n"/>
      <c r="I504" s="90" t="n"/>
      <c r="J504" s="90" t="n"/>
      <c r="K504" s="90" t="n"/>
      <c r="L504" s="90" t="n"/>
      <c r="M504" s="90" t="n"/>
      <c r="N504" s="90" t="n"/>
      <c r="O504" s="90" t="n"/>
      <c r="P504" s="90" t="n"/>
      <c r="Q504" s="90" t="n"/>
      <c r="R504" s="90" t="n"/>
      <c r="S504" s="90" t="n"/>
      <c r="T504" s="90" t="n"/>
      <c r="U504" s="90" t="n"/>
      <c r="V504" s="90" t="n"/>
      <c r="W504" s="90" t="n"/>
      <c r="X504" s="90" t="n"/>
      <c r="Y504" s="90" t="n"/>
      <c r="Z504" s="90" t="n"/>
    </row>
    <row r="505">
      <c r="A505" s="90" t="n"/>
      <c r="B505" s="90" t="n"/>
      <c r="C505" s="90" t="n"/>
      <c r="D505" s="90" t="n"/>
      <c r="E505" s="90" t="n"/>
      <c r="F505" s="90" t="n"/>
      <c r="G505" s="90" t="n"/>
      <c r="H505" s="90" t="n"/>
      <c r="I505" s="90" t="n"/>
      <c r="J505" s="90" t="n"/>
      <c r="K505" s="90" t="n"/>
      <c r="L505" s="90" t="n"/>
      <c r="M505" s="90" t="n"/>
      <c r="N505" s="90" t="n"/>
      <c r="O505" s="90" t="n"/>
      <c r="P505" s="90" t="n"/>
      <c r="Q505" s="90" t="n"/>
      <c r="R505" s="90" t="n"/>
      <c r="S505" s="90" t="n"/>
      <c r="T505" s="90" t="n"/>
      <c r="U505" s="90" t="n"/>
      <c r="V505" s="90" t="n"/>
      <c r="W505" s="90" t="n"/>
      <c r="X505" s="90" t="n"/>
      <c r="Y505" s="90" t="n"/>
      <c r="Z505" s="90" t="n"/>
    </row>
    <row r="506">
      <c r="A506" s="90" t="n"/>
      <c r="B506" s="90" t="n"/>
      <c r="C506" s="90" t="n"/>
      <c r="D506" s="90" t="n"/>
      <c r="E506" s="90" t="n"/>
      <c r="F506" s="90" t="n"/>
      <c r="G506" s="90" t="n"/>
      <c r="H506" s="90" t="n"/>
      <c r="I506" s="90" t="n"/>
      <c r="J506" s="90" t="n"/>
      <c r="K506" s="90" t="n"/>
      <c r="L506" s="90" t="n"/>
      <c r="M506" s="90" t="n"/>
      <c r="N506" s="90" t="n"/>
      <c r="O506" s="90" t="n"/>
      <c r="P506" s="90" t="n"/>
      <c r="Q506" s="90" t="n"/>
      <c r="R506" s="90" t="n"/>
      <c r="S506" s="90" t="n"/>
      <c r="T506" s="90" t="n"/>
      <c r="U506" s="90" t="n"/>
      <c r="V506" s="90" t="n"/>
      <c r="W506" s="90" t="n"/>
      <c r="X506" s="90" t="n"/>
      <c r="Y506" s="90" t="n"/>
      <c r="Z506" s="90" t="n"/>
    </row>
    <row r="507">
      <c r="A507" s="90" t="n"/>
      <c r="B507" s="90" t="n"/>
      <c r="C507" s="90" t="n"/>
      <c r="D507" s="90" t="n"/>
      <c r="E507" s="90" t="n"/>
      <c r="F507" s="90" t="n"/>
      <c r="G507" s="90" t="n"/>
      <c r="H507" s="90" t="n"/>
      <c r="I507" s="90" t="n"/>
      <c r="J507" s="90" t="n"/>
      <c r="K507" s="90" t="n"/>
      <c r="L507" s="90" t="n"/>
      <c r="M507" s="90" t="n"/>
      <c r="N507" s="90" t="n"/>
      <c r="O507" s="90" t="n"/>
      <c r="P507" s="90" t="n"/>
      <c r="Q507" s="90" t="n"/>
      <c r="R507" s="90" t="n"/>
      <c r="S507" s="90" t="n"/>
      <c r="T507" s="90" t="n"/>
      <c r="U507" s="90" t="n"/>
      <c r="V507" s="90" t="n"/>
      <c r="W507" s="90" t="n"/>
      <c r="X507" s="90" t="n"/>
      <c r="Y507" s="90" t="n"/>
      <c r="Z507" s="90" t="n"/>
    </row>
    <row r="508">
      <c r="A508" s="90" t="n"/>
      <c r="B508" s="90" t="n"/>
      <c r="C508" s="90" t="n"/>
      <c r="D508" s="90" t="n"/>
      <c r="E508" s="90" t="n"/>
      <c r="F508" s="90" t="n"/>
      <c r="G508" s="90" t="n"/>
      <c r="H508" s="90" t="n"/>
      <c r="I508" s="90" t="n"/>
      <c r="J508" s="90" t="n"/>
      <c r="K508" s="90" t="n"/>
      <c r="L508" s="90" t="n"/>
      <c r="M508" s="90" t="n"/>
      <c r="N508" s="90" t="n"/>
      <c r="O508" s="90" t="n"/>
      <c r="P508" s="90" t="n"/>
      <c r="Q508" s="90" t="n"/>
      <c r="R508" s="90" t="n"/>
      <c r="S508" s="90" t="n"/>
      <c r="T508" s="90" t="n"/>
      <c r="U508" s="90" t="n"/>
      <c r="V508" s="90" t="n"/>
      <c r="W508" s="90" t="n"/>
      <c r="X508" s="90" t="n"/>
      <c r="Y508" s="90" t="n"/>
      <c r="Z508" s="90" t="n"/>
    </row>
    <row r="509">
      <c r="A509" s="90" t="n"/>
      <c r="B509" s="90" t="n"/>
      <c r="C509" s="90" t="n"/>
      <c r="D509" s="90" t="n"/>
      <c r="E509" s="90" t="n"/>
      <c r="F509" s="90" t="n"/>
      <c r="G509" s="90" t="n"/>
      <c r="H509" s="90" t="n"/>
      <c r="I509" s="90" t="n"/>
      <c r="J509" s="90" t="n"/>
      <c r="K509" s="90" t="n"/>
      <c r="L509" s="90" t="n"/>
      <c r="M509" s="90" t="n"/>
      <c r="N509" s="90" t="n"/>
      <c r="O509" s="90" t="n"/>
      <c r="P509" s="90" t="n"/>
      <c r="Q509" s="90" t="n"/>
      <c r="R509" s="90" t="n"/>
      <c r="S509" s="90" t="n"/>
      <c r="T509" s="90" t="n"/>
      <c r="U509" s="90" t="n"/>
      <c r="V509" s="90" t="n"/>
      <c r="W509" s="90" t="n"/>
      <c r="X509" s="90" t="n"/>
      <c r="Y509" s="90" t="n"/>
      <c r="Z509" s="90" t="n"/>
    </row>
    <row r="510">
      <c r="A510" s="90" t="n"/>
      <c r="B510" s="90" t="n"/>
      <c r="C510" s="90" t="n"/>
      <c r="D510" s="90" t="n"/>
      <c r="E510" s="90" t="n"/>
      <c r="F510" s="90" t="n"/>
      <c r="G510" s="90" t="n"/>
      <c r="H510" s="90" t="n"/>
      <c r="I510" s="90" t="n"/>
      <c r="J510" s="90" t="n"/>
      <c r="K510" s="90" t="n"/>
      <c r="L510" s="90" t="n"/>
      <c r="M510" s="90" t="n"/>
      <c r="N510" s="90" t="n"/>
      <c r="O510" s="90" t="n"/>
      <c r="P510" s="90" t="n"/>
      <c r="Q510" s="90" t="n"/>
      <c r="R510" s="90" t="n"/>
      <c r="S510" s="90" t="n"/>
      <c r="T510" s="90" t="n"/>
      <c r="U510" s="90" t="n"/>
      <c r="V510" s="90" t="n"/>
      <c r="W510" s="90" t="n"/>
      <c r="X510" s="90" t="n"/>
      <c r="Y510" s="90" t="n"/>
      <c r="Z510" s="90" t="n"/>
    </row>
    <row r="511">
      <c r="A511" s="90" t="n"/>
      <c r="B511" s="90" t="n"/>
      <c r="C511" s="90" t="n"/>
      <c r="D511" s="90" t="n"/>
      <c r="E511" s="90" t="n"/>
      <c r="F511" s="90" t="n"/>
      <c r="G511" s="90" t="n"/>
      <c r="H511" s="90" t="n"/>
      <c r="I511" s="90" t="n"/>
      <c r="J511" s="90" t="n"/>
      <c r="K511" s="90" t="n"/>
      <c r="L511" s="90" t="n"/>
      <c r="M511" s="90" t="n"/>
      <c r="N511" s="90" t="n"/>
      <c r="O511" s="90" t="n"/>
      <c r="P511" s="90" t="n"/>
      <c r="Q511" s="90" t="n"/>
      <c r="R511" s="90" t="n"/>
      <c r="S511" s="90" t="n"/>
      <c r="T511" s="90" t="n"/>
      <c r="U511" s="90" t="n"/>
      <c r="V511" s="90" t="n"/>
      <c r="W511" s="90" t="n"/>
      <c r="X511" s="90" t="n"/>
      <c r="Y511" s="90" t="n"/>
      <c r="Z511" s="90" t="n"/>
    </row>
    <row r="512">
      <c r="A512" s="90" t="n"/>
      <c r="B512" s="90" t="n"/>
      <c r="C512" s="90" t="n"/>
      <c r="D512" s="90" t="n"/>
      <c r="E512" s="90" t="n"/>
      <c r="F512" s="90" t="n"/>
      <c r="G512" s="90" t="n"/>
      <c r="H512" s="90" t="n"/>
      <c r="I512" s="90" t="n"/>
      <c r="J512" s="90" t="n"/>
      <c r="K512" s="90" t="n"/>
      <c r="L512" s="90" t="n"/>
      <c r="M512" s="90" t="n"/>
      <c r="N512" s="90" t="n"/>
      <c r="O512" s="90" t="n"/>
      <c r="P512" s="90" t="n"/>
      <c r="Q512" s="90" t="n"/>
      <c r="R512" s="90" t="n"/>
      <c r="S512" s="90" t="n"/>
      <c r="T512" s="90" t="n"/>
      <c r="U512" s="90" t="n"/>
      <c r="V512" s="90" t="n"/>
      <c r="W512" s="90" t="n"/>
      <c r="X512" s="90" t="n"/>
      <c r="Y512" s="90" t="n"/>
      <c r="Z512" s="90" t="n"/>
    </row>
    <row r="513">
      <c r="A513" s="90" t="n"/>
      <c r="B513" s="90" t="n"/>
      <c r="C513" s="90" t="n"/>
      <c r="D513" s="90" t="n"/>
      <c r="E513" s="90" t="n"/>
      <c r="F513" s="90" t="n"/>
      <c r="G513" s="90" t="n"/>
      <c r="H513" s="90" t="n"/>
      <c r="I513" s="90" t="n"/>
      <c r="J513" s="90" t="n"/>
      <c r="K513" s="90" t="n"/>
      <c r="L513" s="90" t="n"/>
      <c r="M513" s="90" t="n"/>
      <c r="N513" s="90" t="n"/>
      <c r="O513" s="90" t="n"/>
      <c r="P513" s="90" t="n"/>
      <c r="Q513" s="90" t="n"/>
      <c r="R513" s="90" t="n"/>
      <c r="S513" s="90" t="n"/>
      <c r="T513" s="90" t="n"/>
      <c r="U513" s="90" t="n"/>
      <c r="V513" s="90" t="n"/>
      <c r="W513" s="90" t="n"/>
      <c r="X513" s="90" t="n"/>
      <c r="Y513" s="90" t="n"/>
      <c r="Z513" s="90" t="n"/>
    </row>
    <row r="514">
      <c r="A514" s="90" t="n"/>
      <c r="B514" s="90" t="n"/>
      <c r="C514" s="90" t="n"/>
      <c r="D514" s="90" t="n"/>
      <c r="E514" s="90" t="n"/>
      <c r="F514" s="90" t="n"/>
      <c r="G514" s="90" t="n"/>
      <c r="H514" s="90" t="n"/>
      <c r="I514" s="90" t="n"/>
      <c r="J514" s="90" t="n"/>
      <c r="K514" s="90" t="n"/>
      <c r="L514" s="90" t="n"/>
      <c r="M514" s="90" t="n"/>
      <c r="N514" s="90" t="n"/>
      <c r="O514" s="90" t="n"/>
      <c r="P514" s="90" t="n"/>
      <c r="Q514" s="90" t="n"/>
      <c r="R514" s="90" t="n"/>
      <c r="S514" s="90" t="n"/>
      <c r="T514" s="90" t="n"/>
      <c r="U514" s="90" t="n"/>
      <c r="V514" s="90" t="n"/>
      <c r="W514" s="90" t="n"/>
      <c r="X514" s="90" t="n"/>
      <c r="Y514" s="90" t="n"/>
      <c r="Z514" s="90" t="n"/>
    </row>
    <row r="515">
      <c r="A515" s="90" t="n"/>
      <c r="B515" s="90" t="n"/>
      <c r="C515" s="90" t="n"/>
      <c r="D515" s="90" t="n"/>
      <c r="E515" s="90" t="n"/>
      <c r="F515" s="90" t="n"/>
      <c r="G515" s="90" t="n"/>
      <c r="H515" s="90" t="n"/>
      <c r="I515" s="90" t="n"/>
      <c r="J515" s="90" t="n"/>
      <c r="K515" s="90" t="n"/>
      <c r="L515" s="90" t="n"/>
      <c r="M515" s="90" t="n"/>
      <c r="N515" s="90" t="n"/>
      <c r="O515" s="90" t="n"/>
      <c r="P515" s="90" t="n"/>
      <c r="Q515" s="90" t="n"/>
      <c r="R515" s="90" t="n"/>
      <c r="S515" s="90" t="n"/>
      <c r="T515" s="90" t="n"/>
      <c r="U515" s="90" t="n"/>
      <c r="V515" s="90" t="n"/>
      <c r="W515" s="90" t="n"/>
      <c r="X515" s="90" t="n"/>
      <c r="Y515" s="90" t="n"/>
      <c r="Z515" s="90" t="n"/>
    </row>
    <row r="516">
      <c r="A516" s="90" t="n"/>
      <c r="B516" s="90" t="n"/>
      <c r="C516" s="90" t="n"/>
      <c r="D516" s="90" t="n"/>
      <c r="E516" s="90" t="n"/>
      <c r="F516" s="90" t="n"/>
      <c r="G516" s="90" t="n"/>
      <c r="H516" s="90" t="n"/>
      <c r="I516" s="90" t="n"/>
      <c r="J516" s="90" t="n"/>
      <c r="K516" s="90" t="n"/>
      <c r="L516" s="90" t="n"/>
      <c r="M516" s="90" t="n"/>
      <c r="N516" s="90" t="n"/>
      <c r="O516" s="90" t="n"/>
      <c r="P516" s="90" t="n"/>
      <c r="Q516" s="90" t="n"/>
      <c r="R516" s="90" t="n"/>
      <c r="S516" s="90" t="n"/>
      <c r="T516" s="90" t="n"/>
      <c r="U516" s="90" t="n"/>
      <c r="V516" s="90" t="n"/>
      <c r="W516" s="90" t="n"/>
      <c r="X516" s="90" t="n"/>
      <c r="Y516" s="90" t="n"/>
      <c r="Z516" s="90" t="n"/>
    </row>
    <row r="517">
      <c r="A517" s="90" t="n"/>
      <c r="B517" s="90" t="n"/>
      <c r="C517" s="90" t="n"/>
      <c r="D517" s="90" t="n"/>
      <c r="E517" s="90" t="n"/>
      <c r="F517" s="90" t="n"/>
      <c r="G517" s="90" t="n"/>
      <c r="H517" s="90" t="n"/>
      <c r="I517" s="90" t="n"/>
      <c r="J517" s="90" t="n"/>
      <c r="K517" s="90" t="n"/>
      <c r="L517" s="90" t="n"/>
      <c r="M517" s="90" t="n"/>
      <c r="N517" s="90" t="n"/>
      <c r="O517" s="90" t="n"/>
      <c r="P517" s="90" t="n"/>
      <c r="Q517" s="90" t="n"/>
      <c r="R517" s="90" t="n"/>
      <c r="S517" s="90" t="n"/>
      <c r="T517" s="90" t="n"/>
      <c r="U517" s="90" t="n"/>
      <c r="V517" s="90" t="n"/>
      <c r="W517" s="90" t="n"/>
      <c r="X517" s="90" t="n"/>
      <c r="Y517" s="90" t="n"/>
      <c r="Z517" s="90" t="n"/>
    </row>
    <row r="518">
      <c r="A518" s="90" t="n"/>
      <c r="B518" s="90" t="n"/>
      <c r="C518" s="90" t="n"/>
      <c r="D518" s="90" t="n"/>
      <c r="E518" s="90" t="n"/>
      <c r="F518" s="90" t="n"/>
      <c r="G518" s="90" t="n"/>
      <c r="H518" s="90" t="n"/>
      <c r="I518" s="90" t="n"/>
      <c r="J518" s="90" t="n"/>
      <c r="K518" s="90" t="n"/>
      <c r="L518" s="90" t="n"/>
      <c r="M518" s="90" t="n"/>
      <c r="N518" s="90" t="n"/>
      <c r="O518" s="90" t="n"/>
      <c r="P518" s="90" t="n"/>
      <c r="Q518" s="90" t="n"/>
      <c r="R518" s="90" t="n"/>
      <c r="S518" s="90" t="n"/>
      <c r="T518" s="90" t="n"/>
      <c r="U518" s="90" t="n"/>
      <c r="V518" s="90" t="n"/>
      <c r="W518" s="90" t="n"/>
      <c r="X518" s="90" t="n"/>
      <c r="Y518" s="90" t="n"/>
      <c r="Z518" s="90" t="n"/>
    </row>
    <row r="519">
      <c r="A519" s="90" t="n"/>
      <c r="B519" s="90" t="n"/>
      <c r="C519" s="90" t="n"/>
      <c r="D519" s="90" t="n"/>
      <c r="E519" s="90" t="n"/>
      <c r="F519" s="90" t="n"/>
      <c r="G519" s="90" t="n"/>
      <c r="H519" s="90" t="n"/>
      <c r="I519" s="90" t="n"/>
      <c r="J519" s="90" t="n"/>
      <c r="K519" s="90" t="n"/>
      <c r="L519" s="90" t="n"/>
      <c r="M519" s="90" t="n"/>
      <c r="N519" s="90" t="n"/>
      <c r="O519" s="90" t="n"/>
      <c r="P519" s="90" t="n"/>
      <c r="Q519" s="90" t="n"/>
      <c r="R519" s="90" t="n"/>
      <c r="S519" s="90" t="n"/>
      <c r="T519" s="90" t="n"/>
      <c r="U519" s="90" t="n"/>
      <c r="V519" s="90" t="n"/>
      <c r="W519" s="90" t="n"/>
      <c r="X519" s="90" t="n"/>
      <c r="Y519" s="90" t="n"/>
      <c r="Z519" s="90" t="n"/>
    </row>
    <row r="520">
      <c r="A520" s="90" t="n"/>
      <c r="B520" s="90" t="n"/>
      <c r="C520" s="90" t="n"/>
      <c r="D520" s="90" t="n"/>
      <c r="E520" s="90" t="n"/>
      <c r="F520" s="90" t="n"/>
      <c r="G520" s="90" t="n"/>
      <c r="H520" s="90" t="n"/>
      <c r="I520" s="90" t="n"/>
      <c r="J520" s="90" t="n"/>
      <c r="K520" s="90" t="n"/>
      <c r="L520" s="90" t="n"/>
      <c r="M520" s="90" t="n"/>
      <c r="N520" s="90" t="n"/>
      <c r="O520" s="90" t="n"/>
      <c r="P520" s="90" t="n"/>
      <c r="Q520" s="90" t="n"/>
      <c r="R520" s="90" t="n"/>
      <c r="S520" s="90" t="n"/>
      <c r="T520" s="90" t="n"/>
      <c r="U520" s="90" t="n"/>
      <c r="V520" s="90" t="n"/>
      <c r="W520" s="90" t="n"/>
      <c r="X520" s="90" t="n"/>
      <c r="Y520" s="90" t="n"/>
      <c r="Z520" s="90" t="n"/>
    </row>
    <row r="521">
      <c r="A521" s="90" t="n"/>
      <c r="B521" s="90" t="n"/>
      <c r="C521" s="90" t="n"/>
      <c r="D521" s="90" t="n"/>
      <c r="E521" s="90" t="n"/>
      <c r="F521" s="90" t="n"/>
      <c r="G521" s="90" t="n"/>
      <c r="H521" s="90" t="n"/>
      <c r="I521" s="90" t="n"/>
      <c r="J521" s="90" t="n"/>
      <c r="K521" s="90" t="n"/>
      <c r="L521" s="90" t="n"/>
      <c r="M521" s="90" t="n"/>
      <c r="N521" s="90" t="n"/>
      <c r="O521" s="90" t="n"/>
      <c r="P521" s="90" t="n"/>
      <c r="Q521" s="90" t="n"/>
      <c r="R521" s="90" t="n"/>
      <c r="S521" s="90" t="n"/>
      <c r="T521" s="90" t="n"/>
      <c r="U521" s="90" t="n"/>
      <c r="V521" s="90" t="n"/>
      <c r="W521" s="90" t="n"/>
      <c r="X521" s="90" t="n"/>
      <c r="Y521" s="90" t="n"/>
      <c r="Z521" s="90" t="n"/>
    </row>
    <row r="522">
      <c r="A522" s="90" t="n"/>
      <c r="B522" s="90" t="n"/>
      <c r="C522" s="90" t="n"/>
      <c r="D522" s="90" t="n"/>
      <c r="E522" s="90" t="n"/>
      <c r="F522" s="90" t="n"/>
      <c r="G522" s="90" t="n"/>
      <c r="H522" s="90" t="n"/>
      <c r="I522" s="90" t="n"/>
      <c r="J522" s="90" t="n"/>
      <c r="K522" s="90" t="n"/>
      <c r="L522" s="90" t="n"/>
      <c r="M522" s="90" t="n"/>
      <c r="N522" s="90" t="n"/>
      <c r="O522" s="90" t="n"/>
      <c r="P522" s="90" t="n"/>
      <c r="Q522" s="90" t="n"/>
      <c r="R522" s="90" t="n"/>
      <c r="S522" s="90" t="n"/>
      <c r="T522" s="90" t="n"/>
      <c r="U522" s="90" t="n"/>
      <c r="V522" s="90" t="n"/>
      <c r="W522" s="90" t="n"/>
      <c r="X522" s="90" t="n"/>
      <c r="Y522" s="90" t="n"/>
      <c r="Z522" s="90" t="n"/>
    </row>
    <row r="523">
      <c r="A523" s="90" t="n"/>
      <c r="B523" s="90" t="n"/>
      <c r="C523" s="90" t="n"/>
      <c r="D523" s="90" t="n"/>
      <c r="E523" s="90" t="n"/>
      <c r="F523" s="90" t="n"/>
      <c r="G523" s="90" t="n"/>
      <c r="H523" s="90" t="n"/>
      <c r="I523" s="90" t="n"/>
      <c r="J523" s="90" t="n"/>
      <c r="K523" s="90" t="n"/>
      <c r="L523" s="90" t="n"/>
      <c r="M523" s="90" t="n"/>
      <c r="N523" s="90" t="n"/>
      <c r="O523" s="90" t="n"/>
      <c r="P523" s="90" t="n"/>
      <c r="Q523" s="90" t="n"/>
      <c r="R523" s="90" t="n"/>
      <c r="S523" s="90" t="n"/>
      <c r="T523" s="90" t="n"/>
      <c r="U523" s="90" t="n"/>
      <c r="V523" s="90" t="n"/>
      <c r="W523" s="90" t="n"/>
      <c r="X523" s="90" t="n"/>
      <c r="Y523" s="90" t="n"/>
      <c r="Z523" s="90" t="n"/>
    </row>
    <row r="524">
      <c r="A524" s="90" t="n"/>
      <c r="B524" s="90" t="n"/>
      <c r="C524" s="90" t="n"/>
      <c r="D524" s="90" t="n"/>
      <c r="E524" s="90" t="n"/>
      <c r="F524" s="90" t="n"/>
      <c r="G524" s="90" t="n"/>
      <c r="H524" s="90" t="n"/>
      <c r="I524" s="90" t="n"/>
      <c r="J524" s="90" t="n"/>
      <c r="K524" s="90" t="n"/>
      <c r="L524" s="90" t="n"/>
      <c r="M524" s="90" t="n"/>
      <c r="N524" s="90" t="n"/>
      <c r="O524" s="90" t="n"/>
      <c r="P524" s="90" t="n"/>
      <c r="Q524" s="90" t="n"/>
      <c r="R524" s="90" t="n"/>
      <c r="S524" s="90" t="n"/>
      <c r="T524" s="90" t="n"/>
      <c r="U524" s="90" t="n"/>
      <c r="V524" s="90" t="n"/>
      <c r="W524" s="90" t="n"/>
      <c r="X524" s="90" t="n"/>
      <c r="Y524" s="90" t="n"/>
      <c r="Z524" s="90" t="n"/>
    </row>
    <row r="525">
      <c r="A525" s="90" t="n"/>
      <c r="B525" s="90" t="n"/>
      <c r="C525" s="90" t="n"/>
      <c r="D525" s="90" t="n"/>
      <c r="E525" s="90" t="n"/>
      <c r="F525" s="90" t="n"/>
      <c r="G525" s="90" t="n"/>
      <c r="H525" s="90" t="n"/>
      <c r="I525" s="90" t="n"/>
      <c r="J525" s="90" t="n"/>
      <c r="K525" s="90" t="n"/>
      <c r="L525" s="90" t="n"/>
      <c r="M525" s="90" t="n"/>
      <c r="N525" s="90" t="n"/>
      <c r="O525" s="90" t="n"/>
      <c r="P525" s="90" t="n"/>
      <c r="Q525" s="90" t="n"/>
      <c r="R525" s="90" t="n"/>
      <c r="S525" s="90" t="n"/>
      <c r="T525" s="90" t="n"/>
      <c r="U525" s="90" t="n"/>
      <c r="V525" s="90" t="n"/>
      <c r="W525" s="90" t="n"/>
      <c r="X525" s="90" t="n"/>
      <c r="Y525" s="90" t="n"/>
      <c r="Z525" s="90" t="n"/>
    </row>
    <row r="526">
      <c r="A526" s="90" t="n"/>
      <c r="B526" s="90" t="n"/>
      <c r="C526" s="90" t="n"/>
      <c r="D526" s="90" t="n"/>
      <c r="E526" s="90" t="n"/>
      <c r="F526" s="90" t="n"/>
      <c r="G526" s="90" t="n"/>
      <c r="H526" s="90" t="n"/>
      <c r="I526" s="90" t="n"/>
      <c r="J526" s="90" t="n"/>
      <c r="K526" s="90" t="n"/>
      <c r="L526" s="90" t="n"/>
      <c r="M526" s="90" t="n"/>
      <c r="N526" s="90" t="n"/>
      <c r="O526" s="90" t="n"/>
      <c r="P526" s="90" t="n"/>
      <c r="Q526" s="90" t="n"/>
      <c r="R526" s="90" t="n"/>
      <c r="S526" s="90" t="n"/>
      <c r="T526" s="90" t="n"/>
      <c r="U526" s="90" t="n"/>
      <c r="V526" s="90" t="n"/>
      <c r="W526" s="90" t="n"/>
      <c r="X526" s="90" t="n"/>
      <c r="Y526" s="90" t="n"/>
      <c r="Z526" s="90" t="n"/>
    </row>
    <row r="527">
      <c r="A527" s="90" t="n"/>
      <c r="B527" s="90" t="n"/>
      <c r="C527" s="90" t="n"/>
      <c r="D527" s="90" t="n"/>
      <c r="E527" s="90" t="n"/>
      <c r="F527" s="90" t="n"/>
      <c r="G527" s="90" t="n"/>
      <c r="H527" s="90" t="n"/>
      <c r="I527" s="90" t="n"/>
      <c r="J527" s="90" t="n"/>
      <c r="K527" s="90" t="n"/>
      <c r="L527" s="90" t="n"/>
      <c r="M527" s="90" t="n"/>
      <c r="N527" s="90" t="n"/>
      <c r="O527" s="90" t="n"/>
      <c r="P527" s="90" t="n"/>
      <c r="Q527" s="90" t="n"/>
      <c r="R527" s="90" t="n"/>
      <c r="S527" s="90" t="n"/>
      <c r="T527" s="90" t="n"/>
      <c r="U527" s="90" t="n"/>
      <c r="V527" s="90" t="n"/>
      <c r="W527" s="90" t="n"/>
      <c r="X527" s="90" t="n"/>
      <c r="Y527" s="90" t="n"/>
      <c r="Z527" s="90" t="n"/>
    </row>
    <row r="528">
      <c r="A528" s="90" t="n"/>
      <c r="B528" s="90" t="n"/>
      <c r="C528" s="90" t="n"/>
      <c r="D528" s="90" t="n"/>
      <c r="E528" s="90" t="n"/>
      <c r="F528" s="90" t="n"/>
      <c r="G528" s="90" t="n"/>
      <c r="H528" s="90" t="n"/>
      <c r="I528" s="90" t="n"/>
      <c r="J528" s="90" t="n"/>
      <c r="K528" s="90" t="n"/>
      <c r="L528" s="90" t="n"/>
      <c r="M528" s="90" t="n"/>
      <c r="N528" s="90" t="n"/>
      <c r="O528" s="90" t="n"/>
      <c r="P528" s="90" t="n"/>
      <c r="Q528" s="90" t="n"/>
      <c r="R528" s="90" t="n"/>
      <c r="S528" s="90" t="n"/>
      <c r="T528" s="90" t="n"/>
      <c r="U528" s="90" t="n"/>
      <c r="V528" s="90" t="n"/>
      <c r="W528" s="90" t="n"/>
      <c r="X528" s="90" t="n"/>
      <c r="Y528" s="90" t="n"/>
      <c r="Z528" s="90" t="n"/>
    </row>
    <row r="529">
      <c r="A529" s="90" t="n"/>
      <c r="B529" s="90" t="n"/>
      <c r="C529" s="90" t="n"/>
      <c r="D529" s="90" t="n"/>
      <c r="E529" s="90" t="n"/>
      <c r="F529" s="90" t="n"/>
      <c r="G529" s="90" t="n"/>
      <c r="H529" s="90" t="n"/>
      <c r="I529" s="90" t="n"/>
      <c r="J529" s="90" t="n"/>
      <c r="K529" s="90" t="n"/>
      <c r="L529" s="90" t="n"/>
      <c r="M529" s="90" t="n"/>
      <c r="N529" s="90" t="n"/>
      <c r="O529" s="90" t="n"/>
      <c r="P529" s="90" t="n"/>
      <c r="Q529" s="90" t="n"/>
      <c r="R529" s="90" t="n"/>
      <c r="S529" s="90" t="n"/>
      <c r="T529" s="90" t="n"/>
      <c r="U529" s="90" t="n"/>
      <c r="V529" s="90" t="n"/>
      <c r="W529" s="90" t="n"/>
      <c r="X529" s="90" t="n"/>
      <c r="Y529" s="90" t="n"/>
      <c r="Z529" s="90" t="n"/>
    </row>
    <row r="530">
      <c r="A530" s="90" t="n"/>
      <c r="B530" s="90" t="n"/>
      <c r="C530" s="90" t="n"/>
      <c r="D530" s="90" t="n"/>
      <c r="E530" s="90" t="n"/>
      <c r="F530" s="90" t="n"/>
      <c r="G530" s="90" t="n"/>
      <c r="H530" s="90" t="n"/>
      <c r="I530" s="90" t="n"/>
      <c r="J530" s="90" t="n"/>
      <c r="K530" s="90" t="n"/>
      <c r="L530" s="90" t="n"/>
      <c r="M530" s="90" t="n"/>
      <c r="N530" s="90" t="n"/>
      <c r="O530" s="90" t="n"/>
      <c r="P530" s="90" t="n"/>
      <c r="Q530" s="90" t="n"/>
      <c r="R530" s="90" t="n"/>
      <c r="S530" s="90" t="n"/>
      <c r="T530" s="90" t="n"/>
      <c r="U530" s="90" t="n"/>
      <c r="V530" s="90" t="n"/>
      <c r="W530" s="90" t="n"/>
      <c r="X530" s="90" t="n"/>
      <c r="Y530" s="90" t="n"/>
      <c r="Z530" s="90" t="n"/>
    </row>
    <row r="531">
      <c r="A531" s="90" t="n"/>
      <c r="B531" s="90" t="n"/>
      <c r="C531" s="90" t="n"/>
      <c r="D531" s="90" t="n"/>
      <c r="E531" s="90" t="n"/>
      <c r="F531" s="90" t="n"/>
      <c r="G531" s="90" t="n"/>
      <c r="H531" s="90" t="n"/>
      <c r="I531" s="90" t="n"/>
      <c r="J531" s="90" t="n"/>
      <c r="K531" s="90" t="n"/>
      <c r="L531" s="90" t="n"/>
      <c r="M531" s="90" t="n"/>
      <c r="N531" s="90" t="n"/>
      <c r="O531" s="90" t="n"/>
      <c r="P531" s="90" t="n"/>
      <c r="Q531" s="90" t="n"/>
      <c r="R531" s="90" t="n"/>
      <c r="S531" s="90" t="n"/>
      <c r="T531" s="90" t="n"/>
      <c r="U531" s="90" t="n"/>
      <c r="V531" s="90" t="n"/>
      <c r="W531" s="90" t="n"/>
      <c r="X531" s="90" t="n"/>
      <c r="Y531" s="90" t="n"/>
      <c r="Z531" s="90" t="n"/>
    </row>
    <row r="532">
      <c r="A532" s="90" t="n"/>
      <c r="B532" s="90" t="n"/>
      <c r="C532" s="90" t="n"/>
      <c r="D532" s="90" t="n"/>
      <c r="E532" s="90" t="n"/>
      <c r="F532" s="90" t="n"/>
      <c r="G532" s="90" t="n"/>
      <c r="H532" s="90" t="n"/>
      <c r="I532" s="90" t="n"/>
      <c r="J532" s="90" t="n"/>
      <c r="K532" s="90" t="n"/>
      <c r="L532" s="90" t="n"/>
      <c r="M532" s="90" t="n"/>
      <c r="N532" s="90" t="n"/>
      <c r="O532" s="90" t="n"/>
      <c r="P532" s="90" t="n"/>
      <c r="Q532" s="90" t="n"/>
      <c r="R532" s="90" t="n"/>
      <c r="S532" s="90" t="n"/>
      <c r="T532" s="90" t="n"/>
      <c r="U532" s="90" t="n"/>
      <c r="V532" s="90" t="n"/>
      <c r="W532" s="90" t="n"/>
      <c r="X532" s="90" t="n"/>
      <c r="Y532" s="90" t="n"/>
      <c r="Z532" s="90" t="n"/>
    </row>
    <row r="533">
      <c r="A533" s="90" t="n"/>
      <c r="B533" s="90" t="n"/>
      <c r="C533" s="90" t="n"/>
      <c r="D533" s="90" t="n"/>
      <c r="E533" s="90" t="n"/>
      <c r="F533" s="90" t="n"/>
      <c r="G533" s="90" t="n"/>
      <c r="H533" s="90" t="n"/>
      <c r="I533" s="90" t="n"/>
      <c r="J533" s="90" t="n"/>
      <c r="K533" s="90" t="n"/>
      <c r="L533" s="90" t="n"/>
      <c r="M533" s="90" t="n"/>
      <c r="N533" s="90" t="n"/>
      <c r="O533" s="90" t="n"/>
      <c r="P533" s="90" t="n"/>
      <c r="Q533" s="90" t="n"/>
      <c r="R533" s="90" t="n"/>
      <c r="S533" s="90" t="n"/>
      <c r="T533" s="90" t="n"/>
      <c r="U533" s="90" t="n"/>
      <c r="V533" s="90" t="n"/>
      <c r="W533" s="90" t="n"/>
      <c r="X533" s="90" t="n"/>
      <c r="Y533" s="90" t="n"/>
      <c r="Z533" s="90" t="n"/>
    </row>
    <row r="534">
      <c r="A534" s="90" t="n"/>
      <c r="B534" s="90" t="n"/>
      <c r="C534" s="90" t="n"/>
      <c r="D534" s="90" t="n"/>
      <c r="E534" s="90" t="n"/>
      <c r="F534" s="90" t="n"/>
      <c r="G534" s="90" t="n"/>
      <c r="H534" s="90" t="n"/>
      <c r="I534" s="90" t="n"/>
      <c r="J534" s="90" t="n"/>
      <c r="K534" s="90" t="n"/>
      <c r="L534" s="90" t="n"/>
      <c r="M534" s="90" t="n"/>
      <c r="N534" s="90" t="n"/>
      <c r="O534" s="90" t="n"/>
      <c r="P534" s="90" t="n"/>
      <c r="Q534" s="90" t="n"/>
      <c r="R534" s="90" t="n"/>
      <c r="S534" s="90" t="n"/>
      <c r="T534" s="90" t="n"/>
      <c r="U534" s="90" t="n"/>
      <c r="V534" s="90" t="n"/>
      <c r="W534" s="90" t="n"/>
      <c r="X534" s="90" t="n"/>
      <c r="Y534" s="90" t="n"/>
      <c r="Z534" s="90" t="n"/>
    </row>
    <row r="535">
      <c r="A535" s="90" t="n"/>
      <c r="B535" s="90" t="n"/>
      <c r="C535" s="90" t="n"/>
      <c r="D535" s="90" t="n"/>
      <c r="E535" s="90" t="n"/>
      <c r="F535" s="90" t="n"/>
      <c r="G535" s="90" t="n"/>
      <c r="H535" s="90" t="n"/>
      <c r="I535" s="90" t="n"/>
      <c r="J535" s="90" t="n"/>
      <c r="K535" s="90" t="n"/>
      <c r="L535" s="90" t="n"/>
      <c r="M535" s="90" t="n"/>
      <c r="N535" s="90" t="n"/>
      <c r="O535" s="90" t="n"/>
      <c r="P535" s="90" t="n"/>
      <c r="Q535" s="90" t="n"/>
      <c r="R535" s="90" t="n"/>
      <c r="S535" s="90" t="n"/>
      <c r="T535" s="90" t="n"/>
      <c r="U535" s="90" t="n"/>
      <c r="V535" s="90" t="n"/>
      <c r="W535" s="90" t="n"/>
      <c r="X535" s="90" t="n"/>
      <c r="Y535" s="90" t="n"/>
      <c r="Z535" s="90" t="n"/>
    </row>
    <row r="536">
      <c r="A536" s="90" t="n"/>
      <c r="B536" s="90" t="n"/>
      <c r="C536" s="90" t="n"/>
      <c r="D536" s="90" t="n"/>
      <c r="E536" s="90" t="n"/>
      <c r="F536" s="90" t="n"/>
      <c r="G536" s="90" t="n"/>
      <c r="H536" s="90" t="n"/>
      <c r="I536" s="90" t="n"/>
      <c r="J536" s="90" t="n"/>
      <c r="K536" s="90" t="n"/>
      <c r="L536" s="90" t="n"/>
      <c r="M536" s="90" t="n"/>
      <c r="N536" s="90" t="n"/>
      <c r="O536" s="90" t="n"/>
      <c r="P536" s="90" t="n"/>
      <c r="Q536" s="90" t="n"/>
      <c r="R536" s="90" t="n"/>
      <c r="S536" s="90" t="n"/>
      <c r="T536" s="90" t="n"/>
      <c r="U536" s="90" t="n"/>
      <c r="V536" s="90" t="n"/>
      <c r="W536" s="90" t="n"/>
      <c r="X536" s="90" t="n"/>
      <c r="Y536" s="90" t="n"/>
      <c r="Z536" s="90" t="n"/>
    </row>
    <row r="537">
      <c r="A537" s="90" t="n"/>
      <c r="B537" s="90" t="n"/>
      <c r="C537" s="90" t="n"/>
      <c r="D537" s="90" t="n"/>
      <c r="E537" s="90" t="n"/>
      <c r="F537" s="90" t="n"/>
      <c r="G537" s="90" t="n"/>
      <c r="H537" s="90" t="n"/>
      <c r="I537" s="90" t="n"/>
      <c r="J537" s="90" t="n"/>
      <c r="K537" s="90" t="n"/>
      <c r="L537" s="90" t="n"/>
      <c r="M537" s="90" t="n"/>
      <c r="N537" s="90" t="n"/>
      <c r="O537" s="90" t="n"/>
      <c r="P537" s="90" t="n"/>
      <c r="Q537" s="90" t="n"/>
      <c r="R537" s="90" t="n"/>
      <c r="S537" s="90" t="n"/>
      <c r="T537" s="90" t="n"/>
      <c r="U537" s="90" t="n"/>
      <c r="V537" s="90" t="n"/>
      <c r="W537" s="90" t="n"/>
      <c r="X537" s="90" t="n"/>
      <c r="Y537" s="90" t="n"/>
      <c r="Z537" s="90" t="n"/>
    </row>
    <row r="538">
      <c r="A538" s="90" t="n"/>
      <c r="B538" s="90" t="n"/>
      <c r="C538" s="90" t="n"/>
      <c r="D538" s="90" t="n"/>
      <c r="E538" s="90" t="n"/>
      <c r="F538" s="90" t="n"/>
      <c r="G538" s="90" t="n"/>
      <c r="H538" s="90" t="n"/>
      <c r="I538" s="90" t="n"/>
      <c r="J538" s="90" t="n"/>
      <c r="K538" s="90" t="n"/>
      <c r="L538" s="90" t="n"/>
      <c r="M538" s="90" t="n"/>
      <c r="N538" s="90" t="n"/>
      <c r="O538" s="90" t="n"/>
      <c r="P538" s="90" t="n"/>
      <c r="Q538" s="90" t="n"/>
      <c r="R538" s="90" t="n"/>
      <c r="S538" s="90" t="n"/>
      <c r="T538" s="90" t="n"/>
      <c r="U538" s="90" t="n"/>
      <c r="V538" s="90" t="n"/>
      <c r="W538" s="90" t="n"/>
      <c r="X538" s="90" t="n"/>
      <c r="Y538" s="90" t="n"/>
      <c r="Z538" s="90" t="n"/>
    </row>
    <row r="539">
      <c r="A539" s="90" t="n"/>
      <c r="B539" s="90" t="n"/>
      <c r="C539" s="90" t="n"/>
      <c r="D539" s="90" t="n"/>
      <c r="E539" s="90" t="n"/>
      <c r="F539" s="90" t="n"/>
      <c r="G539" s="90" t="n"/>
      <c r="H539" s="90" t="n"/>
      <c r="I539" s="90" t="n"/>
      <c r="J539" s="90" t="n"/>
      <c r="K539" s="90" t="n"/>
      <c r="L539" s="90" t="n"/>
      <c r="M539" s="90" t="n"/>
      <c r="N539" s="90" t="n"/>
      <c r="O539" s="90" t="n"/>
      <c r="P539" s="90" t="n"/>
      <c r="Q539" s="90" t="n"/>
      <c r="R539" s="90" t="n"/>
      <c r="S539" s="90" t="n"/>
      <c r="T539" s="90" t="n"/>
      <c r="U539" s="90" t="n"/>
      <c r="V539" s="90" t="n"/>
      <c r="W539" s="90" t="n"/>
      <c r="X539" s="90" t="n"/>
      <c r="Y539" s="90" t="n"/>
      <c r="Z539" s="90" t="n"/>
    </row>
    <row r="540">
      <c r="A540" s="90" t="n"/>
      <c r="B540" s="90" t="n"/>
      <c r="C540" s="90" t="n"/>
      <c r="D540" s="90" t="n"/>
      <c r="E540" s="90" t="n"/>
      <c r="F540" s="90" t="n"/>
      <c r="G540" s="90" t="n"/>
      <c r="H540" s="90" t="n"/>
      <c r="I540" s="90" t="n"/>
      <c r="J540" s="90" t="n"/>
      <c r="K540" s="90" t="n"/>
      <c r="L540" s="90" t="n"/>
      <c r="M540" s="90" t="n"/>
      <c r="N540" s="90" t="n"/>
      <c r="O540" s="90" t="n"/>
      <c r="P540" s="90" t="n"/>
      <c r="Q540" s="90" t="n"/>
      <c r="R540" s="90" t="n"/>
      <c r="S540" s="90" t="n"/>
      <c r="T540" s="90" t="n"/>
      <c r="U540" s="90" t="n"/>
      <c r="V540" s="90" t="n"/>
      <c r="W540" s="90" t="n"/>
      <c r="X540" s="90" t="n"/>
      <c r="Y540" s="90" t="n"/>
      <c r="Z540" s="90" t="n"/>
    </row>
    <row r="541">
      <c r="A541" s="90" t="n"/>
      <c r="B541" s="90" t="n"/>
      <c r="C541" s="90" t="n"/>
      <c r="D541" s="90" t="n"/>
      <c r="E541" s="90" t="n"/>
      <c r="F541" s="90" t="n"/>
      <c r="G541" s="90" t="n"/>
      <c r="H541" s="90" t="n"/>
      <c r="I541" s="90" t="n"/>
      <c r="J541" s="90" t="n"/>
      <c r="K541" s="90" t="n"/>
      <c r="L541" s="90" t="n"/>
      <c r="M541" s="90" t="n"/>
      <c r="N541" s="90" t="n"/>
      <c r="O541" s="90" t="n"/>
      <c r="P541" s="90" t="n"/>
      <c r="Q541" s="90" t="n"/>
      <c r="R541" s="90" t="n"/>
      <c r="S541" s="90" t="n"/>
      <c r="T541" s="90" t="n"/>
      <c r="U541" s="90" t="n"/>
      <c r="V541" s="90" t="n"/>
      <c r="W541" s="90" t="n"/>
      <c r="X541" s="90" t="n"/>
      <c r="Y541" s="90" t="n"/>
      <c r="Z541" s="90" t="n"/>
    </row>
    <row r="542">
      <c r="A542" s="90" t="n"/>
      <c r="B542" s="90" t="n"/>
      <c r="C542" s="90" t="n"/>
      <c r="D542" s="90" t="n"/>
      <c r="E542" s="90" t="n"/>
      <c r="F542" s="90" t="n"/>
      <c r="G542" s="90" t="n"/>
      <c r="H542" s="90" t="n"/>
      <c r="I542" s="90" t="n"/>
      <c r="J542" s="90" t="n"/>
      <c r="K542" s="90" t="n"/>
      <c r="L542" s="90" t="n"/>
      <c r="M542" s="90" t="n"/>
      <c r="N542" s="90" t="n"/>
      <c r="O542" s="90" t="n"/>
      <c r="P542" s="90" t="n"/>
      <c r="Q542" s="90" t="n"/>
      <c r="R542" s="90" t="n"/>
      <c r="S542" s="90" t="n"/>
      <c r="T542" s="90" t="n"/>
      <c r="U542" s="90" t="n"/>
      <c r="V542" s="90" t="n"/>
      <c r="W542" s="90" t="n"/>
      <c r="X542" s="90" t="n"/>
      <c r="Y542" s="90" t="n"/>
      <c r="Z542" s="90" t="n"/>
    </row>
    <row r="543">
      <c r="A543" s="90" t="n"/>
      <c r="B543" s="90" t="n"/>
      <c r="C543" s="90" t="n"/>
      <c r="D543" s="90" t="n"/>
      <c r="E543" s="90" t="n"/>
      <c r="F543" s="90" t="n"/>
      <c r="G543" s="90" t="n"/>
      <c r="H543" s="90" t="n"/>
      <c r="I543" s="90" t="n"/>
      <c r="J543" s="90" t="n"/>
      <c r="K543" s="90" t="n"/>
      <c r="L543" s="90" t="n"/>
      <c r="M543" s="90" t="n"/>
      <c r="N543" s="90" t="n"/>
      <c r="O543" s="90" t="n"/>
      <c r="P543" s="90" t="n"/>
      <c r="Q543" s="90" t="n"/>
      <c r="R543" s="90" t="n"/>
      <c r="S543" s="90" t="n"/>
      <c r="T543" s="90" t="n"/>
      <c r="U543" s="90" t="n"/>
      <c r="V543" s="90" t="n"/>
      <c r="W543" s="90" t="n"/>
      <c r="X543" s="90" t="n"/>
      <c r="Y543" s="90" t="n"/>
      <c r="Z543" s="90" t="n"/>
    </row>
    <row r="544">
      <c r="A544" s="90" t="n"/>
      <c r="B544" s="90" t="n"/>
      <c r="C544" s="90" t="n"/>
      <c r="D544" s="90" t="n"/>
      <c r="E544" s="90" t="n"/>
      <c r="F544" s="90" t="n"/>
      <c r="G544" s="90" t="n"/>
      <c r="H544" s="90" t="n"/>
      <c r="I544" s="90" t="n"/>
      <c r="J544" s="90" t="n"/>
      <c r="K544" s="90" t="n"/>
      <c r="L544" s="90" t="n"/>
      <c r="M544" s="90" t="n"/>
      <c r="N544" s="90" t="n"/>
      <c r="O544" s="90" t="n"/>
      <c r="P544" s="90" t="n"/>
      <c r="Q544" s="90" t="n"/>
      <c r="R544" s="90" t="n"/>
      <c r="S544" s="90" t="n"/>
      <c r="T544" s="90" t="n"/>
      <c r="U544" s="90" t="n"/>
      <c r="V544" s="90" t="n"/>
      <c r="W544" s="90" t="n"/>
      <c r="X544" s="90" t="n"/>
      <c r="Y544" s="90" t="n"/>
      <c r="Z544" s="90" t="n"/>
    </row>
    <row r="545">
      <c r="A545" s="90" t="n"/>
      <c r="B545" s="90" t="n"/>
      <c r="C545" s="90" t="n"/>
      <c r="D545" s="90" t="n"/>
      <c r="E545" s="90" t="n"/>
      <c r="F545" s="90" t="n"/>
      <c r="G545" s="90" t="n"/>
      <c r="H545" s="90" t="n"/>
      <c r="I545" s="90" t="n"/>
      <c r="J545" s="90" t="n"/>
      <c r="K545" s="90" t="n"/>
      <c r="L545" s="90" t="n"/>
      <c r="M545" s="90" t="n"/>
      <c r="N545" s="90" t="n"/>
      <c r="O545" s="90" t="n"/>
      <c r="P545" s="90" t="n"/>
      <c r="Q545" s="90" t="n"/>
      <c r="R545" s="90" t="n"/>
      <c r="S545" s="90" t="n"/>
      <c r="T545" s="90" t="n"/>
      <c r="U545" s="90" t="n"/>
      <c r="V545" s="90" t="n"/>
      <c r="W545" s="90" t="n"/>
      <c r="X545" s="90" t="n"/>
      <c r="Y545" s="90" t="n"/>
      <c r="Z545" s="90" t="n"/>
    </row>
    <row r="546">
      <c r="A546" s="90" t="n"/>
      <c r="B546" s="90" t="n"/>
      <c r="C546" s="90" t="n"/>
      <c r="D546" s="90" t="n"/>
      <c r="E546" s="90" t="n"/>
      <c r="F546" s="90" t="n"/>
      <c r="G546" s="90" t="n"/>
      <c r="H546" s="90" t="n"/>
      <c r="I546" s="90" t="n"/>
      <c r="J546" s="90" t="n"/>
      <c r="K546" s="90" t="n"/>
      <c r="L546" s="90" t="n"/>
      <c r="M546" s="90" t="n"/>
      <c r="N546" s="90" t="n"/>
      <c r="O546" s="90" t="n"/>
      <c r="P546" s="90" t="n"/>
      <c r="Q546" s="90" t="n"/>
      <c r="R546" s="90" t="n"/>
      <c r="S546" s="90" t="n"/>
      <c r="T546" s="90" t="n"/>
      <c r="U546" s="90" t="n"/>
      <c r="V546" s="90" t="n"/>
      <c r="W546" s="90" t="n"/>
      <c r="X546" s="90" t="n"/>
      <c r="Y546" s="90" t="n"/>
      <c r="Z546" s="90" t="n"/>
    </row>
    <row r="547">
      <c r="A547" s="90" t="n"/>
      <c r="B547" s="90" t="n"/>
      <c r="C547" s="90" t="n"/>
      <c r="D547" s="90" t="n"/>
      <c r="E547" s="90" t="n"/>
      <c r="F547" s="90" t="n"/>
      <c r="G547" s="90" t="n"/>
      <c r="H547" s="90" t="n"/>
      <c r="I547" s="90" t="n"/>
      <c r="J547" s="90" t="n"/>
      <c r="K547" s="90" t="n"/>
      <c r="L547" s="90" t="n"/>
      <c r="M547" s="90" t="n"/>
      <c r="N547" s="90" t="n"/>
      <c r="O547" s="90" t="n"/>
      <c r="P547" s="90" t="n"/>
      <c r="Q547" s="90" t="n"/>
      <c r="R547" s="90" t="n"/>
      <c r="S547" s="90" t="n"/>
      <c r="T547" s="90" t="n"/>
      <c r="U547" s="90" t="n"/>
      <c r="V547" s="90" t="n"/>
      <c r="W547" s="90" t="n"/>
      <c r="X547" s="90" t="n"/>
      <c r="Y547" s="90" t="n"/>
      <c r="Z547" s="90" t="n"/>
    </row>
    <row r="548">
      <c r="A548" s="90" t="n"/>
      <c r="B548" s="90" t="n"/>
      <c r="C548" s="90" t="n"/>
      <c r="D548" s="90" t="n"/>
      <c r="E548" s="90" t="n"/>
      <c r="F548" s="90" t="n"/>
      <c r="G548" s="90" t="n"/>
      <c r="H548" s="90" t="n"/>
      <c r="I548" s="90" t="n"/>
      <c r="J548" s="90" t="n"/>
      <c r="K548" s="90" t="n"/>
      <c r="L548" s="90" t="n"/>
      <c r="M548" s="90" t="n"/>
      <c r="N548" s="90" t="n"/>
      <c r="O548" s="90" t="n"/>
      <c r="P548" s="90" t="n"/>
      <c r="Q548" s="90" t="n"/>
      <c r="R548" s="90" t="n"/>
      <c r="S548" s="90" t="n"/>
      <c r="T548" s="90" t="n"/>
      <c r="U548" s="90" t="n"/>
      <c r="V548" s="90" t="n"/>
      <c r="W548" s="90" t="n"/>
      <c r="X548" s="90" t="n"/>
      <c r="Y548" s="90" t="n"/>
      <c r="Z548" s="90" t="n"/>
    </row>
    <row r="549">
      <c r="A549" s="90" t="n"/>
      <c r="B549" s="90" t="n"/>
      <c r="C549" s="90" t="n"/>
      <c r="D549" s="90" t="n"/>
      <c r="E549" s="90" t="n"/>
      <c r="F549" s="90" t="n"/>
      <c r="G549" s="90" t="n"/>
      <c r="H549" s="90" t="n"/>
      <c r="I549" s="90" t="n"/>
      <c r="J549" s="90" t="n"/>
      <c r="K549" s="90" t="n"/>
      <c r="L549" s="90" t="n"/>
      <c r="M549" s="90" t="n"/>
      <c r="N549" s="90" t="n"/>
      <c r="O549" s="90" t="n"/>
      <c r="P549" s="90" t="n"/>
      <c r="Q549" s="90" t="n"/>
      <c r="R549" s="90" t="n"/>
      <c r="S549" s="90" t="n"/>
      <c r="T549" s="90" t="n"/>
      <c r="U549" s="90" t="n"/>
      <c r="V549" s="90" t="n"/>
      <c r="W549" s="90" t="n"/>
      <c r="X549" s="90" t="n"/>
      <c r="Y549" s="90" t="n"/>
      <c r="Z549" s="90" t="n"/>
    </row>
    <row r="550">
      <c r="A550" s="90" t="n"/>
      <c r="B550" s="90" t="n"/>
      <c r="C550" s="90" t="n"/>
      <c r="D550" s="90" t="n"/>
      <c r="E550" s="90" t="n"/>
      <c r="F550" s="90" t="n"/>
      <c r="G550" s="90" t="n"/>
      <c r="H550" s="90" t="n"/>
      <c r="I550" s="90" t="n"/>
      <c r="J550" s="90" t="n"/>
      <c r="K550" s="90" t="n"/>
      <c r="L550" s="90" t="n"/>
      <c r="M550" s="90" t="n"/>
      <c r="N550" s="90" t="n"/>
      <c r="O550" s="90" t="n"/>
      <c r="P550" s="90" t="n"/>
      <c r="Q550" s="90" t="n"/>
      <c r="R550" s="90" t="n"/>
      <c r="S550" s="90" t="n"/>
      <c r="T550" s="90" t="n"/>
      <c r="U550" s="90" t="n"/>
      <c r="V550" s="90" t="n"/>
      <c r="W550" s="90" t="n"/>
      <c r="X550" s="90" t="n"/>
      <c r="Y550" s="90" t="n"/>
      <c r="Z550" s="90" t="n"/>
    </row>
    <row r="551">
      <c r="A551" s="90" t="n"/>
      <c r="B551" s="90" t="n"/>
      <c r="C551" s="90" t="n"/>
      <c r="D551" s="90" t="n"/>
      <c r="E551" s="90" t="n"/>
      <c r="F551" s="90" t="n"/>
      <c r="G551" s="90" t="n"/>
      <c r="H551" s="90" t="n"/>
      <c r="I551" s="90" t="n"/>
      <c r="J551" s="90" t="n"/>
      <c r="K551" s="90" t="n"/>
      <c r="L551" s="90" t="n"/>
      <c r="M551" s="90" t="n"/>
      <c r="N551" s="90" t="n"/>
      <c r="O551" s="90" t="n"/>
      <c r="P551" s="90" t="n"/>
      <c r="Q551" s="90" t="n"/>
      <c r="R551" s="90" t="n"/>
      <c r="S551" s="90" t="n"/>
      <c r="T551" s="90" t="n"/>
      <c r="U551" s="90" t="n"/>
      <c r="V551" s="90" t="n"/>
      <c r="W551" s="90" t="n"/>
      <c r="X551" s="90" t="n"/>
      <c r="Y551" s="90" t="n"/>
      <c r="Z551" s="90" t="n"/>
    </row>
    <row r="552">
      <c r="A552" s="90" t="n"/>
      <c r="B552" s="90" t="n"/>
      <c r="C552" s="90" t="n"/>
      <c r="D552" s="90" t="n"/>
      <c r="E552" s="90" t="n"/>
      <c r="F552" s="90" t="n"/>
      <c r="G552" s="90" t="n"/>
      <c r="H552" s="90" t="n"/>
      <c r="I552" s="90" t="n"/>
      <c r="J552" s="90" t="n"/>
      <c r="K552" s="90" t="n"/>
      <c r="L552" s="90" t="n"/>
      <c r="M552" s="90" t="n"/>
      <c r="N552" s="90" t="n"/>
      <c r="O552" s="90" t="n"/>
      <c r="P552" s="90" t="n"/>
      <c r="Q552" s="90" t="n"/>
      <c r="R552" s="90" t="n"/>
      <c r="S552" s="90" t="n"/>
      <c r="T552" s="90" t="n"/>
      <c r="U552" s="90" t="n"/>
      <c r="V552" s="90" t="n"/>
      <c r="W552" s="90" t="n"/>
      <c r="X552" s="90" t="n"/>
      <c r="Y552" s="90" t="n"/>
      <c r="Z552" s="90" t="n"/>
    </row>
    <row r="553">
      <c r="A553" s="90" t="n"/>
      <c r="B553" s="90" t="n"/>
      <c r="C553" s="90" t="n"/>
      <c r="D553" s="90" t="n"/>
      <c r="E553" s="90" t="n"/>
      <c r="F553" s="90" t="n"/>
      <c r="G553" s="90" t="n"/>
      <c r="H553" s="90" t="n"/>
      <c r="I553" s="90" t="n"/>
      <c r="J553" s="90" t="n"/>
      <c r="K553" s="90" t="n"/>
      <c r="L553" s="90" t="n"/>
      <c r="M553" s="90" t="n"/>
      <c r="N553" s="90" t="n"/>
      <c r="O553" s="90" t="n"/>
      <c r="P553" s="90" t="n"/>
      <c r="Q553" s="90" t="n"/>
      <c r="R553" s="90" t="n"/>
      <c r="S553" s="90" t="n"/>
      <c r="T553" s="90" t="n"/>
      <c r="U553" s="90" t="n"/>
      <c r="V553" s="90" t="n"/>
      <c r="W553" s="90" t="n"/>
      <c r="X553" s="90" t="n"/>
      <c r="Y553" s="90" t="n"/>
      <c r="Z553" s="90" t="n"/>
    </row>
    <row r="554">
      <c r="A554" s="90" t="n"/>
      <c r="B554" s="90" t="n"/>
      <c r="C554" s="90" t="n"/>
      <c r="D554" s="90" t="n"/>
      <c r="E554" s="90" t="n"/>
      <c r="F554" s="90" t="n"/>
      <c r="G554" s="90" t="n"/>
      <c r="H554" s="90" t="n"/>
      <c r="I554" s="90" t="n"/>
      <c r="J554" s="90" t="n"/>
      <c r="K554" s="90" t="n"/>
      <c r="L554" s="90" t="n"/>
      <c r="M554" s="90" t="n"/>
      <c r="N554" s="90" t="n"/>
      <c r="O554" s="90" t="n"/>
      <c r="P554" s="90" t="n"/>
      <c r="Q554" s="90" t="n"/>
      <c r="R554" s="90" t="n"/>
      <c r="S554" s="90" t="n"/>
      <c r="T554" s="90" t="n"/>
      <c r="U554" s="90" t="n"/>
      <c r="V554" s="90" t="n"/>
      <c r="W554" s="90" t="n"/>
      <c r="X554" s="90" t="n"/>
      <c r="Y554" s="90" t="n"/>
      <c r="Z554" s="90" t="n"/>
    </row>
    <row r="555">
      <c r="A555" s="90" t="n"/>
      <c r="B555" s="90" t="n"/>
      <c r="C555" s="90" t="n"/>
      <c r="D555" s="90" t="n"/>
      <c r="E555" s="90" t="n"/>
      <c r="F555" s="90" t="n"/>
      <c r="G555" s="90" t="n"/>
      <c r="H555" s="90" t="n"/>
      <c r="I555" s="90" t="n"/>
      <c r="J555" s="90" t="n"/>
      <c r="K555" s="90" t="n"/>
      <c r="L555" s="90" t="n"/>
      <c r="M555" s="90" t="n"/>
      <c r="N555" s="90" t="n"/>
      <c r="O555" s="90" t="n"/>
      <c r="P555" s="90" t="n"/>
      <c r="Q555" s="90" t="n"/>
      <c r="R555" s="90" t="n"/>
      <c r="S555" s="90" t="n"/>
      <c r="T555" s="90" t="n"/>
      <c r="U555" s="90" t="n"/>
      <c r="V555" s="90" t="n"/>
      <c r="W555" s="90" t="n"/>
      <c r="X555" s="90" t="n"/>
      <c r="Y555" s="90" t="n"/>
      <c r="Z555" s="90" t="n"/>
    </row>
    <row r="556">
      <c r="A556" s="90" t="n"/>
      <c r="B556" s="90" t="n"/>
      <c r="C556" s="90" t="n"/>
      <c r="D556" s="90" t="n"/>
      <c r="E556" s="90" t="n"/>
      <c r="F556" s="90" t="n"/>
      <c r="G556" s="90" t="n"/>
      <c r="H556" s="90" t="n"/>
      <c r="I556" s="90" t="n"/>
      <c r="J556" s="90" t="n"/>
      <c r="K556" s="90" t="n"/>
      <c r="L556" s="90" t="n"/>
      <c r="M556" s="90" t="n"/>
      <c r="N556" s="90" t="n"/>
      <c r="O556" s="90" t="n"/>
      <c r="P556" s="90" t="n"/>
      <c r="Q556" s="90" t="n"/>
      <c r="R556" s="90" t="n"/>
      <c r="S556" s="90" t="n"/>
      <c r="T556" s="90" t="n"/>
      <c r="U556" s="90" t="n"/>
      <c r="V556" s="90" t="n"/>
      <c r="W556" s="90" t="n"/>
      <c r="X556" s="90" t="n"/>
      <c r="Y556" s="90" t="n"/>
      <c r="Z556" s="90" t="n"/>
    </row>
    <row r="557">
      <c r="A557" s="90" t="n"/>
      <c r="B557" s="90" t="n"/>
      <c r="C557" s="90" t="n"/>
      <c r="D557" s="90" t="n"/>
      <c r="E557" s="90" t="n"/>
      <c r="F557" s="90" t="n"/>
      <c r="G557" s="90" t="n"/>
      <c r="H557" s="90" t="n"/>
      <c r="I557" s="90" t="n"/>
      <c r="J557" s="90" t="n"/>
      <c r="K557" s="90" t="n"/>
      <c r="L557" s="90" t="n"/>
      <c r="M557" s="90" t="n"/>
      <c r="N557" s="90" t="n"/>
      <c r="O557" s="90" t="n"/>
      <c r="P557" s="90" t="n"/>
      <c r="Q557" s="90" t="n"/>
      <c r="R557" s="90" t="n"/>
      <c r="S557" s="90" t="n"/>
      <c r="T557" s="90" t="n"/>
      <c r="U557" s="90" t="n"/>
      <c r="V557" s="90" t="n"/>
      <c r="W557" s="90" t="n"/>
      <c r="X557" s="90" t="n"/>
      <c r="Y557" s="90" t="n"/>
      <c r="Z557" s="90" t="n"/>
    </row>
    <row r="558">
      <c r="A558" s="90" t="n"/>
      <c r="B558" s="90" t="n"/>
      <c r="C558" s="90" t="n"/>
      <c r="D558" s="90" t="n"/>
      <c r="E558" s="90" t="n"/>
      <c r="F558" s="90" t="n"/>
      <c r="G558" s="90" t="n"/>
      <c r="H558" s="90" t="n"/>
      <c r="I558" s="90" t="n"/>
      <c r="J558" s="90" t="n"/>
      <c r="K558" s="90" t="n"/>
      <c r="L558" s="90" t="n"/>
      <c r="M558" s="90" t="n"/>
      <c r="N558" s="90" t="n"/>
      <c r="O558" s="90" t="n"/>
      <c r="P558" s="90" t="n"/>
      <c r="Q558" s="90" t="n"/>
      <c r="R558" s="90" t="n"/>
      <c r="S558" s="90" t="n"/>
      <c r="T558" s="90" t="n"/>
      <c r="U558" s="90" t="n"/>
      <c r="V558" s="90" t="n"/>
      <c r="W558" s="90" t="n"/>
      <c r="X558" s="90" t="n"/>
      <c r="Y558" s="90" t="n"/>
      <c r="Z558" s="90" t="n"/>
    </row>
    <row r="559">
      <c r="A559" s="90" t="n"/>
      <c r="B559" s="90" t="n"/>
      <c r="C559" s="90" t="n"/>
      <c r="D559" s="90" t="n"/>
      <c r="E559" s="90" t="n"/>
      <c r="F559" s="90" t="n"/>
      <c r="G559" s="90" t="n"/>
      <c r="H559" s="90" t="n"/>
      <c r="I559" s="90" t="n"/>
      <c r="J559" s="90" t="n"/>
      <c r="K559" s="90" t="n"/>
      <c r="L559" s="90" t="n"/>
      <c r="M559" s="90" t="n"/>
      <c r="N559" s="90" t="n"/>
      <c r="O559" s="90" t="n"/>
      <c r="P559" s="90" t="n"/>
      <c r="Q559" s="90" t="n"/>
      <c r="R559" s="90" t="n"/>
      <c r="S559" s="90" t="n"/>
      <c r="T559" s="90" t="n"/>
      <c r="U559" s="90" t="n"/>
      <c r="V559" s="90" t="n"/>
      <c r="W559" s="90" t="n"/>
      <c r="X559" s="90" t="n"/>
      <c r="Y559" s="90" t="n"/>
      <c r="Z559" s="90" t="n"/>
    </row>
    <row r="560">
      <c r="A560" s="90" t="n"/>
      <c r="B560" s="90" t="n"/>
      <c r="C560" s="90" t="n"/>
      <c r="D560" s="90" t="n"/>
      <c r="E560" s="90" t="n"/>
      <c r="F560" s="90" t="n"/>
      <c r="G560" s="90" t="n"/>
      <c r="H560" s="90" t="n"/>
      <c r="I560" s="90" t="n"/>
      <c r="J560" s="90" t="n"/>
      <c r="K560" s="90" t="n"/>
      <c r="L560" s="90" t="n"/>
      <c r="M560" s="90" t="n"/>
      <c r="N560" s="90" t="n"/>
      <c r="O560" s="90" t="n"/>
      <c r="P560" s="90" t="n"/>
      <c r="Q560" s="90" t="n"/>
      <c r="R560" s="90" t="n"/>
      <c r="S560" s="90" t="n"/>
      <c r="T560" s="90" t="n"/>
      <c r="U560" s="90" t="n"/>
      <c r="V560" s="90" t="n"/>
      <c r="W560" s="90" t="n"/>
      <c r="X560" s="90" t="n"/>
      <c r="Y560" s="90" t="n"/>
      <c r="Z560" s="90" t="n"/>
    </row>
    <row r="561">
      <c r="A561" s="90" t="n"/>
      <c r="B561" s="90" t="n"/>
      <c r="C561" s="90" t="n"/>
      <c r="D561" s="90" t="n"/>
      <c r="E561" s="90" t="n"/>
      <c r="F561" s="90" t="n"/>
      <c r="G561" s="90" t="n"/>
      <c r="H561" s="90" t="n"/>
      <c r="I561" s="90" t="n"/>
      <c r="J561" s="90" t="n"/>
      <c r="K561" s="90" t="n"/>
      <c r="L561" s="90" t="n"/>
      <c r="M561" s="90" t="n"/>
      <c r="N561" s="90" t="n"/>
      <c r="O561" s="90" t="n"/>
      <c r="P561" s="90" t="n"/>
      <c r="Q561" s="90" t="n"/>
      <c r="R561" s="90" t="n"/>
      <c r="S561" s="90" t="n"/>
      <c r="T561" s="90" t="n"/>
      <c r="U561" s="90" t="n"/>
      <c r="V561" s="90" t="n"/>
      <c r="W561" s="90" t="n"/>
      <c r="X561" s="90" t="n"/>
      <c r="Y561" s="90" t="n"/>
      <c r="Z561" s="90" t="n"/>
    </row>
    <row r="562">
      <c r="A562" s="90" t="n"/>
      <c r="B562" s="90" t="n"/>
      <c r="C562" s="90" t="n"/>
      <c r="D562" s="90" t="n"/>
      <c r="E562" s="90" t="n"/>
      <c r="F562" s="90" t="n"/>
      <c r="G562" s="90" t="n"/>
      <c r="H562" s="90" t="n"/>
      <c r="I562" s="90" t="n"/>
      <c r="J562" s="90" t="n"/>
      <c r="K562" s="90" t="n"/>
      <c r="L562" s="90" t="n"/>
      <c r="M562" s="90" t="n"/>
      <c r="N562" s="90" t="n"/>
      <c r="O562" s="90" t="n"/>
      <c r="P562" s="90" t="n"/>
      <c r="Q562" s="90" t="n"/>
      <c r="R562" s="90" t="n"/>
      <c r="S562" s="90" t="n"/>
      <c r="T562" s="90" t="n"/>
      <c r="U562" s="90" t="n"/>
      <c r="V562" s="90" t="n"/>
      <c r="W562" s="90" t="n"/>
      <c r="X562" s="90" t="n"/>
      <c r="Y562" s="90" t="n"/>
      <c r="Z562" s="90" t="n"/>
    </row>
    <row r="563">
      <c r="A563" s="90" t="n"/>
      <c r="B563" s="90" t="n"/>
      <c r="C563" s="90" t="n"/>
      <c r="D563" s="90" t="n"/>
      <c r="E563" s="90" t="n"/>
      <c r="F563" s="90" t="n"/>
      <c r="G563" s="90" t="n"/>
      <c r="H563" s="90" t="n"/>
      <c r="I563" s="90" t="n"/>
      <c r="J563" s="90" t="n"/>
      <c r="K563" s="90" t="n"/>
      <c r="L563" s="90" t="n"/>
      <c r="M563" s="90" t="n"/>
      <c r="N563" s="90" t="n"/>
      <c r="O563" s="90" t="n"/>
      <c r="P563" s="90" t="n"/>
      <c r="Q563" s="90" t="n"/>
      <c r="R563" s="90" t="n"/>
      <c r="S563" s="90" t="n"/>
      <c r="T563" s="90" t="n"/>
      <c r="U563" s="90" t="n"/>
      <c r="V563" s="90" t="n"/>
      <c r="W563" s="90" t="n"/>
      <c r="X563" s="90" t="n"/>
      <c r="Y563" s="90" t="n"/>
      <c r="Z563" s="90" t="n"/>
    </row>
    <row r="564">
      <c r="A564" s="90" t="n"/>
      <c r="B564" s="90" t="n"/>
      <c r="C564" s="90" t="n"/>
      <c r="D564" s="90" t="n"/>
      <c r="E564" s="90" t="n"/>
      <c r="F564" s="90" t="n"/>
      <c r="G564" s="90" t="n"/>
      <c r="H564" s="90" t="n"/>
      <c r="I564" s="90" t="n"/>
      <c r="J564" s="90" t="n"/>
      <c r="K564" s="90" t="n"/>
      <c r="L564" s="90" t="n"/>
      <c r="M564" s="90" t="n"/>
      <c r="N564" s="90" t="n"/>
      <c r="O564" s="90" t="n"/>
      <c r="P564" s="90" t="n"/>
      <c r="Q564" s="90" t="n"/>
      <c r="R564" s="90" t="n"/>
      <c r="S564" s="90" t="n"/>
      <c r="T564" s="90" t="n"/>
      <c r="U564" s="90" t="n"/>
      <c r="V564" s="90" t="n"/>
      <c r="W564" s="90" t="n"/>
      <c r="X564" s="90" t="n"/>
      <c r="Y564" s="90" t="n"/>
      <c r="Z564" s="90" t="n"/>
    </row>
    <row r="565">
      <c r="A565" s="90" t="n"/>
      <c r="B565" s="90" t="n"/>
      <c r="C565" s="90" t="n"/>
      <c r="D565" s="90" t="n"/>
      <c r="E565" s="90" t="n"/>
      <c r="F565" s="90" t="n"/>
      <c r="G565" s="90" t="n"/>
      <c r="H565" s="90" t="n"/>
      <c r="I565" s="90" t="n"/>
      <c r="J565" s="90" t="n"/>
      <c r="K565" s="90" t="n"/>
      <c r="L565" s="90" t="n"/>
      <c r="M565" s="90" t="n"/>
      <c r="N565" s="90" t="n"/>
      <c r="O565" s="90" t="n"/>
      <c r="P565" s="90" t="n"/>
      <c r="Q565" s="90" t="n"/>
      <c r="R565" s="90" t="n"/>
      <c r="S565" s="90" t="n"/>
      <c r="T565" s="90" t="n"/>
      <c r="U565" s="90" t="n"/>
      <c r="V565" s="90" t="n"/>
      <c r="W565" s="90" t="n"/>
      <c r="X565" s="90" t="n"/>
      <c r="Y565" s="90" t="n"/>
      <c r="Z565" s="90" t="n"/>
    </row>
    <row r="566">
      <c r="A566" s="90" t="n"/>
      <c r="B566" s="90" t="n"/>
      <c r="C566" s="90" t="n"/>
      <c r="D566" s="90" t="n"/>
      <c r="E566" s="90" t="n"/>
      <c r="F566" s="90" t="n"/>
      <c r="G566" s="90" t="n"/>
      <c r="H566" s="90" t="n"/>
      <c r="I566" s="90" t="n"/>
      <c r="J566" s="90" t="n"/>
      <c r="K566" s="90" t="n"/>
      <c r="L566" s="90" t="n"/>
      <c r="M566" s="90" t="n"/>
      <c r="N566" s="90" t="n"/>
      <c r="O566" s="90" t="n"/>
      <c r="P566" s="90" t="n"/>
      <c r="Q566" s="90" t="n"/>
      <c r="R566" s="90" t="n"/>
      <c r="S566" s="90" t="n"/>
      <c r="T566" s="90" t="n"/>
      <c r="U566" s="90" t="n"/>
      <c r="V566" s="90" t="n"/>
      <c r="W566" s="90" t="n"/>
      <c r="X566" s="90" t="n"/>
      <c r="Y566" s="90" t="n"/>
      <c r="Z566" s="90" t="n"/>
    </row>
    <row r="567">
      <c r="A567" s="90" t="n"/>
      <c r="B567" s="90" t="n"/>
      <c r="C567" s="90" t="n"/>
      <c r="D567" s="90" t="n"/>
      <c r="E567" s="90" t="n"/>
      <c r="F567" s="90" t="n"/>
      <c r="G567" s="90" t="n"/>
      <c r="H567" s="90" t="n"/>
      <c r="I567" s="90" t="n"/>
      <c r="J567" s="90" t="n"/>
      <c r="K567" s="90" t="n"/>
      <c r="L567" s="90" t="n"/>
      <c r="M567" s="90" t="n"/>
      <c r="N567" s="90" t="n"/>
      <c r="O567" s="90" t="n"/>
      <c r="P567" s="90" t="n"/>
      <c r="Q567" s="90" t="n"/>
      <c r="R567" s="90" t="n"/>
      <c r="S567" s="90" t="n"/>
      <c r="T567" s="90" t="n"/>
      <c r="U567" s="90" t="n"/>
      <c r="V567" s="90" t="n"/>
      <c r="W567" s="90" t="n"/>
      <c r="X567" s="90" t="n"/>
      <c r="Y567" s="90" t="n"/>
      <c r="Z567" s="90" t="n"/>
    </row>
    <row r="568">
      <c r="A568" s="90" t="n"/>
      <c r="B568" s="90" t="n"/>
      <c r="C568" s="90" t="n"/>
      <c r="D568" s="90" t="n"/>
      <c r="E568" s="90" t="n"/>
      <c r="F568" s="90" t="n"/>
      <c r="G568" s="90" t="n"/>
      <c r="H568" s="90" t="n"/>
      <c r="I568" s="90" t="n"/>
      <c r="J568" s="90" t="n"/>
      <c r="K568" s="90" t="n"/>
      <c r="L568" s="90" t="n"/>
      <c r="M568" s="90" t="n"/>
      <c r="N568" s="90" t="n"/>
      <c r="O568" s="90" t="n"/>
      <c r="P568" s="90" t="n"/>
      <c r="Q568" s="90" t="n"/>
      <c r="R568" s="90" t="n"/>
      <c r="S568" s="90" t="n"/>
      <c r="T568" s="90" t="n"/>
      <c r="U568" s="90" t="n"/>
      <c r="V568" s="90" t="n"/>
      <c r="W568" s="90" t="n"/>
      <c r="X568" s="90" t="n"/>
      <c r="Y568" s="90" t="n"/>
      <c r="Z568" s="90" t="n"/>
    </row>
    <row r="569">
      <c r="A569" s="90" t="n"/>
      <c r="B569" s="90" t="n"/>
      <c r="C569" s="90" t="n"/>
      <c r="D569" s="90" t="n"/>
      <c r="E569" s="90" t="n"/>
      <c r="F569" s="90" t="n"/>
      <c r="G569" s="90" t="n"/>
      <c r="H569" s="90" t="n"/>
      <c r="I569" s="90" t="n"/>
      <c r="J569" s="90" t="n"/>
      <c r="K569" s="90" t="n"/>
      <c r="L569" s="90" t="n"/>
      <c r="M569" s="90" t="n"/>
      <c r="N569" s="90" t="n"/>
      <c r="O569" s="90" t="n"/>
      <c r="P569" s="90" t="n"/>
      <c r="Q569" s="90" t="n"/>
      <c r="R569" s="90" t="n"/>
      <c r="S569" s="90" t="n"/>
      <c r="T569" s="90" t="n"/>
      <c r="U569" s="90" t="n"/>
      <c r="V569" s="90" t="n"/>
      <c r="W569" s="90" t="n"/>
      <c r="X569" s="90" t="n"/>
      <c r="Y569" s="90" t="n"/>
      <c r="Z569" s="90" t="n"/>
    </row>
    <row r="570">
      <c r="A570" s="90" t="n"/>
      <c r="B570" s="90" t="n"/>
      <c r="C570" s="90" t="n"/>
      <c r="D570" s="90" t="n"/>
      <c r="E570" s="90" t="n"/>
      <c r="F570" s="90" t="n"/>
      <c r="G570" s="90" t="n"/>
      <c r="H570" s="90" t="n"/>
      <c r="I570" s="90" t="n"/>
      <c r="J570" s="90" t="n"/>
      <c r="K570" s="90" t="n"/>
      <c r="L570" s="90" t="n"/>
      <c r="M570" s="90" t="n"/>
      <c r="N570" s="90" t="n"/>
      <c r="O570" s="90" t="n"/>
      <c r="P570" s="90" t="n"/>
      <c r="Q570" s="90" t="n"/>
      <c r="R570" s="90" t="n"/>
      <c r="S570" s="90" t="n"/>
      <c r="T570" s="90" t="n"/>
      <c r="U570" s="90" t="n"/>
      <c r="V570" s="90" t="n"/>
      <c r="W570" s="90" t="n"/>
      <c r="X570" s="90" t="n"/>
      <c r="Y570" s="90" t="n"/>
      <c r="Z570" s="90" t="n"/>
    </row>
    <row r="571">
      <c r="A571" s="90" t="n"/>
      <c r="B571" s="90" t="n"/>
      <c r="C571" s="90" t="n"/>
      <c r="D571" s="90" t="n"/>
      <c r="E571" s="90" t="n"/>
      <c r="F571" s="90" t="n"/>
      <c r="G571" s="90" t="n"/>
      <c r="H571" s="90" t="n"/>
      <c r="I571" s="90" t="n"/>
      <c r="J571" s="90" t="n"/>
      <c r="K571" s="90" t="n"/>
      <c r="L571" s="90" t="n"/>
      <c r="M571" s="90" t="n"/>
      <c r="N571" s="90" t="n"/>
      <c r="O571" s="90" t="n"/>
      <c r="P571" s="90" t="n"/>
      <c r="Q571" s="90" t="n"/>
      <c r="R571" s="90" t="n"/>
      <c r="S571" s="90" t="n"/>
      <c r="T571" s="90" t="n"/>
      <c r="U571" s="90" t="n"/>
      <c r="V571" s="90" t="n"/>
      <c r="W571" s="90" t="n"/>
      <c r="X571" s="90" t="n"/>
      <c r="Y571" s="90" t="n"/>
      <c r="Z571" s="90" t="n"/>
    </row>
    <row r="572">
      <c r="A572" s="90" t="n"/>
      <c r="B572" s="90" t="n"/>
      <c r="C572" s="90" t="n"/>
      <c r="D572" s="90" t="n"/>
      <c r="E572" s="90" t="n"/>
      <c r="F572" s="90" t="n"/>
      <c r="G572" s="90" t="n"/>
      <c r="H572" s="90" t="n"/>
      <c r="I572" s="90" t="n"/>
      <c r="J572" s="90" t="n"/>
      <c r="K572" s="90" t="n"/>
      <c r="L572" s="90" t="n"/>
      <c r="M572" s="90" t="n"/>
      <c r="N572" s="90" t="n"/>
      <c r="O572" s="90" t="n"/>
      <c r="P572" s="90" t="n"/>
      <c r="Q572" s="90" t="n"/>
      <c r="R572" s="90" t="n"/>
      <c r="S572" s="90" t="n"/>
      <c r="T572" s="90" t="n"/>
      <c r="U572" s="90" t="n"/>
      <c r="V572" s="90" t="n"/>
      <c r="W572" s="90" t="n"/>
      <c r="X572" s="90" t="n"/>
      <c r="Y572" s="90" t="n"/>
      <c r="Z572" s="90" t="n"/>
    </row>
    <row r="573">
      <c r="A573" s="90" t="n"/>
      <c r="B573" s="90" t="n"/>
      <c r="C573" s="90" t="n"/>
      <c r="D573" s="90" t="n"/>
      <c r="E573" s="90" t="n"/>
      <c r="F573" s="90" t="n"/>
      <c r="G573" s="90" t="n"/>
      <c r="H573" s="90" t="n"/>
      <c r="I573" s="90" t="n"/>
      <c r="J573" s="90" t="n"/>
      <c r="K573" s="90" t="n"/>
      <c r="L573" s="90" t="n"/>
      <c r="M573" s="90" t="n"/>
      <c r="N573" s="90" t="n"/>
      <c r="O573" s="90" t="n"/>
      <c r="P573" s="90" t="n"/>
      <c r="Q573" s="90" t="n"/>
      <c r="R573" s="90" t="n"/>
      <c r="S573" s="90" t="n"/>
      <c r="T573" s="90" t="n"/>
      <c r="U573" s="90" t="n"/>
      <c r="V573" s="90" t="n"/>
      <c r="W573" s="90" t="n"/>
      <c r="X573" s="90" t="n"/>
      <c r="Y573" s="90" t="n"/>
      <c r="Z573" s="90" t="n"/>
    </row>
    <row r="574">
      <c r="A574" s="90" t="n"/>
      <c r="B574" s="90" t="n"/>
      <c r="C574" s="90" t="n"/>
      <c r="D574" s="90" t="n"/>
      <c r="E574" s="90" t="n"/>
      <c r="F574" s="90" t="n"/>
      <c r="G574" s="90" t="n"/>
      <c r="H574" s="90" t="n"/>
      <c r="I574" s="90" t="n"/>
      <c r="J574" s="90" t="n"/>
      <c r="K574" s="90" t="n"/>
      <c r="L574" s="90" t="n"/>
      <c r="M574" s="90" t="n"/>
      <c r="N574" s="90" t="n"/>
      <c r="O574" s="90" t="n"/>
      <c r="P574" s="90" t="n"/>
      <c r="Q574" s="90" t="n"/>
      <c r="R574" s="90" t="n"/>
      <c r="S574" s="90" t="n"/>
      <c r="T574" s="90" t="n"/>
      <c r="U574" s="90" t="n"/>
      <c r="V574" s="90" t="n"/>
      <c r="W574" s="90" t="n"/>
      <c r="X574" s="90" t="n"/>
      <c r="Y574" s="90" t="n"/>
      <c r="Z574" s="90" t="n"/>
    </row>
    <row r="575">
      <c r="A575" s="90" t="n"/>
      <c r="B575" s="90" t="n"/>
      <c r="C575" s="90" t="n"/>
      <c r="D575" s="90" t="n"/>
      <c r="E575" s="90" t="n"/>
      <c r="F575" s="90" t="n"/>
      <c r="G575" s="90" t="n"/>
      <c r="H575" s="90" t="n"/>
      <c r="I575" s="90" t="n"/>
      <c r="J575" s="90" t="n"/>
      <c r="K575" s="90" t="n"/>
      <c r="L575" s="90" t="n"/>
      <c r="M575" s="90" t="n"/>
      <c r="N575" s="90" t="n"/>
      <c r="O575" s="90" t="n"/>
      <c r="P575" s="90" t="n"/>
      <c r="Q575" s="90" t="n"/>
      <c r="R575" s="90" t="n"/>
      <c r="S575" s="90" t="n"/>
      <c r="T575" s="90" t="n"/>
      <c r="U575" s="90" t="n"/>
      <c r="V575" s="90" t="n"/>
      <c r="W575" s="90" t="n"/>
      <c r="X575" s="90" t="n"/>
      <c r="Y575" s="90" t="n"/>
      <c r="Z575" s="90" t="n"/>
    </row>
    <row r="576">
      <c r="A576" s="90" t="n"/>
      <c r="B576" s="90" t="n"/>
      <c r="C576" s="90" t="n"/>
      <c r="D576" s="90" t="n"/>
      <c r="E576" s="90" t="n"/>
      <c r="F576" s="90" t="n"/>
      <c r="G576" s="90" t="n"/>
      <c r="H576" s="90" t="n"/>
      <c r="I576" s="90" t="n"/>
      <c r="J576" s="90" t="n"/>
      <c r="K576" s="90" t="n"/>
      <c r="L576" s="90" t="n"/>
      <c r="M576" s="90" t="n"/>
      <c r="N576" s="90" t="n"/>
      <c r="O576" s="90" t="n"/>
      <c r="P576" s="90" t="n"/>
      <c r="Q576" s="90" t="n"/>
      <c r="R576" s="90" t="n"/>
      <c r="S576" s="90" t="n"/>
      <c r="T576" s="90" t="n"/>
      <c r="U576" s="90" t="n"/>
      <c r="V576" s="90" t="n"/>
      <c r="W576" s="90" t="n"/>
      <c r="X576" s="90" t="n"/>
      <c r="Y576" s="90" t="n"/>
      <c r="Z576" s="90" t="n"/>
    </row>
    <row r="577">
      <c r="A577" s="90" t="n"/>
      <c r="B577" s="90" t="n"/>
      <c r="C577" s="90" t="n"/>
      <c r="D577" s="90" t="n"/>
      <c r="E577" s="90" t="n"/>
      <c r="F577" s="90" t="n"/>
      <c r="G577" s="90" t="n"/>
      <c r="H577" s="90" t="n"/>
      <c r="I577" s="90" t="n"/>
      <c r="J577" s="90" t="n"/>
      <c r="K577" s="90" t="n"/>
      <c r="L577" s="90" t="n"/>
      <c r="M577" s="90" t="n"/>
      <c r="N577" s="90" t="n"/>
      <c r="O577" s="90" t="n"/>
      <c r="P577" s="90" t="n"/>
      <c r="Q577" s="90" t="n"/>
      <c r="R577" s="90" t="n"/>
      <c r="S577" s="90" t="n"/>
      <c r="T577" s="90" t="n"/>
      <c r="U577" s="90" t="n"/>
      <c r="V577" s="90" t="n"/>
      <c r="W577" s="90" t="n"/>
      <c r="X577" s="90" t="n"/>
      <c r="Y577" s="90" t="n"/>
      <c r="Z577" s="90" t="n"/>
    </row>
    <row r="578">
      <c r="A578" s="90" t="n"/>
      <c r="B578" s="90" t="n"/>
      <c r="C578" s="90" t="n"/>
      <c r="D578" s="90" t="n"/>
      <c r="E578" s="90" t="n"/>
      <c r="F578" s="90" t="n"/>
      <c r="G578" s="90" t="n"/>
      <c r="H578" s="90" t="n"/>
      <c r="I578" s="90" t="n"/>
      <c r="J578" s="90" t="n"/>
      <c r="K578" s="90" t="n"/>
      <c r="L578" s="90" t="n"/>
      <c r="M578" s="90" t="n"/>
      <c r="N578" s="90" t="n"/>
      <c r="O578" s="90" t="n"/>
      <c r="P578" s="90" t="n"/>
      <c r="Q578" s="90" t="n"/>
      <c r="R578" s="90" t="n"/>
      <c r="S578" s="90" t="n"/>
      <c r="T578" s="90" t="n"/>
      <c r="U578" s="90" t="n"/>
      <c r="V578" s="90" t="n"/>
      <c r="W578" s="90" t="n"/>
      <c r="X578" s="90" t="n"/>
      <c r="Y578" s="90" t="n"/>
      <c r="Z578" s="90" t="n"/>
    </row>
    <row r="579">
      <c r="A579" s="90" t="n"/>
      <c r="B579" s="90" t="n"/>
      <c r="C579" s="90" t="n"/>
      <c r="D579" s="90" t="n"/>
      <c r="E579" s="90" t="n"/>
      <c r="F579" s="90" t="n"/>
      <c r="G579" s="90" t="n"/>
      <c r="H579" s="90" t="n"/>
      <c r="I579" s="90" t="n"/>
      <c r="J579" s="90" t="n"/>
      <c r="K579" s="90" t="n"/>
      <c r="L579" s="90" t="n"/>
      <c r="M579" s="90" t="n"/>
      <c r="N579" s="90" t="n"/>
      <c r="O579" s="90" t="n"/>
      <c r="P579" s="90" t="n"/>
      <c r="Q579" s="90" t="n"/>
      <c r="R579" s="90" t="n"/>
      <c r="S579" s="90" t="n"/>
      <c r="T579" s="90" t="n"/>
      <c r="U579" s="90" t="n"/>
      <c r="V579" s="90" t="n"/>
      <c r="W579" s="90" t="n"/>
      <c r="X579" s="90" t="n"/>
      <c r="Y579" s="90" t="n"/>
      <c r="Z579" s="90" t="n"/>
    </row>
    <row r="580">
      <c r="A580" s="90" t="n"/>
      <c r="B580" s="90" t="n"/>
      <c r="C580" s="90" t="n"/>
      <c r="D580" s="90" t="n"/>
      <c r="E580" s="90" t="n"/>
      <c r="F580" s="90" t="n"/>
      <c r="G580" s="90" t="n"/>
      <c r="H580" s="90" t="n"/>
      <c r="I580" s="90" t="n"/>
      <c r="J580" s="90" t="n"/>
      <c r="K580" s="90" t="n"/>
      <c r="L580" s="90" t="n"/>
      <c r="M580" s="90" t="n"/>
      <c r="N580" s="90" t="n"/>
      <c r="O580" s="90" t="n"/>
      <c r="P580" s="90" t="n"/>
      <c r="Q580" s="90" t="n"/>
      <c r="R580" s="90" t="n"/>
      <c r="S580" s="90" t="n"/>
      <c r="T580" s="90" t="n"/>
      <c r="U580" s="90" t="n"/>
      <c r="V580" s="90" t="n"/>
      <c r="W580" s="90" t="n"/>
      <c r="X580" s="90" t="n"/>
      <c r="Y580" s="90" t="n"/>
      <c r="Z580" s="90" t="n"/>
    </row>
    <row r="581">
      <c r="A581" s="90" t="n"/>
      <c r="B581" s="90" t="n"/>
      <c r="C581" s="90" t="n"/>
      <c r="D581" s="90" t="n"/>
      <c r="E581" s="90" t="n"/>
      <c r="F581" s="90" t="n"/>
      <c r="G581" s="90" t="n"/>
      <c r="H581" s="90" t="n"/>
      <c r="I581" s="90" t="n"/>
      <c r="J581" s="90" t="n"/>
      <c r="K581" s="90" t="n"/>
      <c r="L581" s="90" t="n"/>
      <c r="M581" s="90" t="n"/>
      <c r="N581" s="90" t="n"/>
      <c r="O581" s="90" t="n"/>
      <c r="P581" s="90" t="n"/>
      <c r="Q581" s="90" t="n"/>
      <c r="R581" s="90" t="n"/>
      <c r="S581" s="90" t="n"/>
      <c r="T581" s="90" t="n"/>
      <c r="U581" s="90" t="n"/>
      <c r="V581" s="90" t="n"/>
      <c r="W581" s="90" t="n"/>
      <c r="X581" s="90" t="n"/>
      <c r="Y581" s="90" t="n"/>
      <c r="Z581" s="90" t="n"/>
    </row>
    <row r="582">
      <c r="A582" s="90" t="n"/>
      <c r="B582" s="90" t="n"/>
      <c r="C582" s="90" t="n"/>
      <c r="D582" s="90" t="n"/>
      <c r="E582" s="90" t="n"/>
      <c r="F582" s="90" t="n"/>
      <c r="G582" s="90" t="n"/>
      <c r="H582" s="90" t="n"/>
      <c r="I582" s="90" t="n"/>
      <c r="J582" s="90" t="n"/>
      <c r="K582" s="90" t="n"/>
      <c r="L582" s="90" t="n"/>
      <c r="M582" s="90" t="n"/>
      <c r="N582" s="90" t="n"/>
      <c r="O582" s="90" t="n"/>
      <c r="P582" s="90" t="n"/>
      <c r="Q582" s="90" t="n"/>
      <c r="R582" s="90" t="n"/>
      <c r="S582" s="90" t="n"/>
      <c r="T582" s="90" t="n"/>
      <c r="U582" s="90" t="n"/>
      <c r="V582" s="90" t="n"/>
      <c r="W582" s="90" t="n"/>
      <c r="X582" s="90" t="n"/>
      <c r="Y582" s="90" t="n"/>
      <c r="Z582" s="90" t="n"/>
    </row>
    <row r="583">
      <c r="A583" s="90" t="n"/>
      <c r="B583" s="90" t="n"/>
      <c r="C583" s="90" t="n"/>
      <c r="D583" s="90" t="n"/>
      <c r="E583" s="90" t="n"/>
      <c r="F583" s="90" t="n"/>
      <c r="G583" s="90" t="n"/>
      <c r="H583" s="90" t="n"/>
      <c r="I583" s="90" t="n"/>
      <c r="J583" s="90" t="n"/>
      <c r="K583" s="90" t="n"/>
      <c r="L583" s="90" t="n"/>
      <c r="M583" s="90" t="n"/>
      <c r="N583" s="90" t="n"/>
      <c r="O583" s="90" t="n"/>
      <c r="P583" s="90" t="n"/>
      <c r="Q583" s="90" t="n"/>
      <c r="R583" s="90" t="n"/>
      <c r="S583" s="90" t="n"/>
      <c r="T583" s="90" t="n"/>
      <c r="U583" s="90" t="n"/>
      <c r="V583" s="90" t="n"/>
      <c r="W583" s="90" t="n"/>
      <c r="X583" s="90" t="n"/>
      <c r="Y583" s="90" t="n"/>
      <c r="Z583" s="90" t="n"/>
    </row>
    <row r="584">
      <c r="A584" s="90" t="n"/>
      <c r="B584" s="90" t="n"/>
      <c r="C584" s="90" t="n"/>
      <c r="D584" s="90" t="n"/>
      <c r="E584" s="90" t="n"/>
      <c r="F584" s="90" t="n"/>
      <c r="G584" s="90" t="n"/>
      <c r="H584" s="90" t="n"/>
      <c r="I584" s="90" t="n"/>
      <c r="J584" s="90" t="n"/>
      <c r="K584" s="90" t="n"/>
      <c r="L584" s="90" t="n"/>
      <c r="M584" s="90" t="n"/>
      <c r="N584" s="90" t="n"/>
      <c r="O584" s="90" t="n"/>
      <c r="P584" s="90" t="n"/>
      <c r="Q584" s="90" t="n"/>
      <c r="R584" s="90" t="n"/>
      <c r="S584" s="90" t="n"/>
      <c r="T584" s="90" t="n"/>
      <c r="U584" s="90" t="n"/>
      <c r="V584" s="90" t="n"/>
      <c r="W584" s="90" t="n"/>
      <c r="X584" s="90" t="n"/>
      <c r="Y584" s="90" t="n"/>
      <c r="Z584" s="90" t="n"/>
    </row>
    <row r="585">
      <c r="A585" s="90" t="n"/>
      <c r="B585" s="90" t="n"/>
      <c r="C585" s="90" t="n"/>
      <c r="D585" s="90" t="n"/>
      <c r="E585" s="90" t="n"/>
      <c r="F585" s="90" t="n"/>
      <c r="G585" s="90" t="n"/>
      <c r="H585" s="90" t="n"/>
      <c r="I585" s="90" t="n"/>
      <c r="J585" s="90" t="n"/>
      <c r="K585" s="90" t="n"/>
      <c r="L585" s="90" t="n"/>
      <c r="M585" s="90" t="n"/>
      <c r="N585" s="90" t="n"/>
      <c r="O585" s="90" t="n"/>
      <c r="P585" s="90" t="n"/>
      <c r="Q585" s="90" t="n"/>
      <c r="R585" s="90" t="n"/>
      <c r="S585" s="90" t="n"/>
      <c r="T585" s="90" t="n"/>
      <c r="U585" s="90" t="n"/>
      <c r="V585" s="90" t="n"/>
      <c r="W585" s="90" t="n"/>
      <c r="X585" s="90" t="n"/>
      <c r="Y585" s="90" t="n"/>
      <c r="Z585" s="90" t="n"/>
    </row>
    <row r="586">
      <c r="A586" s="90" t="n"/>
      <c r="B586" s="90" t="n"/>
      <c r="C586" s="90" t="n"/>
      <c r="D586" s="90" t="n"/>
      <c r="E586" s="90" t="n"/>
      <c r="F586" s="90" t="n"/>
      <c r="G586" s="90" t="n"/>
      <c r="H586" s="90" t="n"/>
      <c r="I586" s="90" t="n"/>
      <c r="J586" s="90" t="n"/>
      <c r="K586" s="90" t="n"/>
      <c r="L586" s="90" t="n"/>
      <c r="M586" s="90" t="n"/>
      <c r="N586" s="90" t="n"/>
      <c r="O586" s="90" t="n"/>
      <c r="P586" s="90" t="n"/>
      <c r="Q586" s="90" t="n"/>
      <c r="R586" s="90" t="n"/>
      <c r="S586" s="90" t="n"/>
      <c r="T586" s="90" t="n"/>
      <c r="U586" s="90" t="n"/>
      <c r="V586" s="90" t="n"/>
      <c r="W586" s="90" t="n"/>
      <c r="X586" s="90" t="n"/>
      <c r="Y586" s="90" t="n"/>
      <c r="Z586" s="90" t="n"/>
    </row>
    <row r="587">
      <c r="A587" s="90" t="n"/>
      <c r="B587" s="90" t="n"/>
      <c r="C587" s="90" t="n"/>
      <c r="D587" s="90" t="n"/>
      <c r="E587" s="90" t="n"/>
      <c r="F587" s="90" t="n"/>
      <c r="G587" s="90" t="n"/>
      <c r="H587" s="90" t="n"/>
      <c r="I587" s="90" t="n"/>
      <c r="J587" s="90" t="n"/>
      <c r="K587" s="90" t="n"/>
      <c r="L587" s="90" t="n"/>
      <c r="M587" s="90" t="n"/>
      <c r="N587" s="90" t="n"/>
      <c r="O587" s="90" t="n"/>
      <c r="P587" s="90" t="n"/>
      <c r="Q587" s="90" t="n"/>
      <c r="R587" s="90" t="n"/>
      <c r="S587" s="90" t="n"/>
      <c r="T587" s="90" t="n"/>
      <c r="U587" s="90" t="n"/>
      <c r="V587" s="90" t="n"/>
      <c r="W587" s="90" t="n"/>
      <c r="X587" s="90" t="n"/>
      <c r="Y587" s="90" t="n"/>
      <c r="Z587" s="90" t="n"/>
    </row>
    <row r="588">
      <c r="A588" s="90" t="n"/>
      <c r="B588" s="90" t="n"/>
      <c r="C588" s="90" t="n"/>
      <c r="D588" s="90" t="n"/>
      <c r="E588" s="90" t="n"/>
      <c r="F588" s="90" t="n"/>
      <c r="G588" s="90" t="n"/>
      <c r="H588" s="90" t="n"/>
      <c r="I588" s="90" t="n"/>
      <c r="J588" s="90" t="n"/>
      <c r="K588" s="90" t="n"/>
      <c r="L588" s="90" t="n"/>
      <c r="M588" s="90" t="n"/>
      <c r="N588" s="90" t="n"/>
      <c r="O588" s="90" t="n"/>
      <c r="P588" s="90" t="n"/>
      <c r="Q588" s="90" t="n"/>
      <c r="R588" s="90" t="n"/>
      <c r="S588" s="90" t="n"/>
      <c r="T588" s="90" t="n"/>
      <c r="U588" s="90" t="n"/>
      <c r="V588" s="90" t="n"/>
      <c r="W588" s="90" t="n"/>
      <c r="X588" s="90" t="n"/>
      <c r="Y588" s="90" t="n"/>
      <c r="Z588" s="90" t="n"/>
    </row>
    <row r="589">
      <c r="A589" s="90" t="n"/>
      <c r="B589" s="90" t="n"/>
      <c r="C589" s="90" t="n"/>
      <c r="D589" s="90" t="n"/>
      <c r="E589" s="90" t="n"/>
      <c r="F589" s="90" t="n"/>
      <c r="G589" s="90" t="n"/>
      <c r="H589" s="90" t="n"/>
      <c r="I589" s="90" t="n"/>
      <c r="J589" s="90" t="n"/>
      <c r="K589" s="90" t="n"/>
      <c r="L589" s="90" t="n"/>
      <c r="M589" s="90" t="n"/>
      <c r="N589" s="90" t="n"/>
      <c r="O589" s="90" t="n"/>
      <c r="P589" s="90" t="n"/>
      <c r="Q589" s="90" t="n"/>
      <c r="R589" s="90" t="n"/>
      <c r="S589" s="90" t="n"/>
      <c r="T589" s="90" t="n"/>
      <c r="U589" s="90" t="n"/>
      <c r="V589" s="90" t="n"/>
      <c r="W589" s="90" t="n"/>
      <c r="X589" s="90" t="n"/>
      <c r="Y589" s="90" t="n"/>
      <c r="Z589" s="90" t="n"/>
    </row>
    <row r="590">
      <c r="A590" s="90" t="n"/>
      <c r="B590" s="90" t="n"/>
      <c r="C590" s="90" t="n"/>
      <c r="D590" s="90" t="n"/>
      <c r="E590" s="90" t="n"/>
      <c r="F590" s="90" t="n"/>
      <c r="G590" s="90" t="n"/>
      <c r="H590" s="90" t="n"/>
      <c r="I590" s="90" t="n"/>
      <c r="J590" s="90" t="n"/>
      <c r="K590" s="90" t="n"/>
      <c r="L590" s="90" t="n"/>
      <c r="M590" s="90" t="n"/>
      <c r="N590" s="90" t="n"/>
      <c r="O590" s="90" t="n"/>
      <c r="P590" s="90" t="n"/>
      <c r="Q590" s="90" t="n"/>
      <c r="R590" s="90" t="n"/>
      <c r="S590" s="90" t="n"/>
      <c r="T590" s="90" t="n"/>
      <c r="U590" s="90" t="n"/>
      <c r="V590" s="90" t="n"/>
      <c r="W590" s="90" t="n"/>
      <c r="X590" s="90" t="n"/>
      <c r="Y590" s="90" t="n"/>
      <c r="Z590" s="90" t="n"/>
    </row>
    <row r="591">
      <c r="A591" s="90" t="n"/>
      <c r="B591" s="90" t="n"/>
      <c r="C591" s="90" t="n"/>
      <c r="D591" s="90" t="n"/>
      <c r="E591" s="90" t="n"/>
      <c r="F591" s="90" t="n"/>
      <c r="G591" s="90" t="n"/>
      <c r="H591" s="90" t="n"/>
      <c r="I591" s="90" t="n"/>
      <c r="J591" s="90" t="n"/>
      <c r="K591" s="90" t="n"/>
      <c r="L591" s="90" t="n"/>
      <c r="M591" s="90" t="n"/>
      <c r="N591" s="90" t="n"/>
      <c r="O591" s="90" t="n"/>
      <c r="P591" s="90" t="n"/>
      <c r="Q591" s="90" t="n"/>
      <c r="R591" s="90" t="n"/>
      <c r="S591" s="90" t="n"/>
      <c r="T591" s="90" t="n"/>
      <c r="U591" s="90" t="n"/>
      <c r="V591" s="90" t="n"/>
      <c r="W591" s="90" t="n"/>
      <c r="X591" s="90" t="n"/>
      <c r="Y591" s="90" t="n"/>
      <c r="Z591" s="90" t="n"/>
    </row>
    <row r="592">
      <c r="A592" s="90" t="n"/>
      <c r="B592" s="90" t="n"/>
      <c r="C592" s="90" t="n"/>
      <c r="D592" s="90" t="n"/>
      <c r="E592" s="90" t="n"/>
      <c r="F592" s="90" t="n"/>
      <c r="G592" s="90" t="n"/>
      <c r="H592" s="90" t="n"/>
      <c r="I592" s="90" t="n"/>
      <c r="J592" s="90" t="n"/>
      <c r="K592" s="90" t="n"/>
      <c r="L592" s="90" t="n"/>
      <c r="M592" s="90" t="n"/>
      <c r="N592" s="90" t="n"/>
      <c r="O592" s="90" t="n"/>
      <c r="P592" s="90" t="n"/>
      <c r="Q592" s="90" t="n"/>
      <c r="R592" s="90" t="n"/>
      <c r="S592" s="90" t="n"/>
      <c r="T592" s="90" t="n"/>
      <c r="U592" s="90" t="n"/>
      <c r="V592" s="90" t="n"/>
      <c r="W592" s="90" t="n"/>
      <c r="X592" s="90" t="n"/>
      <c r="Y592" s="90" t="n"/>
      <c r="Z592" s="90" t="n"/>
    </row>
    <row r="593">
      <c r="A593" s="90" t="n"/>
      <c r="B593" s="90" t="n"/>
      <c r="C593" s="90" t="n"/>
      <c r="D593" s="90" t="n"/>
      <c r="E593" s="90" t="n"/>
      <c r="F593" s="90" t="n"/>
      <c r="G593" s="90" t="n"/>
      <c r="H593" s="90" t="n"/>
      <c r="I593" s="90" t="n"/>
      <c r="J593" s="90" t="n"/>
      <c r="K593" s="90" t="n"/>
      <c r="L593" s="90" t="n"/>
      <c r="M593" s="90" t="n"/>
      <c r="N593" s="90" t="n"/>
      <c r="O593" s="90" t="n"/>
      <c r="P593" s="90" t="n"/>
      <c r="Q593" s="90" t="n"/>
      <c r="R593" s="90" t="n"/>
      <c r="S593" s="90" t="n"/>
      <c r="T593" s="90" t="n"/>
      <c r="U593" s="90" t="n"/>
      <c r="V593" s="90" t="n"/>
      <c r="W593" s="90" t="n"/>
      <c r="X593" s="90" t="n"/>
      <c r="Y593" s="90" t="n"/>
      <c r="Z593" s="90" t="n"/>
    </row>
    <row r="594">
      <c r="A594" s="90" t="n"/>
      <c r="B594" s="90" t="n"/>
      <c r="C594" s="90" t="n"/>
      <c r="D594" s="90" t="n"/>
      <c r="E594" s="90" t="n"/>
      <c r="F594" s="90" t="n"/>
      <c r="G594" s="90" t="n"/>
      <c r="H594" s="90" t="n"/>
      <c r="I594" s="90" t="n"/>
      <c r="J594" s="90" t="n"/>
      <c r="K594" s="90" t="n"/>
      <c r="L594" s="90" t="n"/>
      <c r="M594" s="90" t="n"/>
      <c r="N594" s="90" t="n"/>
      <c r="O594" s="90" t="n"/>
      <c r="P594" s="90" t="n"/>
      <c r="Q594" s="90" t="n"/>
      <c r="R594" s="90" t="n"/>
      <c r="S594" s="90" t="n"/>
      <c r="T594" s="90" t="n"/>
      <c r="U594" s="90" t="n"/>
      <c r="V594" s="90" t="n"/>
      <c r="W594" s="90" t="n"/>
      <c r="X594" s="90" t="n"/>
      <c r="Y594" s="90" t="n"/>
      <c r="Z594" s="90" t="n"/>
    </row>
    <row r="595">
      <c r="A595" s="90" t="n"/>
      <c r="B595" s="90" t="n"/>
      <c r="C595" s="90" t="n"/>
      <c r="D595" s="90" t="n"/>
      <c r="E595" s="90" t="n"/>
      <c r="F595" s="90" t="n"/>
      <c r="G595" s="90" t="n"/>
      <c r="H595" s="90" t="n"/>
      <c r="I595" s="90" t="n"/>
      <c r="J595" s="90" t="n"/>
      <c r="K595" s="90" t="n"/>
      <c r="L595" s="90" t="n"/>
      <c r="M595" s="90" t="n"/>
      <c r="N595" s="90" t="n"/>
      <c r="O595" s="90" t="n"/>
      <c r="P595" s="90" t="n"/>
      <c r="Q595" s="90" t="n"/>
      <c r="R595" s="90" t="n"/>
      <c r="S595" s="90" t="n"/>
      <c r="T595" s="90" t="n"/>
      <c r="U595" s="90" t="n"/>
      <c r="V595" s="90" t="n"/>
      <c r="W595" s="90" t="n"/>
      <c r="X595" s="90" t="n"/>
      <c r="Y595" s="90" t="n"/>
      <c r="Z595" s="90" t="n"/>
    </row>
    <row r="596">
      <c r="A596" s="90" t="n"/>
      <c r="B596" s="90" t="n"/>
      <c r="C596" s="90" t="n"/>
      <c r="D596" s="90" t="n"/>
      <c r="E596" s="90" t="n"/>
      <c r="F596" s="90" t="n"/>
      <c r="G596" s="90" t="n"/>
      <c r="H596" s="90" t="n"/>
      <c r="I596" s="90" t="n"/>
      <c r="J596" s="90" t="n"/>
      <c r="K596" s="90" t="n"/>
      <c r="L596" s="90" t="n"/>
      <c r="M596" s="90" t="n"/>
      <c r="N596" s="90" t="n"/>
      <c r="O596" s="90" t="n"/>
      <c r="P596" s="90" t="n"/>
      <c r="Q596" s="90" t="n"/>
      <c r="R596" s="90" t="n"/>
      <c r="S596" s="90" t="n"/>
      <c r="T596" s="90" t="n"/>
      <c r="U596" s="90" t="n"/>
      <c r="V596" s="90" t="n"/>
      <c r="W596" s="90" t="n"/>
      <c r="X596" s="90" t="n"/>
      <c r="Y596" s="90" t="n"/>
      <c r="Z596" s="90" t="n"/>
    </row>
    <row r="597">
      <c r="A597" s="90" t="n"/>
      <c r="B597" s="90" t="n"/>
      <c r="C597" s="90" t="n"/>
      <c r="D597" s="90" t="n"/>
      <c r="E597" s="90" t="n"/>
      <c r="F597" s="90" t="n"/>
      <c r="G597" s="90" t="n"/>
      <c r="H597" s="90" t="n"/>
      <c r="I597" s="90" t="n"/>
      <c r="J597" s="90" t="n"/>
      <c r="K597" s="90" t="n"/>
      <c r="L597" s="90" t="n"/>
      <c r="M597" s="90" t="n"/>
      <c r="N597" s="90" t="n"/>
      <c r="O597" s="90" t="n"/>
      <c r="P597" s="90" t="n"/>
      <c r="Q597" s="90" t="n"/>
      <c r="R597" s="90" t="n"/>
      <c r="S597" s="90" t="n"/>
      <c r="T597" s="90" t="n"/>
      <c r="U597" s="90" t="n"/>
      <c r="V597" s="90" t="n"/>
      <c r="W597" s="90" t="n"/>
      <c r="X597" s="90" t="n"/>
      <c r="Y597" s="90" t="n"/>
      <c r="Z597" s="90" t="n"/>
    </row>
    <row r="598">
      <c r="A598" s="90" t="n"/>
      <c r="B598" s="90" t="n"/>
      <c r="C598" s="90" t="n"/>
      <c r="D598" s="90" t="n"/>
      <c r="E598" s="90" t="n"/>
      <c r="F598" s="90" t="n"/>
      <c r="G598" s="90" t="n"/>
      <c r="H598" s="90" t="n"/>
      <c r="I598" s="90" t="n"/>
      <c r="J598" s="90" t="n"/>
      <c r="K598" s="90" t="n"/>
      <c r="L598" s="90" t="n"/>
      <c r="M598" s="90" t="n"/>
      <c r="N598" s="90" t="n"/>
      <c r="O598" s="90" t="n"/>
      <c r="P598" s="90" t="n"/>
      <c r="Q598" s="90" t="n"/>
      <c r="R598" s="90" t="n"/>
      <c r="S598" s="90" t="n"/>
      <c r="T598" s="90" t="n"/>
      <c r="U598" s="90" t="n"/>
      <c r="V598" s="90" t="n"/>
      <c r="W598" s="90" t="n"/>
      <c r="X598" s="90" t="n"/>
      <c r="Y598" s="90" t="n"/>
      <c r="Z598" s="90" t="n"/>
    </row>
    <row r="599">
      <c r="A599" s="90" t="n"/>
      <c r="B599" s="90" t="n"/>
      <c r="C599" s="90" t="n"/>
      <c r="D599" s="90" t="n"/>
      <c r="E599" s="90" t="n"/>
      <c r="F599" s="90" t="n"/>
      <c r="G599" s="90" t="n"/>
      <c r="H599" s="90" t="n"/>
      <c r="I599" s="90" t="n"/>
      <c r="J599" s="90" t="n"/>
      <c r="K599" s="90" t="n"/>
      <c r="L599" s="90" t="n"/>
      <c r="M599" s="90" t="n"/>
      <c r="N599" s="90" t="n"/>
      <c r="O599" s="90" t="n"/>
      <c r="P599" s="90" t="n"/>
      <c r="Q599" s="90" t="n"/>
      <c r="R599" s="90" t="n"/>
      <c r="S599" s="90" t="n"/>
      <c r="T599" s="90" t="n"/>
      <c r="U599" s="90" t="n"/>
      <c r="V599" s="90" t="n"/>
      <c r="W599" s="90" t="n"/>
      <c r="X599" s="90" t="n"/>
      <c r="Y599" s="90" t="n"/>
      <c r="Z599" s="90" t="n"/>
    </row>
    <row r="600">
      <c r="A600" s="90" t="n"/>
      <c r="B600" s="90" t="n"/>
      <c r="C600" s="90" t="n"/>
      <c r="D600" s="90" t="n"/>
      <c r="E600" s="90" t="n"/>
      <c r="F600" s="90" t="n"/>
      <c r="G600" s="90" t="n"/>
      <c r="H600" s="90" t="n"/>
      <c r="I600" s="90" t="n"/>
      <c r="J600" s="90" t="n"/>
      <c r="K600" s="90" t="n"/>
      <c r="L600" s="90" t="n"/>
      <c r="M600" s="90" t="n"/>
      <c r="N600" s="90" t="n"/>
      <c r="O600" s="90" t="n"/>
      <c r="P600" s="90" t="n"/>
      <c r="Q600" s="90" t="n"/>
      <c r="R600" s="90" t="n"/>
      <c r="S600" s="90" t="n"/>
      <c r="T600" s="90" t="n"/>
      <c r="U600" s="90" t="n"/>
      <c r="V600" s="90" t="n"/>
      <c r="W600" s="90" t="n"/>
      <c r="X600" s="90" t="n"/>
      <c r="Y600" s="90" t="n"/>
      <c r="Z600" s="90" t="n"/>
    </row>
    <row r="601">
      <c r="A601" s="90" t="n"/>
      <c r="B601" s="90" t="n"/>
      <c r="C601" s="90" t="n"/>
      <c r="D601" s="90" t="n"/>
      <c r="E601" s="90" t="n"/>
      <c r="F601" s="90" t="n"/>
      <c r="G601" s="90" t="n"/>
      <c r="H601" s="90" t="n"/>
      <c r="I601" s="90" t="n"/>
      <c r="J601" s="90" t="n"/>
      <c r="K601" s="90" t="n"/>
      <c r="L601" s="90" t="n"/>
      <c r="M601" s="90" t="n"/>
      <c r="N601" s="90" t="n"/>
      <c r="O601" s="90" t="n"/>
      <c r="P601" s="90" t="n"/>
      <c r="Q601" s="90" t="n"/>
      <c r="R601" s="90" t="n"/>
      <c r="S601" s="90" t="n"/>
      <c r="T601" s="90" t="n"/>
      <c r="U601" s="90" t="n"/>
      <c r="V601" s="90" t="n"/>
      <c r="W601" s="90" t="n"/>
      <c r="X601" s="90" t="n"/>
      <c r="Y601" s="90" t="n"/>
      <c r="Z601" s="90" t="n"/>
    </row>
    <row r="602">
      <c r="A602" s="90" t="n"/>
      <c r="B602" s="90" t="n"/>
      <c r="C602" s="90" t="n"/>
      <c r="D602" s="90" t="n"/>
      <c r="E602" s="90" t="n"/>
      <c r="F602" s="90" t="n"/>
      <c r="G602" s="90" t="n"/>
      <c r="H602" s="90" t="n"/>
      <c r="I602" s="90" t="n"/>
      <c r="J602" s="90" t="n"/>
      <c r="K602" s="90" t="n"/>
      <c r="L602" s="90" t="n"/>
      <c r="M602" s="90" t="n"/>
      <c r="N602" s="90" t="n"/>
      <c r="O602" s="90" t="n"/>
      <c r="P602" s="90" t="n"/>
      <c r="Q602" s="90" t="n"/>
      <c r="R602" s="90" t="n"/>
      <c r="S602" s="90" t="n"/>
      <c r="T602" s="90" t="n"/>
      <c r="U602" s="90" t="n"/>
      <c r="V602" s="90" t="n"/>
      <c r="W602" s="90" t="n"/>
      <c r="X602" s="90" t="n"/>
      <c r="Y602" s="90" t="n"/>
      <c r="Z602" s="90" t="n"/>
    </row>
    <row r="603">
      <c r="A603" s="90" t="n"/>
      <c r="B603" s="90" t="n"/>
      <c r="C603" s="90" t="n"/>
      <c r="D603" s="90" t="n"/>
      <c r="E603" s="90" t="n"/>
      <c r="F603" s="90" t="n"/>
      <c r="G603" s="90" t="n"/>
      <c r="H603" s="90" t="n"/>
      <c r="I603" s="90" t="n"/>
      <c r="J603" s="90" t="n"/>
      <c r="K603" s="90" t="n"/>
      <c r="L603" s="90" t="n"/>
      <c r="M603" s="90" t="n"/>
      <c r="N603" s="90" t="n"/>
      <c r="O603" s="90" t="n"/>
      <c r="P603" s="90" t="n"/>
      <c r="Q603" s="90" t="n"/>
      <c r="R603" s="90" t="n"/>
      <c r="S603" s="90" t="n"/>
      <c r="T603" s="90" t="n"/>
      <c r="U603" s="90" t="n"/>
      <c r="V603" s="90" t="n"/>
      <c r="W603" s="90" t="n"/>
      <c r="X603" s="90" t="n"/>
      <c r="Y603" s="90" t="n"/>
      <c r="Z603" s="90" t="n"/>
    </row>
    <row r="604">
      <c r="A604" s="90" t="n"/>
      <c r="B604" s="90" t="n"/>
      <c r="C604" s="90" t="n"/>
      <c r="D604" s="90" t="n"/>
      <c r="E604" s="90" t="n"/>
      <c r="F604" s="90" t="n"/>
      <c r="G604" s="90" t="n"/>
      <c r="H604" s="90" t="n"/>
      <c r="I604" s="90" t="n"/>
      <c r="J604" s="90" t="n"/>
      <c r="K604" s="90" t="n"/>
      <c r="L604" s="90" t="n"/>
      <c r="M604" s="90" t="n"/>
      <c r="N604" s="90" t="n"/>
      <c r="O604" s="90" t="n"/>
      <c r="P604" s="90" t="n"/>
      <c r="Q604" s="90" t="n"/>
      <c r="R604" s="90" t="n"/>
      <c r="S604" s="90" t="n"/>
      <c r="T604" s="90" t="n"/>
      <c r="U604" s="90" t="n"/>
      <c r="V604" s="90" t="n"/>
      <c r="W604" s="90" t="n"/>
      <c r="X604" s="90" t="n"/>
      <c r="Y604" s="90" t="n"/>
      <c r="Z604" s="90" t="n"/>
    </row>
    <row r="605">
      <c r="A605" s="90" t="n"/>
      <c r="B605" s="90" t="n"/>
      <c r="C605" s="90" t="n"/>
      <c r="D605" s="90" t="n"/>
      <c r="E605" s="90" t="n"/>
      <c r="F605" s="90" t="n"/>
      <c r="G605" s="90" t="n"/>
      <c r="H605" s="90" t="n"/>
      <c r="I605" s="90" t="n"/>
      <c r="J605" s="90" t="n"/>
      <c r="K605" s="90" t="n"/>
      <c r="L605" s="90" t="n"/>
      <c r="M605" s="90" t="n"/>
      <c r="N605" s="90" t="n"/>
      <c r="O605" s="90" t="n"/>
      <c r="P605" s="90" t="n"/>
      <c r="Q605" s="90" t="n"/>
      <c r="R605" s="90" t="n"/>
      <c r="S605" s="90" t="n"/>
      <c r="T605" s="90" t="n"/>
      <c r="U605" s="90" t="n"/>
      <c r="V605" s="90" t="n"/>
      <c r="W605" s="90" t="n"/>
      <c r="X605" s="90" t="n"/>
      <c r="Y605" s="90" t="n"/>
      <c r="Z605" s="90" t="n"/>
    </row>
    <row r="606">
      <c r="A606" s="90" t="n"/>
      <c r="B606" s="90" t="n"/>
      <c r="C606" s="90" t="n"/>
      <c r="D606" s="90" t="n"/>
      <c r="E606" s="90" t="n"/>
      <c r="F606" s="90" t="n"/>
      <c r="G606" s="90" t="n"/>
      <c r="H606" s="90" t="n"/>
      <c r="I606" s="90" t="n"/>
      <c r="J606" s="90" t="n"/>
      <c r="K606" s="90" t="n"/>
      <c r="L606" s="90" t="n"/>
      <c r="M606" s="90" t="n"/>
      <c r="N606" s="90" t="n"/>
      <c r="O606" s="90" t="n"/>
      <c r="P606" s="90" t="n"/>
      <c r="Q606" s="90" t="n"/>
      <c r="R606" s="90" t="n"/>
      <c r="S606" s="90" t="n"/>
      <c r="T606" s="90" t="n"/>
      <c r="U606" s="90" t="n"/>
      <c r="V606" s="90" t="n"/>
      <c r="W606" s="90" t="n"/>
      <c r="X606" s="90" t="n"/>
      <c r="Y606" s="90" t="n"/>
      <c r="Z606" s="90" t="n"/>
    </row>
    <row r="607">
      <c r="A607" s="90" t="n"/>
      <c r="B607" s="90" t="n"/>
      <c r="C607" s="90" t="n"/>
      <c r="D607" s="90" t="n"/>
      <c r="E607" s="90" t="n"/>
      <c r="F607" s="90" t="n"/>
      <c r="G607" s="90" t="n"/>
      <c r="H607" s="90" t="n"/>
      <c r="I607" s="90" t="n"/>
      <c r="J607" s="90" t="n"/>
      <c r="K607" s="90" t="n"/>
      <c r="L607" s="90" t="n"/>
      <c r="M607" s="90" t="n"/>
      <c r="N607" s="90" t="n"/>
      <c r="O607" s="90" t="n"/>
      <c r="P607" s="90" t="n"/>
      <c r="Q607" s="90" t="n"/>
      <c r="R607" s="90" t="n"/>
      <c r="S607" s="90" t="n"/>
      <c r="T607" s="90" t="n"/>
      <c r="U607" s="90" t="n"/>
      <c r="V607" s="90" t="n"/>
      <c r="W607" s="90" t="n"/>
      <c r="X607" s="90" t="n"/>
      <c r="Y607" s="90" t="n"/>
      <c r="Z607" s="90" t="n"/>
    </row>
    <row r="608">
      <c r="A608" s="90" t="n"/>
      <c r="B608" s="90" t="n"/>
      <c r="C608" s="90" t="n"/>
      <c r="D608" s="90" t="n"/>
      <c r="E608" s="90" t="n"/>
      <c r="F608" s="90" t="n"/>
      <c r="G608" s="90" t="n"/>
      <c r="H608" s="90" t="n"/>
      <c r="I608" s="90" t="n"/>
      <c r="J608" s="90" t="n"/>
      <c r="K608" s="90" t="n"/>
      <c r="L608" s="90" t="n"/>
      <c r="M608" s="90" t="n"/>
      <c r="N608" s="90" t="n"/>
      <c r="O608" s="90" t="n"/>
      <c r="P608" s="90" t="n"/>
      <c r="Q608" s="90" t="n"/>
      <c r="R608" s="90" t="n"/>
      <c r="S608" s="90" t="n"/>
      <c r="T608" s="90" t="n"/>
      <c r="U608" s="90" t="n"/>
      <c r="V608" s="90" t="n"/>
      <c r="W608" s="90" t="n"/>
      <c r="X608" s="90" t="n"/>
      <c r="Y608" s="90" t="n"/>
      <c r="Z608" s="90" t="n"/>
    </row>
    <row r="609">
      <c r="A609" s="90" t="n"/>
      <c r="B609" s="90" t="n"/>
      <c r="C609" s="90" t="n"/>
      <c r="D609" s="90" t="n"/>
      <c r="E609" s="90" t="n"/>
      <c r="F609" s="90" t="n"/>
      <c r="G609" s="90" t="n"/>
      <c r="H609" s="90" t="n"/>
      <c r="I609" s="90" t="n"/>
      <c r="J609" s="90" t="n"/>
      <c r="K609" s="90" t="n"/>
      <c r="L609" s="90" t="n"/>
      <c r="M609" s="90" t="n"/>
      <c r="N609" s="90" t="n"/>
      <c r="O609" s="90" t="n"/>
      <c r="P609" s="90" t="n"/>
      <c r="Q609" s="90" t="n"/>
      <c r="R609" s="90" t="n"/>
      <c r="S609" s="90" t="n"/>
      <c r="T609" s="90" t="n"/>
      <c r="U609" s="90" t="n"/>
      <c r="V609" s="90" t="n"/>
      <c r="W609" s="90" t="n"/>
      <c r="X609" s="90" t="n"/>
      <c r="Y609" s="90" t="n"/>
      <c r="Z609" s="90" t="n"/>
    </row>
    <row r="610">
      <c r="A610" s="90" t="n"/>
      <c r="B610" s="90" t="n"/>
      <c r="C610" s="90" t="n"/>
      <c r="D610" s="90" t="n"/>
      <c r="E610" s="90" t="n"/>
      <c r="F610" s="90" t="n"/>
      <c r="G610" s="90" t="n"/>
      <c r="H610" s="90" t="n"/>
      <c r="I610" s="90" t="n"/>
      <c r="J610" s="90" t="n"/>
      <c r="K610" s="90" t="n"/>
      <c r="L610" s="90" t="n"/>
      <c r="M610" s="90" t="n"/>
      <c r="N610" s="90" t="n"/>
      <c r="O610" s="90" t="n"/>
      <c r="P610" s="90" t="n"/>
      <c r="Q610" s="90" t="n"/>
      <c r="R610" s="90" t="n"/>
      <c r="S610" s="90" t="n"/>
      <c r="T610" s="90" t="n"/>
      <c r="U610" s="90" t="n"/>
      <c r="V610" s="90" t="n"/>
      <c r="W610" s="90" t="n"/>
      <c r="X610" s="90" t="n"/>
      <c r="Y610" s="90" t="n"/>
      <c r="Z610" s="90" t="n"/>
    </row>
    <row r="611">
      <c r="A611" s="90" t="n"/>
      <c r="B611" s="90" t="n"/>
      <c r="C611" s="90" t="n"/>
      <c r="D611" s="90" t="n"/>
      <c r="E611" s="90" t="n"/>
      <c r="F611" s="90" t="n"/>
      <c r="G611" s="90" t="n"/>
      <c r="H611" s="90" t="n"/>
      <c r="I611" s="90" t="n"/>
      <c r="J611" s="90" t="n"/>
      <c r="K611" s="90" t="n"/>
      <c r="L611" s="90" t="n"/>
      <c r="M611" s="90" t="n"/>
      <c r="N611" s="90" t="n"/>
      <c r="O611" s="90" t="n"/>
      <c r="P611" s="90" t="n"/>
      <c r="Q611" s="90" t="n"/>
      <c r="R611" s="90" t="n"/>
      <c r="S611" s="90" t="n"/>
      <c r="T611" s="90" t="n"/>
      <c r="U611" s="90" t="n"/>
      <c r="V611" s="90" t="n"/>
      <c r="W611" s="90" t="n"/>
      <c r="X611" s="90" t="n"/>
      <c r="Y611" s="90" t="n"/>
      <c r="Z611" s="90" t="n"/>
    </row>
    <row r="612">
      <c r="A612" s="90" t="n"/>
      <c r="B612" s="90" t="n"/>
      <c r="C612" s="90" t="n"/>
      <c r="D612" s="90" t="n"/>
      <c r="E612" s="90" t="n"/>
      <c r="F612" s="90" t="n"/>
      <c r="G612" s="90" t="n"/>
      <c r="H612" s="90" t="n"/>
      <c r="I612" s="90" t="n"/>
      <c r="J612" s="90" t="n"/>
      <c r="K612" s="90" t="n"/>
      <c r="L612" s="90" t="n"/>
      <c r="M612" s="90" t="n"/>
      <c r="N612" s="90" t="n"/>
      <c r="O612" s="90" t="n"/>
      <c r="P612" s="90" t="n"/>
      <c r="Q612" s="90" t="n"/>
      <c r="R612" s="90" t="n"/>
      <c r="S612" s="90" t="n"/>
      <c r="T612" s="90" t="n"/>
      <c r="U612" s="90" t="n"/>
      <c r="V612" s="90" t="n"/>
      <c r="W612" s="90" t="n"/>
      <c r="X612" s="90" t="n"/>
      <c r="Y612" s="90" t="n"/>
      <c r="Z612" s="90" t="n"/>
    </row>
    <row r="613">
      <c r="A613" s="90" t="n"/>
      <c r="B613" s="90" t="n"/>
      <c r="C613" s="90" t="n"/>
      <c r="D613" s="90" t="n"/>
      <c r="E613" s="90" t="n"/>
      <c r="F613" s="90" t="n"/>
      <c r="G613" s="90" t="n"/>
      <c r="H613" s="90" t="n"/>
      <c r="I613" s="90" t="n"/>
      <c r="J613" s="90" t="n"/>
      <c r="K613" s="90" t="n"/>
      <c r="L613" s="90" t="n"/>
      <c r="M613" s="90" t="n"/>
      <c r="N613" s="90" t="n"/>
      <c r="O613" s="90" t="n"/>
      <c r="P613" s="90" t="n"/>
      <c r="Q613" s="90" t="n"/>
      <c r="R613" s="90" t="n"/>
      <c r="S613" s="90" t="n"/>
      <c r="T613" s="90" t="n"/>
      <c r="U613" s="90" t="n"/>
      <c r="V613" s="90" t="n"/>
      <c r="W613" s="90" t="n"/>
      <c r="X613" s="90" t="n"/>
      <c r="Y613" s="90" t="n"/>
      <c r="Z613" s="90" t="n"/>
    </row>
    <row r="614">
      <c r="A614" s="90" t="n"/>
      <c r="B614" s="90" t="n"/>
      <c r="C614" s="90" t="n"/>
      <c r="D614" s="90" t="n"/>
      <c r="E614" s="90" t="n"/>
      <c r="F614" s="90" t="n"/>
      <c r="G614" s="90" t="n"/>
      <c r="H614" s="90" t="n"/>
      <c r="I614" s="90" t="n"/>
      <c r="J614" s="90" t="n"/>
      <c r="K614" s="90" t="n"/>
      <c r="L614" s="90" t="n"/>
      <c r="M614" s="90" t="n"/>
      <c r="N614" s="90" t="n"/>
      <c r="O614" s="90" t="n"/>
      <c r="P614" s="90" t="n"/>
      <c r="Q614" s="90" t="n"/>
      <c r="R614" s="90" t="n"/>
      <c r="S614" s="90" t="n"/>
      <c r="T614" s="90" t="n"/>
      <c r="U614" s="90" t="n"/>
      <c r="V614" s="90" t="n"/>
      <c r="W614" s="90" t="n"/>
      <c r="X614" s="90" t="n"/>
      <c r="Y614" s="90" t="n"/>
      <c r="Z614" s="90" t="n"/>
    </row>
    <row r="615">
      <c r="A615" s="90" t="n"/>
      <c r="B615" s="90" t="n"/>
      <c r="C615" s="90" t="n"/>
      <c r="D615" s="90" t="n"/>
      <c r="E615" s="90" t="n"/>
      <c r="F615" s="90" t="n"/>
      <c r="G615" s="90" t="n"/>
      <c r="H615" s="90" t="n"/>
      <c r="I615" s="90" t="n"/>
      <c r="J615" s="90" t="n"/>
      <c r="K615" s="90" t="n"/>
      <c r="L615" s="90" t="n"/>
      <c r="M615" s="90" t="n"/>
      <c r="N615" s="90" t="n"/>
      <c r="O615" s="90" t="n"/>
      <c r="P615" s="90" t="n"/>
      <c r="Q615" s="90" t="n"/>
      <c r="R615" s="90" t="n"/>
      <c r="S615" s="90" t="n"/>
      <c r="T615" s="90" t="n"/>
      <c r="U615" s="90" t="n"/>
      <c r="V615" s="90" t="n"/>
      <c r="W615" s="90" t="n"/>
      <c r="X615" s="90" t="n"/>
      <c r="Y615" s="90" t="n"/>
      <c r="Z615" s="90" t="n"/>
    </row>
    <row r="616">
      <c r="A616" s="90" t="n"/>
      <c r="B616" s="90" t="n"/>
      <c r="C616" s="90" t="n"/>
      <c r="D616" s="90" t="n"/>
      <c r="E616" s="90" t="n"/>
      <c r="F616" s="90" t="n"/>
      <c r="G616" s="90" t="n"/>
      <c r="H616" s="90" t="n"/>
      <c r="I616" s="90" t="n"/>
      <c r="J616" s="90" t="n"/>
      <c r="K616" s="90" t="n"/>
      <c r="L616" s="90" t="n"/>
      <c r="M616" s="90" t="n"/>
      <c r="N616" s="90" t="n"/>
      <c r="O616" s="90" t="n"/>
      <c r="P616" s="90" t="n"/>
      <c r="Q616" s="90" t="n"/>
      <c r="R616" s="90" t="n"/>
      <c r="S616" s="90" t="n"/>
      <c r="T616" s="90" t="n"/>
      <c r="U616" s="90" t="n"/>
      <c r="V616" s="90" t="n"/>
      <c r="W616" s="90" t="n"/>
      <c r="X616" s="90" t="n"/>
      <c r="Y616" s="90" t="n"/>
      <c r="Z616" s="90" t="n"/>
    </row>
    <row r="617">
      <c r="A617" s="90" t="n"/>
      <c r="B617" s="90" t="n"/>
      <c r="C617" s="90" t="n"/>
      <c r="D617" s="90" t="n"/>
      <c r="E617" s="90" t="n"/>
      <c r="F617" s="90" t="n"/>
      <c r="G617" s="90" t="n"/>
      <c r="H617" s="90" t="n"/>
      <c r="I617" s="90" t="n"/>
      <c r="J617" s="90" t="n"/>
      <c r="K617" s="90" t="n"/>
      <c r="L617" s="90" t="n"/>
      <c r="M617" s="90" t="n"/>
      <c r="N617" s="90" t="n"/>
      <c r="O617" s="90" t="n"/>
      <c r="P617" s="90" t="n"/>
      <c r="Q617" s="90" t="n"/>
      <c r="R617" s="90" t="n"/>
      <c r="S617" s="90" t="n"/>
      <c r="T617" s="90" t="n"/>
      <c r="U617" s="90" t="n"/>
      <c r="V617" s="90" t="n"/>
      <c r="W617" s="90" t="n"/>
      <c r="X617" s="90" t="n"/>
      <c r="Y617" s="90" t="n"/>
      <c r="Z617" s="90" t="n"/>
    </row>
    <row r="618">
      <c r="A618" s="90" t="n"/>
      <c r="B618" s="90" t="n"/>
      <c r="C618" s="90" t="n"/>
      <c r="D618" s="90" t="n"/>
      <c r="E618" s="90" t="n"/>
      <c r="F618" s="90" t="n"/>
      <c r="G618" s="90" t="n"/>
      <c r="H618" s="90" t="n"/>
      <c r="I618" s="90" t="n"/>
      <c r="J618" s="90" t="n"/>
      <c r="K618" s="90" t="n"/>
      <c r="L618" s="90" t="n"/>
      <c r="M618" s="90" t="n"/>
      <c r="N618" s="90" t="n"/>
      <c r="O618" s="90" t="n"/>
      <c r="P618" s="90" t="n"/>
      <c r="Q618" s="90" t="n"/>
      <c r="R618" s="90" t="n"/>
      <c r="S618" s="90" t="n"/>
      <c r="T618" s="90" t="n"/>
      <c r="U618" s="90" t="n"/>
      <c r="V618" s="90" t="n"/>
      <c r="W618" s="90" t="n"/>
      <c r="X618" s="90" t="n"/>
      <c r="Y618" s="90" t="n"/>
      <c r="Z618" s="90" t="n"/>
    </row>
    <row r="619">
      <c r="A619" s="90" t="n"/>
      <c r="B619" s="90" t="n"/>
      <c r="C619" s="90" t="n"/>
      <c r="D619" s="90" t="n"/>
      <c r="E619" s="90" t="n"/>
      <c r="F619" s="90" t="n"/>
      <c r="G619" s="90" t="n"/>
      <c r="H619" s="90" t="n"/>
      <c r="I619" s="90" t="n"/>
      <c r="J619" s="90" t="n"/>
      <c r="K619" s="90" t="n"/>
      <c r="L619" s="90" t="n"/>
      <c r="M619" s="90" t="n"/>
      <c r="N619" s="90" t="n"/>
      <c r="O619" s="90" t="n"/>
      <c r="P619" s="90" t="n"/>
      <c r="Q619" s="90" t="n"/>
      <c r="R619" s="90" t="n"/>
      <c r="S619" s="90" t="n"/>
      <c r="T619" s="90" t="n"/>
      <c r="U619" s="90" t="n"/>
      <c r="V619" s="90" t="n"/>
      <c r="W619" s="90" t="n"/>
      <c r="X619" s="90" t="n"/>
      <c r="Y619" s="90" t="n"/>
      <c r="Z619" s="90" t="n"/>
    </row>
    <row r="620">
      <c r="A620" s="90" t="n"/>
      <c r="B620" s="90" t="n"/>
      <c r="C620" s="90" t="n"/>
      <c r="D620" s="90" t="n"/>
      <c r="E620" s="90" t="n"/>
      <c r="F620" s="90" t="n"/>
      <c r="G620" s="90" t="n"/>
      <c r="H620" s="90" t="n"/>
      <c r="I620" s="90" t="n"/>
      <c r="J620" s="90" t="n"/>
      <c r="K620" s="90" t="n"/>
      <c r="L620" s="90" t="n"/>
      <c r="M620" s="90" t="n"/>
      <c r="N620" s="90" t="n"/>
      <c r="O620" s="90" t="n"/>
      <c r="P620" s="90" t="n"/>
      <c r="Q620" s="90" t="n"/>
      <c r="R620" s="90" t="n"/>
      <c r="S620" s="90" t="n"/>
      <c r="T620" s="90" t="n"/>
      <c r="U620" s="90" t="n"/>
      <c r="V620" s="90" t="n"/>
      <c r="W620" s="90" t="n"/>
      <c r="X620" s="90" t="n"/>
      <c r="Y620" s="90" t="n"/>
      <c r="Z620" s="90" t="n"/>
    </row>
    <row r="621">
      <c r="A621" s="90" t="n"/>
      <c r="B621" s="90" t="n"/>
      <c r="C621" s="90" t="n"/>
      <c r="D621" s="90" t="n"/>
      <c r="E621" s="90" t="n"/>
      <c r="F621" s="90" t="n"/>
      <c r="G621" s="90" t="n"/>
      <c r="H621" s="90" t="n"/>
      <c r="I621" s="90" t="n"/>
      <c r="J621" s="90" t="n"/>
      <c r="K621" s="90" t="n"/>
      <c r="L621" s="90" t="n"/>
      <c r="M621" s="90" t="n"/>
      <c r="N621" s="90" t="n"/>
      <c r="O621" s="90" t="n"/>
      <c r="P621" s="90" t="n"/>
      <c r="Q621" s="90" t="n"/>
      <c r="R621" s="90" t="n"/>
      <c r="S621" s="90" t="n"/>
      <c r="T621" s="90" t="n"/>
      <c r="U621" s="90" t="n"/>
      <c r="V621" s="90" t="n"/>
      <c r="W621" s="90" t="n"/>
      <c r="X621" s="90" t="n"/>
      <c r="Y621" s="90" t="n"/>
      <c r="Z621" s="90" t="n"/>
    </row>
    <row r="622">
      <c r="A622" s="90" t="n"/>
      <c r="B622" s="90" t="n"/>
      <c r="C622" s="90" t="n"/>
      <c r="D622" s="90" t="n"/>
      <c r="E622" s="90" t="n"/>
      <c r="F622" s="90" t="n"/>
      <c r="G622" s="90" t="n"/>
      <c r="H622" s="90" t="n"/>
      <c r="I622" s="90" t="n"/>
      <c r="J622" s="90" t="n"/>
      <c r="K622" s="90" t="n"/>
      <c r="L622" s="90" t="n"/>
      <c r="M622" s="90" t="n"/>
      <c r="N622" s="90" t="n"/>
      <c r="O622" s="90" t="n"/>
      <c r="P622" s="90" t="n"/>
      <c r="Q622" s="90" t="n"/>
      <c r="R622" s="90" t="n"/>
      <c r="S622" s="90" t="n"/>
      <c r="T622" s="90" t="n"/>
      <c r="U622" s="90" t="n"/>
      <c r="V622" s="90" t="n"/>
      <c r="W622" s="90" t="n"/>
      <c r="X622" s="90" t="n"/>
      <c r="Y622" s="90" t="n"/>
      <c r="Z622" s="90" t="n"/>
    </row>
    <row r="623">
      <c r="A623" s="90" t="n"/>
      <c r="B623" s="90" t="n"/>
      <c r="C623" s="90" t="n"/>
      <c r="D623" s="90" t="n"/>
      <c r="E623" s="90" t="n"/>
      <c r="F623" s="90" t="n"/>
      <c r="G623" s="90" t="n"/>
      <c r="H623" s="90" t="n"/>
      <c r="I623" s="90" t="n"/>
      <c r="J623" s="90" t="n"/>
      <c r="K623" s="90" t="n"/>
      <c r="L623" s="90" t="n"/>
      <c r="M623" s="90" t="n"/>
      <c r="N623" s="90" t="n"/>
      <c r="O623" s="90" t="n"/>
      <c r="P623" s="90" t="n"/>
      <c r="Q623" s="90" t="n"/>
      <c r="R623" s="90" t="n"/>
      <c r="S623" s="90" t="n"/>
      <c r="T623" s="90" t="n"/>
      <c r="U623" s="90" t="n"/>
      <c r="V623" s="90" t="n"/>
      <c r="W623" s="90" t="n"/>
      <c r="X623" s="90" t="n"/>
      <c r="Y623" s="90" t="n"/>
      <c r="Z623" s="90" t="n"/>
    </row>
    <row r="624">
      <c r="A624" s="90" t="n"/>
      <c r="B624" s="90" t="n"/>
      <c r="C624" s="90" t="n"/>
      <c r="D624" s="90" t="n"/>
      <c r="E624" s="90" t="n"/>
      <c r="F624" s="90" t="n"/>
      <c r="G624" s="90" t="n"/>
      <c r="H624" s="90" t="n"/>
      <c r="I624" s="90" t="n"/>
      <c r="J624" s="90" t="n"/>
      <c r="K624" s="90" t="n"/>
      <c r="L624" s="90" t="n"/>
      <c r="M624" s="90" t="n"/>
      <c r="N624" s="90" t="n"/>
      <c r="O624" s="90" t="n"/>
      <c r="P624" s="90" t="n"/>
      <c r="Q624" s="90" t="n"/>
      <c r="R624" s="90" t="n"/>
      <c r="S624" s="90" t="n"/>
      <c r="T624" s="90" t="n"/>
      <c r="U624" s="90" t="n"/>
      <c r="V624" s="90" t="n"/>
      <c r="W624" s="90" t="n"/>
      <c r="X624" s="90" t="n"/>
      <c r="Y624" s="90" t="n"/>
      <c r="Z624" s="90" t="n"/>
    </row>
    <row r="625">
      <c r="A625" s="90" t="n"/>
      <c r="B625" s="90" t="n"/>
      <c r="C625" s="90" t="n"/>
      <c r="D625" s="90" t="n"/>
      <c r="E625" s="90" t="n"/>
      <c r="F625" s="90" t="n"/>
      <c r="G625" s="90" t="n"/>
      <c r="H625" s="90" t="n"/>
      <c r="I625" s="90" t="n"/>
      <c r="J625" s="90" t="n"/>
      <c r="K625" s="90" t="n"/>
      <c r="L625" s="90" t="n"/>
      <c r="M625" s="90" t="n"/>
      <c r="N625" s="90" t="n"/>
      <c r="O625" s="90" t="n"/>
      <c r="P625" s="90" t="n"/>
      <c r="Q625" s="90" t="n"/>
      <c r="R625" s="90" t="n"/>
      <c r="S625" s="90" t="n"/>
      <c r="T625" s="90" t="n"/>
      <c r="U625" s="90" t="n"/>
      <c r="V625" s="90" t="n"/>
      <c r="W625" s="90" t="n"/>
      <c r="X625" s="90" t="n"/>
      <c r="Y625" s="90" t="n"/>
      <c r="Z625" s="90" t="n"/>
    </row>
    <row r="626">
      <c r="A626" s="90" t="n"/>
      <c r="B626" s="90" t="n"/>
      <c r="C626" s="90" t="n"/>
      <c r="D626" s="90" t="n"/>
      <c r="E626" s="90" t="n"/>
      <c r="F626" s="90" t="n"/>
      <c r="G626" s="90" t="n"/>
      <c r="H626" s="90" t="n"/>
      <c r="I626" s="90" t="n"/>
      <c r="J626" s="90" t="n"/>
      <c r="K626" s="90" t="n"/>
      <c r="L626" s="90" t="n"/>
      <c r="M626" s="90" t="n"/>
      <c r="N626" s="90" t="n"/>
      <c r="O626" s="90" t="n"/>
      <c r="P626" s="90" t="n"/>
      <c r="Q626" s="90" t="n"/>
      <c r="R626" s="90" t="n"/>
      <c r="S626" s="90" t="n"/>
      <c r="T626" s="90" t="n"/>
      <c r="U626" s="90" t="n"/>
      <c r="V626" s="90" t="n"/>
      <c r="W626" s="90" t="n"/>
      <c r="X626" s="90" t="n"/>
      <c r="Y626" s="90" t="n"/>
      <c r="Z626" s="90" t="n"/>
    </row>
    <row r="627">
      <c r="A627" s="90" t="n"/>
      <c r="B627" s="90" t="n"/>
      <c r="C627" s="90" t="n"/>
      <c r="D627" s="90" t="n"/>
      <c r="E627" s="90" t="n"/>
      <c r="F627" s="90" t="n"/>
      <c r="G627" s="90" t="n"/>
      <c r="H627" s="90" t="n"/>
      <c r="I627" s="90" t="n"/>
      <c r="J627" s="90" t="n"/>
      <c r="K627" s="90" t="n"/>
      <c r="L627" s="90" t="n"/>
      <c r="M627" s="90" t="n"/>
      <c r="N627" s="90" t="n"/>
      <c r="O627" s="90" t="n"/>
      <c r="P627" s="90" t="n"/>
      <c r="Q627" s="90" t="n"/>
      <c r="R627" s="90" t="n"/>
      <c r="S627" s="90" t="n"/>
      <c r="T627" s="90" t="n"/>
      <c r="U627" s="90" t="n"/>
      <c r="V627" s="90" t="n"/>
      <c r="W627" s="90" t="n"/>
      <c r="X627" s="90" t="n"/>
      <c r="Y627" s="90" t="n"/>
      <c r="Z627" s="90" t="n"/>
    </row>
    <row r="628">
      <c r="A628" s="90" t="n"/>
      <c r="B628" s="90" t="n"/>
      <c r="C628" s="90" t="n"/>
      <c r="D628" s="90" t="n"/>
      <c r="E628" s="90" t="n"/>
      <c r="F628" s="90" t="n"/>
      <c r="G628" s="90" t="n"/>
      <c r="H628" s="90" t="n"/>
      <c r="I628" s="90" t="n"/>
      <c r="J628" s="90" t="n"/>
      <c r="K628" s="90" t="n"/>
      <c r="L628" s="90" t="n"/>
      <c r="M628" s="90" t="n"/>
      <c r="N628" s="90" t="n"/>
      <c r="O628" s="90" t="n"/>
      <c r="P628" s="90" t="n"/>
      <c r="Q628" s="90" t="n"/>
      <c r="R628" s="90" t="n"/>
      <c r="S628" s="90" t="n"/>
      <c r="T628" s="90" t="n"/>
      <c r="U628" s="90" t="n"/>
      <c r="V628" s="90" t="n"/>
      <c r="W628" s="90" t="n"/>
      <c r="X628" s="90" t="n"/>
      <c r="Y628" s="90" t="n"/>
      <c r="Z628" s="90" t="n"/>
    </row>
    <row r="629">
      <c r="A629" s="90" t="n"/>
      <c r="B629" s="90" t="n"/>
      <c r="C629" s="90" t="n"/>
      <c r="D629" s="90" t="n"/>
      <c r="E629" s="90" t="n"/>
      <c r="F629" s="90" t="n"/>
      <c r="G629" s="90" t="n"/>
      <c r="H629" s="90" t="n"/>
      <c r="I629" s="90" t="n"/>
      <c r="J629" s="90" t="n"/>
      <c r="K629" s="90" t="n"/>
      <c r="L629" s="90" t="n"/>
      <c r="M629" s="90" t="n"/>
      <c r="N629" s="90" t="n"/>
      <c r="O629" s="90" t="n"/>
      <c r="P629" s="90" t="n"/>
      <c r="Q629" s="90" t="n"/>
      <c r="R629" s="90" t="n"/>
      <c r="S629" s="90" t="n"/>
      <c r="T629" s="90" t="n"/>
      <c r="U629" s="90" t="n"/>
      <c r="V629" s="90" t="n"/>
      <c r="W629" s="90" t="n"/>
      <c r="X629" s="90" t="n"/>
      <c r="Y629" s="90" t="n"/>
      <c r="Z629" s="90" t="n"/>
    </row>
    <row r="630">
      <c r="A630" s="90" t="n"/>
      <c r="B630" s="90" t="n"/>
      <c r="C630" s="90" t="n"/>
      <c r="D630" s="90" t="n"/>
      <c r="E630" s="90" t="n"/>
      <c r="F630" s="90" t="n"/>
      <c r="G630" s="90" t="n"/>
      <c r="H630" s="90" t="n"/>
      <c r="I630" s="90" t="n"/>
      <c r="J630" s="90" t="n"/>
      <c r="K630" s="90" t="n"/>
      <c r="L630" s="90" t="n"/>
      <c r="M630" s="90" t="n"/>
      <c r="N630" s="90" t="n"/>
      <c r="O630" s="90" t="n"/>
      <c r="P630" s="90" t="n"/>
      <c r="Q630" s="90" t="n"/>
      <c r="R630" s="90" t="n"/>
      <c r="S630" s="90" t="n"/>
      <c r="T630" s="90" t="n"/>
      <c r="U630" s="90" t="n"/>
      <c r="V630" s="90" t="n"/>
      <c r="W630" s="90" t="n"/>
      <c r="X630" s="90" t="n"/>
      <c r="Y630" s="90" t="n"/>
      <c r="Z630" s="90" t="n"/>
    </row>
    <row r="631">
      <c r="A631" s="90" t="n"/>
      <c r="B631" s="90" t="n"/>
      <c r="C631" s="90" t="n"/>
      <c r="D631" s="90" t="n"/>
      <c r="E631" s="90" t="n"/>
      <c r="F631" s="90" t="n"/>
      <c r="G631" s="90" t="n"/>
      <c r="H631" s="90" t="n"/>
      <c r="I631" s="90" t="n"/>
      <c r="J631" s="90" t="n"/>
      <c r="K631" s="90" t="n"/>
      <c r="L631" s="90" t="n"/>
      <c r="M631" s="90" t="n"/>
      <c r="N631" s="90" t="n"/>
      <c r="O631" s="90" t="n"/>
      <c r="P631" s="90" t="n"/>
      <c r="Q631" s="90" t="n"/>
      <c r="R631" s="90" t="n"/>
      <c r="S631" s="90" t="n"/>
      <c r="T631" s="90" t="n"/>
      <c r="U631" s="90" t="n"/>
      <c r="V631" s="90" t="n"/>
      <c r="W631" s="90" t="n"/>
      <c r="X631" s="90" t="n"/>
      <c r="Y631" s="90" t="n"/>
      <c r="Z631" s="90" t="n"/>
    </row>
    <row r="632">
      <c r="A632" s="90" t="n"/>
      <c r="B632" s="90" t="n"/>
      <c r="C632" s="90" t="n"/>
      <c r="D632" s="90" t="n"/>
      <c r="E632" s="90" t="n"/>
      <c r="F632" s="90" t="n"/>
      <c r="G632" s="90" t="n"/>
      <c r="H632" s="90" t="n"/>
      <c r="I632" s="90" t="n"/>
      <c r="J632" s="90" t="n"/>
      <c r="K632" s="90" t="n"/>
      <c r="L632" s="90" t="n"/>
      <c r="M632" s="90" t="n"/>
      <c r="N632" s="90" t="n"/>
      <c r="O632" s="90" t="n"/>
      <c r="P632" s="90" t="n"/>
      <c r="Q632" s="90" t="n"/>
      <c r="R632" s="90" t="n"/>
      <c r="S632" s="90" t="n"/>
      <c r="T632" s="90" t="n"/>
      <c r="U632" s="90" t="n"/>
      <c r="V632" s="90" t="n"/>
      <c r="W632" s="90" t="n"/>
      <c r="X632" s="90" t="n"/>
      <c r="Y632" s="90" t="n"/>
      <c r="Z632" s="90" t="n"/>
    </row>
    <row r="633">
      <c r="A633" s="90" t="n"/>
      <c r="B633" s="90" t="n"/>
      <c r="C633" s="90" t="n"/>
      <c r="D633" s="90" t="n"/>
      <c r="E633" s="90" t="n"/>
      <c r="F633" s="90" t="n"/>
      <c r="G633" s="90" t="n"/>
      <c r="H633" s="90" t="n"/>
      <c r="I633" s="90" t="n"/>
      <c r="J633" s="90" t="n"/>
      <c r="K633" s="90" t="n"/>
      <c r="L633" s="90" t="n"/>
      <c r="M633" s="90" t="n"/>
      <c r="N633" s="90" t="n"/>
      <c r="O633" s="90" t="n"/>
      <c r="P633" s="90" t="n"/>
      <c r="Q633" s="90" t="n"/>
      <c r="R633" s="90" t="n"/>
      <c r="S633" s="90" t="n"/>
      <c r="T633" s="90" t="n"/>
      <c r="U633" s="90" t="n"/>
      <c r="V633" s="90" t="n"/>
      <c r="W633" s="90" t="n"/>
      <c r="X633" s="90" t="n"/>
      <c r="Y633" s="90" t="n"/>
      <c r="Z633" s="90" t="n"/>
    </row>
    <row r="634">
      <c r="A634" s="90" t="n"/>
      <c r="B634" s="90" t="n"/>
      <c r="C634" s="90" t="n"/>
      <c r="D634" s="90" t="n"/>
      <c r="E634" s="90" t="n"/>
      <c r="F634" s="90" t="n"/>
      <c r="G634" s="90" t="n"/>
      <c r="H634" s="90" t="n"/>
      <c r="I634" s="90" t="n"/>
      <c r="J634" s="90" t="n"/>
      <c r="K634" s="90" t="n"/>
      <c r="L634" s="90" t="n"/>
      <c r="M634" s="90" t="n"/>
      <c r="N634" s="90" t="n"/>
      <c r="O634" s="90" t="n"/>
      <c r="P634" s="90" t="n"/>
      <c r="Q634" s="90" t="n"/>
      <c r="R634" s="90" t="n"/>
      <c r="S634" s="90" t="n"/>
      <c r="T634" s="90" t="n"/>
      <c r="U634" s="90" t="n"/>
      <c r="V634" s="90" t="n"/>
      <c r="W634" s="90" t="n"/>
      <c r="X634" s="90" t="n"/>
      <c r="Y634" s="90" t="n"/>
      <c r="Z634" s="90" t="n"/>
    </row>
    <row r="635">
      <c r="A635" s="90" t="n"/>
      <c r="B635" s="90" t="n"/>
      <c r="C635" s="90" t="n"/>
      <c r="D635" s="90" t="n"/>
      <c r="E635" s="90" t="n"/>
      <c r="F635" s="90" t="n"/>
      <c r="G635" s="90" t="n"/>
      <c r="H635" s="90" t="n"/>
      <c r="I635" s="90" t="n"/>
      <c r="J635" s="90" t="n"/>
      <c r="K635" s="90" t="n"/>
      <c r="L635" s="90" t="n"/>
      <c r="M635" s="90" t="n"/>
      <c r="N635" s="90" t="n"/>
      <c r="O635" s="90" t="n"/>
      <c r="P635" s="90" t="n"/>
      <c r="Q635" s="90" t="n"/>
      <c r="R635" s="90" t="n"/>
      <c r="S635" s="90" t="n"/>
      <c r="T635" s="90" t="n"/>
      <c r="U635" s="90" t="n"/>
      <c r="V635" s="90" t="n"/>
      <c r="W635" s="90" t="n"/>
      <c r="X635" s="90" t="n"/>
      <c r="Y635" s="90" t="n"/>
      <c r="Z635" s="90" t="n"/>
    </row>
    <row r="636">
      <c r="A636" s="90" t="n"/>
      <c r="B636" s="90" t="n"/>
      <c r="C636" s="90" t="n"/>
      <c r="D636" s="90" t="n"/>
      <c r="E636" s="90" t="n"/>
      <c r="F636" s="90" t="n"/>
      <c r="G636" s="90" t="n"/>
      <c r="H636" s="90" t="n"/>
      <c r="I636" s="90" t="n"/>
      <c r="J636" s="90" t="n"/>
      <c r="K636" s="90" t="n"/>
      <c r="L636" s="90" t="n"/>
      <c r="M636" s="90" t="n"/>
      <c r="N636" s="90" t="n"/>
      <c r="O636" s="90" t="n"/>
      <c r="P636" s="90" t="n"/>
      <c r="Q636" s="90" t="n"/>
      <c r="R636" s="90" t="n"/>
      <c r="S636" s="90" t="n"/>
      <c r="T636" s="90" t="n"/>
      <c r="U636" s="90" t="n"/>
      <c r="V636" s="90" t="n"/>
      <c r="W636" s="90" t="n"/>
      <c r="X636" s="90" t="n"/>
      <c r="Y636" s="90" t="n"/>
      <c r="Z636" s="90" t="n"/>
    </row>
    <row r="637">
      <c r="A637" s="90" t="n"/>
      <c r="B637" s="90" t="n"/>
      <c r="C637" s="90" t="n"/>
      <c r="D637" s="90" t="n"/>
      <c r="E637" s="90" t="n"/>
      <c r="F637" s="90" t="n"/>
      <c r="G637" s="90" t="n"/>
      <c r="H637" s="90" t="n"/>
      <c r="I637" s="90" t="n"/>
      <c r="J637" s="90" t="n"/>
      <c r="K637" s="90" t="n"/>
      <c r="L637" s="90" t="n"/>
      <c r="M637" s="90" t="n"/>
      <c r="N637" s="90" t="n"/>
      <c r="O637" s="90" t="n"/>
      <c r="P637" s="90" t="n"/>
      <c r="Q637" s="90" t="n"/>
      <c r="R637" s="90" t="n"/>
      <c r="S637" s="90" t="n"/>
      <c r="T637" s="90" t="n"/>
      <c r="U637" s="90" t="n"/>
      <c r="V637" s="90" t="n"/>
      <c r="W637" s="90" t="n"/>
      <c r="X637" s="90" t="n"/>
      <c r="Y637" s="90" t="n"/>
      <c r="Z637" s="90" t="n"/>
    </row>
    <row r="638">
      <c r="A638" s="90" t="n"/>
      <c r="B638" s="90" t="n"/>
      <c r="C638" s="90" t="n"/>
      <c r="D638" s="90" t="n"/>
      <c r="E638" s="90" t="n"/>
      <c r="F638" s="90" t="n"/>
      <c r="G638" s="90" t="n"/>
      <c r="H638" s="90" t="n"/>
      <c r="I638" s="90" t="n"/>
      <c r="J638" s="90" t="n"/>
      <c r="K638" s="90" t="n"/>
      <c r="L638" s="90" t="n"/>
      <c r="M638" s="90" t="n"/>
      <c r="N638" s="90" t="n"/>
      <c r="O638" s="90" t="n"/>
      <c r="P638" s="90" t="n"/>
      <c r="Q638" s="90" t="n"/>
      <c r="R638" s="90" t="n"/>
      <c r="S638" s="90" t="n"/>
      <c r="T638" s="90" t="n"/>
      <c r="U638" s="90" t="n"/>
      <c r="V638" s="90" t="n"/>
      <c r="W638" s="90" t="n"/>
      <c r="X638" s="90" t="n"/>
      <c r="Y638" s="90" t="n"/>
      <c r="Z638" s="90" t="n"/>
    </row>
    <row r="639">
      <c r="A639" s="90" t="n"/>
      <c r="B639" s="90" t="n"/>
      <c r="C639" s="90" t="n"/>
      <c r="D639" s="90" t="n"/>
      <c r="E639" s="90" t="n"/>
      <c r="F639" s="90" t="n"/>
      <c r="G639" s="90" t="n"/>
      <c r="H639" s="90" t="n"/>
      <c r="I639" s="90" t="n"/>
      <c r="J639" s="90" t="n"/>
      <c r="K639" s="90" t="n"/>
      <c r="L639" s="90" t="n"/>
      <c r="M639" s="90" t="n"/>
      <c r="N639" s="90" t="n"/>
      <c r="O639" s="90" t="n"/>
      <c r="P639" s="90" t="n"/>
      <c r="Q639" s="90" t="n"/>
      <c r="R639" s="90" t="n"/>
      <c r="S639" s="90" t="n"/>
      <c r="T639" s="90" t="n"/>
      <c r="U639" s="90" t="n"/>
      <c r="V639" s="90" t="n"/>
      <c r="W639" s="90" t="n"/>
      <c r="X639" s="90" t="n"/>
      <c r="Y639" s="90" t="n"/>
      <c r="Z639" s="90" t="n"/>
    </row>
    <row r="640">
      <c r="A640" s="90" t="n"/>
      <c r="B640" s="90" t="n"/>
      <c r="C640" s="90" t="n"/>
      <c r="D640" s="90" t="n"/>
      <c r="E640" s="90" t="n"/>
      <c r="F640" s="90" t="n"/>
      <c r="G640" s="90" t="n"/>
      <c r="H640" s="90" t="n"/>
      <c r="I640" s="90" t="n"/>
      <c r="J640" s="90" t="n"/>
      <c r="K640" s="90" t="n"/>
      <c r="L640" s="90" t="n"/>
      <c r="M640" s="90" t="n"/>
      <c r="N640" s="90" t="n"/>
      <c r="O640" s="90" t="n"/>
      <c r="P640" s="90" t="n"/>
      <c r="Q640" s="90" t="n"/>
      <c r="R640" s="90" t="n"/>
      <c r="S640" s="90" t="n"/>
      <c r="T640" s="90" t="n"/>
      <c r="U640" s="90" t="n"/>
      <c r="V640" s="90" t="n"/>
      <c r="W640" s="90" t="n"/>
      <c r="X640" s="90" t="n"/>
      <c r="Y640" s="90" t="n"/>
      <c r="Z640" s="90" t="n"/>
    </row>
    <row r="641">
      <c r="A641" s="90" t="n"/>
      <c r="B641" s="90" t="n"/>
      <c r="C641" s="90" t="n"/>
      <c r="D641" s="90" t="n"/>
      <c r="E641" s="90" t="n"/>
      <c r="F641" s="90" t="n"/>
      <c r="G641" s="90" t="n"/>
      <c r="H641" s="90" t="n"/>
      <c r="I641" s="90" t="n"/>
      <c r="J641" s="90" t="n"/>
      <c r="K641" s="90" t="n"/>
      <c r="L641" s="90" t="n"/>
      <c r="M641" s="90" t="n"/>
      <c r="N641" s="90" t="n"/>
      <c r="O641" s="90" t="n"/>
      <c r="P641" s="90" t="n"/>
      <c r="Q641" s="90" t="n"/>
      <c r="R641" s="90" t="n"/>
      <c r="S641" s="90" t="n"/>
      <c r="T641" s="90" t="n"/>
      <c r="U641" s="90" t="n"/>
      <c r="V641" s="90" t="n"/>
      <c r="W641" s="90" t="n"/>
      <c r="X641" s="90" t="n"/>
      <c r="Y641" s="90" t="n"/>
      <c r="Z641" s="90" t="n"/>
    </row>
    <row r="642">
      <c r="A642" s="90" t="n"/>
      <c r="B642" s="90" t="n"/>
      <c r="C642" s="90" t="n"/>
      <c r="D642" s="90" t="n"/>
      <c r="E642" s="90" t="n"/>
      <c r="F642" s="90" t="n"/>
      <c r="G642" s="90" t="n"/>
      <c r="H642" s="90" t="n"/>
      <c r="I642" s="90" t="n"/>
      <c r="J642" s="90" t="n"/>
      <c r="K642" s="90" t="n"/>
      <c r="L642" s="90" t="n"/>
      <c r="M642" s="90" t="n"/>
      <c r="N642" s="90" t="n"/>
      <c r="O642" s="90" t="n"/>
      <c r="P642" s="90" t="n"/>
      <c r="Q642" s="90" t="n"/>
      <c r="R642" s="90" t="n"/>
      <c r="S642" s="90" t="n"/>
      <c r="T642" s="90" t="n"/>
      <c r="U642" s="90" t="n"/>
      <c r="V642" s="90" t="n"/>
      <c r="W642" s="90" t="n"/>
      <c r="X642" s="90" t="n"/>
      <c r="Y642" s="90" t="n"/>
      <c r="Z642" s="90" t="n"/>
    </row>
    <row r="643">
      <c r="A643" s="90" t="n"/>
      <c r="B643" s="90" t="n"/>
      <c r="C643" s="90" t="n"/>
      <c r="D643" s="90" t="n"/>
      <c r="E643" s="90" t="n"/>
      <c r="F643" s="90" t="n"/>
      <c r="G643" s="90" t="n"/>
      <c r="H643" s="90" t="n"/>
      <c r="I643" s="90" t="n"/>
      <c r="J643" s="90" t="n"/>
      <c r="K643" s="90" t="n"/>
      <c r="L643" s="90" t="n"/>
      <c r="M643" s="90" t="n"/>
      <c r="N643" s="90" t="n"/>
      <c r="O643" s="90" t="n"/>
      <c r="P643" s="90" t="n"/>
      <c r="Q643" s="90" t="n"/>
      <c r="R643" s="90" t="n"/>
      <c r="S643" s="90" t="n"/>
      <c r="T643" s="90" t="n"/>
      <c r="U643" s="90" t="n"/>
      <c r="V643" s="90" t="n"/>
      <c r="W643" s="90" t="n"/>
      <c r="X643" s="90" t="n"/>
      <c r="Y643" s="90" t="n"/>
      <c r="Z643" s="90" t="n"/>
    </row>
    <row r="644">
      <c r="A644" s="90" t="n"/>
      <c r="B644" s="90" t="n"/>
      <c r="C644" s="90" t="n"/>
      <c r="D644" s="90" t="n"/>
      <c r="E644" s="90" t="n"/>
      <c r="F644" s="90" t="n"/>
      <c r="G644" s="90" t="n"/>
      <c r="H644" s="90" t="n"/>
      <c r="I644" s="90" t="n"/>
      <c r="J644" s="90" t="n"/>
      <c r="K644" s="90" t="n"/>
      <c r="L644" s="90" t="n"/>
      <c r="M644" s="90" t="n"/>
      <c r="N644" s="90" t="n"/>
      <c r="O644" s="90" t="n"/>
      <c r="P644" s="90" t="n"/>
      <c r="Q644" s="90" t="n"/>
      <c r="R644" s="90" t="n"/>
      <c r="S644" s="90" t="n"/>
      <c r="T644" s="90" t="n"/>
      <c r="U644" s="90" t="n"/>
      <c r="V644" s="90" t="n"/>
      <c r="W644" s="90" t="n"/>
      <c r="X644" s="90" t="n"/>
      <c r="Y644" s="90" t="n"/>
      <c r="Z644" s="90" t="n"/>
    </row>
    <row r="645">
      <c r="A645" s="90" t="n"/>
      <c r="B645" s="90" t="n"/>
      <c r="C645" s="90" t="n"/>
      <c r="D645" s="90" t="n"/>
      <c r="E645" s="90" t="n"/>
      <c r="F645" s="90" t="n"/>
      <c r="G645" s="90" t="n"/>
      <c r="H645" s="90" t="n"/>
      <c r="I645" s="90" t="n"/>
      <c r="J645" s="90" t="n"/>
      <c r="K645" s="90" t="n"/>
      <c r="L645" s="90" t="n"/>
      <c r="M645" s="90" t="n"/>
      <c r="N645" s="90" t="n"/>
      <c r="O645" s="90" t="n"/>
      <c r="P645" s="90" t="n"/>
      <c r="Q645" s="90" t="n"/>
      <c r="R645" s="90" t="n"/>
      <c r="S645" s="90" t="n"/>
      <c r="T645" s="90" t="n"/>
      <c r="U645" s="90" t="n"/>
      <c r="V645" s="90" t="n"/>
      <c r="W645" s="90" t="n"/>
      <c r="X645" s="90" t="n"/>
      <c r="Y645" s="90" t="n"/>
      <c r="Z645" s="90" t="n"/>
    </row>
    <row r="646">
      <c r="A646" s="90" t="n"/>
      <c r="B646" s="90" t="n"/>
      <c r="C646" s="90" t="n"/>
      <c r="D646" s="90" t="n"/>
      <c r="E646" s="90" t="n"/>
      <c r="F646" s="90" t="n"/>
      <c r="G646" s="90" t="n"/>
      <c r="H646" s="90" t="n"/>
      <c r="I646" s="90" t="n"/>
      <c r="J646" s="90" t="n"/>
      <c r="K646" s="90" t="n"/>
      <c r="L646" s="90" t="n"/>
      <c r="M646" s="90" t="n"/>
      <c r="N646" s="90" t="n"/>
      <c r="O646" s="90" t="n"/>
      <c r="P646" s="90" t="n"/>
      <c r="Q646" s="90" t="n"/>
      <c r="R646" s="90" t="n"/>
      <c r="S646" s="90" t="n"/>
      <c r="T646" s="90" t="n"/>
      <c r="U646" s="90" t="n"/>
      <c r="V646" s="90" t="n"/>
      <c r="W646" s="90" t="n"/>
      <c r="X646" s="90" t="n"/>
      <c r="Y646" s="90" t="n"/>
      <c r="Z646" s="90" t="n"/>
    </row>
    <row r="647">
      <c r="A647" s="90" t="n"/>
      <c r="B647" s="90" t="n"/>
      <c r="C647" s="90" t="n"/>
      <c r="D647" s="90" t="n"/>
      <c r="E647" s="90" t="n"/>
      <c r="F647" s="90" t="n"/>
      <c r="G647" s="90" t="n"/>
      <c r="H647" s="90" t="n"/>
      <c r="I647" s="90" t="n"/>
      <c r="J647" s="90" t="n"/>
      <c r="K647" s="90" t="n"/>
      <c r="L647" s="90" t="n"/>
      <c r="M647" s="90" t="n"/>
      <c r="N647" s="90" t="n"/>
      <c r="O647" s="90" t="n"/>
      <c r="P647" s="90" t="n"/>
      <c r="Q647" s="90" t="n"/>
      <c r="R647" s="90" t="n"/>
      <c r="S647" s="90" t="n"/>
      <c r="T647" s="90" t="n"/>
      <c r="U647" s="90" t="n"/>
      <c r="V647" s="90" t="n"/>
      <c r="W647" s="90" t="n"/>
      <c r="X647" s="90" t="n"/>
      <c r="Y647" s="90" t="n"/>
      <c r="Z647" s="90" t="n"/>
    </row>
    <row r="648">
      <c r="A648" s="90" t="n"/>
      <c r="B648" s="90" t="n"/>
      <c r="C648" s="90" t="n"/>
      <c r="D648" s="90" t="n"/>
      <c r="E648" s="90" t="n"/>
      <c r="F648" s="90" t="n"/>
      <c r="G648" s="90" t="n"/>
      <c r="H648" s="90" t="n"/>
      <c r="I648" s="90" t="n"/>
      <c r="J648" s="90" t="n"/>
      <c r="K648" s="90" t="n"/>
      <c r="L648" s="90" t="n"/>
      <c r="M648" s="90" t="n"/>
      <c r="N648" s="90" t="n"/>
      <c r="O648" s="90" t="n"/>
      <c r="P648" s="90" t="n"/>
      <c r="Q648" s="90" t="n"/>
      <c r="R648" s="90" t="n"/>
      <c r="S648" s="90" t="n"/>
      <c r="T648" s="90" t="n"/>
      <c r="U648" s="90" t="n"/>
      <c r="V648" s="90" t="n"/>
      <c r="W648" s="90" t="n"/>
      <c r="X648" s="90" t="n"/>
      <c r="Y648" s="90" t="n"/>
      <c r="Z648" s="90" t="n"/>
    </row>
    <row r="649">
      <c r="A649" s="90" t="n"/>
      <c r="B649" s="90" t="n"/>
      <c r="C649" s="90" t="n"/>
      <c r="D649" s="90" t="n"/>
      <c r="E649" s="90" t="n"/>
      <c r="F649" s="90" t="n"/>
      <c r="G649" s="90" t="n"/>
      <c r="H649" s="90" t="n"/>
      <c r="I649" s="90" t="n"/>
      <c r="J649" s="90" t="n"/>
      <c r="K649" s="90" t="n"/>
      <c r="L649" s="90" t="n"/>
      <c r="M649" s="90" t="n"/>
      <c r="N649" s="90" t="n"/>
      <c r="O649" s="90" t="n"/>
      <c r="P649" s="90" t="n"/>
      <c r="Q649" s="90" t="n"/>
      <c r="R649" s="90" t="n"/>
      <c r="S649" s="90" t="n"/>
      <c r="T649" s="90" t="n"/>
      <c r="U649" s="90" t="n"/>
      <c r="V649" s="90" t="n"/>
      <c r="W649" s="90" t="n"/>
      <c r="X649" s="90" t="n"/>
      <c r="Y649" s="90" t="n"/>
      <c r="Z649" s="90" t="n"/>
    </row>
    <row r="650">
      <c r="A650" s="90" t="n"/>
      <c r="B650" s="90" t="n"/>
      <c r="C650" s="90" t="n"/>
      <c r="D650" s="90" t="n"/>
      <c r="E650" s="90" t="n"/>
      <c r="F650" s="90" t="n"/>
      <c r="G650" s="90" t="n"/>
      <c r="H650" s="90" t="n"/>
      <c r="I650" s="90" t="n"/>
      <c r="J650" s="90" t="n"/>
      <c r="K650" s="90" t="n"/>
      <c r="L650" s="90" t="n"/>
      <c r="M650" s="90" t="n"/>
      <c r="N650" s="90" t="n"/>
      <c r="O650" s="90" t="n"/>
      <c r="P650" s="90" t="n"/>
      <c r="Q650" s="90" t="n"/>
      <c r="R650" s="90" t="n"/>
      <c r="S650" s="90" t="n"/>
      <c r="T650" s="90" t="n"/>
      <c r="U650" s="90" t="n"/>
      <c r="V650" s="90" t="n"/>
      <c r="W650" s="90" t="n"/>
      <c r="X650" s="90" t="n"/>
      <c r="Y650" s="90" t="n"/>
      <c r="Z650" s="90" t="n"/>
    </row>
    <row r="651">
      <c r="A651" s="90" t="n"/>
      <c r="B651" s="90" t="n"/>
      <c r="C651" s="90" t="n"/>
      <c r="D651" s="90" t="n"/>
      <c r="E651" s="90" t="n"/>
      <c r="F651" s="90" t="n"/>
      <c r="G651" s="90" t="n"/>
      <c r="H651" s="90" t="n"/>
      <c r="I651" s="90" t="n"/>
      <c r="J651" s="90" t="n"/>
      <c r="K651" s="90" t="n"/>
      <c r="L651" s="90" t="n"/>
      <c r="M651" s="90" t="n"/>
      <c r="N651" s="90" t="n"/>
      <c r="O651" s="90" t="n"/>
      <c r="P651" s="90" t="n"/>
      <c r="Q651" s="90" t="n"/>
      <c r="R651" s="90" t="n"/>
      <c r="S651" s="90" t="n"/>
      <c r="T651" s="90" t="n"/>
      <c r="U651" s="90" t="n"/>
      <c r="V651" s="90" t="n"/>
      <c r="W651" s="90" t="n"/>
      <c r="X651" s="90" t="n"/>
      <c r="Y651" s="90" t="n"/>
      <c r="Z651" s="90" t="n"/>
    </row>
    <row r="652">
      <c r="A652" s="90" t="n"/>
      <c r="B652" s="90" t="n"/>
      <c r="C652" s="90" t="n"/>
      <c r="D652" s="90" t="n"/>
      <c r="E652" s="90" t="n"/>
      <c r="F652" s="90" t="n"/>
      <c r="G652" s="90" t="n"/>
      <c r="H652" s="90" t="n"/>
      <c r="I652" s="90" t="n"/>
      <c r="J652" s="90" t="n"/>
      <c r="K652" s="90" t="n"/>
      <c r="L652" s="90" t="n"/>
      <c r="M652" s="90" t="n"/>
      <c r="N652" s="90" t="n"/>
      <c r="O652" s="90" t="n"/>
      <c r="P652" s="90" t="n"/>
      <c r="Q652" s="90" t="n"/>
      <c r="R652" s="90" t="n"/>
      <c r="S652" s="90" t="n"/>
      <c r="T652" s="90" t="n"/>
      <c r="U652" s="90" t="n"/>
      <c r="V652" s="90" t="n"/>
      <c r="W652" s="90" t="n"/>
      <c r="X652" s="90" t="n"/>
      <c r="Y652" s="90" t="n"/>
      <c r="Z652" s="90" t="n"/>
    </row>
    <row r="653">
      <c r="A653" s="90" t="n"/>
      <c r="B653" s="90" t="n"/>
      <c r="C653" s="90" t="n"/>
      <c r="D653" s="90" t="n"/>
      <c r="E653" s="90" t="n"/>
      <c r="F653" s="90" t="n"/>
      <c r="G653" s="90" t="n"/>
      <c r="H653" s="90" t="n"/>
      <c r="I653" s="90" t="n"/>
      <c r="J653" s="90" t="n"/>
      <c r="K653" s="90" t="n"/>
      <c r="L653" s="90" t="n"/>
      <c r="M653" s="90" t="n"/>
      <c r="N653" s="90" t="n"/>
      <c r="O653" s="90" t="n"/>
      <c r="P653" s="90" t="n"/>
      <c r="Q653" s="90" t="n"/>
      <c r="R653" s="90" t="n"/>
      <c r="S653" s="90" t="n"/>
      <c r="T653" s="90" t="n"/>
      <c r="U653" s="90" t="n"/>
      <c r="V653" s="90" t="n"/>
      <c r="W653" s="90" t="n"/>
      <c r="X653" s="90" t="n"/>
      <c r="Y653" s="90" t="n"/>
      <c r="Z653" s="90" t="n"/>
    </row>
    <row r="654">
      <c r="A654" s="90" t="n"/>
      <c r="B654" s="90" t="n"/>
      <c r="C654" s="90" t="n"/>
      <c r="D654" s="90" t="n"/>
      <c r="E654" s="90" t="n"/>
      <c r="F654" s="90" t="n"/>
      <c r="G654" s="90" t="n"/>
      <c r="H654" s="90" t="n"/>
      <c r="I654" s="90" t="n"/>
      <c r="J654" s="90" t="n"/>
      <c r="K654" s="90" t="n"/>
      <c r="L654" s="90" t="n"/>
      <c r="M654" s="90" t="n"/>
      <c r="N654" s="90" t="n"/>
      <c r="O654" s="90" t="n"/>
      <c r="P654" s="90" t="n"/>
      <c r="Q654" s="90" t="n"/>
      <c r="R654" s="90" t="n"/>
      <c r="S654" s="90" t="n"/>
      <c r="T654" s="90" t="n"/>
      <c r="U654" s="90" t="n"/>
      <c r="V654" s="90" t="n"/>
      <c r="W654" s="90" t="n"/>
      <c r="X654" s="90" t="n"/>
      <c r="Y654" s="90" t="n"/>
      <c r="Z654" s="90" t="n"/>
    </row>
    <row r="655">
      <c r="A655" s="90" t="n"/>
      <c r="B655" s="90" t="n"/>
      <c r="C655" s="90" t="n"/>
      <c r="D655" s="90" t="n"/>
      <c r="E655" s="90" t="n"/>
      <c r="F655" s="90" t="n"/>
      <c r="G655" s="90" t="n"/>
      <c r="H655" s="90" t="n"/>
      <c r="I655" s="90" t="n"/>
      <c r="J655" s="90" t="n"/>
      <c r="K655" s="90" t="n"/>
      <c r="L655" s="90" t="n"/>
      <c r="M655" s="90" t="n"/>
      <c r="N655" s="90" t="n"/>
      <c r="O655" s="90" t="n"/>
      <c r="P655" s="90" t="n"/>
      <c r="Q655" s="90" t="n"/>
      <c r="R655" s="90" t="n"/>
      <c r="S655" s="90" t="n"/>
      <c r="T655" s="90" t="n"/>
      <c r="U655" s="90" t="n"/>
      <c r="V655" s="90" t="n"/>
      <c r="W655" s="90" t="n"/>
      <c r="X655" s="90" t="n"/>
      <c r="Y655" s="90" t="n"/>
      <c r="Z655" s="90" t="n"/>
    </row>
    <row r="656">
      <c r="A656" s="90" t="n"/>
      <c r="B656" s="90" t="n"/>
      <c r="C656" s="90" t="n"/>
      <c r="D656" s="90" t="n"/>
      <c r="E656" s="90" t="n"/>
      <c r="F656" s="90" t="n"/>
      <c r="G656" s="90" t="n"/>
      <c r="H656" s="90" t="n"/>
      <c r="I656" s="90" t="n"/>
      <c r="J656" s="90" t="n"/>
      <c r="K656" s="90" t="n"/>
      <c r="L656" s="90" t="n"/>
      <c r="M656" s="90" t="n"/>
      <c r="N656" s="90" t="n"/>
      <c r="O656" s="90" t="n"/>
      <c r="P656" s="90" t="n"/>
      <c r="Q656" s="90" t="n"/>
      <c r="R656" s="90" t="n"/>
      <c r="S656" s="90" t="n"/>
      <c r="T656" s="90" t="n"/>
      <c r="U656" s="90" t="n"/>
      <c r="V656" s="90" t="n"/>
      <c r="W656" s="90" t="n"/>
      <c r="X656" s="90" t="n"/>
      <c r="Y656" s="90" t="n"/>
      <c r="Z656" s="90" t="n"/>
    </row>
    <row r="657">
      <c r="A657" s="90" t="n"/>
      <c r="B657" s="90" t="n"/>
      <c r="C657" s="90" t="n"/>
      <c r="D657" s="90" t="n"/>
      <c r="E657" s="90" t="n"/>
      <c r="F657" s="90" t="n"/>
      <c r="G657" s="90" t="n"/>
      <c r="H657" s="90" t="n"/>
      <c r="I657" s="90" t="n"/>
      <c r="J657" s="90" t="n"/>
      <c r="K657" s="90" t="n"/>
      <c r="L657" s="90" t="n"/>
      <c r="M657" s="90" t="n"/>
      <c r="N657" s="90" t="n"/>
      <c r="O657" s="90" t="n"/>
      <c r="P657" s="90" t="n"/>
      <c r="Q657" s="90" t="n"/>
      <c r="R657" s="90" t="n"/>
      <c r="S657" s="90" t="n"/>
      <c r="T657" s="90" t="n"/>
      <c r="U657" s="90" t="n"/>
      <c r="V657" s="90" t="n"/>
      <c r="W657" s="90" t="n"/>
      <c r="X657" s="90" t="n"/>
      <c r="Y657" s="90" t="n"/>
      <c r="Z657" s="90" t="n"/>
    </row>
    <row r="658">
      <c r="A658" s="90" t="n"/>
      <c r="B658" s="90" t="n"/>
      <c r="C658" s="90" t="n"/>
      <c r="D658" s="90" t="n"/>
      <c r="E658" s="90" t="n"/>
      <c r="F658" s="90" t="n"/>
      <c r="G658" s="90" t="n"/>
      <c r="H658" s="90" t="n"/>
      <c r="I658" s="90" t="n"/>
      <c r="J658" s="90" t="n"/>
      <c r="K658" s="90" t="n"/>
      <c r="L658" s="90" t="n"/>
      <c r="M658" s="90" t="n"/>
      <c r="N658" s="90" t="n"/>
      <c r="O658" s="90" t="n"/>
      <c r="P658" s="90" t="n"/>
      <c r="Q658" s="90" t="n"/>
      <c r="R658" s="90" t="n"/>
      <c r="S658" s="90" t="n"/>
      <c r="T658" s="90" t="n"/>
      <c r="U658" s="90" t="n"/>
      <c r="V658" s="90" t="n"/>
      <c r="W658" s="90" t="n"/>
      <c r="X658" s="90" t="n"/>
      <c r="Y658" s="90" t="n"/>
      <c r="Z658" s="90" t="n"/>
    </row>
    <row r="659">
      <c r="A659" s="90" t="n"/>
      <c r="B659" s="90" t="n"/>
      <c r="C659" s="90" t="n"/>
      <c r="D659" s="90" t="n"/>
      <c r="E659" s="90" t="n"/>
      <c r="F659" s="90" t="n"/>
      <c r="G659" s="90" t="n"/>
      <c r="H659" s="90" t="n"/>
      <c r="I659" s="90" t="n"/>
      <c r="J659" s="90" t="n"/>
      <c r="K659" s="90" t="n"/>
      <c r="L659" s="90" t="n"/>
      <c r="M659" s="90" t="n"/>
      <c r="N659" s="90" t="n"/>
      <c r="O659" s="90" t="n"/>
      <c r="P659" s="90" t="n"/>
      <c r="Q659" s="90" t="n"/>
      <c r="R659" s="90" t="n"/>
      <c r="S659" s="90" t="n"/>
      <c r="T659" s="90" t="n"/>
      <c r="U659" s="90" t="n"/>
      <c r="V659" s="90" t="n"/>
      <c r="W659" s="90" t="n"/>
      <c r="X659" s="90" t="n"/>
      <c r="Y659" s="90" t="n"/>
      <c r="Z659" s="90" t="n"/>
    </row>
    <row r="660">
      <c r="A660" s="90" t="n"/>
      <c r="B660" s="90" t="n"/>
      <c r="C660" s="90" t="n"/>
      <c r="D660" s="90" t="n"/>
      <c r="E660" s="90" t="n"/>
      <c r="F660" s="90" t="n"/>
      <c r="G660" s="90" t="n"/>
      <c r="H660" s="90" t="n"/>
      <c r="I660" s="90" t="n"/>
      <c r="J660" s="90" t="n"/>
      <c r="K660" s="90" t="n"/>
      <c r="L660" s="90" t="n"/>
      <c r="M660" s="90" t="n"/>
      <c r="N660" s="90" t="n"/>
      <c r="O660" s="90" t="n"/>
      <c r="P660" s="90" t="n"/>
      <c r="Q660" s="90" t="n"/>
      <c r="R660" s="90" t="n"/>
      <c r="S660" s="90" t="n"/>
      <c r="T660" s="90" t="n"/>
      <c r="U660" s="90" t="n"/>
      <c r="V660" s="90" t="n"/>
      <c r="W660" s="90" t="n"/>
      <c r="X660" s="90" t="n"/>
      <c r="Y660" s="90" t="n"/>
      <c r="Z660" s="90" t="n"/>
    </row>
    <row r="661">
      <c r="A661" s="90" t="n"/>
      <c r="B661" s="90" t="n"/>
      <c r="C661" s="90" t="n"/>
      <c r="D661" s="90" t="n"/>
      <c r="E661" s="90" t="n"/>
      <c r="F661" s="90" t="n"/>
      <c r="G661" s="90" t="n"/>
      <c r="H661" s="90" t="n"/>
      <c r="I661" s="90" t="n"/>
      <c r="J661" s="90" t="n"/>
      <c r="K661" s="90" t="n"/>
      <c r="L661" s="90" t="n"/>
      <c r="M661" s="90" t="n"/>
      <c r="N661" s="90" t="n"/>
      <c r="O661" s="90" t="n"/>
      <c r="P661" s="90" t="n"/>
      <c r="Q661" s="90" t="n"/>
      <c r="R661" s="90" t="n"/>
      <c r="S661" s="90" t="n"/>
      <c r="T661" s="90" t="n"/>
      <c r="U661" s="90" t="n"/>
      <c r="V661" s="90" t="n"/>
      <c r="W661" s="90" t="n"/>
      <c r="X661" s="90" t="n"/>
      <c r="Y661" s="90" t="n"/>
      <c r="Z661" s="90" t="n"/>
    </row>
    <row r="662">
      <c r="A662" s="90" t="n"/>
      <c r="B662" s="90" t="n"/>
      <c r="C662" s="90" t="n"/>
      <c r="D662" s="90" t="n"/>
      <c r="E662" s="90" t="n"/>
      <c r="F662" s="90" t="n"/>
      <c r="G662" s="90" t="n"/>
      <c r="H662" s="90" t="n"/>
      <c r="I662" s="90" t="n"/>
      <c r="J662" s="90" t="n"/>
      <c r="K662" s="90" t="n"/>
      <c r="L662" s="90" t="n"/>
      <c r="M662" s="90" t="n"/>
      <c r="N662" s="90" t="n"/>
      <c r="O662" s="90" t="n"/>
      <c r="P662" s="90" t="n"/>
      <c r="Q662" s="90" t="n"/>
      <c r="R662" s="90" t="n"/>
      <c r="S662" s="90" t="n"/>
      <c r="T662" s="90" t="n"/>
      <c r="U662" s="90" t="n"/>
      <c r="V662" s="90" t="n"/>
      <c r="W662" s="90" t="n"/>
      <c r="X662" s="90" t="n"/>
      <c r="Y662" s="90" t="n"/>
      <c r="Z662" s="90" t="n"/>
    </row>
    <row r="663">
      <c r="A663" s="90" t="n"/>
      <c r="B663" s="90" t="n"/>
      <c r="C663" s="90" t="n"/>
      <c r="D663" s="90" t="n"/>
      <c r="E663" s="90" t="n"/>
      <c r="F663" s="90" t="n"/>
      <c r="G663" s="90" t="n"/>
      <c r="H663" s="90" t="n"/>
      <c r="I663" s="90" t="n"/>
      <c r="J663" s="90" t="n"/>
      <c r="K663" s="90" t="n"/>
      <c r="L663" s="90" t="n"/>
      <c r="M663" s="90" t="n"/>
      <c r="N663" s="90" t="n"/>
      <c r="O663" s="90" t="n"/>
      <c r="P663" s="90" t="n"/>
      <c r="Q663" s="90" t="n"/>
      <c r="R663" s="90" t="n"/>
      <c r="S663" s="90" t="n"/>
      <c r="T663" s="90" t="n"/>
      <c r="U663" s="90" t="n"/>
      <c r="V663" s="90" t="n"/>
      <c r="W663" s="90" t="n"/>
      <c r="X663" s="90" t="n"/>
      <c r="Y663" s="90" t="n"/>
      <c r="Z663" s="90" t="n"/>
    </row>
    <row r="664">
      <c r="A664" s="90" t="n"/>
      <c r="B664" s="90" t="n"/>
      <c r="C664" s="90" t="n"/>
      <c r="D664" s="90" t="n"/>
      <c r="E664" s="90" t="n"/>
      <c r="F664" s="90" t="n"/>
      <c r="G664" s="90" t="n"/>
      <c r="H664" s="90" t="n"/>
      <c r="I664" s="90" t="n"/>
      <c r="J664" s="90" t="n"/>
      <c r="K664" s="90" t="n"/>
      <c r="L664" s="90" t="n"/>
      <c r="M664" s="90" t="n"/>
      <c r="N664" s="90" t="n"/>
      <c r="O664" s="90" t="n"/>
      <c r="P664" s="90" t="n"/>
      <c r="Q664" s="90" t="n"/>
      <c r="R664" s="90" t="n"/>
      <c r="S664" s="90" t="n"/>
      <c r="T664" s="90" t="n"/>
      <c r="U664" s="90" t="n"/>
      <c r="V664" s="90" t="n"/>
      <c r="W664" s="90" t="n"/>
      <c r="X664" s="90" t="n"/>
      <c r="Y664" s="90" t="n"/>
      <c r="Z664" s="90" t="n"/>
    </row>
    <row r="665">
      <c r="A665" s="90" t="n"/>
      <c r="B665" s="90" t="n"/>
      <c r="C665" s="90" t="n"/>
      <c r="D665" s="90" t="n"/>
      <c r="E665" s="90" t="n"/>
      <c r="F665" s="90" t="n"/>
      <c r="G665" s="90" t="n"/>
      <c r="H665" s="90" t="n"/>
      <c r="I665" s="90" t="n"/>
      <c r="J665" s="90" t="n"/>
      <c r="K665" s="90" t="n"/>
      <c r="L665" s="90" t="n"/>
      <c r="M665" s="90" t="n"/>
      <c r="N665" s="90" t="n"/>
      <c r="O665" s="90" t="n"/>
      <c r="P665" s="90" t="n"/>
      <c r="Q665" s="90" t="n"/>
      <c r="R665" s="90" t="n"/>
      <c r="S665" s="90" t="n"/>
      <c r="T665" s="90" t="n"/>
      <c r="U665" s="90" t="n"/>
      <c r="V665" s="90" t="n"/>
      <c r="W665" s="90" t="n"/>
      <c r="X665" s="90" t="n"/>
      <c r="Y665" s="90" t="n"/>
      <c r="Z665" s="90" t="n"/>
    </row>
    <row r="666">
      <c r="A666" s="90" t="n"/>
      <c r="B666" s="90" t="n"/>
      <c r="C666" s="90" t="n"/>
      <c r="D666" s="90" t="n"/>
      <c r="E666" s="90" t="n"/>
      <c r="F666" s="90" t="n"/>
      <c r="G666" s="90" t="n"/>
      <c r="H666" s="90" t="n"/>
      <c r="I666" s="90" t="n"/>
      <c r="J666" s="90" t="n"/>
      <c r="K666" s="90" t="n"/>
      <c r="L666" s="90" t="n"/>
      <c r="M666" s="90" t="n"/>
      <c r="N666" s="90" t="n"/>
      <c r="O666" s="90" t="n"/>
      <c r="P666" s="90" t="n"/>
      <c r="Q666" s="90" t="n"/>
      <c r="R666" s="90" t="n"/>
      <c r="S666" s="90" t="n"/>
      <c r="T666" s="90" t="n"/>
      <c r="U666" s="90" t="n"/>
      <c r="V666" s="90" t="n"/>
      <c r="W666" s="90" t="n"/>
      <c r="X666" s="90" t="n"/>
      <c r="Y666" s="90" t="n"/>
      <c r="Z666" s="90" t="n"/>
    </row>
    <row r="667">
      <c r="A667" s="90" t="n"/>
      <c r="B667" s="90" t="n"/>
      <c r="C667" s="90" t="n"/>
      <c r="D667" s="90" t="n"/>
      <c r="E667" s="90" t="n"/>
      <c r="F667" s="90" t="n"/>
      <c r="G667" s="90" t="n"/>
      <c r="H667" s="90" t="n"/>
      <c r="I667" s="90" t="n"/>
      <c r="J667" s="90" t="n"/>
      <c r="K667" s="90" t="n"/>
      <c r="L667" s="90" t="n"/>
      <c r="M667" s="90" t="n"/>
      <c r="N667" s="90" t="n"/>
      <c r="O667" s="90" t="n"/>
      <c r="P667" s="90" t="n"/>
      <c r="Q667" s="90" t="n"/>
      <c r="R667" s="90" t="n"/>
      <c r="S667" s="90" t="n"/>
      <c r="T667" s="90" t="n"/>
      <c r="U667" s="90" t="n"/>
      <c r="V667" s="90" t="n"/>
      <c r="W667" s="90" t="n"/>
      <c r="X667" s="90" t="n"/>
      <c r="Y667" s="90" t="n"/>
      <c r="Z667" s="90" t="n"/>
    </row>
    <row r="668">
      <c r="A668" s="90" t="n"/>
      <c r="B668" s="90" t="n"/>
      <c r="C668" s="90" t="n"/>
      <c r="D668" s="90" t="n"/>
      <c r="E668" s="90" t="n"/>
      <c r="F668" s="90" t="n"/>
      <c r="G668" s="90" t="n"/>
      <c r="H668" s="90" t="n"/>
      <c r="I668" s="90" t="n"/>
      <c r="J668" s="90" t="n"/>
      <c r="K668" s="90" t="n"/>
      <c r="L668" s="90" t="n"/>
      <c r="M668" s="90" t="n"/>
      <c r="N668" s="90" t="n"/>
      <c r="O668" s="90" t="n"/>
      <c r="P668" s="90" t="n"/>
      <c r="Q668" s="90" t="n"/>
      <c r="R668" s="90" t="n"/>
      <c r="S668" s="90" t="n"/>
      <c r="T668" s="90" t="n"/>
      <c r="U668" s="90" t="n"/>
      <c r="V668" s="90" t="n"/>
      <c r="W668" s="90" t="n"/>
      <c r="X668" s="90" t="n"/>
      <c r="Y668" s="90" t="n"/>
      <c r="Z668" s="90" t="n"/>
    </row>
    <row r="669">
      <c r="A669" s="90" t="n"/>
      <c r="B669" s="90" t="n"/>
      <c r="C669" s="90" t="n"/>
      <c r="D669" s="90" t="n"/>
      <c r="E669" s="90" t="n"/>
      <c r="F669" s="90" t="n"/>
      <c r="G669" s="90" t="n"/>
      <c r="H669" s="90" t="n"/>
      <c r="I669" s="90" t="n"/>
      <c r="J669" s="90" t="n"/>
      <c r="K669" s="90" t="n"/>
      <c r="L669" s="90" t="n"/>
      <c r="M669" s="90" t="n"/>
      <c r="N669" s="90" t="n"/>
      <c r="O669" s="90" t="n"/>
      <c r="P669" s="90" t="n"/>
      <c r="Q669" s="90" t="n"/>
      <c r="R669" s="90" t="n"/>
      <c r="S669" s="90" t="n"/>
      <c r="T669" s="90" t="n"/>
      <c r="U669" s="90" t="n"/>
      <c r="V669" s="90" t="n"/>
      <c r="W669" s="90" t="n"/>
      <c r="X669" s="90" t="n"/>
      <c r="Y669" s="90" t="n"/>
      <c r="Z669" s="90" t="n"/>
    </row>
    <row r="670">
      <c r="A670" s="90" t="n"/>
      <c r="B670" s="90" t="n"/>
      <c r="C670" s="90" t="n"/>
      <c r="D670" s="90" t="n"/>
      <c r="E670" s="90" t="n"/>
      <c r="F670" s="90" t="n"/>
      <c r="G670" s="90" t="n"/>
      <c r="H670" s="90" t="n"/>
      <c r="I670" s="90" t="n"/>
      <c r="J670" s="90" t="n"/>
      <c r="K670" s="90" t="n"/>
      <c r="L670" s="90" t="n"/>
      <c r="M670" s="90" t="n"/>
      <c r="N670" s="90" t="n"/>
      <c r="O670" s="90" t="n"/>
      <c r="P670" s="90" t="n"/>
      <c r="Q670" s="90" t="n"/>
      <c r="R670" s="90" t="n"/>
      <c r="S670" s="90" t="n"/>
      <c r="T670" s="90" t="n"/>
      <c r="U670" s="90" t="n"/>
      <c r="V670" s="90" t="n"/>
      <c r="W670" s="90" t="n"/>
      <c r="X670" s="90" t="n"/>
      <c r="Y670" s="90" t="n"/>
      <c r="Z670" s="90" t="n"/>
    </row>
    <row r="671">
      <c r="A671" s="90" t="n"/>
      <c r="B671" s="90" t="n"/>
      <c r="C671" s="90" t="n"/>
      <c r="D671" s="90" t="n"/>
      <c r="E671" s="90" t="n"/>
      <c r="F671" s="90" t="n"/>
      <c r="G671" s="90" t="n"/>
      <c r="H671" s="90" t="n"/>
      <c r="I671" s="90" t="n"/>
      <c r="J671" s="90" t="n"/>
      <c r="K671" s="90" t="n"/>
      <c r="L671" s="90" t="n"/>
      <c r="M671" s="90" t="n"/>
      <c r="N671" s="90" t="n"/>
      <c r="O671" s="90" t="n"/>
      <c r="P671" s="90" t="n"/>
      <c r="Q671" s="90" t="n"/>
      <c r="R671" s="90" t="n"/>
      <c r="S671" s="90" t="n"/>
      <c r="T671" s="90" t="n"/>
      <c r="U671" s="90" t="n"/>
      <c r="V671" s="90" t="n"/>
      <c r="W671" s="90" t="n"/>
      <c r="X671" s="90" t="n"/>
      <c r="Y671" s="90" t="n"/>
      <c r="Z671" s="90" t="n"/>
    </row>
    <row r="672">
      <c r="A672" s="90" t="n"/>
      <c r="B672" s="90" t="n"/>
      <c r="C672" s="90" t="n"/>
      <c r="D672" s="90" t="n"/>
      <c r="E672" s="90" t="n"/>
      <c r="F672" s="90" t="n"/>
      <c r="G672" s="90" t="n"/>
      <c r="H672" s="90" t="n"/>
      <c r="I672" s="90" t="n"/>
      <c r="J672" s="90" t="n"/>
      <c r="K672" s="90" t="n"/>
      <c r="L672" s="90" t="n"/>
      <c r="M672" s="90" t="n"/>
      <c r="N672" s="90" t="n"/>
      <c r="O672" s="90" t="n"/>
      <c r="P672" s="90" t="n"/>
      <c r="Q672" s="90" t="n"/>
      <c r="R672" s="90" t="n"/>
      <c r="S672" s="90" t="n"/>
      <c r="T672" s="90" t="n"/>
      <c r="U672" s="90" t="n"/>
      <c r="V672" s="90" t="n"/>
      <c r="W672" s="90" t="n"/>
      <c r="X672" s="90" t="n"/>
      <c r="Y672" s="90" t="n"/>
      <c r="Z672" s="90" t="n"/>
    </row>
    <row r="673">
      <c r="A673" s="90" t="n"/>
      <c r="B673" s="90" t="n"/>
      <c r="C673" s="90" t="n"/>
      <c r="D673" s="90" t="n"/>
      <c r="E673" s="90" t="n"/>
      <c r="F673" s="90" t="n"/>
      <c r="G673" s="90" t="n"/>
      <c r="H673" s="90" t="n"/>
      <c r="I673" s="90" t="n"/>
      <c r="J673" s="90" t="n"/>
      <c r="K673" s="90" t="n"/>
      <c r="L673" s="90" t="n"/>
      <c r="M673" s="90" t="n"/>
      <c r="N673" s="90" t="n"/>
      <c r="O673" s="90" t="n"/>
      <c r="P673" s="90" t="n"/>
      <c r="Q673" s="90" t="n"/>
      <c r="R673" s="90" t="n"/>
      <c r="S673" s="90" t="n"/>
      <c r="T673" s="90" t="n"/>
      <c r="U673" s="90" t="n"/>
      <c r="V673" s="90" t="n"/>
      <c r="W673" s="90" t="n"/>
      <c r="X673" s="90" t="n"/>
      <c r="Y673" s="90" t="n"/>
      <c r="Z673" s="90" t="n"/>
    </row>
    <row r="674">
      <c r="A674" s="90" t="n"/>
      <c r="B674" s="90" t="n"/>
      <c r="C674" s="90" t="n"/>
      <c r="D674" s="90" t="n"/>
      <c r="E674" s="90" t="n"/>
      <c r="F674" s="90" t="n"/>
      <c r="G674" s="90" t="n"/>
      <c r="H674" s="90" t="n"/>
      <c r="I674" s="90" t="n"/>
      <c r="J674" s="90" t="n"/>
      <c r="K674" s="90" t="n"/>
      <c r="L674" s="90" t="n"/>
      <c r="M674" s="90" t="n"/>
      <c r="N674" s="90" t="n"/>
      <c r="O674" s="90" t="n"/>
      <c r="P674" s="90" t="n"/>
      <c r="Q674" s="90" t="n"/>
      <c r="R674" s="90" t="n"/>
      <c r="S674" s="90" t="n"/>
      <c r="T674" s="90" t="n"/>
      <c r="U674" s="90" t="n"/>
      <c r="V674" s="90" t="n"/>
      <c r="W674" s="90" t="n"/>
      <c r="X674" s="90" t="n"/>
      <c r="Y674" s="90" t="n"/>
      <c r="Z674" s="90" t="n"/>
    </row>
    <row r="675">
      <c r="A675" s="90" t="n"/>
      <c r="B675" s="90" t="n"/>
      <c r="C675" s="90" t="n"/>
      <c r="D675" s="90" t="n"/>
      <c r="E675" s="90" t="n"/>
      <c r="F675" s="90" t="n"/>
      <c r="G675" s="90" t="n"/>
      <c r="H675" s="90" t="n"/>
      <c r="I675" s="90" t="n"/>
      <c r="J675" s="90" t="n"/>
      <c r="K675" s="90" t="n"/>
      <c r="L675" s="90" t="n"/>
      <c r="M675" s="90" t="n"/>
      <c r="N675" s="90" t="n"/>
      <c r="O675" s="90" t="n"/>
      <c r="P675" s="90" t="n"/>
      <c r="Q675" s="90" t="n"/>
      <c r="R675" s="90" t="n"/>
      <c r="S675" s="90" t="n"/>
      <c r="T675" s="90" t="n"/>
      <c r="U675" s="90" t="n"/>
      <c r="V675" s="90" t="n"/>
      <c r="W675" s="90" t="n"/>
      <c r="X675" s="90" t="n"/>
      <c r="Y675" s="90" t="n"/>
      <c r="Z675" s="90" t="n"/>
    </row>
    <row r="676">
      <c r="A676" s="90" t="n"/>
      <c r="B676" s="90" t="n"/>
      <c r="C676" s="90" t="n"/>
      <c r="D676" s="90" t="n"/>
      <c r="E676" s="90" t="n"/>
      <c r="F676" s="90" t="n"/>
      <c r="G676" s="90" t="n"/>
      <c r="H676" s="90" t="n"/>
      <c r="I676" s="90" t="n"/>
      <c r="J676" s="90" t="n"/>
      <c r="K676" s="90" t="n"/>
      <c r="L676" s="90" t="n"/>
      <c r="M676" s="90" t="n"/>
      <c r="N676" s="90" t="n"/>
      <c r="O676" s="90" t="n"/>
      <c r="P676" s="90" t="n"/>
      <c r="Q676" s="90" t="n"/>
      <c r="R676" s="90" t="n"/>
      <c r="S676" s="90" t="n"/>
      <c r="T676" s="90" t="n"/>
      <c r="U676" s="90" t="n"/>
      <c r="V676" s="90" t="n"/>
      <c r="W676" s="90" t="n"/>
      <c r="X676" s="90" t="n"/>
      <c r="Y676" s="90" t="n"/>
      <c r="Z676" s="90" t="n"/>
    </row>
    <row r="677">
      <c r="A677" s="90" t="n"/>
      <c r="B677" s="90" t="n"/>
      <c r="C677" s="90" t="n"/>
      <c r="D677" s="90" t="n"/>
      <c r="E677" s="90" t="n"/>
      <c r="F677" s="90" t="n"/>
      <c r="G677" s="90" t="n"/>
      <c r="H677" s="90" t="n"/>
      <c r="I677" s="90" t="n"/>
      <c r="J677" s="90" t="n"/>
      <c r="K677" s="90" t="n"/>
      <c r="L677" s="90" t="n"/>
      <c r="M677" s="90" t="n"/>
      <c r="N677" s="90" t="n"/>
      <c r="O677" s="90" t="n"/>
      <c r="P677" s="90" t="n"/>
      <c r="Q677" s="90" t="n"/>
      <c r="R677" s="90" t="n"/>
      <c r="S677" s="90" t="n"/>
      <c r="T677" s="90" t="n"/>
      <c r="U677" s="90" t="n"/>
      <c r="V677" s="90" t="n"/>
      <c r="W677" s="90" t="n"/>
      <c r="X677" s="90" t="n"/>
      <c r="Y677" s="90" t="n"/>
      <c r="Z677" s="90" t="n"/>
    </row>
    <row r="678">
      <c r="A678" s="90" t="n"/>
      <c r="B678" s="90" t="n"/>
      <c r="C678" s="90" t="n"/>
      <c r="D678" s="90" t="n"/>
      <c r="E678" s="90" t="n"/>
      <c r="F678" s="90" t="n"/>
      <c r="G678" s="90" t="n"/>
      <c r="H678" s="90" t="n"/>
      <c r="I678" s="90" t="n"/>
      <c r="J678" s="90" t="n"/>
      <c r="K678" s="90" t="n"/>
      <c r="L678" s="90" t="n"/>
      <c r="M678" s="90" t="n"/>
      <c r="N678" s="90" t="n"/>
      <c r="O678" s="90" t="n"/>
      <c r="P678" s="90" t="n"/>
      <c r="Q678" s="90" t="n"/>
      <c r="R678" s="90" t="n"/>
      <c r="S678" s="90" t="n"/>
      <c r="T678" s="90" t="n"/>
      <c r="U678" s="90" t="n"/>
      <c r="V678" s="90" t="n"/>
      <c r="W678" s="90" t="n"/>
      <c r="X678" s="90" t="n"/>
      <c r="Y678" s="90" t="n"/>
      <c r="Z678" s="90" t="n"/>
    </row>
    <row r="679">
      <c r="A679" s="90" t="n"/>
      <c r="B679" s="90" t="n"/>
      <c r="C679" s="90" t="n"/>
      <c r="D679" s="90" t="n"/>
      <c r="E679" s="90" t="n"/>
      <c r="F679" s="90" t="n"/>
      <c r="G679" s="90" t="n"/>
      <c r="H679" s="90" t="n"/>
      <c r="I679" s="90" t="n"/>
      <c r="J679" s="90" t="n"/>
      <c r="K679" s="90" t="n"/>
      <c r="L679" s="90" t="n"/>
      <c r="M679" s="90" t="n"/>
      <c r="N679" s="90" t="n"/>
      <c r="O679" s="90" t="n"/>
      <c r="P679" s="90" t="n"/>
      <c r="Q679" s="90" t="n"/>
      <c r="R679" s="90" t="n"/>
      <c r="S679" s="90" t="n"/>
      <c r="T679" s="90" t="n"/>
      <c r="U679" s="90" t="n"/>
      <c r="V679" s="90" t="n"/>
      <c r="W679" s="90" t="n"/>
      <c r="X679" s="90" t="n"/>
      <c r="Y679" s="90" t="n"/>
      <c r="Z679" s="90" t="n"/>
    </row>
    <row r="680">
      <c r="A680" s="90" t="n"/>
      <c r="B680" s="90" t="n"/>
      <c r="C680" s="90" t="n"/>
      <c r="D680" s="90" t="n"/>
      <c r="E680" s="90" t="n"/>
      <c r="F680" s="90" t="n"/>
      <c r="G680" s="90" t="n"/>
      <c r="H680" s="90" t="n"/>
      <c r="I680" s="90" t="n"/>
      <c r="J680" s="90" t="n"/>
      <c r="K680" s="90" t="n"/>
      <c r="L680" s="90" t="n"/>
      <c r="M680" s="90" t="n"/>
      <c r="N680" s="90" t="n"/>
      <c r="O680" s="90" t="n"/>
      <c r="P680" s="90" t="n"/>
      <c r="Q680" s="90" t="n"/>
      <c r="R680" s="90" t="n"/>
      <c r="S680" s="90" t="n"/>
      <c r="T680" s="90" t="n"/>
      <c r="U680" s="90" t="n"/>
      <c r="V680" s="90" t="n"/>
      <c r="W680" s="90" t="n"/>
      <c r="X680" s="90" t="n"/>
      <c r="Y680" s="90" t="n"/>
      <c r="Z680" s="90" t="n"/>
    </row>
    <row r="681">
      <c r="A681" s="90" t="n"/>
      <c r="B681" s="90" t="n"/>
      <c r="C681" s="90" t="n"/>
      <c r="D681" s="90" t="n"/>
      <c r="E681" s="90" t="n"/>
      <c r="F681" s="90" t="n"/>
      <c r="G681" s="90" t="n"/>
      <c r="H681" s="90" t="n"/>
      <c r="I681" s="90" t="n"/>
      <c r="J681" s="90" t="n"/>
      <c r="K681" s="90" t="n"/>
      <c r="L681" s="90" t="n"/>
      <c r="M681" s="90" t="n"/>
      <c r="N681" s="90" t="n"/>
      <c r="O681" s="90" t="n"/>
      <c r="P681" s="90" t="n"/>
      <c r="Q681" s="90" t="n"/>
      <c r="R681" s="90" t="n"/>
      <c r="S681" s="90" t="n"/>
      <c r="T681" s="90" t="n"/>
      <c r="U681" s="90" t="n"/>
      <c r="V681" s="90" t="n"/>
      <c r="W681" s="90" t="n"/>
      <c r="X681" s="90" t="n"/>
      <c r="Y681" s="90" t="n"/>
      <c r="Z681" s="90" t="n"/>
    </row>
    <row r="682">
      <c r="A682" s="90" t="n"/>
      <c r="B682" s="90" t="n"/>
      <c r="C682" s="90" t="n"/>
      <c r="D682" s="90" t="n"/>
      <c r="E682" s="90" t="n"/>
      <c r="F682" s="90" t="n"/>
      <c r="G682" s="90" t="n"/>
      <c r="H682" s="90" t="n"/>
      <c r="I682" s="90" t="n"/>
      <c r="J682" s="90" t="n"/>
      <c r="K682" s="90" t="n"/>
      <c r="L682" s="90" t="n"/>
      <c r="M682" s="90" t="n"/>
      <c r="N682" s="90" t="n"/>
      <c r="O682" s="90" t="n"/>
      <c r="P682" s="90" t="n"/>
      <c r="Q682" s="90" t="n"/>
      <c r="R682" s="90" t="n"/>
      <c r="S682" s="90" t="n"/>
      <c r="T682" s="90" t="n"/>
      <c r="U682" s="90" t="n"/>
      <c r="V682" s="90" t="n"/>
      <c r="W682" s="90" t="n"/>
      <c r="X682" s="90" t="n"/>
      <c r="Y682" s="90" t="n"/>
      <c r="Z682" s="90" t="n"/>
    </row>
    <row r="683">
      <c r="A683" s="90" t="n"/>
      <c r="B683" s="90" t="n"/>
      <c r="C683" s="90" t="n"/>
      <c r="D683" s="90" t="n"/>
      <c r="E683" s="90" t="n"/>
      <c r="F683" s="90" t="n"/>
      <c r="G683" s="90" t="n"/>
      <c r="H683" s="90" t="n"/>
      <c r="I683" s="90" t="n"/>
      <c r="J683" s="90" t="n"/>
      <c r="K683" s="90" t="n"/>
      <c r="L683" s="90" t="n"/>
      <c r="M683" s="90" t="n"/>
      <c r="N683" s="90" t="n"/>
      <c r="O683" s="90" t="n"/>
      <c r="P683" s="90" t="n"/>
      <c r="Q683" s="90" t="n"/>
      <c r="R683" s="90" t="n"/>
      <c r="S683" s="90" t="n"/>
      <c r="T683" s="90" t="n"/>
      <c r="U683" s="90" t="n"/>
      <c r="V683" s="90" t="n"/>
      <c r="W683" s="90" t="n"/>
      <c r="X683" s="90" t="n"/>
      <c r="Y683" s="90" t="n"/>
      <c r="Z683" s="90" t="n"/>
    </row>
    <row r="684">
      <c r="A684" s="90" t="n"/>
      <c r="B684" s="90" t="n"/>
      <c r="C684" s="90" t="n"/>
      <c r="D684" s="90" t="n"/>
      <c r="E684" s="90" t="n"/>
      <c r="F684" s="90" t="n"/>
      <c r="G684" s="90" t="n"/>
      <c r="H684" s="90" t="n"/>
      <c r="I684" s="90" t="n"/>
      <c r="J684" s="90" t="n"/>
      <c r="K684" s="90" t="n"/>
      <c r="L684" s="90" t="n"/>
      <c r="M684" s="90" t="n"/>
      <c r="N684" s="90" t="n"/>
      <c r="O684" s="90" t="n"/>
      <c r="P684" s="90" t="n"/>
      <c r="Q684" s="90" t="n"/>
      <c r="R684" s="90" t="n"/>
      <c r="S684" s="90" t="n"/>
      <c r="T684" s="90" t="n"/>
      <c r="U684" s="90" t="n"/>
      <c r="V684" s="90" t="n"/>
      <c r="W684" s="90" t="n"/>
      <c r="X684" s="90" t="n"/>
      <c r="Y684" s="90" t="n"/>
      <c r="Z684" s="90" t="n"/>
    </row>
    <row r="685">
      <c r="A685" s="90" t="n"/>
      <c r="B685" s="90" t="n"/>
      <c r="C685" s="90" t="n"/>
      <c r="D685" s="90" t="n"/>
      <c r="E685" s="90" t="n"/>
      <c r="F685" s="90" t="n"/>
      <c r="G685" s="90" t="n"/>
      <c r="H685" s="90" t="n"/>
      <c r="I685" s="90" t="n"/>
      <c r="J685" s="90" t="n"/>
      <c r="K685" s="90" t="n"/>
      <c r="L685" s="90" t="n"/>
      <c r="M685" s="90" t="n"/>
      <c r="N685" s="90" t="n"/>
      <c r="O685" s="90" t="n"/>
      <c r="P685" s="90" t="n"/>
      <c r="Q685" s="90" t="n"/>
      <c r="R685" s="90" t="n"/>
      <c r="S685" s="90" t="n"/>
      <c r="T685" s="90" t="n"/>
      <c r="U685" s="90" t="n"/>
      <c r="V685" s="90" t="n"/>
      <c r="W685" s="90" t="n"/>
      <c r="X685" s="90" t="n"/>
      <c r="Y685" s="90" t="n"/>
      <c r="Z685" s="90" t="n"/>
    </row>
    <row r="686">
      <c r="A686" s="90" t="n"/>
      <c r="B686" s="90" t="n"/>
      <c r="C686" s="90" t="n"/>
      <c r="D686" s="90" t="n"/>
      <c r="E686" s="90" t="n"/>
      <c r="F686" s="90" t="n"/>
      <c r="G686" s="90" t="n"/>
      <c r="H686" s="90" t="n"/>
      <c r="I686" s="90" t="n"/>
      <c r="J686" s="90" t="n"/>
      <c r="K686" s="90" t="n"/>
      <c r="L686" s="90" t="n"/>
      <c r="M686" s="90" t="n"/>
      <c r="N686" s="90" t="n"/>
      <c r="O686" s="90" t="n"/>
      <c r="P686" s="90" t="n"/>
      <c r="Q686" s="90" t="n"/>
      <c r="R686" s="90" t="n"/>
      <c r="S686" s="90" t="n"/>
      <c r="T686" s="90" t="n"/>
      <c r="U686" s="90" t="n"/>
      <c r="V686" s="90" t="n"/>
      <c r="W686" s="90" t="n"/>
      <c r="X686" s="90" t="n"/>
      <c r="Y686" s="90" t="n"/>
      <c r="Z686" s="90" t="n"/>
    </row>
    <row r="687">
      <c r="A687" s="90" t="n"/>
      <c r="B687" s="90" t="n"/>
      <c r="C687" s="90" t="n"/>
      <c r="D687" s="90" t="n"/>
      <c r="E687" s="90" t="n"/>
      <c r="F687" s="90" t="n"/>
      <c r="G687" s="90" t="n"/>
      <c r="H687" s="90" t="n"/>
      <c r="I687" s="90" t="n"/>
      <c r="J687" s="90" t="n"/>
      <c r="K687" s="90" t="n"/>
      <c r="L687" s="90" t="n"/>
      <c r="M687" s="90" t="n"/>
      <c r="N687" s="90" t="n"/>
      <c r="O687" s="90" t="n"/>
      <c r="P687" s="90" t="n"/>
      <c r="Q687" s="90" t="n"/>
      <c r="R687" s="90" t="n"/>
      <c r="S687" s="90" t="n"/>
      <c r="T687" s="90" t="n"/>
      <c r="U687" s="90" t="n"/>
      <c r="V687" s="90" t="n"/>
      <c r="W687" s="90" t="n"/>
      <c r="X687" s="90" t="n"/>
      <c r="Y687" s="90" t="n"/>
      <c r="Z687" s="90" t="n"/>
    </row>
    <row r="688">
      <c r="A688" s="90" t="n"/>
      <c r="B688" s="90" t="n"/>
      <c r="C688" s="90" t="n"/>
      <c r="D688" s="90" t="n"/>
      <c r="E688" s="90" t="n"/>
      <c r="F688" s="90" t="n"/>
      <c r="G688" s="90" t="n"/>
      <c r="H688" s="90" t="n"/>
      <c r="I688" s="90" t="n"/>
      <c r="J688" s="90" t="n"/>
      <c r="K688" s="90" t="n"/>
      <c r="L688" s="90" t="n"/>
      <c r="M688" s="90" t="n"/>
      <c r="N688" s="90" t="n"/>
      <c r="O688" s="90" t="n"/>
      <c r="P688" s="90" t="n"/>
      <c r="Q688" s="90" t="n"/>
      <c r="R688" s="90" t="n"/>
      <c r="S688" s="90" t="n"/>
      <c r="T688" s="90" t="n"/>
      <c r="U688" s="90" t="n"/>
      <c r="V688" s="90" t="n"/>
      <c r="W688" s="90" t="n"/>
      <c r="X688" s="90" t="n"/>
      <c r="Y688" s="90" t="n"/>
      <c r="Z688" s="90" t="n"/>
    </row>
    <row r="689">
      <c r="A689" s="90" t="n"/>
      <c r="B689" s="90" t="n"/>
      <c r="C689" s="90" t="n"/>
      <c r="D689" s="90" t="n"/>
      <c r="E689" s="90" t="n"/>
      <c r="F689" s="90" t="n"/>
      <c r="G689" s="90" t="n"/>
      <c r="H689" s="90" t="n"/>
      <c r="I689" s="90" t="n"/>
      <c r="J689" s="90" t="n"/>
      <c r="K689" s="90" t="n"/>
      <c r="L689" s="90" t="n"/>
      <c r="M689" s="90" t="n"/>
      <c r="N689" s="90" t="n"/>
      <c r="O689" s="90" t="n"/>
      <c r="P689" s="90" t="n"/>
      <c r="Q689" s="90" t="n"/>
      <c r="R689" s="90" t="n"/>
      <c r="S689" s="90" t="n"/>
      <c r="T689" s="90" t="n"/>
      <c r="U689" s="90" t="n"/>
      <c r="V689" s="90" t="n"/>
      <c r="W689" s="90" t="n"/>
      <c r="X689" s="90" t="n"/>
      <c r="Y689" s="90" t="n"/>
      <c r="Z689" s="90" t="n"/>
    </row>
    <row r="690">
      <c r="A690" s="90" t="n"/>
      <c r="B690" s="90" t="n"/>
      <c r="C690" s="90" t="n"/>
      <c r="D690" s="90" t="n"/>
      <c r="E690" s="90" t="n"/>
      <c r="F690" s="90" t="n"/>
      <c r="G690" s="90" t="n"/>
      <c r="H690" s="90" t="n"/>
      <c r="I690" s="90" t="n"/>
      <c r="J690" s="90" t="n"/>
      <c r="K690" s="90" t="n"/>
      <c r="L690" s="90" t="n"/>
      <c r="M690" s="90" t="n"/>
      <c r="N690" s="90" t="n"/>
      <c r="O690" s="90" t="n"/>
      <c r="P690" s="90" t="n"/>
      <c r="Q690" s="90" t="n"/>
      <c r="R690" s="90" t="n"/>
      <c r="S690" s="90" t="n"/>
      <c r="T690" s="90" t="n"/>
      <c r="U690" s="90" t="n"/>
      <c r="V690" s="90" t="n"/>
      <c r="W690" s="90" t="n"/>
      <c r="X690" s="90" t="n"/>
      <c r="Y690" s="90" t="n"/>
      <c r="Z690" s="90" t="n"/>
    </row>
    <row r="691">
      <c r="A691" s="90" t="n"/>
      <c r="B691" s="90" t="n"/>
      <c r="C691" s="90" t="n"/>
      <c r="D691" s="90" t="n"/>
      <c r="E691" s="90" t="n"/>
      <c r="F691" s="90" t="n"/>
      <c r="G691" s="90" t="n"/>
      <c r="H691" s="90" t="n"/>
      <c r="I691" s="90" t="n"/>
      <c r="J691" s="90" t="n"/>
      <c r="K691" s="90" t="n"/>
      <c r="L691" s="90" t="n"/>
      <c r="M691" s="90" t="n"/>
      <c r="N691" s="90" t="n"/>
      <c r="O691" s="90" t="n"/>
      <c r="P691" s="90" t="n"/>
      <c r="Q691" s="90" t="n"/>
      <c r="R691" s="90" t="n"/>
      <c r="S691" s="90" t="n"/>
      <c r="T691" s="90" t="n"/>
      <c r="U691" s="90" t="n"/>
      <c r="V691" s="90" t="n"/>
      <c r="W691" s="90" t="n"/>
      <c r="X691" s="90" t="n"/>
      <c r="Y691" s="90" t="n"/>
      <c r="Z691" s="90" t="n"/>
    </row>
    <row r="692">
      <c r="A692" s="90" t="n"/>
      <c r="B692" s="90" t="n"/>
      <c r="C692" s="90" t="n"/>
      <c r="D692" s="90" t="n"/>
      <c r="E692" s="90" t="n"/>
      <c r="F692" s="90" t="n"/>
      <c r="G692" s="90" t="n"/>
      <c r="H692" s="90" t="n"/>
      <c r="I692" s="90" t="n"/>
      <c r="J692" s="90" t="n"/>
      <c r="K692" s="90" t="n"/>
      <c r="L692" s="90" t="n"/>
      <c r="M692" s="90" t="n"/>
      <c r="N692" s="90" t="n"/>
      <c r="O692" s="90" t="n"/>
      <c r="P692" s="90" t="n"/>
      <c r="Q692" s="90" t="n"/>
      <c r="R692" s="90" t="n"/>
      <c r="S692" s="90" t="n"/>
      <c r="T692" s="90" t="n"/>
      <c r="U692" s="90" t="n"/>
      <c r="V692" s="90" t="n"/>
      <c r="W692" s="90" t="n"/>
      <c r="X692" s="90" t="n"/>
      <c r="Y692" s="90" t="n"/>
      <c r="Z692" s="90" t="n"/>
    </row>
    <row r="693">
      <c r="A693" s="90" t="n"/>
      <c r="B693" s="90" t="n"/>
      <c r="C693" s="90" t="n"/>
      <c r="D693" s="90" t="n"/>
      <c r="E693" s="90" t="n"/>
      <c r="F693" s="90" t="n"/>
      <c r="G693" s="90" t="n"/>
      <c r="H693" s="90" t="n"/>
      <c r="I693" s="90" t="n"/>
      <c r="J693" s="90" t="n"/>
      <c r="K693" s="90" t="n"/>
      <c r="L693" s="90" t="n"/>
      <c r="M693" s="90" t="n"/>
      <c r="N693" s="90" t="n"/>
      <c r="O693" s="90" t="n"/>
      <c r="P693" s="90" t="n"/>
      <c r="Q693" s="90" t="n"/>
      <c r="R693" s="90" t="n"/>
      <c r="S693" s="90" t="n"/>
      <c r="T693" s="90" t="n"/>
      <c r="U693" s="90" t="n"/>
      <c r="V693" s="90" t="n"/>
      <c r="W693" s="90" t="n"/>
      <c r="X693" s="90" t="n"/>
      <c r="Y693" s="90" t="n"/>
      <c r="Z693" s="90" t="n"/>
    </row>
    <row r="694">
      <c r="A694" s="90" t="n"/>
      <c r="B694" s="90" t="n"/>
      <c r="C694" s="90" t="n"/>
      <c r="D694" s="90" t="n"/>
      <c r="E694" s="90" t="n"/>
      <c r="F694" s="90" t="n"/>
      <c r="G694" s="90" t="n"/>
      <c r="H694" s="90" t="n"/>
      <c r="I694" s="90" t="n"/>
      <c r="J694" s="90" t="n"/>
      <c r="K694" s="90" t="n"/>
      <c r="L694" s="90" t="n"/>
      <c r="M694" s="90" t="n"/>
      <c r="N694" s="90" t="n"/>
      <c r="O694" s="90" t="n"/>
      <c r="P694" s="90" t="n"/>
      <c r="Q694" s="90" t="n"/>
      <c r="R694" s="90" t="n"/>
      <c r="S694" s="90" t="n"/>
      <c r="T694" s="90" t="n"/>
      <c r="U694" s="90" t="n"/>
      <c r="V694" s="90" t="n"/>
      <c r="W694" s="90" t="n"/>
      <c r="X694" s="90" t="n"/>
      <c r="Y694" s="90" t="n"/>
      <c r="Z694" s="90" t="n"/>
    </row>
    <row r="695">
      <c r="A695" s="90" t="n"/>
      <c r="B695" s="90" t="n"/>
      <c r="C695" s="90" t="n"/>
      <c r="D695" s="90" t="n"/>
      <c r="E695" s="90" t="n"/>
      <c r="F695" s="90" t="n"/>
      <c r="G695" s="90" t="n"/>
      <c r="H695" s="90" t="n"/>
      <c r="I695" s="90" t="n"/>
      <c r="J695" s="90" t="n"/>
      <c r="K695" s="90" t="n"/>
      <c r="L695" s="90" t="n"/>
      <c r="M695" s="90" t="n"/>
      <c r="N695" s="90" t="n"/>
      <c r="O695" s="90" t="n"/>
      <c r="P695" s="90" t="n"/>
      <c r="Q695" s="90" t="n"/>
      <c r="R695" s="90" t="n"/>
      <c r="S695" s="90" t="n"/>
      <c r="T695" s="90" t="n"/>
      <c r="U695" s="90" t="n"/>
      <c r="V695" s="90" t="n"/>
      <c r="W695" s="90" t="n"/>
      <c r="X695" s="90" t="n"/>
      <c r="Y695" s="90" t="n"/>
      <c r="Z695" s="90" t="n"/>
    </row>
    <row r="696">
      <c r="A696" s="90" t="n"/>
      <c r="B696" s="90" t="n"/>
      <c r="C696" s="90" t="n"/>
      <c r="D696" s="90" t="n"/>
      <c r="E696" s="90" t="n"/>
      <c r="F696" s="90" t="n"/>
      <c r="G696" s="90" t="n"/>
      <c r="H696" s="90" t="n"/>
      <c r="I696" s="90" t="n"/>
      <c r="J696" s="90" t="n"/>
      <c r="K696" s="90" t="n"/>
      <c r="L696" s="90" t="n"/>
      <c r="M696" s="90" t="n"/>
      <c r="N696" s="90" t="n"/>
      <c r="O696" s="90" t="n"/>
      <c r="P696" s="90" t="n"/>
      <c r="Q696" s="90" t="n"/>
      <c r="R696" s="90" t="n"/>
      <c r="S696" s="90" t="n"/>
      <c r="T696" s="90" t="n"/>
      <c r="U696" s="90" t="n"/>
      <c r="V696" s="90" t="n"/>
      <c r="W696" s="90" t="n"/>
      <c r="X696" s="90" t="n"/>
      <c r="Y696" s="90" t="n"/>
      <c r="Z696" s="90" t="n"/>
    </row>
    <row r="697">
      <c r="A697" s="90" t="n"/>
      <c r="B697" s="90" t="n"/>
      <c r="C697" s="90" t="n"/>
      <c r="D697" s="90" t="n"/>
      <c r="E697" s="90" t="n"/>
      <c r="F697" s="90" t="n"/>
      <c r="G697" s="90" t="n"/>
      <c r="H697" s="90" t="n"/>
      <c r="I697" s="90" t="n"/>
      <c r="J697" s="90" t="n"/>
      <c r="K697" s="90" t="n"/>
      <c r="L697" s="90" t="n"/>
      <c r="M697" s="90" t="n"/>
      <c r="N697" s="90" t="n"/>
      <c r="O697" s="90" t="n"/>
      <c r="P697" s="90" t="n"/>
      <c r="Q697" s="90" t="n"/>
      <c r="R697" s="90" t="n"/>
      <c r="S697" s="90" t="n"/>
      <c r="T697" s="90" t="n"/>
      <c r="U697" s="90" t="n"/>
      <c r="V697" s="90" t="n"/>
      <c r="W697" s="90" t="n"/>
      <c r="X697" s="90" t="n"/>
      <c r="Y697" s="90" t="n"/>
      <c r="Z697" s="90" t="n"/>
    </row>
    <row r="698">
      <c r="A698" s="90" t="n"/>
      <c r="B698" s="90" t="n"/>
      <c r="C698" s="90" t="n"/>
      <c r="D698" s="90" t="n"/>
      <c r="E698" s="90" t="n"/>
      <c r="F698" s="90" t="n"/>
      <c r="G698" s="90" t="n"/>
      <c r="H698" s="90" t="n"/>
      <c r="I698" s="90" t="n"/>
      <c r="J698" s="90" t="n"/>
      <c r="K698" s="90" t="n"/>
      <c r="L698" s="90" t="n"/>
      <c r="M698" s="90" t="n"/>
      <c r="N698" s="90" t="n"/>
      <c r="O698" s="90" t="n"/>
      <c r="P698" s="90" t="n"/>
      <c r="Q698" s="90" t="n"/>
      <c r="R698" s="90" t="n"/>
      <c r="S698" s="90" t="n"/>
      <c r="T698" s="90" t="n"/>
      <c r="U698" s="90" t="n"/>
      <c r="V698" s="90" t="n"/>
      <c r="W698" s="90" t="n"/>
      <c r="X698" s="90" t="n"/>
      <c r="Y698" s="90" t="n"/>
      <c r="Z698" s="90" t="n"/>
    </row>
    <row r="699">
      <c r="A699" s="90" t="n"/>
      <c r="B699" s="90" t="n"/>
      <c r="C699" s="90" t="n"/>
      <c r="D699" s="90" t="n"/>
      <c r="E699" s="90" t="n"/>
      <c r="F699" s="90" t="n"/>
      <c r="G699" s="90" t="n"/>
      <c r="H699" s="90" t="n"/>
      <c r="I699" s="90" t="n"/>
      <c r="J699" s="90" t="n"/>
      <c r="K699" s="90" t="n"/>
      <c r="L699" s="90" t="n"/>
      <c r="M699" s="90" t="n"/>
      <c r="N699" s="90" t="n"/>
      <c r="O699" s="90" t="n"/>
      <c r="P699" s="90" t="n"/>
      <c r="Q699" s="90" t="n"/>
      <c r="R699" s="90" t="n"/>
      <c r="S699" s="90" t="n"/>
      <c r="T699" s="90" t="n"/>
      <c r="U699" s="90" t="n"/>
      <c r="V699" s="90" t="n"/>
      <c r="W699" s="90" t="n"/>
      <c r="X699" s="90" t="n"/>
      <c r="Y699" s="90" t="n"/>
      <c r="Z699" s="90" t="n"/>
    </row>
    <row r="700">
      <c r="A700" s="90" t="n"/>
      <c r="B700" s="90" t="n"/>
      <c r="C700" s="90" t="n"/>
      <c r="D700" s="90" t="n"/>
      <c r="E700" s="90" t="n"/>
      <c r="F700" s="90" t="n"/>
      <c r="G700" s="90" t="n"/>
      <c r="H700" s="90" t="n"/>
      <c r="I700" s="90" t="n"/>
      <c r="J700" s="90" t="n"/>
      <c r="K700" s="90" t="n"/>
      <c r="L700" s="90" t="n"/>
      <c r="M700" s="90" t="n"/>
      <c r="N700" s="90" t="n"/>
      <c r="O700" s="90" t="n"/>
      <c r="P700" s="90" t="n"/>
      <c r="Q700" s="90" t="n"/>
      <c r="R700" s="90" t="n"/>
      <c r="S700" s="90" t="n"/>
      <c r="T700" s="90" t="n"/>
      <c r="U700" s="90" t="n"/>
      <c r="V700" s="90" t="n"/>
      <c r="W700" s="90" t="n"/>
      <c r="X700" s="90" t="n"/>
      <c r="Y700" s="90" t="n"/>
      <c r="Z700" s="90" t="n"/>
    </row>
    <row r="701">
      <c r="A701" s="90" t="n"/>
      <c r="B701" s="90" t="n"/>
      <c r="C701" s="90" t="n"/>
      <c r="D701" s="90" t="n"/>
      <c r="E701" s="90" t="n"/>
      <c r="F701" s="90" t="n"/>
      <c r="G701" s="90" t="n"/>
      <c r="H701" s="90" t="n"/>
      <c r="I701" s="90" t="n"/>
      <c r="J701" s="90" t="n"/>
      <c r="K701" s="90" t="n"/>
      <c r="L701" s="90" t="n"/>
      <c r="M701" s="90" t="n"/>
      <c r="N701" s="90" t="n"/>
      <c r="O701" s="90" t="n"/>
      <c r="P701" s="90" t="n"/>
      <c r="Q701" s="90" t="n"/>
      <c r="R701" s="90" t="n"/>
      <c r="S701" s="90" t="n"/>
      <c r="T701" s="90" t="n"/>
      <c r="U701" s="90" t="n"/>
      <c r="V701" s="90" t="n"/>
      <c r="W701" s="90" t="n"/>
      <c r="X701" s="90" t="n"/>
      <c r="Y701" s="90" t="n"/>
      <c r="Z701" s="90" t="n"/>
    </row>
    <row r="702">
      <c r="A702" s="90" t="n"/>
      <c r="B702" s="90" t="n"/>
      <c r="C702" s="90" t="n"/>
      <c r="D702" s="90" t="n"/>
      <c r="E702" s="90" t="n"/>
      <c r="F702" s="90" t="n"/>
      <c r="G702" s="90" t="n"/>
      <c r="H702" s="90" t="n"/>
      <c r="I702" s="90" t="n"/>
      <c r="J702" s="90" t="n"/>
      <c r="K702" s="90" t="n"/>
      <c r="L702" s="90" t="n"/>
      <c r="M702" s="90" t="n"/>
      <c r="N702" s="90" t="n"/>
      <c r="O702" s="90" t="n"/>
      <c r="P702" s="90" t="n"/>
      <c r="Q702" s="90" t="n"/>
      <c r="R702" s="90" t="n"/>
      <c r="S702" s="90" t="n"/>
      <c r="T702" s="90" t="n"/>
      <c r="U702" s="90" t="n"/>
      <c r="V702" s="90" t="n"/>
      <c r="W702" s="90" t="n"/>
      <c r="X702" s="90" t="n"/>
      <c r="Y702" s="90" t="n"/>
      <c r="Z702" s="90" t="n"/>
    </row>
    <row r="703">
      <c r="A703" s="90" t="n"/>
      <c r="B703" s="90" t="n"/>
      <c r="C703" s="90" t="n"/>
      <c r="D703" s="90" t="n"/>
      <c r="E703" s="90" t="n"/>
      <c r="F703" s="90" t="n"/>
      <c r="G703" s="90" t="n"/>
      <c r="H703" s="90" t="n"/>
      <c r="I703" s="90" t="n"/>
      <c r="J703" s="90" t="n"/>
      <c r="K703" s="90" t="n"/>
      <c r="L703" s="90" t="n"/>
      <c r="M703" s="90" t="n"/>
      <c r="N703" s="90" t="n"/>
      <c r="O703" s="90" t="n"/>
      <c r="P703" s="90" t="n"/>
      <c r="Q703" s="90" t="n"/>
      <c r="R703" s="90" t="n"/>
      <c r="S703" s="90" t="n"/>
      <c r="T703" s="90" t="n"/>
      <c r="U703" s="90" t="n"/>
      <c r="V703" s="90" t="n"/>
      <c r="W703" s="90" t="n"/>
      <c r="X703" s="90" t="n"/>
      <c r="Y703" s="90" t="n"/>
      <c r="Z703" s="90" t="n"/>
    </row>
    <row r="704">
      <c r="A704" s="90" t="n"/>
      <c r="B704" s="90" t="n"/>
      <c r="C704" s="90" t="n"/>
      <c r="D704" s="90" t="n"/>
      <c r="E704" s="90" t="n"/>
      <c r="F704" s="90" t="n"/>
      <c r="G704" s="90" t="n"/>
      <c r="H704" s="90" t="n"/>
      <c r="I704" s="90" t="n"/>
      <c r="J704" s="90" t="n"/>
      <c r="K704" s="90" t="n"/>
      <c r="L704" s="90" t="n"/>
      <c r="M704" s="90" t="n"/>
      <c r="N704" s="90" t="n"/>
      <c r="O704" s="90" t="n"/>
      <c r="P704" s="90" t="n"/>
      <c r="Q704" s="90" t="n"/>
      <c r="R704" s="90" t="n"/>
      <c r="S704" s="90" t="n"/>
      <c r="T704" s="90" t="n"/>
      <c r="U704" s="90" t="n"/>
      <c r="V704" s="90" t="n"/>
      <c r="W704" s="90" t="n"/>
      <c r="X704" s="90" t="n"/>
      <c r="Y704" s="90" t="n"/>
      <c r="Z704" s="90" t="n"/>
    </row>
    <row r="705">
      <c r="A705" s="90" t="n"/>
      <c r="B705" s="90" t="n"/>
      <c r="C705" s="90" t="n"/>
      <c r="D705" s="90" t="n"/>
      <c r="E705" s="90" t="n"/>
      <c r="F705" s="90" t="n"/>
      <c r="G705" s="90" t="n"/>
      <c r="H705" s="90" t="n"/>
      <c r="I705" s="90" t="n"/>
      <c r="J705" s="90" t="n"/>
      <c r="K705" s="90" t="n"/>
      <c r="L705" s="90" t="n"/>
      <c r="M705" s="90" t="n"/>
      <c r="N705" s="90" t="n"/>
      <c r="O705" s="90" t="n"/>
      <c r="P705" s="90" t="n"/>
      <c r="Q705" s="90" t="n"/>
      <c r="R705" s="90" t="n"/>
      <c r="S705" s="90" t="n"/>
      <c r="T705" s="90" t="n"/>
      <c r="U705" s="90" t="n"/>
      <c r="V705" s="90" t="n"/>
      <c r="W705" s="90" t="n"/>
      <c r="X705" s="90" t="n"/>
      <c r="Y705" s="90" t="n"/>
      <c r="Z705" s="90" t="n"/>
    </row>
    <row r="706">
      <c r="A706" s="90" t="n"/>
      <c r="B706" s="90" t="n"/>
      <c r="C706" s="90" t="n"/>
      <c r="D706" s="90" t="n"/>
      <c r="E706" s="90" t="n"/>
      <c r="F706" s="90" t="n"/>
      <c r="G706" s="90" t="n"/>
      <c r="H706" s="90" t="n"/>
      <c r="I706" s="90" t="n"/>
      <c r="J706" s="90" t="n"/>
      <c r="K706" s="90" t="n"/>
      <c r="L706" s="90" t="n"/>
      <c r="M706" s="90" t="n"/>
      <c r="N706" s="90" t="n"/>
      <c r="O706" s="90" t="n"/>
      <c r="P706" s="90" t="n"/>
      <c r="Q706" s="90" t="n"/>
      <c r="R706" s="90" t="n"/>
      <c r="S706" s="90" t="n"/>
      <c r="T706" s="90" t="n"/>
      <c r="U706" s="90" t="n"/>
      <c r="V706" s="90" t="n"/>
      <c r="W706" s="90" t="n"/>
      <c r="X706" s="90" t="n"/>
      <c r="Y706" s="90" t="n"/>
      <c r="Z706" s="90" t="n"/>
    </row>
    <row r="707">
      <c r="A707" s="90" t="n"/>
      <c r="B707" s="90" t="n"/>
      <c r="C707" s="90" t="n"/>
      <c r="D707" s="90" t="n"/>
      <c r="E707" s="90" t="n"/>
      <c r="F707" s="90" t="n"/>
      <c r="G707" s="90" t="n"/>
      <c r="H707" s="90" t="n"/>
      <c r="I707" s="90" t="n"/>
      <c r="J707" s="90" t="n"/>
      <c r="K707" s="90" t="n"/>
      <c r="L707" s="90" t="n"/>
      <c r="M707" s="90" t="n"/>
      <c r="N707" s="90" t="n"/>
      <c r="O707" s="90" t="n"/>
      <c r="P707" s="90" t="n"/>
      <c r="Q707" s="90" t="n"/>
      <c r="R707" s="90" t="n"/>
      <c r="S707" s="90" t="n"/>
      <c r="T707" s="90" t="n"/>
      <c r="U707" s="90" t="n"/>
      <c r="V707" s="90" t="n"/>
      <c r="W707" s="90" t="n"/>
      <c r="X707" s="90" t="n"/>
      <c r="Y707" s="90" t="n"/>
      <c r="Z707" s="90" t="n"/>
    </row>
    <row r="708">
      <c r="A708" s="90" t="n"/>
      <c r="B708" s="90" t="n"/>
      <c r="C708" s="90" t="n"/>
      <c r="D708" s="90" t="n"/>
      <c r="E708" s="90" t="n"/>
      <c r="F708" s="90" t="n"/>
      <c r="G708" s="90" t="n"/>
      <c r="H708" s="90" t="n"/>
      <c r="I708" s="90" t="n"/>
      <c r="J708" s="90" t="n"/>
      <c r="K708" s="90" t="n"/>
      <c r="L708" s="90" t="n"/>
      <c r="M708" s="90" t="n"/>
      <c r="N708" s="90" t="n"/>
      <c r="O708" s="90" t="n"/>
      <c r="P708" s="90" t="n"/>
      <c r="Q708" s="90" t="n"/>
      <c r="R708" s="90" t="n"/>
      <c r="S708" s="90" t="n"/>
      <c r="T708" s="90" t="n"/>
      <c r="U708" s="90" t="n"/>
      <c r="V708" s="90" t="n"/>
      <c r="W708" s="90" t="n"/>
      <c r="X708" s="90" t="n"/>
      <c r="Y708" s="90" t="n"/>
      <c r="Z708" s="90" t="n"/>
    </row>
    <row r="709">
      <c r="A709" s="90" t="n"/>
      <c r="B709" s="90" t="n"/>
      <c r="C709" s="90" t="n"/>
      <c r="D709" s="90" t="n"/>
      <c r="E709" s="90" t="n"/>
      <c r="F709" s="90" t="n"/>
      <c r="G709" s="90" t="n"/>
      <c r="H709" s="90" t="n"/>
      <c r="I709" s="90" t="n"/>
      <c r="J709" s="90" t="n"/>
      <c r="K709" s="90" t="n"/>
      <c r="L709" s="90" t="n"/>
      <c r="M709" s="90" t="n"/>
      <c r="N709" s="90" t="n"/>
      <c r="O709" s="90" t="n"/>
      <c r="P709" s="90" t="n"/>
      <c r="Q709" s="90" t="n"/>
      <c r="R709" s="90" t="n"/>
      <c r="S709" s="90" t="n"/>
      <c r="T709" s="90" t="n"/>
      <c r="U709" s="90" t="n"/>
      <c r="V709" s="90" t="n"/>
      <c r="W709" s="90" t="n"/>
      <c r="X709" s="90" t="n"/>
      <c r="Y709" s="90" t="n"/>
      <c r="Z709" s="90" t="n"/>
    </row>
    <row r="710">
      <c r="A710" s="90" t="n"/>
      <c r="B710" s="90" t="n"/>
      <c r="C710" s="90" t="n"/>
      <c r="D710" s="90" t="n"/>
      <c r="E710" s="90" t="n"/>
      <c r="F710" s="90" t="n"/>
      <c r="G710" s="90" t="n"/>
      <c r="H710" s="90" t="n"/>
      <c r="I710" s="90" t="n"/>
      <c r="J710" s="90" t="n"/>
      <c r="K710" s="90" t="n"/>
      <c r="L710" s="90" t="n"/>
      <c r="M710" s="90" t="n"/>
      <c r="N710" s="90" t="n"/>
      <c r="O710" s="90" t="n"/>
      <c r="P710" s="90" t="n"/>
      <c r="Q710" s="90" t="n"/>
      <c r="R710" s="90" t="n"/>
      <c r="S710" s="90" t="n"/>
      <c r="T710" s="90" t="n"/>
      <c r="U710" s="90" t="n"/>
      <c r="V710" s="90" t="n"/>
      <c r="W710" s="90" t="n"/>
      <c r="X710" s="90" t="n"/>
      <c r="Y710" s="90" t="n"/>
      <c r="Z710" s="90" t="n"/>
    </row>
    <row r="711">
      <c r="A711" s="90" t="n"/>
      <c r="B711" s="90" t="n"/>
      <c r="C711" s="90" t="n"/>
      <c r="D711" s="90" t="n"/>
      <c r="E711" s="90" t="n"/>
      <c r="F711" s="90" t="n"/>
      <c r="G711" s="90" t="n"/>
      <c r="H711" s="90" t="n"/>
      <c r="I711" s="90" t="n"/>
      <c r="J711" s="90" t="n"/>
      <c r="K711" s="90" t="n"/>
      <c r="L711" s="90" t="n"/>
      <c r="M711" s="90" t="n"/>
      <c r="N711" s="90" t="n"/>
      <c r="O711" s="90" t="n"/>
      <c r="P711" s="90" t="n"/>
      <c r="Q711" s="90" t="n"/>
      <c r="R711" s="90" t="n"/>
      <c r="S711" s="90" t="n"/>
      <c r="T711" s="90" t="n"/>
      <c r="U711" s="90" t="n"/>
      <c r="V711" s="90" t="n"/>
      <c r="W711" s="90" t="n"/>
      <c r="X711" s="90" t="n"/>
      <c r="Y711" s="90" t="n"/>
      <c r="Z711" s="90" t="n"/>
    </row>
    <row r="712">
      <c r="A712" s="90" t="n"/>
      <c r="B712" s="90" t="n"/>
      <c r="C712" s="90" t="n"/>
      <c r="D712" s="90" t="n"/>
      <c r="E712" s="90" t="n"/>
      <c r="F712" s="90" t="n"/>
      <c r="G712" s="90" t="n"/>
      <c r="H712" s="90" t="n"/>
      <c r="I712" s="90" t="n"/>
      <c r="J712" s="90" t="n"/>
      <c r="K712" s="90" t="n"/>
      <c r="L712" s="90" t="n"/>
      <c r="M712" s="90" t="n"/>
      <c r="N712" s="90" t="n"/>
      <c r="O712" s="90" t="n"/>
      <c r="P712" s="90" t="n"/>
      <c r="Q712" s="90" t="n"/>
      <c r="R712" s="90" t="n"/>
      <c r="S712" s="90" t="n"/>
      <c r="T712" s="90" t="n"/>
      <c r="U712" s="90" t="n"/>
      <c r="V712" s="90" t="n"/>
      <c r="W712" s="90" t="n"/>
      <c r="X712" s="90" t="n"/>
      <c r="Y712" s="90" t="n"/>
      <c r="Z712" s="90" t="n"/>
    </row>
    <row r="713">
      <c r="A713" s="90" t="n"/>
      <c r="B713" s="90" t="n"/>
      <c r="C713" s="90" t="n"/>
      <c r="D713" s="90" t="n"/>
      <c r="E713" s="90" t="n"/>
      <c r="F713" s="90" t="n"/>
      <c r="G713" s="90" t="n"/>
      <c r="H713" s="90" t="n"/>
      <c r="I713" s="90" t="n"/>
      <c r="J713" s="90" t="n"/>
      <c r="K713" s="90" t="n"/>
      <c r="L713" s="90" t="n"/>
      <c r="M713" s="90" t="n"/>
      <c r="N713" s="90" t="n"/>
      <c r="O713" s="90" t="n"/>
      <c r="P713" s="90" t="n"/>
      <c r="Q713" s="90" t="n"/>
      <c r="R713" s="90" t="n"/>
      <c r="S713" s="90" t="n"/>
      <c r="T713" s="90" t="n"/>
      <c r="U713" s="90" t="n"/>
      <c r="V713" s="90" t="n"/>
      <c r="W713" s="90" t="n"/>
      <c r="X713" s="90" t="n"/>
      <c r="Y713" s="90" t="n"/>
      <c r="Z713" s="90" t="n"/>
    </row>
    <row r="714">
      <c r="A714" s="90" t="n"/>
      <c r="B714" s="90" t="n"/>
      <c r="C714" s="90" t="n"/>
      <c r="D714" s="90" t="n"/>
      <c r="E714" s="90" t="n"/>
      <c r="F714" s="90" t="n"/>
      <c r="G714" s="90" t="n"/>
      <c r="H714" s="90" t="n"/>
      <c r="I714" s="90" t="n"/>
      <c r="J714" s="90" t="n"/>
      <c r="K714" s="90" t="n"/>
      <c r="L714" s="90" t="n"/>
      <c r="M714" s="90" t="n"/>
      <c r="N714" s="90" t="n"/>
      <c r="O714" s="90" t="n"/>
      <c r="P714" s="90" t="n"/>
      <c r="Q714" s="90" t="n"/>
      <c r="R714" s="90" t="n"/>
      <c r="S714" s="90" t="n"/>
      <c r="T714" s="90" t="n"/>
      <c r="U714" s="90" t="n"/>
      <c r="V714" s="90" t="n"/>
      <c r="W714" s="90" t="n"/>
      <c r="X714" s="90" t="n"/>
      <c r="Y714" s="90" t="n"/>
      <c r="Z714" s="90" t="n"/>
    </row>
    <row r="715">
      <c r="A715" s="90" t="n"/>
      <c r="B715" s="90" t="n"/>
      <c r="C715" s="90" t="n"/>
      <c r="D715" s="90" t="n"/>
      <c r="E715" s="90" t="n"/>
      <c r="F715" s="90" t="n"/>
      <c r="G715" s="90" t="n"/>
      <c r="H715" s="90" t="n"/>
      <c r="I715" s="90" t="n"/>
      <c r="J715" s="90" t="n"/>
      <c r="K715" s="90" t="n"/>
      <c r="L715" s="90" t="n"/>
      <c r="M715" s="90" t="n"/>
      <c r="N715" s="90" t="n"/>
      <c r="O715" s="90" t="n"/>
      <c r="P715" s="90" t="n"/>
      <c r="Q715" s="90" t="n"/>
      <c r="R715" s="90" t="n"/>
      <c r="S715" s="90" t="n"/>
      <c r="T715" s="90" t="n"/>
      <c r="U715" s="90" t="n"/>
      <c r="V715" s="90" t="n"/>
      <c r="W715" s="90" t="n"/>
      <c r="X715" s="90" t="n"/>
      <c r="Y715" s="90" t="n"/>
      <c r="Z715" s="90" t="n"/>
    </row>
    <row r="716">
      <c r="A716" s="90" t="n"/>
      <c r="B716" s="90" t="n"/>
      <c r="C716" s="90" t="n"/>
      <c r="D716" s="90" t="n"/>
      <c r="E716" s="90" t="n"/>
      <c r="F716" s="90" t="n"/>
      <c r="G716" s="90" t="n"/>
      <c r="H716" s="90" t="n"/>
      <c r="I716" s="90" t="n"/>
      <c r="J716" s="90" t="n"/>
      <c r="K716" s="90" t="n"/>
      <c r="L716" s="90" t="n"/>
      <c r="M716" s="90" t="n"/>
      <c r="N716" s="90" t="n"/>
      <c r="O716" s="90" t="n"/>
      <c r="P716" s="90" t="n"/>
      <c r="Q716" s="90" t="n"/>
      <c r="R716" s="90" t="n"/>
      <c r="S716" s="90" t="n"/>
      <c r="T716" s="90" t="n"/>
      <c r="U716" s="90" t="n"/>
      <c r="V716" s="90" t="n"/>
      <c r="W716" s="90" t="n"/>
      <c r="X716" s="90" t="n"/>
      <c r="Y716" s="90" t="n"/>
      <c r="Z716" s="90" t="n"/>
    </row>
    <row r="717">
      <c r="A717" s="90" t="n"/>
      <c r="B717" s="90" t="n"/>
      <c r="C717" s="90" t="n"/>
      <c r="D717" s="90" t="n"/>
      <c r="E717" s="90" t="n"/>
      <c r="F717" s="90" t="n"/>
      <c r="G717" s="90" t="n"/>
      <c r="H717" s="90" t="n"/>
      <c r="I717" s="90" t="n"/>
      <c r="J717" s="90" t="n"/>
      <c r="K717" s="90" t="n"/>
      <c r="L717" s="90" t="n"/>
      <c r="M717" s="90" t="n"/>
      <c r="N717" s="90" t="n"/>
      <c r="O717" s="90" t="n"/>
      <c r="P717" s="90" t="n"/>
      <c r="Q717" s="90" t="n"/>
      <c r="R717" s="90" t="n"/>
      <c r="S717" s="90" t="n"/>
      <c r="T717" s="90" t="n"/>
      <c r="U717" s="90" t="n"/>
      <c r="V717" s="90" t="n"/>
      <c r="W717" s="90" t="n"/>
      <c r="X717" s="90" t="n"/>
      <c r="Y717" s="90" t="n"/>
      <c r="Z717" s="90" t="n"/>
    </row>
    <row r="718">
      <c r="A718" s="90" t="n"/>
      <c r="B718" s="90" t="n"/>
      <c r="C718" s="90" t="n"/>
      <c r="D718" s="90" t="n"/>
      <c r="E718" s="90" t="n"/>
      <c r="F718" s="90" t="n"/>
      <c r="G718" s="90" t="n"/>
      <c r="H718" s="90" t="n"/>
      <c r="I718" s="90" t="n"/>
      <c r="J718" s="90" t="n"/>
      <c r="K718" s="90" t="n"/>
      <c r="L718" s="90" t="n"/>
      <c r="M718" s="90" t="n"/>
      <c r="N718" s="90" t="n"/>
      <c r="O718" s="90" t="n"/>
      <c r="P718" s="90" t="n"/>
      <c r="Q718" s="90" t="n"/>
      <c r="R718" s="90" t="n"/>
      <c r="S718" s="90" t="n"/>
      <c r="T718" s="90" t="n"/>
      <c r="U718" s="90" t="n"/>
      <c r="V718" s="90" t="n"/>
      <c r="W718" s="90" t="n"/>
      <c r="X718" s="90" t="n"/>
      <c r="Y718" s="90" t="n"/>
      <c r="Z718" s="90" t="n"/>
    </row>
    <row r="719">
      <c r="A719" s="90" t="n"/>
      <c r="B719" s="90" t="n"/>
      <c r="C719" s="90" t="n"/>
      <c r="D719" s="90" t="n"/>
      <c r="E719" s="90" t="n"/>
      <c r="F719" s="90" t="n"/>
      <c r="G719" s="90" t="n"/>
      <c r="H719" s="90" t="n"/>
      <c r="I719" s="90" t="n"/>
      <c r="J719" s="90" t="n"/>
      <c r="K719" s="90" t="n"/>
      <c r="L719" s="90" t="n"/>
      <c r="M719" s="90" t="n"/>
      <c r="N719" s="90" t="n"/>
      <c r="O719" s="90" t="n"/>
      <c r="P719" s="90" t="n"/>
      <c r="Q719" s="90" t="n"/>
      <c r="R719" s="90" t="n"/>
      <c r="S719" s="90" t="n"/>
      <c r="T719" s="90" t="n"/>
      <c r="U719" s="90" t="n"/>
      <c r="V719" s="90" t="n"/>
      <c r="W719" s="90" t="n"/>
      <c r="X719" s="90" t="n"/>
      <c r="Y719" s="90" t="n"/>
      <c r="Z719" s="90" t="n"/>
    </row>
    <row r="720">
      <c r="A720" s="90" t="n"/>
      <c r="B720" s="90" t="n"/>
      <c r="C720" s="90" t="n"/>
      <c r="D720" s="90" t="n"/>
      <c r="E720" s="90" t="n"/>
      <c r="F720" s="90" t="n"/>
      <c r="G720" s="90" t="n"/>
      <c r="H720" s="90" t="n"/>
      <c r="I720" s="90" t="n"/>
      <c r="J720" s="90" t="n"/>
      <c r="K720" s="90" t="n"/>
      <c r="L720" s="90" t="n"/>
      <c r="M720" s="90" t="n"/>
      <c r="N720" s="90" t="n"/>
      <c r="O720" s="90" t="n"/>
      <c r="P720" s="90" t="n"/>
      <c r="Q720" s="90" t="n"/>
      <c r="R720" s="90" t="n"/>
      <c r="S720" s="90" t="n"/>
      <c r="T720" s="90" t="n"/>
      <c r="U720" s="90" t="n"/>
      <c r="V720" s="90" t="n"/>
      <c r="W720" s="90" t="n"/>
      <c r="X720" s="90" t="n"/>
      <c r="Y720" s="90" t="n"/>
      <c r="Z720" s="90" t="n"/>
    </row>
    <row r="721">
      <c r="A721" s="90" t="n"/>
      <c r="B721" s="90" t="n"/>
      <c r="C721" s="90" t="n"/>
      <c r="D721" s="90" t="n"/>
      <c r="E721" s="90" t="n"/>
      <c r="F721" s="90" t="n"/>
      <c r="G721" s="90" t="n"/>
      <c r="H721" s="90" t="n"/>
      <c r="I721" s="90" t="n"/>
      <c r="J721" s="90" t="n"/>
      <c r="K721" s="90" t="n"/>
      <c r="L721" s="90" t="n"/>
      <c r="M721" s="90" t="n"/>
      <c r="N721" s="90" t="n"/>
      <c r="O721" s="90" t="n"/>
      <c r="P721" s="90" t="n"/>
      <c r="Q721" s="90" t="n"/>
      <c r="R721" s="90" t="n"/>
      <c r="S721" s="90" t="n"/>
      <c r="T721" s="90" t="n"/>
      <c r="U721" s="90" t="n"/>
      <c r="V721" s="90" t="n"/>
      <c r="W721" s="90" t="n"/>
      <c r="X721" s="90" t="n"/>
      <c r="Y721" s="90" t="n"/>
      <c r="Z721" s="90" t="n"/>
    </row>
    <row r="722">
      <c r="A722" s="90" t="n"/>
      <c r="B722" s="90" t="n"/>
      <c r="C722" s="90" t="n"/>
      <c r="D722" s="90" t="n"/>
      <c r="E722" s="90" t="n"/>
      <c r="F722" s="90" t="n"/>
      <c r="G722" s="90" t="n"/>
      <c r="H722" s="90" t="n"/>
      <c r="I722" s="90" t="n"/>
      <c r="J722" s="90" t="n"/>
      <c r="K722" s="90" t="n"/>
      <c r="L722" s="90" t="n"/>
      <c r="M722" s="90" t="n"/>
      <c r="N722" s="90" t="n"/>
      <c r="O722" s="90" t="n"/>
      <c r="P722" s="90" t="n"/>
      <c r="Q722" s="90" t="n"/>
      <c r="R722" s="90" t="n"/>
      <c r="S722" s="90" t="n"/>
      <c r="T722" s="90" t="n"/>
      <c r="U722" s="90" t="n"/>
      <c r="V722" s="90" t="n"/>
      <c r="W722" s="90" t="n"/>
      <c r="X722" s="90" t="n"/>
      <c r="Y722" s="90" t="n"/>
      <c r="Z722" s="90" t="n"/>
    </row>
    <row r="723">
      <c r="A723" s="90" t="n"/>
      <c r="B723" s="90" t="n"/>
      <c r="C723" s="90" t="n"/>
      <c r="D723" s="90" t="n"/>
      <c r="E723" s="90" t="n"/>
      <c r="F723" s="90" t="n"/>
      <c r="G723" s="90" t="n"/>
      <c r="H723" s="90" t="n"/>
      <c r="I723" s="90" t="n"/>
      <c r="J723" s="90" t="n"/>
      <c r="K723" s="90" t="n"/>
      <c r="L723" s="90" t="n"/>
      <c r="M723" s="90" t="n"/>
      <c r="N723" s="90" t="n"/>
      <c r="O723" s="90" t="n"/>
      <c r="P723" s="90" t="n"/>
      <c r="Q723" s="90" t="n"/>
      <c r="R723" s="90" t="n"/>
      <c r="S723" s="90" t="n"/>
      <c r="T723" s="90" t="n"/>
      <c r="U723" s="90" t="n"/>
      <c r="V723" s="90" t="n"/>
      <c r="W723" s="90" t="n"/>
      <c r="X723" s="90" t="n"/>
      <c r="Y723" s="90" t="n"/>
      <c r="Z723" s="90" t="n"/>
    </row>
    <row r="724">
      <c r="A724" s="90" t="n"/>
      <c r="B724" s="90" t="n"/>
      <c r="C724" s="90" t="n"/>
      <c r="D724" s="90" t="n"/>
      <c r="E724" s="90" t="n"/>
      <c r="F724" s="90" t="n"/>
      <c r="G724" s="90" t="n"/>
      <c r="H724" s="90" t="n"/>
      <c r="I724" s="90" t="n"/>
      <c r="J724" s="90" t="n"/>
      <c r="K724" s="90" t="n"/>
      <c r="L724" s="90" t="n"/>
      <c r="M724" s="90" t="n"/>
      <c r="N724" s="90" t="n"/>
      <c r="O724" s="90" t="n"/>
      <c r="P724" s="90" t="n"/>
      <c r="Q724" s="90" t="n"/>
      <c r="R724" s="90" t="n"/>
      <c r="S724" s="90" t="n"/>
      <c r="T724" s="90" t="n"/>
      <c r="U724" s="90" t="n"/>
      <c r="V724" s="90" t="n"/>
      <c r="W724" s="90" t="n"/>
      <c r="X724" s="90" t="n"/>
      <c r="Y724" s="90" t="n"/>
      <c r="Z724" s="90" t="n"/>
    </row>
    <row r="725">
      <c r="A725" s="90" t="n"/>
      <c r="B725" s="90" t="n"/>
      <c r="C725" s="90" t="n"/>
      <c r="D725" s="90" t="n"/>
      <c r="E725" s="90" t="n"/>
      <c r="F725" s="90" t="n"/>
      <c r="G725" s="90" t="n"/>
      <c r="H725" s="90" t="n"/>
      <c r="I725" s="90" t="n"/>
      <c r="J725" s="90" t="n"/>
      <c r="K725" s="90" t="n"/>
      <c r="L725" s="90" t="n"/>
      <c r="M725" s="90" t="n"/>
      <c r="N725" s="90" t="n"/>
      <c r="O725" s="90" t="n"/>
      <c r="P725" s="90" t="n"/>
      <c r="Q725" s="90" t="n"/>
      <c r="R725" s="90" t="n"/>
      <c r="S725" s="90" t="n"/>
      <c r="T725" s="90" t="n"/>
      <c r="U725" s="90" t="n"/>
      <c r="V725" s="90" t="n"/>
      <c r="W725" s="90" t="n"/>
      <c r="X725" s="90" t="n"/>
      <c r="Y725" s="90" t="n"/>
      <c r="Z725" s="90" t="n"/>
    </row>
    <row r="726">
      <c r="A726" s="90" t="n"/>
      <c r="B726" s="90" t="n"/>
      <c r="C726" s="90" t="n"/>
      <c r="D726" s="90" t="n"/>
      <c r="E726" s="90" t="n"/>
      <c r="F726" s="90" t="n"/>
      <c r="G726" s="90" t="n"/>
      <c r="H726" s="90" t="n"/>
      <c r="I726" s="90" t="n"/>
      <c r="J726" s="90" t="n"/>
      <c r="K726" s="90" t="n"/>
      <c r="L726" s="90" t="n"/>
      <c r="M726" s="90" t="n"/>
      <c r="N726" s="90" t="n"/>
      <c r="O726" s="90" t="n"/>
      <c r="P726" s="90" t="n"/>
      <c r="Q726" s="90" t="n"/>
      <c r="R726" s="90" t="n"/>
      <c r="S726" s="90" t="n"/>
      <c r="T726" s="90" t="n"/>
      <c r="U726" s="90" t="n"/>
      <c r="V726" s="90" t="n"/>
      <c r="W726" s="90" t="n"/>
      <c r="X726" s="90" t="n"/>
      <c r="Y726" s="90" t="n"/>
      <c r="Z726" s="90" t="n"/>
    </row>
    <row r="727">
      <c r="A727" s="90" t="n"/>
      <c r="B727" s="90" t="n"/>
      <c r="C727" s="90" t="n"/>
      <c r="D727" s="90" t="n"/>
      <c r="E727" s="90" t="n"/>
      <c r="F727" s="90" t="n"/>
      <c r="G727" s="90" t="n"/>
      <c r="H727" s="90" t="n"/>
      <c r="I727" s="90" t="n"/>
      <c r="J727" s="90" t="n"/>
      <c r="K727" s="90" t="n"/>
      <c r="L727" s="90" t="n"/>
      <c r="M727" s="90" t="n"/>
      <c r="N727" s="90" t="n"/>
      <c r="O727" s="90" t="n"/>
      <c r="P727" s="90" t="n"/>
      <c r="Q727" s="90" t="n"/>
      <c r="R727" s="90" t="n"/>
      <c r="S727" s="90" t="n"/>
      <c r="T727" s="90" t="n"/>
      <c r="U727" s="90" t="n"/>
      <c r="V727" s="90" t="n"/>
      <c r="W727" s="90" t="n"/>
      <c r="X727" s="90" t="n"/>
      <c r="Y727" s="90" t="n"/>
      <c r="Z727" s="90" t="n"/>
    </row>
    <row r="728">
      <c r="A728" s="90" t="n"/>
      <c r="B728" s="90" t="n"/>
      <c r="C728" s="90" t="n"/>
      <c r="D728" s="90" t="n"/>
      <c r="E728" s="90" t="n"/>
      <c r="F728" s="90" t="n"/>
      <c r="G728" s="90" t="n"/>
      <c r="H728" s="90" t="n"/>
      <c r="I728" s="90" t="n"/>
      <c r="J728" s="90" t="n"/>
      <c r="K728" s="90" t="n"/>
      <c r="L728" s="90" t="n"/>
      <c r="M728" s="90" t="n"/>
      <c r="N728" s="90" t="n"/>
      <c r="O728" s="90" t="n"/>
      <c r="P728" s="90" t="n"/>
      <c r="Q728" s="90" t="n"/>
      <c r="R728" s="90" t="n"/>
      <c r="S728" s="90" t="n"/>
      <c r="T728" s="90" t="n"/>
      <c r="U728" s="90" t="n"/>
      <c r="V728" s="90" t="n"/>
      <c r="W728" s="90" t="n"/>
      <c r="X728" s="90" t="n"/>
      <c r="Y728" s="90" t="n"/>
      <c r="Z728" s="90" t="n"/>
    </row>
    <row r="729">
      <c r="A729" s="90" t="n"/>
      <c r="B729" s="90" t="n"/>
      <c r="C729" s="90" t="n"/>
      <c r="D729" s="90" t="n"/>
      <c r="E729" s="90" t="n"/>
      <c r="F729" s="90" t="n"/>
      <c r="G729" s="90" t="n"/>
      <c r="H729" s="90" t="n"/>
      <c r="I729" s="90" t="n"/>
      <c r="J729" s="90" t="n"/>
      <c r="K729" s="90" t="n"/>
      <c r="L729" s="90" t="n"/>
      <c r="M729" s="90" t="n"/>
      <c r="N729" s="90" t="n"/>
      <c r="O729" s="90" t="n"/>
      <c r="P729" s="90" t="n"/>
      <c r="Q729" s="90" t="n"/>
      <c r="R729" s="90" t="n"/>
      <c r="S729" s="90" t="n"/>
      <c r="T729" s="90" t="n"/>
      <c r="U729" s="90" t="n"/>
      <c r="V729" s="90" t="n"/>
      <c r="W729" s="90" t="n"/>
      <c r="X729" s="90" t="n"/>
      <c r="Y729" s="90" t="n"/>
      <c r="Z729" s="90" t="n"/>
    </row>
    <row r="730">
      <c r="A730" s="90" t="n"/>
      <c r="B730" s="90" t="n"/>
      <c r="C730" s="90" t="n"/>
      <c r="D730" s="90" t="n"/>
      <c r="E730" s="90" t="n"/>
      <c r="F730" s="90" t="n"/>
      <c r="G730" s="90" t="n"/>
      <c r="H730" s="90" t="n"/>
      <c r="I730" s="90" t="n"/>
      <c r="J730" s="90" t="n"/>
      <c r="K730" s="90" t="n"/>
      <c r="L730" s="90" t="n"/>
      <c r="M730" s="90" t="n"/>
      <c r="N730" s="90" t="n"/>
      <c r="O730" s="90" t="n"/>
      <c r="P730" s="90" t="n"/>
      <c r="Q730" s="90" t="n"/>
      <c r="R730" s="90" t="n"/>
      <c r="S730" s="90" t="n"/>
      <c r="T730" s="90" t="n"/>
      <c r="U730" s="90" t="n"/>
      <c r="V730" s="90" t="n"/>
      <c r="W730" s="90" t="n"/>
      <c r="X730" s="90" t="n"/>
      <c r="Y730" s="90" t="n"/>
      <c r="Z730" s="90" t="n"/>
    </row>
    <row r="731">
      <c r="A731" s="90" t="n"/>
      <c r="B731" s="90" t="n"/>
      <c r="C731" s="90" t="n"/>
      <c r="D731" s="90" t="n"/>
      <c r="E731" s="90" t="n"/>
      <c r="F731" s="90" t="n"/>
      <c r="G731" s="90" t="n"/>
      <c r="H731" s="90" t="n"/>
      <c r="I731" s="90" t="n"/>
      <c r="J731" s="90" t="n"/>
      <c r="K731" s="90" t="n"/>
      <c r="L731" s="90" t="n"/>
      <c r="M731" s="90" t="n"/>
      <c r="N731" s="90" t="n"/>
      <c r="O731" s="90" t="n"/>
      <c r="P731" s="90" t="n"/>
      <c r="Q731" s="90" t="n"/>
      <c r="R731" s="90" t="n"/>
      <c r="S731" s="90" t="n"/>
      <c r="T731" s="90" t="n"/>
      <c r="U731" s="90" t="n"/>
      <c r="V731" s="90" t="n"/>
      <c r="W731" s="90" t="n"/>
      <c r="X731" s="90" t="n"/>
      <c r="Y731" s="90" t="n"/>
      <c r="Z731" s="90" t="n"/>
    </row>
    <row r="732">
      <c r="A732" s="90" t="n"/>
      <c r="B732" s="90" t="n"/>
      <c r="C732" s="90" t="n"/>
      <c r="D732" s="90" t="n"/>
      <c r="E732" s="90" t="n"/>
      <c r="F732" s="90" t="n"/>
      <c r="G732" s="90" t="n"/>
      <c r="H732" s="90" t="n"/>
      <c r="I732" s="90" t="n"/>
      <c r="J732" s="90" t="n"/>
      <c r="K732" s="90" t="n"/>
      <c r="L732" s="90" t="n"/>
      <c r="M732" s="90" t="n"/>
      <c r="N732" s="90" t="n"/>
      <c r="O732" s="90" t="n"/>
      <c r="P732" s="90" t="n"/>
      <c r="Q732" s="90" t="n"/>
      <c r="R732" s="90" t="n"/>
      <c r="S732" s="90" t="n"/>
      <c r="T732" s="90" t="n"/>
      <c r="U732" s="90" t="n"/>
      <c r="V732" s="90" t="n"/>
      <c r="W732" s="90" t="n"/>
      <c r="X732" s="90" t="n"/>
      <c r="Y732" s="90" t="n"/>
      <c r="Z732" s="90" t="n"/>
    </row>
    <row r="733">
      <c r="A733" s="90" t="n"/>
      <c r="B733" s="90" t="n"/>
      <c r="C733" s="90" t="n"/>
      <c r="D733" s="90" t="n"/>
      <c r="E733" s="90" t="n"/>
      <c r="F733" s="90" t="n"/>
      <c r="G733" s="90" t="n"/>
      <c r="H733" s="90" t="n"/>
      <c r="I733" s="90" t="n"/>
      <c r="J733" s="90" t="n"/>
      <c r="K733" s="90" t="n"/>
      <c r="L733" s="90" t="n"/>
      <c r="M733" s="90" t="n"/>
      <c r="N733" s="90" t="n"/>
      <c r="O733" s="90" t="n"/>
      <c r="P733" s="90" t="n"/>
      <c r="Q733" s="90" t="n"/>
      <c r="R733" s="90" t="n"/>
      <c r="S733" s="90" t="n"/>
      <c r="T733" s="90" t="n"/>
      <c r="U733" s="90" t="n"/>
      <c r="V733" s="90" t="n"/>
      <c r="W733" s="90" t="n"/>
      <c r="X733" s="90" t="n"/>
      <c r="Y733" s="90" t="n"/>
      <c r="Z733" s="90" t="n"/>
    </row>
    <row r="734">
      <c r="A734" s="90" t="n"/>
      <c r="B734" s="90" t="n"/>
      <c r="C734" s="90" t="n"/>
      <c r="D734" s="90" t="n"/>
      <c r="E734" s="90" t="n"/>
      <c r="F734" s="90" t="n"/>
      <c r="G734" s="90" t="n"/>
      <c r="H734" s="90" t="n"/>
      <c r="I734" s="90" t="n"/>
      <c r="J734" s="90" t="n"/>
      <c r="K734" s="90" t="n"/>
      <c r="L734" s="90" t="n"/>
      <c r="M734" s="90" t="n"/>
      <c r="N734" s="90" t="n"/>
      <c r="O734" s="90" t="n"/>
      <c r="P734" s="90" t="n"/>
      <c r="Q734" s="90" t="n"/>
      <c r="R734" s="90" t="n"/>
      <c r="S734" s="90" t="n"/>
      <c r="T734" s="90" t="n"/>
      <c r="U734" s="90" t="n"/>
      <c r="V734" s="90" t="n"/>
      <c r="W734" s="90" t="n"/>
      <c r="X734" s="90" t="n"/>
      <c r="Y734" s="90" t="n"/>
      <c r="Z734" s="90" t="n"/>
    </row>
    <row r="735">
      <c r="A735" s="90" t="n"/>
      <c r="B735" s="90" t="n"/>
      <c r="C735" s="90" t="n"/>
      <c r="D735" s="90" t="n"/>
      <c r="E735" s="90" t="n"/>
      <c r="F735" s="90" t="n"/>
      <c r="G735" s="90" t="n"/>
      <c r="H735" s="90" t="n"/>
      <c r="I735" s="90" t="n"/>
      <c r="J735" s="90" t="n"/>
      <c r="K735" s="90" t="n"/>
      <c r="L735" s="90" t="n"/>
      <c r="M735" s="90" t="n"/>
      <c r="N735" s="90" t="n"/>
      <c r="O735" s="90" t="n"/>
      <c r="P735" s="90" t="n"/>
      <c r="Q735" s="90" t="n"/>
      <c r="R735" s="90" t="n"/>
      <c r="S735" s="90" t="n"/>
      <c r="T735" s="90" t="n"/>
      <c r="U735" s="90" t="n"/>
      <c r="V735" s="90" t="n"/>
      <c r="W735" s="90" t="n"/>
      <c r="X735" s="90" t="n"/>
      <c r="Y735" s="90" t="n"/>
      <c r="Z735" s="90" t="n"/>
    </row>
    <row r="736">
      <c r="A736" s="90" t="n"/>
      <c r="B736" s="90" t="n"/>
      <c r="C736" s="90" t="n"/>
      <c r="D736" s="90" t="n"/>
      <c r="E736" s="90" t="n"/>
      <c r="F736" s="90" t="n"/>
      <c r="G736" s="90" t="n"/>
      <c r="H736" s="90" t="n"/>
      <c r="I736" s="90" t="n"/>
      <c r="J736" s="90" t="n"/>
      <c r="K736" s="90" t="n"/>
      <c r="L736" s="90" t="n"/>
      <c r="M736" s="90" t="n"/>
      <c r="N736" s="90" t="n"/>
      <c r="O736" s="90" t="n"/>
      <c r="P736" s="90" t="n"/>
      <c r="Q736" s="90" t="n"/>
      <c r="R736" s="90" t="n"/>
      <c r="S736" s="90" t="n"/>
      <c r="T736" s="90" t="n"/>
      <c r="U736" s="90" t="n"/>
      <c r="V736" s="90" t="n"/>
      <c r="W736" s="90" t="n"/>
      <c r="X736" s="90" t="n"/>
      <c r="Y736" s="90" t="n"/>
      <c r="Z736" s="90" t="n"/>
    </row>
    <row r="737">
      <c r="A737" s="90" t="n"/>
      <c r="B737" s="90" t="n"/>
      <c r="C737" s="90" t="n"/>
      <c r="D737" s="90" t="n"/>
      <c r="E737" s="90" t="n"/>
      <c r="F737" s="90" t="n"/>
      <c r="G737" s="90" t="n"/>
      <c r="H737" s="90" t="n"/>
      <c r="I737" s="90" t="n"/>
      <c r="J737" s="90" t="n"/>
      <c r="K737" s="90" t="n"/>
      <c r="L737" s="90" t="n"/>
      <c r="M737" s="90" t="n"/>
      <c r="N737" s="90" t="n"/>
      <c r="O737" s="90" t="n"/>
      <c r="P737" s="90" t="n"/>
      <c r="Q737" s="90" t="n"/>
      <c r="R737" s="90" t="n"/>
      <c r="S737" s="90" t="n"/>
      <c r="T737" s="90" t="n"/>
      <c r="U737" s="90" t="n"/>
      <c r="V737" s="90" t="n"/>
      <c r="W737" s="90" t="n"/>
      <c r="X737" s="90" t="n"/>
      <c r="Y737" s="90" t="n"/>
      <c r="Z737" s="90" t="n"/>
    </row>
    <row r="738">
      <c r="A738" s="90" t="n"/>
      <c r="B738" s="90" t="n"/>
      <c r="C738" s="90" t="n"/>
      <c r="D738" s="90" t="n"/>
      <c r="E738" s="90" t="n"/>
      <c r="F738" s="90" t="n"/>
      <c r="G738" s="90" t="n"/>
      <c r="H738" s="90" t="n"/>
      <c r="I738" s="90" t="n"/>
      <c r="J738" s="90" t="n"/>
      <c r="K738" s="90" t="n"/>
      <c r="L738" s="90" t="n"/>
      <c r="M738" s="90" t="n"/>
      <c r="N738" s="90" t="n"/>
      <c r="O738" s="90" t="n"/>
      <c r="P738" s="90" t="n"/>
      <c r="Q738" s="90" t="n"/>
      <c r="R738" s="90" t="n"/>
      <c r="S738" s="90" t="n"/>
      <c r="T738" s="90" t="n"/>
      <c r="U738" s="90" t="n"/>
      <c r="V738" s="90" t="n"/>
      <c r="W738" s="90" t="n"/>
      <c r="X738" s="90" t="n"/>
      <c r="Y738" s="90" t="n"/>
      <c r="Z738" s="90" t="n"/>
    </row>
    <row r="739">
      <c r="A739" s="90" t="n"/>
      <c r="B739" s="90" t="n"/>
      <c r="C739" s="90" t="n"/>
      <c r="D739" s="90" t="n"/>
      <c r="E739" s="90" t="n"/>
      <c r="F739" s="90" t="n"/>
      <c r="G739" s="90" t="n"/>
      <c r="H739" s="90" t="n"/>
      <c r="I739" s="90" t="n"/>
      <c r="J739" s="90" t="n"/>
      <c r="K739" s="90" t="n"/>
      <c r="L739" s="90" t="n"/>
      <c r="M739" s="90" t="n"/>
      <c r="N739" s="90" t="n"/>
      <c r="O739" s="90" t="n"/>
      <c r="P739" s="90" t="n"/>
      <c r="Q739" s="90" t="n"/>
      <c r="R739" s="90" t="n"/>
      <c r="S739" s="90" t="n"/>
      <c r="T739" s="90" t="n"/>
      <c r="U739" s="90" t="n"/>
      <c r="V739" s="90" t="n"/>
      <c r="W739" s="90" t="n"/>
      <c r="X739" s="90" t="n"/>
      <c r="Y739" s="90" t="n"/>
      <c r="Z739" s="90" t="n"/>
    </row>
    <row r="740">
      <c r="A740" s="90" t="n"/>
      <c r="B740" s="90" t="n"/>
      <c r="C740" s="90" t="n"/>
      <c r="D740" s="90" t="n"/>
      <c r="E740" s="90" t="n"/>
      <c r="F740" s="90" t="n"/>
      <c r="G740" s="90" t="n"/>
      <c r="H740" s="90" t="n"/>
      <c r="I740" s="90" t="n"/>
      <c r="J740" s="90" t="n"/>
      <c r="K740" s="90" t="n"/>
      <c r="L740" s="90" t="n"/>
      <c r="M740" s="90" t="n"/>
      <c r="N740" s="90" t="n"/>
      <c r="O740" s="90" t="n"/>
      <c r="P740" s="90" t="n"/>
      <c r="Q740" s="90" t="n"/>
      <c r="R740" s="90" t="n"/>
      <c r="S740" s="90" t="n"/>
      <c r="T740" s="90" t="n"/>
      <c r="U740" s="90" t="n"/>
      <c r="V740" s="90" t="n"/>
      <c r="W740" s="90" t="n"/>
      <c r="X740" s="90" t="n"/>
      <c r="Y740" s="90" t="n"/>
      <c r="Z740" s="90" t="n"/>
    </row>
    <row r="741">
      <c r="A741" s="90" t="n"/>
      <c r="B741" s="90" t="n"/>
      <c r="C741" s="90" t="n"/>
      <c r="D741" s="90" t="n"/>
      <c r="E741" s="90" t="n"/>
      <c r="F741" s="90" t="n"/>
      <c r="G741" s="90" t="n"/>
      <c r="H741" s="90" t="n"/>
      <c r="I741" s="90" t="n"/>
      <c r="J741" s="90" t="n"/>
      <c r="K741" s="90" t="n"/>
      <c r="L741" s="90" t="n"/>
      <c r="M741" s="90" t="n"/>
      <c r="N741" s="90" t="n"/>
      <c r="O741" s="90" t="n"/>
      <c r="P741" s="90" t="n"/>
      <c r="Q741" s="90" t="n"/>
      <c r="R741" s="90" t="n"/>
      <c r="S741" s="90" t="n"/>
      <c r="T741" s="90" t="n"/>
      <c r="U741" s="90" t="n"/>
      <c r="V741" s="90" t="n"/>
      <c r="W741" s="90" t="n"/>
      <c r="X741" s="90" t="n"/>
      <c r="Y741" s="90" t="n"/>
      <c r="Z741" s="90" t="n"/>
    </row>
    <row r="742">
      <c r="A742" s="90" t="n"/>
      <c r="B742" s="90" t="n"/>
      <c r="C742" s="90" t="n"/>
      <c r="D742" s="90" t="n"/>
      <c r="E742" s="90" t="n"/>
      <c r="F742" s="90" t="n"/>
      <c r="G742" s="90" t="n"/>
      <c r="H742" s="90" t="n"/>
      <c r="I742" s="90" t="n"/>
      <c r="J742" s="90" t="n"/>
      <c r="K742" s="90" t="n"/>
      <c r="L742" s="90" t="n"/>
      <c r="M742" s="90" t="n"/>
      <c r="N742" s="90" t="n"/>
      <c r="O742" s="90" t="n"/>
      <c r="P742" s="90" t="n"/>
      <c r="Q742" s="90" t="n"/>
      <c r="R742" s="90" t="n"/>
      <c r="S742" s="90" t="n"/>
      <c r="T742" s="90" t="n"/>
      <c r="U742" s="90" t="n"/>
      <c r="V742" s="90" t="n"/>
      <c r="W742" s="90" t="n"/>
      <c r="X742" s="90" t="n"/>
      <c r="Y742" s="90" t="n"/>
      <c r="Z742" s="90" t="n"/>
    </row>
    <row r="743">
      <c r="A743" s="90" t="n"/>
      <c r="B743" s="90" t="n"/>
      <c r="C743" s="90" t="n"/>
      <c r="D743" s="90" t="n"/>
      <c r="E743" s="90" t="n"/>
      <c r="F743" s="90" t="n"/>
      <c r="G743" s="90" t="n"/>
      <c r="H743" s="90" t="n"/>
      <c r="I743" s="90" t="n"/>
      <c r="J743" s="90" t="n"/>
      <c r="K743" s="90" t="n"/>
      <c r="L743" s="90" t="n"/>
      <c r="M743" s="90" t="n"/>
      <c r="N743" s="90" t="n"/>
      <c r="O743" s="90" t="n"/>
      <c r="P743" s="90" t="n"/>
      <c r="Q743" s="90" t="n"/>
      <c r="R743" s="90" t="n"/>
      <c r="S743" s="90" t="n"/>
      <c r="T743" s="90" t="n"/>
      <c r="U743" s="90" t="n"/>
      <c r="V743" s="90" t="n"/>
      <c r="W743" s="90" t="n"/>
      <c r="X743" s="90" t="n"/>
      <c r="Y743" s="90" t="n"/>
      <c r="Z743" s="90" t="n"/>
    </row>
    <row r="744">
      <c r="A744" s="90" t="n"/>
      <c r="B744" s="90" t="n"/>
      <c r="C744" s="90" t="n"/>
      <c r="D744" s="90" t="n"/>
      <c r="E744" s="90" t="n"/>
      <c r="F744" s="90" t="n"/>
      <c r="G744" s="90" t="n"/>
      <c r="H744" s="90" t="n"/>
      <c r="I744" s="90" t="n"/>
      <c r="J744" s="90" t="n"/>
      <c r="K744" s="90" t="n"/>
      <c r="L744" s="90" t="n"/>
      <c r="M744" s="90" t="n"/>
      <c r="N744" s="90" t="n"/>
      <c r="O744" s="90" t="n"/>
      <c r="P744" s="90" t="n"/>
      <c r="Q744" s="90" t="n"/>
      <c r="R744" s="90" t="n"/>
      <c r="S744" s="90" t="n"/>
      <c r="T744" s="90" t="n"/>
      <c r="U744" s="90" t="n"/>
      <c r="V744" s="90" t="n"/>
      <c r="W744" s="90" t="n"/>
      <c r="X744" s="90" t="n"/>
      <c r="Y744" s="90" t="n"/>
      <c r="Z744" s="90" t="n"/>
    </row>
    <row r="745">
      <c r="A745" s="90" t="n"/>
      <c r="B745" s="90" t="n"/>
      <c r="C745" s="90" t="n"/>
      <c r="D745" s="90" t="n"/>
      <c r="E745" s="90" t="n"/>
      <c r="F745" s="90" t="n"/>
      <c r="G745" s="90" t="n"/>
      <c r="H745" s="90" t="n"/>
      <c r="I745" s="90" t="n"/>
      <c r="J745" s="90" t="n"/>
      <c r="K745" s="90" t="n"/>
      <c r="L745" s="90" t="n"/>
      <c r="M745" s="90" t="n"/>
      <c r="N745" s="90" t="n"/>
      <c r="O745" s="90" t="n"/>
      <c r="P745" s="90" t="n"/>
      <c r="Q745" s="90" t="n"/>
      <c r="R745" s="90" t="n"/>
      <c r="S745" s="90" t="n"/>
      <c r="T745" s="90" t="n"/>
      <c r="U745" s="90" t="n"/>
      <c r="V745" s="90" t="n"/>
      <c r="W745" s="90" t="n"/>
      <c r="X745" s="90" t="n"/>
      <c r="Y745" s="90" t="n"/>
      <c r="Z745" s="90" t="n"/>
    </row>
    <row r="746">
      <c r="A746" s="90" t="n"/>
      <c r="B746" s="90" t="n"/>
      <c r="C746" s="90" t="n"/>
      <c r="D746" s="90" t="n"/>
      <c r="E746" s="90" t="n"/>
      <c r="F746" s="90" t="n"/>
      <c r="G746" s="90" t="n"/>
      <c r="H746" s="90" t="n"/>
      <c r="I746" s="90" t="n"/>
      <c r="J746" s="90" t="n"/>
      <c r="K746" s="90" t="n"/>
      <c r="L746" s="90" t="n"/>
      <c r="M746" s="90" t="n"/>
      <c r="N746" s="90" t="n"/>
      <c r="O746" s="90" t="n"/>
      <c r="P746" s="90" t="n"/>
      <c r="Q746" s="90" t="n"/>
      <c r="R746" s="90" t="n"/>
      <c r="S746" s="90" t="n"/>
      <c r="T746" s="90" t="n"/>
      <c r="U746" s="90" t="n"/>
      <c r="V746" s="90" t="n"/>
      <c r="W746" s="90" t="n"/>
      <c r="X746" s="90" t="n"/>
      <c r="Y746" s="90" t="n"/>
      <c r="Z746" s="90" t="n"/>
    </row>
    <row r="747">
      <c r="A747" s="90" t="n"/>
      <c r="B747" s="90" t="n"/>
      <c r="C747" s="90" t="n"/>
      <c r="D747" s="90" t="n"/>
      <c r="E747" s="90" t="n"/>
      <c r="F747" s="90" t="n"/>
      <c r="G747" s="90" t="n"/>
      <c r="H747" s="90" t="n"/>
      <c r="I747" s="90" t="n"/>
      <c r="J747" s="90" t="n"/>
      <c r="K747" s="90" t="n"/>
      <c r="L747" s="90" t="n"/>
      <c r="M747" s="90" t="n"/>
      <c r="N747" s="90" t="n"/>
      <c r="O747" s="90" t="n"/>
      <c r="P747" s="90" t="n"/>
      <c r="Q747" s="90" t="n"/>
      <c r="R747" s="90" t="n"/>
      <c r="S747" s="90" t="n"/>
      <c r="T747" s="90" t="n"/>
      <c r="U747" s="90" t="n"/>
      <c r="V747" s="90" t="n"/>
      <c r="W747" s="90" t="n"/>
      <c r="X747" s="90" t="n"/>
      <c r="Y747" s="90" t="n"/>
      <c r="Z747" s="90" t="n"/>
    </row>
    <row r="748">
      <c r="A748" s="90" t="n"/>
      <c r="B748" s="90" t="n"/>
      <c r="C748" s="90" t="n"/>
      <c r="D748" s="90" t="n"/>
      <c r="E748" s="90" t="n"/>
      <c r="F748" s="90" t="n"/>
      <c r="G748" s="90" t="n"/>
      <c r="H748" s="90" t="n"/>
      <c r="I748" s="90" t="n"/>
      <c r="J748" s="90" t="n"/>
      <c r="K748" s="90" t="n"/>
      <c r="L748" s="90" t="n"/>
      <c r="M748" s="90" t="n"/>
      <c r="N748" s="90" t="n"/>
      <c r="O748" s="90" t="n"/>
      <c r="P748" s="90" t="n"/>
      <c r="Q748" s="90" t="n"/>
      <c r="R748" s="90" t="n"/>
      <c r="S748" s="90" t="n"/>
      <c r="T748" s="90" t="n"/>
      <c r="U748" s="90" t="n"/>
      <c r="V748" s="90" t="n"/>
      <c r="W748" s="90" t="n"/>
      <c r="X748" s="90" t="n"/>
      <c r="Y748" s="90" t="n"/>
      <c r="Z748" s="90" t="n"/>
    </row>
    <row r="749">
      <c r="A749" s="90" t="n"/>
      <c r="B749" s="90" t="n"/>
      <c r="C749" s="90" t="n"/>
      <c r="D749" s="90" t="n"/>
      <c r="E749" s="90" t="n"/>
      <c r="F749" s="90" t="n"/>
      <c r="G749" s="90" t="n"/>
      <c r="H749" s="90" t="n"/>
      <c r="I749" s="90" t="n"/>
      <c r="J749" s="90" t="n"/>
      <c r="K749" s="90" t="n"/>
      <c r="L749" s="90" t="n"/>
      <c r="M749" s="90" t="n"/>
      <c r="N749" s="90" t="n"/>
      <c r="O749" s="90" t="n"/>
      <c r="P749" s="90" t="n"/>
      <c r="Q749" s="90" t="n"/>
      <c r="R749" s="90" t="n"/>
      <c r="S749" s="90" t="n"/>
      <c r="T749" s="90" t="n"/>
      <c r="U749" s="90" t="n"/>
      <c r="V749" s="90" t="n"/>
      <c r="W749" s="90" t="n"/>
      <c r="X749" s="90" t="n"/>
      <c r="Y749" s="90" t="n"/>
      <c r="Z749" s="90" t="n"/>
    </row>
    <row r="750">
      <c r="A750" s="90" t="n"/>
      <c r="B750" s="90" t="n"/>
      <c r="C750" s="90" t="n"/>
      <c r="D750" s="90" t="n"/>
      <c r="E750" s="90" t="n"/>
      <c r="F750" s="90" t="n"/>
      <c r="G750" s="90" t="n"/>
      <c r="H750" s="90" t="n"/>
      <c r="I750" s="90" t="n"/>
      <c r="J750" s="90" t="n"/>
      <c r="K750" s="90" t="n"/>
      <c r="L750" s="90" t="n"/>
      <c r="M750" s="90" t="n"/>
      <c r="N750" s="90" t="n"/>
      <c r="O750" s="90" t="n"/>
      <c r="P750" s="90" t="n"/>
      <c r="Q750" s="90" t="n"/>
      <c r="R750" s="90" t="n"/>
      <c r="S750" s="90" t="n"/>
      <c r="T750" s="90" t="n"/>
      <c r="U750" s="90" t="n"/>
      <c r="V750" s="90" t="n"/>
      <c r="W750" s="90" t="n"/>
      <c r="X750" s="90" t="n"/>
      <c r="Y750" s="90" t="n"/>
      <c r="Z750" s="90" t="n"/>
    </row>
    <row r="751">
      <c r="A751" s="90" t="n"/>
      <c r="B751" s="90" t="n"/>
      <c r="C751" s="90" t="n"/>
      <c r="D751" s="90" t="n"/>
      <c r="E751" s="90" t="n"/>
      <c r="F751" s="90" t="n"/>
      <c r="G751" s="90" t="n"/>
      <c r="H751" s="90" t="n"/>
      <c r="I751" s="90" t="n"/>
      <c r="J751" s="90" t="n"/>
      <c r="K751" s="90" t="n"/>
      <c r="L751" s="90" t="n"/>
      <c r="M751" s="90" t="n"/>
      <c r="N751" s="90" t="n"/>
      <c r="O751" s="90" t="n"/>
      <c r="P751" s="90" t="n"/>
      <c r="Q751" s="90" t="n"/>
      <c r="R751" s="90" t="n"/>
      <c r="S751" s="90" t="n"/>
      <c r="T751" s="90" t="n"/>
      <c r="U751" s="90" t="n"/>
      <c r="V751" s="90" t="n"/>
      <c r="W751" s="90" t="n"/>
      <c r="X751" s="90" t="n"/>
      <c r="Y751" s="90" t="n"/>
      <c r="Z751" s="90" t="n"/>
    </row>
    <row r="752">
      <c r="A752" s="90" t="n"/>
      <c r="B752" s="90" t="n"/>
      <c r="C752" s="90" t="n"/>
      <c r="D752" s="90" t="n"/>
      <c r="E752" s="90" t="n"/>
      <c r="F752" s="90" t="n"/>
      <c r="G752" s="90" t="n"/>
      <c r="H752" s="90" t="n"/>
      <c r="I752" s="90" t="n"/>
      <c r="J752" s="90" t="n"/>
      <c r="K752" s="90" t="n"/>
      <c r="L752" s="90" t="n"/>
      <c r="M752" s="90" t="n"/>
      <c r="N752" s="90" t="n"/>
      <c r="O752" s="90" t="n"/>
      <c r="P752" s="90" t="n"/>
      <c r="Q752" s="90" t="n"/>
      <c r="R752" s="90" t="n"/>
      <c r="S752" s="90" t="n"/>
      <c r="T752" s="90" t="n"/>
      <c r="U752" s="90" t="n"/>
      <c r="V752" s="90" t="n"/>
      <c r="W752" s="90" t="n"/>
      <c r="X752" s="90" t="n"/>
      <c r="Y752" s="90" t="n"/>
      <c r="Z752" s="90" t="n"/>
    </row>
    <row r="753">
      <c r="A753" s="90" t="n"/>
      <c r="B753" s="90" t="n"/>
      <c r="C753" s="90" t="n"/>
      <c r="D753" s="90" t="n"/>
      <c r="E753" s="90" t="n"/>
      <c r="F753" s="90" t="n"/>
      <c r="G753" s="90" t="n"/>
      <c r="H753" s="90" t="n"/>
      <c r="I753" s="90" t="n"/>
      <c r="J753" s="90" t="n"/>
      <c r="K753" s="90" t="n"/>
      <c r="L753" s="90" t="n"/>
      <c r="M753" s="90" t="n"/>
      <c r="N753" s="90" t="n"/>
      <c r="O753" s="90" t="n"/>
      <c r="P753" s="90" t="n"/>
      <c r="Q753" s="90" t="n"/>
      <c r="R753" s="90" t="n"/>
      <c r="S753" s="90" t="n"/>
      <c r="T753" s="90" t="n"/>
      <c r="U753" s="90" t="n"/>
      <c r="V753" s="90" t="n"/>
      <c r="W753" s="90" t="n"/>
      <c r="X753" s="90" t="n"/>
      <c r="Y753" s="90" t="n"/>
      <c r="Z753" s="90" t="n"/>
    </row>
    <row r="754">
      <c r="A754" s="90" t="n"/>
      <c r="B754" s="90" t="n"/>
      <c r="C754" s="90" t="n"/>
      <c r="D754" s="90" t="n"/>
      <c r="E754" s="90" t="n"/>
      <c r="F754" s="90" t="n"/>
      <c r="G754" s="90" t="n"/>
      <c r="H754" s="90" t="n"/>
      <c r="I754" s="90" t="n"/>
      <c r="J754" s="90" t="n"/>
      <c r="K754" s="90" t="n"/>
      <c r="L754" s="90" t="n"/>
      <c r="M754" s="90" t="n"/>
      <c r="N754" s="90" t="n"/>
      <c r="O754" s="90" t="n"/>
      <c r="P754" s="90" t="n"/>
      <c r="Q754" s="90" t="n"/>
      <c r="R754" s="90" t="n"/>
      <c r="S754" s="90" t="n"/>
      <c r="T754" s="90" t="n"/>
      <c r="U754" s="90" t="n"/>
      <c r="V754" s="90" t="n"/>
      <c r="W754" s="90" t="n"/>
      <c r="X754" s="90" t="n"/>
      <c r="Y754" s="90" t="n"/>
      <c r="Z754" s="90" t="n"/>
    </row>
    <row r="755">
      <c r="A755" s="90" t="n"/>
      <c r="B755" s="90" t="n"/>
      <c r="C755" s="90" t="n"/>
      <c r="D755" s="90" t="n"/>
      <c r="E755" s="90" t="n"/>
      <c r="F755" s="90" t="n"/>
      <c r="G755" s="90" t="n"/>
      <c r="H755" s="90" t="n"/>
      <c r="I755" s="90" t="n"/>
      <c r="J755" s="90" t="n"/>
      <c r="K755" s="90" t="n"/>
      <c r="L755" s="90" t="n"/>
      <c r="M755" s="90" t="n"/>
      <c r="N755" s="90" t="n"/>
      <c r="O755" s="90" t="n"/>
      <c r="P755" s="90" t="n"/>
      <c r="Q755" s="90" t="n"/>
      <c r="R755" s="90" t="n"/>
      <c r="S755" s="90" t="n"/>
      <c r="T755" s="90" t="n"/>
      <c r="U755" s="90" t="n"/>
      <c r="V755" s="90" t="n"/>
      <c r="W755" s="90" t="n"/>
      <c r="X755" s="90" t="n"/>
      <c r="Y755" s="90" t="n"/>
      <c r="Z755" s="90" t="n"/>
    </row>
    <row r="756">
      <c r="A756" s="90" t="n"/>
      <c r="B756" s="90" t="n"/>
      <c r="C756" s="90" t="n"/>
      <c r="D756" s="90" t="n"/>
      <c r="E756" s="90" t="n"/>
      <c r="F756" s="90" t="n"/>
      <c r="G756" s="90" t="n"/>
      <c r="H756" s="90" t="n"/>
      <c r="I756" s="90" t="n"/>
      <c r="J756" s="90" t="n"/>
      <c r="K756" s="90" t="n"/>
      <c r="L756" s="90" t="n"/>
      <c r="M756" s="90" t="n"/>
      <c r="N756" s="90" t="n"/>
      <c r="O756" s="90" t="n"/>
      <c r="P756" s="90" t="n"/>
      <c r="Q756" s="90" t="n"/>
      <c r="R756" s="90" t="n"/>
      <c r="S756" s="90" t="n"/>
      <c r="T756" s="90" t="n"/>
      <c r="U756" s="90" t="n"/>
      <c r="V756" s="90" t="n"/>
      <c r="W756" s="90" t="n"/>
      <c r="X756" s="90" t="n"/>
      <c r="Y756" s="90" t="n"/>
      <c r="Z756" s="90" t="n"/>
    </row>
    <row r="757">
      <c r="A757" s="90" t="n"/>
      <c r="B757" s="90" t="n"/>
      <c r="C757" s="90" t="n"/>
      <c r="D757" s="90" t="n"/>
      <c r="E757" s="90" t="n"/>
      <c r="F757" s="90" t="n"/>
      <c r="G757" s="90" t="n"/>
      <c r="H757" s="90" t="n"/>
      <c r="I757" s="90" t="n"/>
      <c r="J757" s="90" t="n"/>
      <c r="K757" s="90" t="n"/>
      <c r="L757" s="90" t="n"/>
      <c r="M757" s="90" t="n"/>
      <c r="N757" s="90" t="n"/>
      <c r="O757" s="90" t="n"/>
      <c r="P757" s="90" t="n"/>
      <c r="Q757" s="90" t="n"/>
      <c r="R757" s="90" t="n"/>
      <c r="S757" s="90" t="n"/>
      <c r="T757" s="90" t="n"/>
      <c r="U757" s="90" t="n"/>
      <c r="V757" s="90" t="n"/>
      <c r="W757" s="90" t="n"/>
      <c r="X757" s="90" t="n"/>
      <c r="Y757" s="90" t="n"/>
      <c r="Z757" s="90" t="n"/>
    </row>
    <row r="758">
      <c r="A758" s="90" t="n"/>
      <c r="B758" s="90" t="n"/>
      <c r="C758" s="90" t="n"/>
      <c r="D758" s="90" t="n"/>
      <c r="E758" s="90" t="n"/>
      <c r="F758" s="90" t="n"/>
      <c r="G758" s="90" t="n"/>
      <c r="H758" s="90" t="n"/>
      <c r="I758" s="90" t="n"/>
      <c r="J758" s="90" t="n"/>
      <c r="K758" s="90" t="n"/>
      <c r="L758" s="90" t="n"/>
      <c r="M758" s="90" t="n"/>
      <c r="N758" s="90" t="n"/>
      <c r="O758" s="90" t="n"/>
      <c r="P758" s="90" t="n"/>
      <c r="Q758" s="90" t="n"/>
      <c r="R758" s="90" t="n"/>
      <c r="S758" s="90" t="n"/>
      <c r="T758" s="90" t="n"/>
      <c r="U758" s="90" t="n"/>
      <c r="V758" s="90" t="n"/>
      <c r="W758" s="90" t="n"/>
      <c r="X758" s="90" t="n"/>
      <c r="Y758" s="90" t="n"/>
      <c r="Z758" s="90" t="n"/>
    </row>
    <row r="759">
      <c r="A759" s="90" t="n"/>
      <c r="B759" s="90" t="n"/>
      <c r="C759" s="90" t="n"/>
      <c r="D759" s="90" t="n"/>
      <c r="E759" s="90" t="n"/>
      <c r="F759" s="90" t="n"/>
      <c r="G759" s="90" t="n"/>
      <c r="H759" s="90" t="n"/>
      <c r="I759" s="90" t="n"/>
      <c r="J759" s="90" t="n"/>
      <c r="K759" s="90" t="n"/>
      <c r="L759" s="90" t="n"/>
      <c r="M759" s="90" t="n"/>
      <c r="N759" s="90" t="n"/>
      <c r="O759" s="90" t="n"/>
      <c r="P759" s="90" t="n"/>
      <c r="Q759" s="90" t="n"/>
      <c r="R759" s="90" t="n"/>
      <c r="S759" s="90" t="n"/>
      <c r="T759" s="90" t="n"/>
      <c r="U759" s="90" t="n"/>
      <c r="V759" s="90" t="n"/>
      <c r="W759" s="90" t="n"/>
      <c r="X759" s="90" t="n"/>
      <c r="Y759" s="90" t="n"/>
      <c r="Z759" s="90" t="n"/>
    </row>
    <row r="760">
      <c r="A760" s="90" t="n"/>
      <c r="B760" s="90" t="n"/>
      <c r="C760" s="90" t="n"/>
      <c r="D760" s="90" t="n"/>
      <c r="E760" s="90" t="n"/>
      <c r="F760" s="90" t="n"/>
      <c r="G760" s="90" t="n"/>
      <c r="H760" s="90" t="n"/>
      <c r="I760" s="90" t="n"/>
      <c r="J760" s="90" t="n"/>
      <c r="K760" s="90" t="n"/>
      <c r="L760" s="90" t="n"/>
      <c r="M760" s="90" t="n"/>
      <c r="N760" s="90" t="n"/>
      <c r="O760" s="90" t="n"/>
      <c r="P760" s="90" t="n"/>
      <c r="Q760" s="90" t="n"/>
      <c r="R760" s="90" t="n"/>
      <c r="S760" s="90" t="n"/>
      <c r="T760" s="90" t="n"/>
      <c r="U760" s="90" t="n"/>
      <c r="V760" s="90" t="n"/>
      <c r="W760" s="90" t="n"/>
      <c r="X760" s="90" t="n"/>
      <c r="Y760" s="90" t="n"/>
      <c r="Z760" s="90" t="n"/>
    </row>
    <row r="761">
      <c r="A761" s="90" t="n"/>
      <c r="B761" s="90" t="n"/>
      <c r="C761" s="90" t="n"/>
      <c r="D761" s="90" t="n"/>
      <c r="E761" s="90" t="n"/>
      <c r="F761" s="90" t="n"/>
      <c r="G761" s="90" t="n"/>
      <c r="H761" s="90" t="n"/>
      <c r="I761" s="90" t="n"/>
      <c r="J761" s="90" t="n"/>
      <c r="K761" s="90" t="n"/>
      <c r="L761" s="90" t="n"/>
      <c r="M761" s="90" t="n"/>
      <c r="N761" s="90" t="n"/>
      <c r="O761" s="90" t="n"/>
      <c r="P761" s="90" t="n"/>
      <c r="Q761" s="90" t="n"/>
      <c r="R761" s="90" t="n"/>
      <c r="S761" s="90" t="n"/>
      <c r="T761" s="90" t="n"/>
      <c r="U761" s="90" t="n"/>
      <c r="V761" s="90" t="n"/>
      <c r="W761" s="90" t="n"/>
      <c r="X761" s="90" t="n"/>
      <c r="Y761" s="90" t="n"/>
      <c r="Z761" s="90" t="n"/>
    </row>
    <row r="762">
      <c r="A762" s="90" t="n"/>
      <c r="B762" s="90" t="n"/>
      <c r="C762" s="90" t="n"/>
      <c r="D762" s="90" t="n"/>
      <c r="E762" s="90" t="n"/>
      <c r="F762" s="90" t="n"/>
      <c r="G762" s="90" t="n"/>
      <c r="H762" s="90" t="n"/>
      <c r="I762" s="90" t="n"/>
      <c r="J762" s="90" t="n"/>
      <c r="K762" s="90" t="n"/>
      <c r="L762" s="90" t="n"/>
      <c r="M762" s="90" t="n"/>
      <c r="N762" s="90" t="n"/>
      <c r="O762" s="90" t="n"/>
      <c r="P762" s="90" t="n"/>
      <c r="Q762" s="90" t="n"/>
      <c r="R762" s="90" t="n"/>
      <c r="S762" s="90" t="n"/>
      <c r="T762" s="90" t="n"/>
      <c r="U762" s="90" t="n"/>
      <c r="V762" s="90" t="n"/>
      <c r="W762" s="90" t="n"/>
      <c r="X762" s="90" t="n"/>
      <c r="Y762" s="90" t="n"/>
      <c r="Z762" s="90" t="n"/>
    </row>
    <row r="763">
      <c r="A763" s="90" t="n"/>
      <c r="B763" s="90" t="n"/>
      <c r="C763" s="90" t="n"/>
      <c r="D763" s="90" t="n"/>
      <c r="E763" s="90" t="n"/>
      <c r="F763" s="90" t="n"/>
      <c r="G763" s="90" t="n"/>
      <c r="H763" s="90" t="n"/>
      <c r="I763" s="90" t="n"/>
      <c r="J763" s="90" t="n"/>
      <c r="K763" s="90" t="n"/>
      <c r="L763" s="90" t="n"/>
      <c r="M763" s="90" t="n"/>
      <c r="N763" s="90" t="n"/>
      <c r="O763" s="90" t="n"/>
      <c r="P763" s="90" t="n"/>
      <c r="Q763" s="90" t="n"/>
      <c r="R763" s="90" t="n"/>
      <c r="S763" s="90" t="n"/>
      <c r="T763" s="90" t="n"/>
      <c r="U763" s="90" t="n"/>
      <c r="V763" s="90" t="n"/>
      <c r="W763" s="90" t="n"/>
      <c r="X763" s="90" t="n"/>
      <c r="Y763" s="90" t="n"/>
      <c r="Z763" s="90" t="n"/>
    </row>
    <row r="764">
      <c r="A764" s="90" t="n"/>
      <c r="B764" s="90" t="n"/>
      <c r="C764" s="90" t="n"/>
      <c r="D764" s="90" t="n"/>
      <c r="E764" s="90" t="n"/>
      <c r="F764" s="90" t="n"/>
      <c r="G764" s="90" t="n"/>
      <c r="H764" s="90" t="n"/>
      <c r="I764" s="90" t="n"/>
      <c r="J764" s="90" t="n"/>
      <c r="K764" s="90" t="n"/>
      <c r="L764" s="90" t="n"/>
      <c r="M764" s="90" t="n"/>
      <c r="N764" s="90" t="n"/>
      <c r="O764" s="90" t="n"/>
      <c r="P764" s="90" t="n"/>
      <c r="Q764" s="90" t="n"/>
      <c r="R764" s="90" t="n"/>
      <c r="S764" s="90" t="n"/>
      <c r="T764" s="90" t="n"/>
      <c r="U764" s="90" t="n"/>
      <c r="V764" s="90" t="n"/>
      <c r="W764" s="90" t="n"/>
      <c r="X764" s="90" t="n"/>
      <c r="Y764" s="90" t="n"/>
      <c r="Z764" s="90" t="n"/>
    </row>
    <row r="765">
      <c r="A765" s="90" t="n"/>
      <c r="B765" s="90" t="n"/>
      <c r="C765" s="90" t="n"/>
      <c r="D765" s="90" t="n"/>
      <c r="E765" s="90" t="n"/>
      <c r="F765" s="90" t="n"/>
      <c r="G765" s="90" t="n"/>
      <c r="H765" s="90" t="n"/>
      <c r="I765" s="90" t="n"/>
      <c r="J765" s="90" t="n"/>
      <c r="K765" s="90" t="n"/>
      <c r="L765" s="90" t="n"/>
      <c r="M765" s="90" t="n"/>
      <c r="N765" s="90" t="n"/>
      <c r="O765" s="90" t="n"/>
      <c r="P765" s="90" t="n"/>
      <c r="Q765" s="90" t="n"/>
      <c r="R765" s="90" t="n"/>
      <c r="S765" s="90" t="n"/>
      <c r="T765" s="90" t="n"/>
      <c r="U765" s="90" t="n"/>
      <c r="V765" s="90" t="n"/>
      <c r="W765" s="90" t="n"/>
      <c r="X765" s="90" t="n"/>
      <c r="Y765" s="90" t="n"/>
      <c r="Z765" s="90" t="n"/>
    </row>
    <row r="766">
      <c r="A766" s="90" t="n"/>
      <c r="B766" s="90" t="n"/>
      <c r="C766" s="90" t="n"/>
      <c r="D766" s="90" t="n"/>
      <c r="E766" s="90" t="n"/>
      <c r="F766" s="90" t="n"/>
      <c r="G766" s="90" t="n"/>
      <c r="H766" s="90" t="n"/>
      <c r="I766" s="90" t="n"/>
      <c r="J766" s="90" t="n"/>
      <c r="K766" s="90" t="n"/>
      <c r="L766" s="90" t="n"/>
      <c r="M766" s="90" t="n"/>
      <c r="N766" s="90" t="n"/>
      <c r="O766" s="90" t="n"/>
      <c r="P766" s="90" t="n"/>
      <c r="Q766" s="90" t="n"/>
      <c r="R766" s="90" t="n"/>
      <c r="S766" s="90" t="n"/>
      <c r="T766" s="90" t="n"/>
      <c r="U766" s="90" t="n"/>
      <c r="V766" s="90" t="n"/>
      <c r="W766" s="90" t="n"/>
      <c r="X766" s="90" t="n"/>
      <c r="Y766" s="90" t="n"/>
      <c r="Z766" s="90" t="n"/>
    </row>
    <row r="767">
      <c r="A767" s="90" t="n"/>
      <c r="B767" s="90" t="n"/>
      <c r="C767" s="90" t="n"/>
      <c r="D767" s="90" t="n"/>
      <c r="E767" s="90" t="n"/>
      <c r="F767" s="90" t="n"/>
      <c r="G767" s="90" t="n"/>
      <c r="H767" s="90" t="n"/>
      <c r="I767" s="90" t="n"/>
      <c r="J767" s="90" t="n"/>
      <c r="K767" s="90" t="n"/>
      <c r="L767" s="90" t="n"/>
      <c r="M767" s="90" t="n"/>
      <c r="N767" s="90" t="n"/>
      <c r="O767" s="90" t="n"/>
      <c r="P767" s="90" t="n"/>
      <c r="Q767" s="90" t="n"/>
      <c r="R767" s="90" t="n"/>
      <c r="S767" s="90" t="n"/>
      <c r="T767" s="90" t="n"/>
      <c r="U767" s="90" t="n"/>
      <c r="V767" s="90" t="n"/>
      <c r="W767" s="90" t="n"/>
      <c r="X767" s="90" t="n"/>
      <c r="Y767" s="90" t="n"/>
      <c r="Z767" s="90" t="n"/>
    </row>
    <row r="768">
      <c r="A768" s="90" t="n"/>
      <c r="B768" s="90" t="n"/>
      <c r="C768" s="90" t="n"/>
      <c r="D768" s="90" t="n"/>
      <c r="E768" s="90" t="n"/>
      <c r="F768" s="90" t="n"/>
      <c r="G768" s="90" t="n"/>
      <c r="H768" s="90" t="n"/>
      <c r="I768" s="90" t="n"/>
      <c r="J768" s="90" t="n"/>
      <c r="K768" s="90" t="n"/>
      <c r="L768" s="90" t="n"/>
      <c r="M768" s="90" t="n"/>
      <c r="N768" s="90" t="n"/>
      <c r="O768" s="90" t="n"/>
      <c r="P768" s="90" t="n"/>
      <c r="Q768" s="90" t="n"/>
      <c r="R768" s="90" t="n"/>
      <c r="S768" s="90" t="n"/>
      <c r="T768" s="90" t="n"/>
      <c r="U768" s="90" t="n"/>
      <c r="V768" s="90" t="n"/>
      <c r="W768" s="90" t="n"/>
      <c r="X768" s="90" t="n"/>
      <c r="Y768" s="90" t="n"/>
      <c r="Z768" s="90" t="n"/>
    </row>
    <row r="769">
      <c r="A769" s="90" t="n"/>
      <c r="B769" s="90" t="n"/>
      <c r="C769" s="90" t="n"/>
      <c r="D769" s="90" t="n"/>
      <c r="E769" s="90" t="n"/>
      <c r="F769" s="90" t="n"/>
      <c r="G769" s="90" t="n"/>
      <c r="H769" s="90" t="n"/>
      <c r="I769" s="90" t="n"/>
      <c r="J769" s="90" t="n"/>
      <c r="K769" s="90" t="n"/>
      <c r="L769" s="90" t="n"/>
      <c r="M769" s="90" t="n"/>
      <c r="N769" s="90" t="n"/>
      <c r="O769" s="90" t="n"/>
      <c r="P769" s="90" t="n"/>
      <c r="Q769" s="90" t="n"/>
      <c r="R769" s="90" t="n"/>
      <c r="S769" s="90" t="n"/>
      <c r="T769" s="90" t="n"/>
      <c r="U769" s="90" t="n"/>
      <c r="V769" s="90" t="n"/>
      <c r="W769" s="90" t="n"/>
      <c r="X769" s="90" t="n"/>
      <c r="Y769" s="90" t="n"/>
      <c r="Z769" s="90" t="n"/>
    </row>
    <row r="770">
      <c r="A770" s="90" t="n"/>
      <c r="B770" s="90" t="n"/>
      <c r="C770" s="90" t="n"/>
      <c r="D770" s="90" t="n"/>
      <c r="E770" s="90" t="n"/>
      <c r="F770" s="90" t="n"/>
      <c r="G770" s="90" t="n"/>
      <c r="H770" s="90" t="n"/>
      <c r="I770" s="90" t="n"/>
      <c r="J770" s="90" t="n"/>
      <c r="K770" s="90" t="n"/>
      <c r="L770" s="90" t="n"/>
      <c r="M770" s="90" t="n"/>
      <c r="N770" s="90" t="n"/>
      <c r="O770" s="90" t="n"/>
      <c r="P770" s="90" t="n"/>
      <c r="Q770" s="90" t="n"/>
      <c r="R770" s="90" t="n"/>
      <c r="S770" s="90" t="n"/>
      <c r="T770" s="90" t="n"/>
      <c r="U770" s="90" t="n"/>
      <c r="V770" s="90" t="n"/>
      <c r="W770" s="90" t="n"/>
      <c r="X770" s="90" t="n"/>
      <c r="Y770" s="90" t="n"/>
      <c r="Z770" s="90" t="n"/>
    </row>
    <row r="771">
      <c r="A771" s="90" t="n"/>
      <c r="B771" s="90" t="n"/>
      <c r="C771" s="90" t="n"/>
      <c r="D771" s="90" t="n"/>
      <c r="E771" s="90" t="n"/>
      <c r="F771" s="90" t="n"/>
      <c r="G771" s="90" t="n"/>
      <c r="H771" s="90" t="n"/>
      <c r="I771" s="90" t="n"/>
      <c r="J771" s="90" t="n"/>
      <c r="K771" s="90" t="n"/>
      <c r="L771" s="90" t="n"/>
      <c r="M771" s="90" t="n"/>
      <c r="N771" s="90" t="n"/>
      <c r="O771" s="90" t="n"/>
      <c r="P771" s="90" t="n"/>
      <c r="Q771" s="90" t="n"/>
      <c r="R771" s="90" t="n"/>
      <c r="S771" s="90" t="n"/>
      <c r="T771" s="90" t="n"/>
      <c r="U771" s="90" t="n"/>
      <c r="V771" s="90" t="n"/>
      <c r="W771" s="90" t="n"/>
      <c r="X771" s="90" t="n"/>
      <c r="Y771" s="90" t="n"/>
      <c r="Z771" s="90" t="n"/>
    </row>
    <row r="772">
      <c r="A772" s="90" t="n"/>
      <c r="B772" s="90" t="n"/>
      <c r="C772" s="90" t="n"/>
      <c r="D772" s="90" t="n"/>
      <c r="E772" s="90" t="n"/>
      <c r="F772" s="90" t="n"/>
      <c r="G772" s="90" t="n"/>
      <c r="H772" s="90" t="n"/>
      <c r="I772" s="90" t="n"/>
      <c r="J772" s="90" t="n"/>
      <c r="K772" s="90" t="n"/>
      <c r="L772" s="90" t="n"/>
      <c r="M772" s="90" t="n"/>
      <c r="N772" s="90" t="n"/>
      <c r="O772" s="90" t="n"/>
      <c r="P772" s="90" t="n"/>
      <c r="Q772" s="90" t="n"/>
      <c r="R772" s="90" t="n"/>
      <c r="S772" s="90" t="n"/>
      <c r="T772" s="90" t="n"/>
      <c r="U772" s="90" t="n"/>
      <c r="V772" s="90" t="n"/>
      <c r="W772" s="90" t="n"/>
      <c r="X772" s="90" t="n"/>
      <c r="Y772" s="90" t="n"/>
      <c r="Z772" s="90" t="n"/>
    </row>
    <row r="773">
      <c r="A773" s="90" t="n"/>
      <c r="B773" s="90" t="n"/>
      <c r="C773" s="90" t="n"/>
      <c r="D773" s="90" t="n"/>
      <c r="E773" s="90" t="n"/>
      <c r="F773" s="90" t="n"/>
      <c r="G773" s="90" t="n"/>
      <c r="H773" s="90" t="n"/>
      <c r="I773" s="90" t="n"/>
      <c r="J773" s="90" t="n"/>
      <c r="K773" s="90" t="n"/>
      <c r="L773" s="90" t="n"/>
      <c r="M773" s="90" t="n"/>
      <c r="N773" s="90" t="n"/>
      <c r="O773" s="90" t="n"/>
      <c r="P773" s="90" t="n"/>
      <c r="Q773" s="90" t="n"/>
      <c r="R773" s="90" t="n"/>
      <c r="S773" s="90" t="n"/>
      <c r="T773" s="90" t="n"/>
      <c r="U773" s="90" t="n"/>
      <c r="V773" s="90" t="n"/>
      <c r="W773" s="90" t="n"/>
      <c r="X773" s="90" t="n"/>
      <c r="Y773" s="90" t="n"/>
      <c r="Z773" s="90" t="n"/>
    </row>
    <row r="774">
      <c r="A774" s="90" t="n"/>
      <c r="B774" s="90" t="n"/>
      <c r="C774" s="90" t="n"/>
      <c r="D774" s="90" t="n"/>
      <c r="E774" s="90" t="n"/>
      <c r="F774" s="90" t="n"/>
      <c r="G774" s="90" t="n"/>
      <c r="H774" s="90" t="n"/>
      <c r="I774" s="90" t="n"/>
      <c r="J774" s="90" t="n"/>
      <c r="K774" s="90" t="n"/>
      <c r="L774" s="90" t="n"/>
      <c r="M774" s="90" t="n"/>
      <c r="N774" s="90" t="n"/>
      <c r="O774" s="90" t="n"/>
      <c r="P774" s="90" t="n"/>
      <c r="Q774" s="90" t="n"/>
      <c r="R774" s="90" t="n"/>
      <c r="S774" s="90" t="n"/>
      <c r="T774" s="90" t="n"/>
      <c r="U774" s="90" t="n"/>
      <c r="V774" s="90" t="n"/>
      <c r="W774" s="90" t="n"/>
      <c r="X774" s="90" t="n"/>
      <c r="Y774" s="90" t="n"/>
      <c r="Z774" s="90" t="n"/>
    </row>
    <row r="775">
      <c r="A775" s="90" t="n"/>
      <c r="B775" s="90" t="n"/>
      <c r="C775" s="90" t="n"/>
      <c r="D775" s="90" t="n"/>
      <c r="E775" s="90" t="n"/>
      <c r="F775" s="90" t="n"/>
      <c r="G775" s="90" t="n"/>
      <c r="H775" s="90" t="n"/>
      <c r="I775" s="90" t="n"/>
      <c r="J775" s="90" t="n"/>
      <c r="K775" s="90" t="n"/>
      <c r="L775" s="90" t="n"/>
      <c r="M775" s="90" t="n"/>
      <c r="N775" s="90" t="n"/>
      <c r="O775" s="90" t="n"/>
      <c r="P775" s="90" t="n"/>
      <c r="Q775" s="90" t="n"/>
      <c r="R775" s="90" t="n"/>
      <c r="S775" s="90" t="n"/>
      <c r="T775" s="90" t="n"/>
      <c r="U775" s="90" t="n"/>
      <c r="V775" s="90" t="n"/>
      <c r="W775" s="90" t="n"/>
      <c r="X775" s="90" t="n"/>
      <c r="Y775" s="90" t="n"/>
      <c r="Z775" s="90" t="n"/>
    </row>
    <row r="776">
      <c r="A776" s="90" t="n"/>
      <c r="B776" s="90" t="n"/>
      <c r="C776" s="90" t="n"/>
      <c r="D776" s="90" t="n"/>
      <c r="E776" s="90" t="n"/>
      <c r="F776" s="90" t="n"/>
      <c r="G776" s="90" t="n"/>
      <c r="H776" s="90" t="n"/>
      <c r="I776" s="90" t="n"/>
      <c r="J776" s="90" t="n"/>
      <c r="K776" s="90" t="n"/>
      <c r="L776" s="90" t="n"/>
      <c r="M776" s="90" t="n"/>
      <c r="N776" s="90" t="n"/>
      <c r="O776" s="90" t="n"/>
      <c r="P776" s="90" t="n"/>
      <c r="Q776" s="90" t="n"/>
      <c r="R776" s="90" t="n"/>
      <c r="S776" s="90" t="n"/>
      <c r="T776" s="90" t="n"/>
      <c r="U776" s="90" t="n"/>
      <c r="V776" s="90" t="n"/>
      <c r="W776" s="90" t="n"/>
      <c r="X776" s="90" t="n"/>
      <c r="Y776" s="90" t="n"/>
      <c r="Z776" s="90" t="n"/>
    </row>
    <row r="777">
      <c r="A777" s="90" t="n"/>
      <c r="B777" s="90" t="n"/>
      <c r="C777" s="90" t="n"/>
      <c r="D777" s="90" t="n"/>
      <c r="E777" s="90" t="n"/>
      <c r="F777" s="90" t="n"/>
      <c r="G777" s="90" t="n"/>
      <c r="H777" s="90" t="n"/>
      <c r="I777" s="90" t="n"/>
      <c r="J777" s="90" t="n"/>
      <c r="K777" s="90" t="n"/>
      <c r="L777" s="90" t="n"/>
      <c r="M777" s="90" t="n"/>
      <c r="N777" s="90" t="n"/>
      <c r="O777" s="90" t="n"/>
      <c r="P777" s="90" t="n"/>
      <c r="Q777" s="90" t="n"/>
      <c r="R777" s="90" t="n"/>
      <c r="S777" s="90" t="n"/>
      <c r="T777" s="90" t="n"/>
      <c r="U777" s="90" t="n"/>
      <c r="V777" s="90" t="n"/>
      <c r="W777" s="90" t="n"/>
      <c r="X777" s="90" t="n"/>
      <c r="Y777" s="90" t="n"/>
      <c r="Z777" s="90" t="n"/>
    </row>
    <row r="778">
      <c r="A778" s="90" t="n"/>
      <c r="B778" s="90" t="n"/>
      <c r="C778" s="90" t="n"/>
      <c r="D778" s="90" t="n"/>
      <c r="E778" s="90" t="n"/>
      <c r="F778" s="90" t="n"/>
      <c r="G778" s="90" t="n"/>
      <c r="H778" s="90" t="n"/>
      <c r="I778" s="90" t="n"/>
      <c r="J778" s="90" t="n"/>
      <c r="K778" s="90" t="n"/>
      <c r="L778" s="90" t="n"/>
      <c r="M778" s="90" t="n"/>
      <c r="N778" s="90" t="n"/>
      <c r="O778" s="90" t="n"/>
      <c r="P778" s="90" t="n"/>
      <c r="Q778" s="90" t="n"/>
      <c r="R778" s="90" t="n"/>
      <c r="S778" s="90" t="n"/>
      <c r="T778" s="90" t="n"/>
      <c r="U778" s="90" t="n"/>
      <c r="V778" s="90" t="n"/>
      <c r="W778" s="90" t="n"/>
      <c r="X778" s="90" t="n"/>
      <c r="Y778" s="90" t="n"/>
      <c r="Z778" s="90" t="n"/>
    </row>
    <row r="779">
      <c r="A779" s="90" t="n"/>
      <c r="B779" s="90" t="n"/>
      <c r="C779" s="90" t="n"/>
      <c r="D779" s="90" t="n"/>
      <c r="E779" s="90" t="n"/>
      <c r="F779" s="90" t="n"/>
      <c r="G779" s="90" t="n"/>
      <c r="H779" s="90" t="n"/>
      <c r="I779" s="90" t="n"/>
      <c r="J779" s="90" t="n"/>
      <c r="K779" s="90" t="n"/>
      <c r="L779" s="90" t="n"/>
      <c r="M779" s="90" t="n"/>
      <c r="N779" s="90" t="n"/>
      <c r="O779" s="90" t="n"/>
      <c r="P779" s="90" t="n"/>
      <c r="Q779" s="90" t="n"/>
      <c r="R779" s="90" t="n"/>
      <c r="S779" s="90" t="n"/>
      <c r="T779" s="90" t="n"/>
      <c r="U779" s="90" t="n"/>
      <c r="V779" s="90" t="n"/>
      <c r="W779" s="90" t="n"/>
      <c r="X779" s="90" t="n"/>
      <c r="Y779" s="90" t="n"/>
      <c r="Z779" s="90" t="n"/>
    </row>
    <row r="780">
      <c r="A780" s="90" t="n"/>
      <c r="B780" s="90" t="n"/>
      <c r="C780" s="90" t="n"/>
      <c r="D780" s="90" t="n"/>
      <c r="E780" s="90" t="n"/>
      <c r="F780" s="90" t="n"/>
      <c r="G780" s="90" t="n"/>
      <c r="H780" s="90" t="n"/>
      <c r="I780" s="90" t="n"/>
      <c r="J780" s="90" t="n"/>
      <c r="K780" s="90" t="n"/>
      <c r="L780" s="90" t="n"/>
      <c r="M780" s="90" t="n"/>
      <c r="N780" s="90" t="n"/>
      <c r="O780" s="90" t="n"/>
      <c r="P780" s="90" t="n"/>
      <c r="Q780" s="90" t="n"/>
      <c r="R780" s="90" t="n"/>
      <c r="S780" s="90" t="n"/>
      <c r="T780" s="90" t="n"/>
      <c r="U780" s="90" t="n"/>
      <c r="V780" s="90" t="n"/>
      <c r="W780" s="90" t="n"/>
      <c r="X780" s="90" t="n"/>
      <c r="Y780" s="90" t="n"/>
      <c r="Z780" s="90" t="n"/>
    </row>
    <row r="781">
      <c r="A781" s="90" t="n"/>
      <c r="B781" s="90" t="n"/>
      <c r="C781" s="90" t="n"/>
      <c r="D781" s="90" t="n"/>
      <c r="E781" s="90" t="n"/>
      <c r="F781" s="90" t="n"/>
      <c r="G781" s="90" t="n"/>
      <c r="H781" s="90" t="n"/>
      <c r="I781" s="90" t="n"/>
      <c r="J781" s="90" t="n"/>
      <c r="K781" s="90" t="n"/>
      <c r="L781" s="90" t="n"/>
      <c r="M781" s="90" t="n"/>
      <c r="N781" s="90" t="n"/>
      <c r="O781" s="90" t="n"/>
      <c r="P781" s="90" t="n"/>
      <c r="Q781" s="90" t="n"/>
      <c r="R781" s="90" t="n"/>
      <c r="S781" s="90" t="n"/>
      <c r="T781" s="90" t="n"/>
      <c r="U781" s="90" t="n"/>
      <c r="V781" s="90" t="n"/>
      <c r="W781" s="90" t="n"/>
      <c r="X781" s="90" t="n"/>
      <c r="Y781" s="90" t="n"/>
      <c r="Z781" s="90" t="n"/>
    </row>
    <row r="782">
      <c r="A782" s="90" t="n"/>
      <c r="B782" s="90" t="n"/>
      <c r="C782" s="90" t="n"/>
      <c r="D782" s="90" t="n"/>
      <c r="E782" s="90" t="n"/>
      <c r="F782" s="90" t="n"/>
      <c r="G782" s="90" t="n"/>
      <c r="H782" s="90" t="n"/>
      <c r="I782" s="90" t="n"/>
      <c r="J782" s="90" t="n"/>
      <c r="K782" s="90" t="n"/>
      <c r="L782" s="90" t="n"/>
      <c r="M782" s="90" t="n"/>
      <c r="N782" s="90" t="n"/>
      <c r="O782" s="90" t="n"/>
      <c r="P782" s="90" t="n"/>
      <c r="Q782" s="90" t="n"/>
      <c r="R782" s="90" t="n"/>
      <c r="S782" s="90" t="n"/>
      <c r="T782" s="90" t="n"/>
      <c r="U782" s="90" t="n"/>
      <c r="V782" s="90" t="n"/>
      <c r="W782" s="90" t="n"/>
      <c r="X782" s="90" t="n"/>
      <c r="Y782" s="90" t="n"/>
      <c r="Z782" s="90" t="n"/>
    </row>
    <row r="783">
      <c r="A783" s="90" t="n"/>
      <c r="B783" s="90" t="n"/>
      <c r="C783" s="90" t="n"/>
      <c r="D783" s="90" t="n"/>
      <c r="E783" s="90" t="n"/>
      <c r="F783" s="90" t="n"/>
      <c r="G783" s="90" t="n"/>
      <c r="H783" s="90" t="n"/>
      <c r="I783" s="90" t="n"/>
      <c r="J783" s="90" t="n"/>
      <c r="K783" s="90" t="n"/>
      <c r="L783" s="90" t="n"/>
      <c r="M783" s="90" t="n"/>
      <c r="N783" s="90" t="n"/>
      <c r="O783" s="90" t="n"/>
      <c r="P783" s="90" t="n"/>
      <c r="Q783" s="90" t="n"/>
      <c r="R783" s="90" t="n"/>
      <c r="S783" s="90" t="n"/>
      <c r="T783" s="90" t="n"/>
      <c r="U783" s="90" t="n"/>
      <c r="V783" s="90" t="n"/>
      <c r="W783" s="90" t="n"/>
      <c r="X783" s="90" t="n"/>
      <c r="Y783" s="90" t="n"/>
      <c r="Z783" s="90" t="n"/>
    </row>
    <row r="784">
      <c r="A784" s="90" t="n"/>
      <c r="B784" s="90" t="n"/>
      <c r="C784" s="90" t="n"/>
      <c r="D784" s="90" t="n"/>
      <c r="E784" s="90" t="n"/>
      <c r="F784" s="90" t="n"/>
      <c r="G784" s="90" t="n"/>
      <c r="H784" s="90" t="n"/>
      <c r="I784" s="90" t="n"/>
      <c r="J784" s="90" t="n"/>
      <c r="K784" s="90" t="n"/>
      <c r="L784" s="90" t="n"/>
      <c r="M784" s="90" t="n"/>
      <c r="N784" s="90" t="n"/>
      <c r="O784" s="90" t="n"/>
      <c r="P784" s="90" t="n"/>
      <c r="Q784" s="90" t="n"/>
      <c r="R784" s="90" t="n"/>
      <c r="S784" s="90" t="n"/>
      <c r="T784" s="90" t="n"/>
      <c r="U784" s="90" t="n"/>
      <c r="V784" s="90" t="n"/>
      <c r="W784" s="90" t="n"/>
      <c r="X784" s="90" t="n"/>
      <c r="Y784" s="90" t="n"/>
      <c r="Z784" s="90" t="n"/>
    </row>
    <row r="785">
      <c r="A785" s="90" t="n"/>
      <c r="B785" s="90" t="n"/>
      <c r="C785" s="90" t="n"/>
      <c r="D785" s="90" t="n"/>
      <c r="E785" s="90" t="n"/>
      <c r="F785" s="90" t="n"/>
      <c r="G785" s="90" t="n"/>
      <c r="H785" s="90" t="n"/>
      <c r="I785" s="90" t="n"/>
      <c r="J785" s="90" t="n"/>
      <c r="K785" s="90" t="n"/>
      <c r="L785" s="90" t="n"/>
      <c r="M785" s="90" t="n"/>
      <c r="N785" s="90" t="n"/>
      <c r="O785" s="90" t="n"/>
      <c r="P785" s="90" t="n"/>
      <c r="Q785" s="90" t="n"/>
      <c r="R785" s="90" t="n"/>
      <c r="S785" s="90" t="n"/>
      <c r="T785" s="90" t="n"/>
      <c r="U785" s="90" t="n"/>
      <c r="V785" s="90" t="n"/>
      <c r="W785" s="90" t="n"/>
      <c r="X785" s="90" t="n"/>
      <c r="Y785" s="90" t="n"/>
      <c r="Z785" s="90" t="n"/>
    </row>
    <row r="786">
      <c r="A786" s="90" t="n"/>
      <c r="B786" s="90" t="n"/>
      <c r="C786" s="90" t="n"/>
      <c r="D786" s="90" t="n"/>
      <c r="E786" s="90" t="n"/>
      <c r="F786" s="90" t="n"/>
      <c r="G786" s="90" t="n"/>
      <c r="H786" s="90" t="n"/>
      <c r="I786" s="90" t="n"/>
      <c r="J786" s="90" t="n"/>
      <c r="K786" s="90" t="n"/>
      <c r="L786" s="90" t="n"/>
      <c r="M786" s="90" t="n"/>
      <c r="N786" s="90" t="n"/>
      <c r="O786" s="90" t="n"/>
      <c r="P786" s="90" t="n"/>
      <c r="Q786" s="90" t="n"/>
      <c r="R786" s="90" t="n"/>
      <c r="S786" s="90" t="n"/>
      <c r="T786" s="90" t="n"/>
      <c r="U786" s="90" t="n"/>
      <c r="V786" s="90" t="n"/>
      <c r="W786" s="90" t="n"/>
      <c r="X786" s="90" t="n"/>
      <c r="Y786" s="90" t="n"/>
      <c r="Z786" s="90" t="n"/>
    </row>
    <row r="787">
      <c r="A787" s="90" t="n"/>
      <c r="B787" s="90" t="n"/>
      <c r="C787" s="90" t="n"/>
      <c r="D787" s="90" t="n"/>
      <c r="E787" s="90" t="n"/>
      <c r="F787" s="90" t="n"/>
      <c r="G787" s="90" t="n"/>
      <c r="H787" s="90" t="n"/>
      <c r="I787" s="90" t="n"/>
      <c r="J787" s="90" t="n"/>
      <c r="K787" s="90" t="n"/>
      <c r="L787" s="90" t="n"/>
      <c r="M787" s="90" t="n"/>
      <c r="N787" s="90" t="n"/>
      <c r="O787" s="90" t="n"/>
      <c r="P787" s="90" t="n"/>
      <c r="Q787" s="90" t="n"/>
      <c r="R787" s="90" t="n"/>
      <c r="S787" s="90" t="n"/>
      <c r="T787" s="90" t="n"/>
      <c r="U787" s="90" t="n"/>
      <c r="V787" s="90" t="n"/>
      <c r="W787" s="90" t="n"/>
      <c r="X787" s="90" t="n"/>
      <c r="Y787" s="90" t="n"/>
      <c r="Z787" s="90" t="n"/>
    </row>
    <row r="788">
      <c r="A788" s="90" t="n"/>
      <c r="B788" s="90" t="n"/>
      <c r="C788" s="90" t="n"/>
      <c r="D788" s="90" t="n"/>
      <c r="E788" s="90" t="n"/>
      <c r="F788" s="90" t="n"/>
      <c r="G788" s="90" t="n"/>
      <c r="H788" s="90" t="n"/>
      <c r="I788" s="90" t="n"/>
      <c r="J788" s="90" t="n"/>
      <c r="K788" s="90" t="n"/>
      <c r="L788" s="90" t="n"/>
      <c r="M788" s="90" t="n"/>
      <c r="N788" s="90" t="n"/>
      <c r="O788" s="90" t="n"/>
      <c r="P788" s="90" t="n"/>
      <c r="Q788" s="90" t="n"/>
      <c r="R788" s="90" t="n"/>
      <c r="S788" s="90" t="n"/>
      <c r="T788" s="90" t="n"/>
      <c r="U788" s="90" t="n"/>
      <c r="V788" s="90" t="n"/>
      <c r="W788" s="90" t="n"/>
      <c r="X788" s="90" t="n"/>
      <c r="Y788" s="90" t="n"/>
      <c r="Z788" s="90" t="n"/>
    </row>
    <row r="789">
      <c r="A789" s="90" t="n"/>
      <c r="B789" s="90" t="n"/>
      <c r="C789" s="90" t="n"/>
      <c r="D789" s="90" t="n"/>
      <c r="E789" s="90" t="n"/>
      <c r="F789" s="90" t="n"/>
      <c r="G789" s="90" t="n"/>
      <c r="H789" s="90" t="n"/>
      <c r="I789" s="90" t="n"/>
      <c r="J789" s="90" t="n"/>
      <c r="K789" s="90" t="n"/>
      <c r="L789" s="90" t="n"/>
      <c r="M789" s="90" t="n"/>
      <c r="N789" s="90" t="n"/>
      <c r="O789" s="90" t="n"/>
      <c r="P789" s="90" t="n"/>
      <c r="Q789" s="90" t="n"/>
      <c r="R789" s="90" t="n"/>
      <c r="S789" s="90" t="n"/>
      <c r="T789" s="90" t="n"/>
      <c r="U789" s="90" t="n"/>
      <c r="V789" s="90" t="n"/>
      <c r="W789" s="90" t="n"/>
      <c r="X789" s="90" t="n"/>
      <c r="Y789" s="90" t="n"/>
      <c r="Z789" s="90" t="n"/>
    </row>
    <row r="790">
      <c r="A790" s="90" t="n"/>
      <c r="B790" s="90" t="n"/>
      <c r="C790" s="90" t="n"/>
      <c r="D790" s="90" t="n"/>
      <c r="E790" s="90" t="n"/>
      <c r="F790" s="90" t="n"/>
      <c r="G790" s="90" t="n"/>
      <c r="H790" s="90" t="n"/>
      <c r="I790" s="90" t="n"/>
      <c r="J790" s="90" t="n"/>
      <c r="K790" s="90" t="n"/>
      <c r="L790" s="90" t="n"/>
      <c r="M790" s="90" t="n"/>
      <c r="N790" s="90" t="n"/>
      <c r="O790" s="90" t="n"/>
      <c r="P790" s="90" t="n"/>
      <c r="Q790" s="90" t="n"/>
      <c r="R790" s="90" t="n"/>
      <c r="S790" s="90" t="n"/>
      <c r="T790" s="90" t="n"/>
      <c r="U790" s="90" t="n"/>
      <c r="V790" s="90" t="n"/>
      <c r="W790" s="90" t="n"/>
      <c r="X790" s="90" t="n"/>
      <c r="Y790" s="90" t="n"/>
      <c r="Z790" s="90" t="n"/>
    </row>
    <row r="791">
      <c r="A791" s="90" t="n"/>
      <c r="B791" s="90" t="n"/>
      <c r="C791" s="90" t="n"/>
      <c r="D791" s="90" t="n"/>
      <c r="E791" s="90" t="n"/>
      <c r="F791" s="90" t="n"/>
      <c r="G791" s="90" t="n"/>
      <c r="H791" s="90" t="n"/>
      <c r="I791" s="90" t="n"/>
      <c r="J791" s="90" t="n"/>
      <c r="K791" s="90" t="n"/>
      <c r="L791" s="90" t="n"/>
      <c r="M791" s="90" t="n"/>
      <c r="N791" s="90" t="n"/>
      <c r="O791" s="90" t="n"/>
      <c r="P791" s="90" t="n"/>
      <c r="Q791" s="90" t="n"/>
      <c r="R791" s="90" t="n"/>
      <c r="S791" s="90" t="n"/>
      <c r="T791" s="90" t="n"/>
      <c r="U791" s="90" t="n"/>
      <c r="V791" s="90" t="n"/>
      <c r="W791" s="90" t="n"/>
      <c r="X791" s="90" t="n"/>
      <c r="Y791" s="90" t="n"/>
      <c r="Z791" s="90" t="n"/>
    </row>
    <row r="792">
      <c r="A792" s="90" t="n"/>
      <c r="B792" s="90" t="n"/>
      <c r="C792" s="90" t="n"/>
      <c r="D792" s="90" t="n"/>
      <c r="E792" s="90" t="n"/>
      <c r="F792" s="90" t="n"/>
      <c r="G792" s="90" t="n"/>
      <c r="H792" s="90" t="n"/>
      <c r="I792" s="90" t="n"/>
      <c r="J792" s="90" t="n"/>
      <c r="K792" s="90" t="n"/>
      <c r="L792" s="90" t="n"/>
      <c r="M792" s="90" t="n"/>
      <c r="N792" s="90" t="n"/>
      <c r="O792" s="90" t="n"/>
      <c r="P792" s="90" t="n"/>
      <c r="Q792" s="90" t="n"/>
      <c r="R792" s="90" t="n"/>
      <c r="S792" s="90" t="n"/>
      <c r="T792" s="90" t="n"/>
      <c r="U792" s="90" t="n"/>
      <c r="V792" s="90" t="n"/>
      <c r="W792" s="90" t="n"/>
      <c r="X792" s="90" t="n"/>
      <c r="Y792" s="90" t="n"/>
      <c r="Z792" s="90" t="n"/>
    </row>
    <row r="793">
      <c r="A793" s="90" t="n"/>
      <c r="B793" s="90" t="n"/>
      <c r="C793" s="90" t="n"/>
      <c r="D793" s="90" t="n"/>
      <c r="E793" s="90" t="n"/>
      <c r="F793" s="90" t="n"/>
      <c r="G793" s="90" t="n"/>
      <c r="H793" s="90" t="n"/>
      <c r="I793" s="90" t="n"/>
      <c r="J793" s="90" t="n"/>
      <c r="K793" s="90" t="n"/>
      <c r="L793" s="90" t="n"/>
      <c r="M793" s="90" t="n"/>
      <c r="N793" s="90" t="n"/>
      <c r="O793" s="90" t="n"/>
      <c r="P793" s="90" t="n"/>
      <c r="Q793" s="90" t="n"/>
      <c r="R793" s="90" t="n"/>
      <c r="S793" s="90" t="n"/>
      <c r="T793" s="90" t="n"/>
      <c r="U793" s="90" t="n"/>
      <c r="V793" s="90" t="n"/>
      <c r="W793" s="90" t="n"/>
      <c r="X793" s="90" t="n"/>
      <c r="Y793" s="90" t="n"/>
      <c r="Z793" s="90" t="n"/>
    </row>
    <row r="794">
      <c r="A794" s="90" t="n"/>
      <c r="B794" s="90" t="n"/>
      <c r="C794" s="90" t="n"/>
      <c r="D794" s="90" t="n"/>
      <c r="E794" s="90" t="n"/>
      <c r="F794" s="90" t="n"/>
      <c r="G794" s="90" t="n"/>
      <c r="H794" s="90" t="n"/>
      <c r="I794" s="90" t="n"/>
      <c r="J794" s="90" t="n"/>
      <c r="K794" s="90" t="n"/>
      <c r="L794" s="90" t="n"/>
      <c r="M794" s="90" t="n"/>
      <c r="N794" s="90" t="n"/>
      <c r="O794" s="90" t="n"/>
      <c r="P794" s="90" t="n"/>
      <c r="Q794" s="90" t="n"/>
      <c r="R794" s="90" t="n"/>
      <c r="S794" s="90" t="n"/>
      <c r="T794" s="90" t="n"/>
      <c r="U794" s="90" t="n"/>
      <c r="V794" s="90" t="n"/>
      <c r="W794" s="90" t="n"/>
      <c r="X794" s="90" t="n"/>
      <c r="Y794" s="90" t="n"/>
      <c r="Z794" s="90" t="n"/>
    </row>
    <row r="795">
      <c r="A795" s="90" t="n"/>
      <c r="B795" s="90" t="n"/>
      <c r="C795" s="90" t="n"/>
      <c r="D795" s="90" t="n"/>
      <c r="E795" s="90" t="n"/>
      <c r="F795" s="90" t="n"/>
      <c r="G795" s="90" t="n"/>
      <c r="H795" s="90" t="n"/>
      <c r="I795" s="90" t="n"/>
      <c r="J795" s="90" t="n"/>
      <c r="K795" s="90" t="n"/>
      <c r="L795" s="90" t="n"/>
      <c r="M795" s="90" t="n"/>
      <c r="N795" s="90" t="n"/>
      <c r="O795" s="90" t="n"/>
      <c r="P795" s="90" t="n"/>
      <c r="Q795" s="90" t="n"/>
      <c r="R795" s="90" t="n"/>
      <c r="S795" s="90" t="n"/>
      <c r="T795" s="90" t="n"/>
      <c r="U795" s="90" t="n"/>
      <c r="V795" s="90" t="n"/>
      <c r="W795" s="90" t="n"/>
      <c r="X795" s="90" t="n"/>
      <c r="Y795" s="90" t="n"/>
      <c r="Z795" s="90" t="n"/>
    </row>
    <row r="796">
      <c r="A796" s="90" t="n"/>
      <c r="B796" s="90" t="n"/>
      <c r="C796" s="90" t="n"/>
      <c r="D796" s="90" t="n"/>
      <c r="E796" s="90" t="n"/>
      <c r="F796" s="90" t="n"/>
      <c r="G796" s="90" t="n"/>
      <c r="H796" s="90" t="n"/>
      <c r="I796" s="90" t="n"/>
      <c r="J796" s="90" t="n"/>
      <c r="K796" s="90" t="n"/>
      <c r="L796" s="90" t="n"/>
      <c r="M796" s="90" t="n"/>
      <c r="N796" s="90" t="n"/>
      <c r="O796" s="90" t="n"/>
      <c r="P796" s="90" t="n"/>
      <c r="Q796" s="90" t="n"/>
      <c r="R796" s="90" t="n"/>
      <c r="S796" s="90" t="n"/>
      <c r="T796" s="90" t="n"/>
      <c r="U796" s="90" t="n"/>
      <c r="V796" s="90" t="n"/>
      <c r="W796" s="90" t="n"/>
      <c r="X796" s="90" t="n"/>
      <c r="Y796" s="90" t="n"/>
      <c r="Z796" s="90" t="n"/>
    </row>
    <row r="797">
      <c r="A797" s="90" t="n"/>
      <c r="B797" s="90" t="n"/>
      <c r="C797" s="90" t="n"/>
      <c r="D797" s="90" t="n"/>
      <c r="E797" s="90" t="n"/>
      <c r="F797" s="90" t="n"/>
      <c r="G797" s="90" t="n"/>
      <c r="H797" s="90" t="n"/>
      <c r="I797" s="90" t="n"/>
      <c r="J797" s="90" t="n"/>
      <c r="K797" s="90" t="n"/>
      <c r="L797" s="90" t="n"/>
      <c r="M797" s="90" t="n"/>
      <c r="N797" s="90" t="n"/>
      <c r="O797" s="90" t="n"/>
      <c r="P797" s="90" t="n"/>
      <c r="Q797" s="90" t="n"/>
      <c r="R797" s="90" t="n"/>
      <c r="S797" s="90" t="n"/>
      <c r="T797" s="90" t="n"/>
      <c r="U797" s="90" t="n"/>
      <c r="V797" s="90" t="n"/>
      <c r="W797" s="90" t="n"/>
      <c r="X797" s="90" t="n"/>
      <c r="Y797" s="90" t="n"/>
      <c r="Z797" s="90" t="n"/>
    </row>
    <row r="798">
      <c r="A798" s="90" t="n"/>
      <c r="B798" s="90" t="n"/>
      <c r="C798" s="90" t="n"/>
      <c r="D798" s="90" t="n"/>
      <c r="E798" s="90" t="n"/>
      <c r="F798" s="90" t="n"/>
      <c r="G798" s="90" t="n"/>
      <c r="H798" s="90" t="n"/>
      <c r="I798" s="90" t="n"/>
      <c r="J798" s="90" t="n"/>
      <c r="K798" s="90" t="n"/>
      <c r="L798" s="90" t="n"/>
      <c r="M798" s="90" t="n"/>
      <c r="N798" s="90" t="n"/>
      <c r="O798" s="90" t="n"/>
      <c r="P798" s="90" t="n"/>
      <c r="Q798" s="90" t="n"/>
      <c r="R798" s="90" t="n"/>
      <c r="S798" s="90" t="n"/>
      <c r="T798" s="90" t="n"/>
      <c r="U798" s="90" t="n"/>
      <c r="V798" s="90" t="n"/>
      <c r="W798" s="90" t="n"/>
      <c r="X798" s="90" t="n"/>
      <c r="Y798" s="90" t="n"/>
      <c r="Z798" s="90" t="n"/>
    </row>
    <row r="799">
      <c r="A799" s="90" t="n"/>
      <c r="B799" s="90" t="n"/>
      <c r="C799" s="90" t="n"/>
      <c r="D799" s="90" t="n"/>
      <c r="E799" s="90" t="n"/>
      <c r="F799" s="90" t="n"/>
      <c r="G799" s="90" t="n"/>
      <c r="H799" s="90" t="n"/>
      <c r="I799" s="90" t="n"/>
      <c r="J799" s="90" t="n"/>
      <c r="K799" s="90" t="n"/>
      <c r="L799" s="90" t="n"/>
      <c r="M799" s="90" t="n"/>
      <c r="N799" s="90" t="n"/>
      <c r="O799" s="90" t="n"/>
      <c r="P799" s="90" t="n"/>
      <c r="Q799" s="90" t="n"/>
      <c r="R799" s="90" t="n"/>
      <c r="S799" s="90" t="n"/>
      <c r="T799" s="90" t="n"/>
      <c r="U799" s="90" t="n"/>
      <c r="V799" s="90" t="n"/>
      <c r="W799" s="90" t="n"/>
      <c r="X799" s="90" t="n"/>
      <c r="Y799" s="90" t="n"/>
      <c r="Z799" s="90" t="n"/>
    </row>
    <row r="800">
      <c r="A800" s="90" t="n"/>
      <c r="B800" s="90" t="n"/>
      <c r="C800" s="90" t="n"/>
      <c r="D800" s="90" t="n"/>
      <c r="E800" s="90" t="n"/>
      <c r="F800" s="90" t="n"/>
      <c r="G800" s="90" t="n"/>
      <c r="H800" s="90" t="n"/>
      <c r="I800" s="90" t="n"/>
      <c r="J800" s="90" t="n"/>
      <c r="K800" s="90" t="n"/>
      <c r="L800" s="90" t="n"/>
      <c r="M800" s="90" t="n"/>
      <c r="N800" s="90" t="n"/>
      <c r="O800" s="90" t="n"/>
      <c r="P800" s="90" t="n"/>
      <c r="Q800" s="90" t="n"/>
      <c r="R800" s="90" t="n"/>
      <c r="S800" s="90" t="n"/>
      <c r="T800" s="90" t="n"/>
      <c r="U800" s="90" t="n"/>
      <c r="V800" s="90" t="n"/>
      <c r="W800" s="90" t="n"/>
      <c r="X800" s="90" t="n"/>
      <c r="Y800" s="90" t="n"/>
      <c r="Z800" s="90" t="n"/>
    </row>
    <row r="801">
      <c r="A801" s="90" t="n"/>
      <c r="B801" s="90" t="n"/>
      <c r="C801" s="90" t="n"/>
      <c r="D801" s="90" t="n"/>
      <c r="E801" s="90" t="n"/>
      <c r="F801" s="90" t="n"/>
      <c r="G801" s="90" t="n"/>
      <c r="H801" s="90" t="n"/>
      <c r="I801" s="90" t="n"/>
      <c r="J801" s="90" t="n"/>
      <c r="K801" s="90" t="n"/>
      <c r="L801" s="90" t="n"/>
      <c r="M801" s="90" t="n"/>
      <c r="N801" s="90" t="n"/>
      <c r="O801" s="90" t="n"/>
      <c r="P801" s="90" t="n"/>
      <c r="Q801" s="90" t="n"/>
      <c r="R801" s="90" t="n"/>
      <c r="S801" s="90" t="n"/>
      <c r="T801" s="90" t="n"/>
      <c r="U801" s="90" t="n"/>
      <c r="V801" s="90" t="n"/>
      <c r="W801" s="90" t="n"/>
      <c r="X801" s="90" t="n"/>
      <c r="Y801" s="90" t="n"/>
      <c r="Z801" s="90" t="n"/>
    </row>
    <row r="802">
      <c r="A802" s="90" t="n"/>
      <c r="B802" s="90" t="n"/>
      <c r="C802" s="90" t="n"/>
      <c r="D802" s="90" t="n"/>
      <c r="E802" s="90" t="n"/>
      <c r="F802" s="90" t="n"/>
      <c r="G802" s="90" t="n"/>
      <c r="H802" s="90" t="n"/>
      <c r="I802" s="90" t="n"/>
      <c r="J802" s="90" t="n"/>
      <c r="K802" s="90" t="n"/>
      <c r="L802" s="90" t="n"/>
      <c r="M802" s="90" t="n"/>
      <c r="N802" s="90" t="n"/>
      <c r="O802" s="90" t="n"/>
      <c r="P802" s="90" t="n"/>
      <c r="Q802" s="90" t="n"/>
      <c r="R802" s="90" t="n"/>
      <c r="S802" s="90" t="n"/>
      <c r="T802" s="90" t="n"/>
      <c r="U802" s="90" t="n"/>
      <c r="V802" s="90" t="n"/>
      <c r="W802" s="90" t="n"/>
      <c r="X802" s="90" t="n"/>
      <c r="Y802" s="90" t="n"/>
      <c r="Z802" s="90" t="n"/>
    </row>
    <row r="803">
      <c r="A803" s="90" t="n"/>
      <c r="B803" s="90" t="n"/>
      <c r="C803" s="90" t="n"/>
      <c r="D803" s="90" t="n"/>
      <c r="E803" s="90" t="n"/>
      <c r="F803" s="90" t="n"/>
      <c r="G803" s="90" t="n"/>
      <c r="H803" s="90" t="n"/>
      <c r="I803" s="90" t="n"/>
      <c r="J803" s="90" t="n"/>
      <c r="K803" s="90" t="n"/>
      <c r="L803" s="90" t="n"/>
      <c r="M803" s="90" t="n"/>
      <c r="N803" s="90" t="n"/>
      <c r="O803" s="90" t="n"/>
      <c r="P803" s="90" t="n"/>
      <c r="Q803" s="90" t="n"/>
      <c r="R803" s="90" t="n"/>
      <c r="S803" s="90" t="n"/>
      <c r="T803" s="90" t="n"/>
      <c r="U803" s="90" t="n"/>
      <c r="V803" s="90" t="n"/>
      <c r="W803" s="90" t="n"/>
      <c r="X803" s="90" t="n"/>
      <c r="Y803" s="90" t="n"/>
      <c r="Z803" s="90" t="n"/>
    </row>
    <row r="804">
      <c r="A804" s="90" t="n"/>
      <c r="B804" s="90" t="n"/>
      <c r="C804" s="90" t="n"/>
      <c r="D804" s="90" t="n"/>
      <c r="E804" s="90" t="n"/>
      <c r="F804" s="90" t="n"/>
      <c r="G804" s="90" t="n"/>
      <c r="H804" s="90" t="n"/>
      <c r="I804" s="90" t="n"/>
      <c r="J804" s="90" t="n"/>
      <c r="K804" s="90" t="n"/>
      <c r="L804" s="90" t="n"/>
      <c r="M804" s="90" t="n"/>
      <c r="N804" s="90" t="n"/>
      <c r="O804" s="90" t="n"/>
      <c r="P804" s="90" t="n"/>
      <c r="Q804" s="90" t="n"/>
      <c r="R804" s="90" t="n"/>
      <c r="S804" s="90" t="n"/>
      <c r="T804" s="90" t="n"/>
      <c r="U804" s="90" t="n"/>
      <c r="V804" s="90" t="n"/>
      <c r="W804" s="90" t="n"/>
      <c r="X804" s="90" t="n"/>
      <c r="Y804" s="90" t="n"/>
      <c r="Z804" s="90" t="n"/>
    </row>
    <row r="805">
      <c r="A805" s="90" t="n"/>
      <c r="B805" s="90" t="n"/>
      <c r="C805" s="90" t="n"/>
      <c r="D805" s="90" t="n"/>
      <c r="E805" s="90" t="n"/>
      <c r="F805" s="90" t="n"/>
      <c r="G805" s="90" t="n"/>
      <c r="H805" s="90" t="n"/>
      <c r="I805" s="90" t="n"/>
      <c r="J805" s="90" t="n"/>
      <c r="K805" s="90" t="n"/>
      <c r="L805" s="90" t="n"/>
      <c r="M805" s="90" t="n"/>
      <c r="N805" s="90" t="n"/>
      <c r="O805" s="90" t="n"/>
      <c r="P805" s="90" t="n"/>
      <c r="Q805" s="90" t="n"/>
      <c r="R805" s="90" t="n"/>
      <c r="S805" s="90" t="n"/>
      <c r="T805" s="90" t="n"/>
      <c r="U805" s="90" t="n"/>
      <c r="V805" s="90" t="n"/>
      <c r="W805" s="90" t="n"/>
      <c r="X805" s="90" t="n"/>
      <c r="Y805" s="90" t="n"/>
      <c r="Z805" s="90" t="n"/>
    </row>
    <row r="806">
      <c r="A806" s="90" t="n"/>
      <c r="B806" s="90" t="n"/>
      <c r="C806" s="90" t="n"/>
      <c r="D806" s="90" t="n"/>
      <c r="E806" s="90" t="n"/>
      <c r="F806" s="90" t="n"/>
      <c r="G806" s="90" t="n"/>
      <c r="H806" s="90" t="n"/>
      <c r="I806" s="90" t="n"/>
      <c r="J806" s="90" t="n"/>
      <c r="K806" s="90" t="n"/>
      <c r="L806" s="90" t="n"/>
      <c r="M806" s="90" t="n"/>
      <c r="N806" s="90" t="n"/>
      <c r="O806" s="90" t="n"/>
      <c r="P806" s="90" t="n"/>
      <c r="Q806" s="90" t="n"/>
      <c r="R806" s="90" t="n"/>
      <c r="S806" s="90" t="n"/>
      <c r="T806" s="90" t="n"/>
      <c r="U806" s="90" t="n"/>
      <c r="V806" s="90" t="n"/>
      <c r="W806" s="90" t="n"/>
      <c r="X806" s="90" t="n"/>
      <c r="Y806" s="90" t="n"/>
      <c r="Z806" s="90" t="n"/>
    </row>
    <row r="807">
      <c r="A807" s="90" t="n"/>
      <c r="B807" s="90" t="n"/>
      <c r="C807" s="90" t="n"/>
      <c r="D807" s="90" t="n"/>
      <c r="E807" s="90" t="n"/>
      <c r="F807" s="90" t="n"/>
      <c r="G807" s="90" t="n"/>
      <c r="H807" s="90" t="n"/>
      <c r="I807" s="90" t="n"/>
      <c r="J807" s="90" t="n"/>
      <c r="K807" s="90" t="n"/>
      <c r="L807" s="90" t="n"/>
      <c r="M807" s="90" t="n"/>
      <c r="N807" s="90" t="n"/>
      <c r="O807" s="90" t="n"/>
      <c r="P807" s="90" t="n"/>
      <c r="Q807" s="90" t="n"/>
      <c r="R807" s="90" t="n"/>
      <c r="S807" s="90" t="n"/>
      <c r="T807" s="90" t="n"/>
      <c r="U807" s="90" t="n"/>
      <c r="V807" s="90" t="n"/>
      <c r="W807" s="90" t="n"/>
      <c r="X807" s="90" t="n"/>
      <c r="Y807" s="90" t="n"/>
      <c r="Z807" s="90" t="n"/>
    </row>
    <row r="808">
      <c r="A808" s="90" t="n"/>
      <c r="B808" s="90" t="n"/>
      <c r="C808" s="90" t="n"/>
      <c r="D808" s="90" t="n"/>
      <c r="E808" s="90" t="n"/>
      <c r="F808" s="90" t="n"/>
      <c r="G808" s="90" t="n"/>
      <c r="H808" s="90" t="n"/>
      <c r="I808" s="90" t="n"/>
      <c r="J808" s="90" t="n"/>
      <c r="K808" s="90" t="n"/>
      <c r="L808" s="90" t="n"/>
      <c r="M808" s="90" t="n"/>
      <c r="N808" s="90" t="n"/>
      <c r="O808" s="90" t="n"/>
      <c r="P808" s="90" t="n"/>
      <c r="Q808" s="90" t="n"/>
      <c r="R808" s="90" t="n"/>
      <c r="S808" s="90" t="n"/>
      <c r="T808" s="90" t="n"/>
      <c r="U808" s="90" t="n"/>
      <c r="V808" s="90" t="n"/>
      <c r="W808" s="90" t="n"/>
      <c r="X808" s="90" t="n"/>
      <c r="Y808" s="90" t="n"/>
      <c r="Z808" s="90" t="n"/>
    </row>
    <row r="809">
      <c r="A809" s="90" t="n"/>
      <c r="B809" s="90" t="n"/>
      <c r="C809" s="90" t="n"/>
      <c r="D809" s="90" t="n"/>
      <c r="E809" s="90" t="n"/>
      <c r="F809" s="90" t="n"/>
      <c r="G809" s="90" t="n"/>
      <c r="H809" s="90" t="n"/>
      <c r="I809" s="90" t="n"/>
      <c r="J809" s="90" t="n"/>
      <c r="K809" s="90" t="n"/>
      <c r="L809" s="90" t="n"/>
      <c r="M809" s="90" t="n"/>
      <c r="N809" s="90" t="n"/>
      <c r="O809" s="90" t="n"/>
      <c r="P809" s="90" t="n"/>
      <c r="Q809" s="90" t="n"/>
      <c r="R809" s="90" t="n"/>
      <c r="S809" s="90" t="n"/>
      <c r="T809" s="90" t="n"/>
      <c r="U809" s="90" t="n"/>
      <c r="V809" s="90" t="n"/>
      <c r="W809" s="90" t="n"/>
      <c r="X809" s="90" t="n"/>
      <c r="Y809" s="90" t="n"/>
      <c r="Z809" s="90" t="n"/>
    </row>
    <row r="810">
      <c r="A810" s="90" t="n"/>
      <c r="B810" s="90" t="n"/>
      <c r="C810" s="90" t="n"/>
      <c r="D810" s="90" t="n"/>
      <c r="E810" s="90" t="n"/>
      <c r="F810" s="90" t="n"/>
      <c r="G810" s="90" t="n"/>
      <c r="H810" s="90" t="n"/>
      <c r="I810" s="90" t="n"/>
      <c r="J810" s="90" t="n"/>
      <c r="K810" s="90" t="n"/>
      <c r="L810" s="90" t="n"/>
      <c r="M810" s="90" t="n"/>
      <c r="N810" s="90" t="n"/>
      <c r="O810" s="90" t="n"/>
      <c r="P810" s="90" t="n"/>
      <c r="Q810" s="90" t="n"/>
      <c r="R810" s="90" t="n"/>
      <c r="S810" s="90" t="n"/>
      <c r="T810" s="90" t="n"/>
      <c r="U810" s="90" t="n"/>
      <c r="V810" s="90" t="n"/>
      <c r="W810" s="90" t="n"/>
      <c r="X810" s="90" t="n"/>
      <c r="Y810" s="90" t="n"/>
      <c r="Z810" s="90" t="n"/>
    </row>
    <row r="811">
      <c r="A811" s="90" t="n"/>
      <c r="B811" s="90" t="n"/>
      <c r="C811" s="90" t="n"/>
      <c r="D811" s="90" t="n"/>
      <c r="E811" s="90" t="n"/>
      <c r="F811" s="90" t="n"/>
      <c r="G811" s="90" t="n"/>
      <c r="H811" s="90" t="n"/>
      <c r="I811" s="90" t="n"/>
      <c r="J811" s="90" t="n"/>
      <c r="K811" s="90" t="n"/>
      <c r="L811" s="90" t="n"/>
      <c r="M811" s="90" t="n"/>
      <c r="N811" s="90" t="n"/>
      <c r="O811" s="90" t="n"/>
      <c r="P811" s="90" t="n"/>
      <c r="Q811" s="90" t="n"/>
      <c r="R811" s="90" t="n"/>
      <c r="S811" s="90" t="n"/>
      <c r="T811" s="90" t="n"/>
      <c r="U811" s="90" t="n"/>
      <c r="V811" s="90" t="n"/>
      <c r="W811" s="90" t="n"/>
      <c r="X811" s="90" t="n"/>
      <c r="Y811" s="90" t="n"/>
      <c r="Z811" s="90" t="n"/>
    </row>
    <row r="812">
      <c r="A812" s="90" t="n"/>
      <c r="B812" s="90" t="n"/>
      <c r="C812" s="90" t="n"/>
      <c r="D812" s="90" t="n"/>
      <c r="E812" s="90" t="n"/>
      <c r="F812" s="90" t="n"/>
      <c r="G812" s="90" t="n"/>
      <c r="H812" s="90" t="n"/>
      <c r="I812" s="90" t="n"/>
      <c r="J812" s="90" t="n"/>
      <c r="K812" s="90" t="n"/>
      <c r="L812" s="90" t="n"/>
      <c r="M812" s="90" t="n"/>
      <c r="N812" s="90" t="n"/>
      <c r="O812" s="90" t="n"/>
      <c r="P812" s="90" t="n"/>
      <c r="Q812" s="90" t="n"/>
      <c r="R812" s="90" t="n"/>
      <c r="S812" s="90" t="n"/>
      <c r="T812" s="90" t="n"/>
      <c r="U812" s="90" t="n"/>
      <c r="V812" s="90" t="n"/>
      <c r="W812" s="90" t="n"/>
      <c r="X812" s="90" t="n"/>
      <c r="Y812" s="90" t="n"/>
      <c r="Z812" s="90" t="n"/>
    </row>
    <row r="813">
      <c r="A813" s="90" t="n"/>
      <c r="B813" s="90" t="n"/>
      <c r="C813" s="90" t="n"/>
      <c r="D813" s="90" t="n"/>
      <c r="E813" s="90" t="n"/>
      <c r="F813" s="90" t="n"/>
      <c r="G813" s="90" t="n"/>
      <c r="H813" s="90" t="n"/>
      <c r="I813" s="90" t="n"/>
      <c r="J813" s="90" t="n"/>
      <c r="K813" s="90" t="n"/>
      <c r="L813" s="90" t="n"/>
      <c r="M813" s="90" t="n"/>
      <c r="N813" s="90" t="n"/>
      <c r="O813" s="90" t="n"/>
      <c r="P813" s="90" t="n"/>
      <c r="Q813" s="90" t="n"/>
      <c r="R813" s="90" t="n"/>
      <c r="S813" s="90" t="n"/>
      <c r="T813" s="90" t="n"/>
      <c r="U813" s="90" t="n"/>
      <c r="V813" s="90" t="n"/>
      <c r="W813" s="90" t="n"/>
      <c r="X813" s="90" t="n"/>
      <c r="Y813" s="90" t="n"/>
      <c r="Z813" s="90" t="n"/>
    </row>
    <row r="814">
      <c r="A814" s="90" t="n"/>
      <c r="B814" s="90" t="n"/>
      <c r="C814" s="90" t="n"/>
      <c r="D814" s="90" t="n"/>
      <c r="E814" s="90" t="n"/>
      <c r="F814" s="90" t="n"/>
      <c r="G814" s="90" t="n"/>
      <c r="H814" s="90" t="n"/>
      <c r="I814" s="90" t="n"/>
      <c r="J814" s="90" t="n"/>
      <c r="K814" s="90" t="n"/>
      <c r="L814" s="90" t="n"/>
      <c r="M814" s="90" t="n"/>
      <c r="N814" s="90" t="n"/>
      <c r="O814" s="90" t="n"/>
      <c r="P814" s="90" t="n"/>
      <c r="Q814" s="90" t="n"/>
      <c r="R814" s="90" t="n"/>
      <c r="S814" s="90" t="n"/>
      <c r="T814" s="90" t="n"/>
      <c r="U814" s="90" t="n"/>
      <c r="V814" s="90" t="n"/>
      <c r="W814" s="90" t="n"/>
      <c r="X814" s="90" t="n"/>
      <c r="Y814" s="90" t="n"/>
      <c r="Z814" s="90" t="n"/>
    </row>
    <row r="815">
      <c r="A815" s="90" t="n"/>
      <c r="B815" s="90" t="n"/>
      <c r="C815" s="90" t="n"/>
      <c r="D815" s="90" t="n"/>
      <c r="E815" s="90" t="n"/>
      <c r="F815" s="90" t="n"/>
      <c r="G815" s="90" t="n"/>
      <c r="H815" s="90" t="n"/>
      <c r="I815" s="90" t="n"/>
      <c r="J815" s="90" t="n"/>
      <c r="K815" s="90" t="n"/>
      <c r="L815" s="90" t="n"/>
      <c r="M815" s="90" t="n"/>
      <c r="N815" s="90" t="n"/>
      <c r="O815" s="90" t="n"/>
      <c r="P815" s="90" t="n"/>
      <c r="Q815" s="90" t="n"/>
      <c r="R815" s="90" t="n"/>
      <c r="S815" s="90" t="n"/>
      <c r="T815" s="90" t="n"/>
      <c r="U815" s="90" t="n"/>
      <c r="V815" s="90" t="n"/>
      <c r="W815" s="90" t="n"/>
      <c r="X815" s="90" t="n"/>
      <c r="Y815" s="90" t="n"/>
      <c r="Z815" s="90" t="n"/>
    </row>
    <row r="816">
      <c r="A816" s="90" t="n"/>
      <c r="B816" s="90" t="n"/>
      <c r="C816" s="90" t="n"/>
      <c r="D816" s="90" t="n"/>
      <c r="E816" s="90" t="n"/>
      <c r="F816" s="90" t="n"/>
      <c r="G816" s="90" t="n"/>
      <c r="H816" s="90" t="n"/>
      <c r="I816" s="90" t="n"/>
      <c r="J816" s="90" t="n"/>
      <c r="K816" s="90" t="n"/>
      <c r="L816" s="90" t="n"/>
      <c r="M816" s="90" t="n"/>
      <c r="N816" s="90" t="n"/>
      <c r="O816" s="90" t="n"/>
      <c r="P816" s="90" t="n"/>
      <c r="Q816" s="90" t="n"/>
      <c r="R816" s="90" t="n"/>
      <c r="S816" s="90" t="n"/>
      <c r="T816" s="90" t="n"/>
      <c r="U816" s="90" t="n"/>
      <c r="V816" s="90" t="n"/>
      <c r="W816" s="90" t="n"/>
      <c r="X816" s="90" t="n"/>
      <c r="Y816" s="90" t="n"/>
      <c r="Z816" s="90" t="n"/>
    </row>
    <row r="817">
      <c r="A817" s="90" t="n"/>
      <c r="B817" s="90" t="n"/>
      <c r="C817" s="90" t="n"/>
      <c r="D817" s="90" t="n"/>
      <c r="E817" s="90" t="n"/>
      <c r="F817" s="90" t="n"/>
      <c r="G817" s="90" t="n"/>
      <c r="H817" s="90" t="n"/>
      <c r="I817" s="90" t="n"/>
      <c r="J817" s="90" t="n"/>
      <c r="K817" s="90" t="n"/>
      <c r="L817" s="90" t="n"/>
      <c r="M817" s="90" t="n"/>
      <c r="N817" s="90" t="n"/>
      <c r="O817" s="90" t="n"/>
      <c r="P817" s="90" t="n"/>
      <c r="Q817" s="90" t="n"/>
      <c r="R817" s="90" t="n"/>
      <c r="S817" s="90" t="n"/>
      <c r="T817" s="90" t="n"/>
      <c r="U817" s="90" t="n"/>
      <c r="V817" s="90" t="n"/>
      <c r="W817" s="90" t="n"/>
      <c r="X817" s="90" t="n"/>
      <c r="Y817" s="90" t="n"/>
      <c r="Z817" s="90" t="n"/>
    </row>
    <row r="818">
      <c r="A818" s="90" t="n"/>
      <c r="B818" s="90" t="n"/>
      <c r="C818" s="90" t="n"/>
      <c r="D818" s="90" t="n"/>
      <c r="E818" s="90" t="n"/>
      <c r="F818" s="90" t="n"/>
      <c r="G818" s="90" t="n"/>
      <c r="H818" s="90" t="n"/>
      <c r="I818" s="90" t="n"/>
      <c r="J818" s="90" t="n"/>
      <c r="K818" s="90" t="n"/>
      <c r="L818" s="90" t="n"/>
      <c r="M818" s="90" t="n"/>
      <c r="N818" s="90" t="n"/>
      <c r="O818" s="90" t="n"/>
      <c r="P818" s="90" t="n"/>
      <c r="Q818" s="90" t="n"/>
      <c r="R818" s="90" t="n"/>
      <c r="S818" s="90" t="n"/>
      <c r="T818" s="90" t="n"/>
      <c r="U818" s="90" t="n"/>
      <c r="V818" s="90" t="n"/>
      <c r="W818" s="90" t="n"/>
      <c r="X818" s="90" t="n"/>
      <c r="Y818" s="90" t="n"/>
      <c r="Z818" s="90" t="n"/>
    </row>
    <row r="819">
      <c r="A819" s="90" t="n"/>
      <c r="B819" s="90" t="n"/>
      <c r="C819" s="90" t="n"/>
      <c r="D819" s="90" t="n"/>
      <c r="E819" s="90" t="n"/>
      <c r="F819" s="90" t="n"/>
      <c r="G819" s="90" t="n"/>
      <c r="H819" s="90" t="n"/>
      <c r="I819" s="90" t="n"/>
      <c r="J819" s="90" t="n"/>
      <c r="K819" s="90" t="n"/>
      <c r="L819" s="90" t="n"/>
      <c r="M819" s="90" t="n"/>
      <c r="N819" s="90" t="n"/>
      <c r="O819" s="90" t="n"/>
      <c r="P819" s="90" t="n"/>
      <c r="Q819" s="90" t="n"/>
      <c r="R819" s="90" t="n"/>
      <c r="S819" s="90" t="n"/>
      <c r="T819" s="90" t="n"/>
      <c r="U819" s="90" t="n"/>
      <c r="V819" s="90" t="n"/>
      <c r="W819" s="90" t="n"/>
      <c r="X819" s="90" t="n"/>
      <c r="Y819" s="90" t="n"/>
      <c r="Z819" s="90" t="n"/>
    </row>
    <row r="820">
      <c r="A820" s="90" t="n"/>
      <c r="B820" s="90" t="n"/>
      <c r="C820" s="90" t="n"/>
      <c r="D820" s="90" t="n"/>
      <c r="E820" s="90" t="n"/>
      <c r="F820" s="90" t="n"/>
      <c r="G820" s="90" t="n"/>
      <c r="H820" s="90" t="n"/>
      <c r="I820" s="90" t="n"/>
      <c r="J820" s="90" t="n"/>
      <c r="K820" s="90" t="n"/>
      <c r="L820" s="90" t="n"/>
      <c r="M820" s="90" t="n"/>
      <c r="N820" s="90" t="n"/>
      <c r="O820" s="90" t="n"/>
      <c r="P820" s="90" t="n"/>
      <c r="Q820" s="90" t="n"/>
      <c r="R820" s="90" t="n"/>
      <c r="S820" s="90" t="n"/>
      <c r="T820" s="90" t="n"/>
      <c r="U820" s="90" t="n"/>
      <c r="V820" s="90" t="n"/>
      <c r="W820" s="90" t="n"/>
      <c r="X820" s="90" t="n"/>
      <c r="Y820" s="90" t="n"/>
      <c r="Z820" s="90" t="n"/>
    </row>
    <row r="821">
      <c r="A821" s="90" t="n"/>
      <c r="B821" s="90" t="n"/>
      <c r="C821" s="90" t="n"/>
      <c r="D821" s="90" t="n"/>
      <c r="E821" s="90" t="n"/>
      <c r="F821" s="90" t="n"/>
      <c r="G821" s="90" t="n"/>
      <c r="H821" s="90" t="n"/>
      <c r="I821" s="90" t="n"/>
      <c r="J821" s="90" t="n"/>
      <c r="K821" s="90" t="n"/>
      <c r="L821" s="90" t="n"/>
      <c r="M821" s="90" t="n"/>
      <c r="N821" s="90" t="n"/>
      <c r="O821" s="90" t="n"/>
      <c r="P821" s="90" t="n"/>
      <c r="Q821" s="90" t="n"/>
      <c r="R821" s="90" t="n"/>
      <c r="S821" s="90" t="n"/>
      <c r="T821" s="90" t="n"/>
      <c r="U821" s="90" t="n"/>
      <c r="V821" s="90" t="n"/>
      <c r="W821" s="90" t="n"/>
      <c r="X821" s="90" t="n"/>
      <c r="Y821" s="90" t="n"/>
      <c r="Z821" s="90" t="n"/>
    </row>
    <row r="822">
      <c r="A822" s="90" t="n"/>
      <c r="B822" s="90" t="n"/>
      <c r="C822" s="90" t="n"/>
      <c r="D822" s="90" t="n"/>
      <c r="E822" s="90" t="n"/>
      <c r="F822" s="90" t="n"/>
      <c r="G822" s="90" t="n"/>
      <c r="H822" s="90" t="n"/>
      <c r="I822" s="90" t="n"/>
      <c r="J822" s="90" t="n"/>
      <c r="K822" s="90" t="n"/>
      <c r="L822" s="90" t="n"/>
      <c r="M822" s="90" t="n"/>
      <c r="N822" s="90" t="n"/>
      <c r="O822" s="90" t="n"/>
      <c r="P822" s="90" t="n"/>
      <c r="Q822" s="90" t="n"/>
      <c r="R822" s="90" t="n"/>
      <c r="S822" s="90" t="n"/>
      <c r="T822" s="90" t="n"/>
      <c r="U822" s="90" t="n"/>
      <c r="V822" s="90" t="n"/>
      <c r="W822" s="90" t="n"/>
      <c r="X822" s="90" t="n"/>
      <c r="Y822" s="90" t="n"/>
      <c r="Z822" s="90" t="n"/>
    </row>
    <row r="823">
      <c r="A823" s="90" t="n"/>
      <c r="B823" s="90" t="n"/>
      <c r="C823" s="90" t="n"/>
      <c r="D823" s="90" t="n"/>
      <c r="E823" s="90" t="n"/>
      <c r="F823" s="90" t="n"/>
      <c r="G823" s="90" t="n"/>
      <c r="H823" s="90" t="n"/>
      <c r="I823" s="90" t="n"/>
      <c r="J823" s="90" t="n"/>
      <c r="K823" s="90" t="n"/>
      <c r="L823" s="90" t="n"/>
      <c r="M823" s="90" t="n"/>
      <c r="N823" s="90" t="n"/>
      <c r="O823" s="90" t="n"/>
      <c r="P823" s="90" t="n"/>
      <c r="Q823" s="90" t="n"/>
      <c r="R823" s="90" t="n"/>
      <c r="S823" s="90" t="n"/>
      <c r="T823" s="90" t="n"/>
      <c r="U823" s="90" t="n"/>
      <c r="V823" s="90" t="n"/>
      <c r="W823" s="90" t="n"/>
      <c r="X823" s="90" t="n"/>
      <c r="Y823" s="90" t="n"/>
      <c r="Z823" s="90" t="n"/>
    </row>
    <row r="824">
      <c r="A824" s="90" t="n"/>
      <c r="B824" s="90" t="n"/>
      <c r="C824" s="90" t="n"/>
      <c r="D824" s="90" t="n"/>
      <c r="E824" s="90" t="n"/>
      <c r="F824" s="90" t="n"/>
      <c r="G824" s="90" t="n"/>
      <c r="H824" s="90" t="n"/>
      <c r="I824" s="90" t="n"/>
      <c r="J824" s="90" t="n"/>
      <c r="K824" s="90" t="n"/>
      <c r="L824" s="90" t="n"/>
      <c r="M824" s="90" t="n"/>
      <c r="N824" s="90" t="n"/>
      <c r="O824" s="90" t="n"/>
      <c r="P824" s="90" t="n"/>
      <c r="Q824" s="90" t="n"/>
      <c r="R824" s="90" t="n"/>
      <c r="S824" s="90" t="n"/>
      <c r="T824" s="90" t="n"/>
      <c r="U824" s="90" t="n"/>
      <c r="V824" s="90" t="n"/>
      <c r="W824" s="90" t="n"/>
      <c r="X824" s="90" t="n"/>
      <c r="Y824" s="90" t="n"/>
      <c r="Z824" s="90" t="n"/>
    </row>
    <row r="825">
      <c r="A825" s="90" t="n"/>
      <c r="B825" s="90" t="n"/>
      <c r="C825" s="90" t="n"/>
      <c r="D825" s="90" t="n"/>
      <c r="E825" s="90" t="n"/>
      <c r="F825" s="90" t="n"/>
      <c r="G825" s="90" t="n"/>
      <c r="H825" s="90" t="n"/>
      <c r="I825" s="90" t="n"/>
      <c r="J825" s="90" t="n"/>
      <c r="K825" s="90" t="n"/>
      <c r="L825" s="90" t="n"/>
      <c r="M825" s="90" t="n"/>
      <c r="N825" s="90" t="n"/>
      <c r="O825" s="90" t="n"/>
      <c r="P825" s="90" t="n"/>
      <c r="Q825" s="90" t="n"/>
      <c r="R825" s="90" t="n"/>
      <c r="S825" s="90" t="n"/>
      <c r="T825" s="90" t="n"/>
      <c r="U825" s="90" t="n"/>
      <c r="V825" s="90" t="n"/>
      <c r="W825" s="90" t="n"/>
      <c r="X825" s="90" t="n"/>
      <c r="Y825" s="90" t="n"/>
      <c r="Z825" s="90" t="n"/>
    </row>
    <row r="826">
      <c r="A826" s="90" t="n"/>
      <c r="B826" s="90" t="n"/>
      <c r="C826" s="90" t="n"/>
      <c r="D826" s="90" t="n"/>
      <c r="E826" s="90" t="n"/>
      <c r="F826" s="90" t="n"/>
      <c r="G826" s="90" t="n"/>
      <c r="H826" s="90" t="n"/>
      <c r="I826" s="90" t="n"/>
      <c r="J826" s="90" t="n"/>
      <c r="K826" s="90" t="n"/>
      <c r="L826" s="90" t="n"/>
      <c r="M826" s="90" t="n"/>
      <c r="N826" s="90" t="n"/>
      <c r="O826" s="90" t="n"/>
      <c r="P826" s="90" t="n"/>
      <c r="Q826" s="90" t="n"/>
      <c r="R826" s="90" t="n"/>
      <c r="S826" s="90" t="n"/>
      <c r="T826" s="90" t="n"/>
      <c r="U826" s="90" t="n"/>
      <c r="V826" s="90" t="n"/>
      <c r="W826" s="90" t="n"/>
      <c r="X826" s="90" t="n"/>
      <c r="Y826" s="90" t="n"/>
      <c r="Z826" s="90" t="n"/>
    </row>
    <row r="827">
      <c r="A827" s="90" t="n"/>
      <c r="B827" s="90" t="n"/>
      <c r="C827" s="90" t="n"/>
      <c r="D827" s="90" t="n"/>
      <c r="E827" s="90" t="n"/>
      <c r="F827" s="90" t="n"/>
      <c r="G827" s="90" t="n"/>
      <c r="H827" s="90" t="n"/>
      <c r="I827" s="90" t="n"/>
      <c r="J827" s="90" t="n"/>
      <c r="K827" s="90" t="n"/>
      <c r="L827" s="90" t="n"/>
      <c r="M827" s="90" t="n"/>
      <c r="N827" s="90" t="n"/>
      <c r="O827" s="90" t="n"/>
      <c r="P827" s="90" t="n"/>
      <c r="Q827" s="90" t="n"/>
      <c r="R827" s="90" t="n"/>
      <c r="S827" s="90" t="n"/>
      <c r="T827" s="90" t="n"/>
      <c r="U827" s="90" t="n"/>
      <c r="V827" s="90" t="n"/>
      <c r="W827" s="90" t="n"/>
      <c r="X827" s="90" t="n"/>
      <c r="Y827" s="90" t="n"/>
      <c r="Z827" s="90" t="n"/>
    </row>
    <row r="828">
      <c r="A828" s="90" t="n"/>
      <c r="B828" s="90" t="n"/>
      <c r="C828" s="90" t="n"/>
      <c r="D828" s="90" t="n"/>
      <c r="E828" s="90" t="n"/>
      <c r="F828" s="90" t="n"/>
      <c r="G828" s="90" t="n"/>
      <c r="H828" s="90" t="n"/>
      <c r="I828" s="90" t="n"/>
      <c r="J828" s="90" t="n"/>
      <c r="K828" s="90" t="n"/>
      <c r="L828" s="90" t="n"/>
      <c r="M828" s="90" t="n"/>
      <c r="N828" s="90" t="n"/>
      <c r="O828" s="90" t="n"/>
      <c r="P828" s="90" t="n"/>
      <c r="Q828" s="90" t="n"/>
      <c r="R828" s="90" t="n"/>
      <c r="S828" s="90" t="n"/>
      <c r="T828" s="90" t="n"/>
      <c r="U828" s="90" t="n"/>
      <c r="V828" s="90" t="n"/>
      <c r="W828" s="90" t="n"/>
      <c r="X828" s="90" t="n"/>
      <c r="Y828" s="90" t="n"/>
      <c r="Z828" s="90" t="n"/>
    </row>
    <row r="829">
      <c r="A829" s="90" t="n"/>
      <c r="B829" s="90" t="n"/>
      <c r="C829" s="90" t="n"/>
      <c r="D829" s="90" t="n"/>
      <c r="E829" s="90" t="n"/>
      <c r="F829" s="90" t="n"/>
      <c r="G829" s="90" t="n"/>
      <c r="H829" s="90" t="n"/>
      <c r="I829" s="90" t="n"/>
      <c r="J829" s="90" t="n"/>
      <c r="K829" s="90" t="n"/>
      <c r="L829" s="90" t="n"/>
      <c r="M829" s="90" t="n"/>
      <c r="N829" s="90" t="n"/>
      <c r="O829" s="90" t="n"/>
      <c r="P829" s="90" t="n"/>
      <c r="Q829" s="90" t="n"/>
      <c r="R829" s="90" t="n"/>
      <c r="S829" s="90" t="n"/>
      <c r="T829" s="90" t="n"/>
      <c r="U829" s="90" t="n"/>
      <c r="V829" s="90" t="n"/>
      <c r="W829" s="90" t="n"/>
      <c r="X829" s="90" t="n"/>
      <c r="Y829" s="90" t="n"/>
      <c r="Z829" s="90" t="n"/>
    </row>
    <row r="830">
      <c r="A830" s="90" t="n"/>
      <c r="B830" s="90" t="n"/>
      <c r="C830" s="90" t="n"/>
      <c r="D830" s="90" t="n"/>
      <c r="E830" s="90" t="n"/>
      <c r="F830" s="90" t="n"/>
      <c r="G830" s="90" t="n"/>
      <c r="H830" s="90" t="n"/>
      <c r="I830" s="90" t="n"/>
      <c r="J830" s="90" t="n"/>
      <c r="K830" s="90" t="n"/>
      <c r="L830" s="90" t="n"/>
      <c r="M830" s="90" t="n"/>
      <c r="N830" s="90" t="n"/>
      <c r="O830" s="90" t="n"/>
      <c r="P830" s="90" t="n"/>
      <c r="Q830" s="90" t="n"/>
      <c r="R830" s="90" t="n"/>
      <c r="S830" s="90" t="n"/>
      <c r="T830" s="90" t="n"/>
      <c r="U830" s="90" t="n"/>
      <c r="V830" s="90" t="n"/>
      <c r="W830" s="90" t="n"/>
      <c r="X830" s="90" t="n"/>
      <c r="Y830" s="90" t="n"/>
      <c r="Z830" s="90" t="n"/>
    </row>
    <row r="831">
      <c r="A831" s="90" t="n"/>
      <c r="B831" s="90" t="n"/>
      <c r="C831" s="90" t="n"/>
      <c r="D831" s="90" t="n"/>
      <c r="E831" s="90" t="n"/>
      <c r="F831" s="90" t="n"/>
      <c r="G831" s="90" t="n"/>
      <c r="H831" s="90" t="n"/>
      <c r="I831" s="90" t="n"/>
      <c r="J831" s="90" t="n"/>
      <c r="K831" s="90" t="n"/>
      <c r="L831" s="90" t="n"/>
      <c r="M831" s="90" t="n"/>
      <c r="N831" s="90" t="n"/>
      <c r="O831" s="90" t="n"/>
      <c r="P831" s="90" t="n"/>
      <c r="Q831" s="90" t="n"/>
      <c r="R831" s="90" t="n"/>
      <c r="S831" s="90" t="n"/>
      <c r="T831" s="90" t="n"/>
      <c r="U831" s="90" t="n"/>
      <c r="V831" s="90" t="n"/>
      <c r="W831" s="90" t="n"/>
      <c r="X831" s="90" t="n"/>
      <c r="Y831" s="90" t="n"/>
      <c r="Z831" s="90" t="n"/>
    </row>
    <row r="832">
      <c r="A832" s="90" t="n"/>
      <c r="B832" s="90" t="n"/>
      <c r="C832" s="90" t="n"/>
      <c r="D832" s="90" t="n"/>
      <c r="E832" s="90" t="n"/>
      <c r="F832" s="90" t="n"/>
      <c r="G832" s="90" t="n"/>
      <c r="H832" s="90" t="n"/>
      <c r="I832" s="90" t="n"/>
      <c r="J832" s="90" t="n"/>
      <c r="K832" s="90" t="n"/>
      <c r="L832" s="90" t="n"/>
      <c r="M832" s="90" t="n"/>
      <c r="N832" s="90" t="n"/>
      <c r="O832" s="90" t="n"/>
      <c r="P832" s="90" t="n"/>
      <c r="Q832" s="90" t="n"/>
      <c r="R832" s="90" t="n"/>
      <c r="S832" s="90" t="n"/>
      <c r="T832" s="90" t="n"/>
      <c r="U832" s="90" t="n"/>
      <c r="V832" s="90" t="n"/>
      <c r="W832" s="90" t="n"/>
      <c r="X832" s="90" t="n"/>
      <c r="Y832" s="90" t="n"/>
      <c r="Z832" s="90" t="n"/>
    </row>
    <row r="833">
      <c r="A833" s="90" t="n"/>
      <c r="B833" s="90" t="n"/>
      <c r="C833" s="90" t="n"/>
      <c r="D833" s="90" t="n"/>
      <c r="E833" s="90" t="n"/>
      <c r="F833" s="90" t="n"/>
      <c r="G833" s="90" t="n"/>
      <c r="H833" s="90" t="n"/>
      <c r="I833" s="90" t="n"/>
      <c r="J833" s="90" t="n"/>
      <c r="K833" s="90" t="n"/>
      <c r="L833" s="90" t="n"/>
      <c r="M833" s="90" t="n"/>
      <c r="N833" s="90" t="n"/>
      <c r="O833" s="90" t="n"/>
      <c r="P833" s="90" t="n"/>
      <c r="Q833" s="90" t="n"/>
      <c r="R833" s="90" t="n"/>
      <c r="S833" s="90" t="n"/>
      <c r="T833" s="90" t="n"/>
      <c r="U833" s="90" t="n"/>
      <c r="V833" s="90" t="n"/>
      <c r="W833" s="90" t="n"/>
      <c r="X833" s="90" t="n"/>
      <c r="Y833" s="90" t="n"/>
      <c r="Z833" s="90" t="n"/>
    </row>
    <row r="834">
      <c r="A834" s="90" t="n"/>
      <c r="B834" s="90" t="n"/>
      <c r="C834" s="90" t="n"/>
      <c r="D834" s="90" t="n"/>
      <c r="E834" s="90" t="n"/>
      <c r="F834" s="90" t="n"/>
      <c r="G834" s="90" t="n"/>
      <c r="H834" s="90" t="n"/>
      <c r="I834" s="90" t="n"/>
      <c r="J834" s="90" t="n"/>
      <c r="K834" s="90" t="n"/>
      <c r="L834" s="90" t="n"/>
      <c r="M834" s="90" t="n"/>
      <c r="N834" s="90" t="n"/>
      <c r="O834" s="90" t="n"/>
      <c r="P834" s="90" t="n"/>
      <c r="Q834" s="90" t="n"/>
      <c r="R834" s="90" t="n"/>
      <c r="S834" s="90" t="n"/>
      <c r="T834" s="90" t="n"/>
      <c r="U834" s="90" t="n"/>
      <c r="V834" s="90" t="n"/>
      <c r="W834" s="90" t="n"/>
      <c r="X834" s="90" t="n"/>
      <c r="Y834" s="90" t="n"/>
      <c r="Z834" s="90" t="n"/>
    </row>
    <row r="835">
      <c r="A835" s="90" t="n"/>
      <c r="B835" s="90" t="n"/>
      <c r="C835" s="90" t="n"/>
      <c r="D835" s="90" t="n"/>
      <c r="E835" s="90" t="n"/>
      <c r="F835" s="90" t="n"/>
      <c r="G835" s="90" t="n"/>
      <c r="H835" s="90" t="n"/>
      <c r="I835" s="90" t="n"/>
      <c r="J835" s="90" t="n"/>
      <c r="K835" s="90" t="n"/>
      <c r="L835" s="90" t="n"/>
      <c r="M835" s="90" t="n"/>
      <c r="N835" s="90" t="n"/>
      <c r="O835" s="90" t="n"/>
      <c r="P835" s="90" t="n"/>
      <c r="Q835" s="90" t="n"/>
      <c r="R835" s="90" t="n"/>
      <c r="S835" s="90" t="n"/>
      <c r="T835" s="90" t="n"/>
      <c r="U835" s="90" t="n"/>
      <c r="V835" s="90" t="n"/>
      <c r="W835" s="90" t="n"/>
      <c r="X835" s="90" t="n"/>
      <c r="Y835" s="90" t="n"/>
      <c r="Z835" s="90" t="n"/>
    </row>
    <row r="836">
      <c r="A836" s="90" t="n"/>
      <c r="B836" s="90" t="n"/>
      <c r="C836" s="90" t="n"/>
      <c r="D836" s="90" t="n"/>
      <c r="E836" s="90" t="n"/>
      <c r="F836" s="90" t="n"/>
      <c r="G836" s="90" t="n"/>
      <c r="H836" s="90" t="n"/>
      <c r="I836" s="90" t="n"/>
      <c r="J836" s="90" t="n"/>
      <c r="K836" s="90" t="n"/>
      <c r="L836" s="90" t="n"/>
      <c r="M836" s="90" t="n"/>
      <c r="N836" s="90" t="n"/>
      <c r="O836" s="90" t="n"/>
      <c r="P836" s="90" t="n"/>
      <c r="Q836" s="90" t="n"/>
      <c r="R836" s="90" t="n"/>
      <c r="S836" s="90" t="n"/>
      <c r="T836" s="90" t="n"/>
      <c r="U836" s="90" t="n"/>
      <c r="V836" s="90" t="n"/>
      <c r="W836" s="90" t="n"/>
      <c r="X836" s="90" t="n"/>
      <c r="Y836" s="90" t="n"/>
      <c r="Z836" s="90" t="n"/>
    </row>
    <row r="837">
      <c r="A837" s="90" t="n"/>
      <c r="B837" s="90" t="n"/>
      <c r="C837" s="90" t="n"/>
      <c r="D837" s="90" t="n"/>
      <c r="E837" s="90" t="n"/>
      <c r="F837" s="90" t="n"/>
      <c r="G837" s="90" t="n"/>
      <c r="H837" s="90" t="n"/>
      <c r="I837" s="90" t="n"/>
      <c r="J837" s="90" t="n"/>
      <c r="K837" s="90" t="n"/>
      <c r="L837" s="90" t="n"/>
      <c r="M837" s="90" t="n"/>
      <c r="N837" s="90" t="n"/>
      <c r="O837" s="90" t="n"/>
      <c r="P837" s="90" t="n"/>
      <c r="Q837" s="90" t="n"/>
      <c r="R837" s="90" t="n"/>
      <c r="S837" s="90" t="n"/>
      <c r="T837" s="90" t="n"/>
      <c r="U837" s="90" t="n"/>
      <c r="V837" s="90" t="n"/>
      <c r="W837" s="90" t="n"/>
      <c r="X837" s="90" t="n"/>
      <c r="Y837" s="90" t="n"/>
      <c r="Z837" s="90" t="n"/>
    </row>
    <row r="838">
      <c r="A838" s="90" t="n"/>
      <c r="B838" s="90" t="n"/>
      <c r="C838" s="90" t="n"/>
      <c r="D838" s="90" t="n"/>
      <c r="E838" s="90" t="n"/>
      <c r="F838" s="90" t="n"/>
      <c r="G838" s="90" t="n"/>
      <c r="H838" s="90" t="n"/>
      <c r="I838" s="90" t="n"/>
      <c r="J838" s="90" t="n"/>
      <c r="K838" s="90" t="n"/>
      <c r="L838" s="90" t="n"/>
      <c r="M838" s="90" t="n"/>
      <c r="N838" s="90" t="n"/>
      <c r="O838" s="90" t="n"/>
      <c r="P838" s="90" t="n"/>
      <c r="Q838" s="90" t="n"/>
      <c r="R838" s="90" t="n"/>
      <c r="S838" s="90" t="n"/>
      <c r="T838" s="90" t="n"/>
      <c r="U838" s="90" t="n"/>
      <c r="V838" s="90" t="n"/>
      <c r="W838" s="90" t="n"/>
      <c r="X838" s="90" t="n"/>
      <c r="Y838" s="90" t="n"/>
      <c r="Z838" s="90" t="n"/>
    </row>
    <row r="839">
      <c r="A839" s="90" t="n"/>
      <c r="B839" s="90" t="n"/>
      <c r="C839" s="90" t="n"/>
      <c r="D839" s="90" t="n"/>
      <c r="E839" s="90" t="n"/>
      <c r="F839" s="90" t="n"/>
      <c r="G839" s="90" t="n"/>
      <c r="H839" s="90" t="n"/>
      <c r="I839" s="90" t="n"/>
      <c r="J839" s="90" t="n"/>
      <c r="K839" s="90" t="n"/>
      <c r="L839" s="90" t="n"/>
      <c r="M839" s="90" t="n"/>
      <c r="N839" s="90" t="n"/>
      <c r="O839" s="90" t="n"/>
      <c r="P839" s="90" t="n"/>
      <c r="Q839" s="90" t="n"/>
      <c r="R839" s="90" t="n"/>
      <c r="S839" s="90" t="n"/>
      <c r="T839" s="90" t="n"/>
      <c r="U839" s="90" t="n"/>
      <c r="V839" s="90" t="n"/>
      <c r="W839" s="90" t="n"/>
      <c r="X839" s="90" t="n"/>
      <c r="Y839" s="90" t="n"/>
      <c r="Z839" s="90" t="n"/>
    </row>
    <row r="840">
      <c r="A840" s="90" t="n"/>
      <c r="B840" s="90" t="n"/>
      <c r="C840" s="90" t="n"/>
      <c r="D840" s="90" t="n"/>
      <c r="E840" s="90" t="n"/>
      <c r="F840" s="90" t="n"/>
      <c r="G840" s="90" t="n"/>
      <c r="H840" s="90" t="n"/>
      <c r="I840" s="90" t="n"/>
      <c r="J840" s="90" t="n"/>
      <c r="K840" s="90" t="n"/>
      <c r="L840" s="90" t="n"/>
      <c r="M840" s="90" t="n"/>
      <c r="N840" s="90" t="n"/>
      <c r="O840" s="90" t="n"/>
      <c r="P840" s="90" t="n"/>
      <c r="Q840" s="90" t="n"/>
      <c r="R840" s="90" t="n"/>
      <c r="S840" s="90" t="n"/>
      <c r="T840" s="90" t="n"/>
      <c r="U840" s="90" t="n"/>
      <c r="V840" s="90" t="n"/>
      <c r="W840" s="90" t="n"/>
      <c r="X840" s="90" t="n"/>
      <c r="Y840" s="90" t="n"/>
      <c r="Z840" s="90" t="n"/>
    </row>
    <row r="841">
      <c r="A841" s="90" t="n"/>
      <c r="B841" s="90" t="n"/>
      <c r="C841" s="90" t="n"/>
      <c r="D841" s="90" t="n"/>
      <c r="E841" s="90" t="n"/>
      <c r="F841" s="90" t="n"/>
      <c r="G841" s="90" t="n"/>
      <c r="H841" s="90" t="n"/>
      <c r="I841" s="90" t="n"/>
      <c r="J841" s="90" t="n"/>
      <c r="K841" s="90" t="n"/>
      <c r="L841" s="90" t="n"/>
      <c r="M841" s="90" t="n"/>
      <c r="N841" s="90" t="n"/>
      <c r="O841" s="90" t="n"/>
      <c r="P841" s="90" t="n"/>
      <c r="Q841" s="90" t="n"/>
      <c r="R841" s="90" t="n"/>
      <c r="S841" s="90" t="n"/>
      <c r="T841" s="90" t="n"/>
      <c r="U841" s="90" t="n"/>
      <c r="V841" s="90" t="n"/>
      <c r="W841" s="90" t="n"/>
      <c r="X841" s="90" t="n"/>
      <c r="Y841" s="90" t="n"/>
      <c r="Z841" s="90" t="n"/>
    </row>
    <row r="842">
      <c r="A842" s="90" t="n"/>
      <c r="B842" s="90" t="n"/>
      <c r="C842" s="90" t="n"/>
      <c r="D842" s="90" t="n"/>
      <c r="E842" s="90" t="n"/>
      <c r="F842" s="90" t="n"/>
      <c r="G842" s="90" t="n"/>
      <c r="H842" s="90" t="n"/>
      <c r="I842" s="90" t="n"/>
      <c r="J842" s="90" t="n"/>
      <c r="K842" s="90" t="n"/>
      <c r="L842" s="90" t="n"/>
      <c r="M842" s="90" t="n"/>
      <c r="N842" s="90" t="n"/>
      <c r="O842" s="90" t="n"/>
      <c r="P842" s="90" t="n"/>
      <c r="Q842" s="90" t="n"/>
      <c r="R842" s="90" t="n"/>
      <c r="S842" s="90" t="n"/>
      <c r="T842" s="90" t="n"/>
      <c r="U842" s="90" t="n"/>
      <c r="V842" s="90" t="n"/>
      <c r="W842" s="90" t="n"/>
      <c r="X842" s="90" t="n"/>
      <c r="Y842" s="90" t="n"/>
      <c r="Z842" s="90" t="n"/>
    </row>
    <row r="843">
      <c r="A843" s="90" t="n"/>
      <c r="B843" s="90" t="n"/>
      <c r="C843" s="90" t="n"/>
      <c r="D843" s="90" t="n"/>
      <c r="E843" s="90" t="n"/>
      <c r="F843" s="90" t="n"/>
      <c r="G843" s="90" t="n"/>
      <c r="H843" s="90" t="n"/>
      <c r="I843" s="90" t="n"/>
      <c r="J843" s="90" t="n"/>
      <c r="K843" s="90" t="n"/>
      <c r="L843" s="90" t="n"/>
      <c r="M843" s="90" t="n"/>
      <c r="N843" s="90" t="n"/>
      <c r="O843" s="90" t="n"/>
      <c r="P843" s="90" t="n"/>
      <c r="Q843" s="90" t="n"/>
      <c r="R843" s="90" t="n"/>
      <c r="S843" s="90" t="n"/>
      <c r="T843" s="90" t="n"/>
      <c r="U843" s="90" t="n"/>
      <c r="V843" s="90" t="n"/>
      <c r="W843" s="90" t="n"/>
      <c r="X843" s="90" t="n"/>
      <c r="Y843" s="90" t="n"/>
      <c r="Z843" s="90" t="n"/>
    </row>
    <row r="844">
      <c r="A844" s="90" t="n"/>
      <c r="B844" s="90" t="n"/>
      <c r="C844" s="90" t="n"/>
      <c r="D844" s="90" t="n"/>
      <c r="E844" s="90" t="n"/>
      <c r="F844" s="90" t="n"/>
      <c r="G844" s="90" t="n"/>
      <c r="H844" s="90" t="n"/>
      <c r="I844" s="90" t="n"/>
      <c r="J844" s="90" t="n"/>
      <c r="K844" s="90" t="n"/>
      <c r="L844" s="90" t="n"/>
      <c r="M844" s="90" t="n"/>
      <c r="N844" s="90" t="n"/>
      <c r="O844" s="90" t="n"/>
      <c r="P844" s="90" t="n"/>
      <c r="Q844" s="90" t="n"/>
      <c r="R844" s="90" t="n"/>
      <c r="S844" s="90" t="n"/>
      <c r="T844" s="90" t="n"/>
      <c r="U844" s="90" t="n"/>
      <c r="V844" s="90" t="n"/>
      <c r="W844" s="90" t="n"/>
      <c r="X844" s="90" t="n"/>
      <c r="Y844" s="90" t="n"/>
      <c r="Z844" s="90" t="n"/>
    </row>
    <row r="845">
      <c r="A845" s="90" t="n"/>
      <c r="B845" s="90" t="n"/>
      <c r="C845" s="90" t="n"/>
      <c r="D845" s="90" t="n"/>
      <c r="E845" s="90" t="n"/>
      <c r="F845" s="90" t="n"/>
      <c r="G845" s="90" t="n"/>
      <c r="H845" s="90" t="n"/>
      <c r="I845" s="90" t="n"/>
      <c r="J845" s="90" t="n"/>
      <c r="K845" s="90" t="n"/>
      <c r="L845" s="90" t="n"/>
      <c r="M845" s="90" t="n"/>
      <c r="N845" s="90" t="n"/>
      <c r="O845" s="90" t="n"/>
      <c r="P845" s="90" t="n"/>
      <c r="Q845" s="90" t="n"/>
      <c r="R845" s="90" t="n"/>
      <c r="S845" s="90" t="n"/>
      <c r="T845" s="90" t="n"/>
      <c r="U845" s="90" t="n"/>
      <c r="V845" s="90" t="n"/>
      <c r="W845" s="90" t="n"/>
      <c r="X845" s="90" t="n"/>
      <c r="Y845" s="90" t="n"/>
      <c r="Z845" s="90" t="n"/>
    </row>
    <row r="846">
      <c r="A846" s="90" t="n"/>
      <c r="B846" s="90" t="n"/>
      <c r="C846" s="90" t="n"/>
      <c r="D846" s="90" t="n"/>
      <c r="E846" s="90" t="n"/>
      <c r="F846" s="90" t="n"/>
      <c r="G846" s="90" t="n"/>
      <c r="H846" s="90" t="n"/>
      <c r="I846" s="90" t="n"/>
      <c r="J846" s="90" t="n"/>
      <c r="K846" s="90" t="n"/>
      <c r="L846" s="90" t="n"/>
      <c r="M846" s="90" t="n"/>
      <c r="N846" s="90" t="n"/>
      <c r="O846" s="90" t="n"/>
      <c r="P846" s="90" t="n"/>
      <c r="Q846" s="90" t="n"/>
      <c r="R846" s="90" t="n"/>
      <c r="S846" s="90" t="n"/>
      <c r="T846" s="90" t="n"/>
      <c r="U846" s="90" t="n"/>
      <c r="V846" s="90" t="n"/>
      <c r="W846" s="90" t="n"/>
      <c r="X846" s="90" t="n"/>
      <c r="Y846" s="90" t="n"/>
      <c r="Z846" s="90" t="n"/>
    </row>
    <row r="847">
      <c r="A847" s="90" t="n"/>
      <c r="B847" s="90" t="n"/>
      <c r="C847" s="90" t="n"/>
      <c r="D847" s="90" t="n"/>
      <c r="E847" s="90" t="n"/>
      <c r="F847" s="90" t="n"/>
      <c r="G847" s="90" t="n"/>
      <c r="H847" s="90" t="n"/>
      <c r="I847" s="90" t="n"/>
      <c r="J847" s="90" t="n"/>
      <c r="K847" s="90" t="n"/>
      <c r="L847" s="90" t="n"/>
      <c r="M847" s="90" t="n"/>
      <c r="N847" s="90" t="n"/>
      <c r="O847" s="90" t="n"/>
      <c r="P847" s="90" t="n"/>
      <c r="Q847" s="90" t="n"/>
      <c r="R847" s="90" t="n"/>
      <c r="S847" s="90" t="n"/>
      <c r="T847" s="90" t="n"/>
      <c r="U847" s="90" t="n"/>
      <c r="V847" s="90" t="n"/>
      <c r="W847" s="90" t="n"/>
      <c r="X847" s="90" t="n"/>
      <c r="Y847" s="90" t="n"/>
      <c r="Z847" s="90" t="n"/>
    </row>
    <row r="848">
      <c r="A848" s="90" t="n"/>
      <c r="B848" s="90" t="n"/>
      <c r="C848" s="90" t="n"/>
      <c r="D848" s="90" t="n"/>
      <c r="E848" s="90" t="n"/>
      <c r="F848" s="90" t="n"/>
      <c r="G848" s="90" t="n"/>
      <c r="H848" s="90" t="n"/>
      <c r="I848" s="90" t="n"/>
      <c r="J848" s="90" t="n"/>
      <c r="K848" s="90" t="n"/>
      <c r="L848" s="90" t="n"/>
      <c r="M848" s="90" t="n"/>
      <c r="N848" s="90" t="n"/>
      <c r="O848" s="90" t="n"/>
      <c r="P848" s="90" t="n"/>
      <c r="Q848" s="90" t="n"/>
      <c r="R848" s="90" t="n"/>
      <c r="S848" s="90" t="n"/>
      <c r="T848" s="90" t="n"/>
      <c r="U848" s="90" t="n"/>
      <c r="V848" s="90" t="n"/>
      <c r="W848" s="90" t="n"/>
      <c r="X848" s="90" t="n"/>
      <c r="Y848" s="90" t="n"/>
      <c r="Z848" s="90" t="n"/>
    </row>
    <row r="849">
      <c r="A849" s="90" t="n"/>
      <c r="B849" s="90" t="n"/>
      <c r="C849" s="90" t="n"/>
      <c r="D849" s="90" t="n"/>
      <c r="E849" s="90" t="n"/>
      <c r="F849" s="90" t="n"/>
      <c r="G849" s="90" t="n"/>
      <c r="H849" s="90" t="n"/>
      <c r="I849" s="90" t="n"/>
      <c r="J849" s="90" t="n"/>
      <c r="K849" s="90" t="n"/>
      <c r="L849" s="90" t="n"/>
      <c r="M849" s="90" t="n"/>
      <c r="N849" s="90" t="n"/>
      <c r="O849" s="90" t="n"/>
      <c r="P849" s="90" t="n"/>
      <c r="Q849" s="90" t="n"/>
      <c r="R849" s="90" t="n"/>
      <c r="S849" s="90" t="n"/>
      <c r="T849" s="90" t="n"/>
      <c r="U849" s="90" t="n"/>
      <c r="V849" s="90" t="n"/>
      <c r="W849" s="90" t="n"/>
      <c r="X849" s="90" t="n"/>
      <c r="Y849" s="90" t="n"/>
      <c r="Z849" s="90" t="n"/>
    </row>
    <row r="850">
      <c r="A850" s="90" t="n"/>
      <c r="B850" s="90" t="n"/>
      <c r="C850" s="90" t="n"/>
      <c r="D850" s="90" t="n"/>
      <c r="E850" s="90" t="n"/>
      <c r="F850" s="90" t="n"/>
      <c r="G850" s="90" t="n"/>
      <c r="H850" s="90" t="n"/>
      <c r="I850" s="90" t="n"/>
      <c r="J850" s="90" t="n"/>
      <c r="K850" s="90" t="n"/>
      <c r="L850" s="90" t="n"/>
      <c r="M850" s="90" t="n"/>
      <c r="N850" s="90" t="n"/>
      <c r="O850" s="90" t="n"/>
      <c r="P850" s="90" t="n"/>
      <c r="Q850" s="90" t="n"/>
      <c r="R850" s="90" t="n"/>
      <c r="S850" s="90" t="n"/>
      <c r="T850" s="90" t="n"/>
      <c r="U850" s="90" t="n"/>
      <c r="V850" s="90" t="n"/>
      <c r="W850" s="90" t="n"/>
      <c r="X850" s="90" t="n"/>
      <c r="Y850" s="90" t="n"/>
      <c r="Z850" s="90" t="n"/>
    </row>
    <row r="851">
      <c r="A851" s="90" t="n"/>
      <c r="B851" s="90" t="n"/>
      <c r="C851" s="90" t="n"/>
      <c r="D851" s="90" t="n"/>
      <c r="E851" s="90" t="n"/>
      <c r="F851" s="90" t="n"/>
      <c r="G851" s="90" t="n"/>
      <c r="H851" s="90" t="n"/>
      <c r="I851" s="90" t="n"/>
      <c r="J851" s="90" t="n"/>
      <c r="K851" s="90" t="n"/>
      <c r="L851" s="90" t="n"/>
      <c r="M851" s="90" t="n"/>
      <c r="N851" s="90" t="n"/>
      <c r="O851" s="90" t="n"/>
      <c r="P851" s="90" t="n"/>
      <c r="Q851" s="90" t="n"/>
      <c r="R851" s="90" t="n"/>
      <c r="S851" s="90" t="n"/>
      <c r="T851" s="90" t="n"/>
      <c r="U851" s="90" t="n"/>
      <c r="V851" s="90" t="n"/>
      <c r="W851" s="90" t="n"/>
      <c r="X851" s="90" t="n"/>
      <c r="Y851" s="90" t="n"/>
      <c r="Z851" s="90" t="n"/>
    </row>
    <row r="852">
      <c r="A852" s="90" t="n"/>
      <c r="B852" s="90" t="n"/>
      <c r="C852" s="90" t="n"/>
      <c r="D852" s="90" t="n"/>
      <c r="E852" s="90" t="n"/>
      <c r="F852" s="90" t="n"/>
      <c r="G852" s="90" t="n"/>
      <c r="H852" s="90" t="n"/>
      <c r="I852" s="90" t="n"/>
      <c r="J852" s="90" t="n"/>
      <c r="K852" s="90" t="n"/>
      <c r="L852" s="90" t="n"/>
      <c r="M852" s="90" t="n"/>
      <c r="N852" s="90" t="n"/>
      <c r="O852" s="90" t="n"/>
      <c r="P852" s="90" t="n"/>
      <c r="Q852" s="90" t="n"/>
      <c r="R852" s="90" t="n"/>
      <c r="S852" s="90" t="n"/>
      <c r="T852" s="90" t="n"/>
      <c r="U852" s="90" t="n"/>
      <c r="V852" s="90" t="n"/>
      <c r="W852" s="90" t="n"/>
      <c r="X852" s="90" t="n"/>
      <c r="Y852" s="90" t="n"/>
      <c r="Z852" s="90" t="n"/>
    </row>
    <row r="853">
      <c r="A853" s="90" t="n"/>
      <c r="B853" s="90" t="n"/>
      <c r="C853" s="90" t="n"/>
      <c r="D853" s="90" t="n"/>
      <c r="E853" s="90" t="n"/>
      <c r="F853" s="90" t="n"/>
      <c r="G853" s="90" t="n"/>
      <c r="H853" s="90" t="n"/>
      <c r="I853" s="90" t="n"/>
      <c r="J853" s="90" t="n"/>
      <c r="K853" s="90" t="n"/>
      <c r="L853" s="90" t="n"/>
      <c r="M853" s="90" t="n"/>
      <c r="N853" s="90" t="n"/>
      <c r="O853" s="90" t="n"/>
      <c r="P853" s="90" t="n"/>
      <c r="Q853" s="90" t="n"/>
      <c r="R853" s="90" t="n"/>
      <c r="S853" s="90" t="n"/>
      <c r="T853" s="90" t="n"/>
      <c r="U853" s="90" t="n"/>
      <c r="V853" s="90" t="n"/>
      <c r="W853" s="90" t="n"/>
      <c r="X853" s="90" t="n"/>
      <c r="Y853" s="90" t="n"/>
      <c r="Z853" s="90" t="n"/>
    </row>
    <row r="854">
      <c r="A854" s="90" t="n"/>
      <c r="B854" s="90" t="n"/>
      <c r="C854" s="90" t="n"/>
      <c r="D854" s="90" t="n"/>
      <c r="E854" s="90" t="n"/>
      <c r="F854" s="90" t="n"/>
      <c r="G854" s="90" t="n"/>
      <c r="H854" s="90" t="n"/>
      <c r="I854" s="90" t="n"/>
      <c r="J854" s="90" t="n"/>
      <c r="K854" s="90" t="n"/>
      <c r="L854" s="90" t="n"/>
      <c r="M854" s="90" t="n"/>
      <c r="N854" s="90" t="n"/>
      <c r="O854" s="90" t="n"/>
      <c r="P854" s="90" t="n"/>
      <c r="Q854" s="90" t="n"/>
      <c r="R854" s="90" t="n"/>
      <c r="S854" s="90" t="n"/>
      <c r="T854" s="90" t="n"/>
      <c r="U854" s="90" t="n"/>
      <c r="V854" s="90" t="n"/>
      <c r="W854" s="90" t="n"/>
      <c r="X854" s="90" t="n"/>
      <c r="Y854" s="90" t="n"/>
      <c r="Z854" s="90" t="n"/>
    </row>
    <row r="855">
      <c r="A855" s="90" t="n"/>
      <c r="B855" s="90" t="n"/>
      <c r="C855" s="90" t="n"/>
      <c r="D855" s="90" t="n"/>
      <c r="E855" s="90" t="n"/>
      <c r="F855" s="90" t="n"/>
      <c r="G855" s="90" t="n"/>
      <c r="H855" s="90" t="n"/>
      <c r="I855" s="90" t="n"/>
      <c r="J855" s="90" t="n"/>
      <c r="K855" s="90" t="n"/>
      <c r="L855" s="90" t="n"/>
      <c r="M855" s="90" t="n"/>
      <c r="N855" s="90" t="n"/>
      <c r="O855" s="90" t="n"/>
      <c r="P855" s="90" t="n"/>
      <c r="Q855" s="90" t="n"/>
      <c r="R855" s="90" t="n"/>
      <c r="S855" s="90" t="n"/>
      <c r="T855" s="90" t="n"/>
      <c r="U855" s="90" t="n"/>
      <c r="V855" s="90" t="n"/>
      <c r="W855" s="90" t="n"/>
      <c r="X855" s="90" t="n"/>
      <c r="Y855" s="90" t="n"/>
      <c r="Z855" s="90" t="n"/>
    </row>
    <row r="856">
      <c r="A856" s="90" t="n"/>
      <c r="B856" s="90" t="n"/>
      <c r="C856" s="90" t="n"/>
      <c r="D856" s="90" t="n"/>
      <c r="E856" s="90" t="n"/>
      <c r="F856" s="90" t="n"/>
      <c r="G856" s="90" t="n"/>
      <c r="H856" s="90" t="n"/>
      <c r="I856" s="90" t="n"/>
      <c r="J856" s="90" t="n"/>
      <c r="K856" s="90" t="n"/>
      <c r="L856" s="90" t="n"/>
      <c r="M856" s="90" t="n"/>
      <c r="N856" s="90" t="n"/>
      <c r="O856" s="90" t="n"/>
      <c r="P856" s="90" t="n"/>
      <c r="Q856" s="90" t="n"/>
      <c r="R856" s="90" t="n"/>
      <c r="S856" s="90" t="n"/>
      <c r="T856" s="90" t="n"/>
      <c r="U856" s="90" t="n"/>
      <c r="V856" s="90" t="n"/>
      <c r="W856" s="90" t="n"/>
      <c r="X856" s="90" t="n"/>
      <c r="Y856" s="90" t="n"/>
      <c r="Z856" s="90" t="n"/>
    </row>
    <row r="857">
      <c r="A857" s="90" t="n"/>
      <c r="B857" s="90" t="n"/>
      <c r="C857" s="90" t="n"/>
      <c r="D857" s="90" t="n"/>
      <c r="E857" s="90" t="n"/>
      <c r="F857" s="90" t="n"/>
      <c r="G857" s="90" t="n"/>
      <c r="H857" s="90" t="n"/>
      <c r="I857" s="90" t="n"/>
      <c r="J857" s="90" t="n"/>
      <c r="K857" s="90" t="n"/>
      <c r="L857" s="90" t="n"/>
      <c r="M857" s="90" t="n"/>
      <c r="N857" s="90" t="n"/>
      <c r="O857" s="90" t="n"/>
      <c r="P857" s="90" t="n"/>
      <c r="Q857" s="90" t="n"/>
      <c r="R857" s="90" t="n"/>
      <c r="S857" s="90" t="n"/>
      <c r="T857" s="90" t="n"/>
      <c r="U857" s="90" t="n"/>
      <c r="V857" s="90" t="n"/>
      <c r="W857" s="90" t="n"/>
      <c r="X857" s="90" t="n"/>
      <c r="Y857" s="90" t="n"/>
      <c r="Z857" s="90" t="n"/>
    </row>
    <row r="858">
      <c r="A858" s="90" t="n"/>
      <c r="B858" s="90" t="n"/>
      <c r="C858" s="90" t="n"/>
      <c r="D858" s="90" t="n"/>
      <c r="E858" s="90" t="n"/>
      <c r="F858" s="90" t="n"/>
      <c r="G858" s="90" t="n"/>
      <c r="H858" s="90" t="n"/>
      <c r="I858" s="90" t="n"/>
      <c r="J858" s="90" t="n"/>
      <c r="K858" s="90" t="n"/>
      <c r="L858" s="90" t="n"/>
      <c r="M858" s="90" t="n"/>
      <c r="N858" s="90" t="n"/>
      <c r="O858" s="90" t="n"/>
      <c r="P858" s="90" t="n"/>
      <c r="Q858" s="90" t="n"/>
      <c r="R858" s="90" t="n"/>
      <c r="S858" s="90" t="n"/>
      <c r="T858" s="90" t="n"/>
      <c r="U858" s="90" t="n"/>
      <c r="V858" s="90" t="n"/>
      <c r="W858" s="90" t="n"/>
      <c r="X858" s="90" t="n"/>
      <c r="Y858" s="90" t="n"/>
      <c r="Z858" s="90" t="n"/>
    </row>
    <row r="859">
      <c r="A859" s="90" t="n"/>
      <c r="B859" s="90" t="n"/>
      <c r="C859" s="90" t="n"/>
      <c r="D859" s="90" t="n"/>
      <c r="E859" s="90" t="n"/>
      <c r="F859" s="90" t="n"/>
      <c r="G859" s="90" t="n"/>
      <c r="H859" s="90" t="n"/>
      <c r="I859" s="90" t="n"/>
      <c r="J859" s="90" t="n"/>
      <c r="K859" s="90" t="n"/>
      <c r="L859" s="90" t="n"/>
      <c r="M859" s="90" t="n"/>
      <c r="N859" s="90" t="n"/>
      <c r="O859" s="90" t="n"/>
      <c r="P859" s="90" t="n"/>
      <c r="Q859" s="90" t="n"/>
      <c r="R859" s="90" t="n"/>
      <c r="S859" s="90" t="n"/>
      <c r="T859" s="90" t="n"/>
      <c r="U859" s="90" t="n"/>
      <c r="V859" s="90" t="n"/>
      <c r="W859" s="90" t="n"/>
      <c r="X859" s="90" t="n"/>
      <c r="Y859" s="90" t="n"/>
      <c r="Z859" s="90" t="n"/>
    </row>
    <row r="860">
      <c r="A860" s="90" t="n"/>
      <c r="B860" s="90" t="n"/>
      <c r="C860" s="90" t="n"/>
      <c r="D860" s="90" t="n"/>
      <c r="E860" s="90" t="n"/>
      <c r="F860" s="90" t="n"/>
      <c r="G860" s="90" t="n"/>
      <c r="H860" s="90" t="n"/>
      <c r="I860" s="90" t="n"/>
      <c r="J860" s="90" t="n"/>
      <c r="K860" s="90" t="n"/>
      <c r="L860" s="90" t="n"/>
      <c r="M860" s="90" t="n"/>
      <c r="N860" s="90" t="n"/>
      <c r="O860" s="90" t="n"/>
      <c r="P860" s="90" t="n"/>
      <c r="Q860" s="90" t="n"/>
      <c r="R860" s="90" t="n"/>
      <c r="S860" s="90" t="n"/>
      <c r="T860" s="90" t="n"/>
      <c r="U860" s="90" t="n"/>
      <c r="V860" s="90" t="n"/>
      <c r="W860" s="90" t="n"/>
      <c r="X860" s="90" t="n"/>
      <c r="Y860" s="90" t="n"/>
      <c r="Z860" s="90" t="n"/>
    </row>
    <row r="861">
      <c r="A861" s="90" t="n"/>
      <c r="B861" s="90" t="n"/>
      <c r="C861" s="90" t="n"/>
      <c r="D861" s="90" t="n"/>
      <c r="E861" s="90" t="n"/>
      <c r="F861" s="90" t="n"/>
      <c r="G861" s="90" t="n"/>
      <c r="H861" s="90" t="n"/>
      <c r="I861" s="90" t="n"/>
      <c r="J861" s="90" t="n"/>
      <c r="K861" s="90" t="n"/>
      <c r="L861" s="90" t="n"/>
      <c r="M861" s="90" t="n"/>
      <c r="N861" s="90" t="n"/>
      <c r="O861" s="90" t="n"/>
      <c r="P861" s="90" t="n"/>
      <c r="Q861" s="90" t="n"/>
      <c r="R861" s="90" t="n"/>
      <c r="S861" s="90" t="n"/>
      <c r="T861" s="90" t="n"/>
      <c r="U861" s="90" t="n"/>
      <c r="V861" s="90" t="n"/>
      <c r="W861" s="90" t="n"/>
      <c r="X861" s="90" t="n"/>
      <c r="Y861" s="90" t="n"/>
      <c r="Z861" s="90" t="n"/>
    </row>
    <row r="862">
      <c r="A862" s="90" t="n"/>
      <c r="B862" s="90" t="n"/>
      <c r="C862" s="90" t="n"/>
      <c r="D862" s="90" t="n"/>
      <c r="E862" s="90" t="n"/>
      <c r="F862" s="90" t="n"/>
      <c r="G862" s="90" t="n"/>
      <c r="H862" s="90" t="n"/>
      <c r="I862" s="90" t="n"/>
      <c r="J862" s="90" t="n"/>
      <c r="K862" s="90" t="n"/>
      <c r="L862" s="90" t="n"/>
      <c r="M862" s="90" t="n"/>
      <c r="N862" s="90" t="n"/>
      <c r="O862" s="90" t="n"/>
      <c r="P862" s="90" t="n"/>
      <c r="Q862" s="90" t="n"/>
      <c r="R862" s="90" t="n"/>
      <c r="S862" s="90" t="n"/>
      <c r="T862" s="90" t="n"/>
      <c r="U862" s="90" t="n"/>
      <c r="V862" s="90" t="n"/>
      <c r="W862" s="90" t="n"/>
      <c r="X862" s="90" t="n"/>
      <c r="Y862" s="90" t="n"/>
      <c r="Z862" s="90" t="n"/>
    </row>
    <row r="863">
      <c r="A863" s="90" t="n"/>
      <c r="B863" s="90" t="n"/>
      <c r="C863" s="90" t="n"/>
      <c r="D863" s="90" t="n"/>
      <c r="E863" s="90" t="n"/>
      <c r="F863" s="90" t="n"/>
      <c r="G863" s="90" t="n"/>
      <c r="H863" s="90" t="n"/>
      <c r="I863" s="90" t="n"/>
      <c r="J863" s="90" t="n"/>
      <c r="K863" s="90" t="n"/>
      <c r="L863" s="90" t="n"/>
      <c r="M863" s="90" t="n"/>
      <c r="N863" s="90" t="n"/>
      <c r="O863" s="90" t="n"/>
      <c r="P863" s="90" t="n"/>
      <c r="Q863" s="90" t="n"/>
      <c r="R863" s="90" t="n"/>
      <c r="S863" s="90" t="n"/>
      <c r="T863" s="90" t="n"/>
      <c r="U863" s="90" t="n"/>
      <c r="V863" s="90" t="n"/>
      <c r="W863" s="90" t="n"/>
      <c r="X863" s="90" t="n"/>
      <c r="Y863" s="90" t="n"/>
      <c r="Z863" s="90" t="n"/>
    </row>
    <row r="864">
      <c r="A864" s="90" t="n"/>
      <c r="B864" s="90" t="n"/>
      <c r="C864" s="90" t="n"/>
      <c r="D864" s="90" t="n"/>
      <c r="E864" s="90" t="n"/>
      <c r="F864" s="90" t="n"/>
      <c r="G864" s="90" t="n"/>
      <c r="H864" s="90" t="n"/>
      <c r="I864" s="90" t="n"/>
      <c r="J864" s="90" t="n"/>
      <c r="K864" s="90" t="n"/>
      <c r="L864" s="90" t="n"/>
      <c r="M864" s="90" t="n"/>
      <c r="N864" s="90" t="n"/>
      <c r="O864" s="90" t="n"/>
      <c r="P864" s="90" t="n"/>
      <c r="Q864" s="90" t="n"/>
      <c r="R864" s="90" t="n"/>
      <c r="S864" s="90" t="n"/>
      <c r="T864" s="90" t="n"/>
      <c r="U864" s="90" t="n"/>
      <c r="V864" s="90" t="n"/>
      <c r="W864" s="90" t="n"/>
      <c r="X864" s="90" t="n"/>
      <c r="Y864" s="90" t="n"/>
      <c r="Z864" s="90" t="n"/>
    </row>
    <row r="865">
      <c r="A865" s="90" t="n"/>
      <c r="B865" s="90" t="n"/>
      <c r="C865" s="90" t="n"/>
      <c r="D865" s="90" t="n"/>
      <c r="E865" s="90" t="n"/>
      <c r="F865" s="90" t="n"/>
      <c r="G865" s="90" t="n"/>
      <c r="H865" s="90" t="n"/>
      <c r="I865" s="90" t="n"/>
      <c r="J865" s="90" t="n"/>
      <c r="K865" s="90" t="n"/>
      <c r="L865" s="90" t="n"/>
      <c r="M865" s="90" t="n"/>
      <c r="N865" s="90" t="n"/>
      <c r="O865" s="90" t="n"/>
      <c r="P865" s="90" t="n"/>
      <c r="Q865" s="90" t="n"/>
      <c r="R865" s="90" t="n"/>
      <c r="S865" s="90" t="n"/>
      <c r="T865" s="90" t="n"/>
      <c r="U865" s="90" t="n"/>
      <c r="V865" s="90" t="n"/>
      <c r="W865" s="90" t="n"/>
      <c r="X865" s="90" t="n"/>
      <c r="Y865" s="90" t="n"/>
      <c r="Z865" s="90" t="n"/>
    </row>
    <row r="866">
      <c r="A866" s="90" t="n"/>
      <c r="B866" s="90" t="n"/>
      <c r="C866" s="90" t="n"/>
      <c r="D866" s="90" t="n"/>
      <c r="E866" s="90" t="n"/>
      <c r="F866" s="90" t="n"/>
      <c r="G866" s="90" t="n"/>
      <c r="H866" s="90" t="n"/>
      <c r="I866" s="90" t="n"/>
      <c r="J866" s="90" t="n"/>
      <c r="K866" s="90" t="n"/>
      <c r="L866" s="90" t="n"/>
      <c r="M866" s="90" t="n"/>
      <c r="N866" s="90" t="n"/>
      <c r="O866" s="90" t="n"/>
      <c r="P866" s="90" t="n"/>
      <c r="Q866" s="90" t="n"/>
      <c r="R866" s="90" t="n"/>
      <c r="S866" s="90" t="n"/>
      <c r="T866" s="90" t="n"/>
      <c r="U866" s="90" t="n"/>
      <c r="V866" s="90" t="n"/>
      <c r="W866" s="90" t="n"/>
      <c r="X866" s="90" t="n"/>
      <c r="Y866" s="90" t="n"/>
      <c r="Z866" s="90" t="n"/>
    </row>
    <row r="867">
      <c r="A867" s="90" t="n"/>
      <c r="B867" s="90" t="n"/>
      <c r="C867" s="90" t="n"/>
      <c r="D867" s="90" t="n"/>
      <c r="E867" s="90" t="n"/>
      <c r="F867" s="90" t="n"/>
      <c r="G867" s="90" t="n"/>
      <c r="H867" s="90" t="n"/>
      <c r="I867" s="90" t="n"/>
      <c r="J867" s="90" t="n"/>
      <c r="K867" s="90" t="n"/>
      <c r="L867" s="90" t="n"/>
      <c r="M867" s="90" t="n"/>
      <c r="N867" s="90" t="n"/>
      <c r="O867" s="90" t="n"/>
      <c r="P867" s="90" t="n"/>
      <c r="Q867" s="90" t="n"/>
      <c r="R867" s="90" t="n"/>
      <c r="S867" s="90" t="n"/>
      <c r="T867" s="90" t="n"/>
      <c r="U867" s="90" t="n"/>
      <c r="V867" s="90" t="n"/>
      <c r="W867" s="90" t="n"/>
      <c r="X867" s="90" t="n"/>
      <c r="Y867" s="90" t="n"/>
      <c r="Z867" s="90" t="n"/>
    </row>
    <row r="868">
      <c r="A868" s="90" t="n"/>
      <c r="B868" s="90" t="n"/>
      <c r="C868" s="90" t="n"/>
      <c r="D868" s="90" t="n"/>
      <c r="E868" s="90" t="n"/>
      <c r="F868" s="90" t="n"/>
      <c r="G868" s="90" t="n"/>
      <c r="H868" s="90" t="n"/>
      <c r="I868" s="90" t="n"/>
      <c r="J868" s="90" t="n"/>
      <c r="K868" s="90" t="n"/>
      <c r="L868" s="90" t="n"/>
      <c r="M868" s="90" t="n"/>
      <c r="N868" s="90" t="n"/>
      <c r="O868" s="90" t="n"/>
      <c r="P868" s="90" t="n"/>
      <c r="Q868" s="90" t="n"/>
      <c r="R868" s="90" t="n"/>
      <c r="S868" s="90" t="n"/>
      <c r="T868" s="90" t="n"/>
      <c r="U868" s="90" t="n"/>
      <c r="V868" s="90" t="n"/>
      <c r="W868" s="90" t="n"/>
      <c r="X868" s="90" t="n"/>
      <c r="Y868" s="90" t="n"/>
      <c r="Z868" s="90" t="n"/>
    </row>
    <row r="869">
      <c r="A869" s="90" t="n"/>
      <c r="B869" s="90" t="n"/>
      <c r="C869" s="90" t="n"/>
      <c r="D869" s="90" t="n"/>
      <c r="E869" s="90" t="n"/>
      <c r="F869" s="90" t="n"/>
      <c r="G869" s="90" t="n"/>
      <c r="H869" s="90" t="n"/>
      <c r="I869" s="90" t="n"/>
      <c r="J869" s="90" t="n"/>
      <c r="K869" s="90" t="n"/>
      <c r="L869" s="90" t="n"/>
      <c r="M869" s="90" t="n"/>
      <c r="N869" s="90" t="n"/>
      <c r="O869" s="90" t="n"/>
      <c r="P869" s="90" t="n"/>
      <c r="Q869" s="90" t="n"/>
      <c r="R869" s="90" t="n"/>
      <c r="S869" s="90" t="n"/>
      <c r="T869" s="90" t="n"/>
      <c r="U869" s="90" t="n"/>
      <c r="V869" s="90" t="n"/>
      <c r="W869" s="90" t="n"/>
      <c r="X869" s="90" t="n"/>
      <c r="Y869" s="90" t="n"/>
      <c r="Z869" s="90" t="n"/>
    </row>
    <row r="870">
      <c r="A870" s="90" t="n"/>
      <c r="B870" s="90" t="n"/>
      <c r="C870" s="90" t="n"/>
      <c r="D870" s="90" t="n"/>
      <c r="E870" s="90" t="n"/>
      <c r="F870" s="90" t="n"/>
      <c r="G870" s="90" t="n"/>
      <c r="H870" s="90" t="n"/>
      <c r="I870" s="90" t="n"/>
      <c r="J870" s="90" t="n"/>
      <c r="K870" s="90" t="n"/>
      <c r="L870" s="90" t="n"/>
      <c r="M870" s="90" t="n"/>
      <c r="N870" s="90" t="n"/>
      <c r="O870" s="90" t="n"/>
      <c r="P870" s="90" t="n"/>
      <c r="Q870" s="90" t="n"/>
      <c r="R870" s="90" t="n"/>
      <c r="S870" s="90" t="n"/>
      <c r="T870" s="90" t="n"/>
      <c r="U870" s="90" t="n"/>
      <c r="V870" s="90" t="n"/>
      <c r="W870" s="90" t="n"/>
      <c r="X870" s="90" t="n"/>
      <c r="Y870" s="90" t="n"/>
      <c r="Z870" s="90" t="n"/>
    </row>
    <row r="871">
      <c r="A871" s="90" t="n"/>
      <c r="B871" s="90" t="n"/>
      <c r="C871" s="90" t="n"/>
      <c r="D871" s="90" t="n"/>
      <c r="E871" s="90" t="n"/>
      <c r="F871" s="90" t="n"/>
      <c r="G871" s="90" t="n"/>
      <c r="H871" s="90" t="n"/>
      <c r="I871" s="90" t="n"/>
      <c r="J871" s="90" t="n"/>
      <c r="K871" s="90" t="n"/>
      <c r="L871" s="90" t="n"/>
      <c r="M871" s="90" t="n"/>
      <c r="N871" s="90" t="n"/>
      <c r="O871" s="90" t="n"/>
      <c r="P871" s="90" t="n"/>
      <c r="Q871" s="90" t="n"/>
      <c r="R871" s="90" t="n"/>
      <c r="S871" s="90" t="n"/>
      <c r="T871" s="90" t="n"/>
      <c r="U871" s="90" t="n"/>
      <c r="V871" s="90" t="n"/>
      <c r="W871" s="90" t="n"/>
      <c r="X871" s="90" t="n"/>
      <c r="Y871" s="90" t="n"/>
      <c r="Z871" s="90" t="n"/>
    </row>
    <row r="872">
      <c r="A872" s="90" t="n"/>
      <c r="B872" s="90" t="n"/>
      <c r="C872" s="90" t="n"/>
      <c r="D872" s="90" t="n"/>
      <c r="E872" s="90" t="n"/>
      <c r="F872" s="90" t="n"/>
      <c r="G872" s="90" t="n"/>
      <c r="H872" s="90" t="n"/>
      <c r="I872" s="90" t="n"/>
      <c r="J872" s="90" t="n"/>
      <c r="K872" s="90" t="n"/>
      <c r="L872" s="90" t="n"/>
      <c r="M872" s="90" t="n"/>
      <c r="N872" s="90" t="n"/>
      <c r="O872" s="90" t="n"/>
      <c r="P872" s="90" t="n"/>
      <c r="Q872" s="90" t="n"/>
      <c r="R872" s="90" t="n"/>
      <c r="S872" s="90" t="n"/>
      <c r="T872" s="90" t="n"/>
      <c r="U872" s="90" t="n"/>
      <c r="V872" s="90" t="n"/>
      <c r="W872" s="90" t="n"/>
      <c r="X872" s="90" t="n"/>
      <c r="Y872" s="90" t="n"/>
      <c r="Z872" s="90" t="n"/>
    </row>
    <row r="873">
      <c r="A873" s="90" t="n"/>
      <c r="B873" s="90" t="n"/>
      <c r="C873" s="90" t="n"/>
      <c r="D873" s="90" t="n"/>
      <c r="E873" s="90" t="n"/>
      <c r="F873" s="90" t="n"/>
      <c r="G873" s="90" t="n"/>
      <c r="H873" s="90" t="n"/>
      <c r="I873" s="90" t="n"/>
      <c r="J873" s="90" t="n"/>
      <c r="K873" s="90" t="n"/>
      <c r="L873" s="90" t="n"/>
      <c r="M873" s="90" t="n"/>
      <c r="N873" s="90" t="n"/>
      <c r="O873" s="90" t="n"/>
      <c r="P873" s="90" t="n"/>
      <c r="Q873" s="90" t="n"/>
      <c r="R873" s="90" t="n"/>
      <c r="S873" s="90" t="n"/>
      <c r="T873" s="90" t="n"/>
      <c r="U873" s="90" t="n"/>
      <c r="V873" s="90" t="n"/>
      <c r="W873" s="90" t="n"/>
      <c r="X873" s="90" t="n"/>
      <c r="Y873" s="90" t="n"/>
      <c r="Z873" s="90" t="n"/>
    </row>
    <row r="874">
      <c r="A874" s="90" t="n"/>
      <c r="B874" s="90" t="n"/>
      <c r="C874" s="90" t="n"/>
      <c r="D874" s="90" t="n"/>
      <c r="E874" s="90" t="n"/>
      <c r="F874" s="90" t="n"/>
      <c r="G874" s="90" t="n"/>
      <c r="H874" s="90" t="n"/>
      <c r="I874" s="90" t="n"/>
      <c r="J874" s="90" t="n"/>
      <c r="K874" s="90" t="n"/>
      <c r="L874" s="90" t="n"/>
      <c r="M874" s="90" t="n"/>
      <c r="N874" s="90" t="n"/>
      <c r="O874" s="90" t="n"/>
      <c r="P874" s="90" t="n"/>
      <c r="Q874" s="90" t="n"/>
      <c r="R874" s="90" t="n"/>
      <c r="S874" s="90" t="n"/>
      <c r="T874" s="90" t="n"/>
      <c r="U874" s="90" t="n"/>
      <c r="V874" s="90" t="n"/>
      <c r="W874" s="90" t="n"/>
      <c r="X874" s="90" t="n"/>
      <c r="Y874" s="90" t="n"/>
      <c r="Z874" s="90" t="n"/>
    </row>
    <row r="875">
      <c r="A875" s="90" t="n"/>
      <c r="B875" s="90" t="n"/>
      <c r="C875" s="90" t="n"/>
      <c r="D875" s="90" t="n"/>
      <c r="E875" s="90" t="n"/>
      <c r="F875" s="90" t="n"/>
      <c r="G875" s="90" t="n"/>
      <c r="H875" s="90" t="n"/>
      <c r="I875" s="90" t="n"/>
      <c r="J875" s="90" t="n"/>
      <c r="K875" s="90" t="n"/>
      <c r="L875" s="90" t="n"/>
      <c r="M875" s="90" t="n"/>
      <c r="N875" s="90" t="n"/>
      <c r="O875" s="90" t="n"/>
      <c r="P875" s="90" t="n"/>
      <c r="Q875" s="90" t="n"/>
      <c r="R875" s="90" t="n"/>
      <c r="S875" s="90" t="n"/>
      <c r="T875" s="90" t="n"/>
      <c r="U875" s="90" t="n"/>
      <c r="V875" s="90" t="n"/>
      <c r="W875" s="90" t="n"/>
      <c r="X875" s="90" t="n"/>
      <c r="Y875" s="90" t="n"/>
      <c r="Z875" s="90" t="n"/>
    </row>
    <row r="876">
      <c r="A876" s="90" t="n"/>
      <c r="B876" s="90" t="n"/>
      <c r="C876" s="90" t="n"/>
      <c r="D876" s="90" t="n"/>
      <c r="E876" s="90" t="n"/>
      <c r="F876" s="90" t="n"/>
      <c r="G876" s="90" t="n"/>
      <c r="H876" s="90" t="n"/>
      <c r="I876" s="90" t="n"/>
      <c r="J876" s="90" t="n"/>
      <c r="K876" s="90" t="n"/>
      <c r="L876" s="90" t="n"/>
      <c r="M876" s="90" t="n"/>
      <c r="N876" s="90" t="n"/>
      <c r="O876" s="90" t="n"/>
      <c r="P876" s="90" t="n"/>
      <c r="Q876" s="90" t="n"/>
      <c r="R876" s="90" t="n"/>
      <c r="S876" s="90" t="n"/>
      <c r="T876" s="90" t="n"/>
      <c r="U876" s="90" t="n"/>
      <c r="V876" s="90" t="n"/>
      <c r="W876" s="90" t="n"/>
      <c r="X876" s="90" t="n"/>
      <c r="Y876" s="90" t="n"/>
      <c r="Z876" s="90" t="n"/>
    </row>
    <row r="877">
      <c r="A877" s="90" t="n"/>
      <c r="B877" s="90" t="n"/>
      <c r="C877" s="90" t="n"/>
      <c r="D877" s="90" t="n"/>
      <c r="E877" s="90" t="n"/>
      <c r="F877" s="90" t="n"/>
      <c r="G877" s="90" t="n"/>
      <c r="H877" s="90" t="n"/>
      <c r="I877" s="90" t="n"/>
      <c r="J877" s="90" t="n"/>
      <c r="K877" s="90" t="n"/>
      <c r="L877" s="90" t="n"/>
      <c r="M877" s="90" t="n"/>
      <c r="N877" s="90" t="n"/>
      <c r="O877" s="90" t="n"/>
      <c r="P877" s="90" t="n"/>
      <c r="Q877" s="90" t="n"/>
      <c r="R877" s="90" t="n"/>
      <c r="S877" s="90" t="n"/>
      <c r="T877" s="90" t="n"/>
      <c r="U877" s="90" t="n"/>
      <c r="V877" s="90" t="n"/>
      <c r="W877" s="90" t="n"/>
      <c r="X877" s="90" t="n"/>
      <c r="Y877" s="90" t="n"/>
      <c r="Z877" s="90" t="n"/>
    </row>
    <row r="878">
      <c r="A878" s="90" t="n"/>
      <c r="B878" s="90" t="n"/>
      <c r="C878" s="90" t="n"/>
      <c r="D878" s="90" t="n"/>
      <c r="E878" s="90" t="n"/>
      <c r="F878" s="90" t="n"/>
      <c r="G878" s="90" t="n"/>
      <c r="H878" s="90" t="n"/>
      <c r="I878" s="90" t="n"/>
      <c r="J878" s="90" t="n"/>
      <c r="K878" s="90" t="n"/>
      <c r="L878" s="90" t="n"/>
      <c r="M878" s="90" t="n"/>
      <c r="N878" s="90" t="n"/>
      <c r="O878" s="90" t="n"/>
      <c r="P878" s="90" t="n"/>
      <c r="Q878" s="90" t="n"/>
      <c r="R878" s="90" t="n"/>
      <c r="S878" s="90" t="n"/>
      <c r="T878" s="90" t="n"/>
      <c r="U878" s="90" t="n"/>
      <c r="V878" s="90" t="n"/>
      <c r="W878" s="90" t="n"/>
      <c r="X878" s="90" t="n"/>
      <c r="Y878" s="90" t="n"/>
      <c r="Z878" s="90" t="n"/>
    </row>
    <row r="879">
      <c r="A879" s="90" t="n"/>
      <c r="B879" s="90" t="n"/>
      <c r="C879" s="90" t="n"/>
      <c r="D879" s="90" t="n"/>
      <c r="E879" s="90" t="n"/>
      <c r="F879" s="90" t="n"/>
      <c r="G879" s="90" t="n"/>
      <c r="H879" s="90" t="n"/>
      <c r="I879" s="90" t="n"/>
      <c r="J879" s="90" t="n"/>
      <c r="K879" s="90" t="n"/>
      <c r="L879" s="90" t="n"/>
      <c r="M879" s="90" t="n"/>
      <c r="N879" s="90" t="n"/>
      <c r="O879" s="90" t="n"/>
      <c r="P879" s="90" t="n"/>
      <c r="Q879" s="90" t="n"/>
      <c r="R879" s="90" t="n"/>
      <c r="S879" s="90" t="n"/>
      <c r="T879" s="90" t="n"/>
      <c r="U879" s="90" t="n"/>
      <c r="V879" s="90" t="n"/>
      <c r="W879" s="90" t="n"/>
      <c r="X879" s="90" t="n"/>
      <c r="Y879" s="90" t="n"/>
      <c r="Z879" s="90" t="n"/>
    </row>
    <row r="880">
      <c r="A880" s="90" t="n"/>
      <c r="B880" s="90" t="n"/>
      <c r="C880" s="90" t="n"/>
      <c r="D880" s="90" t="n"/>
      <c r="E880" s="90" t="n"/>
      <c r="F880" s="90" t="n"/>
      <c r="G880" s="90" t="n"/>
      <c r="H880" s="90" t="n"/>
      <c r="I880" s="90" t="n"/>
      <c r="J880" s="90" t="n"/>
      <c r="K880" s="90" t="n"/>
      <c r="L880" s="90" t="n"/>
      <c r="M880" s="90" t="n"/>
      <c r="N880" s="90" t="n"/>
      <c r="O880" s="90" t="n"/>
      <c r="P880" s="90" t="n"/>
      <c r="Q880" s="90" t="n"/>
      <c r="R880" s="90" t="n"/>
      <c r="S880" s="90" t="n"/>
      <c r="T880" s="90" t="n"/>
      <c r="U880" s="90" t="n"/>
      <c r="V880" s="90" t="n"/>
      <c r="W880" s="90" t="n"/>
      <c r="X880" s="90" t="n"/>
      <c r="Y880" s="90" t="n"/>
      <c r="Z880" s="90" t="n"/>
    </row>
    <row r="881">
      <c r="A881" s="90" t="n"/>
      <c r="B881" s="90" t="n"/>
      <c r="C881" s="90" t="n"/>
      <c r="D881" s="90" t="n"/>
      <c r="E881" s="90" t="n"/>
      <c r="F881" s="90" t="n"/>
      <c r="G881" s="90" t="n"/>
      <c r="H881" s="90" t="n"/>
      <c r="I881" s="90" t="n"/>
      <c r="J881" s="90" t="n"/>
      <c r="K881" s="90" t="n"/>
      <c r="L881" s="90" t="n"/>
      <c r="M881" s="90" t="n"/>
      <c r="N881" s="90" t="n"/>
      <c r="O881" s="90" t="n"/>
      <c r="P881" s="90" t="n"/>
      <c r="Q881" s="90" t="n"/>
      <c r="R881" s="90" t="n"/>
      <c r="S881" s="90" t="n"/>
      <c r="T881" s="90" t="n"/>
      <c r="U881" s="90" t="n"/>
      <c r="V881" s="90" t="n"/>
      <c r="W881" s="90" t="n"/>
      <c r="X881" s="90" t="n"/>
      <c r="Y881" s="90" t="n"/>
      <c r="Z881" s="90" t="n"/>
    </row>
    <row r="882">
      <c r="A882" s="90" t="n"/>
      <c r="B882" s="90" t="n"/>
      <c r="C882" s="90" t="n"/>
      <c r="D882" s="90" t="n"/>
      <c r="E882" s="90" t="n"/>
      <c r="F882" s="90" t="n"/>
      <c r="G882" s="90" t="n"/>
      <c r="H882" s="90" t="n"/>
      <c r="I882" s="90" t="n"/>
      <c r="J882" s="90" t="n"/>
      <c r="K882" s="90" t="n"/>
      <c r="L882" s="90" t="n"/>
      <c r="M882" s="90" t="n"/>
      <c r="N882" s="90" t="n"/>
      <c r="O882" s="90" t="n"/>
      <c r="P882" s="90" t="n"/>
      <c r="Q882" s="90" t="n"/>
      <c r="R882" s="90" t="n"/>
      <c r="S882" s="90" t="n"/>
      <c r="T882" s="90" t="n"/>
      <c r="U882" s="90" t="n"/>
      <c r="V882" s="90" t="n"/>
      <c r="W882" s="90" t="n"/>
      <c r="X882" s="90" t="n"/>
      <c r="Y882" s="90" t="n"/>
      <c r="Z882" s="90" t="n"/>
    </row>
    <row r="883">
      <c r="A883" s="90" t="n"/>
      <c r="B883" s="90" t="n"/>
      <c r="C883" s="90" t="n"/>
      <c r="D883" s="90" t="n"/>
      <c r="E883" s="90" t="n"/>
      <c r="F883" s="90" t="n"/>
      <c r="G883" s="90" t="n"/>
      <c r="H883" s="90" t="n"/>
      <c r="I883" s="90" t="n"/>
      <c r="J883" s="90" t="n"/>
      <c r="K883" s="90" t="n"/>
      <c r="L883" s="90" t="n"/>
      <c r="M883" s="90" t="n"/>
      <c r="N883" s="90" t="n"/>
      <c r="O883" s="90" t="n"/>
      <c r="P883" s="90" t="n"/>
      <c r="Q883" s="90" t="n"/>
      <c r="R883" s="90" t="n"/>
      <c r="S883" s="90" t="n"/>
      <c r="T883" s="90" t="n"/>
      <c r="U883" s="90" t="n"/>
      <c r="V883" s="90" t="n"/>
      <c r="W883" s="90" t="n"/>
      <c r="X883" s="90" t="n"/>
      <c r="Y883" s="90" t="n"/>
      <c r="Z883" s="90" t="n"/>
    </row>
    <row r="884">
      <c r="A884" s="90" t="n"/>
      <c r="B884" s="90" t="n"/>
      <c r="C884" s="90" t="n"/>
      <c r="D884" s="90" t="n"/>
      <c r="E884" s="90" t="n"/>
      <c r="F884" s="90" t="n"/>
      <c r="G884" s="90" t="n"/>
      <c r="H884" s="90" t="n"/>
      <c r="I884" s="90" t="n"/>
      <c r="J884" s="90" t="n"/>
      <c r="K884" s="90" t="n"/>
      <c r="L884" s="90" t="n"/>
      <c r="M884" s="90" t="n"/>
      <c r="N884" s="90" t="n"/>
      <c r="O884" s="90" t="n"/>
      <c r="P884" s="90" t="n"/>
      <c r="Q884" s="90" t="n"/>
      <c r="R884" s="90" t="n"/>
      <c r="S884" s="90" t="n"/>
      <c r="T884" s="90" t="n"/>
      <c r="U884" s="90" t="n"/>
      <c r="V884" s="90" t="n"/>
      <c r="W884" s="90" t="n"/>
      <c r="X884" s="90" t="n"/>
      <c r="Y884" s="90" t="n"/>
      <c r="Z884" s="90" t="n"/>
    </row>
    <row r="885">
      <c r="A885" s="90" t="n"/>
      <c r="B885" s="90" t="n"/>
      <c r="C885" s="90" t="n"/>
      <c r="D885" s="90" t="n"/>
      <c r="E885" s="90" t="n"/>
      <c r="F885" s="90" t="n"/>
      <c r="G885" s="90" t="n"/>
      <c r="H885" s="90" t="n"/>
      <c r="I885" s="90" t="n"/>
      <c r="J885" s="90" t="n"/>
      <c r="K885" s="90" t="n"/>
      <c r="L885" s="90" t="n"/>
      <c r="M885" s="90" t="n"/>
      <c r="N885" s="90" t="n"/>
      <c r="O885" s="90" t="n"/>
      <c r="P885" s="90" t="n"/>
      <c r="Q885" s="90" t="n"/>
      <c r="R885" s="90" t="n"/>
      <c r="S885" s="90" t="n"/>
      <c r="T885" s="90" t="n"/>
      <c r="U885" s="90" t="n"/>
      <c r="V885" s="90" t="n"/>
      <c r="W885" s="90" t="n"/>
      <c r="X885" s="90" t="n"/>
      <c r="Y885" s="90" t="n"/>
      <c r="Z885" s="90" t="n"/>
    </row>
    <row r="886">
      <c r="A886" s="90" t="n"/>
      <c r="B886" s="90" t="n"/>
      <c r="C886" s="90" t="n"/>
      <c r="D886" s="90" t="n"/>
      <c r="E886" s="90" t="n"/>
      <c r="F886" s="90" t="n"/>
      <c r="G886" s="90" t="n"/>
      <c r="H886" s="90" t="n"/>
      <c r="I886" s="90" t="n"/>
      <c r="J886" s="90" t="n"/>
      <c r="K886" s="90" t="n"/>
      <c r="L886" s="90" t="n"/>
      <c r="M886" s="90" t="n"/>
      <c r="N886" s="90" t="n"/>
      <c r="O886" s="90" t="n"/>
      <c r="P886" s="90" t="n"/>
      <c r="Q886" s="90" t="n"/>
      <c r="R886" s="90" t="n"/>
      <c r="S886" s="90" t="n"/>
      <c r="T886" s="90" t="n"/>
      <c r="U886" s="90" t="n"/>
      <c r="V886" s="90" t="n"/>
      <c r="W886" s="90" t="n"/>
      <c r="X886" s="90" t="n"/>
      <c r="Y886" s="90" t="n"/>
      <c r="Z886" s="90" t="n"/>
    </row>
    <row r="887">
      <c r="A887" s="90" t="n"/>
      <c r="B887" s="90" t="n"/>
      <c r="C887" s="90" t="n"/>
      <c r="D887" s="90" t="n"/>
      <c r="E887" s="90" t="n"/>
      <c r="F887" s="90" t="n"/>
      <c r="G887" s="90" t="n"/>
      <c r="H887" s="90" t="n"/>
      <c r="I887" s="90" t="n"/>
      <c r="J887" s="90" t="n"/>
      <c r="K887" s="90" t="n"/>
      <c r="L887" s="90" t="n"/>
      <c r="M887" s="90" t="n"/>
      <c r="N887" s="90" t="n"/>
      <c r="O887" s="90" t="n"/>
      <c r="P887" s="90" t="n"/>
      <c r="Q887" s="90" t="n"/>
      <c r="R887" s="90" t="n"/>
      <c r="S887" s="90" t="n"/>
      <c r="T887" s="90" t="n"/>
      <c r="U887" s="90" t="n"/>
      <c r="V887" s="90" t="n"/>
      <c r="W887" s="90" t="n"/>
      <c r="X887" s="90" t="n"/>
      <c r="Y887" s="90" t="n"/>
      <c r="Z887" s="90" t="n"/>
    </row>
    <row r="888">
      <c r="A888" s="90" t="n"/>
      <c r="B888" s="90" t="n"/>
      <c r="C888" s="90" t="n"/>
      <c r="D888" s="90" t="n"/>
      <c r="E888" s="90" t="n"/>
      <c r="F888" s="90" t="n"/>
      <c r="G888" s="90" t="n"/>
      <c r="H888" s="90" t="n"/>
      <c r="I888" s="90" t="n"/>
      <c r="J888" s="90" t="n"/>
      <c r="K888" s="90" t="n"/>
      <c r="L888" s="90" t="n"/>
      <c r="M888" s="90" t="n"/>
      <c r="N888" s="90" t="n"/>
      <c r="O888" s="90" t="n"/>
      <c r="P888" s="90" t="n"/>
      <c r="Q888" s="90" t="n"/>
      <c r="R888" s="90" t="n"/>
      <c r="S888" s="90" t="n"/>
      <c r="T888" s="90" t="n"/>
      <c r="U888" s="90" t="n"/>
      <c r="V888" s="90" t="n"/>
      <c r="W888" s="90" t="n"/>
      <c r="X888" s="90" t="n"/>
      <c r="Y888" s="90" t="n"/>
      <c r="Z888" s="90" t="n"/>
    </row>
    <row r="889">
      <c r="A889" s="90" t="n"/>
      <c r="B889" s="90" t="n"/>
      <c r="C889" s="90" t="n"/>
      <c r="D889" s="90" t="n"/>
      <c r="E889" s="90" t="n"/>
      <c r="F889" s="90" t="n"/>
      <c r="G889" s="90" t="n"/>
      <c r="H889" s="90" t="n"/>
      <c r="I889" s="90" t="n"/>
      <c r="J889" s="90" t="n"/>
      <c r="K889" s="90" t="n"/>
      <c r="L889" s="90" t="n"/>
      <c r="M889" s="90" t="n"/>
      <c r="N889" s="90" t="n"/>
      <c r="O889" s="90" t="n"/>
      <c r="P889" s="90" t="n"/>
      <c r="Q889" s="90" t="n"/>
      <c r="R889" s="90" t="n"/>
      <c r="S889" s="90" t="n"/>
      <c r="T889" s="90" t="n"/>
      <c r="U889" s="90" t="n"/>
      <c r="V889" s="90" t="n"/>
      <c r="W889" s="90" t="n"/>
      <c r="X889" s="90" t="n"/>
      <c r="Y889" s="90" t="n"/>
      <c r="Z889" s="90" t="n"/>
    </row>
    <row r="890">
      <c r="A890" s="90" t="n"/>
      <c r="B890" s="90" t="n"/>
      <c r="C890" s="90" t="n"/>
      <c r="D890" s="90" t="n"/>
      <c r="E890" s="90" t="n"/>
      <c r="F890" s="90" t="n"/>
      <c r="G890" s="90" t="n"/>
      <c r="H890" s="90" t="n"/>
      <c r="I890" s="90" t="n"/>
      <c r="J890" s="90" t="n"/>
      <c r="K890" s="90" t="n"/>
      <c r="L890" s="90" t="n"/>
      <c r="M890" s="90" t="n"/>
      <c r="N890" s="90" t="n"/>
      <c r="O890" s="90" t="n"/>
      <c r="P890" s="90" t="n"/>
      <c r="Q890" s="90" t="n"/>
      <c r="R890" s="90" t="n"/>
      <c r="S890" s="90" t="n"/>
      <c r="T890" s="90" t="n"/>
      <c r="U890" s="90" t="n"/>
      <c r="V890" s="90" t="n"/>
      <c r="W890" s="90" t="n"/>
      <c r="X890" s="90" t="n"/>
      <c r="Y890" s="90" t="n"/>
      <c r="Z890" s="90" t="n"/>
    </row>
    <row r="891">
      <c r="A891" s="90" t="n"/>
      <c r="B891" s="90" t="n"/>
      <c r="C891" s="90" t="n"/>
      <c r="D891" s="90" t="n"/>
      <c r="E891" s="90" t="n"/>
      <c r="F891" s="90" t="n"/>
      <c r="G891" s="90" t="n"/>
      <c r="H891" s="90" t="n"/>
      <c r="I891" s="90" t="n"/>
      <c r="J891" s="90" t="n"/>
      <c r="K891" s="90" t="n"/>
      <c r="L891" s="90" t="n"/>
      <c r="M891" s="90" t="n"/>
      <c r="N891" s="90" t="n"/>
      <c r="O891" s="90" t="n"/>
      <c r="P891" s="90" t="n"/>
      <c r="Q891" s="90" t="n"/>
      <c r="R891" s="90" t="n"/>
      <c r="S891" s="90" t="n"/>
      <c r="T891" s="90" t="n"/>
      <c r="U891" s="90" t="n"/>
      <c r="V891" s="90" t="n"/>
      <c r="W891" s="90" t="n"/>
      <c r="X891" s="90" t="n"/>
      <c r="Y891" s="90" t="n"/>
      <c r="Z891" s="90" t="n"/>
    </row>
    <row r="892">
      <c r="A892" s="90" t="n"/>
      <c r="B892" s="90" t="n"/>
      <c r="C892" s="90" t="n"/>
      <c r="D892" s="90" t="n"/>
      <c r="E892" s="90" t="n"/>
      <c r="F892" s="90" t="n"/>
      <c r="G892" s="90" t="n"/>
      <c r="H892" s="90" t="n"/>
      <c r="I892" s="90" t="n"/>
      <c r="J892" s="90" t="n"/>
      <c r="K892" s="90" t="n"/>
      <c r="L892" s="90" t="n"/>
      <c r="M892" s="90" t="n"/>
      <c r="N892" s="90" t="n"/>
      <c r="O892" s="90" t="n"/>
      <c r="P892" s="90" t="n"/>
      <c r="Q892" s="90" t="n"/>
      <c r="R892" s="90" t="n"/>
      <c r="S892" s="90" t="n"/>
      <c r="T892" s="90" t="n"/>
      <c r="U892" s="90" t="n"/>
      <c r="V892" s="90" t="n"/>
      <c r="W892" s="90" t="n"/>
      <c r="X892" s="90" t="n"/>
      <c r="Y892" s="90" t="n"/>
      <c r="Z892" s="90" t="n"/>
    </row>
    <row r="893">
      <c r="A893" s="90" t="n"/>
      <c r="B893" s="90" t="n"/>
      <c r="C893" s="90" t="n"/>
      <c r="D893" s="90" t="n"/>
      <c r="E893" s="90" t="n"/>
      <c r="F893" s="90" t="n"/>
      <c r="G893" s="90" t="n"/>
      <c r="H893" s="90" t="n"/>
      <c r="I893" s="90" t="n"/>
      <c r="J893" s="90" t="n"/>
      <c r="K893" s="90" t="n"/>
      <c r="L893" s="90" t="n"/>
      <c r="M893" s="90" t="n"/>
      <c r="N893" s="90" t="n"/>
      <c r="O893" s="90" t="n"/>
      <c r="P893" s="90" t="n"/>
      <c r="Q893" s="90" t="n"/>
      <c r="R893" s="90" t="n"/>
      <c r="S893" s="90" t="n"/>
      <c r="T893" s="90" t="n"/>
      <c r="U893" s="90" t="n"/>
      <c r="V893" s="90" t="n"/>
      <c r="W893" s="90" t="n"/>
      <c r="X893" s="90" t="n"/>
      <c r="Y893" s="90" t="n"/>
      <c r="Z893" s="90" t="n"/>
    </row>
    <row r="894">
      <c r="A894" s="90" t="n"/>
      <c r="B894" s="90" t="n"/>
      <c r="C894" s="90" t="n"/>
      <c r="D894" s="90" t="n"/>
      <c r="E894" s="90" t="n"/>
      <c r="F894" s="90" t="n"/>
      <c r="G894" s="90" t="n"/>
      <c r="H894" s="90" t="n"/>
      <c r="I894" s="90" t="n"/>
      <c r="J894" s="90" t="n"/>
      <c r="K894" s="90" t="n"/>
      <c r="L894" s="90" t="n"/>
      <c r="M894" s="90" t="n"/>
      <c r="N894" s="90" t="n"/>
      <c r="O894" s="90" t="n"/>
      <c r="P894" s="90" t="n"/>
      <c r="Q894" s="90" t="n"/>
      <c r="R894" s="90" t="n"/>
      <c r="S894" s="90" t="n"/>
      <c r="T894" s="90" t="n"/>
      <c r="U894" s="90" t="n"/>
      <c r="V894" s="90" t="n"/>
      <c r="W894" s="90" t="n"/>
      <c r="X894" s="90" t="n"/>
      <c r="Y894" s="90" t="n"/>
      <c r="Z894" s="90" t="n"/>
    </row>
    <row r="895">
      <c r="A895" s="90" t="n"/>
      <c r="B895" s="90" t="n"/>
      <c r="C895" s="90" t="n"/>
      <c r="D895" s="90" t="n"/>
      <c r="E895" s="90" t="n"/>
      <c r="F895" s="90" t="n"/>
      <c r="G895" s="90" t="n"/>
      <c r="H895" s="90" t="n"/>
      <c r="I895" s="90" t="n"/>
      <c r="J895" s="90" t="n"/>
      <c r="K895" s="90" t="n"/>
      <c r="L895" s="90" t="n"/>
      <c r="M895" s="90" t="n"/>
      <c r="N895" s="90" t="n"/>
      <c r="O895" s="90" t="n"/>
      <c r="P895" s="90" t="n"/>
      <c r="Q895" s="90" t="n"/>
      <c r="R895" s="90" t="n"/>
      <c r="S895" s="90" t="n"/>
      <c r="T895" s="90" t="n"/>
      <c r="U895" s="90" t="n"/>
      <c r="V895" s="90" t="n"/>
      <c r="W895" s="90" t="n"/>
      <c r="X895" s="90" t="n"/>
      <c r="Y895" s="90" t="n"/>
      <c r="Z895" s="90" t="n"/>
    </row>
    <row r="896">
      <c r="A896" s="90" t="n"/>
      <c r="B896" s="90" t="n"/>
      <c r="C896" s="90" t="n"/>
      <c r="D896" s="90" t="n"/>
      <c r="E896" s="90" t="n"/>
      <c r="F896" s="90" t="n"/>
      <c r="G896" s="90" t="n"/>
      <c r="H896" s="90" t="n"/>
      <c r="I896" s="90" t="n"/>
      <c r="J896" s="90" t="n"/>
      <c r="K896" s="90" t="n"/>
      <c r="L896" s="90" t="n"/>
      <c r="M896" s="90" t="n"/>
      <c r="N896" s="90" t="n"/>
      <c r="O896" s="90" t="n"/>
      <c r="P896" s="90" t="n"/>
      <c r="Q896" s="90" t="n"/>
      <c r="R896" s="90" t="n"/>
      <c r="S896" s="90" t="n"/>
      <c r="T896" s="90" t="n"/>
      <c r="U896" s="90" t="n"/>
      <c r="V896" s="90" t="n"/>
      <c r="W896" s="90" t="n"/>
      <c r="X896" s="90" t="n"/>
      <c r="Y896" s="90" t="n"/>
      <c r="Z896" s="90" t="n"/>
    </row>
    <row r="897">
      <c r="A897" s="90" t="n"/>
      <c r="B897" s="90" t="n"/>
      <c r="C897" s="90" t="n"/>
      <c r="D897" s="90" t="n"/>
      <c r="E897" s="90" t="n"/>
      <c r="F897" s="90" t="n"/>
      <c r="G897" s="90" t="n"/>
      <c r="H897" s="90" t="n"/>
      <c r="I897" s="90" t="n"/>
      <c r="J897" s="90" t="n"/>
      <c r="K897" s="90" t="n"/>
      <c r="L897" s="90" t="n"/>
      <c r="M897" s="90" t="n"/>
      <c r="N897" s="90" t="n"/>
      <c r="O897" s="90" t="n"/>
      <c r="P897" s="90" t="n"/>
      <c r="Q897" s="90" t="n"/>
      <c r="R897" s="90" t="n"/>
      <c r="S897" s="90" t="n"/>
      <c r="T897" s="90" t="n"/>
      <c r="U897" s="90" t="n"/>
      <c r="V897" s="90" t="n"/>
      <c r="W897" s="90" t="n"/>
      <c r="X897" s="90" t="n"/>
      <c r="Y897" s="90" t="n"/>
      <c r="Z897" s="90" t="n"/>
    </row>
    <row r="898">
      <c r="A898" s="90" t="n"/>
      <c r="B898" s="90" t="n"/>
      <c r="C898" s="90" t="n"/>
      <c r="D898" s="90" t="n"/>
      <c r="E898" s="90" t="n"/>
      <c r="F898" s="90" t="n"/>
      <c r="G898" s="90" t="n"/>
      <c r="H898" s="90" t="n"/>
      <c r="I898" s="90" t="n"/>
      <c r="J898" s="90" t="n"/>
      <c r="K898" s="90" t="n"/>
      <c r="L898" s="90" t="n"/>
      <c r="M898" s="90" t="n"/>
      <c r="N898" s="90" t="n"/>
      <c r="O898" s="90" t="n"/>
      <c r="P898" s="90" t="n"/>
      <c r="Q898" s="90" t="n"/>
      <c r="R898" s="90" t="n"/>
      <c r="S898" s="90" t="n"/>
      <c r="T898" s="90" t="n"/>
      <c r="U898" s="90" t="n"/>
      <c r="V898" s="90" t="n"/>
      <c r="W898" s="90" t="n"/>
      <c r="X898" s="90" t="n"/>
      <c r="Y898" s="90" t="n"/>
      <c r="Z898" s="90" t="n"/>
    </row>
    <row r="899">
      <c r="A899" s="90" t="n"/>
      <c r="B899" s="90" t="n"/>
      <c r="C899" s="90" t="n"/>
      <c r="D899" s="90" t="n"/>
      <c r="E899" s="90" t="n"/>
      <c r="F899" s="90" t="n"/>
      <c r="G899" s="90" t="n"/>
      <c r="H899" s="90" t="n"/>
      <c r="I899" s="90" t="n"/>
      <c r="J899" s="90" t="n"/>
      <c r="K899" s="90" t="n"/>
      <c r="L899" s="90" t="n"/>
      <c r="M899" s="90" t="n"/>
      <c r="N899" s="90" t="n"/>
      <c r="O899" s="90" t="n"/>
      <c r="P899" s="90" t="n"/>
      <c r="Q899" s="90" t="n"/>
      <c r="R899" s="90" t="n"/>
      <c r="S899" s="90" t="n"/>
      <c r="T899" s="90" t="n"/>
      <c r="U899" s="90" t="n"/>
      <c r="V899" s="90" t="n"/>
      <c r="W899" s="90" t="n"/>
      <c r="X899" s="90" t="n"/>
      <c r="Y899" s="90" t="n"/>
      <c r="Z899" s="90" t="n"/>
    </row>
    <row r="900">
      <c r="A900" s="90" t="n"/>
      <c r="B900" s="90" t="n"/>
      <c r="C900" s="90" t="n"/>
      <c r="D900" s="90" t="n"/>
      <c r="E900" s="90" t="n"/>
      <c r="F900" s="90" t="n"/>
      <c r="G900" s="90" t="n"/>
      <c r="H900" s="90" t="n"/>
      <c r="I900" s="90" t="n"/>
      <c r="J900" s="90" t="n"/>
      <c r="K900" s="90" t="n"/>
      <c r="L900" s="90" t="n"/>
      <c r="M900" s="90" t="n"/>
      <c r="N900" s="90" t="n"/>
      <c r="O900" s="90" t="n"/>
      <c r="P900" s="90" t="n"/>
      <c r="Q900" s="90" t="n"/>
      <c r="R900" s="90" t="n"/>
      <c r="S900" s="90" t="n"/>
      <c r="T900" s="90" t="n"/>
      <c r="U900" s="90" t="n"/>
      <c r="V900" s="90" t="n"/>
      <c r="W900" s="90" t="n"/>
      <c r="X900" s="90" t="n"/>
      <c r="Y900" s="90" t="n"/>
      <c r="Z900" s="90" t="n"/>
    </row>
    <row r="901">
      <c r="A901" s="90" t="n"/>
      <c r="B901" s="90" t="n"/>
      <c r="C901" s="90" t="n"/>
      <c r="D901" s="90" t="n"/>
      <c r="E901" s="90" t="n"/>
      <c r="F901" s="90" t="n"/>
      <c r="G901" s="90" t="n"/>
      <c r="H901" s="90" t="n"/>
      <c r="I901" s="90" t="n"/>
      <c r="J901" s="90" t="n"/>
      <c r="K901" s="90" t="n"/>
      <c r="L901" s="90" t="n"/>
      <c r="M901" s="90" t="n"/>
      <c r="N901" s="90" t="n"/>
      <c r="O901" s="90" t="n"/>
      <c r="P901" s="90" t="n"/>
      <c r="Q901" s="90" t="n"/>
      <c r="R901" s="90" t="n"/>
      <c r="S901" s="90" t="n"/>
      <c r="T901" s="90" t="n"/>
      <c r="U901" s="90" t="n"/>
      <c r="V901" s="90" t="n"/>
      <c r="W901" s="90" t="n"/>
      <c r="X901" s="90" t="n"/>
      <c r="Y901" s="90" t="n"/>
      <c r="Z901" s="90" t="n"/>
    </row>
    <row r="902">
      <c r="A902" s="90" t="n"/>
      <c r="B902" s="90" t="n"/>
      <c r="C902" s="90" t="n"/>
      <c r="D902" s="90" t="n"/>
      <c r="E902" s="90" t="n"/>
      <c r="F902" s="90" t="n"/>
      <c r="G902" s="90" t="n"/>
      <c r="H902" s="90" t="n"/>
      <c r="I902" s="90" t="n"/>
      <c r="J902" s="90" t="n"/>
      <c r="K902" s="90" t="n"/>
      <c r="L902" s="90" t="n"/>
      <c r="M902" s="90" t="n"/>
      <c r="N902" s="90" t="n"/>
      <c r="O902" s="90" t="n"/>
      <c r="P902" s="90" t="n"/>
      <c r="Q902" s="90" t="n"/>
      <c r="R902" s="90" t="n"/>
      <c r="S902" s="90" t="n"/>
      <c r="T902" s="90" t="n"/>
      <c r="U902" s="90" t="n"/>
      <c r="V902" s="90" t="n"/>
      <c r="W902" s="90" t="n"/>
      <c r="X902" s="90" t="n"/>
      <c r="Y902" s="90" t="n"/>
      <c r="Z902" s="90" t="n"/>
    </row>
    <row r="903">
      <c r="A903" s="90" t="n"/>
      <c r="B903" s="90" t="n"/>
      <c r="C903" s="90" t="n"/>
      <c r="D903" s="90" t="n"/>
      <c r="E903" s="90" t="n"/>
      <c r="F903" s="90" t="n"/>
      <c r="G903" s="90" t="n"/>
      <c r="H903" s="90" t="n"/>
      <c r="I903" s="90" t="n"/>
      <c r="J903" s="90" t="n"/>
      <c r="K903" s="90" t="n"/>
      <c r="L903" s="90" t="n"/>
      <c r="M903" s="90" t="n"/>
      <c r="N903" s="90" t="n"/>
      <c r="O903" s="90" t="n"/>
      <c r="P903" s="90" t="n"/>
      <c r="Q903" s="90" t="n"/>
      <c r="R903" s="90" t="n"/>
      <c r="S903" s="90" t="n"/>
      <c r="T903" s="90" t="n"/>
      <c r="U903" s="90" t="n"/>
      <c r="V903" s="90" t="n"/>
      <c r="W903" s="90" t="n"/>
      <c r="X903" s="90" t="n"/>
      <c r="Y903" s="90" t="n"/>
      <c r="Z903" s="90" t="n"/>
    </row>
    <row r="904">
      <c r="A904" s="90" t="n"/>
      <c r="B904" s="90" t="n"/>
      <c r="C904" s="90" t="n"/>
      <c r="D904" s="90" t="n"/>
      <c r="E904" s="90" t="n"/>
      <c r="F904" s="90" t="n"/>
      <c r="G904" s="90" t="n"/>
      <c r="H904" s="90" t="n"/>
      <c r="I904" s="90" t="n"/>
      <c r="J904" s="90" t="n"/>
      <c r="K904" s="90" t="n"/>
      <c r="L904" s="90" t="n"/>
      <c r="M904" s="90" t="n"/>
      <c r="N904" s="90" t="n"/>
      <c r="O904" s="90" t="n"/>
      <c r="P904" s="90" t="n"/>
      <c r="Q904" s="90" t="n"/>
      <c r="R904" s="90" t="n"/>
      <c r="S904" s="90" t="n"/>
      <c r="T904" s="90" t="n"/>
      <c r="U904" s="90" t="n"/>
      <c r="V904" s="90" t="n"/>
      <c r="W904" s="90" t="n"/>
      <c r="X904" s="90" t="n"/>
      <c r="Y904" s="90" t="n"/>
      <c r="Z904" s="90" t="n"/>
    </row>
    <row r="905">
      <c r="A905" s="90" t="n"/>
      <c r="B905" s="90" t="n"/>
      <c r="C905" s="90" t="n"/>
      <c r="D905" s="90" t="n"/>
      <c r="E905" s="90" t="n"/>
      <c r="F905" s="90" t="n"/>
      <c r="G905" s="90" t="n"/>
      <c r="H905" s="90" t="n"/>
      <c r="I905" s="90" t="n"/>
      <c r="J905" s="90" t="n"/>
      <c r="K905" s="90" t="n"/>
      <c r="L905" s="90" t="n"/>
      <c r="M905" s="90" t="n"/>
      <c r="N905" s="90" t="n"/>
      <c r="O905" s="90" t="n"/>
      <c r="P905" s="90" t="n"/>
      <c r="Q905" s="90" t="n"/>
      <c r="R905" s="90" t="n"/>
      <c r="S905" s="90" t="n"/>
      <c r="T905" s="90" t="n"/>
      <c r="U905" s="90" t="n"/>
      <c r="V905" s="90" t="n"/>
      <c r="W905" s="90" t="n"/>
      <c r="X905" s="90" t="n"/>
      <c r="Y905" s="90" t="n"/>
      <c r="Z905" s="90" t="n"/>
    </row>
    <row r="906">
      <c r="A906" s="90" t="n"/>
      <c r="B906" s="90" t="n"/>
      <c r="C906" s="90" t="n"/>
      <c r="D906" s="90" t="n"/>
      <c r="E906" s="90" t="n"/>
      <c r="F906" s="90" t="n"/>
      <c r="G906" s="90" t="n"/>
      <c r="H906" s="90" t="n"/>
      <c r="I906" s="90" t="n"/>
      <c r="J906" s="90" t="n"/>
      <c r="K906" s="90" t="n"/>
      <c r="L906" s="90" t="n"/>
      <c r="M906" s="90" t="n"/>
      <c r="N906" s="90" t="n"/>
      <c r="O906" s="90" t="n"/>
      <c r="P906" s="90" t="n"/>
      <c r="Q906" s="90" t="n"/>
      <c r="R906" s="90" t="n"/>
      <c r="S906" s="90" t="n"/>
      <c r="T906" s="90" t="n"/>
      <c r="U906" s="90" t="n"/>
      <c r="V906" s="90" t="n"/>
      <c r="W906" s="90" t="n"/>
      <c r="X906" s="90" t="n"/>
      <c r="Y906" s="90" t="n"/>
      <c r="Z906" s="90" t="n"/>
    </row>
    <row r="907">
      <c r="A907" s="90" t="n"/>
      <c r="B907" s="90" t="n"/>
      <c r="C907" s="90" t="n"/>
      <c r="D907" s="90" t="n"/>
      <c r="E907" s="90" t="n"/>
      <c r="F907" s="90" t="n"/>
      <c r="G907" s="90" t="n"/>
      <c r="H907" s="90" t="n"/>
      <c r="I907" s="90" t="n"/>
      <c r="J907" s="90" t="n"/>
      <c r="K907" s="90" t="n"/>
      <c r="L907" s="90" t="n"/>
      <c r="M907" s="90" t="n"/>
      <c r="N907" s="90" t="n"/>
      <c r="O907" s="90" t="n"/>
      <c r="P907" s="90" t="n"/>
      <c r="Q907" s="90" t="n"/>
      <c r="R907" s="90" t="n"/>
      <c r="S907" s="90" t="n"/>
      <c r="T907" s="90" t="n"/>
      <c r="U907" s="90" t="n"/>
      <c r="V907" s="90" t="n"/>
      <c r="W907" s="90" t="n"/>
      <c r="X907" s="90" t="n"/>
      <c r="Y907" s="90" t="n"/>
      <c r="Z907" s="90" t="n"/>
    </row>
    <row r="908">
      <c r="A908" s="90" t="n"/>
      <c r="B908" s="90" t="n"/>
      <c r="C908" s="90" t="n"/>
      <c r="D908" s="90" t="n"/>
      <c r="E908" s="90" t="n"/>
      <c r="F908" s="90" t="n"/>
      <c r="G908" s="90" t="n"/>
      <c r="H908" s="90" t="n"/>
      <c r="I908" s="90" t="n"/>
      <c r="J908" s="90" t="n"/>
      <c r="K908" s="90" t="n"/>
      <c r="L908" s="90" t="n"/>
      <c r="M908" s="90" t="n"/>
      <c r="N908" s="90" t="n"/>
      <c r="O908" s="90" t="n"/>
      <c r="P908" s="90" t="n"/>
      <c r="Q908" s="90" t="n"/>
      <c r="R908" s="90" t="n"/>
      <c r="S908" s="90" t="n"/>
      <c r="T908" s="90" t="n"/>
      <c r="U908" s="90" t="n"/>
      <c r="V908" s="90" t="n"/>
      <c r="W908" s="90" t="n"/>
      <c r="X908" s="90" t="n"/>
      <c r="Y908" s="90" t="n"/>
      <c r="Z908" s="90" t="n"/>
    </row>
    <row r="909">
      <c r="A909" s="90" t="n"/>
      <c r="B909" s="90" t="n"/>
      <c r="C909" s="90" t="n"/>
      <c r="D909" s="90" t="n"/>
      <c r="E909" s="90" t="n"/>
      <c r="F909" s="90" t="n"/>
      <c r="G909" s="90" t="n"/>
      <c r="H909" s="90" t="n"/>
      <c r="I909" s="90" t="n"/>
      <c r="J909" s="90" t="n"/>
      <c r="K909" s="90" t="n"/>
      <c r="L909" s="90" t="n"/>
      <c r="M909" s="90" t="n"/>
      <c r="N909" s="90" t="n"/>
      <c r="O909" s="90" t="n"/>
      <c r="P909" s="90" t="n"/>
      <c r="Q909" s="90" t="n"/>
      <c r="R909" s="90" t="n"/>
      <c r="S909" s="90" t="n"/>
      <c r="T909" s="90" t="n"/>
      <c r="U909" s="90" t="n"/>
      <c r="V909" s="90" t="n"/>
      <c r="W909" s="90" t="n"/>
      <c r="X909" s="90" t="n"/>
      <c r="Y909" s="90" t="n"/>
      <c r="Z909" s="90" t="n"/>
    </row>
    <row r="910">
      <c r="A910" s="90" t="n"/>
      <c r="B910" s="90" t="n"/>
      <c r="C910" s="90" t="n"/>
      <c r="D910" s="90" t="n"/>
      <c r="E910" s="90" t="n"/>
      <c r="F910" s="90" t="n"/>
      <c r="G910" s="90" t="n"/>
      <c r="H910" s="90" t="n"/>
      <c r="I910" s="90" t="n"/>
      <c r="J910" s="90" t="n"/>
      <c r="K910" s="90" t="n"/>
      <c r="L910" s="90" t="n"/>
      <c r="M910" s="90" t="n"/>
      <c r="N910" s="90" t="n"/>
      <c r="O910" s="90" t="n"/>
      <c r="P910" s="90" t="n"/>
      <c r="Q910" s="90" t="n"/>
      <c r="R910" s="90" t="n"/>
      <c r="S910" s="90" t="n"/>
      <c r="T910" s="90" t="n"/>
      <c r="U910" s="90" t="n"/>
      <c r="V910" s="90" t="n"/>
      <c r="W910" s="90" t="n"/>
      <c r="X910" s="90" t="n"/>
      <c r="Y910" s="90" t="n"/>
      <c r="Z910" s="90" t="n"/>
    </row>
    <row r="911">
      <c r="A911" s="90" t="n"/>
      <c r="B911" s="90" t="n"/>
      <c r="C911" s="90" t="n"/>
      <c r="D911" s="90" t="n"/>
      <c r="E911" s="90" t="n"/>
      <c r="F911" s="90" t="n"/>
      <c r="G911" s="90" t="n"/>
      <c r="H911" s="90" t="n"/>
      <c r="I911" s="90" t="n"/>
      <c r="J911" s="90" t="n"/>
      <c r="K911" s="90" t="n"/>
      <c r="L911" s="90" t="n"/>
      <c r="M911" s="90" t="n"/>
      <c r="N911" s="90" t="n"/>
      <c r="O911" s="90" t="n"/>
      <c r="P911" s="90" t="n"/>
      <c r="Q911" s="90" t="n"/>
      <c r="R911" s="90" t="n"/>
      <c r="S911" s="90" t="n"/>
      <c r="T911" s="90" t="n"/>
      <c r="U911" s="90" t="n"/>
      <c r="V911" s="90" t="n"/>
      <c r="W911" s="90" t="n"/>
      <c r="X911" s="90" t="n"/>
      <c r="Y911" s="90" t="n"/>
      <c r="Z911" s="90" t="n"/>
    </row>
    <row r="912">
      <c r="A912" s="90" t="n"/>
      <c r="B912" s="90" t="n"/>
      <c r="C912" s="90" t="n"/>
      <c r="D912" s="90" t="n"/>
      <c r="E912" s="90" t="n"/>
      <c r="F912" s="90" t="n"/>
      <c r="G912" s="90" t="n"/>
      <c r="H912" s="90" t="n"/>
      <c r="I912" s="90" t="n"/>
      <c r="J912" s="90" t="n"/>
      <c r="K912" s="90" t="n"/>
      <c r="L912" s="90" t="n"/>
      <c r="M912" s="90" t="n"/>
      <c r="N912" s="90" t="n"/>
      <c r="O912" s="90" t="n"/>
      <c r="P912" s="90" t="n"/>
      <c r="Q912" s="90" t="n"/>
      <c r="R912" s="90" t="n"/>
      <c r="S912" s="90" t="n"/>
      <c r="T912" s="90" t="n"/>
      <c r="U912" s="90" t="n"/>
      <c r="V912" s="90" t="n"/>
      <c r="W912" s="90" t="n"/>
      <c r="X912" s="90" t="n"/>
      <c r="Y912" s="90" t="n"/>
      <c r="Z912" s="90" t="n"/>
    </row>
    <row r="913">
      <c r="A913" s="90" t="n"/>
      <c r="B913" s="90" t="n"/>
      <c r="C913" s="90" t="n"/>
      <c r="D913" s="90" t="n"/>
      <c r="E913" s="90" t="n"/>
      <c r="F913" s="90" t="n"/>
      <c r="G913" s="90" t="n"/>
      <c r="H913" s="90" t="n"/>
      <c r="I913" s="90" t="n"/>
      <c r="J913" s="90" t="n"/>
      <c r="K913" s="90" t="n"/>
      <c r="L913" s="90" t="n"/>
      <c r="M913" s="90" t="n"/>
      <c r="N913" s="90" t="n"/>
      <c r="O913" s="90" t="n"/>
      <c r="P913" s="90" t="n"/>
      <c r="Q913" s="90" t="n"/>
      <c r="R913" s="90" t="n"/>
      <c r="S913" s="90" t="n"/>
      <c r="T913" s="90" t="n"/>
      <c r="U913" s="90" t="n"/>
      <c r="V913" s="90" t="n"/>
      <c r="W913" s="90" t="n"/>
      <c r="X913" s="90" t="n"/>
      <c r="Y913" s="90" t="n"/>
      <c r="Z913" s="90" t="n"/>
    </row>
    <row r="914">
      <c r="A914" s="90" t="n"/>
      <c r="B914" s="90" t="n"/>
      <c r="C914" s="90" t="n"/>
      <c r="D914" s="90" t="n"/>
      <c r="E914" s="90" t="n"/>
      <c r="F914" s="90" t="n"/>
      <c r="G914" s="90" t="n"/>
      <c r="H914" s="90" t="n"/>
      <c r="I914" s="90" t="n"/>
      <c r="J914" s="90" t="n"/>
      <c r="K914" s="90" t="n"/>
      <c r="L914" s="90" t="n"/>
      <c r="M914" s="90" t="n"/>
      <c r="N914" s="90" t="n"/>
      <c r="O914" s="90" t="n"/>
      <c r="P914" s="90" t="n"/>
      <c r="Q914" s="90" t="n"/>
      <c r="R914" s="90" t="n"/>
      <c r="S914" s="90" t="n"/>
      <c r="T914" s="90" t="n"/>
      <c r="U914" s="90" t="n"/>
      <c r="V914" s="90" t="n"/>
      <c r="W914" s="90" t="n"/>
      <c r="X914" s="90" t="n"/>
      <c r="Y914" s="90" t="n"/>
      <c r="Z914" s="90" t="n"/>
    </row>
    <row r="915">
      <c r="A915" s="90" t="n"/>
      <c r="B915" s="90" t="n"/>
      <c r="C915" s="90" t="n"/>
      <c r="D915" s="90" t="n"/>
      <c r="E915" s="90" t="n"/>
      <c r="F915" s="90" t="n"/>
      <c r="G915" s="90" t="n"/>
      <c r="H915" s="90" t="n"/>
      <c r="I915" s="90" t="n"/>
      <c r="J915" s="90" t="n"/>
      <c r="K915" s="90" t="n"/>
      <c r="L915" s="90" t="n"/>
      <c r="M915" s="90" t="n"/>
      <c r="N915" s="90" t="n"/>
      <c r="O915" s="90" t="n"/>
      <c r="P915" s="90" t="n"/>
      <c r="Q915" s="90" t="n"/>
      <c r="R915" s="90" t="n"/>
      <c r="S915" s="90" t="n"/>
      <c r="T915" s="90" t="n"/>
      <c r="U915" s="90" t="n"/>
      <c r="V915" s="90" t="n"/>
      <c r="W915" s="90" t="n"/>
      <c r="X915" s="90" t="n"/>
      <c r="Y915" s="90" t="n"/>
      <c r="Z915" s="90" t="n"/>
    </row>
    <row r="916">
      <c r="A916" s="90" t="n"/>
      <c r="B916" s="90" t="n"/>
      <c r="C916" s="90" t="n"/>
      <c r="D916" s="90" t="n"/>
      <c r="E916" s="90" t="n"/>
      <c r="F916" s="90" t="n"/>
      <c r="G916" s="90" t="n"/>
      <c r="H916" s="90" t="n"/>
      <c r="I916" s="90" t="n"/>
      <c r="J916" s="90" t="n"/>
      <c r="K916" s="90" t="n"/>
      <c r="L916" s="90" t="n"/>
      <c r="M916" s="90" t="n"/>
      <c r="N916" s="90" t="n"/>
      <c r="O916" s="90" t="n"/>
      <c r="P916" s="90" t="n"/>
      <c r="Q916" s="90" t="n"/>
      <c r="R916" s="90" t="n"/>
      <c r="S916" s="90" t="n"/>
      <c r="T916" s="90" t="n"/>
      <c r="U916" s="90" t="n"/>
      <c r="V916" s="90" t="n"/>
      <c r="W916" s="90" t="n"/>
      <c r="X916" s="90" t="n"/>
      <c r="Y916" s="90" t="n"/>
      <c r="Z916" s="90" t="n"/>
    </row>
    <row r="917">
      <c r="A917" s="90" t="n"/>
      <c r="B917" s="90" t="n"/>
      <c r="C917" s="90" t="n"/>
      <c r="D917" s="90" t="n"/>
      <c r="E917" s="90" t="n"/>
      <c r="F917" s="90" t="n"/>
      <c r="G917" s="90" t="n"/>
      <c r="H917" s="90" t="n"/>
      <c r="I917" s="90" t="n"/>
      <c r="J917" s="90" t="n"/>
      <c r="K917" s="90" t="n"/>
      <c r="L917" s="90" t="n"/>
      <c r="M917" s="90" t="n"/>
      <c r="N917" s="90" t="n"/>
      <c r="O917" s="90" t="n"/>
      <c r="P917" s="90" t="n"/>
      <c r="Q917" s="90" t="n"/>
      <c r="R917" s="90" t="n"/>
      <c r="S917" s="90" t="n"/>
      <c r="T917" s="90" t="n"/>
      <c r="U917" s="90" t="n"/>
      <c r="V917" s="90" t="n"/>
      <c r="W917" s="90" t="n"/>
      <c r="X917" s="90" t="n"/>
      <c r="Y917" s="90" t="n"/>
      <c r="Z917" s="90" t="n"/>
    </row>
    <row r="918">
      <c r="A918" s="90" t="n"/>
      <c r="B918" s="90" t="n"/>
      <c r="C918" s="90" t="n"/>
      <c r="D918" s="90" t="n"/>
      <c r="E918" s="90" t="n"/>
      <c r="F918" s="90" t="n"/>
      <c r="G918" s="90" t="n"/>
      <c r="H918" s="90" t="n"/>
      <c r="I918" s="90" t="n"/>
      <c r="J918" s="90" t="n"/>
      <c r="K918" s="90" t="n"/>
      <c r="L918" s="90" t="n"/>
      <c r="M918" s="90" t="n"/>
      <c r="N918" s="90" t="n"/>
      <c r="O918" s="90" t="n"/>
      <c r="P918" s="90" t="n"/>
      <c r="Q918" s="90" t="n"/>
      <c r="R918" s="90" t="n"/>
      <c r="S918" s="90" t="n"/>
      <c r="T918" s="90" t="n"/>
      <c r="U918" s="90" t="n"/>
      <c r="V918" s="90" t="n"/>
      <c r="W918" s="90" t="n"/>
      <c r="X918" s="90" t="n"/>
      <c r="Y918" s="90" t="n"/>
      <c r="Z918" s="90" t="n"/>
    </row>
    <row r="919">
      <c r="A919" s="90" t="n"/>
      <c r="B919" s="90" t="n"/>
      <c r="C919" s="90" t="n"/>
      <c r="D919" s="90" t="n"/>
      <c r="E919" s="90" t="n"/>
      <c r="F919" s="90" t="n"/>
      <c r="G919" s="90" t="n"/>
      <c r="H919" s="90" t="n"/>
      <c r="I919" s="90" t="n"/>
      <c r="J919" s="90" t="n"/>
      <c r="K919" s="90" t="n"/>
      <c r="L919" s="90" t="n"/>
      <c r="M919" s="90" t="n"/>
      <c r="N919" s="90" t="n"/>
      <c r="O919" s="90" t="n"/>
      <c r="P919" s="90" t="n"/>
      <c r="Q919" s="90" t="n"/>
      <c r="R919" s="90" t="n"/>
      <c r="S919" s="90" t="n"/>
      <c r="T919" s="90" t="n"/>
      <c r="U919" s="90" t="n"/>
      <c r="V919" s="90" t="n"/>
      <c r="W919" s="90" t="n"/>
      <c r="X919" s="90" t="n"/>
      <c r="Y919" s="90" t="n"/>
      <c r="Z919" s="90" t="n"/>
    </row>
    <row r="920">
      <c r="A920" s="90" t="n"/>
      <c r="B920" s="90" t="n"/>
      <c r="C920" s="90" t="n"/>
      <c r="D920" s="90" t="n"/>
      <c r="E920" s="90" t="n"/>
      <c r="F920" s="90" t="n"/>
      <c r="G920" s="90" t="n"/>
      <c r="H920" s="90" t="n"/>
      <c r="I920" s="90" t="n"/>
      <c r="J920" s="90" t="n"/>
      <c r="K920" s="90" t="n"/>
      <c r="L920" s="90" t="n"/>
      <c r="M920" s="90" t="n"/>
      <c r="N920" s="90" t="n"/>
      <c r="O920" s="90" t="n"/>
      <c r="P920" s="90" t="n"/>
      <c r="Q920" s="90" t="n"/>
      <c r="R920" s="90" t="n"/>
      <c r="S920" s="90" t="n"/>
      <c r="T920" s="90" t="n"/>
      <c r="U920" s="90" t="n"/>
      <c r="V920" s="90" t="n"/>
      <c r="W920" s="90" t="n"/>
      <c r="X920" s="90" t="n"/>
      <c r="Y920" s="90" t="n"/>
      <c r="Z920" s="90" t="n"/>
    </row>
    <row r="921">
      <c r="A921" s="90" t="n"/>
      <c r="B921" s="90" t="n"/>
      <c r="C921" s="90" t="n"/>
      <c r="D921" s="90" t="n"/>
      <c r="E921" s="90" t="n"/>
      <c r="F921" s="90" t="n"/>
      <c r="G921" s="90" t="n"/>
      <c r="H921" s="90" t="n"/>
      <c r="I921" s="90" t="n"/>
      <c r="J921" s="90" t="n"/>
      <c r="K921" s="90" t="n"/>
      <c r="L921" s="90" t="n"/>
      <c r="M921" s="90" t="n"/>
      <c r="N921" s="90" t="n"/>
      <c r="O921" s="90" t="n"/>
      <c r="P921" s="90" t="n"/>
      <c r="Q921" s="90" t="n"/>
      <c r="R921" s="90" t="n"/>
      <c r="S921" s="90" t="n"/>
      <c r="T921" s="90" t="n"/>
      <c r="U921" s="90" t="n"/>
      <c r="V921" s="90" t="n"/>
      <c r="W921" s="90" t="n"/>
      <c r="X921" s="90" t="n"/>
      <c r="Y921" s="90" t="n"/>
      <c r="Z921" s="90" t="n"/>
    </row>
    <row r="922">
      <c r="A922" s="90" t="n"/>
      <c r="B922" s="90" t="n"/>
      <c r="C922" s="90" t="n"/>
      <c r="D922" s="90" t="n"/>
      <c r="E922" s="90" t="n"/>
      <c r="F922" s="90" t="n"/>
      <c r="G922" s="90" t="n"/>
      <c r="H922" s="90" t="n"/>
      <c r="I922" s="90" t="n"/>
      <c r="J922" s="90" t="n"/>
      <c r="K922" s="90" t="n"/>
      <c r="L922" s="90" t="n"/>
      <c r="M922" s="90" t="n"/>
      <c r="N922" s="90" t="n"/>
      <c r="O922" s="90" t="n"/>
      <c r="P922" s="90" t="n"/>
      <c r="Q922" s="90" t="n"/>
      <c r="R922" s="90" t="n"/>
      <c r="S922" s="90" t="n"/>
      <c r="T922" s="90" t="n"/>
      <c r="U922" s="90" t="n"/>
      <c r="V922" s="90" t="n"/>
      <c r="W922" s="90" t="n"/>
      <c r="X922" s="90" t="n"/>
      <c r="Y922" s="90" t="n"/>
      <c r="Z922" s="90" t="n"/>
    </row>
    <row r="923">
      <c r="A923" s="90" t="n"/>
      <c r="B923" s="90" t="n"/>
      <c r="C923" s="90" t="n"/>
      <c r="D923" s="90" t="n"/>
      <c r="E923" s="90" t="n"/>
      <c r="F923" s="90" t="n"/>
      <c r="G923" s="90" t="n"/>
      <c r="H923" s="90" t="n"/>
      <c r="I923" s="90" t="n"/>
      <c r="J923" s="90" t="n"/>
      <c r="K923" s="90" t="n"/>
      <c r="L923" s="90" t="n"/>
      <c r="M923" s="90" t="n"/>
      <c r="N923" s="90" t="n"/>
      <c r="O923" s="90" t="n"/>
      <c r="P923" s="90" t="n"/>
      <c r="Q923" s="90" t="n"/>
      <c r="R923" s="90" t="n"/>
      <c r="S923" s="90" t="n"/>
      <c r="T923" s="90" t="n"/>
      <c r="U923" s="90" t="n"/>
      <c r="V923" s="90" t="n"/>
      <c r="W923" s="90" t="n"/>
      <c r="X923" s="90" t="n"/>
      <c r="Y923" s="90" t="n"/>
      <c r="Z923" s="90" t="n"/>
    </row>
    <row r="924">
      <c r="A924" s="90" t="n"/>
      <c r="B924" s="90" t="n"/>
      <c r="C924" s="90" t="n"/>
      <c r="D924" s="90" t="n"/>
      <c r="E924" s="90" t="n"/>
      <c r="F924" s="90" t="n"/>
      <c r="G924" s="90" t="n"/>
      <c r="H924" s="90" t="n"/>
      <c r="I924" s="90" t="n"/>
      <c r="J924" s="90" t="n"/>
      <c r="K924" s="90" t="n"/>
      <c r="L924" s="90" t="n"/>
      <c r="M924" s="90" t="n"/>
      <c r="N924" s="90" t="n"/>
      <c r="O924" s="90" t="n"/>
      <c r="P924" s="90" t="n"/>
      <c r="Q924" s="90" t="n"/>
      <c r="R924" s="90" t="n"/>
      <c r="S924" s="90" t="n"/>
      <c r="T924" s="90" t="n"/>
      <c r="U924" s="90" t="n"/>
      <c r="V924" s="90" t="n"/>
      <c r="W924" s="90" t="n"/>
      <c r="X924" s="90" t="n"/>
      <c r="Y924" s="90" t="n"/>
      <c r="Z924" s="90" t="n"/>
    </row>
    <row r="925">
      <c r="A925" s="90" t="n"/>
      <c r="B925" s="90" t="n"/>
      <c r="C925" s="90" t="n"/>
      <c r="D925" s="90" t="n"/>
      <c r="E925" s="90" t="n"/>
      <c r="F925" s="90" t="n"/>
      <c r="G925" s="90" t="n"/>
      <c r="H925" s="90" t="n"/>
      <c r="I925" s="90" t="n"/>
      <c r="J925" s="90" t="n"/>
      <c r="K925" s="90" t="n"/>
      <c r="L925" s="90" t="n"/>
      <c r="M925" s="90" t="n"/>
      <c r="N925" s="90" t="n"/>
      <c r="O925" s="90" t="n"/>
      <c r="P925" s="90" t="n"/>
      <c r="Q925" s="90" t="n"/>
      <c r="R925" s="90" t="n"/>
      <c r="S925" s="90" t="n"/>
      <c r="T925" s="90" t="n"/>
      <c r="U925" s="90" t="n"/>
      <c r="V925" s="90" t="n"/>
      <c r="W925" s="90" t="n"/>
      <c r="X925" s="90" t="n"/>
      <c r="Y925" s="90" t="n"/>
      <c r="Z925" s="90" t="n"/>
    </row>
    <row r="926">
      <c r="A926" s="90" t="n"/>
      <c r="B926" s="90" t="n"/>
      <c r="C926" s="90" t="n"/>
      <c r="D926" s="90" t="n"/>
      <c r="E926" s="90" t="n"/>
      <c r="F926" s="90" t="n"/>
      <c r="G926" s="90" t="n"/>
      <c r="H926" s="90" t="n"/>
      <c r="I926" s="90" t="n"/>
      <c r="J926" s="90" t="n"/>
      <c r="K926" s="90" t="n"/>
      <c r="L926" s="90" t="n"/>
      <c r="M926" s="90" t="n"/>
      <c r="N926" s="90" t="n"/>
      <c r="O926" s="90" t="n"/>
      <c r="P926" s="90" t="n"/>
      <c r="Q926" s="90" t="n"/>
      <c r="R926" s="90" t="n"/>
      <c r="S926" s="90" t="n"/>
      <c r="T926" s="90" t="n"/>
      <c r="U926" s="90" t="n"/>
      <c r="V926" s="90" t="n"/>
      <c r="W926" s="90" t="n"/>
      <c r="X926" s="90" t="n"/>
      <c r="Y926" s="90" t="n"/>
      <c r="Z926" s="90" t="n"/>
    </row>
    <row r="927">
      <c r="A927" s="90" t="n"/>
      <c r="B927" s="90" t="n"/>
      <c r="C927" s="90" t="n"/>
      <c r="D927" s="90" t="n"/>
      <c r="E927" s="90" t="n"/>
      <c r="F927" s="90" t="n"/>
      <c r="G927" s="90" t="n"/>
      <c r="H927" s="90" t="n"/>
      <c r="I927" s="90" t="n"/>
      <c r="J927" s="90" t="n"/>
      <c r="K927" s="90" t="n"/>
      <c r="L927" s="90" t="n"/>
      <c r="M927" s="90" t="n"/>
      <c r="N927" s="90" t="n"/>
      <c r="O927" s="90" t="n"/>
      <c r="P927" s="90" t="n"/>
      <c r="Q927" s="90" t="n"/>
      <c r="R927" s="90" t="n"/>
      <c r="S927" s="90" t="n"/>
      <c r="T927" s="90" t="n"/>
      <c r="U927" s="90" t="n"/>
      <c r="V927" s="90" t="n"/>
      <c r="W927" s="90" t="n"/>
      <c r="X927" s="90" t="n"/>
      <c r="Y927" s="90" t="n"/>
      <c r="Z927" s="90" t="n"/>
    </row>
    <row r="928">
      <c r="A928" s="90" t="n"/>
      <c r="B928" s="90" t="n"/>
      <c r="C928" s="90" t="n"/>
      <c r="D928" s="90" t="n"/>
      <c r="E928" s="90" t="n"/>
      <c r="F928" s="90" t="n"/>
      <c r="G928" s="90" t="n"/>
      <c r="H928" s="90" t="n"/>
      <c r="I928" s="90" t="n"/>
      <c r="J928" s="90" t="n"/>
      <c r="K928" s="90" t="n"/>
      <c r="L928" s="90" t="n"/>
      <c r="M928" s="90" t="n"/>
      <c r="N928" s="90" t="n"/>
      <c r="O928" s="90" t="n"/>
      <c r="P928" s="90" t="n"/>
      <c r="Q928" s="90" t="n"/>
      <c r="R928" s="90" t="n"/>
      <c r="S928" s="90" t="n"/>
      <c r="T928" s="90" t="n"/>
      <c r="U928" s="90" t="n"/>
      <c r="V928" s="90" t="n"/>
      <c r="W928" s="90" t="n"/>
      <c r="X928" s="90" t="n"/>
      <c r="Y928" s="90" t="n"/>
      <c r="Z928" s="90" t="n"/>
    </row>
    <row r="929">
      <c r="A929" s="90" t="n"/>
      <c r="B929" s="90" t="n"/>
      <c r="C929" s="90" t="n"/>
      <c r="D929" s="90" t="n"/>
      <c r="E929" s="90" t="n"/>
      <c r="F929" s="90" t="n"/>
      <c r="G929" s="90" t="n"/>
      <c r="H929" s="90" t="n"/>
      <c r="I929" s="90" t="n"/>
      <c r="J929" s="90" t="n"/>
      <c r="K929" s="90" t="n"/>
      <c r="L929" s="90" t="n"/>
      <c r="M929" s="90" t="n"/>
      <c r="N929" s="90" t="n"/>
      <c r="O929" s="90" t="n"/>
      <c r="P929" s="90" t="n"/>
      <c r="Q929" s="90" t="n"/>
      <c r="R929" s="90" t="n"/>
      <c r="S929" s="90" t="n"/>
      <c r="T929" s="90" t="n"/>
      <c r="U929" s="90" t="n"/>
      <c r="V929" s="90" t="n"/>
      <c r="W929" s="90" t="n"/>
      <c r="X929" s="90" t="n"/>
      <c r="Y929" s="90" t="n"/>
      <c r="Z929" s="90" t="n"/>
    </row>
    <row r="930">
      <c r="A930" s="90" t="n"/>
      <c r="B930" s="90" t="n"/>
      <c r="C930" s="90" t="n"/>
      <c r="D930" s="90" t="n"/>
      <c r="E930" s="90" t="n"/>
      <c r="F930" s="90" t="n"/>
      <c r="G930" s="90" t="n"/>
      <c r="H930" s="90" t="n"/>
      <c r="I930" s="90" t="n"/>
      <c r="J930" s="90" t="n"/>
      <c r="K930" s="90" t="n"/>
      <c r="L930" s="90" t="n"/>
      <c r="M930" s="90" t="n"/>
      <c r="N930" s="90" t="n"/>
      <c r="O930" s="90" t="n"/>
      <c r="P930" s="90" t="n"/>
      <c r="Q930" s="90" t="n"/>
      <c r="R930" s="90" t="n"/>
      <c r="S930" s="90" t="n"/>
      <c r="T930" s="90" t="n"/>
      <c r="U930" s="90" t="n"/>
      <c r="V930" s="90" t="n"/>
      <c r="W930" s="90" t="n"/>
      <c r="X930" s="90" t="n"/>
      <c r="Y930" s="90" t="n"/>
      <c r="Z930" s="90" t="n"/>
    </row>
    <row r="931">
      <c r="A931" s="90" t="n"/>
      <c r="B931" s="90" t="n"/>
      <c r="C931" s="90" t="n"/>
      <c r="D931" s="90" t="n"/>
      <c r="E931" s="90" t="n"/>
      <c r="F931" s="90" t="n"/>
      <c r="G931" s="90" t="n"/>
      <c r="H931" s="90" t="n"/>
      <c r="I931" s="90" t="n"/>
      <c r="J931" s="90" t="n"/>
      <c r="K931" s="90" t="n"/>
      <c r="L931" s="90" t="n"/>
      <c r="M931" s="90" t="n"/>
      <c r="N931" s="90" t="n"/>
      <c r="O931" s="90" t="n"/>
      <c r="P931" s="90" t="n"/>
      <c r="Q931" s="90" t="n"/>
      <c r="R931" s="90" t="n"/>
      <c r="S931" s="90" t="n"/>
      <c r="T931" s="90" t="n"/>
      <c r="U931" s="90" t="n"/>
      <c r="V931" s="90" t="n"/>
      <c r="W931" s="90" t="n"/>
      <c r="X931" s="90" t="n"/>
      <c r="Y931" s="90" t="n"/>
      <c r="Z931" s="90" t="n"/>
    </row>
    <row r="932">
      <c r="A932" s="90" t="n"/>
      <c r="B932" s="90" t="n"/>
      <c r="C932" s="90" t="n"/>
      <c r="D932" s="90" t="n"/>
      <c r="E932" s="90" t="n"/>
      <c r="F932" s="90" t="n"/>
      <c r="G932" s="90" t="n"/>
      <c r="H932" s="90" t="n"/>
      <c r="I932" s="90" t="n"/>
      <c r="J932" s="90" t="n"/>
      <c r="K932" s="90" t="n"/>
      <c r="L932" s="90" t="n"/>
      <c r="M932" s="90" t="n"/>
      <c r="N932" s="90" t="n"/>
      <c r="O932" s="90" t="n"/>
      <c r="P932" s="90" t="n"/>
      <c r="Q932" s="90" t="n"/>
      <c r="R932" s="90" t="n"/>
      <c r="S932" s="90" t="n"/>
      <c r="T932" s="90" t="n"/>
      <c r="U932" s="90" t="n"/>
      <c r="V932" s="90" t="n"/>
      <c r="W932" s="90" t="n"/>
      <c r="X932" s="90" t="n"/>
      <c r="Y932" s="90" t="n"/>
      <c r="Z932" s="90" t="n"/>
    </row>
    <row r="933">
      <c r="A933" s="90" t="n"/>
      <c r="B933" s="90" t="n"/>
      <c r="C933" s="90" t="n"/>
      <c r="D933" s="90" t="n"/>
      <c r="E933" s="90" t="n"/>
      <c r="F933" s="90" t="n"/>
      <c r="G933" s="90" t="n"/>
      <c r="H933" s="90" t="n"/>
      <c r="I933" s="90" t="n"/>
      <c r="J933" s="90" t="n"/>
      <c r="K933" s="90" t="n"/>
      <c r="L933" s="90" t="n"/>
      <c r="M933" s="90" t="n"/>
      <c r="N933" s="90" t="n"/>
      <c r="O933" s="90" t="n"/>
      <c r="P933" s="90" t="n"/>
      <c r="Q933" s="90" t="n"/>
      <c r="R933" s="90" t="n"/>
      <c r="S933" s="90" t="n"/>
      <c r="T933" s="90" t="n"/>
      <c r="U933" s="90" t="n"/>
      <c r="V933" s="90" t="n"/>
      <c r="W933" s="90" t="n"/>
      <c r="X933" s="90" t="n"/>
      <c r="Y933" s="90" t="n"/>
      <c r="Z933" s="90" t="n"/>
    </row>
    <row r="934">
      <c r="A934" s="90" t="n"/>
      <c r="B934" s="90" t="n"/>
      <c r="C934" s="90" t="n"/>
      <c r="D934" s="90" t="n"/>
      <c r="E934" s="90" t="n"/>
      <c r="F934" s="90" t="n"/>
      <c r="G934" s="90" t="n"/>
      <c r="H934" s="90" t="n"/>
      <c r="I934" s="90" t="n"/>
      <c r="J934" s="90" t="n"/>
      <c r="K934" s="90" t="n"/>
      <c r="L934" s="90" t="n"/>
      <c r="M934" s="90" t="n"/>
      <c r="N934" s="90" t="n"/>
      <c r="O934" s="90" t="n"/>
      <c r="P934" s="90" t="n"/>
      <c r="Q934" s="90" t="n"/>
      <c r="R934" s="90" t="n"/>
      <c r="S934" s="90" t="n"/>
      <c r="T934" s="90" t="n"/>
      <c r="U934" s="90" t="n"/>
      <c r="V934" s="90" t="n"/>
      <c r="W934" s="90" t="n"/>
      <c r="X934" s="90" t="n"/>
      <c r="Y934" s="90" t="n"/>
      <c r="Z934" s="90" t="n"/>
    </row>
    <row r="935">
      <c r="A935" s="90" t="n"/>
      <c r="B935" s="90" t="n"/>
      <c r="C935" s="90" t="n"/>
      <c r="D935" s="90" t="n"/>
      <c r="E935" s="90" t="n"/>
      <c r="F935" s="90" t="n"/>
      <c r="G935" s="90" t="n"/>
      <c r="H935" s="90" t="n"/>
      <c r="I935" s="90" t="n"/>
      <c r="J935" s="90" t="n"/>
      <c r="K935" s="90" t="n"/>
      <c r="L935" s="90" t="n"/>
      <c r="M935" s="90" t="n"/>
      <c r="N935" s="90" t="n"/>
      <c r="O935" s="90" t="n"/>
      <c r="P935" s="90" t="n"/>
      <c r="Q935" s="90" t="n"/>
      <c r="R935" s="90" t="n"/>
      <c r="S935" s="90" t="n"/>
      <c r="T935" s="90" t="n"/>
      <c r="U935" s="90" t="n"/>
      <c r="V935" s="90" t="n"/>
      <c r="W935" s="90" t="n"/>
      <c r="X935" s="90" t="n"/>
      <c r="Y935" s="90" t="n"/>
      <c r="Z935" s="90" t="n"/>
    </row>
    <row r="936">
      <c r="A936" s="90" t="n"/>
      <c r="B936" s="90" t="n"/>
      <c r="C936" s="90" t="n"/>
      <c r="D936" s="90" t="n"/>
      <c r="E936" s="90" t="n"/>
      <c r="F936" s="90" t="n"/>
      <c r="G936" s="90" t="n"/>
      <c r="H936" s="90" t="n"/>
      <c r="I936" s="90" t="n"/>
      <c r="J936" s="90" t="n"/>
      <c r="K936" s="90" t="n"/>
      <c r="L936" s="90" t="n"/>
      <c r="M936" s="90" t="n"/>
      <c r="N936" s="90" t="n"/>
      <c r="O936" s="90" t="n"/>
      <c r="P936" s="90" t="n"/>
      <c r="Q936" s="90" t="n"/>
      <c r="R936" s="90" t="n"/>
      <c r="S936" s="90" t="n"/>
      <c r="T936" s="90" t="n"/>
      <c r="U936" s="90" t="n"/>
      <c r="V936" s="90" t="n"/>
      <c r="W936" s="90" t="n"/>
      <c r="X936" s="90" t="n"/>
      <c r="Y936" s="90" t="n"/>
      <c r="Z936" s="90" t="n"/>
    </row>
    <row r="937">
      <c r="A937" s="90" t="n"/>
      <c r="B937" s="90" t="n"/>
      <c r="C937" s="90" t="n"/>
      <c r="D937" s="90" t="n"/>
      <c r="E937" s="90" t="n"/>
      <c r="F937" s="90" t="n"/>
      <c r="G937" s="90" t="n"/>
      <c r="H937" s="90" t="n"/>
      <c r="I937" s="90" t="n"/>
      <c r="J937" s="90" t="n"/>
      <c r="K937" s="90" t="n"/>
      <c r="L937" s="90" t="n"/>
      <c r="M937" s="90" t="n"/>
      <c r="N937" s="90" t="n"/>
      <c r="O937" s="90" t="n"/>
      <c r="P937" s="90" t="n"/>
      <c r="Q937" s="90" t="n"/>
      <c r="R937" s="90" t="n"/>
      <c r="S937" s="90" t="n"/>
      <c r="T937" s="90" t="n"/>
      <c r="U937" s="90" t="n"/>
      <c r="V937" s="90" t="n"/>
      <c r="W937" s="90" t="n"/>
      <c r="X937" s="90" t="n"/>
      <c r="Y937" s="90" t="n"/>
      <c r="Z937" s="90" t="n"/>
    </row>
    <row r="938">
      <c r="A938" s="90" t="n"/>
      <c r="B938" s="90" t="n"/>
      <c r="C938" s="90" t="n"/>
      <c r="D938" s="90" t="n"/>
      <c r="E938" s="90" t="n"/>
      <c r="F938" s="90" t="n"/>
      <c r="G938" s="90" t="n"/>
      <c r="H938" s="90" t="n"/>
      <c r="I938" s="90" t="n"/>
      <c r="J938" s="90" t="n"/>
      <c r="K938" s="90" t="n"/>
      <c r="L938" s="90" t="n"/>
      <c r="M938" s="90" t="n"/>
      <c r="N938" s="90" t="n"/>
      <c r="O938" s="90" t="n"/>
      <c r="P938" s="90" t="n"/>
      <c r="Q938" s="90" t="n"/>
      <c r="R938" s="90" t="n"/>
      <c r="S938" s="90" t="n"/>
      <c r="T938" s="90" t="n"/>
      <c r="U938" s="90" t="n"/>
      <c r="V938" s="90" t="n"/>
      <c r="W938" s="90" t="n"/>
      <c r="X938" s="90" t="n"/>
      <c r="Y938" s="90" t="n"/>
      <c r="Z938" s="90" t="n"/>
    </row>
    <row r="939">
      <c r="A939" s="90" t="n"/>
      <c r="B939" s="90" t="n"/>
      <c r="C939" s="90" t="n"/>
      <c r="D939" s="90" t="n"/>
      <c r="E939" s="90" t="n"/>
      <c r="F939" s="90" t="n"/>
      <c r="G939" s="90" t="n"/>
      <c r="H939" s="90" t="n"/>
      <c r="I939" s="90" t="n"/>
      <c r="J939" s="90" t="n"/>
      <c r="K939" s="90" t="n"/>
      <c r="L939" s="90" t="n"/>
      <c r="M939" s="90" t="n"/>
      <c r="N939" s="90" t="n"/>
      <c r="O939" s="90" t="n"/>
      <c r="P939" s="90" t="n"/>
      <c r="Q939" s="90" t="n"/>
      <c r="R939" s="90" t="n"/>
      <c r="S939" s="90" t="n"/>
      <c r="T939" s="90" t="n"/>
      <c r="U939" s="90" t="n"/>
      <c r="V939" s="90" t="n"/>
      <c r="W939" s="90" t="n"/>
      <c r="X939" s="90" t="n"/>
      <c r="Y939" s="90" t="n"/>
      <c r="Z939" s="90" t="n"/>
    </row>
    <row r="940">
      <c r="A940" s="90" t="n"/>
      <c r="B940" s="90" t="n"/>
      <c r="C940" s="90" t="n"/>
      <c r="D940" s="90" t="n"/>
      <c r="E940" s="90" t="n"/>
      <c r="F940" s="90" t="n"/>
      <c r="G940" s="90" t="n"/>
      <c r="H940" s="90" t="n"/>
      <c r="I940" s="90" t="n"/>
      <c r="J940" s="90" t="n"/>
      <c r="K940" s="90" t="n"/>
      <c r="L940" s="90" t="n"/>
      <c r="M940" s="90" t="n"/>
      <c r="N940" s="90" t="n"/>
      <c r="O940" s="90" t="n"/>
      <c r="P940" s="90" t="n"/>
      <c r="Q940" s="90" t="n"/>
      <c r="R940" s="90" t="n"/>
      <c r="S940" s="90" t="n"/>
      <c r="T940" s="90" t="n"/>
      <c r="U940" s="90" t="n"/>
      <c r="V940" s="90" t="n"/>
      <c r="W940" s="90" t="n"/>
      <c r="X940" s="90" t="n"/>
      <c r="Y940" s="90" t="n"/>
      <c r="Z940" s="90" t="n"/>
    </row>
    <row r="941">
      <c r="A941" s="90" t="n"/>
      <c r="B941" s="90" t="n"/>
      <c r="C941" s="90" t="n"/>
      <c r="D941" s="90" t="n"/>
      <c r="E941" s="90" t="n"/>
      <c r="F941" s="90" t="n"/>
      <c r="G941" s="90" t="n"/>
      <c r="H941" s="90" t="n"/>
      <c r="I941" s="90" t="n"/>
      <c r="J941" s="90" t="n"/>
      <c r="K941" s="90" t="n"/>
      <c r="L941" s="90" t="n"/>
      <c r="M941" s="90" t="n"/>
      <c r="N941" s="90" t="n"/>
      <c r="O941" s="90" t="n"/>
      <c r="P941" s="90" t="n"/>
      <c r="Q941" s="90" t="n"/>
      <c r="R941" s="90" t="n"/>
      <c r="S941" s="90" t="n"/>
      <c r="T941" s="90" t="n"/>
      <c r="U941" s="90" t="n"/>
      <c r="V941" s="90" t="n"/>
      <c r="W941" s="90" t="n"/>
      <c r="X941" s="90" t="n"/>
      <c r="Y941" s="90" t="n"/>
      <c r="Z941" s="90" t="n"/>
    </row>
    <row r="942">
      <c r="A942" s="90" t="n"/>
      <c r="B942" s="90" t="n"/>
      <c r="C942" s="90" t="n"/>
      <c r="D942" s="90" t="n"/>
      <c r="E942" s="90" t="n"/>
      <c r="F942" s="90" t="n"/>
      <c r="G942" s="90" t="n"/>
      <c r="H942" s="90" t="n"/>
      <c r="I942" s="90" t="n"/>
      <c r="J942" s="90" t="n"/>
      <c r="K942" s="90" t="n"/>
      <c r="L942" s="90" t="n"/>
      <c r="M942" s="90" t="n"/>
      <c r="N942" s="90" t="n"/>
      <c r="O942" s="90" t="n"/>
      <c r="P942" s="90" t="n"/>
      <c r="Q942" s="90" t="n"/>
      <c r="R942" s="90" t="n"/>
      <c r="S942" s="90" t="n"/>
      <c r="T942" s="90" t="n"/>
      <c r="U942" s="90" t="n"/>
      <c r="V942" s="90" t="n"/>
      <c r="W942" s="90" t="n"/>
      <c r="X942" s="90" t="n"/>
      <c r="Y942" s="90" t="n"/>
      <c r="Z942" s="90" t="n"/>
    </row>
    <row r="943">
      <c r="A943" s="90" t="n"/>
      <c r="B943" s="90" t="n"/>
      <c r="C943" s="90" t="n"/>
      <c r="D943" s="90" t="n"/>
      <c r="E943" s="90" t="n"/>
      <c r="F943" s="90" t="n"/>
      <c r="G943" s="90" t="n"/>
      <c r="H943" s="90" t="n"/>
      <c r="I943" s="90" t="n"/>
      <c r="J943" s="90" t="n"/>
      <c r="K943" s="90" t="n"/>
      <c r="L943" s="90" t="n"/>
      <c r="M943" s="90" t="n"/>
      <c r="N943" s="90" t="n"/>
      <c r="O943" s="90" t="n"/>
      <c r="P943" s="90" t="n"/>
      <c r="Q943" s="90" t="n"/>
      <c r="R943" s="90" t="n"/>
      <c r="S943" s="90" t="n"/>
      <c r="T943" s="90" t="n"/>
      <c r="U943" s="90" t="n"/>
      <c r="V943" s="90" t="n"/>
      <c r="W943" s="90" t="n"/>
      <c r="X943" s="90" t="n"/>
      <c r="Y943" s="90" t="n"/>
      <c r="Z943" s="90" t="n"/>
    </row>
    <row r="944">
      <c r="A944" s="90" t="n"/>
      <c r="B944" s="90" t="n"/>
      <c r="C944" s="90" t="n"/>
      <c r="D944" s="90" t="n"/>
      <c r="E944" s="90" t="n"/>
      <c r="F944" s="90" t="n"/>
      <c r="G944" s="90" t="n"/>
      <c r="H944" s="90" t="n"/>
      <c r="I944" s="90" t="n"/>
      <c r="J944" s="90" t="n"/>
      <c r="K944" s="90" t="n"/>
      <c r="L944" s="90" t="n"/>
      <c r="M944" s="90" t="n"/>
      <c r="N944" s="90" t="n"/>
      <c r="O944" s="90" t="n"/>
      <c r="P944" s="90" t="n"/>
      <c r="Q944" s="90" t="n"/>
      <c r="R944" s="90" t="n"/>
      <c r="S944" s="90" t="n"/>
      <c r="T944" s="90" t="n"/>
      <c r="U944" s="90" t="n"/>
      <c r="V944" s="90" t="n"/>
      <c r="W944" s="90" t="n"/>
      <c r="X944" s="90" t="n"/>
      <c r="Y944" s="90" t="n"/>
      <c r="Z944" s="90" t="n"/>
    </row>
    <row r="945">
      <c r="A945" s="90" t="n"/>
      <c r="B945" s="90" t="n"/>
      <c r="C945" s="90" t="n"/>
      <c r="D945" s="90" t="n"/>
      <c r="E945" s="90" t="n"/>
      <c r="F945" s="90" t="n"/>
      <c r="G945" s="90" t="n"/>
      <c r="H945" s="90" t="n"/>
      <c r="I945" s="90" t="n"/>
      <c r="J945" s="90" t="n"/>
      <c r="K945" s="90" t="n"/>
      <c r="L945" s="90" t="n"/>
      <c r="M945" s="90" t="n"/>
      <c r="N945" s="90" t="n"/>
      <c r="O945" s="90" t="n"/>
      <c r="P945" s="90" t="n"/>
      <c r="Q945" s="90" t="n"/>
      <c r="R945" s="90" t="n"/>
      <c r="S945" s="90" t="n"/>
      <c r="T945" s="90" t="n"/>
      <c r="U945" s="90" t="n"/>
      <c r="V945" s="90" t="n"/>
      <c r="W945" s="90" t="n"/>
      <c r="X945" s="90" t="n"/>
      <c r="Y945" s="90" t="n"/>
      <c r="Z945" s="90" t="n"/>
    </row>
    <row r="946">
      <c r="A946" s="90" t="n"/>
      <c r="B946" s="90" t="n"/>
      <c r="C946" s="90" t="n"/>
      <c r="D946" s="90" t="n"/>
      <c r="E946" s="90" t="n"/>
      <c r="F946" s="90" t="n"/>
      <c r="G946" s="90" t="n"/>
      <c r="H946" s="90" t="n"/>
      <c r="I946" s="90" t="n"/>
      <c r="J946" s="90" t="n"/>
      <c r="K946" s="90" t="n"/>
      <c r="L946" s="90" t="n"/>
      <c r="M946" s="90" t="n"/>
      <c r="N946" s="90" t="n"/>
      <c r="O946" s="90" t="n"/>
      <c r="P946" s="90" t="n"/>
      <c r="Q946" s="90" t="n"/>
      <c r="R946" s="90" t="n"/>
      <c r="S946" s="90" t="n"/>
      <c r="T946" s="90" t="n"/>
      <c r="U946" s="90" t="n"/>
      <c r="V946" s="90" t="n"/>
      <c r="W946" s="90" t="n"/>
      <c r="X946" s="90" t="n"/>
      <c r="Y946" s="90" t="n"/>
      <c r="Z946" s="90" t="n"/>
    </row>
    <row r="947">
      <c r="A947" s="90" t="n"/>
      <c r="B947" s="90" t="n"/>
      <c r="C947" s="90" t="n"/>
      <c r="D947" s="90" t="n"/>
      <c r="E947" s="90" t="n"/>
      <c r="F947" s="90" t="n"/>
      <c r="G947" s="90" t="n"/>
      <c r="H947" s="90" t="n"/>
      <c r="I947" s="90" t="n"/>
      <c r="J947" s="90" t="n"/>
      <c r="K947" s="90" t="n"/>
      <c r="L947" s="90" t="n"/>
      <c r="M947" s="90" t="n"/>
      <c r="N947" s="90" t="n"/>
      <c r="O947" s="90" t="n"/>
      <c r="P947" s="90" t="n"/>
      <c r="Q947" s="90" t="n"/>
      <c r="R947" s="90" t="n"/>
      <c r="S947" s="90" t="n"/>
      <c r="T947" s="90" t="n"/>
      <c r="U947" s="90" t="n"/>
      <c r="V947" s="90" t="n"/>
      <c r="W947" s="90" t="n"/>
      <c r="X947" s="90" t="n"/>
      <c r="Y947" s="90" t="n"/>
      <c r="Z947" s="90" t="n"/>
    </row>
    <row r="948">
      <c r="A948" s="90" t="n"/>
      <c r="B948" s="90" t="n"/>
      <c r="C948" s="90" t="n"/>
      <c r="D948" s="90" t="n"/>
      <c r="E948" s="90" t="n"/>
      <c r="F948" s="90" t="n"/>
      <c r="G948" s="90" t="n"/>
      <c r="H948" s="90" t="n"/>
      <c r="I948" s="90" t="n"/>
      <c r="J948" s="90" t="n"/>
      <c r="K948" s="90" t="n"/>
      <c r="L948" s="90" t="n"/>
      <c r="M948" s="90" t="n"/>
      <c r="N948" s="90" t="n"/>
      <c r="O948" s="90" t="n"/>
      <c r="P948" s="90" t="n"/>
      <c r="Q948" s="90" t="n"/>
      <c r="R948" s="90" t="n"/>
      <c r="S948" s="90" t="n"/>
      <c r="T948" s="90" t="n"/>
      <c r="U948" s="90" t="n"/>
      <c r="V948" s="90" t="n"/>
      <c r="W948" s="90" t="n"/>
      <c r="X948" s="90" t="n"/>
      <c r="Y948" s="90" t="n"/>
      <c r="Z948" s="90" t="n"/>
    </row>
    <row r="949">
      <c r="A949" s="90" t="n"/>
      <c r="B949" s="90" t="n"/>
      <c r="C949" s="90" t="n"/>
      <c r="D949" s="90" t="n"/>
      <c r="E949" s="90" t="n"/>
      <c r="F949" s="90" t="n"/>
      <c r="G949" s="90" t="n"/>
      <c r="H949" s="90" t="n"/>
      <c r="I949" s="90" t="n"/>
      <c r="J949" s="90" t="n"/>
      <c r="K949" s="90" t="n"/>
      <c r="L949" s="90" t="n"/>
      <c r="M949" s="90" t="n"/>
      <c r="N949" s="90" t="n"/>
      <c r="O949" s="90" t="n"/>
      <c r="P949" s="90" t="n"/>
      <c r="Q949" s="90" t="n"/>
      <c r="R949" s="90" t="n"/>
      <c r="S949" s="90" t="n"/>
      <c r="T949" s="90" t="n"/>
      <c r="U949" s="90" t="n"/>
      <c r="V949" s="90" t="n"/>
      <c r="W949" s="90" t="n"/>
      <c r="X949" s="90" t="n"/>
      <c r="Y949" s="90" t="n"/>
      <c r="Z949" s="90" t="n"/>
    </row>
    <row r="950">
      <c r="A950" s="90" t="n"/>
      <c r="B950" s="90" t="n"/>
      <c r="C950" s="90" t="n"/>
      <c r="D950" s="90" t="n"/>
      <c r="E950" s="90" t="n"/>
      <c r="F950" s="90" t="n"/>
      <c r="G950" s="90" t="n"/>
      <c r="H950" s="90" t="n"/>
      <c r="I950" s="90" t="n"/>
      <c r="J950" s="90" t="n"/>
      <c r="K950" s="90" t="n"/>
      <c r="L950" s="90" t="n"/>
      <c r="M950" s="90" t="n"/>
      <c r="N950" s="90" t="n"/>
      <c r="O950" s="90" t="n"/>
      <c r="P950" s="90" t="n"/>
      <c r="Q950" s="90" t="n"/>
      <c r="R950" s="90" t="n"/>
      <c r="S950" s="90" t="n"/>
      <c r="T950" s="90" t="n"/>
      <c r="U950" s="90" t="n"/>
      <c r="V950" s="90" t="n"/>
      <c r="W950" s="90" t="n"/>
      <c r="X950" s="90" t="n"/>
      <c r="Y950" s="90" t="n"/>
      <c r="Z950" s="90" t="n"/>
    </row>
    <row r="951">
      <c r="A951" s="90" t="n"/>
      <c r="B951" s="90" t="n"/>
      <c r="C951" s="90" t="n"/>
      <c r="D951" s="90" t="n"/>
      <c r="E951" s="90" t="n"/>
      <c r="F951" s="90" t="n"/>
      <c r="G951" s="90" t="n"/>
      <c r="H951" s="90" t="n"/>
      <c r="I951" s="90" t="n"/>
      <c r="J951" s="90" t="n"/>
      <c r="K951" s="90" t="n"/>
      <c r="L951" s="90" t="n"/>
      <c r="M951" s="90" t="n"/>
      <c r="N951" s="90" t="n"/>
      <c r="O951" s="90" t="n"/>
      <c r="P951" s="90" t="n"/>
      <c r="Q951" s="90" t="n"/>
      <c r="R951" s="90" t="n"/>
      <c r="S951" s="90" t="n"/>
      <c r="T951" s="90" t="n"/>
      <c r="U951" s="90" t="n"/>
      <c r="V951" s="90" t="n"/>
      <c r="W951" s="90" t="n"/>
      <c r="X951" s="90" t="n"/>
      <c r="Y951" s="90" t="n"/>
      <c r="Z951" s="90" t="n"/>
    </row>
    <row r="952">
      <c r="A952" s="90" t="n"/>
      <c r="B952" s="90" t="n"/>
      <c r="C952" s="90" t="n"/>
      <c r="D952" s="90" t="n"/>
      <c r="E952" s="90" t="n"/>
      <c r="F952" s="90" t="n"/>
      <c r="G952" s="90" t="n"/>
      <c r="H952" s="90" t="n"/>
      <c r="I952" s="90" t="n"/>
      <c r="J952" s="90" t="n"/>
      <c r="K952" s="90" t="n"/>
      <c r="L952" s="90" t="n"/>
      <c r="M952" s="90" t="n"/>
      <c r="N952" s="90" t="n"/>
      <c r="O952" s="90" t="n"/>
      <c r="P952" s="90" t="n"/>
      <c r="Q952" s="90" t="n"/>
      <c r="R952" s="90" t="n"/>
      <c r="S952" s="90" t="n"/>
      <c r="T952" s="90" t="n"/>
      <c r="U952" s="90" t="n"/>
      <c r="V952" s="90" t="n"/>
      <c r="W952" s="90" t="n"/>
      <c r="X952" s="90" t="n"/>
      <c r="Y952" s="90" t="n"/>
      <c r="Z952" s="90" t="n"/>
    </row>
    <row r="953">
      <c r="A953" s="90" t="n"/>
      <c r="B953" s="90" t="n"/>
      <c r="C953" s="90" t="n"/>
      <c r="D953" s="90" t="n"/>
      <c r="E953" s="90" t="n"/>
      <c r="F953" s="90" t="n"/>
      <c r="G953" s="90" t="n"/>
      <c r="H953" s="90" t="n"/>
      <c r="I953" s="90" t="n"/>
      <c r="J953" s="90" t="n"/>
      <c r="K953" s="90" t="n"/>
      <c r="L953" s="90" t="n"/>
      <c r="M953" s="90" t="n"/>
      <c r="N953" s="90" t="n"/>
      <c r="O953" s="90" t="n"/>
      <c r="P953" s="90" t="n"/>
      <c r="Q953" s="90" t="n"/>
      <c r="R953" s="90" t="n"/>
      <c r="S953" s="90" t="n"/>
      <c r="T953" s="90" t="n"/>
      <c r="U953" s="90" t="n"/>
      <c r="V953" s="90" t="n"/>
      <c r="W953" s="90" t="n"/>
      <c r="X953" s="90" t="n"/>
      <c r="Y953" s="90" t="n"/>
      <c r="Z953" s="90" t="n"/>
    </row>
    <row r="954">
      <c r="A954" s="90" t="n"/>
      <c r="B954" s="90" t="n"/>
      <c r="C954" s="90" t="n"/>
      <c r="D954" s="90" t="n"/>
      <c r="E954" s="90" t="n"/>
      <c r="F954" s="90" t="n"/>
      <c r="G954" s="90" t="n"/>
      <c r="H954" s="90" t="n"/>
      <c r="I954" s="90" t="n"/>
      <c r="J954" s="90" t="n"/>
      <c r="K954" s="90" t="n"/>
      <c r="L954" s="90" t="n"/>
      <c r="M954" s="90" t="n"/>
      <c r="N954" s="90" t="n"/>
      <c r="O954" s="90" t="n"/>
      <c r="P954" s="90" t="n"/>
      <c r="Q954" s="90" t="n"/>
      <c r="R954" s="90" t="n"/>
      <c r="S954" s="90" t="n"/>
      <c r="T954" s="90" t="n"/>
      <c r="U954" s="90" t="n"/>
      <c r="V954" s="90" t="n"/>
      <c r="W954" s="90" t="n"/>
      <c r="X954" s="90" t="n"/>
      <c r="Y954" s="90" t="n"/>
      <c r="Z954" s="90" t="n"/>
    </row>
    <row r="955">
      <c r="A955" s="90" t="n"/>
      <c r="B955" s="90" t="n"/>
      <c r="C955" s="90" t="n"/>
      <c r="D955" s="90" t="n"/>
      <c r="E955" s="90" t="n"/>
      <c r="F955" s="90" t="n"/>
      <c r="G955" s="90" t="n"/>
      <c r="H955" s="90" t="n"/>
      <c r="I955" s="90" t="n"/>
      <c r="J955" s="90" t="n"/>
      <c r="K955" s="90" t="n"/>
      <c r="L955" s="90" t="n"/>
      <c r="M955" s="90" t="n"/>
      <c r="N955" s="90" t="n"/>
      <c r="O955" s="90" t="n"/>
      <c r="P955" s="90" t="n"/>
      <c r="Q955" s="90" t="n"/>
      <c r="R955" s="90" t="n"/>
      <c r="S955" s="90" t="n"/>
      <c r="T955" s="90" t="n"/>
      <c r="U955" s="90" t="n"/>
      <c r="V955" s="90" t="n"/>
      <c r="W955" s="90" t="n"/>
      <c r="X955" s="90" t="n"/>
      <c r="Y955" s="90" t="n"/>
      <c r="Z955" s="90" t="n"/>
    </row>
    <row r="956">
      <c r="A956" s="90" t="n"/>
      <c r="B956" s="90" t="n"/>
      <c r="C956" s="90" t="n"/>
      <c r="D956" s="90" t="n"/>
      <c r="E956" s="90" t="n"/>
      <c r="F956" s="90" t="n"/>
      <c r="G956" s="90" t="n"/>
      <c r="H956" s="90" t="n"/>
      <c r="I956" s="90" t="n"/>
      <c r="J956" s="90" t="n"/>
      <c r="K956" s="90" t="n"/>
      <c r="L956" s="90" t="n"/>
      <c r="M956" s="90" t="n"/>
      <c r="N956" s="90" t="n"/>
      <c r="O956" s="90" t="n"/>
      <c r="P956" s="90" t="n"/>
      <c r="Q956" s="90" t="n"/>
      <c r="R956" s="90" t="n"/>
      <c r="S956" s="90" t="n"/>
      <c r="T956" s="90" t="n"/>
      <c r="U956" s="90" t="n"/>
      <c r="V956" s="90" t="n"/>
      <c r="W956" s="90" t="n"/>
      <c r="X956" s="90" t="n"/>
      <c r="Y956" s="90" t="n"/>
      <c r="Z956" s="90" t="n"/>
    </row>
    <row r="957">
      <c r="A957" s="90" t="n"/>
      <c r="B957" s="90" t="n"/>
      <c r="C957" s="90" t="n"/>
      <c r="D957" s="90" t="n"/>
      <c r="E957" s="90" t="n"/>
      <c r="F957" s="90" t="n"/>
      <c r="G957" s="90" t="n"/>
      <c r="H957" s="90" t="n"/>
      <c r="I957" s="90" t="n"/>
      <c r="J957" s="90" t="n"/>
      <c r="K957" s="90" t="n"/>
      <c r="L957" s="90" t="n"/>
      <c r="M957" s="90" t="n"/>
      <c r="N957" s="90" t="n"/>
      <c r="O957" s="90" t="n"/>
      <c r="P957" s="90" t="n"/>
      <c r="Q957" s="90" t="n"/>
      <c r="R957" s="90" t="n"/>
      <c r="S957" s="90" t="n"/>
      <c r="T957" s="90" t="n"/>
      <c r="U957" s="90" t="n"/>
      <c r="V957" s="90" t="n"/>
      <c r="W957" s="90" t="n"/>
      <c r="X957" s="90" t="n"/>
      <c r="Y957" s="90" t="n"/>
      <c r="Z957" s="90" t="n"/>
    </row>
    <row r="958">
      <c r="A958" s="90" t="n"/>
      <c r="B958" s="90" t="n"/>
      <c r="C958" s="90" t="n"/>
      <c r="D958" s="90" t="n"/>
      <c r="E958" s="90" t="n"/>
      <c r="F958" s="90" t="n"/>
      <c r="G958" s="90" t="n"/>
      <c r="H958" s="90" t="n"/>
      <c r="I958" s="90" t="n"/>
      <c r="J958" s="90" t="n"/>
      <c r="K958" s="90" t="n"/>
      <c r="L958" s="90" t="n"/>
      <c r="M958" s="90" t="n"/>
      <c r="N958" s="90" t="n"/>
      <c r="O958" s="90" t="n"/>
      <c r="P958" s="90" t="n"/>
      <c r="Q958" s="90" t="n"/>
      <c r="R958" s="90" t="n"/>
      <c r="S958" s="90" t="n"/>
      <c r="T958" s="90" t="n"/>
      <c r="U958" s="90" t="n"/>
      <c r="V958" s="90" t="n"/>
      <c r="W958" s="90" t="n"/>
      <c r="X958" s="90" t="n"/>
      <c r="Y958" s="90" t="n"/>
      <c r="Z958" s="90" t="n"/>
    </row>
    <row r="959">
      <c r="A959" s="90" t="n"/>
      <c r="B959" s="90" t="n"/>
      <c r="C959" s="90" t="n"/>
      <c r="D959" s="90" t="n"/>
      <c r="E959" s="90" t="n"/>
      <c r="F959" s="90" t="n"/>
      <c r="G959" s="90" t="n"/>
      <c r="H959" s="90" t="n"/>
      <c r="I959" s="90" t="n"/>
      <c r="J959" s="90" t="n"/>
      <c r="K959" s="90" t="n"/>
      <c r="L959" s="90" t="n"/>
      <c r="M959" s="90" t="n"/>
      <c r="N959" s="90" t="n"/>
      <c r="O959" s="90" t="n"/>
      <c r="P959" s="90" t="n"/>
      <c r="Q959" s="90" t="n"/>
      <c r="R959" s="90" t="n"/>
      <c r="S959" s="90" t="n"/>
      <c r="T959" s="90" t="n"/>
      <c r="U959" s="90" t="n"/>
      <c r="V959" s="90" t="n"/>
      <c r="W959" s="90" t="n"/>
      <c r="X959" s="90" t="n"/>
      <c r="Y959" s="90" t="n"/>
      <c r="Z959" s="90" t="n"/>
    </row>
    <row r="960">
      <c r="A960" s="90" t="n"/>
      <c r="B960" s="90" t="n"/>
      <c r="C960" s="90" t="n"/>
      <c r="D960" s="90" t="n"/>
      <c r="E960" s="90" t="n"/>
      <c r="F960" s="90" t="n"/>
      <c r="G960" s="90" t="n"/>
      <c r="H960" s="90" t="n"/>
      <c r="I960" s="90" t="n"/>
      <c r="J960" s="90" t="n"/>
      <c r="K960" s="90" t="n"/>
      <c r="L960" s="90" t="n"/>
      <c r="M960" s="90" t="n"/>
      <c r="N960" s="90" t="n"/>
      <c r="O960" s="90" t="n"/>
      <c r="P960" s="90" t="n"/>
      <c r="Q960" s="90" t="n"/>
      <c r="R960" s="90" t="n"/>
      <c r="S960" s="90" t="n"/>
      <c r="T960" s="90" t="n"/>
      <c r="U960" s="90" t="n"/>
      <c r="V960" s="90" t="n"/>
      <c r="W960" s="90" t="n"/>
      <c r="X960" s="90" t="n"/>
      <c r="Y960" s="90" t="n"/>
      <c r="Z960" s="90" t="n"/>
    </row>
    <row r="961">
      <c r="A961" s="90" t="n"/>
      <c r="B961" s="90" t="n"/>
      <c r="C961" s="90" t="n"/>
      <c r="D961" s="90" t="n"/>
      <c r="E961" s="90" t="n"/>
      <c r="F961" s="90" t="n"/>
      <c r="G961" s="90" t="n"/>
      <c r="H961" s="90" t="n"/>
      <c r="I961" s="90" t="n"/>
      <c r="J961" s="90" t="n"/>
      <c r="K961" s="90" t="n"/>
      <c r="L961" s="90" t="n"/>
      <c r="M961" s="90" t="n"/>
      <c r="N961" s="90" t="n"/>
      <c r="O961" s="90" t="n"/>
      <c r="P961" s="90" t="n"/>
      <c r="Q961" s="90" t="n"/>
      <c r="R961" s="90" t="n"/>
      <c r="S961" s="90" t="n"/>
      <c r="T961" s="90" t="n"/>
      <c r="U961" s="90" t="n"/>
      <c r="V961" s="90" t="n"/>
      <c r="W961" s="90" t="n"/>
      <c r="X961" s="90" t="n"/>
      <c r="Y961" s="90" t="n"/>
      <c r="Z961" s="90" t="n"/>
    </row>
    <row r="962">
      <c r="A962" s="90" t="n"/>
      <c r="B962" s="90" t="n"/>
      <c r="C962" s="90" t="n"/>
      <c r="D962" s="90" t="n"/>
      <c r="E962" s="90" t="n"/>
      <c r="F962" s="90" t="n"/>
      <c r="G962" s="90" t="n"/>
      <c r="H962" s="90" t="n"/>
      <c r="I962" s="90" t="n"/>
      <c r="J962" s="90" t="n"/>
      <c r="K962" s="90" t="n"/>
      <c r="L962" s="90" t="n"/>
      <c r="M962" s="90" t="n"/>
      <c r="N962" s="90" t="n"/>
      <c r="O962" s="90" t="n"/>
      <c r="P962" s="90" t="n"/>
      <c r="Q962" s="90" t="n"/>
      <c r="R962" s="90" t="n"/>
      <c r="S962" s="90" t="n"/>
      <c r="T962" s="90" t="n"/>
      <c r="U962" s="90" t="n"/>
      <c r="V962" s="90" t="n"/>
      <c r="W962" s="90" t="n"/>
      <c r="X962" s="90" t="n"/>
      <c r="Y962" s="90" t="n"/>
      <c r="Z962" s="90" t="n"/>
    </row>
    <row r="963">
      <c r="A963" s="90" t="n"/>
      <c r="B963" s="90" t="n"/>
      <c r="C963" s="90" t="n"/>
      <c r="D963" s="90" t="n"/>
      <c r="E963" s="90" t="n"/>
      <c r="F963" s="90" t="n"/>
      <c r="G963" s="90" t="n"/>
      <c r="H963" s="90" t="n"/>
      <c r="I963" s="90" t="n"/>
      <c r="J963" s="90" t="n"/>
      <c r="K963" s="90" t="n"/>
      <c r="L963" s="90" t="n"/>
      <c r="M963" s="90" t="n"/>
      <c r="N963" s="90" t="n"/>
      <c r="O963" s="90" t="n"/>
      <c r="P963" s="90" t="n"/>
      <c r="Q963" s="90" t="n"/>
      <c r="R963" s="90" t="n"/>
      <c r="S963" s="90" t="n"/>
      <c r="T963" s="90" t="n"/>
      <c r="U963" s="90" t="n"/>
      <c r="V963" s="90" t="n"/>
      <c r="W963" s="90" t="n"/>
      <c r="X963" s="90" t="n"/>
      <c r="Y963" s="90" t="n"/>
      <c r="Z963" s="90" t="n"/>
    </row>
    <row r="964">
      <c r="A964" s="90" t="n"/>
      <c r="B964" s="90" t="n"/>
      <c r="C964" s="90" t="n"/>
      <c r="D964" s="90" t="n"/>
      <c r="E964" s="90" t="n"/>
      <c r="F964" s="90" t="n"/>
      <c r="G964" s="90" t="n"/>
      <c r="H964" s="90" t="n"/>
      <c r="I964" s="90" t="n"/>
      <c r="J964" s="90" t="n"/>
      <c r="K964" s="90" t="n"/>
      <c r="L964" s="90" t="n"/>
      <c r="M964" s="90" t="n"/>
      <c r="N964" s="90" t="n"/>
      <c r="O964" s="90" t="n"/>
      <c r="P964" s="90" t="n"/>
      <c r="Q964" s="90" t="n"/>
      <c r="R964" s="90" t="n"/>
      <c r="S964" s="90" t="n"/>
      <c r="T964" s="90" t="n"/>
      <c r="U964" s="90" t="n"/>
      <c r="V964" s="90" t="n"/>
      <c r="W964" s="90" t="n"/>
      <c r="X964" s="90" t="n"/>
      <c r="Y964" s="90" t="n"/>
      <c r="Z964" s="90" t="n"/>
    </row>
    <row r="965">
      <c r="A965" s="90" t="n"/>
      <c r="B965" s="90" t="n"/>
      <c r="C965" s="90" t="n"/>
      <c r="D965" s="90" t="n"/>
      <c r="E965" s="90" t="n"/>
      <c r="F965" s="90" t="n"/>
      <c r="G965" s="90" t="n"/>
      <c r="H965" s="90" t="n"/>
      <c r="I965" s="90" t="n"/>
      <c r="J965" s="90" t="n"/>
      <c r="K965" s="90" t="n"/>
      <c r="L965" s="90" t="n"/>
      <c r="M965" s="90" t="n"/>
      <c r="N965" s="90" t="n"/>
      <c r="O965" s="90" t="n"/>
      <c r="P965" s="90" t="n"/>
      <c r="Q965" s="90" t="n"/>
      <c r="R965" s="90" t="n"/>
      <c r="S965" s="90" t="n"/>
      <c r="T965" s="90" t="n"/>
      <c r="U965" s="90" t="n"/>
      <c r="V965" s="90" t="n"/>
      <c r="W965" s="90" t="n"/>
      <c r="X965" s="90" t="n"/>
      <c r="Y965" s="90" t="n"/>
      <c r="Z965" s="90" t="n"/>
    </row>
    <row r="966">
      <c r="A966" s="90" t="n"/>
      <c r="B966" s="90" t="n"/>
      <c r="C966" s="90" t="n"/>
      <c r="D966" s="90" t="n"/>
      <c r="E966" s="90" t="n"/>
      <c r="F966" s="90" t="n"/>
      <c r="G966" s="90" t="n"/>
      <c r="H966" s="90" t="n"/>
      <c r="I966" s="90" t="n"/>
      <c r="J966" s="90" t="n"/>
      <c r="K966" s="90" t="n"/>
      <c r="L966" s="90" t="n"/>
      <c r="M966" s="90" t="n"/>
      <c r="N966" s="90" t="n"/>
      <c r="O966" s="90" t="n"/>
      <c r="P966" s="90" t="n"/>
      <c r="Q966" s="90" t="n"/>
      <c r="R966" s="90" t="n"/>
      <c r="S966" s="90" t="n"/>
      <c r="T966" s="90" t="n"/>
      <c r="U966" s="90" t="n"/>
      <c r="V966" s="90" t="n"/>
      <c r="W966" s="90" t="n"/>
      <c r="X966" s="90" t="n"/>
      <c r="Y966" s="90" t="n"/>
      <c r="Z966" s="90" t="n"/>
    </row>
    <row r="967">
      <c r="A967" s="90" t="n"/>
      <c r="B967" s="90" t="n"/>
      <c r="C967" s="90" t="n"/>
      <c r="D967" s="90" t="n"/>
      <c r="E967" s="90" t="n"/>
      <c r="F967" s="90" t="n"/>
      <c r="G967" s="90" t="n"/>
      <c r="H967" s="90" t="n"/>
      <c r="I967" s="90" t="n"/>
      <c r="J967" s="90" t="n"/>
      <c r="K967" s="90" t="n"/>
      <c r="L967" s="90" t="n"/>
      <c r="M967" s="90" t="n"/>
      <c r="N967" s="90" t="n"/>
      <c r="O967" s="90" t="n"/>
      <c r="P967" s="90" t="n"/>
      <c r="Q967" s="90" t="n"/>
      <c r="R967" s="90" t="n"/>
      <c r="S967" s="90" t="n"/>
      <c r="T967" s="90" t="n"/>
      <c r="U967" s="90" t="n"/>
      <c r="V967" s="90" t="n"/>
      <c r="W967" s="90" t="n"/>
      <c r="X967" s="90" t="n"/>
      <c r="Y967" s="90" t="n"/>
      <c r="Z967" s="90" t="n"/>
    </row>
    <row r="968">
      <c r="A968" s="90" t="n"/>
      <c r="B968" s="90" t="n"/>
      <c r="C968" s="90" t="n"/>
      <c r="D968" s="90" t="n"/>
      <c r="E968" s="90" t="n"/>
      <c r="F968" s="90" t="n"/>
      <c r="G968" s="90" t="n"/>
      <c r="H968" s="90" t="n"/>
      <c r="I968" s="90" t="n"/>
      <c r="J968" s="90" t="n"/>
      <c r="K968" s="90" t="n"/>
      <c r="L968" s="90" t="n"/>
      <c r="M968" s="90" t="n"/>
      <c r="N968" s="90" t="n"/>
      <c r="O968" s="90" t="n"/>
      <c r="P968" s="90" t="n"/>
      <c r="Q968" s="90" t="n"/>
      <c r="R968" s="90" t="n"/>
      <c r="S968" s="90" t="n"/>
      <c r="T968" s="90" t="n"/>
      <c r="U968" s="90" t="n"/>
      <c r="V968" s="90" t="n"/>
      <c r="W968" s="90" t="n"/>
      <c r="X968" s="90" t="n"/>
      <c r="Y968" s="90" t="n"/>
      <c r="Z968" s="90" t="n"/>
    </row>
    <row r="969">
      <c r="A969" s="90" t="n"/>
      <c r="B969" s="90" t="n"/>
      <c r="C969" s="90" t="n"/>
      <c r="D969" s="90" t="n"/>
      <c r="E969" s="90" t="n"/>
      <c r="F969" s="90" t="n"/>
      <c r="G969" s="90" t="n"/>
      <c r="H969" s="90" t="n"/>
      <c r="I969" s="90" t="n"/>
      <c r="J969" s="90" t="n"/>
      <c r="K969" s="90" t="n"/>
      <c r="L969" s="90" t="n"/>
      <c r="M969" s="90" t="n"/>
      <c r="N969" s="90" t="n"/>
      <c r="O969" s="90" t="n"/>
      <c r="P969" s="90" t="n"/>
      <c r="Q969" s="90" t="n"/>
      <c r="R969" s="90" t="n"/>
      <c r="S969" s="90" t="n"/>
      <c r="T969" s="90" t="n"/>
      <c r="U969" s="90" t="n"/>
      <c r="V969" s="90" t="n"/>
      <c r="W969" s="90" t="n"/>
      <c r="X969" s="90" t="n"/>
      <c r="Y969" s="90" t="n"/>
      <c r="Z969" s="90" t="n"/>
    </row>
    <row r="970">
      <c r="A970" s="90" t="n"/>
      <c r="B970" s="90" t="n"/>
      <c r="C970" s="90" t="n"/>
      <c r="D970" s="90" t="n"/>
      <c r="E970" s="90" t="n"/>
      <c r="F970" s="90" t="n"/>
      <c r="G970" s="90" t="n"/>
      <c r="H970" s="90" t="n"/>
      <c r="I970" s="90" t="n"/>
      <c r="J970" s="90" t="n"/>
      <c r="K970" s="90" t="n"/>
      <c r="L970" s="90" t="n"/>
      <c r="M970" s="90" t="n"/>
      <c r="N970" s="90" t="n"/>
      <c r="O970" s="90" t="n"/>
      <c r="P970" s="90" t="n"/>
      <c r="Q970" s="90" t="n"/>
      <c r="R970" s="90" t="n"/>
      <c r="S970" s="90" t="n"/>
      <c r="T970" s="90" t="n"/>
      <c r="U970" s="90" t="n"/>
      <c r="V970" s="90" t="n"/>
      <c r="W970" s="90" t="n"/>
      <c r="X970" s="90" t="n"/>
      <c r="Y970" s="90" t="n"/>
      <c r="Z970" s="90" t="n"/>
    </row>
    <row r="971">
      <c r="A971" s="90" t="n"/>
      <c r="B971" s="90" t="n"/>
      <c r="C971" s="90" t="n"/>
      <c r="D971" s="90" t="n"/>
      <c r="E971" s="90" t="n"/>
      <c r="F971" s="90" t="n"/>
      <c r="G971" s="90" t="n"/>
      <c r="H971" s="90" t="n"/>
      <c r="I971" s="90" t="n"/>
      <c r="J971" s="90" t="n"/>
      <c r="K971" s="90" t="n"/>
      <c r="L971" s="90" t="n"/>
      <c r="M971" s="90" t="n"/>
      <c r="N971" s="90" t="n"/>
      <c r="O971" s="90" t="n"/>
      <c r="P971" s="90" t="n"/>
      <c r="Q971" s="90" t="n"/>
      <c r="R971" s="90" t="n"/>
      <c r="S971" s="90" t="n"/>
      <c r="T971" s="90" t="n"/>
      <c r="U971" s="90" t="n"/>
      <c r="V971" s="90" t="n"/>
      <c r="W971" s="90" t="n"/>
      <c r="X971" s="90" t="n"/>
      <c r="Y971" s="90" t="n"/>
      <c r="Z971" s="90" t="n"/>
    </row>
    <row r="972">
      <c r="A972" s="90" t="n"/>
      <c r="B972" s="90" t="n"/>
      <c r="C972" s="90" t="n"/>
      <c r="D972" s="90" t="n"/>
      <c r="E972" s="90" t="n"/>
      <c r="F972" s="90" t="n"/>
      <c r="G972" s="90" t="n"/>
      <c r="H972" s="90" t="n"/>
      <c r="I972" s="90" t="n"/>
      <c r="J972" s="90" t="n"/>
      <c r="K972" s="90" t="n"/>
      <c r="L972" s="90" t="n"/>
      <c r="M972" s="90" t="n"/>
      <c r="N972" s="90" t="n"/>
      <c r="O972" s="90" t="n"/>
      <c r="P972" s="90" t="n"/>
      <c r="Q972" s="90" t="n"/>
      <c r="R972" s="90" t="n"/>
      <c r="S972" s="90" t="n"/>
      <c r="T972" s="90" t="n"/>
      <c r="U972" s="90" t="n"/>
      <c r="V972" s="90" t="n"/>
      <c r="W972" s="90" t="n"/>
      <c r="X972" s="90" t="n"/>
      <c r="Y972" s="90" t="n"/>
      <c r="Z972" s="90" t="n"/>
    </row>
    <row r="973">
      <c r="A973" s="90" t="n"/>
      <c r="B973" s="90" t="n"/>
      <c r="C973" s="90" t="n"/>
      <c r="D973" s="90" t="n"/>
      <c r="E973" s="90" t="n"/>
      <c r="F973" s="90" t="n"/>
      <c r="G973" s="90" t="n"/>
      <c r="H973" s="90" t="n"/>
      <c r="I973" s="90" t="n"/>
      <c r="J973" s="90" t="n"/>
      <c r="K973" s="90" t="n"/>
      <c r="L973" s="90" t="n"/>
      <c r="M973" s="90" t="n"/>
      <c r="N973" s="90" t="n"/>
      <c r="O973" s="90" t="n"/>
      <c r="P973" s="90" t="n"/>
      <c r="Q973" s="90" t="n"/>
      <c r="R973" s="90" t="n"/>
      <c r="S973" s="90" t="n"/>
      <c r="T973" s="90" t="n"/>
      <c r="U973" s="90" t="n"/>
      <c r="V973" s="90" t="n"/>
      <c r="W973" s="90" t="n"/>
      <c r="X973" s="90" t="n"/>
      <c r="Y973" s="90" t="n"/>
      <c r="Z973" s="90" t="n"/>
    </row>
    <row r="974">
      <c r="A974" s="90" t="n"/>
      <c r="B974" s="90" t="n"/>
      <c r="C974" s="90" t="n"/>
      <c r="D974" s="90" t="n"/>
      <c r="E974" s="90" t="n"/>
      <c r="F974" s="90" t="n"/>
      <c r="G974" s="90" t="n"/>
      <c r="H974" s="90" t="n"/>
      <c r="I974" s="90" t="n"/>
      <c r="J974" s="90" t="n"/>
      <c r="K974" s="90" t="n"/>
      <c r="L974" s="90" t="n"/>
      <c r="M974" s="90" t="n"/>
      <c r="N974" s="90" t="n"/>
      <c r="O974" s="90" t="n"/>
      <c r="P974" s="90" t="n"/>
      <c r="Q974" s="90" t="n"/>
      <c r="R974" s="90" t="n"/>
      <c r="S974" s="90" t="n"/>
      <c r="T974" s="90" t="n"/>
      <c r="U974" s="90" t="n"/>
      <c r="V974" s="90" t="n"/>
      <c r="W974" s="90" t="n"/>
      <c r="X974" s="90" t="n"/>
      <c r="Y974" s="90" t="n"/>
      <c r="Z974" s="90" t="n"/>
    </row>
    <row r="975">
      <c r="A975" s="90" t="n"/>
      <c r="B975" s="90" t="n"/>
      <c r="C975" s="90" t="n"/>
      <c r="D975" s="90" t="n"/>
      <c r="E975" s="90" t="n"/>
      <c r="F975" s="90" t="n"/>
      <c r="G975" s="90" t="n"/>
      <c r="H975" s="90" t="n"/>
      <c r="I975" s="90" t="n"/>
      <c r="J975" s="90" t="n"/>
      <c r="K975" s="90" t="n"/>
      <c r="L975" s="90" t="n"/>
      <c r="M975" s="90" t="n"/>
      <c r="N975" s="90" t="n"/>
      <c r="O975" s="90" t="n"/>
      <c r="P975" s="90" t="n"/>
      <c r="Q975" s="90" t="n"/>
      <c r="R975" s="90" t="n"/>
      <c r="S975" s="90" t="n"/>
      <c r="T975" s="90" t="n"/>
      <c r="U975" s="90" t="n"/>
      <c r="V975" s="90" t="n"/>
      <c r="W975" s="90" t="n"/>
      <c r="X975" s="90" t="n"/>
      <c r="Y975" s="90" t="n"/>
      <c r="Z975" s="90" t="n"/>
    </row>
    <row r="976">
      <c r="A976" s="90" t="n"/>
      <c r="B976" s="90" t="n"/>
      <c r="C976" s="90" t="n"/>
      <c r="D976" s="90" t="n"/>
      <c r="E976" s="90" t="n"/>
      <c r="F976" s="90" t="n"/>
      <c r="G976" s="90" t="n"/>
      <c r="H976" s="90" t="n"/>
      <c r="I976" s="90" t="n"/>
      <c r="J976" s="90" t="n"/>
      <c r="K976" s="90" t="n"/>
      <c r="L976" s="90" t="n"/>
      <c r="M976" s="90" t="n"/>
      <c r="N976" s="90" t="n"/>
      <c r="O976" s="90" t="n"/>
      <c r="P976" s="90" t="n"/>
      <c r="Q976" s="90" t="n"/>
      <c r="R976" s="90" t="n"/>
      <c r="S976" s="90" t="n"/>
      <c r="T976" s="90" t="n"/>
      <c r="U976" s="90" t="n"/>
      <c r="V976" s="90" t="n"/>
      <c r="W976" s="90" t="n"/>
      <c r="X976" s="90" t="n"/>
      <c r="Y976" s="90" t="n"/>
      <c r="Z976" s="90" t="n"/>
    </row>
    <row r="977">
      <c r="A977" s="90" t="n"/>
      <c r="B977" s="90" t="n"/>
      <c r="C977" s="90" t="n"/>
      <c r="D977" s="90" t="n"/>
      <c r="E977" s="90" t="n"/>
      <c r="F977" s="90" t="n"/>
      <c r="G977" s="90" t="n"/>
      <c r="H977" s="90" t="n"/>
      <c r="I977" s="90" t="n"/>
      <c r="J977" s="90" t="n"/>
      <c r="K977" s="90" t="n"/>
      <c r="L977" s="90" t="n"/>
      <c r="M977" s="90" t="n"/>
      <c r="N977" s="90" t="n"/>
      <c r="O977" s="90" t="n"/>
      <c r="P977" s="90" t="n"/>
      <c r="Q977" s="90" t="n"/>
      <c r="R977" s="90" t="n"/>
      <c r="S977" s="90" t="n"/>
      <c r="T977" s="90" t="n"/>
      <c r="U977" s="90" t="n"/>
      <c r="V977" s="90" t="n"/>
      <c r="W977" s="90" t="n"/>
      <c r="X977" s="90" t="n"/>
      <c r="Y977" s="90" t="n"/>
      <c r="Z977" s="90" t="n"/>
    </row>
    <row r="978">
      <c r="A978" s="90" t="n"/>
      <c r="B978" s="90" t="n"/>
      <c r="C978" s="90" t="n"/>
      <c r="D978" s="90" t="n"/>
      <c r="E978" s="90" t="n"/>
      <c r="F978" s="90" t="n"/>
      <c r="G978" s="90" t="n"/>
      <c r="H978" s="90" t="n"/>
      <c r="I978" s="90" t="n"/>
      <c r="J978" s="90" t="n"/>
      <c r="K978" s="90" t="n"/>
      <c r="L978" s="90" t="n"/>
      <c r="M978" s="90" t="n"/>
      <c r="N978" s="90" t="n"/>
      <c r="O978" s="90" t="n"/>
      <c r="P978" s="90" t="n"/>
      <c r="Q978" s="90" t="n"/>
      <c r="R978" s="90" t="n"/>
      <c r="S978" s="90" t="n"/>
      <c r="T978" s="90" t="n"/>
      <c r="U978" s="90" t="n"/>
      <c r="V978" s="90" t="n"/>
      <c r="W978" s="90" t="n"/>
      <c r="X978" s="90" t="n"/>
      <c r="Y978" s="90" t="n"/>
      <c r="Z978" s="90" t="n"/>
    </row>
    <row r="979">
      <c r="A979" s="90" t="n"/>
      <c r="B979" s="90" t="n"/>
      <c r="C979" s="90" t="n"/>
      <c r="D979" s="90" t="n"/>
      <c r="E979" s="90" t="n"/>
      <c r="F979" s="90" t="n"/>
      <c r="G979" s="90" t="n"/>
      <c r="H979" s="90" t="n"/>
      <c r="I979" s="90" t="n"/>
      <c r="J979" s="90" t="n"/>
      <c r="K979" s="90" t="n"/>
      <c r="L979" s="90" t="n"/>
      <c r="M979" s="90" t="n"/>
      <c r="N979" s="90" t="n"/>
      <c r="O979" s="90" t="n"/>
      <c r="P979" s="90" t="n"/>
      <c r="Q979" s="90" t="n"/>
      <c r="R979" s="90" t="n"/>
      <c r="S979" s="90" t="n"/>
      <c r="T979" s="90" t="n"/>
      <c r="U979" s="90" t="n"/>
      <c r="V979" s="90" t="n"/>
      <c r="W979" s="90" t="n"/>
      <c r="X979" s="90" t="n"/>
      <c r="Y979" s="90" t="n"/>
      <c r="Z979" s="90" t="n"/>
    </row>
    <row r="980">
      <c r="A980" s="90" t="n"/>
      <c r="B980" s="90" t="n"/>
      <c r="C980" s="90" t="n"/>
      <c r="D980" s="90" t="n"/>
      <c r="E980" s="90" t="n"/>
      <c r="F980" s="90" t="n"/>
      <c r="G980" s="90" t="n"/>
      <c r="H980" s="90" t="n"/>
      <c r="I980" s="90" t="n"/>
      <c r="J980" s="90" t="n"/>
      <c r="K980" s="90" t="n"/>
      <c r="L980" s="90" t="n"/>
      <c r="M980" s="90" t="n"/>
      <c r="N980" s="90" t="n"/>
      <c r="O980" s="90" t="n"/>
      <c r="P980" s="90" t="n"/>
      <c r="Q980" s="90" t="n"/>
      <c r="R980" s="90" t="n"/>
      <c r="S980" s="90" t="n"/>
      <c r="T980" s="90" t="n"/>
      <c r="U980" s="90" t="n"/>
      <c r="V980" s="90" t="n"/>
      <c r="W980" s="90" t="n"/>
      <c r="X980" s="90" t="n"/>
      <c r="Y980" s="90" t="n"/>
      <c r="Z980" s="90" t="n"/>
    </row>
    <row r="981">
      <c r="A981" s="90" t="n"/>
      <c r="B981" s="90" t="n"/>
      <c r="C981" s="90" t="n"/>
      <c r="D981" s="90" t="n"/>
      <c r="E981" s="90" t="n"/>
      <c r="F981" s="90" t="n"/>
      <c r="G981" s="90" t="n"/>
      <c r="H981" s="90" t="n"/>
      <c r="I981" s="90" t="n"/>
      <c r="J981" s="90" t="n"/>
      <c r="K981" s="90" t="n"/>
      <c r="L981" s="90" t="n"/>
      <c r="M981" s="90" t="n"/>
      <c r="N981" s="90" t="n"/>
      <c r="O981" s="90" t="n"/>
      <c r="P981" s="90" t="n"/>
      <c r="Q981" s="90" t="n"/>
      <c r="R981" s="90" t="n"/>
      <c r="S981" s="90" t="n"/>
      <c r="T981" s="90" t="n"/>
      <c r="U981" s="90" t="n"/>
      <c r="V981" s="90" t="n"/>
      <c r="W981" s="90" t="n"/>
      <c r="X981" s="90" t="n"/>
      <c r="Y981" s="90" t="n"/>
      <c r="Z981" s="90" t="n"/>
    </row>
    <row r="982">
      <c r="A982" s="90" t="n"/>
      <c r="B982" s="90" t="n"/>
      <c r="C982" s="90" t="n"/>
      <c r="D982" s="90" t="n"/>
      <c r="E982" s="90" t="n"/>
      <c r="F982" s="90" t="n"/>
      <c r="G982" s="90" t="n"/>
      <c r="H982" s="90" t="n"/>
      <c r="I982" s="90" t="n"/>
      <c r="J982" s="90" t="n"/>
      <c r="K982" s="90" t="n"/>
      <c r="L982" s="90" t="n"/>
      <c r="M982" s="90" t="n"/>
      <c r="N982" s="90" t="n"/>
      <c r="O982" s="90" t="n"/>
      <c r="P982" s="90" t="n"/>
      <c r="Q982" s="90" t="n"/>
      <c r="R982" s="90" t="n"/>
      <c r="S982" s="90" t="n"/>
      <c r="T982" s="90" t="n"/>
      <c r="U982" s="90" t="n"/>
      <c r="V982" s="90" t="n"/>
      <c r="W982" s="90" t="n"/>
      <c r="X982" s="90" t="n"/>
      <c r="Y982" s="90" t="n"/>
      <c r="Z982" s="90" t="n"/>
    </row>
    <row r="983">
      <c r="A983" s="90" t="n"/>
      <c r="B983" s="90" t="n"/>
      <c r="C983" s="90" t="n"/>
      <c r="D983" s="90" t="n"/>
      <c r="E983" s="90" t="n"/>
      <c r="F983" s="90" t="n"/>
      <c r="G983" s="90" t="n"/>
      <c r="H983" s="90" t="n"/>
      <c r="I983" s="90" t="n"/>
      <c r="J983" s="90" t="n"/>
      <c r="K983" s="90" t="n"/>
      <c r="L983" s="90" t="n"/>
      <c r="M983" s="90" t="n"/>
      <c r="N983" s="90" t="n"/>
      <c r="O983" s="90" t="n"/>
      <c r="P983" s="90" t="n"/>
      <c r="Q983" s="90" t="n"/>
      <c r="R983" s="90" t="n"/>
      <c r="S983" s="90" t="n"/>
      <c r="T983" s="90" t="n"/>
      <c r="U983" s="90" t="n"/>
      <c r="V983" s="90" t="n"/>
      <c r="W983" s="90" t="n"/>
      <c r="X983" s="90" t="n"/>
      <c r="Y983" s="90" t="n"/>
      <c r="Z983" s="90" t="n"/>
    </row>
    <row r="984">
      <c r="A984" s="90" t="n"/>
      <c r="B984" s="90" t="n"/>
      <c r="C984" s="90" t="n"/>
      <c r="D984" s="90" t="n"/>
      <c r="E984" s="90" t="n"/>
      <c r="F984" s="90" t="n"/>
      <c r="G984" s="90" t="n"/>
      <c r="H984" s="90" t="n"/>
      <c r="I984" s="90" t="n"/>
      <c r="J984" s="90" t="n"/>
      <c r="K984" s="90" t="n"/>
      <c r="L984" s="90" t="n"/>
      <c r="M984" s="90" t="n"/>
      <c r="N984" s="90" t="n"/>
      <c r="O984" s="90" t="n"/>
      <c r="P984" s="90" t="n"/>
      <c r="Q984" s="90" t="n"/>
      <c r="R984" s="90" t="n"/>
      <c r="S984" s="90" t="n"/>
      <c r="T984" s="90" t="n"/>
      <c r="U984" s="90" t="n"/>
      <c r="V984" s="90" t="n"/>
      <c r="W984" s="90" t="n"/>
      <c r="X984" s="90" t="n"/>
      <c r="Y984" s="90" t="n"/>
      <c r="Z984" s="90" t="n"/>
    </row>
    <row r="985">
      <c r="A985" s="90" t="n"/>
      <c r="B985" s="90" t="n"/>
      <c r="C985" s="90" t="n"/>
      <c r="D985" s="90" t="n"/>
      <c r="E985" s="90" t="n"/>
      <c r="F985" s="90" t="n"/>
      <c r="G985" s="90" t="n"/>
      <c r="H985" s="90" t="n"/>
      <c r="I985" s="90" t="n"/>
      <c r="J985" s="90" t="n"/>
      <c r="K985" s="90" t="n"/>
      <c r="L985" s="90" t="n"/>
      <c r="M985" s="90" t="n"/>
      <c r="N985" s="90" t="n"/>
      <c r="O985" s="90" t="n"/>
      <c r="P985" s="90" t="n"/>
      <c r="Q985" s="90" t="n"/>
      <c r="R985" s="90" t="n"/>
      <c r="S985" s="90" t="n"/>
      <c r="T985" s="90" t="n"/>
      <c r="U985" s="90" t="n"/>
      <c r="V985" s="90" t="n"/>
      <c r="W985" s="90" t="n"/>
      <c r="X985" s="90" t="n"/>
      <c r="Y985" s="90" t="n"/>
      <c r="Z985" s="90" t="n"/>
    </row>
    <row r="986">
      <c r="A986" s="90" t="n"/>
      <c r="B986" s="90" t="n"/>
      <c r="C986" s="90" t="n"/>
      <c r="D986" s="90" t="n"/>
      <c r="E986" s="90" t="n"/>
      <c r="F986" s="90" t="n"/>
      <c r="G986" s="90" t="n"/>
      <c r="H986" s="90" t="n"/>
      <c r="I986" s="90" t="n"/>
      <c r="J986" s="90" t="n"/>
      <c r="K986" s="90" t="n"/>
      <c r="L986" s="90" t="n"/>
      <c r="M986" s="90" t="n"/>
      <c r="N986" s="90" t="n"/>
      <c r="O986" s="90" t="n"/>
      <c r="P986" s="90" t="n"/>
      <c r="Q986" s="90" t="n"/>
      <c r="R986" s="90" t="n"/>
      <c r="S986" s="90" t="n"/>
      <c r="T986" s="90" t="n"/>
      <c r="U986" s="90" t="n"/>
      <c r="V986" s="90" t="n"/>
      <c r="W986" s="90" t="n"/>
      <c r="X986" s="90" t="n"/>
      <c r="Y986" s="90" t="n"/>
      <c r="Z986" s="90" t="n"/>
    </row>
    <row r="987">
      <c r="A987" s="90" t="n"/>
      <c r="B987" s="90" t="n"/>
      <c r="C987" s="90" t="n"/>
      <c r="D987" s="90" t="n"/>
      <c r="E987" s="90" t="n"/>
      <c r="F987" s="90" t="n"/>
      <c r="G987" s="90" t="n"/>
      <c r="H987" s="90" t="n"/>
      <c r="I987" s="90" t="n"/>
      <c r="J987" s="90" t="n"/>
      <c r="K987" s="90" t="n"/>
      <c r="L987" s="90" t="n"/>
      <c r="M987" s="90" t="n"/>
      <c r="N987" s="90" t="n"/>
      <c r="O987" s="90" t="n"/>
      <c r="P987" s="90" t="n"/>
      <c r="Q987" s="90" t="n"/>
      <c r="R987" s="90" t="n"/>
      <c r="S987" s="90" t="n"/>
      <c r="T987" s="90" t="n"/>
      <c r="U987" s="90" t="n"/>
      <c r="V987" s="90" t="n"/>
      <c r="W987" s="90" t="n"/>
      <c r="X987" s="90" t="n"/>
      <c r="Y987" s="90" t="n"/>
      <c r="Z987" s="90" t="n"/>
    </row>
    <row r="988">
      <c r="A988" s="90" t="n"/>
      <c r="B988" s="90" t="n"/>
      <c r="C988" s="90" t="n"/>
      <c r="D988" s="90" t="n"/>
      <c r="E988" s="90" t="n"/>
      <c r="F988" s="90" t="n"/>
      <c r="G988" s="90" t="n"/>
      <c r="H988" s="90" t="n"/>
      <c r="I988" s="90" t="n"/>
      <c r="J988" s="90" t="n"/>
      <c r="K988" s="90" t="n"/>
      <c r="L988" s="90" t="n"/>
      <c r="M988" s="90" t="n"/>
      <c r="N988" s="90" t="n"/>
      <c r="O988" s="90" t="n"/>
      <c r="P988" s="90" t="n"/>
      <c r="Q988" s="90" t="n"/>
      <c r="R988" s="90" t="n"/>
      <c r="S988" s="90" t="n"/>
      <c r="T988" s="90" t="n"/>
      <c r="U988" s="90" t="n"/>
      <c r="V988" s="90" t="n"/>
      <c r="W988" s="90" t="n"/>
      <c r="X988" s="90" t="n"/>
      <c r="Y988" s="90" t="n"/>
      <c r="Z988" s="90" t="n"/>
    </row>
    <row r="989">
      <c r="A989" s="90" t="n"/>
      <c r="B989" s="90" t="n"/>
      <c r="C989" s="90" t="n"/>
      <c r="D989" s="90" t="n"/>
      <c r="E989" s="90" t="n"/>
      <c r="F989" s="90" t="n"/>
      <c r="G989" s="90" t="n"/>
      <c r="H989" s="90" t="n"/>
      <c r="I989" s="90" t="n"/>
      <c r="J989" s="90" t="n"/>
      <c r="K989" s="90" t="n"/>
      <c r="L989" s="90" t="n"/>
      <c r="M989" s="90" t="n"/>
      <c r="N989" s="90" t="n"/>
      <c r="O989" s="90" t="n"/>
      <c r="P989" s="90" t="n"/>
      <c r="Q989" s="90" t="n"/>
      <c r="R989" s="90" t="n"/>
      <c r="S989" s="90" t="n"/>
      <c r="T989" s="90" t="n"/>
      <c r="U989" s="90" t="n"/>
      <c r="V989" s="90" t="n"/>
      <c r="W989" s="90" t="n"/>
      <c r="X989" s="90" t="n"/>
      <c r="Y989" s="90" t="n"/>
      <c r="Z989" s="90" t="n"/>
    </row>
    <row r="990">
      <c r="A990" s="90" t="n"/>
      <c r="B990" s="90" t="n"/>
      <c r="C990" s="90" t="n"/>
      <c r="D990" s="90" t="n"/>
      <c r="E990" s="90" t="n"/>
      <c r="F990" s="90" t="n"/>
      <c r="G990" s="90" t="n"/>
      <c r="H990" s="90" t="n"/>
      <c r="I990" s="90" t="n"/>
      <c r="J990" s="90" t="n"/>
      <c r="K990" s="90" t="n"/>
      <c r="L990" s="90" t="n"/>
      <c r="M990" s="90" t="n"/>
      <c r="N990" s="90" t="n"/>
      <c r="O990" s="90" t="n"/>
      <c r="P990" s="90" t="n"/>
      <c r="Q990" s="90" t="n"/>
      <c r="R990" s="90" t="n"/>
      <c r="S990" s="90" t="n"/>
      <c r="T990" s="90" t="n"/>
      <c r="U990" s="90" t="n"/>
      <c r="V990" s="90" t="n"/>
      <c r="W990" s="90" t="n"/>
      <c r="X990" s="90" t="n"/>
      <c r="Y990" s="90" t="n"/>
      <c r="Z990" s="90" t="n"/>
    </row>
    <row r="991">
      <c r="A991" s="90" t="n"/>
      <c r="B991" s="90" t="n"/>
      <c r="C991" s="90" t="n"/>
      <c r="D991" s="90" t="n"/>
      <c r="E991" s="90" t="n"/>
      <c r="F991" s="90" t="n"/>
      <c r="G991" s="90" t="n"/>
      <c r="H991" s="90" t="n"/>
      <c r="I991" s="90" t="n"/>
      <c r="J991" s="90" t="n"/>
      <c r="K991" s="90" t="n"/>
      <c r="L991" s="90" t="n"/>
      <c r="M991" s="90" t="n"/>
      <c r="N991" s="90" t="n"/>
      <c r="O991" s="90" t="n"/>
      <c r="P991" s="90" t="n"/>
      <c r="Q991" s="90" t="n"/>
      <c r="R991" s="90" t="n"/>
      <c r="S991" s="90" t="n"/>
      <c r="T991" s="90" t="n"/>
      <c r="U991" s="90" t="n"/>
      <c r="V991" s="90" t="n"/>
      <c r="W991" s="90" t="n"/>
      <c r="X991" s="90" t="n"/>
      <c r="Y991" s="90" t="n"/>
      <c r="Z991" s="90" t="n"/>
    </row>
    <row r="992">
      <c r="A992" s="90" t="n"/>
      <c r="B992" s="90" t="n"/>
      <c r="C992" s="90" t="n"/>
      <c r="D992" s="90" t="n"/>
      <c r="E992" s="90" t="n"/>
      <c r="F992" s="90" t="n"/>
      <c r="G992" s="90" t="n"/>
      <c r="H992" s="90" t="n"/>
      <c r="I992" s="90" t="n"/>
      <c r="J992" s="90" t="n"/>
      <c r="K992" s="90" t="n"/>
      <c r="L992" s="90" t="n"/>
      <c r="M992" s="90" t="n"/>
      <c r="N992" s="90" t="n"/>
      <c r="O992" s="90" t="n"/>
      <c r="P992" s="90" t="n"/>
      <c r="Q992" s="90" t="n"/>
      <c r="R992" s="90" t="n"/>
      <c r="S992" s="90" t="n"/>
      <c r="T992" s="90" t="n"/>
      <c r="U992" s="90" t="n"/>
      <c r="V992" s="90" t="n"/>
      <c r="W992" s="90" t="n"/>
      <c r="X992" s="90" t="n"/>
      <c r="Y992" s="90" t="n"/>
      <c r="Z992" s="90" t="n"/>
    </row>
    <row r="993">
      <c r="A993" s="90" t="n"/>
      <c r="B993" s="90" t="n"/>
      <c r="C993" s="90" t="n"/>
      <c r="D993" s="90" t="n"/>
      <c r="E993" s="90" t="n"/>
      <c r="F993" s="90" t="n"/>
      <c r="G993" s="90" t="n"/>
      <c r="H993" s="90" t="n"/>
      <c r="I993" s="90" t="n"/>
      <c r="J993" s="90" t="n"/>
      <c r="K993" s="90" t="n"/>
      <c r="L993" s="90" t="n"/>
      <c r="M993" s="90" t="n"/>
      <c r="N993" s="90" t="n"/>
      <c r="O993" s="90" t="n"/>
      <c r="P993" s="90" t="n"/>
      <c r="Q993" s="90" t="n"/>
      <c r="R993" s="90" t="n"/>
      <c r="S993" s="90" t="n"/>
      <c r="T993" s="90" t="n"/>
      <c r="U993" s="90" t="n"/>
      <c r="V993" s="90" t="n"/>
      <c r="W993" s="90" t="n"/>
      <c r="X993" s="90" t="n"/>
      <c r="Y993" s="90" t="n"/>
      <c r="Z993" s="90" t="n"/>
    </row>
    <row r="994">
      <c r="A994" s="90" t="n"/>
      <c r="B994" s="90" t="n"/>
      <c r="C994" s="90" t="n"/>
      <c r="D994" s="90" t="n"/>
      <c r="E994" s="90" t="n"/>
      <c r="F994" s="90" t="n"/>
      <c r="G994" s="90" t="n"/>
      <c r="H994" s="90" t="n"/>
      <c r="I994" s="90" t="n"/>
      <c r="J994" s="90" t="n"/>
      <c r="K994" s="90" t="n"/>
      <c r="L994" s="90" t="n"/>
      <c r="M994" s="90" t="n"/>
      <c r="N994" s="90" t="n"/>
      <c r="O994" s="90" t="n"/>
      <c r="P994" s="90" t="n"/>
      <c r="Q994" s="90" t="n"/>
      <c r="R994" s="90" t="n"/>
      <c r="S994" s="90" t="n"/>
      <c r="T994" s="90" t="n"/>
      <c r="U994" s="90" t="n"/>
      <c r="V994" s="90" t="n"/>
      <c r="W994" s="90" t="n"/>
      <c r="X994" s="90" t="n"/>
      <c r="Y994" s="90" t="n"/>
      <c r="Z994" s="90" t="n"/>
    </row>
    <row r="995">
      <c r="A995" s="90" t="n"/>
      <c r="B995" s="90" t="n"/>
      <c r="C995" s="90" t="n"/>
      <c r="D995" s="90" t="n"/>
      <c r="E995" s="90" t="n"/>
      <c r="F995" s="90" t="n"/>
      <c r="G995" s="90" t="n"/>
      <c r="H995" s="90" t="n"/>
      <c r="I995" s="90" t="n"/>
      <c r="J995" s="90" t="n"/>
      <c r="K995" s="90" t="n"/>
      <c r="L995" s="90" t="n"/>
      <c r="M995" s="90" t="n"/>
      <c r="N995" s="90" t="n"/>
      <c r="O995" s="90" t="n"/>
      <c r="P995" s="90" t="n"/>
      <c r="Q995" s="90" t="n"/>
      <c r="R995" s="90" t="n"/>
      <c r="S995" s="90" t="n"/>
      <c r="T995" s="90" t="n"/>
      <c r="U995" s="90" t="n"/>
      <c r="V995" s="90" t="n"/>
      <c r="W995" s="90" t="n"/>
      <c r="X995" s="90" t="n"/>
      <c r="Y995" s="90" t="n"/>
      <c r="Z995" s="90" t="n"/>
    </row>
    <row r="996">
      <c r="A996" s="90" t="n"/>
      <c r="B996" s="90" t="n"/>
      <c r="C996" s="90" t="n"/>
      <c r="D996" s="90" t="n"/>
      <c r="E996" s="90" t="n"/>
      <c r="F996" s="90" t="n"/>
      <c r="G996" s="90" t="n"/>
      <c r="H996" s="90" t="n"/>
      <c r="I996" s="90" t="n"/>
      <c r="J996" s="90" t="n"/>
      <c r="K996" s="90" t="n"/>
      <c r="L996" s="90" t="n"/>
      <c r="M996" s="90" t="n"/>
      <c r="N996" s="90" t="n"/>
      <c r="O996" s="90" t="n"/>
      <c r="P996" s="90" t="n"/>
      <c r="Q996" s="90" t="n"/>
      <c r="R996" s="90" t="n"/>
      <c r="S996" s="90" t="n"/>
      <c r="T996" s="90" t="n"/>
      <c r="U996" s="90" t="n"/>
      <c r="V996" s="90" t="n"/>
      <c r="W996" s="90" t="n"/>
      <c r="X996" s="90" t="n"/>
      <c r="Y996" s="90" t="n"/>
      <c r="Z996" s="90" t="n"/>
    </row>
    <row r="997">
      <c r="A997" s="90" t="n"/>
      <c r="B997" s="90" t="n"/>
      <c r="C997" s="90" t="n"/>
      <c r="D997" s="90" t="n"/>
      <c r="E997" s="90" t="n"/>
      <c r="F997" s="90" t="n"/>
      <c r="G997" s="90" t="n"/>
      <c r="H997" s="90" t="n"/>
      <c r="I997" s="90" t="n"/>
      <c r="J997" s="90" t="n"/>
      <c r="K997" s="90" t="n"/>
      <c r="L997" s="90" t="n"/>
      <c r="M997" s="90" t="n"/>
      <c r="N997" s="90" t="n"/>
      <c r="O997" s="90" t="n"/>
      <c r="P997" s="90" t="n"/>
      <c r="Q997" s="90" t="n"/>
      <c r="R997" s="90" t="n"/>
      <c r="S997" s="90" t="n"/>
      <c r="T997" s="90" t="n"/>
      <c r="U997" s="90" t="n"/>
      <c r="V997" s="90" t="n"/>
      <c r="W997" s="90" t="n"/>
      <c r="X997" s="90" t="n"/>
      <c r="Y997" s="90" t="n"/>
      <c r="Z997" s="90" t="n"/>
    </row>
    <row r="998">
      <c r="A998" s="90" t="n"/>
      <c r="B998" s="90" t="n"/>
      <c r="C998" s="90" t="n"/>
      <c r="D998" s="90" t="n"/>
      <c r="E998" s="90" t="n"/>
      <c r="F998" s="90" t="n"/>
      <c r="G998" s="90" t="n"/>
      <c r="H998" s="90" t="n"/>
      <c r="I998" s="90" t="n"/>
      <c r="J998" s="90" t="n"/>
      <c r="K998" s="90" t="n"/>
      <c r="L998" s="90" t="n"/>
      <c r="M998" s="90" t="n"/>
      <c r="N998" s="90" t="n"/>
      <c r="O998" s="90" t="n"/>
      <c r="P998" s="90" t="n"/>
      <c r="Q998" s="90" t="n"/>
      <c r="R998" s="90" t="n"/>
      <c r="S998" s="90" t="n"/>
      <c r="T998" s="90" t="n"/>
      <c r="U998" s="90" t="n"/>
      <c r="V998" s="90" t="n"/>
      <c r="W998" s="90" t="n"/>
      <c r="X998" s="90" t="n"/>
      <c r="Y998" s="90" t="n"/>
      <c r="Z998" s="90" t="n"/>
    </row>
    <row r="999">
      <c r="A999" s="90" t="n"/>
      <c r="B999" s="90" t="n"/>
      <c r="C999" s="90" t="n"/>
      <c r="D999" s="90" t="n"/>
      <c r="E999" s="90" t="n"/>
      <c r="F999" s="90" t="n"/>
      <c r="G999" s="90" t="n"/>
      <c r="H999" s="90" t="n"/>
      <c r="I999" s="90" t="n"/>
      <c r="J999" s="90" t="n"/>
      <c r="K999" s="90" t="n"/>
      <c r="L999" s="90" t="n"/>
      <c r="M999" s="90" t="n"/>
      <c r="N999" s="90" t="n"/>
      <c r="O999" s="90" t="n"/>
      <c r="P999" s="90" t="n"/>
      <c r="Q999" s="90" t="n"/>
      <c r="R999" s="90" t="n"/>
      <c r="S999" s="90" t="n"/>
      <c r="T999" s="90" t="n"/>
      <c r="U999" s="90" t="n"/>
      <c r="V999" s="90" t="n"/>
      <c r="W999" s="90" t="n"/>
      <c r="X999" s="90" t="n"/>
      <c r="Y999" s="90" t="n"/>
      <c r="Z999" s="90" t="n"/>
    </row>
    <row r="1000">
      <c r="A1000" s="90" t="n"/>
      <c r="B1000" s="90" t="n"/>
      <c r="C1000" s="90" t="n"/>
      <c r="D1000" s="90" t="n"/>
      <c r="E1000" s="90" t="n"/>
      <c r="F1000" s="90" t="n"/>
      <c r="G1000" s="90" t="n"/>
      <c r="H1000" s="90" t="n"/>
      <c r="I1000" s="90" t="n"/>
      <c r="J1000" s="90" t="n"/>
      <c r="K1000" s="90" t="n"/>
      <c r="L1000" s="90" t="n"/>
      <c r="M1000" s="90" t="n"/>
      <c r="N1000" s="90" t="n"/>
      <c r="O1000" s="90" t="n"/>
      <c r="P1000" s="90" t="n"/>
      <c r="Q1000" s="90" t="n"/>
      <c r="R1000" s="90" t="n"/>
      <c r="S1000" s="90" t="n"/>
      <c r="T1000" s="90" t="n"/>
      <c r="U1000" s="90" t="n"/>
      <c r="V1000" s="90" t="n"/>
      <c r="W1000" s="90" t="n"/>
      <c r="X1000" s="90" t="n"/>
      <c r="Y1000" s="90" t="n"/>
      <c r="Z1000" s="90" t="n"/>
    </row>
  </sheetData>
  <conditionalFormatting sqref="U2:U1000">
    <cfRule type="containsText" priority="1" operator="containsText" dxfId="4" text="Available">
      <formula>NOT(ISERROR(SEARCH(("Available"),(U2))))</formula>
    </cfRule>
    <cfRule type="containsText" priority="2" operator="containsText" dxfId="5" text="Sold">
      <formula>NOT(ISERROR(SEARCH(("Sold"),(U2))))</formula>
    </cfRule>
    <cfRule type="containsText" priority="3" operator="containsText" dxfId="6" text="Return">
      <formula>NOT(ISERROR(SEARCH(("Return"),(U2))))</formula>
    </cfRule>
  </conditionalFormatting>
  <pageMargins left="0.25" right="0.25" top="0.75" bottom="0.75" header="0" footer="0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7.14" customWidth="1" style="220" min="1" max="1"/>
    <col width="14.29" customWidth="1" style="220" min="2" max="2"/>
    <col width="15" customWidth="1" style="220" min="3" max="3"/>
    <col width="14.29" customWidth="1" style="220" min="4" max="4"/>
    <col width="11.57" customWidth="1" style="220" min="5" max="5"/>
    <col width="8.710000000000001" customWidth="1" style="220" min="6" max="26"/>
  </cols>
  <sheetData>
    <row r="1" ht="18.75" customHeight="1" s="220">
      <c r="A1" s="214" t="inlineStr">
        <is>
          <t>Gold</t>
        </is>
      </c>
      <c r="B1" s="171" t="inlineStr">
        <is>
          <t>Dmd &lt;0.06</t>
        </is>
      </c>
      <c r="C1" s="171" t="inlineStr">
        <is>
          <t>Dmd &lt; 0.12</t>
        </is>
      </c>
      <c r="D1" s="171" t="inlineStr">
        <is>
          <t>Dmd &lt;0.17</t>
        </is>
      </c>
      <c r="E1" s="171" t="inlineStr">
        <is>
          <t>Dmd Big</t>
        </is>
      </c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18.75" customHeight="1" s="220">
      <c r="A2" s="214" t="n">
        <v>17850</v>
      </c>
      <c r="B2" s="214" t="n">
        <v>110000</v>
      </c>
      <c r="C2" s="214" t="n">
        <v>160000</v>
      </c>
      <c r="D2" s="214" t="n">
        <v>195000</v>
      </c>
      <c r="E2" s="214" t="n">
        <v>350000</v>
      </c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</row>
    <row r="3" ht="18.75" customHeight="1" s="220">
      <c r="A3" s="214" t="n">
        <v>17850</v>
      </c>
      <c r="B3" s="214" t="n">
        <v>110000</v>
      </c>
      <c r="C3" s="214" t="n">
        <v>160000</v>
      </c>
      <c r="D3" s="214" t="n">
        <v>195000</v>
      </c>
      <c r="E3" s="214" t="n">
        <v>350000</v>
      </c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</row>
    <row r="4" ht="18.75" customHeight="1" s="220">
      <c r="A4" s="214" t="n">
        <v>312000</v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 ht="18.75" customHeight="1" s="220">
      <c r="A5" s="12">
        <f>A4*0.6/11.664</f>
        <v/>
      </c>
      <c r="B5" s="12">
        <f>A4/11.664</f>
        <v/>
      </c>
      <c r="C5" s="12">
        <f>A5+1700</f>
        <v/>
      </c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ht="18.75" customHeight="1" s="220">
      <c r="A6" s="12">
        <f>A3-A5</f>
        <v/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</row>
    <row r="7" ht="18.75" customHeight="1" s="220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</row>
    <row r="8" ht="18.75" customHeight="1" s="220">
      <c r="A8" s="12" t="inlineStr">
        <is>
          <t>List</t>
        </is>
      </c>
      <c r="B8" s="12" t="inlineStr">
        <is>
          <t>Discount</t>
        </is>
      </c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</row>
    <row r="9" ht="18.75" customHeight="1" s="220">
      <c r="A9" s="12" t="inlineStr">
        <is>
          <t>Ladies Ring</t>
        </is>
      </c>
      <c r="B9" s="12" t="n">
        <v>25</v>
      </c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</row>
    <row r="10" ht="18.75" customHeight="1" s="220">
      <c r="A10" s="12" t="inlineStr">
        <is>
          <t>Gents Ring</t>
        </is>
      </c>
      <c r="B10" s="12" t="n">
        <v>27.5</v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</row>
    <row r="11" ht="18.75" customHeight="1" s="220">
      <c r="A11" s="12" t="inlineStr">
        <is>
          <t>Top</t>
        </is>
      </c>
      <c r="B11" s="12" t="n">
        <v>30</v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</row>
    <row r="12" ht="18.75" customHeight="1" s="220">
      <c r="A12" s="12" t="inlineStr">
        <is>
          <t>Locket</t>
        </is>
      </c>
      <c r="B12" s="12" t="n">
        <v>32.5</v>
      </c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</row>
    <row r="13" ht="18.75" customHeight="1" s="220">
      <c r="A13" s="12" t="inlineStr">
        <is>
          <t>Jagganath</t>
        </is>
      </c>
      <c r="B13" s="12" t="n">
        <v>35</v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</row>
    <row r="14" ht="18.75" customHeight="1" s="220">
      <c r="A14" s="12" t="inlineStr">
        <is>
          <t>Necklace</t>
        </is>
      </c>
      <c r="B14" s="12" t="n">
        <v>37.5</v>
      </c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</row>
    <row r="15" ht="18.75" customHeight="1" s="220">
      <c r="A15" s="12" t="inlineStr">
        <is>
          <t>Chura</t>
        </is>
      </c>
      <c r="B15" s="12" t="n">
        <v>40</v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</row>
    <row r="16" ht="18.75" customHeight="1" s="220">
      <c r="A16" s="12" t="inlineStr">
        <is>
          <t>DJ Price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</row>
    <row r="17" ht="18.75" customHeight="1" s="220">
      <c r="A17" s="12" t="inlineStr">
        <is>
          <t>Prithivi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</row>
    <row r="18" ht="18.75" customHeight="1" s="220">
      <c r="A18" s="12" t="inlineStr">
        <is>
          <t>Nosepin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</row>
    <row r="19" ht="18.75" customHeight="1" s="220"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</row>
    <row r="20" ht="18.75" customHeight="1" s="2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</row>
    <row r="21" ht="18.75" customHeight="1" s="220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</row>
    <row r="22" ht="18.75" customHeight="1" s="220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</row>
    <row r="23" ht="18.75" customHeight="1" s="220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</row>
    <row r="24" ht="18.75" customHeight="1" s="220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</row>
    <row r="25" ht="18.75" customHeight="1" s="220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</row>
    <row r="26" ht="18.75" customHeight="1" s="220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</row>
    <row r="27" ht="18.75" customHeight="1" s="220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</row>
    <row r="28" ht="18.75" customHeight="1" s="220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</row>
    <row r="29" ht="18.75" customHeight="1" s="220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</row>
    <row r="30" ht="18.75" customHeight="1" s="22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</row>
    <row r="31" ht="18.75" customHeight="1" s="220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</row>
    <row r="32" ht="18.75" customHeight="1" s="220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</row>
    <row r="33" ht="18.75" customHeight="1" s="220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</row>
    <row r="34" ht="18.75" customHeight="1" s="220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</row>
    <row r="35" ht="18.75" customHeight="1" s="220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</row>
    <row r="36" ht="18.75" customHeight="1" s="220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</row>
    <row r="37" ht="18.75" customHeight="1" s="220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</row>
    <row r="38" ht="18.75" customHeight="1" s="220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</row>
    <row r="39" ht="18.75" customHeight="1" s="220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</row>
    <row r="40" ht="18.75" customHeight="1" s="22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</row>
    <row r="41" ht="18.75" customHeight="1" s="220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</row>
    <row r="42" ht="18.75" customHeight="1" s="220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</row>
    <row r="43" ht="18.75" customHeight="1" s="220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</row>
    <row r="44" ht="18.75" customHeight="1" s="220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</row>
    <row r="45" ht="18.75" customHeight="1" s="220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</row>
    <row r="46" ht="18.75" customHeight="1" s="220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</row>
    <row r="47" ht="18.75" customHeight="1" s="220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</row>
    <row r="48" ht="18.75" customHeight="1" s="220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</row>
    <row r="49" ht="18.75" customHeight="1" s="220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</row>
    <row r="50" ht="18.75" customHeight="1" s="22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</row>
    <row r="51" ht="18.75" customHeight="1" s="220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</row>
    <row r="52" ht="18.75" customHeight="1" s="220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</row>
    <row r="53" ht="18.75" customHeight="1" s="220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</row>
    <row r="54" ht="18.75" customHeight="1" s="220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</row>
    <row r="55" ht="18.75" customHeight="1" s="220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</row>
    <row r="56" ht="18.75" customHeight="1" s="220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</row>
    <row r="57" ht="18.75" customHeight="1" s="220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</row>
    <row r="58" ht="18.75" customHeight="1" s="220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</row>
    <row r="59" ht="18.75" customHeight="1" s="220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</row>
    <row r="60" ht="18.75" customHeight="1" s="22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</row>
    <row r="61" ht="18.75" customHeight="1" s="220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</row>
    <row r="62" ht="18.75" customHeight="1" s="220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</row>
    <row r="63" ht="18.75" customHeight="1" s="220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</row>
    <row r="64" ht="18.75" customHeight="1" s="220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</row>
    <row r="65" ht="18.75" customHeight="1" s="220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</row>
    <row r="66" ht="18.75" customHeight="1" s="220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</row>
    <row r="67" ht="18.75" customHeight="1" s="220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</row>
    <row r="68" ht="18.75" customHeight="1" s="220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</row>
    <row r="69" ht="18.75" customHeight="1" s="220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</row>
    <row r="70" ht="18.75" customHeight="1" s="22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</row>
    <row r="71" ht="18.75" customHeight="1" s="220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</row>
    <row r="72" ht="18.75" customHeight="1" s="220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</row>
    <row r="73" ht="18.75" customHeight="1" s="220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</row>
    <row r="74" ht="18.75" customHeight="1" s="220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</row>
    <row r="75" ht="18.75" customHeight="1" s="220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</row>
    <row r="76" ht="18.75" customHeight="1" s="220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</row>
    <row r="77" ht="18.75" customHeight="1" s="220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</row>
    <row r="78" ht="18.75" customHeight="1" s="220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</row>
    <row r="79" ht="18.75" customHeight="1" s="220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</row>
    <row r="80" ht="18.75" customHeight="1" s="22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</row>
    <row r="81" ht="18.75" customHeight="1" s="220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</row>
    <row r="82" ht="18.75" customHeight="1" s="220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</row>
    <row r="83" ht="18.75" customHeight="1" s="220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</row>
    <row r="84" ht="18.75" customHeight="1" s="220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</row>
    <row r="85" ht="18.75" customHeight="1" s="220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</row>
    <row r="86" ht="18.75" customHeight="1" s="220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</row>
    <row r="87" ht="18.75" customHeight="1" s="220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</row>
    <row r="88" ht="18.75" customHeight="1" s="220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</row>
    <row r="89" ht="18.75" customHeight="1" s="220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</row>
    <row r="90" ht="18.75" customHeight="1" s="22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</row>
    <row r="91" ht="18.75" customHeight="1" s="220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</row>
    <row r="92" ht="18.75" customHeight="1" s="220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</row>
    <row r="93" ht="18.75" customHeight="1" s="220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</row>
    <row r="94" ht="18.75" customHeight="1" s="220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</row>
    <row r="95" ht="18.75" customHeight="1" s="220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</row>
    <row r="96" ht="18.75" customHeight="1" s="220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</row>
    <row r="97" ht="18.75" customHeight="1" s="220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</row>
    <row r="98" ht="18.75" customHeight="1" s="220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</row>
    <row r="99" ht="18.75" customHeight="1" s="220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</row>
    <row r="100" ht="18.75" customHeight="1" s="22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</row>
    <row r="101" ht="18.75" customHeight="1" s="220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</row>
    <row r="102" ht="18.75" customHeight="1" s="220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</row>
    <row r="103" ht="18.75" customHeight="1" s="220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</row>
    <row r="104" ht="18.75" customHeight="1" s="220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</row>
    <row r="105" ht="18.75" customHeight="1" s="220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</row>
    <row r="106" ht="18.75" customHeight="1" s="220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</row>
    <row r="107" ht="18.75" customHeight="1" s="220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</row>
    <row r="108" ht="18.75" customHeight="1" s="220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</row>
    <row r="109" ht="18.75" customHeight="1" s="220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</row>
    <row r="110" ht="18.75" customHeight="1" s="22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</row>
    <row r="111" ht="18.75" customHeight="1" s="220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</row>
    <row r="112" ht="18.75" customHeight="1" s="220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</row>
    <row r="113" ht="18.75" customHeight="1" s="220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</row>
    <row r="114" ht="18.75" customHeight="1" s="220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</row>
    <row r="115" ht="18.75" customHeight="1" s="220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</row>
    <row r="116" ht="18.75" customHeight="1" s="220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</row>
    <row r="117" ht="18.75" customHeight="1" s="220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</row>
    <row r="118" ht="18.75" customHeight="1" s="220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</row>
    <row r="119" ht="18.75" customHeight="1" s="220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</row>
    <row r="120" ht="18.75" customHeight="1" s="2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</row>
    <row r="121" ht="18.75" customHeight="1" s="220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</row>
    <row r="122" ht="18.75" customHeight="1" s="220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</row>
    <row r="123" ht="18.75" customHeight="1" s="220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</row>
    <row r="124" ht="18.75" customHeight="1" s="220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</row>
    <row r="125" ht="18.75" customHeight="1" s="220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</row>
    <row r="126" ht="18.75" customHeight="1" s="220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</row>
    <row r="127" ht="18.75" customHeight="1" s="220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</row>
    <row r="128" ht="18.75" customHeight="1" s="220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</row>
    <row r="129" ht="18.75" customHeight="1" s="220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</row>
    <row r="130" ht="18.75" customHeight="1" s="22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</row>
    <row r="131" ht="18.75" customHeight="1" s="220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</row>
    <row r="132" ht="18.75" customHeight="1" s="220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</row>
    <row r="133" ht="18.75" customHeight="1" s="220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</row>
    <row r="134" ht="18.75" customHeight="1" s="220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</row>
    <row r="135" ht="18.75" customHeight="1" s="220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</row>
    <row r="136" ht="18.75" customHeight="1" s="220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</row>
    <row r="137" ht="18.75" customHeight="1" s="220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</row>
    <row r="138" ht="18.75" customHeight="1" s="220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</row>
    <row r="139" ht="18.75" customHeight="1" s="220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</row>
    <row r="140" ht="18.75" customHeight="1" s="22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</row>
    <row r="141" ht="18.75" customHeight="1" s="220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</row>
    <row r="142" ht="18.75" customHeight="1" s="220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</row>
    <row r="143" ht="18.75" customHeight="1" s="220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</row>
    <row r="144" ht="18.75" customHeight="1" s="220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</row>
    <row r="145" ht="18.75" customHeight="1" s="220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</row>
    <row r="146" ht="18.75" customHeight="1" s="220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</row>
    <row r="147" ht="18.75" customHeight="1" s="220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</row>
    <row r="148" ht="18.75" customHeight="1" s="220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</row>
    <row r="149" ht="18.75" customHeight="1" s="220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</row>
    <row r="150" ht="18.75" customHeight="1" s="22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</row>
    <row r="151" ht="18.75" customHeight="1" s="220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</row>
    <row r="152" ht="18.75" customHeight="1" s="220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</row>
    <row r="153" ht="18.75" customHeight="1" s="220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</row>
    <row r="154" ht="18.75" customHeight="1" s="220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</row>
    <row r="155" ht="18.75" customHeight="1" s="220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</row>
    <row r="156" ht="18.75" customHeight="1" s="220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</row>
    <row r="157" ht="18.75" customHeight="1" s="220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</row>
    <row r="158" ht="18.75" customHeight="1" s="220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</row>
    <row r="159" ht="18.75" customHeight="1" s="220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</row>
    <row r="160" ht="18.75" customHeight="1" s="22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</row>
    <row r="161" ht="18.75" customHeight="1" s="220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</row>
    <row r="162" ht="18.75" customHeight="1" s="220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</row>
    <row r="163" ht="18.75" customHeight="1" s="220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</row>
    <row r="164" ht="18.75" customHeight="1" s="220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</row>
    <row r="165" ht="18.75" customHeight="1" s="220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</row>
    <row r="166" ht="18.75" customHeight="1" s="220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</row>
    <row r="167" ht="18.75" customHeight="1" s="220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</row>
    <row r="168" ht="18.75" customHeight="1" s="220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</row>
    <row r="169" ht="18.75" customHeight="1" s="220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</row>
    <row r="170" ht="18.75" customHeight="1" s="22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</row>
    <row r="171" ht="18.75" customHeight="1" s="220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</row>
    <row r="172" ht="18.75" customHeight="1" s="220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</row>
    <row r="173" ht="18.75" customHeight="1" s="220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</row>
    <row r="174" ht="18.75" customHeight="1" s="220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</row>
    <row r="175" ht="18.75" customHeight="1" s="220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</row>
    <row r="176" ht="18.75" customHeight="1" s="220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</row>
    <row r="177" ht="18.75" customHeight="1" s="220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</row>
    <row r="178" ht="18.75" customHeight="1" s="220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</row>
    <row r="179" ht="18.75" customHeight="1" s="220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</row>
    <row r="180" ht="18.75" customHeight="1" s="22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</row>
    <row r="181" ht="18.75" customHeight="1" s="220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</row>
    <row r="182" ht="18.75" customHeight="1" s="220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</row>
    <row r="183" ht="18.75" customHeight="1" s="220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</row>
    <row r="184" ht="18.75" customHeight="1" s="220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</row>
    <row r="185" ht="18.75" customHeight="1" s="220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</row>
    <row r="186" ht="18.75" customHeight="1" s="220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</row>
    <row r="187" ht="18.75" customHeight="1" s="220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</row>
    <row r="188" ht="18.75" customHeight="1" s="220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</row>
    <row r="189" ht="18.75" customHeight="1" s="220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</row>
    <row r="190" ht="18.75" customHeight="1" s="22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</row>
    <row r="191" ht="18.75" customHeight="1" s="220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</row>
    <row r="192" ht="18.75" customHeight="1" s="220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</row>
    <row r="193" ht="18.75" customHeight="1" s="220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</row>
    <row r="194" ht="18.75" customHeight="1" s="220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</row>
    <row r="195" ht="18.75" customHeight="1" s="220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</row>
    <row r="196" ht="18.75" customHeight="1" s="220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</row>
    <row r="197" ht="18.75" customHeight="1" s="220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</row>
    <row r="198" ht="18.75" customHeight="1" s="220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</row>
    <row r="199" ht="18.75" customHeight="1" s="220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</row>
    <row r="200" ht="18.75" customHeight="1" s="22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</row>
    <row r="201" ht="18.75" customHeight="1" s="220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</row>
    <row r="202" ht="18.75" customHeight="1" s="220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</row>
    <row r="203" ht="18.75" customHeight="1" s="220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</row>
    <row r="204" ht="18.75" customHeight="1" s="220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</row>
    <row r="205" ht="18.75" customHeight="1" s="220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</row>
    <row r="206" ht="18.75" customHeight="1" s="220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</row>
    <row r="207" ht="18.75" customHeight="1" s="220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</row>
    <row r="208" ht="18.75" customHeight="1" s="220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</row>
    <row r="209" ht="18.75" customHeight="1" s="220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</row>
    <row r="210" ht="18.75" customHeight="1" s="22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</row>
    <row r="211" ht="18.75" customHeight="1" s="220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</row>
    <row r="212" ht="18.75" customHeight="1" s="220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</row>
    <row r="213" ht="18.75" customHeight="1" s="220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</row>
    <row r="214" ht="18.75" customHeight="1" s="220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</row>
    <row r="215" ht="18.75" customHeight="1" s="220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</row>
    <row r="216" ht="18.75" customHeight="1" s="220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</row>
    <row r="217" ht="18.75" customHeight="1" s="220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</row>
    <row r="218" ht="18.75" customHeight="1" s="220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</row>
    <row r="219" ht="18.75" customHeight="1" s="220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</row>
    <row r="220" ht="18.75" customHeight="1" s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</row>
    <row r="221" ht="18.75" customHeight="1" s="220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</row>
    <row r="222" ht="18.75" customHeight="1" s="220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</row>
    <row r="223" ht="18.75" customHeight="1" s="220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</row>
    <row r="224" ht="18.75" customHeight="1" s="220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</row>
    <row r="225" ht="18.75" customHeight="1" s="220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</row>
    <row r="226" ht="18.75" customHeight="1" s="220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</row>
    <row r="227" ht="18.75" customHeight="1" s="220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</row>
    <row r="228" ht="18.75" customHeight="1" s="220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</row>
    <row r="229" ht="18.75" customHeight="1" s="220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</row>
    <row r="230" ht="18.75" customHeight="1" s="22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</row>
    <row r="231" ht="18.75" customHeight="1" s="220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</row>
    <row r="232" ht="18.75" customHeight="1" s="220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</row>
    <row r="233" ht="18.75" customHeight="1" s="220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</row>
    <row r="234" ht="18.75" customHeight="1" s="220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</row>
    <row r="235" ht="18.75" customHeight="1" s="220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</row>
    <row r="236" ht="18.75" customHeight="1" s="220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</row>
    <row r="237" ht="18.75" customHeight="1" s="220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</row>
    <row r="238" ht="18.75" customHeight="1" s="220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</row>
    <row r="239" ht="18.75" customHeight="1" s="220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</row>
    <row r="240" ht="18.75" customHeight="1" s="22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</row>
    <row r="241" ht="18.75" customHeight="1" s="220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</row>
    <row r="242" ht="18.75" customHeight="1" s="220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</row>
    <row r="243" ht="18.75" customHeight="1" s="220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</row>
    <row r="244" ht="18.75" customHeight="1" s="220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</row>
    <row r="245" ht="18.75" customHeight="1" s="220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</row>
    <row r="246" ht="18.75" customHeight="1" s="220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</row>
    <row r="247" ht="18.75" customHeight="1" s="220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</row>
    <row r="248" ht="18.75" customHeight="1" s="220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</row>
    <row r="249" ht="18.75" customHeight="1" s="220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</row>
    <row r="250" ht="18.75" customHeight="1" s="22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</row>
    <row r="251" ht="18.75" customHeight="1" s="220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</row>
    <row r="252" ht="18.75" customHeight="1" s="220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</row>
    <row r="253" ht="18.75" customHeight="1" s="220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</row>
    <row r="254" ht="18.75" customHeight="1" s="220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</row>
    <row r="255" ht="18.75" customHeight="1" s="220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</row>
    <row r="256" ht="18.75" customHeight="1" s="220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</row>
    <row r="257" ht="18.75" customHeight="1" s="220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</row>
    <row r="258" ht="18.75" customHeight="1" s="220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</row>
    <row r="259" ht="18.75" customHeight="1" s="220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</row>
    <row r="260" ht="18.75" customHeight="1" s="22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</row>
    <row r="261" ht="18.75" customHeight="1" s="220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</row>
    <row r="262" ht="18.75" customHeight="1" s="220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</row>
    <row r="263" ht="18.75" customHeight="1" s="220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</row>
    <row r="264" ht="18.75" customHeight="1" s="220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</row>
    <row r="265" ht="18.75" customHeight="1" s="220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</row>
    <row r="266" ht="18.75" customHeight="1" s="220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</row>
    <row r="267" ht="18.75" customHeight="1" s="220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</row>
    <row r="268" ht="18.75" customHeight="1" s="220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</row>
    <row r="269" ht="18.75" customHeight="1" s="220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</row>
    <row r="270" ht="18.75" customHeight="1" s="22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</row>
    <row r="271" ht="18.75" customHeight="1" s="220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</row>
    <row r="272" ht="18.75" customHeight="1" s="220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</row>
    <row r="273" ht="18.75" customHeight="1" s="220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</row>
    <row r="274" ht="18.75" customHeight="1" s="220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</row>
    <row r="275" ht="18.75" customHeight="1" s="220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</row>
    <row r="276" ht="18.75" customHeight="1" s="220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</row>
    <row r="277" ht="18.75" customHeight="1" s="220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</row>
    <row r="278" ht="18.75" customHeight="1" s="220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</row>
    <row r="279" ht="18.75" customHeight="1" s="220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</row>
    <row r="280" ht="18.75" customHeight="1" s="22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</row>
    <row r="281" ht="18.75" customHeight="1" s="220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</row>
    <row r="282" ht="18.75" customHeight="1" s="220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</row>
    <row r="283" ht="18.75" customHeight="1" s="220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</row>
    <row r="284" ht="18.75" customHeight="1" s="220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</row>
    <row r="285" ht="18.75" customHeight="1" s="220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</row>
    <row r="286" ht="18.75" customHeight="1" s="220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</row>
    <row r="287" ht="18.75" customHeight="1" s="220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</row>
    <row r="288" ht="18.75" customHeight="1" s="220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</row>
    <row r="289" ht="18.75" customHeight="1" s="220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</row>
    <row r="290" ht="18.75" customHeight="1" s="22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</row>
    <row r="291" ht="18.75" customHeight="1" s="220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</row>
    <row r="292" ht="18.75" customHeight="1" s="220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</row>
    <row r="293" ht="18.75" customHeight="1" s="220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</row>
    <row r="294" ht="18.75" customHeight="1" s="220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</row>
    <row r="295" ht="18.75" customHeight="1" s="220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</row>
    <row r="296" ht="18.75" customHeight="1" s="220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</row>
    <row r="297" ht="18.75" customHeight="1" s="220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</row>
    <row r="298" ht="18.75" customHeight="1" s="220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</row>
    <row r="299" ht="18.75" customHeight="1" s="220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</row>
    <row r="300" ht="18.75" customHeight="1" s="22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</row>
    <row r="301" ht="18.75" customHeight="1" s="220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</row>
    <row r="302" ht="18.75" customHeight="1" s="220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</row>
    <row r="303" ht="18.75" customHeight="1" s="220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</row>
    <row r="304" ht="18.75" customHeight="1" s="220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</row>
    <row r="305" ht="18.75" customHeight="1" s="220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</row>
    <row r="306" ht="18.75" customHeight="1" s="220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</row>
    <row r="307" ht="18.75" customHeight="1" s="220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</row>
    <row r="308" ht="18.75" customHeight="1" s="220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</row>
    <row r="309" ht="18.75" customHeight="1" s="220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</row>
    <row r="310" ht="18.75" customHeight="1" s="22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</row>
    <row r="311" ht="18.75" customHeight="1" s="220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</row>
    <row r="312" ht="18.75" customHeight="1" s="220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</row>
    <row r="313" ht="18.75" customHeight="1" s="220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</row>
    <row r="314" ht="18.75" customHeight="1" s="220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</row>
    <row r="315" ht="18.75" customHeight="1" s="220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</row>
    <row r="316" ht="18.75" customHeight="1" s="220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</row>
    <row r="317" ht="18.75" customHeight="1" s="220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</row>
    <row r="318" ht="18.75" customHeight="1" s="220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</row>
    <row r="319" ht="18.75" customHeight="1" s="220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</row>
    <row r="320" ht="18.75" customHeight="1" s="2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</row>
    <row r="321" ht="18.75" customHeight="1" s="220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</row>
    <row r="322" ht="18.75" customHeight="1" s="220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</row>
    <row r="323" ht="18.75" customHeight="1" s="220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</row>
    <row r="324" ht="18.75" customHeight="1" s="220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</row>
    <row r="325" ht="18.75" customHeight="1" s="220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</row>
    <row r="326" ht="18.75" customHeight="1" s="220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</row>
    <row r="327" ht="18.75" customHeight="1" s="220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</row>
    <row r="328" ht="18.75" customHeight="1" s="220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</row>
    <row r="329" ht="18.75" customHeight="1" s="220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</row>
    <row r="330" ht="18.75" customHeight="1" s="22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</row>
    <row r="331" ht="18.75" customHeight="1" s="220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</row>
    <row r="332" ht="18.75" customHeight="1" s="220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</row>
    <row r="333" ht="18.75" customHeight="1" s="220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</row>
    <row r="334" ht="18.75" customHeight="1" s="220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</row>
    <row r="335" ht="18.75" customHeight="1" s="220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</row>
    <row r="336" ht="18.75" customHeight="1" s="220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</row>
    <row r="337" ht="18.75" customHeight="1" s="220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</row>
    <row r="338" ht="18.75" customHeight="1" s="220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</row>
    <row r="339" ht="18.75" customHeight="1" s="220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</row>
    <row r="340" ht="18.75" customHeight="1" s="22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</row>
    <row r="341" ht="18.75" customHeight="1" s="220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</row>
    <row r="342" ht="18.75" customHeight="1" s="220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</row>
    <row r="343" ht="18.75" customHeight="1" s="220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</row>
    <row r="344" ht="18.75" customHeight="1" s="220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</row>
    <row r="345" ht="18.75" customHeight="1" s="220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</row>
    <row r="346" ht="18.75" customHeight="1" s="220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</row>
    <row r="347" ht="18.75" customHeight="1" s="220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</row>
    <row r="348" ht="18.75" customHeight="1" s="220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</row>
    <row r="349" ht="18.75" customHeight="1" s="220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</row>
    <row r="350" ht="18.75" customHeight="1" s="22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</row>
    <row r="351" ht="18.75" customHeight="1" s="220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</row>
    <row r="352" ht="18.75" customHeight="1" s="220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</row>
    <row r="353" ht="18.75" customHeight="1" s="220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</row>
    <row r="354" ht="18.75" customHeight="1" s="220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</row>
    <row r="355" ht="18.75" customHeight="1" s="220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</row>
    <row r="356" ht="18.75" customHeight="1" s="220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</row>
    <row r="357" ht="18.75" customHeight="1" s="220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</row>
    <row r="358" ht="18.75" customHeight="1" s="220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</row>
    <row r="359" ht="18.75" customHeight="1" s="220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</row>
    <row r="360" ht="18.75" customHeight="1" s="22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</row>
    <row r="361" ht="18.75" customHeight="1" s="220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</row>
    <row r="362" ht="18.75" customHeight="1" s="220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</row>
    <row r="363" ht="18.75" customHeight="1" s="220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</row>
    <row r="364" ht="18.75" customHeight="1" s="220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</row>
    <row r="365" ht="18.75" customHeight="1" s="220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</row>
    <row r="366" ht="18.75" customHeight="1" s="220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</row>
    <row r="367" ht="18.75" customHeight="1" s="220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</row>
    <row r="368" ht="18.75" customHeight="1" s="220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</row>
    <row r="369" ht="18.75" customHeight="1" s="220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</row>
    <row r="370" ht="18.75" customHeight="1" s="22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</row>
    <row r="371" ht="18.75" customHeight="1" s="220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</row>
    <row r="372" ht="18.75" customHeight="1" s="220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</row>
    <row r="373" ht="18.75" customHeight="1" s="220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</row>
    <row r="374" ht="18.75" customHeight="1" s="220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</row>
    <row r="375" ht="18.75" customHeight="1" s="220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</row>
    <row r="376" ht="18.75" customHeight="1" s="220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</row>
    <row r="377" ht="18.75" customHeight="1" s="220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</row>
    <row r="378" ht="18.75" customHeight="1" s="220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</row>
    <row r="379" ht="18.75" customHeight="1" s="220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</row>
    <row r="380" ht="18.75" customHeight="1" s="22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</row>
    <row r="381" ht="18.75" customHeight="1" s="220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</row>
    <row r="382" ht="18.75" customHeight="1" s="220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</row>
    <row r="383" ht="18.75" customHeight="1" s="220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</row>
    <row r="384" ht="18.75" customHeight="1" s="220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</row>
    <row r="385" ht="18.75" customHeight="1" s="220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</row>
    <row r="386" ht="18.75" customHeight="1" s="220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</row>
    <row r="387" ht="18.75" customHeight="1" s="220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</row>
    <row r="388" ht="18.75" customHeight="1" s="220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</row>
    <row r="389" ht="18.75" customHeight="1" s="220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</row>
    <row r="390" ht="18.75" customHeight="1" s="22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</row>
    <row r="391" ht="18.75" customHeight="1" s="220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</row>
    <row r="392" ht="18.75" customHeight="1" s="220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</row>
    <row r="393" ht="18.75" customHeight="1" s="220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</row>
    <row r="394" ht="18.75" customHeight="1" s="220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</row>
    <row r="395" ht="18.75" customHeight="1" s="220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</row>
    <row r="396" ht="18.75" customHeight="1" s="220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</row>
    <row r="397" ht="18.75" customHeight="1" s="220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</row>
    <row r="398" ht="18.75" customHeight="1" s="220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</row>
    <row r="399" ht="18.75" customHeight="1" s="220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</row>
    <row r="400" ht="18.75" customHeight="1" s="22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</row>
    <row r="401" ht="18.75" customHeight="1" s="220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</row>
    <row r="402" ht="18.75" customHeight="1" s="220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</row>
    <row r="403" ht="18.75" customHeight="1" s="220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</row>
    <row r="404" ht="18.75" customHeight="1" s="220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</row>
    <row r="405" ht="18.75" customHeight="1" s="220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</row>
    <row r="406" ht="18.75" customHeight="1" s="220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</row>
    <row r="407" ht="18.75" customHeight="1" s="220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</row>
    <row r="408" ht="18.75" customHeight="1" s="220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</row>
    <row r="409" ht="18.75" customHeight="1" s="220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</row>
    <row r="410" ht="18.75" customHeight="1" s="22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</row>
    <row r="411" ht="18.75" customHeight="1" s="220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</row>
    <row r="412" ht="18.75" customHeight="1" s="220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</row>
    <row r="413" ht="18.75" customHeight="1" s="220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</row>
    <row r="414" ht="18.75" customHeight="1" s="220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</row>
    <row r="415" ht="18.75" customHeight="1" s="220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</row>
    <row r="416" ht="18.75" customHeight="1" s="220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</row>
    <row r="417" ht="18.75" customHeight="1" s="220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</row>
    <row r="418" ht="18.75" customHeight="1" s="220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</row>
    <row r="419" ht="18.75" customHeight="1" s="220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</row>
    <row r="420" ht="18.75" customHeight="1" s="2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</row>
    <row r="421" ht="18.75" customHeight="1" s="220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</row>
    <row r="422" ht="18.75" customHeight="1" s="220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</row>
    <row r="423" ht="18.75" customHeight="1" s="220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</row>
    <row r="424" ht="18.75" customHeight="1" s="220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</row>
    <row r="425" ht="18.75" customHeight="1" s="220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</row>
    <row r="426" ht="18.75" customHeight="1" s="220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</row>
    <row r="427" ht="18.75" customHeight="1" s="220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</row>
    <row r="428" ht="18.75" customHeight="1" s="220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</row>
    <row r="429" ht="18.75" customHeight="1" s="220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</row>
    <row r="430" ht="18.75" customHeight="1" s="22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</row>
    <row r="431" ht="18.75" customHeight="1" s="220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</row>
    <row r="432" ht="18.75" customHeight="1" s="220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</row>
    <row r="433" ht="18.75" customHeight="1" s="220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</row>
    <row r="434" ht="18.75" customHeight="1" s="220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</row>
    <row r="435" ht="18.75" customHeight="1" s="220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</row>
    <row r="436" ht="18.75" customHeight="1" s="220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</row>
    <row r="437" ht="18.75" customHeight="1" s="220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</row>
    <row r="438" ht="18.75" customHeight="1" s="220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</row>
    <row r="439" ht="18.75" customHeight="1" s="220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</row>
    <row r="440" ht="18.75" customHeight="1" s="22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</row>
    <row r="441" ht="18.75" customHeight="1" s="220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</row>
    <row r="442" ht="18.75" customHeight="1" s="220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</row>
    <row r="443" ht="18.75" customHeight="1" s="220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</row>
    <row r="444" ht="18.75" customHeight="1" s="220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</row>
    <row r="445" ht="18.75" customHeight="1" s="220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</row>
    <row r="446" ht="18.75" customHeight="1" s="220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</row>
    <row r="447" ht="18.75" customHeight="1" s="220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</row>
    <row r="448" ht="18.75" customHeight="1" s="220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</row>
    <row r="449" ht="18.75" customHeight="1" s="220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</row>
    <row r="450" ht="18.75" customHeight="1" s="22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</row>
    <row r="451" ht="18.75" customHeight="1" s="220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</row>
    <row r="452" ht="18.75" customHeight="1" s="220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</row>
    <row r="453" ht="18.75" customHeight="1" s="220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</row>
    <row r="454" ht="18.75" customHeight="1" s="220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</row>
    <row r="455" ht="18.75" customHeight="1" s="220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</row>
    <row r="456" ht="18.75" customHeight="1" s="220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</row>
    <row r="457" ht="18.75" customHeight="1" s="220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</row>
    <row r="458" ht="18.75" customHeight="1" s="220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</row>
    <row r="459" ht="18.75" customHeight="1" s="220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</row>
    <row r="460" ht="18.75" customHeight="1" s="22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</row>
    <row r="461" ht="18.75" customHeight="1" s="220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</row>
    <row r="462" ht="18.75" customHeight="1" s="220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</row>
    <row r="463" ht="18.75" customHeight="1" s="220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</row>
    <row r="464" ht="18.75" customHeight="1" s="220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</row>
    <row r="465" ht="18.75" customHeight="1" s="220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</row>
    <row r="466" ht="18.75" customHeight="1" s="220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</row>
    <row r="467" ht="18.75" customHeight="1" s="220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</row>
    <row r="468" ht="18.75" customHeight="1" s="220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</row>
    <row r="469" ht="18.75" customHeight="1" s="220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</row>
    <row r="470" ht="18.75" customHeight="1" s="22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</row>
    <row r="471" ht="18.75" customHeight="1" s="220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</row>
    <row r="472" ht="18.75" customHeight="1" s="220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</row>
    <row r="473" ht="18.75" customHeight="1" s="220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</row>
    <row r="474" ht="18.75" customHeight="1" s="220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</row>
    <row r="475" ht="18.75" customHeight="1" s="220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</row>
    <row r="476" ht="18.75" customHeight="1" s="220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</row>
    <row r="477" ht="18.75" customHeight="1" s="220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</row>
    <row r="478" ht="18.75" customHeight="1" s="220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</row>
    <row r="479" ht="18.75" customHeight="1" s="220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</row>
    <row r="480" ht="18.75" customHeight="1" s="22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</row>
    <row r="481" ht="18.75" customHeight="1" s="220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</row>
    <row r="482" ht="18.75" customHeight="1" s="220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</row>
    <row r="483" ht="18.75" customHeight="1" s="220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</row>
    <row r="484" ht="18.75" customHeight="1" s="220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</row>
    <row r="485" ht="18.75" customHeight="1" s="220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</row>
    <row r="486" ht="18.75" customHeight="1" s="220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</row>
    <row r="487" ht="18.75" customHeight="1" s="220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</row>
    <row r="488" ht="18.75" customHeight="1" s="220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</row>
    <row r="489" ht="18.75" customHeight="1" s="220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</row>
    <row r="490" ht="18.75" customHeight="1" s="22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</row>
    <row r="491" ht="18.75" customHeight="1" s="220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</row>
    <row r="492" ht="18.75" customHeight="1" s="220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</row>
    <row r="493" ht="18.75" customHeight="1" s="220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</row>
    <row r="494" ht="18.75" customHeight="1" s="220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</row>
    <row r="495" ht="18.75" customHeight="1" s="220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</row>
    <row r="496" ht="18.75" customHeight="1" s="220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</row>
    <row r="497" ht="18.75" customHeight="1" s="220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</row>
    <row r="498" ht="18.75" customHeight="1" s="220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</row>
    <row r="499" ht="18.75" customHeight="1" s="220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</row>
    <row r="500" ht="18.75" customHeight="1" s="22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</row>
    <row r="501" ht="18.75" customHeight="1" s="220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</row>
    <row r="502" ht="18.75" customHeight="1" s="220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</row>
    <row r="503" ht="18.75" customHeight="1" s="220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</row>
    <row r="504" ht="18.75" customHeight="1" s="220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</row>
    <row r="505" ht="18.75" customHeight="1" s="220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</row>
    <row r="506" ht="18.75" customHeight="1" s="220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</row>
    <row r="507" ht="18.75" customHeight="1" s="220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</row>
    <row r="508" ht="18.75" customHeight="1" s="220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</row>
    <row r="509" ht="18.75" customHeight="1" s="220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</row>
    <row r="510" ht="18.75" customHeight="1" s="22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</row>
    <row r="511" ht="18.75" customHeight="1" s="220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</row>
    <row r="512" ht="18.75" customHeight="1" s="220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</row>
    <row r="513" ht="18.75" customHeight="1" s="220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</row>
    <row r="514" ht="18.75" customHeight="1" s="220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</row>
    <row r="515" ht="18.75" customHeight="1" s="220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</row>
    <row r="516" ht="18.75" customHeight="1" s="220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</row>
    <row r="517" ht="18.75" customHeight="1" s="220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</row>
    <row r="518" ht="18.75" customHeight="1" s="220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</row>
    <row r="519" ht="18.75" customHeight="1" s="220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</row>
    <row r="520" ht="18.75" customHeight="1" s="2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</row>
    <row r="521" ht="18.75" customHeight="1" s="220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</row>
    <row r="522" ht="18.75" customHeight="1" s="220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</row>
    <row r="523" ht="18.75" customHeight="1" s="220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</row>
    <row r="524" ht="18.75" customHeight="1" s="220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</row>
    <row r="525" ht="18.75" customHeight="1" s="220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</row>
    <row r="526" ht="18.75" customHeight="1" s="220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</row>
    <row r="527" ht="18.75" customHeight="1" s="220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</row>
    <row r="528" ht="18.75" customHeight="1" s="220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</row>
    <row r="529" ht="18.75" customHeight="1" s="220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</row>
    <row r="530" ht="18.75" customHeight="1" s="22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</row>
    <row r="531" ht="18.75" customHeight="1" s="220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</row>
    <row r="532" ht="18.75" customHeight="1" s="220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</row>
    <row r="533" ht="18.75" customHeight="1" s="220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</row>
    <row r="534" ht="18.75" customHeight="1" s="220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</row>
    <row r="535" ht="18.75" customHeight="1" s="220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</row>
    <row r="536" ht="18.75" customHeight="1" s="220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</row>
    <row r="537" ht="18.75" customHeight="1" s="220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</row>
    <row r="538" ht="18.75" customHeight="1" s="220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</row>
    <row r="539" ht="18.75" customHeight="1" s="220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</row>
    <row r="540" ht="18.75" customHeight="1" s="22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</row>
    <row r="541" ht="18.75" customHeight="1" s="220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</row>
    <row r="542" ht="18.75" customHeight="1" s="220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</row>
    <row r="543" ht="18.75" customHeight="1" s="220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</row>
    <row r="544" ht="18.75" customHeight="1" s="220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</row>
    <row r="545" ht="18.75" customHeight="1" s="220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</row>
    <row r="546" ht="18.75" customHeight="1" s="220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</row>
    <row r="547" ht="18.75" customHeight="1" s="220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</row>
    <row r="548" ht="18.75" customHeight="1" s="220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</row>
    <row r="549" ht="18.75" customHeight="1" s="220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</row>
    <row r="550" ht="18.75" customHeight="1" s="22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</row>
    <row r="551" ht="18.75" customHeight="1" s="220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</row>
    <row r="552" ht="18.75" customHeight="1" s="220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</row>
    <row r="553" ht="18.75" customHeight="1" s="220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</row>
    <row r="554" ht="18.75" customHeight="1" s="220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</row>
    <row r="555" ht="18.75" customHeight="1" s="220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</row>
    <row r="556" ht="18.75" customHeight="1" s="220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</row>
    <row r="557" ht="18.75" customHeight="1" s="220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</row>
    <row r="558" ht="18.75" customHeight="1" s="220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</row>
    <row r="559" ht="18.75" customHeight="1" s="220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</row>
    <row r="560" ht="18.75" customHeight="1" s="22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</row>
    <row r="561" ht="18.75" customHeight="1" s="220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</row>
    <row r="562" ht="18.75" customHeight="1" s="220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</row>
    <row r="563" ht="18.75" customHeight="1" s="220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</row>
    <row r="564" ht="18.75" customHeight="1" s="220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</row>
    <row r="565" ht="18.75" customHeight="1" s="220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</row>
    <row r="566" ht="18.75" customHeight="1" s="220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</row>
    <row r="567" ht="18.75" customHeight="1" s="220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</row>
    <row r="568" ht="18.75" customHeight="1" s="220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</row>
    <row r="569" ht="18.75" customHeight="1" s="220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</row>
    <row r="570" ht="18.75" customHeight="1" s="22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</row>
    <row r="571" ht="18.75" customHeight="1" s="220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</row>
    <row r="572" ht="18.75" customHeight="1" s="220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</row>
    <row r="573" ht="18.75" customHeight="1" s="220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</row>
    <row r="574" ht="18.75" customHeight="1" s="220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</row>
    <row r="575" ht="18.75" customHeight="1" s="220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</row>
    <row r="576" ht="18.75" customHeight="1" s="220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</row>
    <row r="577" ht="18.75" customHeight="1" s="220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</row>
    <row r="578" ht="18.75" customHeight="1" s="220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</row>
    <row r="579" ht="18.75" customHeight="1" s="220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</row>
    <row r="580" ht="18.75" customHeight="1" s="22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</row>
    <row r="581" ht="18.75" customHeight="1" s="220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</row>
    <row r="582" ht="18.75" customHeight="1" s="220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</row>
    <row r="583" ht="18.75" customHeight="1" s="220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</row>
    <row r="584" ht="18.75" customHeight="1" s="220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</row>
    <row r="585" ht="18.75" customHeight="1" s="220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</row>
    <row r="586" ht="18.75" customHeight="1" s="220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</row>
    <row r="587" ht="18.75" customHeight="1" s="220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</row>
    <row r="588" ht="18.75" customHeight="1" s="220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</row>
    <row r="589" ht="18.75" customHeight="1" s="220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</row>
    <row r="590" ht="18.75" customHeight="1" s="22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</row>
    <row r="591" ht="18.75" customHeight="1" s="220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</row>
    <row r="592" ht="18.75" customHeight="1" s="220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</row>
    <row r="593" ht="18.75" customHeight="1" s="220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</row>
    <row r="594" ht="18.75" customHeight="1" s="220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</row>
    <row r="595" ht="18.75" customHeight="1" s="220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</row>
    <row r="596" ht="18.75" customHeight="1" s="220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</row>
    <row r="597" ht="18.75" customHeight="1" s="220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</row>
    <row r="598" ht="18.75" customHeight="1" s="220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</row>
    <row r="599" ht="18.75" customHeight="1" s="220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</row>
    <row r="600" ht="18.75" customHeight="1" s="22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</row>
    <row r="601" ht="18.75" customHeight="1" s="220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</row>
    <row r="602" ht="18.75" customHeight="1" s="220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</row>
    <row r="603" ht="18.75" customHeight="1" s="220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</row>
    <row r="604" ht="18.75" customHeight="1" s="220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</row>
    <row r="605" ht="18.75" customHeight="1" s="220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</row>
    <row r="606" ht="18.75" customHeight="1" s="220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</row>
    <row r="607" ht="18.75" customHeight="1" s="220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</row>
    <row r="608" ht="18.75" customHeight="1" s="220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</row>
    <row r="609" ht="18.75" customHeight="1" s="220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</row>
    <row r="610" ht="18.75" customHeight="1" s="22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</row>
    <row r="611" ht="18.75" customHeight="1" s="220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</row>
    <row r="612" ht="18.75" customHeight="1" s="220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</row>
    <row r="613" ht="18.75" customHeight="1" s="220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</row>
    <row r="614" ht="18.75" customHeight="1" s="220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</row>
    <row r="615" ht="18.75" customHeight="1" s="220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</row>
    <row r="616" ht="18.75" customHeight="1" s="220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</row>
    <row r="617" ht="18.75" customHeight="1" s="220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</row>
    <row r="618" ht="18.75" customHeight="1" s="220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</row>
    <row r="619" ht="18.75" customHeight="1" s="220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</row>
    <row r="620" ht="18.75" customHeight="1" s="2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</row>
    <row r="621" ht="18.75" customHeight="1" s="220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</row>
    <row r="622" ht="18.75" customHeight="1" s="220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</row>
    <row r="623" ht="18.75" customHeight="1" s="220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</row>
    <row r="624" ht="18.75" customHeight="1" s="220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</row>
    <row r="625" ht="18.75" customHeight="1" s="220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</row>
    <row r="626" ht="18.75" customHeight="1" s="220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</row>
    <row r="627" ht="18.75" customHeight="1" s="220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</row>
    <row r="628" ht="18.75" customHeight="1" s="220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</row>
    <row r="629" ht="18.75" customHeight="1" s="220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</row>
    <row r="630" ht="18.75" customHeight="1" s="22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</row>
    <row r="631" ht="18.75" customHeight="1" s="220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</row>
    <row r="632" ht="18.75" customHeight="1" s="220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</row>
    <row r="633" ht="18.75" customHeight="1" s="220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</row>
    <row r="634" ht="18.75" customHeight="1" s="220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</row>
    <row r="635" ht="18.75" customHeight="1" s="220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</row>
    <row r="636" ht="18.75" customHeight="1" s="220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</row>
    <row r="637" ht="18.75" customHeight="1" s="220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</row>
    <row r="638" ht="18.75" customHeight="1" s="220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</row>
    <row r="639" ht="18.75" customHeight="1" s="220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</row>
    <row r="640" ht="18.75" customHeight="1" s="22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</row>
    <row r="641" ht="18.75" customHeight="1" s="220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</row>
    <row r="642" ht="18.75" customHeight="1" s="220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</row>
    <row r="643" ht="18.75" customHeight="1" s="220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</row>
    <row r="644" ht="18.75" customHeight="1" s="220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</row>
    <row r="645" ht="18.75" customHeight="1" s="220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</row>
    <row r="646" ht="18.75" customHeight="1" s="220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</row>
    <row r="647" ht="18.75" customHeight="1" s="220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</row>
    <row r="648" ht="18.75" customHeight="1" s="220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</row>
    <row r="649" ht="18.75" customHeight="1" s="220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</row>
    <row r="650" ht="18.75" customHeight="1" s="22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</row>
    <row r="651" ht="18.75" customHeight="1" s="220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</row>
    <row r="652" ht="18.75" customHeight="1" s="220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</row>
    <row r="653" ht="18.75" customHeight="1" s="220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</row>
    <row r="654" ht="18.75" customHeight="1" s="220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</row>
    <row r="655" ht="18.75" customHeight="1" s="220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</row>
    <row r="656" ht="18.75" customHeight="1" s="220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</row>
    <row r="657" ht="18.75" customHeight="1" s="220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</row>
    <row r="658" ht="18.75" customHeight="1" s="220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</row>
    <row r="659" ht="18.75" customHeight="1" s="220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</row>
    <row r="660" ht="18.75" customHeight="1" s="22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</row>
    <row r="661" ht="18.75" customHeight="1" s="220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</row>
    <row r="662" ht="18.75" customHeight="1" s="220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</row>
    <row r="663" ht="18.75" customHeight="1" s="220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</row>
    <row r="664" ht="18.75" customHeight="1" s="220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</row>
    <row r="665" ht="18.75" customHeight="1" s="220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</row>
    <row r="666" ht="18.75" customHeight="1" s="220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</row>
    <row r="667" ht="18.75" customHeight="1" s="220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</row>
    <row r="668" ht="18.75" customHeight="1" s="220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</row>
    <row r="669" ht="18.75" customHeight="1" s="220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</row>
    <row r="670" ht="18.75" customHeight="1" s="22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</row>
    <row r="671" ht="18.75" customHeight="1" s="220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</row>
    <row r="672" ht="18.75" customHeight="1" s="220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</row>
    <row r="673" ht="18.75" customHeight="1" s="220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</row>
    <row r="674" ht="18.75" customHeight="1" s="220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</row>
    <row r="675" ht="18.75" customHeight="1" s="220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</row>
    <row r="676" ht="18.75" customHeight="1" s="220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</row>
    <row r="677" ht="18.75" customHeight="1" s="220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</row>
    <row r="678" ht="18.75" customHeight="1" s="220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</row>
    <row r="679" ht="18.75" customHeight="1" s="220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</row>
    <row r="680" ht="18.75" customHeight="1" s="22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</row>
    <row r="681" ht="18.75" customHeight="1" s="220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</row>
    <row r="682" ht="18.75" customHeight="1" s="220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</row>
    <row r="683" ht="18.75" customHeight="1" s="220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</row>
    <row r="684" ht="18.75" customHeight="1" s="220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</row>
    <row r="685" ht="18.75" customHeight="1" s="220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</row>
    <row r="686" ht="18.75" customHeight="1" s="220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</row>
    <row r="687" ht="18.75" customHeight="1" s="220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</row>
    <row r="688" ht="18.75" customHeight="1" s="220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</row>
    <row r="689" ht="18.75" customHeight="1" s="220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</row>
    <row r="690" ht="18.75" customHeight="1" s="22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</row>
    <row r="691" ht="18.75" customHeight="1" s="220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</row>
    <row r="692" ht="18.75" customHeight="1" s="220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</row>
    <row r="693" ht="18.75" customHeight="1" s="220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</row>
    <row r="694" ht="18.75" customHeight="1" s="220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</row>
    <row r="695" ht="18.75" customHeight="1" s="220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</row>
    <row r="696" ht="18.75" customHeight="1" s="220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</row>
    <row r="697" ht="18.75" customHeight="1" s="220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</row>
    <row r="698" ht="18.75" customHeight="1" s="220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</row>
    <row r="699" ht="18.75" customHeight="1" s="220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</row>
    <row r="700" ht="18.75" customHeight="1" s="22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</row>
    <row r="701" ht="18.75" customHeight="1" s="220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</row>
    <row r="702" ht="18.75" customHeight="1" s="220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</row>
    <row r="703" ht="18.75" customHeight="1" s="220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</row>
    <row r="704" ht="18.75" customHeight="1" s="220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</row>
    <row r="705" ht="18.75" customHeight="1" s="220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</row>
    <row r="706" ht="18.75" customHeight="1" s="220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</row>
    <row r="707" ht="18.75" customHeight="1" s="220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</row>
    <row r="708" ht="18.75" customHeight="1" s="220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</row>
    <row r="709" ht="18.75" customHeight="1" s="220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</row>
    <row r="710" ht="18.75" customHeight="1" s="22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</row>
    <row r="711" ht="18.75" customHeight="1" s="220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</row>
    <row r="712" ht="18.75" customHeight="1" s="220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</row>
    <row r="713" ht="18.75" customHeight="1" s="220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</row>
    <row r="714" ht="18.75" customHeight="1" s="220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</row>
    <row r="715" ht="18.75" customHeight="1" s="220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</row>
    <row r="716" ht="18.75" customHeight="1" s="220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</row>
    <row r="717" ht="18.75" customHeight="1" s="220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</row>
    <row r="718" ht="18.75" customHeight="1" s="220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</row>
    <row r="719" ht="18.75" customHeight="1" s="220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</row>
    <row r="720" ht="18.75" customHeight="1" s="2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</row>
    <row r="721" ht="18.75" customHeight="1" s="220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</row>
    <row r="722" ht="18.75" customHeight="1" s="220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</row>
    <row r="723" ht="18.75" customHeight="1" s="220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</row>
    <row r="724" ht="18.75" customHeight="1" s="220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</row>
    <row r="725" ht="18.75" customHeight="1" s="220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</row>
    <row r="726" ht="18.75" customHeight="1" s="220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</row>
    <row r="727" ht="18.75" customHeight="1" s="220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</row>
    <row r="728" ht="18.75" customHeight="1" s="220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</row>
    <row r="729" ht="18.75" customHeight="1" s="220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</row>
    <row r="730" ht="18.75" customHeight="1" s="22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</row>
    <row r="731" ht="18.75" customHeight="1" s="220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</row>
    <row r="732" ht="18.75" customHeight="1" s="220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</row>
    <row r="733" ht="18.75" customHeight="1" s="220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</row>
    <row r="734" ht="18.75" customHeight="1" s="220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</row>
    <row r="735" ht="18.75" customHeight="1" s="220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</row>
    <row r="736" ht="18.75" customHeight="1" s="220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</row>
    <row r="737" ht="18.75" customHeight="1" s="220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</row>
    <row r="738" ht="18.75" customHeight="1" s="220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</row>
    <row r="739" ht="18.75" customHeight="1" s="220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</row>
    <row r="740" ht="18.75" customHeight="1" s="22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</row>
    <row r="741" ht="18.75" customHeight="1" s="220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</row>
    <row r="742" ht="18.75" customHeight="1" s="220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</row>
    <row r="743" ht="18.75" customHeight="1" s="220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</row>
    <row r="744" ht="18.75" customHeight="1" s="220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</row>
    <row r="745" ht="18.75" customHeight="1" s="220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</row>
    <row r="746" ht="18.75" customHeight="1" s="220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</row>
    <row r="747" ht="18.75" customHeight="1" s="220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</row>
    <row r="748" ht="18.75" customHeight="1" s="220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</row>
    <row r="749" ht="18.75" customHeight="1" s="220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</row>
    <row r="750" ht="18.75" customHeight="1" s="22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</row>
    <row r="751" ht="18.75" customHeight="1" s="220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</row>
    <row r="752" ht="18.75" customHeight="1" s="220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</row>
    <row r="753" ht="18.75" customHeight="1" s="220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</row>
    <row r="754" ht="18.75" customHeight="1" s="220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</row>
    <row r="755" ht="18.75" customHeight="1" s="220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</row>
    <row r="756" ht="18.75" customHeight="1" s="220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</row>
    <row r="757" ht="18.75" customHeight="1" s="220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</row>
    <row r="758" ht="18.75" customHeight="1" s="220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</row>
    <row r="759" ht="18.75" customHeight="1" s="220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</row>
    <row r="760" ht="18.75" customHeight="1" s="22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</row>
    <row r="761" ht="18.75" customHeight="1" s="220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</row>
    <row r="762" ht="18.75" customHeight="1" s="220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</row>
    <row r="763" ht="18.75" customHeight="1" s="220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</row>
    <row r="764" ht="18.75" customHeight="1" s="220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</row>
    <row r="765" ht="18.75" customHeight="1" s="220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</row>
    <row r="766" ht="18.75" customHeight="1" s="220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</row>
    <row r="767" ht="18.75" customHeight="1" s="220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</row>
    <row r="768" ht="18.75" customHeight="1" s="220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</row>
    <row r="769" ht="18.75" customHeight="1" s="220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</row>
    <row r="770" ht="18.75" customHeight="1" s="22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</row>
    <row r="771" ht="18.75" customHeight="1" s="220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</row>
    <row r="772" ht="18.75" customHeight="1" s="220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</row>
    <row r="773" ht="18.75" customHeight="1" s="220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</row>
    <row r="774" ht="18.75" customHeight="1" s="220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</row>
    <row r="775" ht="18.75" customHeight="1" s="220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</row>
    <row r="776" ht="18.75" customHeight="1" s="220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</row>
    <row r="777" ht="18.75" customHeight="1" s="220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</row>
    <row r="778" ht="18.75" customHeight="1" s="220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</row>
    <row r="779" ht="18.75" customHeight="1" s="220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</row>
    <row r="780" ht="18.75" customHeight="1" s="22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</row>
    <row r="781" ht="18.75" customHeight="1" s="220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</row>
    <row r="782" ht="18.75" customHeight="1" s="220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</row>
    <row r="783" ht="18.75" customHeight="1" s="220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</row>
    <row r="784" ht="18.75" customHeight="1" s="220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</row>
    <row r="785" ht="18.75" customHeight="1" s="220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</row>
    <row r="786" ht="18.75" customHeight="1" s="220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</row>
    <row r="787" ht="18.75" customHeight="1" s="220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</row>
    <row r="788" ht="18.75" customHeight="1" s="220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</row>
    <row r="789" ht="18.75" customHeight="1" s="220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</row>
    <row r="790" ht="18.75" customHeight="1" s="22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</row>
    <row r="791" ht="18.75" customHeight="1" s="220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</row>
    <row r="792" ht="18.75" customHeight="1" s="220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</row>
    <row r="793" ht="18.75" customHeight="1" s="220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</row>
    <row r="794" ht="18.75" customHeight="1" s="220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</row>
    <row r="795" ht="18.75" customHeight="1" s="220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</row>
    <row r="796" ht="18.75" customHeight="1" s="220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</row>
    <row r="797" ht="18.75" customHeight="1" s="220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</row>
    <row r="798" ht="18.75" customHeight="1" s="220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</row>
    <row r="799" ht="18.75" customHeight="1" s="220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</row>
    <row r="800" ht="18.75" customHeight="1" s="22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</row>
    <row r="801" ht="18.75" customHeight="1" s="220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</row>
    <row r="802" ht="18.75" customHeight="1" s="220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</row>
    <row r="803" ht="18.75" customHeight="1" s="220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</row>
    <row r="804" ht="18.75" customHeight="1" s="220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</row>
    <row r="805" ht="18.75" customHeight="1" s="220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</row>
    <row r="806" ht="18.75" customHeight="1" s="220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</row>
    <row r="807" ht="18.75" customHeight="1" s="220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</row>
    <row r="808" ht="18.75" customHeight="1" s="220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</row>
    <row r="809" ht="18.75" customHeight="1" s="220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</row>
    <row r="810" ht="18.75" customHeight="1" s="22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</row>
    <row r="811" ht="18.75" customHeight="1" s="220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</row>
    <row r="812" ht="18.75" customHeight="1" s="220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</row>
    <row r="813" ht="18.75" customHeight="1" s="220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</row>
    <row r="814" ht="18.75" customHeight="1" s="220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</row>
    <row r="815" ht="18.75" customHeight="1" s="220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</row>
    <row r="816" ht="18.75" customHeight="1" s="220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</row>
    <row r="817" ht="18.75" customHeight="1" s="220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</row>
    <row r="818" ht="18.75" customHeight="1" s="220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</row>
    <row r="819" ht="18.75" customHeight="1" s="220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</row>
    <row r="820" ht="18.75" customHeight="1" s="2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</row>
    <row r="821" ht="18.75" customHeight="1" s="220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</row>
    <row r="822" ht="18.75" customHeight="1" s="220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</row>
    <row r="823" ht="18.75" customHeight="1" s="220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</row>
    <row r="824" ht="18.75" customHeight="1" s="220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</row>
    <row r="825" ht="18.75" customHeight="1" s="220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</row>
    <row r="826" ht="18.75" customHeight="1" s="220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</row>
    <row r="827" ht="18.75" customHeight="1" s="220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</row>
    <row r="828" ht="18.75" customHeight="1" s="220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</row>
    <row r="829" ht="18.75" customHeight="1" s="220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</row>
    <row r="830" ht="18.75" customHeight="1" s="22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</row>
    <row r="831" ht="18.75" customHeight="1" s="220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</row>
    <row r="832" ht="18.75" customHeight="1" s="220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</row>
    <row r="833" ht="18.75" customHeight="1" s="220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</row>
    <row r="834" ht="18.75" customHeight="1" s="220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</row>
    <row r="835" ht="18.75" customHeight="1" s="220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</row>
    <row r="836" ht="18.75" customHeight="1" s="220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</row>
    <row r="837" ht="18.75" customHeight="1" s="220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</row>
    <row r="838" ht="18.75" customHeight="1" s="220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</row>
    <row r="839" ht="18.75" customHeight="1" s="220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</row>
    <row r="840" ht="18.75" customHeight="1" s="22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</row>
    <row r="841" ht="18.75" customHeight="1" s="220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</row>
    <row r="842" ht="18.75" customHeight="1" s="220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</row>
    <row r="843" ht="18.75" customHeight="1" s="220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</row>
    <row r="844" ht="18.75" customHeight="1" s="220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</row>
    <row r="845" ht="18.75" customHeight="1" s="220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</row>
    <row r="846" ht="18.75" customHeight="1" s="220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</row>
    <row r="847" ht="18.75" customHeight="1" s="220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</row>
    <row r="848" ht="18.75" customHeight="1" s="220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</row>
    <row r="849" ht="18.75" customHeight="1" s="220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</row>
    <row r="850" ht="18.75" customHeight="1" s="22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</row>
    <row r="851" ht="18.75" customHeight="1" s="220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</row>
    <row r="852" ht="18.75" customHeight="1" s="220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</row>
    <row r="853" ht="18.75" customHeight="1" s="220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</row>
    <row r="854" ht="18.75" customHeight="1" s="220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</row>
    <row r="855" ht="18.75" customHeight="1" s="220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</row>
    <row r="856" ht="18.75" customHeight="1" s="220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</row>
    <row r="857" ht="18.75" customHeight="1" s="220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</row>
    <row r="858" ht="18.75" customHeight="1" s="220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</row>
    <row r="859" ht="18.75" customHeight="1" s="220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</row>
    <row r="860" ht="18.75" customHeight="1" s="22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</row>
    <row r="861" ht="18.75" customHeight="1" s="220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</row>
    <row r="862" ht="18.75" customHeight="1" s="220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</row>
    <row r="863" ht="18.75" customHeight="1" s="220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</row>
    <row r="864" ht="18.75" customHeight="1" s="220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</row>
    <row r="865" ht="18.75" customHeight="1" s="220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</row>
    <row r="866" ht="18.75" customHeight="1" s="220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</row>
    <row r="867" ht="18.75" customHeight="1" s="220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</row>
    <row r="868" ht="18.75" customHeight="1" s="220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</row>
    <row r="869" ht="18.75" customHeight="1" s="220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</row>
    <row r="870" ht="18.75" customHeight="1" s="22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</row>
    <row r="871" ht="18.75" customHeight="1" s="220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</row>
    <row r="872" ht="18.75" customHeight="1" s="220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</row>
    <row r="873" ht="18.75" customHeight="1" s="220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</row>
    <row r="874" ht="18.75" customHeight="1" s="220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</row>
    <row r="875" ht="18.75" customHeight="1" s="220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</row>
    <row r="876" ht="18.75" customHeight="1" s="220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</row>
    <row r="877" ht="18.75" customHeight="1" s="220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</row>
    <row r="878" ht="18.75" customHeight="1" s="220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</row>
    <row r="879" ht="18.75" customHeight="1" s="220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</row>
    <row r="880" ht="18.75" customHeight="1" s="22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</row>
    <row r="881" ht="18.75" customHeight="1" s="220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</row>
    <row r="882" ht="18.75" customHeight="1" s="220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</row>
    <row r="883" ht="18.75" customHeight="1" s="220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</row>
    <row r="884" ht="18.75" customHeight="1" s="220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</row>
    <row r="885" ht="18.75" customHeight="1" s="220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</row>
    <row r="886" ht="18.75" customHeight="1" s="220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</row>
    <row r="887" ht="18.75" customHeight="1" s="220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</row>
    <row r="888" ht="18.75" customHeight="1" s="220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</row>
    <row r="889" ht="18.75" customHeight="1" s="220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</row>
    <row r="890" ht="18.75" customHeight="1" s="22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</row>
    <row r="891" ht="18.75" customHeight="1" s="220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</row>
    <row r="892" ht="18.75" customHeight="1" s="220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</row>
    <row r="893" ht="18.75" customHeight="1" s="220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</row>
    <row r="894" ht="18.75" customHeight="1" s="220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</row>
    <row r="895" ht="18.75" customHeight="1" s="220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</row>
    <row r="896" ht="18.75" customHeight="1" s="220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</row>
    <row r="897" ht="18.75" customHeight="1" s="220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</row>
    <row r="898" ht="18.75" customHeight="1" s="220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</row>
    <row r="899" ht="18.75" customHeight="1" s="220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</row>
    <row r="900" ht="18.75" customHeight="1" s="22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</row>
    <row r="901" ht="18.75" customHeight="1" s="220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</row>
    <row r="902" ht="18.75" customHeight="1" s="220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</row>
    <row r="903" ht="18.75" customHeight="1" s="220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</row>
    <row r="904" ht="18.75" customHeight="1" s="220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</row>
    <row r="905" ht="18.75" customHeight="1" s="220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</row>
    <row r="906" ht="18.75" customHeight="1" s="220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</row>
    <row r="907" ht="18.75" customHeight="1" s="220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</row>
    <row r="908" ht="18.75" customHeight="1" s="220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</row>
    <row r="909" ht="18.75" customHeight="1" s="220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</row>
    <row r="910" ht="18.75" customHeight="1" s="22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</row>
    <row r="911" ht="18.75" customHeight="1" s="220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</row>
    <row r="912" ht="18.75" customHeight="1" s="220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</row>
    <row r="913" ht="18.75" customHeight="1" s="220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</row>
    <row r="914" ht="18.75" customHeight="1" s="220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</row>
    <row r="915" ht="18.75" customHeight="1" s="220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</row>
    <row r="916" ht="18.75" customHeight="1" s="220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</row>
    <row r="917" ht="18.75" customHeight="1" s="220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</row>
    <row r="918" ht="18.75" customHeight="1" s="220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</row>
    <row r="919" ht="18.75" customHeight="1" s="220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</row>
    <row r="920" ht="18.75" customHeight="1" s="2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</row>
    <row r="921" ht="18.75" customHeight="1" s="220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</row>
    <row r="922" ht="18.75" customHeight="1" s="220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</row>
    <row r="923" ht="18.75" customHeight="1" s="220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</row>
    <row r="924" ht="18.75" customHeight="1" s="220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</row>
    <row r="925" ht="18.75" customHeight="1" s="220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</row>
    <row r="926" ht="18.75" customHeight="1" s="220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</row>
    <row r="927" ht="18.75" customHeight="1" s="220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</row>
    <row r="928" ht="18.75" customHeight="1" s="220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</row>
    <row r="929" ht="18.75" customHeight="1" s="220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</row>
    <row r="930" ht="18.75" customHeight="1" s="22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</row>
    <row r="931" ht="18.75" customHeight="1" s="220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</row>
    <row r="932" ht="18.75" customHeight="1" s="220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</row>
    <row r="933" ht="18.75" customHeight="1" s="220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</row>
    <row r="934" ht="18.75" customHeight="1" s="220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</row>
    <row r="935" ht="18.75" customHeight="1" s="220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</row>
    <row r="936" ht="18.75" customHeight="1" s="220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</row>
    <row r="937" ht="18.75" customHeight="1" s="220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</row>
    <row r="938" ht="18.75" customHeight="1" s="220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</row>
    <row r="939" ht="18.75" customHeight="1" s="220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</row>
    <row r="940" ht="18.75" customHeight="1" s="22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</row>
    <row r="941" ht="18.75" customHeight="1" s="220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</row>
    <row r="942" ht="18.75" customHeight="1" s="220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</row>
    <row r="943" ht="18.75" customHeight="1" s="220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</row>
    <row r="944" ht="18.75" customHeight="1" s="220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</row>
    <row r="945" ht="18.75" customHeight="1" s="220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</row>
    <row r="946" ht="18.75" customHeight="1" s="220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</row>
    <row r="947" ht="18.75" customHeight="1" s="220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</row>
    <row r="948" ht="18.75" customHeight="1" s="220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</row>
    <row r="949" ht="18.75" customHeight="1" s="220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</row>
    <row r="950" ht="18.75" customHeight="1" s="22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</row>
    <row r="951" ht="18.75" customHeight="1" s="220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</row>
    <row r="952" ht="18.75" customHeight="1" s="220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</row>
    <row r="953" ht="18.75" customHeight="1" s="220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</row>
    <row r="954" ht="18.75" customHeight="1" s="220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</row>
    <row r="955" ht="18.75" customHeight="1" s="220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</row>
    <row r="956" ht="18.75" customHeight="1" s="220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</row>
    <row r="957" ht="18.75" customHeight="1" s="220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</row>
    <row r="958" ht="18.75" customHeight="1" s="220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</row>
    <row r="959" ht="18.75" customHeight="1" s="220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</row>
    <row r="960" ht="18.75" customHeight="1" s="22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</row>
    <row r="961" ht="18.75" customHeight="1" s="220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</row>
    <row r="962" ht="18.75" customHeight="1" s="220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</row>
    <row r="963" ht="18.75" customHeight="1" s="220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</row>
    <row r="964" ht="18.75" customHeight="1" s="220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</row>
    <row r="965" ht="18.75" customHeight="1" s="220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</row>
    <row r="966" ht="18.75" customHeight="1" s="220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</row>
    <row r="967" ht="18.75" customHeight="1" s="220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</row>
    <row r="968" ht="18.75" customHeight="1" s="220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</row>
    <row r="969" ht="18.75" customHeight="1" s="220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</row>
    <row r="970" ht="18.75" customHeight="1" s="22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</row>
    <row r="971" ht="18.75" customHeight="1" s="220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</row>
    <row r="972" ht="18.75" customHeight="1" s="220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</row>
    <row r="973" ht="18.75" customHeight="1" s="220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</row>
    <row r="974" ht="18.75" customHeight="1" s="220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</row>
    <row r="975" ht="18.75" customHeight="1" s="220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</row>
    <row r="976" ht="18.75" customHeight="1" s="220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</row>
    <row r="977" ht="18.75" customHeight="1" s="220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</row>
    <row r="978" ht="18.75" customHeight="1" s="220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</row>
    <row r="979" ht="18.75" customHeight="1" s="220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</row>
    <row r="980" ht="18.75" customHeight="1" s="22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</row>
    <row r="981" ht="18.75" customHeight="1" s="220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</row>
    <row r="982" ht="18.75" customHeight="1" s="220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</row>
    <row r="983" ht="18.75" customHeight="1" s="220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</row>
    <row r="984" ht="18.75" customHeight="1" s="220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</row>
    <row r="985" ht="18.75" customHeight="1" s="220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</row>
    <row r="986" ht="18.75" customHeight="1" s="220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</row>
    <row r="987" ht="18.75" customHeight="1" s="220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</row>
    <row r="988" ht="18.75" customHeight="1" s="220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</row>
    <row r="989" ht="18.75" customHeight="1" s="220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</row>
    <row r="990" ht="18.75" customHeight="1" s="22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</row>
    <row r="991" ht="18.75" customHeight="1" s="220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</row>
    <row r="992" ht="18.75" customHeight="1" s="220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</row>
    <row r="993" ht="18.75" customHeight="1" s="220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</row>
    <row r="994" ht="18.75" customHeight="1" s="220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</row>
    <row r="995" ht="18.75" customHeight="1" s="220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</row>
    <row r="996" ht="18.75" customHeight="1" s="220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</row>
    <row r="997" ht="18.75" customHeight="1" s="220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</row>
    <row r="998" ht="18.75" customHeight="1" s="220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</row>
    <row r="999" ht="18.75" customHeight="1" s="220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</row>
    <row r="1000" ht="18.75" customHeight="1" s="22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</row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220" min="2" max="3"/>
    <col width="10.57" customWidth="1" style="220" min="4" max="4"/>
    <col width="15.57" customWidth="1" style="220" min="5" max="5"/>
    <col width="14.29" customWidth="1" style="220" min="6" max="6"/>
    <col width="15" customWidth="1" style="220" min="7" max="7"/>
    <col width="14.29" customWidth="1" style="220" min="8" max="8"/>
    <col width="11.57" customWidth="1" style="220" min="9" max="9"/>
    <col width="7.43" customWidth="1" style="220" min="10" max="10"/>
    <col width="9.859999999999999" customWidth="1" style="220" min="11" max="11"/>
    <col width="8.140000000000001" customWidth="1" style="220" min="12" max="12"/>
    <col width="16.71" customWidth="1" style="220" min="13" max="13"/>
    <col width="12.86" customWidth="1" style="220" min="14" max="14"/>
    <col width="20.86" customWidth="1" style="220" min="15" max="15"/>
    <col width="21.71" customWidth="1" style="220" min="16" max="16"/>
    <col width="8.710000000000001" customWidth="1" style="220" min="17" max="17"/>
    <col width="11.71" customWidth="1" style="220" min="18" max="18"/>
    <col width="12.71" customWidth="1" style="220" min="19" max="19"/>
    <col width="8.710000000000001" customWidth="1" style="220" min="20" max="20"/>
    <col width="15" customWidth="1" style="220" min="21" max="21"/>
    <col width="15.57" customWidth="1" style="220" min="22" max="22"/>
    <col width="8.710000000000001" customWidth="1" style="220" min="23" max="24"/>
    <col width="20" customWidth="1" style="220" min="25" max="25"/>
    <col width="8.710000000000001" customWidth="1" style="220" min="26" max="27"/>
  </cols>
  <sheetData>
    <row r="1" ht="18.75" customHeight="1" s="220">
      <c r="A1" s="30" t="inlineStr">
        <is>
          <t>SN</t>
        </is>
      </c>
      <c r="B1" s="214" t="inlineStr">
        <is>
          <t>Item</t>
        </is>
      </c>
      <c r="C1" s="214" t="n"/>
      <c r="D1" s="214" t="inlineStr">
        <is>
          <t>Number</t>
        </is>
      </c>
      <c r="E1" s="214" t="inlineStr">
        <is>
          <t>Gold Weight</t>
        </is>
      </c>
      <c r="F1" s="201" t="inlineStr">
        <is>
          <t>Dmd &lt;0.06</t>
        </is>
      </c>
      <c r="G1" s="201" t="inlineStr">
        <is>
          <t>Dmd &lt; 0.12</t>
        </is>
      </c>
      <c r="H1" s="201" t="inlineStr">
        <is>
          <t>Dmd &lt;0.17</t>
        </is>
      </c>
      <c r="I1" s="201" t="inlineStr">
        <is>
          <t>Dmd Big</t>
        </is>
      </c>
      <c r="J1" s="201" t="inlineStr">
        <is>
          <t>Ruby</t>
        </is>
      </c>
      <c r="K1" s="201" t="inlineStr">
        <is>
          <t>Emreld</t>
        </is>
      </c>
      <c r="L1" s="201" t="inlineStr">
        <is>
          <t>Muga</t>
        </is>
      </c>
      <c r="M1" s="201" t="inlineStr">
        <is>
          <t>NEGJA Cost</t>
        </is>
      </c>
      <c r="N1" s="201" t="inlineStr">
        <is>
          <t>SGL Cost</t>
        </is>
      </c>
      <c r="O1" s="201" t="inlineStr">
        <is>
          <t>Certificate Price</t>
        </is>
      </c>
      <c r="P1" s="201" t="inlineStr">
        <is>
          <t>Certificate No.</t>
        </is>
      </c>
      <c r="Q1" s="214" t="inlineStr">
        <is>
          <t>Number</t>
        </is>
      </c>
      <c r="Z1" s="12" t="n"/>
      <c r="AA1" s="12" t="n"/>
    </row>
    <row r="2" ht="18.75" customHeight="1" s="220">
      <c r="A2" s="30">
        <f>B2&amp;D2</f>
        <v/>
      </c>
      <c r="B2" s="215" t="inlineStr">
        <is>
          <t>Jagganath</t>
        </is>
      </c>
      <c r="C2" s="215" t="n"/>
      <c r="D2" s="12" t="n">
        <v>41</v>
      </c>
      <c r="E2" s="59">
        <f>VLOOKUP(D2,INDIRECT("'"&amp;B2&amp;"'!$A$2:$S$999"), 2, 0)</f>
        <v/>
      </c>
      <c r="F2" s="59">
        <f>VLOOKUP(D2,INDIRECT("'"&amp;B2&amp;"'!$A$2:$S$999"), 5, 0)</f>
        <v/>
      </c>
      <c r="G2" s="59">
        <f>VLOOKUP(D2,INDIRECT("'"&amp;B2&amp;"'!$A$2:$S$999"), 6, 0)</f>
        <v/>
      </c>
      <c r="H2" s="59">
        <f>VLOOKUP(D2,INDIRECT("'"&amp;B2&amp;"'!$A$2:$S$999"), 7, 0)</f>
        <v/>
      </c>
      <c r="I2" s="59">
        <f>VLOOKUP(D2,INDIRECT("'"&amp;B2&amp;"'!$A$2:$S$999"), 8, 0)</f>
        <v/>
      </c>
      <c r="J2" s="59">
        <f>VLOOKUP(D2,INDIRECT("'"&amp;B2&amp;"'!$A$2:$S$999"), 9, 0)</f>
        <v/>
      </c>
      <c r="K2" s="59">
        <f>VLOOKUP(D2,INDIRECT("'"&amp;B2&amp;"'!$A$2:$S$999"), 10, 0)</f>
        <v/>
      </c>
      <c r="L2" s="59">
        <f>VLOOKUP(D2,INDIRECT("'"&amp;B2&amp;"'!$A$2:$S$999"), 11, 0)</f>
        <v/>
      </c>
      <c r="M2" s="12" t="n"/>
      <c r="N2" s="12" t="n"/>
      <c r="O2" s="12" t="n"/>
      <c r="P2" s="12" t="inlineStr">
        <is>
          <t>SGLJNPJ317588W</t>
        </is>
      </c>
      <c r="Q2" s="12">
        <f>D2</f>
        <v/>
      </c>
      <c r="R2" s="12" t="n"/>
      <c r="S2" s="12" t="n"/>
      <c r="T2" s="12" t="n"/>
      <c r="Z2" s="12" t="n"/>
      <c r="AA2" s="12" t="n"/>
    </row>
    <row r="3" ht="18.75" customHeight="1" s="220">
      <c r="A3" s="30">
        <f>B3&amp;D3</f>
        <v/>
      </c>
      <c r="B3" s="215" t="inlineStr">
        <is>
          <t>Jagganath</t>
        </is>
      </c>
      <c r="C3" s="215" t="n"/>
      <c r="D3" s="12" t="n">
        <v>42</v>
      </c>
      <c r="E3" s="59">
        <f>VLOOKUP(D3,INDIRECT("'"&amp;B3&amp;"'!$A$2:$S$999"), 2, 0)</f>
        <v/>
      </c>
      <c r="F3" s="59">
        <f>VLOOKUP(D3,INDIRECT("'"&amp;B3&amp;"'!$A$2:$S$999"), 5, 0)</f>
        <v/>
      </c>
      <c r="G3" s="59">
        <f>VLOOKUP(D3,INDIRECT("'"&amp;B3&amp;"'!$A$2:$S$999"), 6, 0)</f>
        <v/>
      </c>
      <c r="H3" s="59">
        <f>VLOOKUP(D3,INDIRECT("'"&amp;B3&amp;"'!$A$2:$S$999"), 7, 0)</f>
        <v/>
      </c>
      <c r="I3" s="59">
        <f>VLOOKUP(D3,INDIRECT("'"&amp;B3&amp;"'!$A$2:$S$999"), 8, 0)</f>
        <v/>
      </c>
      <c r="J3" s="59">
        <f>VLOOKUP(D3,INDIRECT("'"&amp;B3&amp;"'!$A$2:$S$999"), 9, 0)</f>
        <v/>
      </c>
      <c r="K3" s="59">
        <f>VLOOKUP(D3,INDIRECT("'"&amp;B3&amp;"'!$A$2:$S$999"), 10, 0)</f>
        <v/>
      </c>
      <c r="L3" s="59">
        <f>VLOOKUP(D3,INDIRECT("'"&amp;B3&amp;"'!$A$2:$S$999"), 11, 0)</f>
        <v/>
      </c>
      <c r="M3" s="12" t="n"/>
      <c r="N3" s="12" t="n"/>
      <c r="O3" s="12" t="n"/>
      <c r="P3" s="12" t="inlineStr">
        <is>
          <t>SGLJNPJ317589W</t>
        </is>
      </c>
      <c r="Q3" s="12">
        <f>D3</f>
        <v/>
      </c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inlineStr">
        <is>
          <t>NEGJA</t>
        </is>
      </c>
      <c r="AB3" s="12" t="inlineStr">
        <is>
          <t>sgl</t>
        </is>
      </c>
    </row>
    <row r="4" ht="18.75" customHeight="1" s="220">
      <c r="A4" s="30">
        <f>B4&amp;D4</f>
        <v/>
      </c>
      <c r="B4" s="215" t="inlineStr">
        <is>
          <t>Jagganath</t>
        </is>
      </c>
      <c r="C4" s="215" t="n"/>
      <c r="D4" s="12" t="n">
        <v>15</v>
      </c>
      <c r="E4" s="59">
        <f>VLOOKUP(D4,INDIRECT("'"&amp;B4&amp;"'!$A$2:$S$999"), 2, 0)</f>
        <v/>
      </c>
      <c r="F4" s="59">
        <f>VLOOKUP(D4,INDIRECT("'"&amp;B4&amp;"'!$A$2:$S$999"), 5, 0)</f>
        <v/>
      </c>
      <c r="G4" s="59">
        <f>VLOOKUP(D4,INDIRECT("'"&amp;B4&amp;"'!$A$2:$S$999"), 6, 0)</f>
        <v/>
      </c>
      <c r="H4" s="59">
        <f>VLOOKUP(D4,INDIRECT("'"&amp;B4&amp;"'!$A$2:$S$999"), 7, 0)</f>
        <v/>
      </c>
      <c r="I4" s="59">
        <f>VLOOKUP(D4,INDIRECT("'"&amp;B4&amp;"'!$A$2:$S$999"), 8, 0)</f>
        <v/>
      </c>
      <c r="J4" s="59">
        <f>VLOOKUP(D4,INDIRECT("'"&amp;B4&amp;"'!$A$2:$S$999"), 9, 0)</f>
        <v/>
      </c>
      <c r="K4" s="59">
        <f>VLOOKUP(D4,INDIRECT("'"&amp;B4&amp;"'!$A$2:$S$999"), 10, 0)</f>
        <v/>
      </c>
      <c r="L4" s="59">
        <f>VLOOKUP(D4,INDIRECT("'"&amp;B4&amp;"'!$A$2:$S$999"), 11, 0)</f>
        <v/>
      </c>
      <c r="M4" s="12">
        <f>IF((SUM(F4:H4)&lt;0.42),$AA$4,((SUM(F4:H4)*$AA$5)))</f>
        <v/>
      </c>
      <c r="N4" s="12">
        <f>IF((SUM(F4:H4)&lt;0.42),$AB$4,((SUM(F4:H4)*$AB$5)))</f>
        <v/>
      </c>
      <c r="O4" s="12">
        <f>IF((SUM(F4:H4)&lt;0.42),$Z$4,((SUM(F4:H4)*$Z$5)))</f>
        <v/>
      </c>
      <c r="P4" s="12" t="inlineStr">
        <is>
          <t>SGLJNPJ320267J</t>
        </is>
      </c>
      <c r="Q4" s="12">
        <f>D4</f>
        <v/>
      </c>
      <c r="R4" s="12" t="n"/>
      <c r="S4" s="12" t="n"/>
      <c r="U4" s="12" t="inlineStr">
        <is>
          <t>NEGJA COST</t>
        </is>
      </c>
      <c r="V4" s="12">
        <f>SUM(M2:M99)</f>
        <v/>
      </c>
      <c r="W4" s="12" t="n">
        <v>12000</v>
      </c>
      <c r="X4" s="12" t="n"/>
      <c r="Y4" s="12" t="inlineStr">
        <is>
          <t>Base Rate</t>
        </is>
      </c>
      <c r="Z4" s="12" t="n">
        <v>264</v>
      </c>
      <c r="AA4" s="12" t="n">
        <v>53</v>
      </c>
      <c r="AB4" s="12" t="n">
        <v>211</v>
      </c>
    </row>
    <row r="5" ht="18.75" customHeight="1" s="220">
      <c r="A5" s="30">
        <f>B5&amp;D5</f>
        <v/>
      </c>
      <c r="B5" s="215" t="inlineStr">
        <is>
          <t>Jagganath</t>
        </is>
      </c>
      <c r="C5" s="215" t="n"/>
      <c r="D5" s="12" t="n">
        <v>4</v>
      </c>
      <c r="E5" s="59">
        <f>VLOOKUP(D5,INDIRECT("'"&amp;B5&amp;"'!$A$2:$S$999"), 2, 0)</f>
        <v/>
      </c>
      <c r="F5" s="59">
        <f>VLOOKUP(D5,INDIRECT("'"&amp;B5&amp;"'!$A$2:$S$999"), 5, 0)</f>
        <v/>
      </c>
      <c r="G5" s="59">
        <f>VLOOKUP(D5,INDIRECT("'"&amp;B5&amp;"'!$A$2:$S$999"), 6, 0)</f>
        <v/>
      </c>
      <c r="H5" s="59">
        <f>VLOOKUP(D5,INDIRECT("'"&amp;B5&amp;"'!$A$2:$S$999"), 7, 0)</f>
        <v/>
      </c>
      <c r="I5" s="59">
        <f>VLOOKUP(D5,INDIRECT("'"&amp;B5&amp;"'!$A$2:$S$999"), 8, 0)</f>
        <v/>
      </c>
      <c r="J5" s="59">
        <f>VLOOKUP(D5,INDIRECT("'"&amp;B5&amp;"'!$A$2:$S$999"), 9, 0)</f>
        <v/>
      </c>
      <c r="K5" s="59">
        <f>VLOOKUP(D5,INDIRECT("'"&amp;B5&amp;"'!$A$2:$S$999"), 10, 0)</f>
        <v/>
      </c>
      <c r="L5" s="59">
        <f>VLOOKUP(D5,INDIRECT("'"&amp;B5&amp;"'!$A$2:$S$999"), 11, 0)</f>
        <v/>
      </c>
      <c r="M5" s="12">
        <f>IF((SUM(F5:H5)&lt;0.42),$AA$4,((SUM(F5:H5)*$AA$5)))</f>
        <v/>
      </c>
      <c r="N5" s="12">
        <f>IF((SUM(F5:H5)&lt;0.42),$AB$4,((SUM(F5:H5)*$AB$5)))</f>
        <v/>
      </c>
      <c r="O5" s="12">
        <f>IF((SUM(F5:H5)&lt;0.42),$Z$4,((SUM(F5:H5)*$Z$5)))</f>
        <v/>
      </c>
      <c r="P5" s="12" t="inlineStr">
        <is>
          <t>SGLJNPJ320268J</t>
        </is>
      </c>
      <c r="Q5" s="12">
        <f>D5</f>
        <v/>
      </c>
      <c r="U5" s="12" t="inlineStr">
        <is>
          <t>SGL COST</t>
        </is>
      </c>
      <c r="V5" s="12">
        <f>SUM(N2:N99)</f>
        <v/>
      </c>
      <c r="W5" s="12" t="n"/>
      <c r="X5" s="12" t="n"/>
      <c r="Y5" s="12" t="inlineStr">
        <is>
          <t>&gt;0.43/ct Rate</t>
        </is>
      </c>
      <c r="Z5" s="12" t="n">
        <v>616</v>
      </c>
      <c r="AA5" s="12" t="n">
        <v>123</v>
      </c>
      <c r="AB5" s="12" t="n">
        <v>493</v>
      </c>
    </row>
    <row r="6" ht="18.75" customHeight="1" s="220">
      <c r="A6" s="30">
        <f>B6&amp;D6</f>
        <v/>
      </c>
      <c r="B6" s="215" t="inlineStr">
        <is>
          <t>Ladies Ring</t>
        </is>
      </c>
      <c r="C6" s="215" t="n"/>
      <c r="D6" s="12" t="n">
        <v>255</v>
      </c>
      <c r="E6" s="59">
        <f>VLOOKUP(D6,INDIRECT("'"&amp;B6&amp;"'!$A$2:$S$999"), 2, 0)</f>
        <v/>
      </c>
      <c r="F6" s="59">
        <f>VLOOKUP(D6,INDIRECT("'"&amp;B6&amp;"'!$A$2:$S$999"), 5, 0)</f>
        <v/>
      </c>
      <c r="G6" s="59">
        <f>VLOOKUP(D6,INDIRECT("'"&amp;B6&amp;"'!$A$2:$S$999"), 6, 0)</f>
        <v/>
      </c>
      <c r="H6" s="59">
        <f>VLOOKUP(D6,INDIRECT("'"&amp;B6&amp;"'!$A$2:$S$999"), 7, 0)</f>
        <v/>
      </c>
      <c r="I6" s="59">
        <f>VLOOKUP(D6,INDIRECT("'"&amp;B6&amp;"'!$A$2:$S$999"), 8, 0)</f>
        <v/>
      </c>
      <c r="J6" s="59">
        <f>VLOOKUP(D6,INDIRECT("'"&amp;B6&amp;"'!$A$2:$S$999"), 9, 0)</f>
        <v/>
      </c>
      <c r="K6" s="59">
        <f>VLOOKUP(D6,INDIRECT("'"&amp;B6&amp;"'!$A$2:$S$999"), 10, 0)</f>
        <v/>
      </c>
      <c r="L6" s="59">
        <f>VLOOKUP(D6,INDIRECT("'"&amp;B6&amp;"'!$A$2:$S$999"), 11, 0)</f>
        <v/>
      </c>
      <c r="M6" s="12">
        <f>IF((SUM(F6:H6)&lt;0.42),$AA$4,((SUM(F6:H6)*$AA$5)))</f>
        <v/>
      </c>
      <c r="N6" s="12">
        <f>IF((SUM(F6:H6)&lt;0.42),$AB$4,((SUM(F6:H6)*$AB$5)))</f>
        <v/>
      </c>
      <c r="O6" s="12">
        <f>IF((SUM(F6:H6)&lt;0.42),$Z$4,((SUM(F6:H6)*$Z$5)))</f>
        <v/>
      </c>
      <c r="P6" s="12" t="inlineStr">
        <is>
          <t>SGLJNPJ320269J</t>
        </is>
      </c>
      <c r="Q6" s="12">
        <f>D6</f>
        <v/>
      </c>
      <c r="R6" s="12" t="n"/>
      <c r="S6" s="12" t="n"/>
      <c r="T6" s="12" t="n"/>
      <c r="U6" s="12" t="inlineStr">
        <is>
          <t>TOTAL</t>
        </is>
      </c>
      <c r="V6" s="12">
        <f>SUM(V4:V5)</f>
        <v/>
      </c>
      <c r="W6" s="12" t="n"/>
      <c r="X6" s="12" t="n"/>
      <c r="Y6" s="12" t="inlineStr">
        <is>
          <t>sol &gt;0.21/ct Rate</t>
        </is>
      </c>
      <c r="Z6" s="12" t="n">
        <v>1100</v>
      </c>
      <c r="AA6" s="12" t="n">
        <v>220</v>
      </c>
      <c r="AB6" s="12" t="n">
        <v>880</v>
      </c>
    </row>
    <row r="7" ht="18.75" customHeight="1" s="220">
      <c r="A7" s="30">
        <f>B7&amp;D7</f>
        <v/>
      </c>
      <c r="B7" s="215" t="inlineStr">
        <is>
          <t>Ladies Ring</t>
        </is>
      </c>
      <c r="C7" s="215" t="n"/>
      <c r="D7" s="12" t="n">
        <v>309</v>
      </c>
      <c r="E7" s="59">
        <f>VLOOKUP(D7,INDIRECT("'"&amp;B7&amp;"'!$A$2:$S$999"), 2, 0)</f>
        <v/>
      </c>
      <c r="F7" s="59">
        <f>VLOOKUP(D7,INDIRECT("'"&amp;B7&amp;"'!$A$2:$S$999"), 5, 0)</f>
        <v/>
      </c>
      <c r="G7" s="59">
        <f>VLOOKUP(D7,INDIRECT("'"&amp;B7&amp;"'!$A$2:$S$999"), 6, 0)</f>
        <v/>
      </c>
      <c r="H7" s="59">
        <f>VLOOKUP(D7,INDIRECT("'"&amp;B7&amp;"'!$A$2:$S$999"), 7, 0)</f>
        <v/>
      </c>
      <c r="I7" s="59">
        <f>VLOOKUP(D7,INDIRECT("'"&amp;B7&amp;"'!$A$2:$S$999"), 8, 0)</f>
        <v/>
      </c>
      <c r="J7" s="59">
        <f>VLOOKUP(D7,INDIRECT("'"&amp;B7&amp;"'!$A$2:$S$999"), 9, 0)</f>
        <v/>
      </c>
      <c r="K7" s="59">
        <f>VLOOKUP(D7,INDIRECT("'"&amp;B7&amp;"'!$A$2:$S$999"), 10, 0)</f>
        <v/>
      </c>
      <c r="L7" s="59">
        <f>VLOOKUP(D7,INDIRECT("'"&amp;B7&amp;"'!$A$2:$S$999"), 11, 0)</f>
        <v/>
      </c>
      <c r="M7" s="12">
        <f>IF((SUM(F7:H7)&lt;0.42),$AA$4,((SUM(F7:H7)*$AA$5)))</f>
        <v/>
      </c>
      <c r="N7" s="12">
        <f>IF((SUM(F7:H7)&lt;0.42),$AB$4,((SUM(F7:H7)*$AB$5)))</f>
        <v/>
      </c>
      <c r="O7" s="12">
        <f>IF((SUM(F7:H7)&lt;0.42),$Z$4,((SUM(F7:H7)*$Z$5)))</f>
        <v/>
      </c>
      <c r="P7" s="12" t="inlineStr">
        <is>
          <t>SGLJNPJ320270J</t>
        </is>
      </c>
      <c r="Q7" s="12">
        <f>D7</f>
        <v/>
      </c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</row>
    <row r="8" ht="18.75" customHeight="1" s="220">
      <c r="A8" s="30">
        <f>B8&amp;D8</f>
        <v/>
      </c>
      <c r="B8" s="215" t="inlineStr">
        <is>
          <t>Ladies Ring</t>
        </is>
      </c>
      <c r="C8" s="215" t="n"/>
      <c r="D8" s="12" t="n">
        <v>157</v>
      </c>
      <c r="E8" s="59">
        <f>VLOOKUP(D8,INDIRECT("'"&amp;B8&amp;"'!$A$2:$S$999"), 2, 0)</f>
        <v/>
      </c>
      <c r="F8" s="59">
        <f>VLOOKUP(D8,INDIRECT("'"&amp;B8&amp;"'!$A$2:$S$999"), 5, 0)</f>
        <v/>
      </c>
      <c r="G8" s="59">
        <f>VLOOKUP(D8,INDIRECT("'"&amp;B8&amp;"'!$A$2:$S$999"), 6, 0)</f>
        <v/>
      </c>
      <c r="H8" s="59">
        <f>VLOOKUP(D8,INDIRECT("'"&amp;B8&amp;"'!$A$2:$S$999"), 7, 0)</f>
        <v/>
      </c>
      <c r="I8" s="59">
        <f>VLOOKUP(D8,INDIRECT("'"&amp;B8&amp;"'!$A$2:$S$999"), 8, 0)</f>
        <v/>
      </c>
      <c r="J8" s="59">
        <f>VLOOKUP(D8,INDIRECT("'"&amp;B8&amp;"'!$A$2:$S$999"), 9, 0)</f>
        <v/>
      </c>
      <c r="K8" s="59">
        <f>VLOOKUP(D8,INDIRECT("'"&amp;B8&amp;"'!$A$2:$S$999"), 10, 0)</f>
        <v/>
      </c>
      <c r="L8" s="59">
        <f>VLOOKUP(D8,INDIRECT("'"&amp;B8&amp;"'!$A$2:$S$999"), 11, 0)</f>
        <v/>
      </c>
      <c r="M8" s="12">
        <f>IF((SUM(F8:H8)&lt;0.42),$AA$4,((SUM(F8:H8)*$AA$5)))</f>
        <v/>
      </c>
      <c r="N8" s="12">
        <f>IF((SUM(F8:H8)&lt;0.42),$AB$4,((SUM(F8:H8)*$AB$5)))</f>
        <v/>
      </c>
      <c r="O8" s="12">
        <f>IF((SUM(F8:H8)&lt;0.42),$Z$4,((SUM(F8:H8)*$Z$5)))</f>
        <v/>
      </c>
      <c r="P8" s="12" t="inlineStr">
        <is>
          <t>SGLJNPJ320271J</t>
        </is>
      </c>
      <c r="Q8" s="12">
        <f>D8</f>
        <v/>
      </c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</row>
    <row r="9" ht="18.75" customHeight="1" s="220">
      <c r="A9" s="30">
        <f>B9&amp;D9</f>
        <v/>
      </c>
      <c r="B9" s="215" t="inlineStr">
        <is>
          <t>Ladies Ring</t>
        </is>
      </c>
      <c r="C9" s="215" t="n"/>
      <c r="D9" s="12" t="n">
        <v>294</v>
      </c>
      <c r="E9" s="59">
        <f>VLOOKUP(D9,INDIRECT("'"&amp;B9&amp;"'!$A$2:$S$999"), 2, 0)</f>
        <v/>
      </c>
      <c r="F9" s="59">
        <f>VLOOKUP(D9,INDIRECT("'"&amp;B9&amp;"'!$A$2:$S$999"), 5, 0)</f>
        <v/>
      </c>
      <c r="G9" s="59">
        <f>VLOOKUP(D9,INDIRECT("'"&amp;B9&amp;"'!$A$2:$S$999"), 6, 0)</f>
        <v/>
      </c>
      <c r="H9" s="59">
        <f>VLOOKUP(D9,INDIRECT("'"&amp;B9&amp;"'!$A$2:$S$999"), 7, 0)</f>
        <v/>
      </c>
      <c r="I9" s="59">
        <f>VLOOKUP(D9,INDIRECT("'"&amp;B9&amp;"'!$A$2:$S$999"), 8, 0)</f>
        <v/>
      </c>
      <c r="J9" s="59">
        <f>VLOOKUP(D9,INDIRECT("'"&amp;B9&amp;"'!$A$2:$S$999"), 9, 0)</f>
        <v/>
      </c>
      <c r="K9" s="59">
        <f>VLOOKUP(D9,INDIRECT("'"&amp;B9&amp;"'!$A$2:$S$999"), 10, 0)</f>
        <v/>
      </c>
      <c r="L9" s="59">
        <f>VLOOKUP(D9,INDIRECT("'"&amp;B9&amp;"'!$A$2:$S$999"), 11, 0)</f>
        <v/>
      </c>
      <c r="M9" s="12">
        <f>IF((SUM(F9:H9)&lt;0.42),$AA$4,((SUM(F9:H9)*$AA$5)))</f>
        <v/>
      </c>
      <c r="N9" s="12">
        <f>IF((SUM(F9:H9)&lt;0.42),$AB$4,((SUM(F9:H9)*$AB$5)))</f>
        <v/>
      </c>
      <c r="O9" s="12">
        <f>IF((SUM(F9:H9)&lt;0.42),$Z$4,((SUM(F9:H9)*$Z$5)))</f>
        <v/>
      </c>
      <c r="P9" s="12" t="inlineStr">
        <is>
          <t>SGLJNPJ320272J</t>
        </is>
      </c>
      <c r="Q9" s="12">
        <f>D9</f>
        <v/>
      </c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</row>
    <row r="10" ht="18.75" customHeight="1" s="220">
      <c r="A10" s="30">
        <f>B10&amp;D10</f>
        <v/>
      </c>
      <c r="B10" s="215" t="inlineStr">
        <is>
          <t>Ladies Ring</t>
        </is>
      </c>
      <c r="C10" s="215" t="n"/>
      <c r="D10" s="12" t="n">
        <v>338</v>
      </c>
      <c r="E10" s="59">
        <f>VLOOKUP(D10,INDIRECT("'"&amp;B10&amp;"'!$A$2:$S$999"), 2, 0)</f>
        <v/>
      </c>
      <c r="F10" s="59">
        <f>VLOOKUP(D10,INDIRECT("'"&amp;B10&amp;"'!$A$2:$S$999"), 5, 0)</f>
        <v/>
      </c>
      <c r="G10" s="59">
        <f>VLOOKUP(D10,INDIRECT("'"&amp;B10&amp;"'!$A$2:$S$999"), 6, 0)</f>
        <v/>
      </c>
      <c r="H10" s="59">
        <f>VLOOKUP(D10,INDIRECT("'"&amp;B10&amp;"'!$A$2:$S$999"), 7, 0)</f>
        <v/>
      </c>
      <c r="I10" s="59">
        <f>VLOOKUP(D10,INDIRECT("'"&amp;B10&amp;"'!$A$2:$S$999"), 8, 0)</f>
        <v/>
      </c>
      <c r="J10" s="59">
        <f>VLOOKUP(D10,INDIRECT("'"&amp;B10&amp;"'!$A$2:$S$999"), 9, 0)</f>
        <v/>
      </c>
      <c r="K10" s="59">
        <f>VLOOKUP(D10,INDIRECT("'"&amp;B10&amp;"'!$A$2:$S$999"), 10, 0)</f>
        <v/>
      </c>
      <c r="L10" s="59">
        <f>VLOOKUP(D10,INDIRECT("'"&amp;B10&amp;"'!$A$2:$S$999"), 11, 0)</f>
        <v/>
      </c>
      <c r="M10" s="12">
        <f>IF((SUM(F10:H10)&lt;0.42),$AA$4,((SUM(F10:H10)*$AA$5)))</f>
        <v/>
      </c>
      <c r="N10" s="12">
        <f>IF((SUM(F10:H10)&lt;0.42),$AB$4,((SUM(F10:H10)*$AB$5)))</f>
        <v/>
      </c>
      <c r="O10" s="12">
        <f>IF((SUM(F10:H10)&lt;0.42),$Z$4,((SUM(F10:H10)*$Z$5)))</f>
        <v/>
      </c>
      <c r="P10" s="12" t="inlineStr">
        <is>
          <t>SGLJNPJ320273J</t>
        </is>
      </c>
      <c r="Q10" s="12">
        <f>D10</f>
        <v/>
      </c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</row>
    <row r="11" ht="18.75" customHeight="1" s="220">
      <c r="A11" s="30">
        <f>B11&amp;D11</f>
        <v/>
      </c>
      <c r="B11" s="215" t="inlineStr">
        <is>
          <t>Jagganath</t>
        </is>
      </c>
      <c r="C11" s="215" t="n"/>
      <c r="D11" s="12" t="n">
        <v>7</v>
      </c>
      <c r="E11" s="59">
        <f>VLOOKUP(D11,INDIRECT("'"&amp;B11&amp;"'!$A$2:$S$999"), 2, 0)</f>
        <v/>
      </c>
      <c r="F11" s="59">
        <f>VLOOKUP(D11,INDIRECT("'"&amp;B11&amp;"'!$A$2:$S$999"), 5, 0)</f>
        <v/>
      </c>
      <c r="G11" s="59">
        <f>VLOOKUP(D11,INDIRECT("'"&amp;B11&amp;"'!$A$2:$S$999"), 6, 0)</f>
        <v/>
      </c>
      <c r="H11" s="59">
        <f>VLOOKUP(D11,INDIRECT("'"&amp;B11&amp;"'!$A$2:$S$999"), 7, 0)</f>
        <v/>
      </c>
      <c r="I11" s="59">
        <f>VLOOKUP(D11,INDIRECT("'"&amp;B11&amp;"'!$A$2:$S$999"), 8, 0)</f>
        <v/>
      </c>
      <c r="J11" s="59">
        <f>VLOOKUP(D11,INDIRECT("'"&amp;B11&amp;"'!$A$2:$S$999"), 9, 0)</f>
        <v/>
      </c>
      <c r="K11" s="59">
        <f>VLOOKUP(D11,INDIRECT("'"&amp;B11&amp;"'!$A$2:$S$999"), 10, 0)</f>
        <v/>
      </c>
      <c r="L11" s="59">
        <f>VLOOKUP(D11,INDIRECT("'"&amp;B11&amp;"'!$A$2:$S$999"), 11, 0)</f>
        <v/>
      </c>
      <c r="M11" s="12">
        <f>IF((SUM(F11:H11)&lt;0.42),$AA$4,((SUM(F11:H11)*$AA$5)))</f>
        <v/>
      </c>
      <c r="N11" s="12">
        <f>IF((SUM(F11:H11)&lt;0.42),$AB$4,((SUM(F11:H11)*$AB$5)))</f>
        <v/>
      </c>
      <c r="O11" s="12">
        <f>IF((SUM(F11:H11)&lt;0.42),$Z$4,((SUM(F11:H11)*$Z$5)))</f>
        <v/>
      </c>
      <c r="P11" s="12" t="inlineStr">
        <is>
          <t>SGLJNPJ320274J</t>
        </is>
      </c>
      <c r="Q11" s="12">
        <f>D11</f>
        <v/>
      </c>
      <c r="U11" s="12" t="n"/>
      <c r="V11" s="12" t="n"/>
      <c r="W11" s="12" t="n"/>
      <c r="X11" s="12" t="n"/>
      <c r="Y11" s="12" t="n"/>
      <c r="Z11" s="12" t="n"/>
      <c r="AA11" s="12" t="n"/>
    </row>
    <row r="12" ht="18.75" customHeight="1" s="220">
      <c r="A12" s="30">
        <f>B12&amp;D12</f>
        <v/>
      </c>
      <c r="B12" s="215" t="inlineStr">
        <is>
          <t>Jagganath</t>
        </is>
      </c>
      <c r="C12" s="215" t="n"/>
      <c r="D12" s="12" t="n">
        <v>14</v>
      </c>
      <c r="E12" s="59">
        <f>VLOOKUP(D12,INDIRECT("'"&amp;B12&amp;"'!$A$2:$S$999"), 2, 0)</f>
        <v/>
      </c>
      <c r="F12" s="59">
        <f>VLOOKUP(D12,INDIRECT("'"&amp;B12&amp;"'!$A$2:$S$999"), 5, 0)</f>
        <v/>
      </c>
      <c r="G12" s="59">
        <f>VLOOKUP(D12,INDIRECT("'"&amp;B12&amp;"'!$A$2:$S$999"), 6, 0)</f>
        <v/>
      </c>
      <c r="H12" s="59">
        <f>VLOOKUP(D12,INDIRECT("'"&amp;B12&amp;"'!$A$2:$S$999"), 7, 0)</f>
        <v/>
      </c>
      <c r="I12" s="59">
        <f>VLOOKUP(D12,INDIRECT("'"&amp;B12&amp;"'!$A$2:$S$999"), 8, 0)</f>
        <v/>
      </c>
      <c r="J12" s="59">
        <f>VLOOKUP(D12,INDIRECT("'"&amp;B12&amp;"'!$A$2:$S$999"), 9, 0)</f>
        <v/>
      </c>
      <c r="K12" s="59">
        <f>VLOOKUP(D12,INDIRECT("'"&amp;B12&amp;"'!$A$2:$S$999"), 10, 0)</f>
        <v/>
      </c>
      <c r="L12" s="59">
        <f>VLOOKUP(D12,INDIRECT("'"&amp;B12&amp;"'!$A$2:$S$999"), 11, 0)</f>
        <v/>
      </c>
      <c r="M12" s="12">
        <f>IF((SUM(F12:H12)&lt;0.42),$AA$4,((SUM(F12:H12)*$AA$5)))</f>
        <v/>
      </c>
      <c r="N12" s="12">
        <f>IF((SUM(F12:H12)&lt;0.42),$AB$4,((SUM(F12:H12)*$AB$5)))</f>
        <v/>
      </c>
      <c r="O12" s="12">
        <f>IF((SUM(F12:H12)&lt;0.42),$Z$4,((SUM(F12:H12)*$Z$5)))</f>
        <v/>
      </c>
      <c r="P12" s="12" t="inlineStr">
        <is>
          <t>SGLJNPJ320275J</t>
        </is>
      </c>
      <c r="Q12" s="12">
        <f>D12</f>
        <v/>
      </c>
      <c r="R12" s="12" t="n"/>
      <c r="S12" s="12" t="n"/>
      <c r="U12" s="12" t="n"/>
      <c r="V12" s="12" t="n"/>
      <c r="W12" s="12" t="n"/>
      <c r="X12" s="12" t="n"/>
      <c r="Y12" s="12" t="n"/>
      <c r="Z12" s="12" t="n"/>
      <c r="AA12" s="12" t="n"/>
    </row>
    <row r="13" ht="18.75" customHeight="1" s="220">
      <c r="A13" s="30">
        <f>B13&amp;D13</f>
        <v/>
      </c>
      <c r="B13" s="215" t="inlineStr">
        <is>
          <t>Jagganath</t>
        </is>
      </c>
      <c r="C13" s="215" t="n"/>
      <c r="D13" s="12" t="n">
        <v>1</v>
      </c>
      <c r="E13" s="59">
        <f>VLOOKUP(D13,INDIRECT("'"&amp;B13&amp;"'!$A$2:$S$999"), 2, 0)</f>
        <v/>
      </c>
      <c r="F13" s="59">
        <f>VLOOKUP(D13,INDIRECT("'"&amp;B13&amp;"'!$A$2:$S$999"), 5, 0)</f>
        <v/>
      </c>
      <c r="G13" s="59">
        <f>VLOOKUP(D13,INDIRECT("'"&amp;B13&amp;"'!$A$2:$S$999"), 6, 0)</f>
        <v/>
      </c>
      <c r="H13" s="59">
        <f>VLOOKUP(D13,INDIRECT("'"&amp;B13&amp;"'!$A$2:$S$999"), 7, 0)</f>
        <v/>
      </c>
      <c r="I13" s="59">
        <f>VLOOKUP(D13,INDIRECT("'"&amp;B13&amp;"'!$A$2:$S$999"), 8, 0)</f>
        <v/>
      </c>
      <c r="J13" s="59">
        <f>VLOOKUP(D13,INDIRECT("'"&amp;B13&amp;"'!$A$2:$S$999"), 9, 0)</f>
        <v/>
      </c>
      <c r="K13" s="59">
        <f>VLOOKUP(D13,INDIRECT("'"&amp;B13&amp;"'!$A$2:$S$999"), 10, 0)</f>
        <v/>
      </c>
      <c r="L13" s="59">
        <f>VLOOKUP(D13,INDIRECT("'"&amp;B13&amp;"'!$A$2:$S$999"), 11, 0)</f>
        <v/>
      </c>
      <c r="M13" s="12">
        <f>IF((SUM(F13:H13)&lt;0.42),$AA$4,((SUM(F13:H13)*$AA$5)))</f>
        <v/>
      </c>
      <c r="N13" s="12">
        <f>IF((SUM(F13:H13)&lt;0.42),$AB$4,((SUM(F13:H13)*$AB$5)))</f>
        <v/>
      </c>
      <c r="O13" s="12">
        <f>IF((SUM(F13:H13)&lt;0.42),$Z$4,((SUM(F13:H13)*$Z$5)))</f>
        <v/>
      </c>
      <c r="P13" s="12" t="inlineStr">
        <is>
          <t>SGLJNPJ320276J</t>
        </is>
      </c>
      <c r="Q13" s="12">
        <f>D13</f>
        <v/>
      </c>
      <c r="U13" s="12" t="n"/>
      <c r="V13" s="12" t="n"/>
      <c r="W13" s="12" t="n"/>
      <c r="X13" s="12" t="n"/>
      <c r="Y13" s="12" t="n"/>
      <c r="Z13" s="12" t="n"/>
      <c r="AA13" s="12" t="n"/>
    </row>
    <row r="14" ht="18.75" customHeight="1" s="220">
      <c r="A14" s="30">
        <f>B14&amp;D14</f>
        <v/>
      </c>
      <c r="B14" s="215" t="inlineStr">
        <is>
          <t>Ladies Ring</t>
        </is>
      </c>
      <c r="C14" s="215" t="n"/>
      <c r="D14" s="12" t="n">
        <v>329</v>
      </c>
      <c r="E14" s="59">
        <f>VLOOKUP(D14,INDIRECT("'"&amp;B14&amp;"'!$A$2:$S$999"), 2, 0)</f>
        <v/>
      </c>
      <c r="F14" s="59">
        <f>VLOOKUP(D14,INDIRECT("'"&amp;B14&amp;"'!$A$2:$S$999"), 5, 0)</f>
        <v/>
      </c>
      <c r="G14" s="59">
        <f>VLOOKUP(D14,INDIRECT("'"&amp;B14&amp;"'!$A$2:$S$999"), 6, 0)</f>
        <v/>
      </c>
      <c r="H14" s="59">
        <f>VLOOKUP(D14,INDIRECT("'"&amp;B14&amp;"'!$A$2:$S$999"), 7, 0)</f>
        <v/>
      </c>
      <c r="I14" s="59">
        <f>VLOOKUP(D14,INDIRECT("'"&amp;B14&amp;"'!$A$2:$S$999"), 8, 0)</f>
        <v/>
      </c>
      <c r="J14" s="59">
        <f>VLOOKUP(D14,INDIRECT("'"&amp;B14&amp;"'!$A$2:$S$999"), 9, 0)</f>
        <v/>
      </c>
      <c r="K14" s="59">
        <f>VLOOKUP(D14,INDIRECT("'"&amp;B14&amp;"'!$A$2:$S$999"), 10, 0)</f>
        <v/>
      </c>
      <c r="L14" s="59">
        <f>VLOOKUP(D14,INDIRECT("'"&amp;B14&amp;"'!$A$2:$S$999"), 11, 0)</f>
        <v/>
      </c>
      <c r="M14" s="12">
        <f>IF((SUM(F14:H14)&lt;0.42),$AA$4,((SUM(F14:H14)*$AA$5)))</f>
        <v/>
      </c>
      <c r="N14" s="12">
        <f>IF((SUM(F14:H14)&lt;0.42),$AB$4,((SUM(F14:H14)*$AB$5)))</f>
        <v/>
      </c>
      <c r="O14" s="12">
        <f>IF((SUM(F14:H14)&lt;0.42),$Z$4,((SUM(F14:H14)*$Z$5)))</f>
        <v/>
      </c>
      <c r="P14" s="12" t="inlineStr">
        <is>
          <t>SGLJNPJ320277J</t>
        </is>
      </c>
      <c r="Q14" s="12">
        <f>D14</f>
        <v/>
      </c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</row>
    <row r="15" ht="18.75" customHeight="1" s="220">
      <c r="A15" s="30">
        <f>B15&amp;D15</f>
        <v/>
      </c>
      <c r="B15" s="215" t="inlineStr">
        <is>
          <t>Ladies Ring</t>
        </is>
      </c>
      <c r="C15" s="215" t="n"/>
      <c r="D15" s="12" t="n">
        <v>313</v>
      </c>
      <c r="E15" s="59">
        <f>VLOOKUP(D15,INDIRECT("'"&amp;B15&amp;"'!$A$2:$S$999"), 2, 0)</f>
        <v/>
      </c>
      <c r="F15" s="59">
        <f>VLOOKUP(D15,INDIRECT("'"&amp;B15&amp;"'!$A$2:$S$999"), 5, 0)</f>
        <v/>
      </c>
      <c r="G15" s="59">
        <f>VLOOKUP(D15,INDIRECT("'"&amp;B15&amp;"'!$A$2:$S$999"), 6, 0)</f>
        <v/>
      </c>
      <c r="H15" s="59">
        <f>VLOOKUP(D15,INDIRECT("'"&amp;B15&amp;"'!$A$2:$S$999"), 7, 0)</f>
        <v/>
      </c>
      <c r="I15" s="59">
        <f>VLOOKUP(D15,INDIRECT("'"&amp;B15&amp;"'!$A$2:$S$999"), 8, 0)</f>
        <v/>
      </c>
      <c r="J15" s="59">
        <f>VLOOKUP(D15,INDIRECT("'"&amp;B15&amp;"'!$A$2:$S$999"), 9, 0)</f>
        <v/>
      </c>
      <c r="K15" s="59">
        <f>VLOOKUP(D15,INDIRECT("'"&amp;B15&amp;"'!$A$2:$S$999"), 10, 0)</f>
        <v/>
      </c>
      <c r="L15" s="59">
        <f>VLOOKUP(D15,INDIRECT("'"&amp;B15&amp;"'!$A$2:$S$999"), 11, 0)</f>
        <v/>
      </c>
      <c r="M15" s="12">
        <f>IF((SUM(F15:H15)&lt;0.42),$AA$4,((SUM(F15:H15)*$AA$5)))</f>
        <v/>
      </c>
      <c r="N15" s="12">
        <f>IF((SUM(F15:H15)&lt;0.42),$AB$4,((SUM(F15:H15)*$AB$5)))</f>
        <v/>
      </c>
      <c r="O15" s="12">
        <f>IF((SUM(F15:H15)&lt;0.42),$Z$4,((SUM(F15:H15)*$Z$5)))</f>
        <v/>
      </c>
      <c r="P15" s="12" t="inlineStr">
        <is>
          <t>SGLJNPJ320278J</t>
        </is>
      </c>
      <c r="Q15" s="12">
        <f>D15</f>
        <v/>
      </c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</row>
    <row r="16" ht="18.75" customHeight="1" s="220">
      <c r="A16" s="30">
        <f>B16&amp;D16</f>
        <v/>
      </c>
      <c r="B16" s="215" t="inlineStr">
        <is>
          <t>Ladies Ring</t>
        </is>
      </c>
      <c r="C16" s="215" t="n"/>
      <c r="D16" s="12" t="n">
        <v>199</v>
      </c>
      <c r="E16" s="59">
        <f>VLOOKUP(D16,INDIRECT("'"&amp;B16&amp;"'!$A$2:$S$999"), 2, 0)</f>
        <v/>
      </c>
      <c r="F16" s="59">
        <f>VLOOKUP(D16,INDIRECT("'"&amp;B16&amp;"'!$A$2:$S$999"), 5, 0)</f>
        <v/>
      </c>
      <c r="G16" s="59">
        <f>VLOOKUP(D16,INDIRECT("'"&amp;B16&amp;"'!$A$2:$S$999"), 6, 0)</f>
        <v/>
      </c>
      <c r="H16" s="59">
        <f>VLOOKUP(D16,INDIRECT("'"&amp;B16&amp;"'!$A$2:$S$999"), 7, 0)</f>
        <v/>
      </c>
      <c r="I16" s="59">
        <f>VLOOKUP(D16,INDIRECT("'"&amp;B16&amp;"'!$A$2:$S$999"), 8, 0)</f>
        <v/>
      </c>
      <c r="J16" s="59">
        <f>VLOOKUP(D16,INDIRECT("'"&amp;B16&amp;"'!$A$2:$S$999"), 9, 0)</f>
        <v/>
      </c>
      <c r="K16" s="59">
        <f>VLOOKUP(D16,INDIRECT("'"&amp;B16&amp;"'!$A$2:$S$999"), 10, 0)</f>
        <v/>
      </c>
      <c r="L16" s="59">
        <f>VLOOKUP(D16,INDIRECT("'"&amp;B16&amp;"'!$A$2:$S$999"), 11, 0)</f>
        <v/>
      </c>
      <c r="M16" s="12">
        <f>IF((SUM(F16:H16)&lt;0.42),$AA$4,((SUM(F16:H16)*$AA$5)))</f>
        <v/>
      </c>
      <c r="N16" s="12">
        <f>IF((SUM(F16:H16)&lt;0.42),$AB$4,((SUM(F16:H16)*$AB$5)))</f>
        <v/>
      </c>
      <c r="O16" s="12">
        <f>IF((SUM(F16:H16)&lt;0.42),$Z$4,((SUM(F16:H16)*$Z$5)))</f>
        <v/>
      </c>
      <c r="P16" s="12" t="inlineStr">
        <is>
          <t>SGLJNPJ320279J</t>
        </is>
      </c>
      <c r="Q16" s="12">
        <f>D16</f>
        <v/>
      </c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</row>
    <row r="17" ht="18.75" customHeight="1" s="220">
      <c r="A17" s="30">
        <f>B17&amp;D17</f>
        <v/>
      </c>
      <c r="B17" s="215" t="inlineStr">
        <is>
          <t>Ladies Ring</t>
        </is>
      </c>
      <c r="C17" s="215" t="n"/>
      <c r="D17" s="12" t="n">
        <v>228</v>
      </c>
      <c r="E17" s="59">
        <f>VLOOKUP(D17,INDIRECT("'"&amp;B17&amp;"'!$A$2:$S$999"), 2, 0)</f>
        <v/>
      </c>
      <c r="F17" s="59">
        <f>VLOOKUP(D17,INDIRECT("'"&amp;B17&amp;"'!$A$2:$S$999"), 5, 0)</f>
        <v/>
      </c>
      <c r="G17" s="59">
        <f>VLOOKUP(D17,INDIRECT("'"&amp;B17&amp;"'!$A$2:$S$999"), 6, 0)</f>
        <v/>
      </c>
      <c r="H17" s="59">
        <f>VLOOKUP(D17,INDIRECT("'"&amp;B17&amp;"'!$A$2:$S$999"), 7, 0)</f>
        <v/>
      </c>
      <c r="I17" s="59">
        <f>VLOOKUP(D17,INDIRECT("'"&amp;B17&amp;"'!$A$2:$S$999"), 8, 0)</f>
        <v/>
      </c>
      <c r="J17" s="59">
        <f>VLOOKUP(D17,INDIRECT("'"&amp;B17&amp;"'!$A$2:$S$999"), 9, 0)</f>
        <v/>
      </c>
      <c r="K17" s="59">
        <f>VLOOKUP(D17,INDIRECT("'"&amp;B17&amp;"'!$A$2:$S$999"), 10, 0)</f>
        <v/>
      </c>
      <c r="L17" s="59">
        <f>VLOOKUP(D17,INDIRECT("'"&amp;B17&amp;"'!$A$2:$S$999"), 11, 0)</f>
        <v/>
      </c>
      <c r="M17" s="12">
        <f>IF((SUM(F17:H17)&lt;0.42),$AA$4,((SUM(F17:H17)*$AA$5)))</f>
        <v/>
      </c>
      <c r="N17" s="12">
        <f>IF((SUM(F17:H17)&lt;0.42),$AB$4,((SUM(F17:H17)*$AB$5)))</f>
        <v/>
      </c>
      <c r="O17" s="12">
        <f>IF((SUM(F17:H17)&lt;0.42),$Z$4,((SUM(F17:H17)*$Z$5)))</f>
        <v/>
      </c>
      <c r="P17" s="12" t="inlineStr">
        <is>
          <t>SGLJNPJ320280J</t>
        </is>
      </c>
      <c r="Q17" s="12">
        <f>D17</f>
        <v/>
      </c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</row>
    <row r="18" ht="18.75" customHeight="1" s="220">
      <c r="A18" s="30">
        <f>B18&amp;D18</f>
        <v/>
      </c>
      <c r="B18" s="215" t="inlineStr">
        <is>
          <t>Ladies Ring</t>
        </is>
      </c>
      <c r="C18" s="215" t="n"/>
      <c r="D18" s="12" t="n">
        <v>337</v>
      </c>
      <c r="E18" s="59">
        <f>VLOOKUP(D18,INDIRECT("'"&amp;B18&amp;"'!$A$2:$S$999"), 2, 0)</f>
        <v/>
      </c>
      <c r="F18" s="59">
        <f>VLOOKUP(D18,INDIRECT("'"&amp;B18&amp;"'!$A$2:$S$999"), 5, 0)</f>
        <v/>
      </c>
      <c r="G18" s="59">
        <f>VLOOKUP(D18,INDIRECT("'"&amp;B18&amp;"'!$A$2:$S$999"), 6, 0)</f>
        <v/>
      </c>
      <c r="H18" s="59">
        <f>VLOOKUP(D18,INDIRECT("'"&amp;B18&amp;"'!$A$2:$S$999"), 7, 0)</f>
        <v/>
      </c>
      <c r="I18" s="59">
        <f>VLOOKUP(D18,INDIRECT("'"&amp;B18&amp;"'!$A$2:$S$999"), 8, 0)</f>
        <v/>
      </c>
      <c r="J18" s="59">
        <f>VLOOKUP(D18,INDIRECT("'"&amp;B18&amp;"'!$A$2:$S$999"), 9, 0)</f>
        <v/>
      </c>
      <c r="K18" s="59">
        <f>VLOOKUP(D18,INDIRECT("'"&amp;B18&amp;"'!$A$2:$S$999"), 10, 0)</f>
        <v/>
      </c>
      <c r="L18" s="59">
        <f>VLOOKUP(D18,INDIRECT("'"&amp;B18&amp;"'!$A$2:$S$999"), 11, 0)</f>
        <v/>
      </c>
      <c r="M18" s="12">
        <f>IF((SUM(F18:H18)&lt;0.42),$AA$4,((SUM(F18:H18)*$AA$5)))</f>
        <v/>
      </c>
      <c r="N18" s="12">
        <f>IF((SUM(F18:H18)&lt;0.42),$AB$4,((SUM(F18:H18)*$AB$5)))</f>
        <v/>
      </c>
      <c r="O18" s="12">
        <f>IF((SUM(F18:H18)&lt;0.42),$Z$4,((SUM(F18:H18)*$Z$5)))</f>
        <v/>
      </c>
      <c r="P18" s="12" t="inlineStr">
        <is>
          <t>SGLJNPJ320281J</t>
        </is>
      </c>
      <c r="Q18" s="12">
        <f>D18</f>
        <v/>
      </c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</row>
    <row r="19" ht="18.75" customHeight="1" s="220">
      <c r="A19" s="30">
        <f>B19&amp;D19</f>
        <v/>
      </c>
      <c r="B19" s="215" t="inlineStr">
        <is>
          <t>Ladies Ring</t>
        </is>
      </c>
      <c r="C19" s="215" t="n">
        <v>1419</v>
      </c>
      <c r="D19" s="12" t="n">
        <v>12</v>
      </c>
      <c r="E19" s="59">
        <f>VLOOKUP(D19,INDIRECT("'"&amp;B19&amp;"'!$A$2:$S$999"), 2, 0)</f>
        <v/>
      </c>
      <c r="F19" s="59">
        <f>VLOOKUP(D19,INDIRECT("'"&amp;B19&amp;"'!$A$2:$S$999"), 5, 0)</f>
        <v/>
      </c>
      <c r="G19" s="59">
        <f>VLOOKUP(D19,INDIRECT("'"&amp;B19&amp;"'!$A$2:$S$999"), 6, 0)</f>
        <v/>
      </c>
      <c r="H19" s="59">
        <f>VLOOKUP(D19,INDIRECT("'"&amp;B19&amp;"'!$A$2:$S$999"), 7, 0)</f>
        <v/>
      </c>
      <c r="I19" s="59">
        <f>VLOOKUP(D19,INDIRECT("'"&amp;B19&amp;"'!$A$2:$S$999"), 8, 0)</f>
        <v/>
      </c>
      <c r="J19" s="59">
        <f>VLOOKUP(D19,INDIRECT("'"&amp;B19&amp;"'!$A$2:$S$999"), 9, 0)</f>
        <v/>
      </c>
      <c r="K19" s="59">
        <f>VLOOKUP(D19,INDIRECT("'"&amp;B19&amp;"'!$A$2:$S$999"), 10, 0)</f>
        <v/>
      </c>
      <c r="L19" s="59">
        <f>VLOOKUP(D19,INDIRECT("'"&amp;B19&amp;"'!$A$2:$S$999"), 11, 0)</f>
        <v/>
      </c>
      <c r="M19" s="12">
        <f>IF((SUM(F19:H19)&lt;0.42),$AA$4,((SUM(F19:H19)*$AA$5)))</f>
        <v/>
      </c>
      <c r="N19" s="12">
        <f>IF((SUM(F19:H19)&lt;0.42),$AB$4,((SUM(F19:H19)*$AB$5)))</f>
        <v/>
      </c>
      <c r="O19" s="12">
        <f>IF((SUM(F19:H19)&lt;0.42),$Z$4,((SUM(F19:H19)*$Z$5)))</f>
        <v/>
      </c>
      <c r="P19" s="12" t="inlineStr">
        <is>
          <t>SGLJNPJ320339K</t>
        </is>
      </c>
      <c r="Q19" s="12">
        <f>D19</f>
        <v/>
      </c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</row>
    <row r="20" ht="18.75" customHeight="1" s="220">
      <c r="A20" s="30">
        <f>B20&amp;D20</f>
        <v/>
      </c>
      <c r="B20" s="215" t="inlineStr">
        <is>
          <t>Ladies Ring</t>
        </is>
      </c>
      <c r="C20" s="215" t="n">
        <v>2242</v>
      </c>
      <c r="D20" s="12" t="n">
        <v>163</v>
      </c>
      <c r="E20" s="59">
        <f>VLOOKUP(D20,INDIRECT("'"&amp;B20&amp;"'!$A$2:$S$999"), 2, 0)</f>
        <v/>
      </c>
      <c r="F20" s="59">
        <f>VLOOKUP(D20,INDIRECT("'"&amp;B20&amp;"'!$A$2:$S$999"), 5, 0)</f>
        <v/>
      </c>
      <c r="G20" s="59">
        <f>VLOOKUP(D20,INDIRECT("'"&amp;B20&amp;"'!$A$2:$S$999"), 6, 0)</f>
        <v/>
      </c>
      <c r="H20" s="59">
        <f>VLOOKUP(D20,INDIRECT("'"&amp;B20&amp;"'!$A$2:$S$999"), 7, 0)</f>
        <v/>
      </c>
      <c r="I20" s="59">
        <f>VLOOKUP(D20,INDIRECT("'"&amp;B20&amp;"'!$A$2:$S$999"), 8, 0)</f>
        <v/>
      </c>
      <c r="J20" s="59">
        <f>VLOOKUP(D20,INDIRECT("'"&amp;B20&amp;"'!$A$2:$S$999"), 9, 0)</f>
        <v/>
      </c>
      <c r="K20" s="59">
        <f>VLOOKUP(D20,INDIRECT("'"&amp;B20&amp;"'!$A$2:$S$999"), 10, 0)</f>
        <v/>
      </c>
      <c r="L20" s="59">
        <f>VLOOKUP(D20,INDIRECT("'"&amp;B20&amp;"'!$A$2:$S$999"), 11, 0)</f>
        <v/>
      </c>
      <c r="M20" s="12">
        <f>IF((SUM(F20:H20)&lt;0.42),$AA$4,((SUM(F20:H20)*$AA$5)))</f>
        <v/>
      </c>
      <c r="N20" s="12">
        <f>IF((SUM(F20:H20)&lt;0.42),$AB$4,((SUM(F20:H20)*$AB$5)))</f>
        <v/>
      </c>
      <c r="O20" s="12">
        <f>IF((SUM(F20:H20)&lt;0.42),$Z$4,((SUM(F20:H20)*$Z$5)))</f>
        <v/>
      </c>
      <c r="P20" s="12" t="inlineStr">
        <is>
          <t>SGLJNPJ320340K</t>
        </is>
      </c>
      <c r="Q20" s="12">
        <f>D20</f>
        <v/>
      </c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</row>
    <row r="21" ht="18.75" customHeight="1" s="220">
      <c r="A21" s="30">
        <f>B21&amp;D21</f>
        <v/>
      </c>
      <c r="B21" s="215" t="inlineStr">
        <is>
          <t>Ladies Ring</t>
        </is>
      </c>
      <c r="C21" s="215" t="n">
        <v>4647</v>
      </c>
      <c r="D21" s="12" t="n">
        <v>289</v>
      </c>
      <c r="E21" s="59">
        <f>VLOOKUP(D21,INDIRECT("'"&amp;B21&amp;"'!$A$2:$S$999"), 2, 0)</f>
        <v/>
      </c>
      <c r="F21" s="59">
        <f>VLOOKUP(D21,INDIRECT("'"&amp;B21&amp;"'!$A$2:$S$999"), 5, 0)</f>
        <v/>
      </c>
      <c r="G21" s="59">
        <f>VLOOKUP(D21,INDIRECT("'"&amp;B21&amp;"'!$A$2:$S$999"), 6, 0)</f>
        <v/>
      </c>
      <c r="H21" s="59">
        <f>VLOOKUP(D21,INDIRECT("'"&amp;B21&amp;"'!$A$2:$S$999"), 7, 0)</f>
        <v/>
      </c>
      <c r="I21" s="59">
        <f>VLOOKUP(D21,INDIRECT("'"&amp;B21&amp;"'!$A$2:$S$999"), 8, 0)</f>
        <v/>
      </c>
      <c r="J21" s="59">
        <f>VLOOKUP(D21,INDIRECT("'"&amp;B21&amp;"'!$A$2:$S$999"), 9, 0)</f>
        <v/>
      </c>
      <c r="K21" s="59">
        <f>VLOOKUP(D21,INDIRECT("'"&amp;B21&amp;"'!$A$2:$S$999"), 10, 0)</f>
        <v/>
      </c>
      <c r="L21" s="59">
        <f>VLOOKUP(D21,INDIRECT("'"&amp;B21&amp;"'!$A$2:$S$999"), 11, 0)</f>
        <v/>
      </c>
      <c r="M21" s="12">
        <f>IF((SUM(F21:H21)&lt;0.42),$AA$4,((SUM(F21:H21)*$AA$5)))</f>
        <v/>
      </c>
      <c r="N21" s="12">
        <f>IF((SUM(F21:H21)&lt;0.42),$AB$4,((SUM(F21:H21)*$AB$5)))</f>
        <v/>
      </c>
      <c r="O21" s="12">
        <f>IF((SUM(F21:H21)&lt;0.42),$Z$4,((SUM(F21:H21)*$Z$5)))</f>
        <v/>
      </c>
      <c r="P21" s="12" t="inlineStr">
        <is>
          <t>SGLJNPJ320341K</t>
        </is>
      </c>
      <c r="Q21" s="12">
        <f>D21</f>
        <v/>
      </c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</row>
    <row r="22" ht="18.75" customHeight="1" s="220">
      <c r="A22" s="30">
        <f>B22&amp;D22</f>
        <v/>
      </c>
      <c r="B22" s="215" t="inlineStr">
        <is>
          <t>Ladies Ring</t>
        </is>
      </c>
      <c r="C22" s="215" t="n">
        <v>3451</v>
      </c>
      <c r="D22" s="12" t="n">
        <v>270</v>
      </c>
      <c r="E22" s="59">
        <f>VLOOKUP(D22,INDIRECT("'"&amp;B22&amp;"'!$A$2:$S$999"), 2, 0)</f>
        <v/>
      </c>
      <c r="F22" s="59">
        <f>VLOOKUP(D22,INDIRECT("'"&amp;B22&amp;"'!$A$2:$S$999"), 5, 0)</f>
        <v/>
      </c>
      <c r="G22" s="59">
        <f>VLOOKUP(D22,INDIRECT("'"&amp;B22&amp;"'!$A$2:$S$999"), 6, 0)</f>
        <v/>
      </c>
      <c r="H22" s="59">
        <f>VLOOKUP(D22,INDIRECT("'"&amp;B22&amp;"'!$A$2:$S$999"), 7, 0)</f>
        <v/>
      </c>
      <c r="I22" s="59">
        <f>VLOOKUP(D22,INDIRECT("'"&amp;B22&amp;"'!$A$2:$S$999"), 8, 0)</f>
        <v/>
      </c>
      <c r="J22" s="59">
        <f>VLOOKUP(D22,INDIRECT("'"&amp;B22&amp;"'!$A$2:$S$999"), 9, 0)</f>
        <v/>
      </c>
      <c r="K22" s="59">
        <f>VLOOKUP(D22,INDIRECT("'"&amp;B22&amp;"'!$A$2:$S$999"), 10, 0)</f>
        <v/>
      </c>
      <c r="L22" s="59">
        <f>VLOOKUP(D22,INDIRECT("'"&amp;B22&amp;"'!$A$2:$S$999"), 11, 0)</f>
        <v/>
      </c>
      <c r="M22" s="12">
        <f>IF((SUM(F22:H22)&lt;0.42),$AA$4,((SUM(F22:H22)*$AA$5)))</f>
        <v/>
      </c>
      <c r="N22" s="12">
        <f>IF((SUM(F22:H22)&lt;0.42),$AB$4,((SUM(F22:H22)*$AB$5)))</f>
        <v/>
      </c>
      <c r="O22" s="12">
        <f>IF((SUM(F22:H22)&lt;0.42),$Z$4,((SUM(F22:H22)*$Z$5)))</f>
        <v/>
      </c>
      <c r="P22" s="12" t="inlineStr">
        <is>
          <t>SGLJNPJ320342K</t>
        </is>
      </c>
      <c r="Q22" s="12">
        <f>D22</f>
        <v/>
      </c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</row>
    <row r="23" ht="18.75" customHeight="1" s="220">
      <c r="A23" s="30">
        <f>B23&amp;D23</f>
        <v/>
      </c>
      <c r="B23" s="215" t="inlineStr">
        <is>
          <t>Ladies Ring</t>
        </is>
      </c>
      <c r="C23" s="215" t="n">
        <v>1818</v>
      </c>
      <c r="D23" s="12" t="n">
        <v>75</v>
      </c>
      <c r="E23" s="59">
        <f>VLOOKUP(D23,INDIRECT("'"&amp;B23&amp;"'!$A$2:$S$999"), 2, 0)</f>
        <v/>
      </c>
      <c r="F23" s="59">
        <f>VLOOKUP(D23,INDIRECT("'"&amp;B23&amp;"'!$A$2:$S$999"), 5, 0)</f>
        <v/>
      </c>
      <c r="G23" s="59">
        <f>VLOOKUP(D23,INDIRECT("'"&amp;B23&amp;"'!$A$2:$S$999"), 6, 0)</f>
        <v/>
      </c>
      <c r="H23" s="59">
        <f>VLOOKUP(D23,INDIRECT("'"&amp;B23&amp;"'!$A$2:$S$999"), 7, 0)</f>
        <v/>
      </c>
      <c r="I23" s="59">
        <f>VLOOKUP(D23,INDIRECT("'"&amp;B23&amp;"'!$A$2:$S$999"), 8, 0)</f>
        <v/>
      </c>
      <c r="J23" s="59">
        <f>VLOOKUP(D23,INDIRECT("'"&amp;B23&amp;"'!$A$2:$S$999"), 9, 0)</f>
        <v/>
      </c>
      <c r="K23" s="59">
        <f>VLOOKUP(D23,INDIRECT("'"&amp;B23&amp;"'!$A$2:$S$999"), 10, 0)</f>
        <v/>
      </c>
      <c r="L23" s="59">
        <f>VLOOKUP(D23,INDIRECT("'"&amp;B23&amp;"'!$A$2:$S$999"), 11, 0)</f>
        <v/>
      </c>
      <c r="M23" s="12">
        <f>IF((SUM(F23:H23)&lt;0.42),$AA$4,((SUM(F23:H23)*$AA$5)))</f>
        <v/>
      </c>
      <c r="N23" s="12">
        <f>IF((SUM(F23:H23)&lt;0.42),$AB$4,((SUM(F23:H23)*$AB$5)))</f>
        <v/>
      </c>
      <c r="O23" s="12">
        <f>IF((SUM(F23:H23)&lt;0.42),$Z$4,((SUM(F23:H23)*$Z$5)))</f>
        <v/>
      </c>
      <c r="P23" s="12" t="inlineStr">
        <is>
          <t>SGLJNPJ320343K</t>
        </is>
      </c>
      <c r="Q23" s="12">
        <f>D23</f>
        <v/>
      </c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</row>
    <row r="24" ht="18.75" customHeight="1" s="220">
      <c r="A24" s="30">
        <f>B24&amp;D24</f>
        <v/>
      </c>
      <c r="B24" s="215" t="inlineStr">
        <is>
          <t>Ladies Ring</t>
        </is>
      </c>
      <c r="C24" s="215" t="n">
        <v>2296</v>
      </c>
      <c r="D24" s="12" t="n">
        <v>312</v>
      </c>
      <c r="E24" s="59">
        <f>VLOOKUP(D24,INDIRECT("'"&amp;B24&amp;"'!$A$2:$S$999"), 2, 0)</f>
        <v/>
      </c>
      <c r="F24" s="59">
        <f>VLOOKUP(D24,INDIRECT("'"&amp;B24&amp;"'!$A$2:$S$999"), 5, 0)</f>
        <v/>
      </c>
      <c r="G24" s="59">
        <f>VLOOKUP(D24,INDIRECT("'"&amp;B24&amp;"'!$A$2:$S$999"), 6, 0)</f>
        <v/>
      </c>
      <c r="H24" s="59">
        <f>VLOOKUP(D24,INDIRECT("'"&amp;B24&amp;"'!$A$2:$S$999"), 7, 0)</f>
        <v/>
      </c>
      <c r="I24" s="59">
        <f>VLOOKUP(D24,INDIRECT("'"&amp;B24&amp;"'!$A$2:$S$999"), 8, 0)</f>
        <v/>
      </c>
      <c r="J24" s="59">
        <f>VLOOKUP(D24,INDIRECT("'"&amp;B24&amp;"'!$A$2:$S$999"), 9, 0)</f>
        <v/>
      </c>
      <c r="K24" s="59">
        <f>VLOOKUP(D24,INDIRECT("'"&amp;B24&amp;"'!$A$2:$S$999"), 10, 0)</f>
        <v/>
      </c>
      <c r="L24" s="59">
        <f>VLOOKUP(D24,INDIRECT("'"&amp;B24&amp;"'!$A$2:$S$999"), 11, 0)</f>
        <v/>
      </c>
      <c r="M24" s="12">
        <f>IF((SUM(F24:H24)&lt;0.42),$AA$4,((SUM(F24:H24)*$AA$5)))</f>
        <v/>
      </c>
      <c r="N24" s="12">
        <f>IF((SUM(F24:H24)&lt;0.42),$AB$4,((SUM(F24:H24)*$AB$5)))</f>
        <v/>
      </c>
      <c r="O24" s="12">
        <f>IF((SUM(F24:H24)&lt;0.42),$Z$4,((SUM(F24:H24)*$Z$5)))</f>
        <v/>
      </c>
      <c r="P24" s="12" t="inlineStr">
        <is>
          <t>SGLJNPJ320344K</t>
        </is>
      </c>
      <c r="Q24" s="12">
        <f>D24</f>
        <v/>
      </c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</row>
    <row r="25" ht="18.75" customHeight="1" s="220">
      <c r="A25" s="30">
        <f>B25&amp;D25</f>
        <v/>
      </c>
      <c r="B25" s="215" t="inlineStr">
        <is>
          <t>Ladies Ring</t>
        </is>
      </c>
      <c r="C25" s="215" t="n">
        <v>2936</v>
      </c>
      <c r="D25" s="12" t="n">
        <v>269</v>
      </c>
      <c r="E25" s="59">
        <f>VLOOKUP(D25,INDIRECT("'"&amp;B25&amp;"'!$A$2:$S$999"), 2, 0)</f>
        <v/>
      </c>
      <c r="F25" s="59">
        <f>VLOOKUP(D25,INDIRECT("'"&amp;B25&amp;"'!$A$2:$S$999"), 5, 0)</f>
        <v/>
      </c>
      <c r="G25" s="59">
        <f>VLOOKUP(D25,INDIRECT("'"&amp;B25&amp;"'!$A$2:$S$999"), 6, 0)</f>
        <v/>
      </c>
      <c r="H25" s="59">
        <f>VLOOKUP(D25,INDIRECT("'"&amp;B25&amp;"'!$A$2:$S$999"), 7, 0)</f>
        <v/>
      </c>
      <c r="I25" s="59">
        <f>VLOOKUP(D25,INDIRECT("'"&amp;B25&amp;"'!$A$2:$S$999"), 8, 0)</f>
        <v/>
      </c>
      <c r="J25" s="59">
        <f>VLOOKUP(D25,INDIRECT("'"&amp;B25&amp;"'!$A$2:$S$999"), 9, 0)</f>
        <v/>
      </c>
      <c r="K25" s="59">
        <f>VLOOKUP(D25,INDIRECT("'"&amp;B25&amp;"'!$A$2:$S$999"), 10, 0)</f>
        <v/>
      </c>
      <c r="L25" s="59">
        <f>VLOOKUP(D25,INDIRECT("'"&amp;B25&amp;"'!$A$2:$S$999"), 11, 0)</f>
        <v/>
      </c>
      <c r="M25" s="12">
        <f>IF((SUM(F25:H25)&lt;0.42),$AA$4,((SUM(F25:H25)*$AA$5)))</f>
        <v/>
      </c>
      <c r="N25" s="12">
        <f>IF((SUM(F25:H25)&lt;0.42),$AB$4,((SUM(F25:H25)*$AB$5)))</f>
        <v/>
      </c>
      <c r="O25" s="12">
        <f>IF((SUM(F25:H25)&lt;0.42),$Z$4,((SUM(F25:H25)*$Z$5)))</f>
        <v/>
      </c>
      <c r="P25" s="12" t="inlineStr">
        <is>
          <t>SGLJNPJ320345K</t>
        </is>
      </c>
      <c r="Q25" s="12">
        <f>D25</f>
        <v/>
      </c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</row>
    <row r="26" ht="18.75" customHeight="1" s="220">
      <c r="A26" s="30">
        <f>B26&amp;D26</f>
        <v/>
      </c>
      <c r="B26" s="215" t="inlineStr">
        <is>
          <t>Ladies Ring</t>
        </is>
      </c>
      <c r="C26" s="215" t="n">
        <v>3063</v>
      </c>
      <c r="D26" s="12" t="n">
        <v>344</v>
      </c>
      <c r="E26" s="59">
        <f>VLOOKUP(D26,INDIRECT("'"&amp;B26&amp;"'!$A$2:$S$999"), 2, 0)</f>
        <v/>
      </c>
      <c r="F26" s="59">
        <f>VLOOKUP(D26,INDIRECT("'"&amp;B26&amp;"'!$A$2:$S$999"), 5, 0)</f>
        <v/>
      </c>
      <c r="G26" s="59">
        <f>VLOOKUP(D26,INDIRECT("'"&amp;B26&amp;"'!$A$2:$S$999"), 6, 0)</f>
        <v/>
      </c>
      <c r="H26" s="59">
        <f>VLOOKUP(D26,INDIRECT("'"&amp;B26&amp;"'!$A$2:$S$999"), 7, 0)</f>
        <v/>
      </c>
      <c r="I26" s="59">
        <f>VLOOKUP(D26,INDIRECT("'"&amp;B26&amp;"'!$A$2:$S$999"), 8, 0)</f>
        <v/>
      </c>
      <c r="J26" s="59">
        <f>VLOOKUP(D26,INDIRECT("'"&amp;B26&amp;"'!$A$2:$S$999"), 9, 0)</f>
        <v/>
      </c>
      <c r="K26" s="59">
        <f>VLOOKUP(D26,INDIRECT("'"&amp;B26&amp;"'!$A$2:$S$999"), 10, 0)</f>
        <v/>
      </c>
      <c r="L26" s="59">
        <f>VLOOKUP(D26,INDIRECT("'"&amp;B26&amp;"'!$A$2:$S$999"), 11, 0)</f>
        <v/>
      </c>
      <c r="M26" s="12">
        <f>IF((SUM(F26:H26)&lt;0.42),$AA$4,((SUM(F26:H26)*$AA$5)))</f>
        <v/>
      </c>
      <c r="N26" s="12">
        <f>IF((SUM(F26:H26)&lt;0.42),$AB$4,((SUM(F26:H26)*$AB$5)))</f>
        <v/>
      </c>
      <c r="O26" s="12">
        <f>IF((SUM(F26:H26)&lt;0.42),$Z$4,((SUM(F26:H26)*$Z$5)))</f>
        <v/>
      </c>
      <c r="P26" s="12" t="inlineStr">
        <is>
          <t>SGLJNPJ320346K</t>
        </is>
      </c>
      <c r="Q26" s="12">
        <f>D26</f>
        <v/>
      </c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</row>
    <row r="27" ht="18.75" customHeight="1" s="220">
      <c r="A27" s="30">
        <f>B27&amp;D27</f>
        <v/>
      </c>
      <c r="B27" s="215" t="inlineStr">
        <is>
          <t>Ladies Ring</t>
        </is>
      </c>
      <c r="C27" s="215" t="n">
        <v>3110</v>
      </c>
      <c r="D27" s="12" t="n">
        <v>342</v>
      </c>
      <c r="E27" s="59">
        <f>VLOOKUP(D27,INDIRECT("'"&amp;B27&amp;"'!$A$2:$S$999"), 2, 0)</f>
        <v/>
      </c>
      <c r="F27" s="59">
        <f>VLOOKUP(D27,INDIRECT("'"&amp;B27&amp;"'!$A$2:$S$999"), 5, 0)</f>
        <v/>
      </c>
      <c r="G27" s="59">
        <f>VLOOKUP(D27,INDIRECT("'"&amp;B27&amp;"'!$A$2:$S$999"), 6, 0)</f>
        <v/>
      </c>
      <c r="H27" s="59">
        <f>VLOOKUP(D27,INDIRECT("'"&amp;B27&amp;"'!$A$2:$S$999"), 7, 0)</f>
        <v/>
      </c>
      <c r="I27" s="59">
        <f>VLOOKUP(D27,INDIRECT("'"&amp;B27&amp;"'!$A$2:$S$999"), 8, 0)</f>
        <v/>
      </c>
      <c r="J27" s="59">
        <f>VLOOKUP(D27,INDIRECT("'"&amp;B27&amp;"'!$A$2:$S$999"), 9, 0)</f>
        <v/>
      </c>
      <c r="K27" s="59">
        <f>VLOOKUP(D27,INDIRECT("'"&amp;B27&amp;"'!$A$2:$S$999"), 10, 0)</f>
        <v/>
      </c>
      <c r="L27" s="59">
        <f>VLOOKUP(D27,INDIRECT("'"&amp;B27&amp;"'!$A$2:$S$999"), 11, 0)</f>
        <v/>
      </c>
      <c r="M27" s="12">
        <f>IF((SUM(F27:H27)&lt;0.42),$AA$4,((SUM(F27:H27)*$AA$5)))</f>
        <v/>
      </c>
      <c r="N27" s="12">
        <f>IF((SUM(F27:H27)&lt;0.42),$AB$4,((SUM(F27:H27)*$AB$5)))</f>
        <v/>
      </c>
      <c r="O27" s="12">
        <f>IF((SUM(F27:H27)&lt;0.42),$Z$4,((SUM(F27:H27)*$Z$5)))</f>
        <v/>
      </c>
      <c r="P27" s="12" t="inlineStr">
        <is>
          <t>SGLJNPJ320347K</t>
        </is>
      </c>
      <c r="Q27" s="12">
        <f>D27</f>
        <v/>
      </c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</row>
    <row r="28" ht="18.75" customHeight="1" s="220">
      <c r="A28" s="30">
        <f>B28&amp;D28</f>
        <v/>
      </c>
      <c r="B28" s="215" t="inlineStr">
        <is>
          <t>Ladies Ring</t>
        </is>
      </c>
      <c r="C28" s="215" t="n">
        <v>2714</v>
      </c>
      <c r="D28" s="12" t="n">
        <v>341</v>
      </c>
      <c r="E28" s="59">
        <f>VLOOKUP(D28,INDIRECT("'"&amp;B28&amp;"'!$A$2:$S$999"), 2, 0)</f>
        <v/>
      </c>
      <c r="F28" s="59">
        <f>VLOOKUP(D28,INDIRECT("'"&amp;B28&amp;"'!$A$2:$S$999"), 5, 0)</f>
        <v/>
      </c>
      <c r="G28" s="59">
        <f>VLOOKUP(D28,INDIRECT("'"&amp;B28&amp;"'!$A$2:$S$999"), 6, 0)</f>
        <v/>
      </c>
      <c r="H28" s="59">
        <f>VLOOKUP(D28,INDIRECT("'"&amp;B28&amp;"'!$A$2:$S$999"), 7, 0)</f>
        <v/>
      </c>
      <c r="I28" s="59">
        <f>VLOOKUP(D28,INDIRECT("'"&amp;B28&amp;"'!$A$2:$S$999"), 8, 0)</f>
        <v/>
      </c>
      <c r="J28" s="59">
        <f>VLOOKUP(D28,INDIRECT("'"&amp;B28&amp;"'!$A$2:$S$999"), 9, 0)</f>
        <v/>
      </c>
      <c r="K28" s="59">
        <f>VLOOKUP(D28,INDIRECT("'"&amp;B28&amp;"'!$A$2:$S$999"), 10, 0)</f>
        <v/>
      </c>
      <c r="L28" s="59">
        <f>VLOOKUP(D28,INDIRECT("'"&amp;B28&amp;"'!$A$2:$S$999"), 11, 0)</f>
        <v/>
      </c>
      <c r="M28" s="12">
        <f>IF((SUM(F28:H28)&lt;0.42),$AA$4,((SUM(F28:H28)*$AA$5)))</f>
        <v/>
      </c>
      <c r="N28" s="12">
        <f>IF((SUM(F28:H28)&lt;0.42),$AB$4,((SUM(F28:H28)*$AB$5)))</f>
        <v/>
      </c>
      <c r="O28" s="12">
        <f>IF((SUM(F28:H28)&lt;0.42),$Z$4,((SUM(F28:H28)*$Z$5)))</f>
        <v/>
      </c>
      <c r="P28" s="12" t="inlineStr">
        <is>
          <t>SGLJNPJ320348K</t>
        </is>
      </c>
      <c r="Q28" s="12">
        <f>D28</f>
        <v/>
      </c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</row>
    <row r="29" ht="18.75" customHeight="1" s="220">
      <c r="A29" s="30">
        <f>B29&amp;D29</f>
        <v/>
      </c>
      <c r="B29" s="215" t="inlineStr">
        <is>
          <t>Ladies Ring</t>
        </is>
      </c>
      <c r="C29" s="215" t="n">
        <v>2543</v>
      </c>
      <c r="D29" s="12" t="n">
        <v>261</v>
      </c>
      <c r="E29" s="59">
        <f>VLOOKUP(D29,INDIRECT("'"&amp;B29&amp;"'!$A$2:$S$999"), 2, 0)</f>
        <v/>
      </c>
      <c r="F29" s="59">
        <f>VLOOKUP(D29,INDIRECT("'"&amp;B29&amp;"'!$A$2:$S$999"), 5, 0)</f>
        <v/>
      </c>
      <c r="G29" s="59">
        <f>VLOOKUP(D29,INDIRECT("'"&amp;B29&amp;"'!$A$2:$S$999"), 6, 0)</f>
        <v/>
      </c>
      <c r="H29" s="59">
        <f>VLOOKUP(D29,INDIRECT("'"&amp;B29&amp;"'!$A$2:$S$999"), 7, 0)</f>
        <v/>
      </c>
      <c r="I29" s="59">
        <f>VLOOKUP(D29,INDIRECT("'"&amp;B29&amp;"'!$A$2:$S$999"), 8, 0)</f>
        <v/>
      </c>
      <c r="J29" s="59">
        <f>VLOOKUP(D29,INDIRECT("'"&amp;B29&amp;"'!$A$2:$S$999"), 9, 0)</f>
        <v/>
      </c>
      <c r="K29" s="59">
        <f>VLOOKUP(D29,INDIRECT("'"&amp;B29&amp;"'!$A$2:$S$999"), 10, 0)</f>
        <v/>
      </c>
      <c r="L29" s="59">
        <f>VLOOKUP(D29,INDIRECT("'"&amp;B29&amp;"'!$A$2:$S$999"), 11, 0)</f>
        <v/>
      </c>
      <c r="M29" s="12">
        <f>IF((SUM(F29:H29)&lt;0.42),$AA$4,((SUM(F29:H29)*$AA$5)))</f>
        <v/>
      </c>
      <c r="N29" s="12">
        <f>IF((SUM(F29:H29)&lt;0.42),$AB$4,((SUM(F29:H29)*$AB$5)))</f>
        <v/>
      </c>
      <c r="O29" s="12">
        <f>IF((SUM(F29:H29)&lt;0.42),$Z$4,((SUM(F29:H29)*$Z$5)))</f>
        <v/>
      </c>
      <c r="P29" s="12" t="inlineStr">
        <is>
          <t>SGLJNPJ320349K</t>
        </is>
      </c>
      <c r="Q29" s="12">
        <f>D29</f>
        <v/>
      </c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</row>
    <row r="30" ht="18.75" customHeight="1" s="220">
      <c r="A30" s="30">
        <f>B30&amp;D30</f>
        <v/>
      </c>
      <c r="B30" s="215" t="inlineStr">
        <is>
          <t>Ladies Ring</t>
        </is>
      </c>
      <c r="C30" s="215" t="n">
        <v>3384</v>
      </c>
      <c r="D30" s="12" t="n">
        <v>249</v>
      </c>
      <c r="E30" s="59">
        <f>VLOOKUP(D30,INDIRECT("'"&amp;B30&amp;"'!$A$2:$S$999"), 2, 0)</f>
        <v/>
      </c>
      <c r="F30" s="59">
        <f>VLOOKUP(D30,INDIRECT("'"&amp;B30&amp;"'!$A$2:$S$999"), 5, 0)</f>
        <v/>
      </c>
      <c r="G30" s="59">
        <f>VLOOKUP(D30,INDIRECT("'"&amp;B30&amp;"'!$A$2:$S$999"), 6, 0)</f>
        <v/>
      </c>
      <c r="H30" s="59">
        <f>VLOOKUP(D30,INDIRECT("'"&amp;B30&amp;"'!$A$2:$S$999"), 7, 0)</f>
        <v/>
      </c>
      <c r="I30" s="59">
        <f>VLOOKUP(D30,INDIRECT("'"&amp;B30&amp;"'!$A$2:$S$999"), 8, 0)</f>
        <v/>
      </c>
      <c r="J30" s="59">
        <f>VLOOKUP(D30,INDIRECT("'"&amp;B30&amp;"'!$A$2:$S$999"), 9, 0)</f>
        <v/>
      </c>
      <c r="K30" s="59">
        <f>VLOOKUP(D30,INDIRECT("'"&amp;B30&amp;"'!$A$2:$S$999"), 10, 0)</f>
        <v/>
      </c>
      <c r="L30" s="59">
        <f>VLOOKUP(D30,INDIRECT("'"&amp;B30&amp;"'!$A$2:$S$999"), 11, 0)</f>
        <v/>
      </c>
      <c r="M30" s="12">
        <f>IF((SUM(F30:H30)&lt;0.42),$AA$4,((SUM(F30:H30)*$AA$5)))</f>
        <v/>
      </c>
      <c r="N30" s="12">
        <f>IF((SUM(F30:H30)&lt;0.42),$AB$4,((SUM(F30:H30)*$AB$5)))</f>
        <v/>
      </c>
      <c r="O30" s="12">
        <f>IF((SUM(F30:H30)&lt;0.42),$Z$4,((SUM(F30:H30)*$Z$5)))</f>
        <v/>
      </c>
      <c r="P30" s="12" t="inlineStr">
        <is>
          <t>SGLJNPJ320350K</t>
        </is>
      </c>
      <c r="Q30" s="12">
        <f>D30</f>
        <v/>
      </c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</row>
    <row r="31" ht="18.75" customHeight="1" s="220">
      <c r="A31" s="30">
        <f>B31&amp;D31</f>
        <v/>
      </c>
      <c r="B31" s="215" t="inlineStr">
        <is>
          <t>Ladies Ring</t>
        </is>
      </c>
      <c r="C31" s="215" t="n">
        <v>2139</v>
      </c>
      <c r="D31" s="12" t="n">
        <v>195</v>
      </c>
      <c r="E31" s="59">
        <f>VLOOKUP(D31,INDIRECT("'"&amp;B31&amp;"'!$A$2:$S$999"), 2, 0)</f>
        <v/>
      </c>
      <c r="F31" s="59">
        <f>VLOOKUP(D31,INDIRECT("'"&amp;B31&amp;"'!$A$2:$S$999"), 5, 0)</f>
        <v/>
      </c>
      <c r="G31" s="59">
        <f>VLOOKUP(D31,INDIRECT("'"&amp;B31&amp;"'!$A$2:$S$999"), 6, 0)</f>
        <v/>
      </c>
      <c r="H31" s="59">
        <f>VLOOKUP(D31,INDIRECT("'"&amp;B31&amp;"'!$A$2:$S$999"), 7, 0)</f>
        <v/>
      </c>
      <c r="I31" s="59">
        <f>VLOOKUP(D31,INDIRECT("'"&amp;B31&amp;"'!$A$2:$S$999"), 8, 0)</f>
        <v/>
      </c>
      <c r="J31" s="59">
        <f>VLOOKUP(D31,INDIRECT("'"&amp;B31&amp;"'!$A$2:$S$999"), 9, 0)</f>
        <v/>
      </c>
      <c r="K31" s="59">
        <f>VLOOKUP(D31,INDIRECT("'"&amp;B31&amp;"'!$A$2:$S$999"), 10, 0)</f>
        <v/>
      </c>
      <c r="L31" s="59">
        <f>VLOOKUP(D31,INDIRECT("'"&amp;B31&amp;"'!$A$2:$S$999"), 11, 0)</f>
        <v/>
      </c>
      <c r="M31" s="12">
        <f>IF((SUM(F31:H31)&lt;0.42),$AA$4,((SUM(F31:H31)*$AA$5)))</f>
        <v/>
      </c>
      <c r="N31" s="12">
        <f>IF((SUM(F31:H31)&lt;0.42),$AB$4,((SUM(F31:H31)*$AB$5)))</f>
        <v/>
      </c>
      <c r="O31" s="12">
        <f>IF((SUM(F31:H31)&lt;0.42),$Z$4,((SUM(F31:H31)*$Z$5)))</f>
        <v/>
      </c>
      <c r="P31" s="12" t="inlineStr">
        <is>
          <t>SGLJNPJ320351K</t>
        </is>
      </c>
      <c r="Q31" s="12">
        <f>D31</f>
        <v/>
      </c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</row>
    <row r="32" ht="18.75" customHeight="1" s="220">
      <c r="A32" s="30">
        <f>B32&amp;D32</f>
        <v/>
      </c>
      <c r="B32" s="215" t="inlineStr">
        <is>
          <t>Ladies Ring</t>
        </is>
      </c>
      <c r="C32" s="215" t="n">
        <v>3151</v>
      </c>
      <c r="D32" s="12" t="n">
        <v>340</v>
      </c>
      <c r="E32" s="59">
        <f>VLOOKUP(D32,INDIRECT("'"&amp;B32&amp;"'!$A$2:$S$999"), 2, 0)</f>
        <v/>
      </c>
      <c r="F32" s="59">
        <f>VLOOKUP(D32,INDIRECT("'"&amp;B32&amp;"'!$A$2:$S$999"), 5, 0)</f>
        <v/>
      </c>
      <c r="G32" s="59">
        <f>VLOOKUP(D32,INDIRECT("'"&amp;B32&amp;"'!$A$2:$S$999"), 6, 0)</f>
        <v/>
      </c>
      <c r="H32" s="59">
        <f>VLOOKUP(D32,INDIRECT("'"&amp;B32&amp;"'!$A$2:$S$999"), 7, 0)</f>
        <v/>
      </c>
      <c r="I32" s="59">
        <f>VLOOKUP(D32,INDIRECT("'"&amp;B32&amp;"'!$A$2:$S$999"), 8, 0)</f>
        <v/>
      </c>
      <c r="J32" s="59">
        <f>VLOOKUP(D32,INDIRECT("'"&amp;B32&amp;"'!$A$2:$S$999"), 9, 0)</f>
        <v/>
      </c>
      <c r="K32" s="59">
        <f>VLOOKUP(D32,INDIRECT("'"&amp;B32&amp;"'!$A$2:$S$999"), 10, 0)</f>
        <v/>
      </c>
      <c r="L32" s="59">
        <f>VLOOKUP(D32,INDIRECT("'"&amp;B32&amp;"'!$A$2:$S$999"), 11, 0)</f>
        <v/>
      </c>
      <c r="M32" s="12">
        <f>IF((SUM(F32:H32)&lt;0.42),$AA$4,((SUM(F32:H32)*$AA$5)))</f>
        <v/>
      </c>
      <c r="N32" s="12">
        <f>IF((SUM(F32:H32)&lt;0.42),$AB$4,((SUM(F32:H32)*$AB$5)))</f>
        <v/>
      </c>
      <c r="O32" s="12">
        <f>IF((SUM(F32:H32)&lt;0.42),$Z$4,((SUM(F32:H32)*$Z$5)))</f>
        <v/>
      </c>
      <c r="P32" s="12" t="inlineStr">
        <is>
          <t>SGLJNPJ320352K</t>
        </is>
      </c>
      <c r="Q32" s="12">
        <f>D32</f>
        <v/>
      </c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</row>
    <row r="33" ht="18.75" customHeight="1" s="220">
      <c r="A33" s="30">
        <f>B33&amp;D33</f>
        <v/>
      </c>
      <c r="B33" s="215" t="inlineStr">
        <is>
          <t>Ladies Ring</t>
        </is>
      </c>
      <c r="C33" s="215" t="n">
        <v>1029</v>
      </c>
      <c r="D33" s="12" t="n">
        <v>6</v>
      </c>
      <c r="E33" s="59">
        <f>VLOOKUP(D33,INDIRECT("'"&amp;B33&amp;"'!$A$2:$S$999"), 2, 0)</f>
        <v/>
      </c>
      <c r="F33" s="59">
        <f>VLOOKUP(D33,INDIRECT("'"&amp;B33&amp;"'!$A$2:$S$999"), 5, 0)</f>
        <v/>
      </c>
      <c r="G33" s="59">
        <f>VLOOKUP(D33,INDIRECT("'"&amp;B33&amp;"'!$A$2:$S$999"), 6, 0)</f>
        <v/>
      </c>
      <c r="H33" s="59">
        <f>VLOOKUP(D33,INDIRECT("'"&amp;B33&amp;"'!$A$2:$S$999"), 7, 0)</f>
        <v/>
      </c>
      <c r="I33" s="59">
        <f>VLOOKUP(D33,INDIRECT("'"&amp;B33&amp;"'!$A$2:$S$999"), 8, 0)</f>
        <v/>
      </c>
      <c r="J33" s="59">
        <f>VLOOKUP(D33,INDIRECT("'"&amp;B33&amp;"'!$A$2:$S$999"), 9, 0)</f>
        <v/>
      </c>
      <c r="K33" s="59">
        <f>VLOOKUP(D33,INDIRECT("'"&amp;B33&amp;"'!$A$2:$S$999"), 10, 0)</f>
        <v/>
      </c>
      <c r="L33" s="59">
        <f>VLOOKUP(D33,INDIRECT("'"&amp;B33&amp;"'!$A$2:$S$999"), 11, 0)</f>
        <v/>
      </c>
      <c r="M33" s="12">
        <f>IF((SUM(F33:H33)&lt;0.42),$AA$4,((SUM(F33:H33)*$AA$5)))</f>
        <v/>
      </c>
      <c r="N33" s="12">
        <f>IF((SUM(F33:H33)&lt;0.42),$AB$4,((SUM(F33:H33)*$AB$5)))</f>
        <v/>
      </c>
      <c r="O33" s="12">
        <f>IF((SUM(F33:H33)&lt;0.42),$Z$4,((SUM(F33:H33)*$Z$5)))</f>
        <v/>
      </c>
      <c r="P33" s="12" t="inlineStr">
        <is>
          <t>SGLJNPJ320353K</t>
        </is>
      </c>
      <c r="Q33" s="12">
        <f>D33</f>
        <v/>
      </c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</row>
    <row r="34" ht="18.75" customHeight="1" s="220">
      <c r="A34" s="30">
        <f>B34&amp;D34</f>
        <v/>
      </c>
      <c r="B34" s="215" t="inlineStr">
        <is>
          <t>Ladies Ring</t>
        </is>
      </c>
      <c r="C34" s="215" t="n">
        <v>2831</v>
      </c>
      <c r="D34" s="12" t="n">
        <v>229</v>
      </c>
      <c r="E34" s="59">
        <f>VLOOKUP(D34,INDIRECT("'"&amp;B34&amp;"'!$A$2:$S$999"), 2, 0)</f>
        <v/>
      </c>
      <c r="F34" s="59">
        <f>VLOOKUP(D34,INDIRECT("'"&amp;B34&amp;"'!$A$2:$S$999"), 5, 0)</f>
        <v/>
      </c>
      <c r="G34" s="59">
        <f>VLOOKUP(D34,INDIRECT("'"&amp;B34&amp;"'!$A$2:$S$999"), 6, 0)</f>
        <v/>
      </c>
      <c r="H34" s="59">
        <f>VLOOKUP(D34,INDIRECT("'"&amp;B34&amp;"'!$A$2:$S$999"), 7, 0)</f>
        <v/>
      </c>
      <c r="I34" s="59">
        <f>VLOOKUP(D34,INDIRECT("'"&amp;B34&amp;"'!$A$2:$S$999"), 8, 0)</f>
        <v/>
      </c>
      <c r="J34" s="59">
        <f>VLOOKUP(D34,INDIRECT("'"&amp;B34&amp;"'!$A$2:$S$999"), 9, 0)</f>
        <v/>
      </c>
      <c r="K34" s="59">
        <f>VLOOKUP(D34,INDIRECT("'"&amp;B34&amp;"'!$A$2:$S$999"), 10, 0)</f>
        <v/>
      </c>
      <c r="L34" s="59">
        <f>VLOOKUP(D34,INDIRECT("'"&amp;B34&amp;"'!$A$2:$S$999"), 11, 0)</f>
        <v/>
      </c>
      <c r="M34" s="12">
        <f>IF((SUM(F34:H34)&lt;0.42),$AA$4,((SUM(F34:H34)*$AA$5)))</f>
        <v/>
      </c>
      <c r="N34" s="12">
        <f>IF((SUM(F34:H34)&lt;0.42),$AB$4,((SUM(F34:H34)*$AB$5)))</f>
        <v/>
      </c>
      <c r="O34" s="12">
        <f>IF((SUM(F34:H34)&lt;0.42),$Z$4,((SUM(F34:H34)*$Z$5)))</f>
        <v/>
      </c>
      <c r="P34" s="12" t="inlineStr">
        <is>
          <t>SGLJNPJ320354K</t>
        </is>
      </c>
      <c r="Q34" s="12">
        <f>D34</f>
        <v/>
      </c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</row>
    <row r="35" ht="18.75" customHeight="1" s="220">
      <c r="A35" s="30">
        <f>B35&amp;D35</f>
        <v/>
      </c>
      <c r="B35" s="215" t="inlineStr">
        <is>
          <t>Ladies Ring</t>
        </is>
      </c>
      <c r="C35" s="215" t="n">
        <v>3480</v>
      </c>
      <c r="D35" s="12" t="n">
        <v>264</v>
      </c>
      <c r="E35" s="59">
        <f>VLOOKUP(D35,INDIRECT("'"&amp;B35&amp;"'!$A$2:$S$999"), 2, 0)</f>
        <v/>
      </c>
      <c r="F35" s="59">
        <f>VLOOKUP(D35,INDIRECT("'"&amp;B35&amp;"'!$A$2:$S$999"), 5, 0)</f>
        <v/>
      </c>
      <c r="G35" s="59">
        <f>VLOOKUP(D35,INDIRECT("'"&amp;B35&amp;"'!$A$2:$S$999"), 6, 0)</f>
        <v/>
      </c>
      <c r="H35" s="59">
        <f>VLOOKUP(D35,INDIRECT("'"&amp;B35&amp;"'!$A$2:$S$999"), 7, 0)</f>
        <v/>
      </c>
      <c r="I35" s="59">
        <f>VLOOKUP(D35,INDIRECT("'"&amp;B35&amp;"'!$A$2:$S$999"), 8, 0)</f>
        <v/>
      </c>
      <c r="J35" s="59">
        <f>VLOOKUP(D35,INDIRECT("'"&amp;B35&amp;"'!$A$2:$S$999"), 9, 0)</f>
        <v/>
      </c>
      <c r="K35" s="59">
        <f>VLOOKUP(D35,INDIRECT("'"&amp;B35&amp;"'!$A$2:$S$999"), 10, 0)</f>
        <v/>
      </c>
      <c r="L35" s="59">
        <f>VLOOKUP(D35,INDIRECT("'"&amp;B35&amp;"'!$A$2:$S$999"), 11, 0)</f>
        <v/>
      </c>
      <c r="M35" s="12">
        <f>IF((SUM(F35:H35)&lt;0.42),$AA$4,((SUM(F35:H35)*$AA$5)))</f>
        <v/>
      </c>
      <c r="N35" s="12">
        <f>IF((SUM(F35:H35)&lt;0.42),$AB$4,((SUM(F35:H35)*$AB$5)))</f>
        <v/>
      </c>
      <c r="O35" s="12">
        <f>IF((SUM(F35:H35)&lt;0.42),$Z$4,((SUM(F35:H35)*$Z$5)))</f>
        <v/>
      </c>
      <c r="P35" s="12" t="inlineStr">
        <is>
          <t>SGLJNPJ320355K</t>
        </is>
      </c>
      <c r="Q35" s="12">
        <f>D35</f>
        <v/>
      </c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</row>
    <row r="36" ht="18.75" customHeight="1" s="220">
      <c r="A36" s="30">
        <f>B36&amp;D36</f>
        <v/>
      </c>
      <c r="B36" s="215" t="inlineStr">
        <is>
          <t>Ladies Ring</t>
        </is>
      </c>
      <c r="C36" s="215" t="n">
        <v>2009</v>
      </c>
      <c r="D36" s="12" t="n">
        <v>68</v>
      </c>
      <c r="E36" s="59">
        <f>VLOOKUP(D36,INDIRECT("'"&amp;B36&amp;"'!$A$2:$S$999"), 2, 0)</f>
        <v/>
      </c>
      <c r="F36" s="59">
        <f>VLOOKUP(D36,INDIRECT("'"&amp;B36&amp;"'!$A$2:$S$999"), 5, 0)</f>
        <v/>
      </c>
      <c r="G36" s="59">
        <f>VLOOKUP(D36,INDIRECT("'"&amp;B36&amp;"'!$A$2:$S$999"), 6, 0)</f>
        <v/>
      </c>
      <c r="H36" s="59">
        <f>VLOOKUP(D36,INDIRECT("'"&amp;B36&amp;"'!$A$2:$S$999"), 7, 0)</f>
        <v/>
      </c>
      <c r="I36" s="59">
        <f>VLOOKUP(D36,INDIRECT("'"&amp;B36&amp;"'!$A$2:$S$999"), 8, 0)</f>
        <v/>
      </c>
      <c r="J36" s="59">
        <f>VLOOKUP(D36,INDIRECT("'"&amp;B36&amp;"'!$A$2:$S$999"), 9, 0)</f>
        <v/>
      </c>
      <c r="K36" s="59">
        <f>VLOOKUP(D36,INDIRECT("'"&amp;B36&amp;"'!$A$2:$S$999"), 10, 0)</f>
        <v/>
      </c>
      <c r="L36" s="59">
        <f>VLOOKUP(D36,INDIRECT("'"&amp;B36&amp;"'!$A$2:$S$999"), 11, 0)</f>
        <v/>
      </c>
      <c r="M36" s="12">
        <f>IF((SUM(F36:H36)&lt;0.42),$AA$4,((SUM(F36:H36)*$AA$5)))</f>
        <v/>
      </c>
      <c r="N36" s="12">
        <f>IF((SUM(F36:H36)&lt;0.42),$AB$4,((SUM(F36:H36)*$AB$5)))</f>
        <v/>
      </c>
      <c r="O36" s="12">
        <f>IF((SUM(F36:H36)&lt;0.42),$Z$4,((SUM(F36:H36)*$Z$5)))</f>
        <v/>
      </c>
      <c r="P36" s="12" t="inlineStr">
        <is>
          <t>SGLJNPJ320356K</t>
        </is>
      </c>
      <c r="Q36" s="12">
        <f>D36</f>
        <v/>
      </c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</row>
    <row r="37" ht="18.75" customHeight="1" s="220">
      <c r="A37" s="30">
        <f>B37&amp;D37</f>
        <v/>
      </c>
      <c r="B37" s="215" t="inlineStr">
        <is>
          <t>Ladies Ring</t>
        </is>
      </c>
      <c r="C37" s="215" t="n">
        <v>485</v>
      </c>
      <c r="D37" s="12" t="n">
        <v>70</v>
      </c>
      <c r="E37" s="59">
        <f>VLOOKUP(D37,INDIRECT("'"&amp;B37&amp;"'!$A$2:$S$999"), 2, 0)</f>
        <v/>
      </c>
      <c r="F37" s="59">
        <f>VLOOKUP(D37,INDIRECT("'"&amp;B37&amp;"'!$A$2:$S$999"), 5, 0)</f>
        <v/>
      </c>
      <c r="G37" s="59">
        <f>VLOOKUP(D37,INDIRECT("'"&amp;B37&amp;"'!$A$2:$S$999"), 6, 0)</f>
        <v/>
      </c>
      <c r="H37" s="59">
        <f>VLOOKUP(D37,INDIRECT("'"&amp;B37&amp;"'!$A$2:$S$999"), 7, 0)</f>
        <v/>
      </c>
      <c r="I37" s="59">
        <f>VLOOKUP(D37,INDIRECT("'"&amp;B37&amp;"'!$A$2:$S$999"), 8, 0)</f>
        <v/>
      </c>
      <c r="J37" s="59">
        <f>VLOOKUP(D37,INDIRECT("'"&amp;B37&amp;"'!$A$2:$S$999"), 9, 0)</f>
        <v/>
      </c>
      <c r="K37" s="59">
        <f>VLOOKUP(D37,INDIRECT("'"&amp;B37&amp;"'!$A$2:$S$999"), 10, 0)</f>
        <v/>
      </c>
      <c r="L37" s="59">
        <f>VLOOKUP(D37,INDIRECT("'"&amp;B37&amp;"'!$A$2:$S$999"), 11, 0)</f>
        <v/>
      </c>
      <c r="M37" s="12">
        <f>IF((SUM(F37:H37)&lt;0.42),$AA$4,((SUM(F37:H37)*$AA$5)))</f>
        <v/>
      </c>
      <c r="N37" s="12">
        <f>IF((SUM(F37:H37)&lt;0.42),$AB$4,((SUM(F37:H37)*$AB$5)))</f>
        <v/>
      </c>
      <c r="O37" s="12">
        <f>IF((SUM(F37:H37)&lt;0.42),$Z$4,((SUM(F37:H37)*$Z$5)))</f>
        <v/>
      </c>
      <c r="P37" s="12" t="inlineStr">
        <is>
          <t>SGLJNPJ320357K</t>
        </is>
      </c>
      <c r="Q37" s="12">
        <f>D37</f>
        <v/>
      </c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</row>
    <row r="38" ht="18.75" customHeight="1" s="220">
      <c r="A38" s="30">
        <f>B38&amp;D38</f>
        <v/>
      </c>
      <c r="B38" s="215" t="inlineStr">
        <is>
          <t>Ladies Ring</t>
        </is>
      </c>
      <c r="C38" s="215" t="n">
        <v>3076</v>
      </c>
      <c r="D38" s="12" t="n">
        <v>239</v>
      </c>
      <c r="E38" s="59">
        <f>VLOOKUP(D38,INDIRECT("'"&amp;B38&amp;"'!$A$2:$S$999"), 2, 0)</f>
        <v/>
      </c>
      <c r="F38" s="59">
        <f>VLOOKUP(D38,INDIRECT("'"&amp;B38&amp;"'!$A$2:$S$999"), 5, 0)</f>
        <v/>
      </c>
      <c r="G38" s="59">
        <f>VLOOKUP(D38,INDIRECT("'"&amp;B38&amp;"'!$A$2:$S$999"), 6, 0)</f>
        <v/>
      </c>
      <c r="H38" s="59">
        <f>VLOOKUP(D38,INDIRECT("'"&amp;B38&amp;"'!$A$2:$S$999"), 7, 0)</f>
        <v/>
      </c>
      <c r="I38" s="59">
        <f>VLOOKUP(D38,INDIRECT("'"&amp;B38&amp;"'!$A$2:$S$999"), 8, 0)</f>
        <v/>
      </c>
      <c r="J38" s="59">
        <f>VLOOKUP(D38,INDIRECT("'"&amp;B38&amp;"'!$A$2:$S$999"), 9, 0)</f>
        <v/>
      </c>
      <c r="K38" s="59">
        <f>VLOOKUP(D38,INDIRECT("'"&amp;B38&amp;"'!$A$2:$S$999"), 10, 0)</f>
        <v/>
      </c>
      <c r="L38" s="59">
        <f>VLOOKUP(D38,INDIRECT("'"&amp;B38&amp;"'!$A$2:$S$999"), 11, 0)</f>
        <v/>
      </c>
      <c r="M38" s="12">
        <f>IF((SUM(F38:H38)&lt;0.42),$AA$4,((SUM(F38:H38)*$AA$5)))</f>
        <v/>
      </c>
      <c r="N38" s="12">
        <f>IF((SUM(F38:H38)&lt;0.42),$AB$4,((SUM(F38:H38)*$AB$5)))</f>
        <v/>
      </c>
      <c r="O38" s="12">
        <f>IF((SUM(F38:H38)&lt;0.42),$Z$4,((SUM(F38:H38)*$Z$5)))</f>
        <v/>
      </c>
      <c r="P38" s="12" t="inlineStr">
        <is>
          <t>SGLJNPJ320358K</t>
        </is>
      </c>
      <c r="Q38" s="12">
        <f>D38</f>
        <v/>
      </c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</row>
    <row r="39" ht="18.75" customHeight="1" s="220">
      <c r="A39" s="30">
        <f>B39&amp;D39</f>
        <v/>
      </c>
      <c r="B39" s="215" t="inlineStr">
        <is>
          <t>Ladies Ring</t>
        </is>
      </c>
      <c r="C39" s="215" t="n">
        <v>2589</v>
      </c>
      <c r="D39" s="12" t="n">
        <v>272</v>
      </c>
      <c r="E39" s="59">
        <f>VLOOKUP(D39,INDIRECT("'"&amp;B39&amp;"'!$A$2:$S$999"), 2, 0)</f>
        <v/>
      </c>
      <c r="F39" s="59">
        <f>VLOOKUP(D39,INDIRECT("'"&amp;B39&amp;"'!$A$2:$S$999"), 5, 0)</f>
        <v/>
      </c>
      <c r="G39" s="59">
        <f>VLOOKUP(D39,INDIRECT("'"&amp;B39&amp;"'!$A$2:$S$999"), 6, 0)</f>
        <v/>
      </c>
      <c r="H39" s="59">
        <f>VLOOKUP(D39,INDIRECT("'"&amp;B39&amp;"'!$A$2:$S$999"), 7, 0)</f>
        <v/>
      </c>
      <c r="I39" s="59">
        <f>VLOOKUP(D39,INDIRECT("'"&amp;B39&amp;"'!$A$2:$S$999"), 8, 0)</f>
        <v/>
      </c>
      <c r="J39" s="59">
        <f>VLOOKUP(D39,INDIRECT("'"&amp;B39&amp;"'!$A$2:$S$999"), 9, 0)</f>
        <v/>
      </c>
      <c r="K39" s="59">
        <f>VLOOKUP(D39,INDIRECT("'"&amp;B39&amp;"'!$A$2:$S$999"), 10, 0)</f>
        <v/>
      </c>
      <c r="L39" s="59">
        <f>VLOOKUP(D39,INDIRECT("'"&amp;B39&amp;"'!$A$2:$S$999"), 11, 0)</f>
        <v/>
      </c>
      <c r="M39" s="12">
        <f>IF((SUM(F39:H39)&lt;0.42),$AA$4,((SUM(F39:H39)*$AA$5)))</f>
        <v/>
      </c>
      <c r="N39" s="12">
        <f>IF((SUM(F39:H39)&lt;0.42),$AB$4,((SUM(F39:H39)*$AB$5)))</f>
        <v/>
      </c>
      <c r="O39" s="12">
        <f>IF((SUM(F39:H39)&lt;0.42),$Z$4,((SUM(F39:H39)*$Z$5)))</f>
        <v/>
      </c>
      <c r="P39" s="12" t="inlineStr">
        <is>
          <t>SGLJNPJ320359K</t>
        </is>
      </c>
      <c r="Q39" s="12">
        <f>D39</f>
        <v/>
      </c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</row>
    <row r="40" ht="18.75" customHeight="1" s="220">
      <c r="A40" s="30">
        <f>B40&amp;D40</f>
        <v/>
      </c>
      <c r="B40" s="215" t="inlineStr">
        <is>
          <t>Ladies Ring</t>
        </is>
      </c>
      <c r="C40" s="215" t="n">
        <v>1038</v>
      </c>
      <c r="D40" s="12" t="n">
        <v>78</v>
      </c>
      <c r="E40" s="59">
        <f>VLOOKUP(D40,INDIRECT("'"&amp;B40&amp;"'!$A$2:$S$999"), 2, 0)</f>
        <v/>
      </c>
      <c r="F40" s="59">
        <f>VLOOKUP(D40,INDIRECT("'"&amp;B40&amp;"'!$A$2:$S$999"), 5, 0)</f>
        <v/>
      </c>
      <c r="G40" s="59">
        <f>VLOOKUP(D40,INDIRECT("'"&amp;B40&amp;"'!$A$2:$S$999"), 6, 0)</f>
        <v/>
      </c>
      <c r="H40" s="59">
        <f>VLOOKUP(D40,INDIRECT("'"&amp;B40&amp;"'!$A$2:$S$999"), 7, 0)</f>
        <v/>
      </c>
      <c r="I40" s="59">
        <f>VLOOKUP(D40,INDIRECT("'"&amp;B40&amp;"'!$A$2:$S$999"), 8, 0)</f>
        <v/>
      </c>
      <c r="J40" s="59">
        <f>VLOOKUP(D40,INDIRECT("'"&amp;B40&amp;"'!$A$2:$S$999"), 9, 0)</f>
        <v/>
      </c>
      <c r="K40" s="59">
        <f>VLOOKUP(D40,INDIRECT("'"&amp;B40&amp;"'!$A$2:$S$999"), 10, 0)</f>
        <v/>
      </c>
      <c r="L40" s="59">
        <f>VLOOKUP(D40,INDIRECT("'"&amp;B40&amp;"'!$A$2:$S$999"), 11, 0)</f>
        <v/>
      </c>
      <c r="M40" s="12">
        <f>IF((SUM(F40:H40)&lt;0.42),$AA$4,((SUM(F40:H40)*$AA$5)))</f>
        <v/>
      </c>
      <c r="N40" s="12">
        <f>IF((SUM(F40:H40)&lt;0.42),$AB$4,((SUM(F40:H40)*$AB$5)))</f>
        <v/>
      </c>
      <c r="O40" s="12">
        <f>IF((SUM(F40:H40)&lt;0.42),$Z$4,((SUM(F40:H40)*$Z$5)))</f>
        <v/>
      </c>
      <c r="P40" s="12" t="inlineStr">
        <is>
          <t>SGLJNPJ320360K</t>
        </is>
      </c>
      <c r="Q40" s="12">
        <f>D40</f>
        <v/>
      </c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</row>
    <row r="41" ht="18.75" customHeight="1" s="220">
      <c r="A41" s="30">
        <f>B41&amp;D41</f>
        <v/>
      </c>
      <c r="B41" s="215" t="inlineStr">
        <is>
          <t>Ladies Ring</t>
        </is>
      </c>
      <c r="C41" s="215" t="n">
        <v>1828</v>
      </c>
      <c r="D41" s="12" t="n">
        <v>27</v>
      </c>
      <c r="E41" s="59">
        <f>VLOOKUP(D41,INDIRECT("'"&amp;B41&amp;"'!$A$2:$S$999"), 2, 0)</f>
        <v/>
      </c>
      <c r="F41" s="59">
        <f>VLOOKUP(D41,INDIRECT("'"&amp;B41&amp;"'!$A$2:$S$999"), 5, 0)</f>
        <v/>
      </c>
      <c r="G41" s="59">
        <f>VLOOKUP(D41,INDIRECT("'"&amp;B41&amp;"'!$A$2:$S$999"), 6, 0)</f>
        <v/>
      </c>
      <c r="H41" s="59">
        <f>VLOOKUP(D41,INDIRECT("'"&amp;B41&amp;"'!$A$2:$S$999"), 7, 0)</f>
        <v/>
      </c>
      <c r="I41" s="59">
        <f>VLOOKUP(D41,INDIRECT("'"&amp;B41&amp;"'!$A$2:$S$999"), 8, 0)</f>
        <v/>
      </c>
      <c r="J41" s="59">
        <f>VLOOKUP(D41,INDIRECT("'"&amp;B41&amp;"'!$A$2:$S$999"), 9, 0)</f>
        <v/>
      </c>
      <c r="K41" s="59">
        <f>VLOOKUP(D41,INDIRECT("'"&amp;B41&amp;"'!$A$2:$S$999"), 10, 0)</f>
        <v/>
      </c>
      <c r="L41" s="59">
        <f>VLOOKUP(D41,INDIRECT("'"&amp;B41&amp;"'!$A$2:$S$999"), 11, 0)</f>
        <v/>
      </c>
      <c r="M41" s="12">
        <f>IF((SUM(F41:H41)&lt;0.42),$AA$4,((SUM(F41:H41)*$AA$5)))</f>
        <v/>
      </c>
      <c r="N41" s="12">
        <f>IF((SUM(F41:H41)&lt;0.42),$AB$4,((SUM(F41:H41)*$AB$5)))</f>
        <v/>
      </c>
      <c r="O41" s="12">
        <f>IF((SUM(F41:H41)&lt;0.42),$Z$4,((SUM(F41:H41)*$Z$5)))</f>
        <v/>
      </c>
      <c r="P41" s="12" t="inlineStr">
        <is>
          <t>SGLJNPJ320361K</t>
        </is>
      </c>
      <c r="Q41" s="12">
        <f>D41</f>
        <v/>
      </c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</row>
    <row r="42" ht="18.75" customHeight="1" s="220">
      <c r="A42" s="30">
        <f>B42&amp;D42</f>
        <v/>
      </c>
      <c r="B42" s="215" t="inlineStr">
        <is>
          <t>Ladies Ring</t>
        </is>
      </c>
      <c r="C42" s="215" t="n">
        <v>3253</v>
      </c>
      <c r="D42" s="12" t="n">
        <v>248</v>
      </c>
      <c r="E42" s="59">
        <f>VLOOKUP(D42,INDIRECT("'"&amp;B42&amp;"'!$A$2:$S$999"), 2, 0)</f>
        <v/>
      </c>
      <c r="F42" s="59">
        <f>VLOOKUP(D42,INDIRECT("'"&amp;B42&amp;"'!$A$2:$S$999"), 5, 0)</f>
        <v/>
      </c>
      <c r="G42" s="59">
        <f>VLOOKUP(D42,INDIRECT("'"&amp;B42&amp;"'!$A$2:$S$999"), 6, 0)</f>
        <v/>
      </c>
      <c r="H42" s="59">
        <f>VLOOKUP(D42,INDIRECT("'"&amp;B42&amp;"'!$A$2:$S$999"), 7, 0)</f>
        <v/>
      </c>
      <c r="I42" s="59">
        <f>VLOOKUP(D42,INDIRECT("'"&amp;B42&amp;"'!$A$2:$S$999"), 8, 0)</f>
        <v/>
      </c>
      <c r="J42" s="59">
        <f>VLOOKUP(D42,INDIRECT("'"&amp;B42&amp;"'!$A$2:$S$999"), 9, 0)</f>
        <v/>
      </c>
      <c r="K42" s="59">
        <f>VLOOKUP(D42,INDIRECT("'"&amp;B42&amp;"'!$A$2:$S$999"), 10, 0)</f>
        <v/>
      </c>
      <c r="L42" s="59">
        <f>VLOOKUP(D42,INDIRECT("'"&amp;B42&amp;"'!$A$2:$S$999"), 11, 0)</f>
        <v/>
      </c>
      <c r="M42" s="12">
        <f>IF((SUM(F42:H42)&lt;0.42),$AA$4,((SUM(F42:H42)*$AA$5)))</f>
        <v/>
      </c>
      <c r="N42" s="12">
        <f>IF((SUM(F42:H42)&lt;0.42),$AB$4,((SUM(F42:H42)*$AB$5)))</f>
        <v/>
      </c>
      <c r="O42" s="12">
        <f>IF((SUM(F42:H42)&lt;0.42),$Z$4,((SUM(F42:H42)*$Z$5)))</f>
        <v/>
      </c>
      <c r="P42" s="12" t="inlineStr">
        <is>
          <t>SGLJNPJ320362K</t>
        </is>
      </c>
      <c r="Q42" s="12">
        <f>D42</f>
        <v/>
      </c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</row>
    <row r="43" ht="18.75" customHeight="1" s="220">
      <c r="A43" s="30">
        <f>B43&amp;D43</f>
        <v/>
      </c>
      <c r="B43" s="215" t="inlineStr">
        <is>
          <t>Ladies Ring</t>
        </is>
      </c>
      <c r="C43" s="215" t="n">
        <v>1048</v>
      </c>
      <c r="D43" s="12" t="n">
        <v>303</v>
      </c>
      <c r="E43" s="59">
        <f>VLOOKUP(D43,INDIRECT("'"&amp;B43&amp;"'!$A$2:$S$999"), 2, 0)</f>
        <v/>
      </c>
      <c r="F43" s="59">
        <f>VLOOKUP(D43,INDIRECT("'"&amp;B43&amp;"'!$A$2:$S$999"), 5, 0)</f>
        <v/>
      </c>
      <c r="G43" s="59">
        <f>VLOOKUP(D43,INDIRECT("'"&amp;B43&amp;"'!$A$2:$S$999"), 6, 0)</f>
        <v/>
      </c>
      <c r="H43" s="59">
        <f>VLOOKUP(D43,INDIRECT("'"&amp;B43&amp;"'!$A$2:$S$999"), 7, 0)</f>
        <v/>
      </c>
      <c r="I43" s="59">
        <f>VLOOKUP(D43,INDIRECT("'"&amp;B43&amp;"'!$A$2:$S$999"), 8, 0)</f>
        <v/>
      </c>
      <c r="J43" s="59">
        <f>VLOOKUP(D43,INDIRECT("'"&amp;B43&amp;"'!$A$2:$S$999"), 9, 0)</f>
        <v/>
      </c>
      <c r="K43" s="59">
        <f>VLOOKUP(D43,INDIRECT("'"&amp;B43&amp;"'!$A$2:$S$999"), 10, 0)</f>
        <v/>
      </c>
      <c r="L43" s="59">
        <f>VLOOKUP(D43,INDIRECT("'"&amp;B43&amp;"'!$A$2:$S$999"), 11, 0)</f>
        <v/>
      </c>
      <c r="M43" s="12">
        <f>IF((SUM(F43:H43)&lt;0.42),$AA$4,((SUM(F43:H43)*$AA$5)))</f>
        <v/>
      </c>
      <c r="N43" s="12">
        <f>IF((SUM(F43:H43)&lt;0.42),$AB$4,((SUM(F43:H43)*$AB$5)))</f>
        <v/>
      </c>
      <c r="O43" s="12">
        <f>IF((SUM(F43:H43)&lt;0.42),$Z$4,((SUM(F43:H43)*$Z$5)))</f>
        <v/>
      </c>
      <c r="P43" s="12" t="inlineStr">
        <is>
          <t>SGLJNPJ320363K</t>
        </is>
      </c>
      <c r="Q43" s="12">
        <f>D43</f>
        <v/>
      </c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</row>
    <row r="44" ht="18.75" customHeight="1" s="220">
      <c r="A44" s="30">
        <f>B44&amp;D44</f>
        <v/>
      </c>
      <c r="B44" s="215" t="inlineStr">
        <is>
          <t>Ladies Ring</t>
        </is>
      </c>
      <c r="C44" s="215" t="n">
        <v>3467</v>
      </c>
      <c r="D44" s="12" t="n">
        <v>268</v>
      </c>
      <c r="E44" s="59">
        <f>VLOOKUP(D44,INDIRECT("'"&amp;B44&amp;"'!$A$2:$S$999"), 2, 0)</f>
        <v/>
      </c>
      <c r="F44" s="59">
        <f>VLOOKUP(D44,INDIRECT("'"&amp;B44&amp;"'!$A$2:$S$999"), 5, 0)</f>
        <v/>
      </c>
      <c r="G44" s="59">
        <f>VLOOKUP(D44,INDIRECT("'"&amp;B44&amp;"'!$A$2:$S$999"), 6, 0)</f>
        <v/>
      </c>
      <c r="H44" s="59">
        <f>VLOOKUP(D44,INDIRECT("'"&amp;B44&amp;"'!$A$2:$S$999"), 7, 0)</f>
        <v/>
      </c>
      <c r="I44" s="59">
        <f>VLOOKUP(D44,INDIRECT("'"&amp;B44&amp;"'!$A$2:$S$999"), 8, 0)</f>
        <v/>
      </c>
      <c r="J44" s="59">
        <f>VLOOKUP(D44,INDIRECT("'"&amp;B44&amp;"'!$A$2:$S$999"), 9, 0)</f>
        <v/>
      </c>
      <c r="K44" s="59">
        <f>VLOOKUP(D44,INDIRECT("'"&amp;B44&amp;"'!$A$2:$S$999"), 10, 0)</f>
        <v/>
      </c>
      <c r="L44" s="59">
        <f>VLOOKUP(D44,INDIRECT("'"&amp;B44&amp;"'!$A$2:$S$999"), 11, 0)</f>
        <v/>
      </c>
      <c r="M44" s="12">
        <f>IF((SUM(F44:H44)&lt;0.42),$AA$4,((SUM(F44:H44)*$AA$5)))</f>
        <v/>
      </c>
      <c r="N44" s="12">
        <f>IF((SUM(F44:H44)&lt;0.42),$AB$4,((SUM(F44:H44)*$AB$5)))</f>
        <v/>
      </c>
      <c r="O44" s="12">
        <f>IF((SUM(F44:H44)&lt;0.42),$Z$4,((SUM(F44:H44)*$Z$5)))</f>
        <v/>
      </c>
      <c r="P44" s="12" t="inlineStr">
        <is>
          <t>SGLJNPJ320364K</t>
        </is>
      </c>
      <c r="Q44" s="12">
        <f>D44</f>
        <v/>
      </c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</row>
    <row r="45" ht="18.75" customHeight="1" s="220">
      <c r="A45" s="30">
        <f>B45&amp;D45</f>
        <v/>
      </c>
      <c r="B45" s="215" t="inlineStr">
        <is>
          <t>Ladies Ring</t>
        </is>
      </c>
      <c r="C45" s="215" t="n">
        <v>2384</v>
      </c>
      <c r="D45" s="12" t="n">
        <v>316</v>
      </c>
      <c r="E45" s="59">
        <f>VLOOKUP(D45,INDIRECT("'"&amp;B45&amp;"'!$A$2:$S$999"), 2, 0)</f>
        <v/>
      </c>
      <c r="F45" s="59">
        <f>VLOOKUP(D45,INDIRECT("'"&amp;B45&amp;"'!$A$2:$S$999"), 5, 0)</f>
        <v/>
      </c>
      <c r="G45" s="59">
        <f>VLOOKUP(D45,INDIRECT("'"&amp;B45&amp;"'!$A$2:$S$999"), 6, 0)</f>
        <v/>
      </c>
      <c r="H45" s="59">
        <f>VLOOKUP(D45,INDIRECT("'"&amp;B45&amp;"'!$A$2:$S$999"), 7, 0)</f>
        <v/>
      </c>
      <c r="I45" s="59">
        <f>VLOOKUP(D45,INDIRECT("'"&amp;B45&amp;"'!$A$2:$S$999"), 8, 0)</f>
        <v/>
      </c>
      <c r="J45" s="59">
        <f>VLOOKUP(D45,INDIRECT("'"&amp;B45&amp;"'!$A$2:$S$999"), 9, 0)</f>
        <v/>
      </c>
      <c r="K45" s="59">
        <f>VLOOKUP(D45,INDIRECT("'"&amp;B45&amp;"'!$A$2:$S$999"), 10, 0)</f>
        <v/>
      </c>
      <c r="L45" s="59">
        <f>VLOOKUP(D45,INDIRECT("'"&amp;B45&amp;"'!$A$2:$S$999"), 11, 0)</f>
        <v/>
      </c>
      <c r="M45" s="12">
        <f>IF((SUM(F45:H45)&lt;0.42),$AA$4,((SUM(F45:H45)*$AA$5)))</f>
        <v/>
      </c>
      <c r="N45" s="12">
        <f>IF((SUM(F45:H45)&lt;0.42),$AB$4,((SUM(F45:H45)*$AB$5)))</f>
        <v/>
      </c>
      <c r="O45" s="12">
        <f>IF((SUM(F45:H45)&lt;0.42),$Z$4,((SUM(F45:H45)*$Z$5)))</f>
        <v/>
      </c>
      <c r="P45" s="12" t="inlineStr">
        <is>
          <t>SGLJNPJ320365K</t>
        </is>
      </c>
      <c r="Q45" s="12">
        <f>D45</f>
        <v/>
      </c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</row>
    <row r="46" ht="18.75" customHeight="1" s="220">
      <c r="A46" s="30">
        <f>B46&amp;D46</f>
        <v/>
      </c>
      <c r="B46" s="215" t="inlineStr">
        <is>
          <t>Ladies Ring</t>
        </is>
      </c>
      <c r="C46" s="215" t="n">
        <v>1448</v>
      </c>
      <c r="D46" s="12" t="n">
        <v>260</v>
      </c>
      <c r="E46" s="59">
        <f>VLOOKUP(D46,INDIRECT("'"&amp;B46&amp;"'!$A$2:$S$999"), 2, 0)</f>
        <v/>
      </c>
      <c r="F46" s="59">
        <f>VLOOKUP(D46,INDIRECT("'"&amp;B46&amp;"'!$A$2:$S$999"), 5, 0)</f>
        <v/>
      </c>
      <c r="G46" s="59">
        <f>VLOOKUP(D46,INDIRECT("'"&amp;B46&amp;"'!$A$2:$S$999"), 6, 0)</f>
        <v/>
      </c>
      <c r="H46" s="59">
        <f>VLOOKUP(D46,INDIRECT("'"&amp;B46&amp;"'!$A$2:$S$999"), 7, 0)</f>
        <v/>
      </c>
      <c r="I46" s="59">
        <f>VLOOKUP(D46,INDIRECT("'"&amp;B46&amp;"'!$A$2:$S$999"), 8, 0)</f>
        <v/>
      </c>
      <c r="J46" s="59">
        <f>VLOOKUP(D46,INDIRECT("'"&amp;B46&amp;"'!$A$2:$S$999"), 9, 0)</f>
        <v/>
      </c>
      <c r="K46" s="59">
        <f>VLOOKUP(D46,INDIRECT("'"&amp;B46&amp;"'!$A$2:$S$999"), 10, 0)</f>
        <v/>
      </c>
      <c r="L46" s="59">
        <f>VLOOKUP(D46,INDIRECT("'"&amp;B46&amp;"'!$A$2:$S$999"), 11, 0)</f>
        <v/>
      </c>
      <c r="M46" s="12">
        <f>IF((SUM(F46:H46)&lt;0.42),$AA$4,((SUM(F46:H46)*$AA$5)))</f>
        <v/>
      </c>
      <c r="N46" s="12">
        <f>IF((SUM(F46:H46)&lt;0.42),$AB$4,((SUM(F46:H46)*$AB$5)))</f>
        <v/>
      </c>
      <c r="O46" s="12">
        <f>IF((SUM(F46:H46)&lt;0.42),$Z$4,((SUM(F46:H46)*$Z$5)))</f>
        <v/>
      </c>
      <c r="P46" s="12" t="inlineStr">
        <is>
          <t>SGLJNPJ320366K</t>
        </is>
      </c>
      <c r="Q46" s="12">
        <f>D46</f>
        <v/>
      </c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</row>
    <row r="47" ht="18.75" customHeight="1" s="220">
      <c r="A47" s="30">
        <f>B47&amp;D47</f>
        <v/>
      </c>
      <c r="B47" s="215" t="inlineStr">
        <is>
          <t>Ladies Ring</t>
        </is>
      </c>
      <c r="C47" s="215" t="n">
        <v>2739</v>
      </c>
      <c r="D47" s="12" t="n">
        <v>346</v>
      </c>
      <c r="E47" s="59">
        <f>VLOOKUP(D47,INDIRECT("'"&amp;B47&amp;"'!$A$2:$S$999"), 2, 0)</f>
        <v/>
      </c>
      <c r="F47" s="59">
        <f>VLOOKUP(D47,INDIRECT("'"&amp;B47&amp;"'!$A$2:$S$999"), 5, 0)</f>
        <v/>
      </c>
      <c r="G47" s="59">
        <f>VLOOKUP(D47,INDIRECT("'"&amp;B47&amp;"'!$A$2:$S$999"), 6, 0)</f>
        <v/>
      </c>
      <c r="H47" s="59">
        <f>VLOOKUP(D47,INDIRECT("'"&amp;B47&amp;"'!$A$2:$S$999"), 7, 0)</f>
        <v/>
      </c>
      <c r="I47" s="59">
        <f>VLOOKUP(D47,INDIRECT("'"&amp;B47&amp;"'!$A$2:$S$999"), 8, 0)</f>
        <v/>
      </c>
      <c r="J47" s="59">
        <f>VLOOKUP(D47,INDIRECT("'"&amp;B47&amp;"'!$A$2:$S$999"), 9, 0)</f>
        <v/>
      </c>
      <c r="K47" s="59">
        <f>VLOOKUP(D47,INDIRECT("'"&amp;B47&amp;"'!$A$2:$S$999"), 10, 0)</f>
        <v/>
      </c>
      <c r="L47" s="59">
        <f>VLOOKUP(D47,INDIRECT("'"&amp;B47&amp;"'!$A$2:$S$999"), 11, 0)</f>
        <v/>
      </c>
      <c r="M47" s="12">
        <f>IF((SUM(F47:H47)&lt;0.42),$AA$4,((SUM(F47:H47)*$AA$5)))</f>
        <v/>
      </c>
      <c r="N47" s="12">
        <f>IF((SUM(F47:H47)&lt;0.42),$AB$4,((SUM(F47:H47)*$AB$5)))</f>
        <v/>
      </c>
      <c r="O47" s="12">
        <f>IF((SUM(F47:H47)&lt;0.42),$Z$4,((SUM(F47:H47)*$Z$5)))</f>
        <v/>
      </c>
      <c r="P47" s="12" t="inlineStr">
        <is>
          <t>SGLJNPJ320367K</t>
        </is>
      </c>
      <c r="Q47" s="12">
        <f>D47</f>
        <v/>
      </c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</row>
    <row r="48" ht="18.75" customHeight="1" s="220">
      <c r="A48" s="30">
        <f>B48&amp;D48</f>
        <v/>
      </c>
      <c r="B48" s="215" t="inlineStr">
        <is>
          <t>Ladies Ring</t>
        </is>
      </c>
      <c r="C48" s="215" t="n">
        <v>3044</v>
      </c>
      <c r="D48" s="12" t="n">
        <v>345</v>
      </c>
      <c r="E48" s="59">
        <f>VLOOKUP(D48,INDIRECT("'"&amp;B48&amp;"'!$A$2:$S$999"), 2, 0)</f>
        <v/>
      </c>
      <c r="F48" s="59">
        <f>VLOOKUP(D48,INDIRECT("'"&amp;B48&amp;"'!$A$2:$S$999"), 5, 0)</f>
        <v/>
      </c>
      <c r="G48" s="59">
        <f>VLOOKUP(D48,INDIRECT("'"&amp;B48&amp;"'!$A$2:$S$999"), 6, 0)</f>
        <v/>
      </c>
      <c r="H48" s="59">
        <f>VLOOKUP(D48,INDIRECT("'"&amp;B48&amp;"'!$A$2:$S$999"), 7, 0)</f>
        <v/>
      </c>
      <c r="I48" s="59">
        <f>VLOOKUP(D48,INDIRECT("'"&amp;B48&amp;"'!$A$2:$S$999"), 8, 0)</f>
        <v/>
      </c>
      <c r="J48" s="59">
        <f>VLOOKUP(D48,INDIRECT("'"&amp;B48&amp;"'!$A$2:$S$999"), 9, 0)</f>
        <v/>
      </c>
      <c r="K48" s="59">
        <f>VLOOKUP(D48,INDIRECT("'"&amp;B48&amp;"'!$A$2:$S$999"), 10, 0)</f>
        <v/>
      </c>
      <c r="L48" s="59">
        <f>VLOOKUP(D48,INDIRECT("'"&amp;B48&amp;"'!$A$2:$S$999"), 11, 0)</f>
        <v/>
      </c>
      <c r="M48" s="12">
        <f>IF((SUM(F48:H48)&lt;0.42),$AA$4,((SUM(F48:H48)*$AA$5)))</f>
        <v/>
      </c>
      <c r="N48" s="12">
        <f>IF((SUM(F48:H48)&lt;0.42),$AB$4,((SUM(F48:H48)*$AB$5)))</f>
        <v/>
      </c>
      <c r="O48" s="12">
        <f>IF((SUM(F48:H48)&lt;0.42),$Z$4,((SUM(F48:H48)*$Z$5)))</f>
        <v/>
      </c>
      <c r="P48" s="12" t="inlineStr">
        <is>
          <t>SGLJNPJ320368K</t>
        </is>
      </c>
      <c r="Q48" s="12">
        <f>D48</f>
        <v/>
      </c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</row>
    <row r="49" ht="18.75" customHeight="1" s="220">
      <c r="A49" s="30">
        <f>B49&amp;D49</f>
        <v/>
      </c>
      <c r="B49" s="215" t="inlineStr">
        <is>
          <t>Ladies Ring</t>
        </is>
      </c>
      <c r="C49" s="215" t="n">
        <v>2495</v>
      </c>
      <c r="D49" s="12" t="n">
        <v>182</v>
      </c>
      <c r="E49" s="59">
        <f>VLOOKUP(D49,INDIRECT("'"&amp;B49&amp;"'!$A$2:$S$999"), 2, 0)</f>
        <v/>
      </c>
      <c r="F49" s="59">
        <f>VLOOKUP(D49,INDIRECT("'"&amp;B49&amp;"'!$A$2:$S$999"), 5, 0)</f>
        <v/>
      </c>
      <c r="G49" s="59">
        <f>VLOOKUP(D49,INDIRECT("'"&amp;B49&amp;"'!$A$2:$S$999"), 6, 0)</f>
        <v/>
      </c>
      <c r="H49" s="59">
        <f>VLOOKUP(D49,INDIRECT("'"&amp;B49&amp;"'!$A$2:$S$999"), 7, 0)</f>
        <v/>
      </c>
      <c r="I49" s="59">
        <f>VLOOKUP(D49,INDIRECT("'"&amp;B49&amp;"'!$A$2:$S$999"), 8, 0)</f>
        <v/>
      </c>
      <c r="J49" s="59">
        <f>VLOOKUP(D49,INDIRECT("'"&amp;B49&amp;"'!$A$2:$S$999"), 9, 0)</f>
        <v/>
      </c>
      <c r="K49" s="59">
        <f>VLOOKUP(D49,INDIRECT("'"&amp;B49&amp;"'!$A$2:$S$999"), 10, 0)</f>
        <v/>
      </c>
      <c r="L49" s="59">
        <f>VLOOKUP(D49,INDIRECT("'"&amp;B49&amp;"'!$A$2:$S$999"), 11, 0)</f>
        <v/>
      </c>
      <c r="M49" s="12">
        <f>IF((SUM(F49:H49)&lt;0.42),$AA$4,((SUM(F49:H49)*$AA$5)))</f>
        <v/>
      </c>
      <c r="N49" s="12">
        <f>IF((SUM(F49:H49)&lt;0.42),$AB$4,((SUM(F49:H49)*$AB$5)))</f>
        <v/>
      </c>
      <c r="O49" s="12">
        <f>IF((SUM(F49:H49)&lt;0.42),$Z$4,((SUM(F49:H49)*$Z$5)))</f>
        <v/>
      </c>
      <c r="P49" s="12" t="inlineStr">
        <is>
          <t>SGLJNPJ320369K</t>
        </is>
      </c>
      <c r="Q49" s="12">
        <f>D49</f>
        <v/>
      </c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</row>
    <row r="50" ht="18.75" customHeight="1" s="220">
      <c r="A50" s="30">
        <f>B50&amp;D50</f>
        <v/>
      </c>
      <c r="B50" s="215" t="inlineStr">
        <is>
          <t>Ladies Ring</t>
        </is>
      </c>
      <c r="C50" s="215" t="n">
        <v>3372</v>
      </c>
      <c r="D50" s="12" t="n">
        <v>253</v>
      </c>
      <c r="E50" s="59">
        <f>VLOOKUP(D50,INDIRECT("'"&amp;B50&amp;"'!$A$2:$S$999"), 2, 0)</f>
        <v/>
      </c>
      <c r="F50" s="59">
        <f>VLOOKUP(D50,INDIRECT("'"&amp;B50&amp;"'!$A$2:$S$999"), 5, 0)</f>
        <v/>
      </c>
      <c r="G50" s="59">
        <f>VLOOKUP(D50,INDIRECT("'"&amp;B50&amp;"'!$A$2:$S$999"), 6, 0)</f>
        <v/>
      </c>
      <c r="H50" s="59">
        <f>VLOOKUP(D50,INDIRECT("'"&amp;B50&amp;"'!$A$2:$S$999"), 7, 0)</f>
        <v/>
      </c>
      <c r="I50" s="59">
        <f>VLOOKUP(D50,INDIRECT("'"&amp;B50&amp;"'!$A$2:$S$999"), 8, 0)</f>
        <v/>
      </c>
      <c r="J50" s="59">
        <f>VLOOKUP(D50,INDIRECT("'"&amp;B50&amp;"'!$A$2:$S$999"), 9, 0)</f>
        <v/>
      </c>
      <c r="K50" s="59">
        <f>VLOOKUP(D50,INDIRECT("'"&amp;B50&amp;"'!$A$2:$S$999"), 10, 0)</f>
        <v/>
      </c>
      <c r="L50" s="59">
        <f>VLOOKUP(D50,INDIRECT("'"&amp;B50&amp;"'!$A$2:$S$999"), 11, 0)</f>
        <v/>
      </c>
      <c r="M50" s="12">
        <f>IF((SUM(F50:H50)&lt;0.42),$AA$4,((SUM(F50:H50)*$AA$5)))</f>
        <v/>
      </c>
      <c r="N50" s="12">
        <f>IF((SUM(F50:H50)&lt;0.42),$AB$4,((SUM(F50:H50)*$AB$5)))</f>
        <v/>
      </c>
      <c r="O50" s="12">
        <f>IF((SUM(F50:H50)&lt;0.42),$Z$4,((SUM(F50:H50)*$Z$5)))</f>
        <v/>
      </c>
      <c r="P50" s="12" t="inlineStr">
        <is>
          <t>SGLJNPJ320370K</t>
        </is>
      </c>
      <c r="Q50" s="12">
        <f>D50</f>
        <v/>
      </c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</row>
    <row r="51" ht="18.75" customHeight="1" s="220">
      <c r="A51" s="30">
        <f>B51&amp;D51</f>
        <v/>
      </c>
      <c r="B51" s="215" t="inlineStr">
        <is>
          <t>Ladies Ring</t>
        </is>
      </c>
      <c r="C51" s="215" t="n">
        <v>3435</v>
      </c>
      <c r="D51" s="12" t="n">
        <v>276</v>
      </c>
      <c r="E51" s="59">
        <f>VLOOKUP(D51,INDIRECT("'"&amp;B51&amp;"'!$A$2:$S$999"), 2, 0)</f>
        <v/>
      </c>
      <c r="F51" s="59">
        <f>VLOOKUP(D51,INDIRECT("'"&amp;B51&amp;"'!$A$2:$S$999"), 5, 0)</f>
        <v/>
      </c>
      <c r="G51" s="59">
        <f>VLOOKUP(D51,INDIRECT("'"&amp;B51&amp;"'!$A$2:$S$999"), 6, 0)</f>
        <v/>
      </c>
      <c r="H51" s="59">
        <f>VLOOKUP(D51,INDIRECT("'"&amp;B51&amp;"'!$A$2:$S$999"), 7, 0)</f>
        <v/>
      </c>
      <c r="I51" s="59">
        <f>VLOOKUP(D51,INDIRECT("'"&amp;B51&amp;"'!$A$2:$S$999"), 8, 0)</f>
        <v/>
      </c>
      <c r="J51" s="59">
        <f>VLOOKUP(D51,INDIRECT("'"&amp;B51&amp;"'!$A$2:$S$999"), 9, 0)</f>
        <v/>
      </c>
      <c r="K51" s="59">
        <f>VLOOKUP(D51,INDIRECT("'"&amp;B51&amp;"'!$A$2:$S$999"), 10, 0)</f>
        <v/>
      </c>
      <c r="L51" s="59">
        <f>VLOOKUP(D51,INDIRECT("'"&amp;B51&amp;"'!$A$2:$S$999"), 11, 0)</f>
        <v/>
      </c>
      <c r="M51" s="12">
        <f>IF((SUM(F51:H51)&lt;0.42),$AA$4,((SUM(F51:H51)*$AA$5)))</f>
        <v/>
      </c>
      <c r="N51" s="12">
        <f>IF((SUM(F51:H51)&lt;0.42),$AB$4,((SUM(F51:H51)*$AB$5)))</f>
        <v/>
      </c>
      <c r="O51" s="12">
        <f>IF((SUM(F51:H51)&lt;0.42),$Z$4,((SUM(F51:H51)*$Z$5)))</f>
        <v/>
      </c>
      <c r="P51" s="12" t="inlineStr">
        <is>
          <t>SGLJNPJ320371K</t>
        </is>
      </c>
      <c r="Q51" s="12">
        <f>D51</f>
        <v/>
      </c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</row>
    <row r="52" ht="18.75" customHeight="1" s="220">
      <c r="A52" s="30">
        <f>B52&amp;D52</f>
        <v/>
      </c>
      <c r="B52" s="215" t="inlineStr">
        <is>
          <t>Ladies Ring</t>
        </is>
      </c>
      <c r="C52" s="215" t="n">
        <v>862</v>
      </c>
      <c r="D52" s="12" t="n">
        <v>166</v>
      </c>
      <c r="E52" s="59">
        <f>VLOOKUP(D52,INDIRECT("'"&amp;B52&amp;"'!$A$2:$S$999"), 2, 0)</f>
        <v/>
      </c>
      <c r="F52" s="59">
        <f>VLOOKUP(D52,INDIRECT("'"&amp;B52&amp;"'!$A$2:$S$999"), 5, 0)</f>
        <v/>
      </c>
      <c r="G52" s="59">
        <f>VLOOKUP(D52,INDIRECT("'"&amp;B52&amp;"'!$A$2:$S$999"), 6, 0)</f>
        <v/>
      </c>
      <c r="H52" s="59">
        <f>VLOOKUP(D52,INDIRECT("'"&amp;B52&amp;"'!$A$2:$S$999"), 7, 0)</f>
        <v/>
      </c>
      <c r="I52" s="59">
        <f>VLOOKUP(D52,INDIRECT("'"&amp;B52&amp;"'!$A$2:$S$999"), 8, 0)</f>
        <v/>
      </c>
      <c r="J52" s="59">
        <f>VLOOKUP(D52,INDIRECT("'"&amp;B52&amp;"'!$A$2:$S$999"), 9, 0)</f>
        <v/>
      </c>
      <c r="K52" s="59">
        <f>VLOOKUP(D52,INDIRECT("'"&amp;B52&amp;"'!$A$2:$S$999"), 10, 0)</f>
        <v/>
      </c>
      <c r="L52" s="59">
        <f>VLOOKUP(D52,INDIRECT("'"&amp;B52&amp;"'!$A$2:$S$999"), 11, 0)</f>
        <v/>
      </c>
      <c r="M52" s="12">
        <f>IF((SUM(F52:H52)&lt;0.42),$AA$4,((SUM(F52:H52)*$AA$5)))</f>
        <v/>
      </c>
      <c r="N52" s="12">
        <f>IF((SUM(F52:H52)&lt;0.42),$AB$4,((SUM(F52:H52)*$AB$5)))</f>
        <v/>
      </c>
      <c r="O52" s="12">
        <f>IF((SUM(F52:H52)&lt;0.42),$Z$4,((SUM(F52:H52)*$Z$5)))</f>
        <v/>
      </c>
      <c r="P52" s="12" t="inlineStr">
        <is>
          <t>SGLJNPJ320372K</t>
        </is>
      </c>
      <c r="Q52" s="12">
        <f>D52</f>
        <v/>
      </c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</row>
    <row r="53" ht="18.75" customHeight="1" s="220">
      <c r="A53" s="30">
        <f>B53&amp;D53</f>
        <v/>
      </c>
      <c r="B53" s="215" t="inlineStr">
        <is>
          <t>Ladies Ring</t>
        </is>
      </c>
      <c r="C53" s="215" t="n">
        <v>1423</v>
      </c>
      <c r="D53" s="12" t="n">
        <v>79</v>
      </c>
      <c r="E53" s="59">
        <f>VLOOKUP(D53,INDIRECT("'"&amp;B53&amp;"'!$A$2:$S$999"), 2, 0)</f>
        <v/>
      </c>
      <c r="F53" s="59">
        <f>VLOOKUP(D53,INDIRECT("'"&amp;B53&amp;"'!$A$2:$S$999"), 5, 0)</f>
        <v/>
      </c>
      <c r="G53" s="59">
        <f>VLOOKUP(D53,INDIRECT("'"&amp;B53&amp;"'!$A$2:$S$999"), 6, 0)</f>
        <v/>
      </c>
      <c r="H53" s="59">
        <f>VLOOKUP(D53,INDIRECT("'"&amp;B53&amp;"'!$A$2:$S$999"), 7, 0)</f>
        <v/>
      </c>
      <c r="I53" s="59">
        <f>VLOOKUP(D53,INDIRECT("'"&amp;B53&amp;"'!$A$2:$S$999"), 8, 0)</f>
        <v/>
      </c>
      <c r="J53" s="59">
        <f>VLOOKUP(D53,INDIRECT("'"&amp;B53&amp;"'!$A$2:$S$999"), 9, 0)</f>
        <v/>
      </c>
      <c r="K53" s="59">
        <f>VLOOKUP(D53,INDIRECT("'"&amp;B53&amp;"'!$A$2:$S$999"), 10, 0)</f>
        <v/>
      </c>
      <c r="L53" s="59">
        <f>VLOOKUP(D53,INDIRECT("'"&amp;B53&amp;"'!$A$2:$S$999"), 11, 0)</f>
        <v/>
      </c>
      <c r="M53" s="12">
        <f>IF((SUM(F53:H53)&lt;0.42),$AA$4,((SUM(F53:H53)*$AA$5)))</f>
        <v/>
      </c>
      <c r="N53" s="12">
        <f>IF((SUM(F53:H53)&lt;0.42),$AB$4,((SUM(F53:H53)*$AB$5)))</f>
        <v/>
      </c>
      <c r="O53" s="12">
        <f>IF((SUM(F53:H53)&lt;0.42),$Z$4,((SUM(F53:H53)*$Z$5)))</f>
        <v/>
      </c>
      <c r="P53" s="12" t="inlineStr">
        <is>
          <t>SGLJNPJ320373K</t>
        </is>
      </c>
      <c r="Q53" s="12">
        <f>D53</f>
        <v/>
      </c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</row>
    <row r="54" ht="18.75" customHeight="1" s="220">
      <c r="A54" s="30">
        <f>B54&amp;D54</f>
        <v/>
      </c>
      <c r="B54" s="215" t="inlineStr">
        <is>
          <t>Ladies Ring</t>
        </is>
      </c>
      <c r="C54" s="215" t="n">
        <v>3145</v>
      </c>
      <c r="D54" s="12" t="n">
        <v>209</v>
      </c>
      <c r="E54" s="59">
        <f>VLOOKUP(D54,INDIRECT("'"&amp;B54&amp;"'!$A$2:$S$999"), 2, 0)</f>
        <v/>
      </c>
      <c r="F54" s="59">
        <f>VLOOKUP(D54,INDIRECT("'"&amp;B54&amp;"'!$A$2:$S$999"), 5, 0)</f>
        <v/>
      </c>
      <c r="G54" s="59">
        <f>VLOOKUP(D54,INDIRECT("'"&amp;B54&amp;"'!$A$2:$S$999"), 6, 0)</f>
        <v/>
      </c>
      <c r="H54" s="59">
        <f>VLOOKUP(D54,INDIRECT("'"&amp;B54&amp;"'!$A$2:$S$999"), 7, 0)</f>
        <v/>
      </c>
      <c r="I54" s="59">
        <f>VLOOKUP(D54,INDIRECT("'"&amp;B54&amp;"'!$A$2:$S$999"), 8, 0)</f>
        <v/>
      </c>
      <c r="J54" s="59">
        <f>VLOOKUP(D54,INDIRECT("'"&amp;B54&amp;"'!$A$2:$S$999"), 9, 0)</f>
        <v/>
      </c>
      <c r="K54" s="59">
        <f>VLOOKUP(D54,INDIRECT("'"&amp;B54&amp;"'!$A$2:$S$999"), 10, 0)</f>
        <v/>
      </c>
      <c r="L54" s="59">
        <f>VLOOKUP(D54,INDIRECT("'"&amp;B54&amp;"'!$A$2:$S$999"), 11, 0)</f>
        <v/>
      </c>
      <c r="M54" s="12">
        <f>IF((SUM(F54:H54)&lt;0.42),$AA$4,((SUM(F54:H54)*$AA$5)))</f>
        <v/>
      </c>
      <c r="N54" s="12">
        <f>IF((SUM(F54:H54)&lt;0.42),$AB$4,((SUM(F54:H54)*$AB$5)))</f>
        <v/>
      </c>
      <c r="O54" s="12">
        <f>IF((SUM(F54:H54)&lt;0.42),$Z$4,((SUM(F54:H54)*$Z$5)))</f>
        <v/>
      </c>
      <c r="P54" s="12" t="inlineStr">
        <is>
          <t>SGLJNPJ320374K</t>
        </is>
      </c>
      <c r="Q54" s="12">
        <f>D54</f>
        <v/>
      </c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</row>
    <row r="55" ht="18.75" customHeight="1" s="220">
      <c r="A55" s="30">
        <f>B55&amp;D55</f>
        <v/>
      </c>
      <c r="B55" s="215" t="inlineStr">
        <is>
          <t>Ladies Ring</t>
        </is>
      </c>
      <c r="C55" s="215" t="n">
        <v>2896</v>
      </c>
      <c r="D55" s="12" t="n">
        <v>194</v>
      </c>
      <c r="E55" s="59">
        <f>VLOOKUP(D55,INDIRECT("'"&amp;B55&amp;"'!$A$2:$S$999"), 2, 0)</f>
        <v/>
      </c>
      <c r="F55" s="59">
        <f>VLOOKUP(D55,INDIRECT("'"&amp;B55&amp;"'!$A$2:$S$999"), 5, 0)</f>
        <v/>
      </c>
      <c r="G55" s="59">
        <f>VLOOKUP(D55,INDIRECT("'"&amp;B55&amp;"'!$A$2:$S$999"), 6, 0)</f>
        <v/>
      </c>
      <c r="H55" s="59">
        <f>VLOOKUP(D55,INDIRECT("'"&amp;B55&amp;"'!$A$2:$S$999"), 7, 0)</f>
        <v/>
      </c>
      <c r="I55" s="59">
        <f>VLOOKUP(D55,INDIRECT("'"&amp;B55&amp;"'!$A$2:$S$999"), 8, 0)</f>
        <v/>
      </c>
      <c r="J55" s="59">
        <f>VLOOKUP(D55,INDIRECT("'"&amp;B55&amp;"'!$A$2:$S$999"), 9, 0)</f>
        <v/>
      </c>
      <c r="K55" s="59">
        <f>VLOOKUP(D55,INDIRECT("'"&amp;B55&amp;"'!$A$2:$S$999"), 10, 0)</f>
        <v/>
      </c>
      <c r="L55" s="59">
        <f>VLOOKUP(D55,INDIRECT("'"&amp;B55&amp;"'!$A$2:$S$999"), 11, 0)</f>
        <v/>
      </c>
      <c r="M55" s="12">
        <f>IF((SUM(F55:H55)&lt;0.42),$AA$4,((SUM(F55:H55)*$AA$5)))</f>
        <v/>
      </c>
      <c r="N55" s="12">
        <f>IF((SUM(F55:H55)&lt;0.42),$AB$4,((SUM(F55:H55)*$AB$5)))</f>
        <v/>
      </c>
      <c r="O55" s="12">
        <f>IF((SUM(F55:H55)&lt;0.42),$Z$4,((SUM(F55:H55)*$Z$5)))</f>
        <v/>
      </c>
      <c r="P55" s="12" t="inlineStr">
        <is>
          <t>SGLJNPJ320375K</t>
        </is>
      </c>
      <c r="Q55" s="12">
        <f>D55</f>
        <v/>
      </c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</row>
    <row r="56" ht="18.75" customHeight="1" s="220">
      <c r="A56" s="30">
        <f>B56&amp;D56</f>
        <v/>
      </c>
      <c r="B56" s="215" t="inlineStr">
        <is>
          <t>Ladies Ring</t>
        </is>
      </c>
      <c r="C56" s="215" t="n">
        <v>2202</v>
      </c>
      <c r="D56" s="12" t="n">
        <v>168</v>
      </c>
      <c r="E56" s="59">
        <f>VLOOKUP(D56,INDIRECT("'"&amp;B56&amp;"'!$A$2:$S$999"), 2, 0)</f>
        <v/>
      </c>
      <c r="F56" s="59">
        <f>VLOOKUP(D56,INDIRECT("'"&amp;B56&amp;"'!$A$2:$S$999"), 5, 0)</f>
        <v/>
      </c>
      <c r="G56" s="59">
        <f>VLOOKUP(D56,INDIRECT("'"&amp;B56&amp;"'!$A$2:$S$999"), 6, 0)</f>
        <v/>
      </c>
      <c r="H56" s="59">
        <f>VLOOKUP(D56,INDIRECT("'"&amp;B56&amp;"'!$A$2:$S$999"), 7, 0)</f>
        <v/>
      </c>
      <c r="I56" s="59">
        <f>VLOOKUP(D56,INDIRECT("'"&amp;B56&amp;"'!$A$2:$S$999"), 8, 0)</f>
        <v/>
      </c>
      <c r="J56" s="59">
        <f>VLOOKUP(D56,INDIRECT("'"&amp;B56&amp;"'!$A$2:$S$999"), 9, 0)</f>
        <v/>
      </c>
      <c r="K56" s="59">
        <f>VLOOKUP(D56,INDIRECT("'"&amp;B56&amp;"'!$A$2:$S$999"), 10, 0)</f>
        <v/>
      </c>
      <c r="L56" s="59">
        <f>VLOOKUP(D56,INDIRECT("'"&amp;B56&amp;"'!$A$2:$S$999"), 11, 0)</f>
        <v/>
      </c>
      <c r="M56" s="12">
        <f>IF((SUM(F56:H56)&lt;0.42),$AA$4,((SUM(F56:H56)*$AA$5)))</f>
        <v/>
      </c>
      <c r="N56" s="12">
        <f>IF((SUM(F56:H56)&lt;0.42),$AB$4,((SUM(F56:H56)*$AB$5)))</f>
        <v/>
      </c>
      <c r="O56" s="12">
        <f>IF((SUM(F56:H56)&lt;0.42),$Z$4,((SUM(F56:H56)*$Z$5)))</f>
        <v/>
      </c>
      <c r="P56" s="12" t="inlineStr">
        <is>
          <t>SGLJNPJ320376K</t>
        </is>
      </c>
      <c r="Q56" s="12">
        <f>D56</f>
        <v/>
      </c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</row>
    <row r="57" ht="18.75" customHeight="1" s="220">
      <c r="A57" s="30">
        <f>B57&amp;D57</f>
        <v/>
      </c>
      <c r="B57" s="215" t="inlineStr">
        <is>
          <t>Ladies Ring</t>
        </is>
      </c>
      <c r="C57" s="215" t="n">
        <v>3127</v>
      </c>
      <c r="D57" s="12" t="n">
        <v>244</v>
      </c>
      <c r="E57" s="59">
        <f>VLOOKUP(D57,INDIRECT("'"&amp;B57&amp;"'!$A$2:$S$999"), 2, 0)</f>
        <v/>
      </c>
      <c r="F57" s="59">
        <f>VLOOKUP(D57,INDIRECT("'"&amp;B57&amp;"'!$A$2:$S$999"), 5, 0)</f>
        <v/>
      </c>
      <c r="G57" s="59">
        <f>VLOOKUP(D57,INDIRECT("'"&amp;B57&amp;"'!$A$2:$S$999"), 6, 0)</f>
        <v/>
      </c>
      <c r="H57" s="59">
        <f>VLOOKUP(D57,INDIRECT("'"&amp;B57&amp;"'!$A$2:$S$999"), 7, 0)</f>
        <v/>
      </c>
      <c r="I57" s="59">
        <f>VLOOKUP(D57,INDIRECT("'"&amp;B57&amp;"'!$A$2:$S$999"), 8, 0)</f>
        <v/>
      </c>
      <c r="J57" s="59">
        <f>VLOOKUP(D57,INDIRECT("'"&amp;B57&amp;"'!$A$2:$S$999"), 9, 0)</f>
        <v/>
      </c>
      <c r="K57" s="59">
        <f>VLOOKUP(D57,INDIRECT("'"&amp;B57&amp;"'!$A$2:$S$999"), 10, 0)</f>
        <v/>
      </c>
      <c r="L57" s="59">
        <f>VLOOKUP(D57,INDIRECT("'"&amp;B57&amp;"'!$A$2:$S$999"), 11, 0)</f>
        <v/>
      </c>
      <c r="M57" s="12">
        <f>IF((SUM(F57:H57)&lt;0.42),$AA$4,((SUM(F57:H57)*$AA$5)))</f>
        <v/>
      </c>
      <c r="N57" s="12">
        <f>IF((SUM(F57:H57)&lt;0.42),$AB$4,((SUM(F57:H57)*$AB$5)))</f>
        <v/>
      </c>
      <c r="O57" s="12">
        <f>IF((SUM(F57:H57)&lt;0.42),$Z$4,((SUM(F57:H57)*$Z$5)))</f>
        <v/>
      </c>
      <c r="P57" s="12" t="inlineStr">
        <is>
          <t>SGLJNPJ320377K</t>
        </is>
      </c>
      <c r="Q57" s="12">
        <f>D57</f>
        <v/>
      </c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</row>
    <row r="58" ht="18.75" customHeight="1" s="220">
      <c r="A58" s="30">
        <f>B58&amp;D58</f>
        <v/>
      </c>
      <c r="B58" s="215" t="inlineStr">
        <is>
          <t>Ladies Ring</t>
        </is>
      </c>
      <c r="C58" s="215" t="n">
        <v>1613</v>
      </c>
      <c r="D58" s="12" t="n">
        <v>311</v>
      </c>
      <c r="E58" s="59">
        <f>VLOOKUP(D58,INDIRECT("'"&amp;B58&amp;"'!$A$2:$S$999"), 2, 0)</f>
        <v/>
      </c>
      <c r="F58" s="59">
        <f>VLOOKUP(D58,INDIRECT("'"&amp;B58&amp;"'!$A$2:$S$999"), 5, 0)</f>
        <v/>
      </c>
      <c r="G58" s="59">
        <f>VLOOKUP(D58,INDIRECT("'"&amp;B58&amp;"'!$A$2:$S$999"), 6, 0)</f>
        <v/>
      </c>
      <c r="H58" s="59">
        <f>VLOOKUP(D58,INDIRECT("'"&amp;B58&amp;"'!$A$2:$S$999"), 7, 0)</f>
        <v/>
      </c>
      <c r="I58" s="59">
        <f>VLOOKUP(D58,INDIRECT("'"&amp;B58&amp;"'!$A$2:$S$999"), 8, 0)</f>
        <v/>
      </c>
      <c r="J58" s="59">
        <f>VLOOKUP(D58,INDIRECT("'"&amp;B58&amp;"'!$A$2:$S$999"), 9, 0)</f>
        <v/>
      </c>
      <c r="K58" s="59">
        <f>VLOOKUP(D58,INDIRECT("'"&amp;B58&amp;"'!$A$2:$S$999"), 10, 0)</f>
        <v/>
      </c>
      <c r="L58" s="59">
        <f>VLOOKUP(D58,INDIRECT("'"&amp;B58&amp;"'!$A$2:$S$999"), 11, 0)</f>
        <v/>
      </c>
      <c r="M58" s="12">
        <f>IF((SUM(F58:H58)&lt;0.42),$AA$4,((SUM(F58:H58)*$AA$5)))</f>
        <v/>
      </c>
      <c r="N58" s="12">
        <f>IF((SUM(F58:H58)&lt;0.42),$AB$4,((SUM(F58:H58)*$AB$5)))</f>
        <v/>
      </c>
      <c r="O58" s="12">
        <f>IF((SUM(F58:H58)&lt;0.42),$Z$4,((SUM(F58:H58)*$Z$5)))</f>
        <v/>
      </c>
      <c r="P58" s="12" t="inlineStr">
        <is>
          <t>SGLJNPJ320378K</t>
        </is>
      </c>
      <c r="Q58" s="12">
        <f>D58</f>
        <v/>
      </c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</row>
    <row r="59" ht="18.75" customHeight="1" s="220">
      <c r="A59" s="30">
        <f>B59&amp;D59</f>
        <v/>
      </c>
      <c r="B59" s="215" t="inlineStr">
        <is>
          <t>Ladies Ring</t>
        </is>
      </c>
      <c r="C59" s="215" t="n">
        <v>3918</v>
      </c>
      <c r="D59" s="12" t="n">
        <v>333</v>
      </c>
      <c r="E59" s="59">
        <f>VLOOKUP(D59,INDIRECT("'"&amp;B59&amp;"'!$A$2:$S$999"), 2, 0)</f>
        <v/>
      </c>
      <c r="F59" s="59">
        <f>VLOOKUP(D59,INDIRECT("'"&amp;B59&amp;"'!$A$2:$S$999"), 5, 0)</f>
        <v/>
      </c>
      <c r="G59" s="59">
        <f>VLOOKUP(D59,INDIRECT("'"&amp;B59&amp;"'!$A$2:$S$999"), 6, 0)</f>
        <v/>
      </c>
      <c r="H59" s="59">
        <f>VLOOKUP(D59,INDIRECT("'"&amp;B59&amp;"'!$A$2:$S$999"), 7, 0)</f>
        <v/>
      </c>
      <c r="I59" s="59">
        <f>VLOOKUP(D59,INDIRECT("'"&amp;B59&amp;"'!$A$2:$S$999"), 8, 0)</f>
        <v/>
      </c>
      <c r="J59" s="59">
        <f>VLOOKUP(D59,INDIRECT("'"&amp;B59&amp;"'!$A$2:$S$999"), 9, 0)</f>
        <v/>
      </c>
      <c r="K59" s="59">
        <f>VLOOKUP(D59,INDIRECT("'"&amp;B59&amp;"'!$A$2:$S$999"), 10, 0)</f>
        <v/>
      </c>
      <c r="L59" s="59">
        <f>VLOOKUP(D59,INDIRECT("'"&amp;B59&amp;"'!$A$2:$S$999"), 11, 0)</f>
        <v/>
      </c>
      <c r="M59" s="12">
        <f>IF((SUM(F59:H59)&lt;0.42),$AA$4,((SUM(F59:H59)*$AA$5)))</f>
        <v/>
      </c>
      <c r="N59" s="12">
        <f>IF((SUM(F59:H59)&lt;0.42),$AB$4,((SUM(F59:H59)*$AB$5)))</f>
        <v/>
      </c>
      <c r="O59" s="12">
        <f>IF((SUM(F59:H59)&lt;0.42),$Z$4,((SUM(F59:H59)*$Z$5)))</f>
        <v/>
      </c>
      <c r="P59" s="12" t="inlineStr">
        <is>
          <t>SGLJNPJ320379K</t>
        </is>
      </c>
      <c r="Q59" s="12">
        <f>D59</f>
        <v/>
      </c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</row>
    <row r="60" ht="18.75" customHeight="1" s="220">
      <c r="A60" s="30">
        <f>B60&amp;D60</f>
        <v/>
      </c>
      <c r="B60" s="215" t="inlineStr">
        <is>
          <t>Ladies Ring</t>
        </is>
      </c>
      <c r="C60" s="12" t="n"/>
      <c r="D60" s="12" t="n">
        <v>308</v>
      </c>
      <c r="E60" s="59">
        <f>VLOOKUP(D60,INDIRECT("'"&amp;B60&amp;"'!$A$2:$S$999"), 2, 0)</f>
        <v/>
      </c>
      <c r="F60" s="59">
        <f>VLOOKUP(D60,INDIRECT("'"&amp;B60&amp;"'!$A$2:$S$999"), 5, 0)</f>
        <v/>
      </c>
      <c r="G60" s="59">
        <f>VLOOKUP(D60,INDIRECT("'"&amp;B60&amp;"'!$A$2:$S$999"), 6, 0)</f>
        <v/>
      </c>
      <c r="H60" s="59">
        <f>VLOOKUP(D60,INDIRECT("'"&amp;B60&amp;"'!$A$2:$S$999"), 7, 0)</f>
        <v/>
      </c>
      <c r="I60" s="59">
        <f>VLOOKUP(D60,INDIRECT("'"&amp;B60&amp;"'!$A$2:$S$999"), 8, 0)</f>
        <v/>
      </c>
      <c r="J60" s="59">
        <f>VLOOKUP(D60,INDIRECT("'"&amp;B60&amp;"'!$A$2:$S$999"), 9, 0)</f>
        <v/>
      </c>
      <c r="K60" s="59">
        <f>VLOOKUP(D60,INDIRECT("'"&amp;B60&amp;"'!$A$2:$S$999"), 10, 0)</f>
        <v/>
      </c>
      <c r="L60" s="59">
        <f>VLOOKUP(D60,INDIRECT("'"&amp;B60&amp;"'!$A$2:$S$999"), 11, 0)</f>
        <v/>
      </c>
      <c r="M60" s="12">
        <f>IF((SUM(F60:H60)&lt;0.42),$AA$4,((SUM(F60:H60)*$AA$5)))</f>
        <v/>
      </c>
      <c r="N60" s="12">
        <f>IF((SUM(F60:H60)&lt;0.42),$AB$4,((SUM(F60:H60)*$AB$5)))</f>
        <v/>
      </c>
      <c r="O60" s="12">
        <f>IF((SUM(F60:H60)&lt;0.42),$Z$4,((SUM(F60:H60)*$Z$5)))</f>
        <v/>
      </c>
      <c r="P60" s="12" t="inlineStr">
        <is>
          <t>SGLJNPJ320380K</t>
        </is>
      </c>
      <c r="Q60" s="12">
        <f>D60</f>
        <v/>
      </c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</row>
    <row r="61" ht="18.75" customHeight="1" s="220">
      <c r="A61" s="30">
        <f>B61&amp;D61</f>
        <v/>
      </c>
      <c r="B61" s="215" t="inlineStr">
        <is>
          <t>Jagganath</t>
        </is>
      </c>
      <c r="C61" s="12" t="n"/>
      <c r="D61" s="12" t="n">
        <v>17</v>
      </c>
      <c r="E61" s="59">
        <f>VLOOKUP(D61,INDIRECT("'"&amp;B61&amp;"'!$A$2:$S$999"), 2, 0)</f>
        <v/>
      </c>
      <c r="F61" s="59">
        <f>VLOOKUP(D61,INDIRECT("'"&amp;B61&amp;"'!$A$2:$S$999"), 5, 0)</f>
        <v/>
      </c>
      <c r="G61" s="59">
        <f>VLOOKUP(D61,INDIRECT("'"&amp;B61&amp;"'!$A$2:$S$999"), 6, 0)</f>
        <v/>
      </c>
      <c r="H61" s="59">
        <f>VLOOKUP(D61,INDIRECT("'"&amp;B61&amp;"'!$A$2:$S$999"), 7, 0)</f>
        <v/>
      </c>
      <c r="I61" s="59">
        <f>VLOOKUP(D61,INDIRECT("'"&amp;B61&amp;"'!$A$2:$S$999"), 8, 0)</f>
        <v/>
      </c>
      <c r="J61" s="59">
        <f>VLOOKUP(D61,INDIRECT("'"&amp;B61&amp;"'!$A$2:$S$999"), 9, 0)</f>
        <v/>
      </c>
      <c r="K61" s="59">
        <f>VLOOKUP(D61,INDIRECT("'"&amp;B61&amp;"'!$A$2:$S$999"), 10, 0)</f>
        <v/>
      </c>
      <c r="L61" s="59">
        <f>VLOOKUP(D61,INDIRECT("'"&amp;B61&amp;"'!$A$2:$S$999"), 11, 0)</f>
        <v/>
      </c>
      <c r="M61" s="12">
        <f>IF((SUM(F61:H61)&lt;0.42),$AA$4,((SUM(F61:H61)*$AA$5)))</f>
        <v/>
      </c>
      <c r="N61" s="12">
        <f>IF((SUM(F61:H61)&lt;0.42),$AB$4,((SUM(F61:H61)*$AB$5)))</f>
        <v/>
      </c>
      <c r="O61" s="12">
        <f>IF((SUM(F61:H61)&lt;0.42),$Z$4,((SUM(F61:H61)*$Z$5)))</f>
        <v/>
      </c>
      <c r="P61" s="12" t="inlineStr">
        <is>
          <t>SGLJNPJ320381K</t>
        </is>
      </c>
      <c r="Q61" s="12">
        <f>D61</f>
        <v/>
      </c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</row>
    <row r="62" ht="18.75" customHeight="1" s="220">
      <c r="A62" s="30">
        <f>B62&amp;D62</f>
        <v/>
      </c>
      <c r="B62" s="215" t="inlineStr">
        <is>
          <t>Ladies Ring</t>
        </is>
      </c>
      <c r="C62" s="215" t="n">
        <v>3171</v>
      </c>
      <c r="D62" s="12" t="n">
        <v>343</v>
      </c>
      <c r="E62" s="59">
        <f>VLOOKUP(D62,INDIRECT("'"&amp;B62&amp;"'!$A$2:$S$999"), 2, 0)</f>
        <v/>
      </c>
      <c r="F62" s="59">
        <f>VLOOKUP(D62,INDIRECT("'"&amp;B62&amp;"'!$A$2:$S$999"), 5, 0)</f>
        <v/>
      </c>
      <c r="G62" s="59">
        <f>VLOOKUP(D62,INDIRECT("'"&amp;B62&amp;"'!$A$2:$S$999"), 6, 0)</f>
        <v/>
      </c>
      <c r="H62" s="59">
        <f>VLOOKUP(D62,INDIRECT("'"&amp;B62&amp;"'!$A$2:$S$999"), 7, 0)</f>
        <v/>
      </c>
      <c r="I62" s="59">
        <f>VLOOKUP(D62,INDIRECT("'"&amp;B62&amp;"'!$A$2:$S$999"), 8, 0)</f>
        <v/>
      </c>
      <c r="J62" s="59">
        <f>VLOOKUP(D62,INDIRECT("'"&amp;B62&amp;"'!$A$2:$S$999"), 9, 0)</f>
        <v/>
      </c>
      <c r="K62" s="59">
        <f>VLOOKUP(D62,INDIRECT("'"&amp;B62&amp;"'!$A$2:$S$999"), 10, 0)</f>
        <v/>
      </c>
      <c r="L62" s="59">
        <f>VLOOKUP(D62,INDIRECT("'"&amp;B62&amp;"'!$A$2:$S$999"), 11, 0)</f>
        <v/>
      </c>
      <c r="M62" s="12">
        <f>IF((SUM(F62:H62)&lt;0.42),$AA$4,((SUM(F62:H62)*$AA$5)))</f>
        <v/>
      </c>
      <c r="N62" s="12">
        <f>IF((SUM(F62:H62)&lt;0.42),$AB$4,((SUM(F62:H62)*$AB$5)))</f>
        <v/>
      </c>
      <c r="O62" s="12">
        <f>IF((SUM(F62:H62)&lt;0.42),$Z$4,((SUM(F62:H62)*$Z$5)))</f>
        <v/>
      </c>
      <c r="P62" s="12" t="inlineStr">
        <is>
          <t>SGLJNPJ320382K</t>
        </is>
      </c>
      <c r="Q62" s="12">
        <f>D62</f>
        <v/>
      </c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</row>
    <row r="63" ht="18.75" customHeight="1" s="220">
      <c r="A63" s="30">
        <f>B63&amp;D63</f>
        <v/>
      </c>
      <c r="B63" s="215" t="inlineStr">
        <is>
          <t>Ladies Ring</t>
        </is>
      </c>
      <c r="C63" s="215" t="n">
        <v>2243</v>
      </c>
      <c r="D63" s="12" t="n">
        <v>193</v>
      </c>
      <c r="E63" s="59">
        <f>VLOOKUP(D63,INDIRECT("'"&amp;B63&amp;"'!$A$2:$S$999"), 2, 0)</f>
        <v/>
      </c>
      <c r="F63" s="59">
        <f>VLOOKUP(D63,INDIRECT("'"&amp;B63&amp;"'!$A$2:$S$999"), 5, 0)</f>
        <v/>
      </c>
      <c r="G63" s="59">
        <f>VLOOKUP(D63,INDIRECT("'"&amp;B63&amp;"'!$A$2:$S$999"), 6, 0)</f>
        <v/>
      </c>
      <c r="H63" s="59">
        <f>VLOOKUP(D63,INDIRECT("'"&amp;B63&amp;"'!$A$2:$S$999"), 7, 0)</f>
        <v/>
      </c>
      <c r="I63" s="59">
        <f>VLOOKUP(D63,INDIRECT("'"&amp;B63&amp;"'!$A$2:$S$999"), 8, 0)</f>
        <v/>
      </c>
      <c r="J63" s="59">
        <f>VLOOKUP(D63,INDIRECT("'"&amp;B63&amp;"'!$A$2:$S$999"), 9, 0)</f>
        <v/>
      </c>
      <c r="K63" s="59">
        <f>VLOOKUP(D63,INDIRECT("'"&amp;B63&amp;"'!$A$2:$S$999"), 10, 0)</f>
        <v/>
      </c>
      <c r="L63" s="59">
        <f>VLOOKUP(D63,INDIRECT("'"&amp;B63&amp;"'!$A$2:$S$999"), 11, 0)</f>
        <v/>
      </c>
      <c r="M63" s="12">
        <f>IF((SUM(F63:H63)&lt;0.42),$AA$4,((SUM(F63:H63)*$AA$5)))</f>
        <v/>
      </c>
      <c r="N63" s="12">
        <f>IF((SUM(F63:H63)&lt;0.42),$AB$4,((SUM(F63:H63)*$AB$5)))</f>
        <v/>
      </c>
      <c r="O63" s="12">
        <f>IF((SUM(F63:H63)&lt;0.42),$Z$4,((SUM(F63:H63)*$Z$5)))</f>
        <v/>
      </c>
      <c r="P63" s="12" t="inlineStr">
        <is>
          <t>SGLJNPJ320383K</t>
        </is>
      </c>
      <c r="Q63" s="12">
        <f>D63</f>
        <v/>
      </c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</row>
    <row r="64" ht="18.75" customHeight="1" s="220">
      <c r="A64" s="30">
        <f>B64&amp;D64</f>
        <v/>
      </c>
      <c r="B64" s="215" t="inlineStr">
        <is>
          <t>Locket</t>
        </is>
      </c>
      <c r="C64" s="215" t="n"/>
      <c r="D64" s="12" t="n">
        <v>109</v>
      </c>
      <c r="E64" s="59">
        <f>VLOOKUP(D64,INDIRECT("'"&amp;B64&amp;"'!$A$2:$S$999"), 2, 0)</f>
        <v/>
      </c>
      <c r="F64" s="59">
        <f>VLOOKUP(D64,INDIRECT("'"&amp;B64&amp;"'!$A$2:$S$999"), 5, 0)</f>
        <v/>
      </c>
      <c r="G64" s="59">
        <f>VLOOKUP(D64,INDIRECT("'"&amp;B64&amp;"'!$A$2:$S$999"), 6, 0)</f>
        <v/>
      </c>
      <c r="H64" s="59">
        <f>VLOOKUP(D64,INDIRECT("'"&amp;B64&amp;"'!$A$2:$S$999"), 7, 0)</f>
        <v/>
      </c>
      <c r="I64" s="59">
        <f>VLOOKUP(D64,INDIRECT("'"&amp;B64&amp;"'!$A$2:$S$999"), 8, 0)</f>
        <v/>
      </c>
      <c r="J64" s="59">
        <f>VLOOKUP(D64,INDIRECT("'"&amp;B64&amp;"'!$A$2:$S$999"), 9, 0)</f>
        <v/>
      </c>
      <c r="K64" s="59">
        <f>VLOOKUP(D64,INDIRECT("'"&amp;B64&amp;"'!$A$2:$S$999"), 10, 0)</f>
        <v/>
      </c>
      <c r="L64" s="59">
        <f>VLOOKUP(D64,INDIRECT("'"&amp;B64&amp;"'!$A$2:$S$999"), 11, 0)</f>
        <v/>
      </c>
      <c r="M64" s="12">
        <f>IF((SUM(F64:H64)&lt;0.42),$AA$4,((SUM(F64:H64)*$AA$5)))</f>
        <v/>
      </c>
      <c r="N64" s="12">
        <f>IF((SUM(F64:H64)&lt;0.42),$AB$4,((SUM(F64:H64)*$AB$5)))</f>
        <v/>
      </c>
      <c r="O64" s="12">
        <f>IF((SUM(F64:H64)&lt;0.42),$Z$4,((SUM(F64:H64)*$Z$5)))</f>
        <v/>
      </c>
      <c r="P64" s="12" t="inlineStr">
        <is>
          <t>SGLJNPJ320536Y</t>
        </is>
      </c>
      <c r="Q64" s="12">
        <f>D64</f>
        <v/>
      </c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</row>
    <row r="65" ht="18.75" customHeight="1" s="220">
      <c r="A65" s="30">
        <f>B65&amp;D65</f>
        <v/>
      </c>
      <c r="B65" s="215" t="inlineStr">
        <is>
          <t>Ladies Ring</t>
        </is>
      </c>
      <c r="C65" s="215" t="n">
        <v>3653</v>
      </c>
      <c r="D65" s="12" t="n">
        <v>281</v>
      </c>
      <c r="E65" s="59">
        <f>VLOOKUP(D65,INDIRECT("'"&amp;B65&amp;"'!$A$2:$S$999"), 2, 0)</f>
        <v/>
      </c>
      <c r="F65" s="59">
        <f>VLOOKUP(D65,INDIRECT("'"&amp;B65&amp;"'!$A$2:$S$999"), 5, 0)</f>
        <v/>
      </c>
      <c r="G65" s="59">
        <f>VLOOKUP(D65,INDIRECT("'"&amp;B65&amp;"'!$A$2:$S$999"), 6, 0)</f>
        <v/>
      </c>
      <c r="H65" s="59">
        <f>VLOOKUP(D65,INDIRECT("'"&amp;B65&amp;"'!$A$2:$S$999"), 7, 0)</f>
        <v/>
      </c>
      <c r="I65" s="59">
        <f>VLOOKUP(D65,INDIRECT("'"&amp;B65&amp;"'!$A$2:$S$999"), 8, 0)</f>
        <v/>
      </c>
      <c r="J65" s="59">
        <f>VLOOKUP(D65,INDIRECT("'"&amp;B65&amp;"'!$A$2:$S$999"), 9, 0)</f>
        <v/>
      </c>
      <c r="K65" s="59">
        <f>VLOOKUP(D65,INDIRECT("'"&amp;B65&amp;"'!$A$2:$S$999"), 10, 0)</f>
        <v/>
      </c>
      <c r="L65" s="59">
        <f>VLOOKUP(D65,INDIRECT("'"&amp;B65&amp;"'!$A$2:$S$999"), 11, 0)</f>
        <v/>
      </c>
      <c r="M65" s="12">
        <f>IF((SUM(F65:H65)&lt;0.42),$AA$4,((SUM(F65:H65)*$AA$5)))</f>
        <v/>
      </c>
      <c r="N65" s="12">
        <f>IF((SUM(F65:H65)&lt;0.42),$AB$4,((SUM(F65:H65)*$AB$5)))</f>
        <v/>
      </c>
      <c r="O65" s="12">
        <f>IF((SUM(F65:H65)&lt;0.42),$Z$4,((SUM(F65:H65)*$Z$5)))</f>
        <v/>
      </c>
      <c r="P65" s="12" t="inlineStr">
        <is>
          <t>SGLJNPJ331070R</t>
        </is>
      </c>
      <c r="Q65" s="12">
        <f>D65</f>
        <v/>
      </c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</row>
    <row r="66" ht="18.75" customHeight="1" s="220">
      <c r="A66" s="30">
        <f>B66&amp;D66</f>
        <v/>
      </c>
      <c r="B66" s="215" t="inlineStr">
        <is>
          <t>Ladies Ring</t>
        </is>
      </c>
      <c r="C66" s="215" t="n">
        <v>2490</v>
      </c>
      <c r="D66" s="12" t="n">
        <v>180</v>
      </c>
      <c r="E66" s="59">
        <f>VLOOKUP(D66,INDIRECT("'"&amp;B66&amp;"'!$A$2:$S$999"), 2, 0)</f>
        <v/>
      </c>
      <c r="F66" s="59">
        <f>VLOOKUP(D66,INDIRECT("'"&amp;B66&amp;"'!$A$2:$S$999"), 5, 0)</f>
        <v/>
      </c>
      <c r="G66" s="59">
        <f>VLOOKUP(D66,INDIRECT("'"&amp;B66&amp;"'!$A$2:$S$999"), 6, 0)</f>
        <v/>
      </c>
      <c r="H66" s="59">
        <f>VLOOKUP(D66,INDIRECT("'"&amp;B66&amp;"'!$A$2:$S$999"), 7, 0)</f>
        <v/>
      </c>
      <c r="I66" s="59">
        <f>VLOOKUP(D66,INDIRECT("'"&amp;B66&amp;"'!$A$2:$S$999"), 8, 0)</f>
        <v/>
      </c>
      <c r="J66" s="59">
        <f>VLOOKUP(D66,INDIRECT("'"&amp;B66&amp;"'!$A$2:$S$999"), 9, 0)</f>
        <v/>
      </c>
      <c r="K66" s="59">
        <f>VLOOKUP(D66,INDIRECT("'"&amp;B66&amp;"'!$A$2:$S$999"), 10, 0)</f>
        <v/>
      </c>
      <c r="L66" s="59">
        <f>VLOOKUP(D66,INDIRECT("'"&amp;B66&amp;"'!$A$2:$S$999"), 11, 0)</f>
        <v/>
      </c>
      <c r="M66" s="12">
        <f>IF((SUM(F66:H66)&lt;0.42),$AA$4,((SUM(F66:H66)*$AA$5)))</f>
        <v/>
      </c>
      <c r="N66" s="12">
        <f>IF((SUM(F66:H66)&lt;0.42),$AB$4,((SUM(F66:H66)*$AB$5)))</f>
        <v/>
      </c>
      <c r="O66" s="12">
        <f>IF((SUM(F66:H66)&lt;0.42),$Z$4,((SUM(F66:H66)*$Z$5)))</f>
        <v/>
      </c>
      <c r="P66" s="12" t="inlineStr">
        <is>
          <t>SGLJNPJ331071R</t>
        </is>
      </c>
      <c r="Q66" s="12">
        <f>D66</f>
        <v/>
      </c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</row>
    <row r="67" ht="18.75" customHeight="1" s="220">
      <c r="A67" s="30">
        <f>B67&amp;D67</f>
        <v/>
      </c>
      <c r="B67" s="215" t="inlineStr">
        <is>
          <t>Ladies Ring</t>
        </is>
      </c>
      <c r="C67" s="215" t="n">
        <v>3667</v>
      </c>
      <c r="D67" s="12" t="n">
        <v>283</v>
      </c>
      <c r="E67" s="59">
        <f>VLOOKUP(D67,INDIRECT("'"&amp;B67&amp;"'!$A$2:$S$999"), 2, 0)</f>
        <v/>
      </c>
      <c r="F67" s="59">
        <f>VLOOKUP(D67,INDIRECT("'"&amp;B67&amp;"'!$A$2:$S$999"), 5, 0)</f>
        <v/>
      </c>
      <c r="G67" s="59">
        <f>VLOOKUP(D67,INDIRECT("'"&amp;B67&amp;"'!$A$2:$S$999"), 6, 0)</f>
        <v/>
      </c>
      <c r="H67" s="59">
        <f>VLOOKUP(D67,INDIRECT("'"&amp;B67&amp;"'!$A$2:$S$999"), 7, 0)</f>
        <v/>
      </c>
      <c r="I67" s="59">
        <f>VLOOKUP(D67,INDIRECT("'"&amp;B67&amp;"'!$A$2:$S$999"), 8, 0)</f>
        <v/>
      </c>
      <c r="J67" s="59">
        <f>VLOOKUP(D67,INDIRECT("'"&amp;B67&amp;"'!$A$2:$S$999"), 9, 0)</f>
        <v/>
      </c>
      <c r="K67" s="59">
        <f>VLOOKUP(D67,INDIRECT("'"&amp;B67&amp;"'!$A$2:$S$999"), 10, 0)</f>
        <v/>
      </c>
      <c r="L67" s="59">
        <f>VLOOKUP(D67,INDIRECT("'"&amp;B67&amp;"'!$A$2:$S$999"), 11, 0)</f>
        <v/>
      </c>
      <c r="M67" s="12">
        <f>IF((SUM(F67:H67)&lt;0.42),$AA$4,((SUM(F67:H67)*$AA$5)))</f>
        <v/>
      </c>
      <c r="N67" s="12">
        <f>IF((SUM(F67:H67)&lt;0.42),$AB$4,((SUM(F67:H67)*$AB$5)))</f>
        <v/>
      </c>
      <c r="O67" s="12">
        <f>IF((SUM(F67:H67)&lt;0.42),$Z$4,((SUM(F67:H67)*$Z$5)))</f>
        <v/>
      </c>
      <c r="P67" s="12" t="inlineStr">
        <is>
          <t>SGLJNPJ331072R</t>
        </is>
      </c>
      <c r="Q67" s="12">
        <f>D67</f>
        <v/>
      </c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</row>
    <row r="68" ht="18.75" customHeight="1" s="220">
      <c r="A68" s="30">
        <f>B68&amp;D68</f>
        <v/>
      </c>
      <c r="B68" s="215" t="inlineStr">
        <is>
          <t>Ladies Ring</t>
        </is>
      </c>
      <c r="C68" s="215" t="n">
        <v>2533</v>
      </c>
      <c r="D68" s="12" t="n">
        <v>234</v>
      </c>
      <c r="E68" s="59">
        <f>VLOOKUP(D68,INDIRECT("'"&amp;B68&amp;"'!$A$2:$S$999"), 2, 0)</f>
        <v/>
      </c>
      <c r="F68" s="59">
        <f>VLOOKUP(D68,INDIRECT("'"&amp;B68&amp;"'!$A$2:$S$999"), 5, 0)</f>
        <v/>
      </c>
      <c r="G68" s="59">
        <f>VLOOKUP(D68,INDIRECT("'"&amp;B68&amp;"'!$A$2:$S$999"), 6, 0)</f>
        <v/>
      </c>
      <c r="H68" s="59">
        <f>VLOOKUP(D68,INDIRECT("'"&amp;B68&amp;"'!$A$2:$S$999"), 7, 0)</f>
        <v/>
      </c>
      <c r="I68" s="59">
        <f>VLOOKUP(D68,INDIRECT("'"&amp;B68&amp;"'!$A$2:$S$999"), 8, 0)</f>
        <v/>
      </c>
      <c r="J68" s="59">
        <f>VLOOKUP(D68,INDIRECT("'"&amp;B68&amp;"'!$A$2:$S$999"), 9, 0)</f>
        <v/>
      </c>
      <c r="K68" s="59">
        <f>VLOOKUP(D68,INDIRECT("'"&amp;B68&amp;"'!$A$2:$S$999"), 10, 0)</f>
        <v/>
      </c>
      <c r="L68" s="59">
        <f>VLOOKUP(D68,INDIRECT("'"&amp;B68&amp;"'!$A$2:$S$999"), 11, 0)</f>
        <v/>
      </c>
      <c r="M68" s="12">
        <f>IF((SUM(F68:H68)&lt;0.42),$AA$4,((SUM(F68:H68)*$AA$5)))</f>
        <v/>
      </c>
      <c r="N68" s="12">
        <f>IF((SUM(F68:H68)&lt;0.42),$AB$4,((SUM(F68:H68)*$AB$5)))</f>
        <v/>
      </c>
      <c r="O68" s="12">
        <f>IF((SUM(F68:H68)&lt;0.42),$Z$4,((SUM(F68:H68)*$Z$5)))</f>
        <v/>
      </c>
      <c r="P68" s="12" t="inlineStr">
        <is>
          <t>SGLJNPJ331073R</t>
        </is>
      </c>
      <c r="Q68" s="12">
        <f>D68</f>
        <v/>
      </c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</row>
    <row r="69" ht="18.75" customHeight="1" s="220">
      <c r="A69" s="30">
        <f>B69&amp;D69</f>
        <v/>
      </c>
      <c r="B69" s="215" t="inlineStr">
        <is>
          <t>Ladies Ring</t>
        </is>
      </c>
      <c r="C69" s="215" t="n">
        <v>1464</v>
      </c>
      <c r="D69" s="12" t="n">
        <v>29</v>
      </c>
      <c r="E69" s="59">
        <f>VLOOKUP(D69,INDIRECT("'"&amp;B69&amp;"'!$A$2:$S$999"), 2, 0)</f>
        <v/>
      </c>
      <c r="F69" s="59">
        <f>VLOOKUP(D69,INDIRECT("'"&amp;B69&amp;"'!$A$2:$S$999"), 5, 0)</f>
        <v/>
      </c>
      <c r="G69" s="59">
        <f>VLOOKUP(D69,INDIRECT("'"&amp;B69&amp;"'!$A$2:$S$999"), 6, 0)</f>
        <v/>
      </c>
      <c r="H69" s="59">
        <f>VLOOKUP(D69,INDIRECT("'"&amp;B69&amp;"'!$A$2:$S$999"), 7, 0)</f>
        <v/>
      </c>
      <c r="I69" s="59">
        <f>VLOOKUP(D69,INDIRECT("'"&amp;B69&amp;"'!$A$2:$S$999"), 8, 0)</f>
        <v/>
      </c>
      <c r="J69" s="59">
        <f>VLOOKUP(D69,INDIRECT("'"&amp;B69&amp;"'!$A$2:$S$999"), 9, 0)</f>
        <v/>
      </c>
      <c r="K69" s="59">
        <f>VLOOKUP(D69,INDIRECT("'"&amp;B69&amp;"'!$A$2:$S$999"), 10, 0)</f>
        <v/>
      </c>
      <c r="L69" s="59">
        <f>VLOOKUP(D69,INDIRECT("'"&amp;B69&amp;"'!$A$2:$S$999"), 11, 0)</f>
        <v/>
      </c>
      <c r="M69" s="12">
        <f>IF((SUM(F69:H69)&lt;0.42),$AA$4,((SUM(F69:H69)*$AA$5)))</f>
        <v/>
      </c>
      <c r="N69" s="12">
        <f>IF((SUM(F69:H69)&lt;0.42),$AB$4,((SUM(F69:H69)*$AB$5)))</f>
        <v/>
      </c>
      <c r="O69" s="12">
        <f>IF((SUM(F69:H69)&lt;0.42),$Z$4,((SUM(F69:H69)*$Z$5)))</f>
        <v/>
      </c>
      <c r="P69" s="12" t="inlineStr">
        <is>
          <t>SGLJNPJ331074R</t>
        </is>
      </c>
      <c r="Q69" s="12">
        <f>D69</f>
        <v/>
      </c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</row>
    <row r="70" ht="18.75" customHeight="1" s="220">
      <c r="A70" s="30">
        <f>B70&amp;D70</f>
        <v/>
      </c>
      <c r="B70" s="215" t="inlineStr">
        <is>
          <t>Ladies Ring</t>
        </is>
      </c>
      <c r="C70" s="215" t="n">
        <v>1858</v>
      </c>
      <c r="D70" s="12" t="n">
        <v>107</v>
      </c>
      <c r="E70" s="59">
        <f>VLOOKUP(D70,INDIRECT("'"&amp;B70&amp;"'!$A$2:$S$999"), 2, 0)</f>
        <v/>
      </c>
      <c r="F70" s="59">
        <f>VLOOKUP(D70,INDIRECT("'"&amp;B70&amp;"'!$A$2:$S$999"), 5, 0)</f>
        <v/>
      </c>
      <c r="G70" s="59">
        <f>VLOOKUP(D70,INDIRECT("'"&amp;B70&amp;"'!$A$2:$S$999"), 6, 0)</f>
        <v/>
      </c>
      <c r="H70" s="59">
        <f>VLOOKUP(D70,INDIRECT("'"&amp;B70&amp;"'!$A$2:$S$999"), 7, 0)</f>
        <v/>
      </c>
      <c r="I70" s="59">
        <f>VLOOKUP(D70,INDIRECT("'"&amp;B70&amp;"'!$A$2:$S$999"), 8, 0)</f>
        <v/>
      </c>
      <c r="J70" s="59">
        <f>VLOOKUP(D70,INDIRECT("'"&amp;B70&amp;"'!$A$2:$S$999"), 9, 0)</f>
        <v/>
      </c>
      <c r="K70" s="59">
        <f>VLOOKUP(D70,INDIRECT("'"&amp;B70&amp;"'!$A$2:$S$999"), 10, 0)</f>
        <v/>
      </c>
      <c r="L70" s="59">
        <f>VLOOKUP(D70,INDIRECT("'"&amp;B70&amp;"'!$A$2:$S$999"), 11, 0)</f>
        <v/>
      </c>
      <c r="M70" s="12">
        <f>IF((SUM(F70:H70)&lt;0.42),$AA$4,((SUM(F70:H70)*$AA$5)))</f>
        <v/>
      </c>
      <c r="N70" s="12">
        <f>IF((SUM(F70:H70)&lt;0.42),$AB$4,((SUM(F70:H70)*$AB$5)))</f>
        <v/>
      </c>
      <c r="O70" s="12">
        <f>IF((SUM(F70:H70)&lt;0.42),$Z$4,((SUM(F70:H70)*$Z$5)))</f>
        <v/>
      </c>
      <c r="P70" s="12" t="inlineStr">
        <is>
          <t>SGLJNPJ331075R</t>
        </is>
      </c>
      <c r="Q70" s="12">
        <f>D70</f>
        <v/>
      </c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</row>
    <row r="71" ht="18.75" customHeight="1" s="220">
      <c r="A71" s="30">
        <f>B71&amp;D71</f>
        <v/>
      </c>
      <c r="B71" s="215" t="inlineStr">
        <is>
          <t>Ladies Ring</t>
        </is>
      </c>
      <c r="C71" s="215" t="n">
        <v>1437</v>
      </c>
      <c r="D71" s="12" t="n">
        <v>213</v>
      </c>
      <c r="E71" s="59">
        <f>VLOOKUP(D71,INDIRECT("'"&amp;B71&amp;"'!$A$2:$S$999"), 2, 0)</f>
        <v/>
      </c>
      <c r="F71" s="59">
        <f>VLOOKUP(D71,INDIRECT("'"&amp;B71&amp;"'!$A$2:$S$999"), 5, 0)</f>
        <v/>
      </c>
      <c r="G71" s="59">
        <f>VLOOKUP(D71,INDIRECT("'"&amp;B71&amp;"'!$A$2:$S$999"), 6, 0)</f>
        <v/>
      </c>
      <c r="H71" s="59">
        <f>VLOOKUP(D71,INDIRECT("'"&amp;B71&amp;"'!$A$2:$S$999"), 7, 0)</f>
        <v/>
      </c>
      <c r="I71" s="59">
        <f>VLOOKUP(D71,INDIRECT("'"&amp;B71&amp;"'!$A$2:$S$999"), 8, 0)</f>
        <v/>
      </c>
      <c r="J71" s="59">
        <f>VLOOKUP(D71,INDIRECT("'"&amp;B71&amp;"'!$A$2:$S$999"), 9, 0)</f>
        <v/>
      </c>
      <c r="K71" s="59">
        <f>VLOOKUP(D71,INDIRECT("'"&amp;B71&amp;"'!$A$2:$S$999"), 10, 0)</f>
        <v/>
      </c>
      <c r="L71" s="59">
        <f>VLOOKUP(D71,INDIRECT("'"&amp;B71&amp;"'!$A$2:$S$999"), 11, 0)</f>
        <v/>
      </c>
      <c r="M71" s="12">
        <f>IF((SUM(F71:H71)&lt;0.42),$AA$4,((SUM(F71:H71)*$AA$5)))</f>
        <v/>
      </c>
      <c r="N71" s="12">
        <f>IF((SUM(F71:H71)&lt;0.42),$AB$4,((SUM(F71:H71)*$AB$5)))</f>
        <v/>
      </c>
      <c r="O71" s="12">
        <f>IF((SUM(F71:H71)&lt;0.42),$Z$4,((SUM(F71:H71)*$Z$5)))</f>
        <v/>
      </c>
      <c r="P71" s="12" t="inlineStr">
        <is>
          <t>SGLJNPJ331076R</t>
        </is>
      </c>
      <c r="Q71" s="12">
        <f>D71</f>
        <v/>
      </c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</row>
    <row r="72" ht="18.75" customHeight="1" s="220">
      <c r="A72" s="30">
        <f>B72&amp;D72</f>
        <v/>
      </c>
      <c r="B72" s="215" t="inlineStr">
        <is>
          <t>Ladies Ring</t>
        </is>
      </c>
      <c r="C72" s="215" t="n"/>
      <c r="D72" s="12" t="n">
        <v>241</v>
      </c>
      <c r="E72" s="59">
        <f>VLOOKUP(D72,INDIRECT("'"&amp;B72&amp;"'!$A$2:$S$999"), 2, 0)</f>
        <v/>
      </c>
      <c r="F72" s="59">
        <f>VLOOKUP(D72,INDIRECT("'"&amp;B72&amp;"'!$A$2:$S$999"), 5, 0)</f>
        <v/>
      </c>
      <c r="G72" s="59">
        <f>VLOOKUP(D72,INDIRECT("'"&amp;B72&amp;"'!$A$2:$S$999"), 6, 0)</f>
        <v/>
      </c>
      <c r="H72" s="59">
        <f>VLOOKUP(D72,INDIRECT("'"&amp;B72&amp;"'!$A$2:$S$999"), 7, 0)</f>
        <v/>
      </c>
      <c r="I72" s="59">
        <f>VLOOKUP(D72,INDIRECT("'"&amp;B72&amp;"'!$A$2:$S$999"), 8, 0)</f>
        <v/>
      </c>
      <c r="J72" s="59">
        <f>VLOOKUP(D72,INDIRECT("'"&amp;B72&amp;"'!$A$2:$S$999"), 9, 0)</f>
        <v/>
      </c>
      <c r="K72" s="59">
        <f>VLOOKUP(D72,INDIRECT("'"&amp;B72&amp;"'!$A$2:$S$999"), 10, 0)</f>
        <v/>
      </c>
      <c r="L72" s="59">
        <f>VLOOKUP(D72,INDIRECT("'"&amp;B72&amp;"'!$A$2:$S$999"), 11, 0)</f>
        <v/>
      </c>
      <c r="M72" s="12">
        <f>IF((SUM(F72:H72)&lt;0.42),$AA$4,((SUM(F72:H72)*$AA$5)))</f>
        <v/>
      </c>
      <c r="N72" s="12">
        <f>IF((SUM(F72:H72)&lt;0.42),$AB$4,((SUM(F72:H72)*$AB$5)))</f>
        <v/>
      </c>
      <c r="O72" s="12">
        <f>IF((SUM(F72:H72)&lt;0.42),$Z$4,((SUM(F72:H72)*$Z$5)))</f>
        <v/>
      </c>
      <c r="P72" s="12" t="inlineStr">
        <is>
          <t>SGLJNPJ331077R</t>
        </is>
      </c>
      <c r="Q72" s="12">
        <f>D72</f>
        <v/>
      </c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</row>
    <row r="73" ht="18.75" customHeight="1" s="220">
      <c r="A73" s="30">
        <f>B73&amp;D73</f>
        <v/>
      </c>
      <c r="B73" s="215" t="inlineStr">
        <is>
          <t>Ladies Ring</t>
        </is>
      </c>
      <c r="C73" s="215" t="n">
        <v>1966</v>
      </c>
      <c r="D73" s="12" t="n">
        <v>307</v>
      </c>
      <c r="E73" s="59">
        <f>VLOOKUP(D73,INDIRECT("'"&amp;B73&amp;"'!$A$2:$S$999"), 2, 0)</f>
        <v/>
      </c>
      <c r="F73" s="59">
        <f>VLOOKUP(D73,INDIRECT("'"&amp;B73&amp;"'!$A$2:$S$999"), 5, 0)</f>
        <v/>
      </c>
      <c r="G73" s="59">
        <f>VLOOKUP(D73,INDIRECT("'"&amp;B73&amp;"'!$A$2:$S$999"), 6, 0)</f>
        <v/>
      </c>
      <c r="H73" s="59">
        <f>VLOOKUP(D73,INDIRECT("'"&amp;B73&amp;"'!$A$2:$S$999"), 7, 0)</f>
        <v/>
      </c>
      <c r="I73" s="59">
        <f>VLOOKUP(D73,INDIRECT("'"&amp;B73&amp;"'!$A$2:$S$999"), 8, 0)</f>
        <v/>
      </c>
      <c r="J73" s="59">
        <f>VLOOKUP(D73,INDIRECT("'"&amp;B73&amp;"'!$A$2:$S$999"), 9, 0)</f>
        <v/>
      </c>
      <c r="K73" s="59">
        <f>VLOOKUP(D73,INDIRECT("'"&amp;B73&amp;"'!$A$2:$S$999"), 10, 0)</f>
        <v/>
      </c>
      <c r="L73" s="59">
        <f>VLOOKUP(D73,INDIRECT("'"&amp;B73&amp;"'!$A$2:$S$999"), 11, 0)</f>
        <v/>
      </c>
      <c r="M73" s="12">
        <f>IF((SUM(F73:H73)&lt;0.42),$AA$4,((SUM(F73:H73)*$AA$5)))</f>
        <v/>
      </c>
      <c r="N73" s="12">
        <f>IF((SUM(F73:H73)&lt;0.42),$AB$4,((SUM(F73:H73)*$AB$5)))</f>
        <v/>
      </c>
      <c r="O73" s="12">
        <f>IF((SUM(F73:H73)&lt;0.42),$Z$4,((SUM(F73:H73)*$Z$5)))</f>
        <v/>
      </c>
      <c r="P73" s="12" t="inlineStr">
        <is>
          <t>SGLJNPJ331078R</t>
        </is>
      </c>
      <c r="Q73" s="12">
        <f>D73</f>
        <v/>
      </c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</row>
    <row r="74" ht="18.75" customHeight="1" s="220">
      <c r="A74" s="30">
        <f>B74&amp;D74</f>
        <v/>
      </c>
      <c r="B74" s="215" t="inlineStr">
        <is>
          <t>Ladies Ring</t>
        </is>
      </c>
      <c r="C74" s="215" t="n">
        <v>2495</v>
      </c>
      <c r="D74" s="12" t="n">
        <v>182</v>
      </c>
      <c r="E74" s="59">
        <f>VLOOKUP(D74,INDIRECT("'"&amp;B74&amp;"'!$A$2:$S$999"), 2, 0)</f>
        <v/>
      </c>
      <c r="F74" s="59">
        <f>VLOOKUP(D74,INDIRECT("'"&amp;B74&amp;"'!$A$2:$S$999"), 5, 0)</f>
        <v/>
      </c>
      <c r="G74" s="59">
        <f>VLOOKUP(D74,INDIRECT("'"&amp;B74&amp;"'!$A$2:$S$999"), 6, 0)</f>
        <v/>
      </c>
      <c r="H74" s="59">
        <f>VLOOKUP(D74,INDIRECT("'"&amp;B74&amp;"'!$A$2:$S$999"), 7, 0)</f>
        <v/>
      </c>
      <c r="I74" s="59">
        <f>VLOOKUP(D74,INDIRECT("'"&amp;B74&amp;"'!$A$2:$S$999"), 8, 0)</f>
        <v/>
      </c>
      <c r="J74" s="59">
        <f>VLOOKUP(D74,INDIRECT("'"&amp;B74&amp;"'!$A$2:$S$999"), 9, 0)</f>
        <v/>
      </c>
      <c r="K74" s="59">
        <f>VLOOKUP(D74,INDIRECT("'"&amp;B74&amp;"'!$A$2:$S$999"), 10, 0)</f>
        <v/>
      </c>
      <c r="L74" s="59">
        <f>VLOOKUP(D74,INDIRECT("'"&amp;B74&amp;"'!$A$2:$S$999"), 11, 0)</f>
        <v/>
      </c>
      <c r="M74" s="12">
        <f>IF((SUM(F74:H74)&lt;0.42),$AA$4,((SUM(F74:H74)*$AA$5)))</f>
        <v/>
      </c>
      <c r="N74" s="12">
        <f>IF((SUM(F74:H74)&lt;0.42),$AB$4,((SUM(F74:H74)*$AB$5)))</f>
        <v/>
      </c>
      <c r="O74" s="12">
        <f>IF((SUM(F74:H74)&lt;0.42),$Z$4,((SUM(F74:H74)*$Z$5)))</f>
        <v/>
      </c>
      <c r="P74" s="12" t="inlineStr">
        <is>
          <t>SGLJNPJ331079R</t>
        </is>
      </c>
      <c r="Q74" s="12">
        <f>D74</f>
        <v/>
      </c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</row>
    <row r="75" ht="18.75" customHeight="1" s="220">
      <c r="A75" s="30">
        <f>B75&amp;D75</f>
        <v/>
      </c>
      <c r="B75" s="215" t="inlineStr">
        <is>
          <t>Ladies Ring</t>
        </is>
      </c>
      <c r="C75" s="215" t="n">
        <v>3654</v>
      </c>
      <c r="D75" s="12" t="n">
        <v>278</v>
      </c>
      <c r="E75" s="59">
        <f>VLOOKUP(D75,INDIRECT("'"&amp;B75&amp;"'!$A$2:$S$999"), 2, 0)</f>
        <v/>
      </c>
      <c r="F75" s="59">
        <f>VLOOKUP(D75,INDIRECT("'"&amp;B75&amp;"'!$A$2:$S$999"), 5, 0)</f>
        <v/>
      </c>
      <c r="G75" s="59">
        <f>VLOOKUP(D75,INDIRECT("'"&amp;B75&amp;"'!$A$2:$S$999"), 6, 0)</f>
        <v/>
      </c>
      <c r="H75" s="59">
        <f>VLOOKUP(D75,INDIRECT("'"&amp;B75&amp;"'!$A$2:$S$999"), 7, 0)</f>
        <v/>
      </c>
      <c r="I75" s="59">
        <f>VLOOKUP(D75,INDIRECT("'"&amp;B75&amp;"'!$A$2:$S$999"), 8, 0)</f>
        <v/>
      </c>
      <c r="J75" s="59">
        <f>VLOOKUP(D75,INDIRECT("'"&amp;B75&amp;"'!$A$2:$S$999"), 9, 0)</f>
        <v/>
      </c>
      <c r="K75" s="59">
        <f>VLOOKUP(D75,INDIRECT("'"&amp;B75&amp;"'!$A$2:$S$999"), 10, 0)</f>
        <v/>
      </c>
      <c r="L75" s="59">
        <f>VLOOKUP(D75,INDIRECT("'"&amp;B75&amp;"'!$A$2:$S$999"), 11, 0)</f>
        <v/>
      </c>
      <c r="M75" s="12">
        <f>IF((SUM(F75:H75)&lt;0.42),$AA$4,((SUM(F75:H75)*$AA$5)))</f>
        <v/>
      </c>
      <c r="N75" s="12">
        <f>IF((SUM(F75:H75)&lt;0.42),$AB$4,((SUM(F75:H75)*$AB$5)))</f>
        <v/>
      </c>
      <c r="O75" s="12">
        <f>IF((SUM(F75:H75)&lt;0.42),$Z$4,((SUM(F75:H75)*$Z$5)))</f>
        <v/>
      </c>
      <c r="P75" s="12" t="inlineStr">
        <is>
          <t>SGLJNPJ331080R</t>
        </is>
      </c>
      <c r="Q75" s="12">
        <f>D75</f>
        <v/>
      </c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</row>
    <row r="76" ht="18.75" customHeight="1" s="220">
      <c r="A76" s="30">
        <f>B76&amp;D76</f>
        <v/>
      </c>
      <c r="B76" s="215" t="inlineStr">
        <is>
          <t>Ladies Ring</t>
        </is>
      </c>
      <c r="C76" s="215" t="n">
        <v>1890</v>
      </c>
      <c r="D76" s="12" t="n">
        <v>104</v>
      </c>
      <c r="E76" s="59">
        <f>VLOOKUP(D76,INDIRECT("'"&amp;B76&amp;"'!$A$2:$S$999"), 2, 0)</f>
        <v/>
      </c>
      <c r="F76" s="59">
        <f>VLOOKUP(D76,INDIRECT("'"&amp;B76&amp;"'!$A$2:$S$999"), 5, 0)</f>
        <v/>
      </c>
      <c r="G76" s="59">
        <f>VLOOKUP(D76,INDIRECT("'"&amp;B76&amp;"'!$A$2:$S$999"), 6, 0)</f>
        <v/>
      </c>
      <c r="H76" s="59">
        <f>VLOOKUP(D76,INDIRECT("'"&amp;B76&amp;"'!$A$2:$S$999"), 7, 0)</f>
        <v/>
      </c>
      <c r="I76" s="59">
        <f>VLOOKUP(D76,INDIRECT("'"&amp;B76&amp;"'!$A$2:$S$999"), 8, 0)</f>
        <v/>
      </c>
      <c r="J76" s="59">
        <f>VLOOKUP(D76,INDIRECT("'"&amp;B76&amp;"'!$A$2:$S$999"), 9, 0)</f>
        <v/>
      </c>
      <c r="K76" s="59">
        <f>VLOOKUP(D76,INDIRECT("'"&amp;B76&amp;"'!$A$2:$S$999"), 10, 0)</f>
        <v/>
      </c>
      <c r="L76" s="59">
        <f>VLOOKUP(D76,INDIRECT("'"&amp;B76&amp;"'!$A$2:$S$999"), 11, 0)</f>
        <v/>
      </c>
      <c r="M76" s="12">
        <f>IF((SUM(F76:H76)&lt;0.42),$AA$4,((SUM(F76:H76)*$AA$5)))</f>
        <v/>
      </c>
      <c r="N76" s="12">
        <f>IF((SUM(F76:H76)&lt;0.42),$AB$4,((SUM(F76:H76)*$AB$5)))</f>
        <v/>
      </c>
      <c r="O76" s="12">
        <f>IF((SUM(F76:H76)&lt;0.42),$Z$4,((SUM(F76:H76)*$Z$5)))</f>
        <v/>
      </c>
      <c r="P76" s="12" t="inlineStr">
        <is>
          <t>SGLJNPJ331081R</t>
        </is>
      </c>
      <c r="Q76" s="12">
        <f>D76</f>
        <v/>
      </c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</row>
    <row r="77" ht="18.75" customHeight="1" s="220">
      <c r="A77" s="30">
        <f>B77&amp;D77</f>
        <v/>
      </c>
      <c r="B77" s="215" t="inlineStr">
        <is>
          <t>Ladies Ring</t>
        </is>
      </c>
      <c r="C77" s="215" t="n">
        <v>2779</v>
      </c>
      <c r="D77" s="12" t="n">
        <v>232</v>
      </c>
      <c r="E77" s="59">
        <f>VLOOKUP(D77,INDIRECT("'"&amp;B77&amp;"'!$A$2:$S$999"), 2, 0)</f>
        <v/>
      </c>
      <c r="F77" s="59">
        <f>VLOOKUP(D77,INDIRECT("'"&amp;B77&amp;"'!$A$2:$S$999"), 5, 0)</f>
        <v/>
      </c>
      <c r="G77" s="59">
        <f>VLOOKUP(D77,INDIRECT("'"&amp;B77&amp;"'!$A$2:$S$999"), 6, 0)</f>
        <v/>
      </c>
      <c r="H77" s="59">
        <f>VLOOKUP(D77,INDIRECT("'"&amp;B77&amp;"'!$A$2:$S$999"), 7, 0)</f>
        <v/>
      </c>
      <c r="I77" s="59">
        <f>VLOOKUP(D77,INDIRECT("'"&amp;B77&amp;"'!$A$2:$S$999"), 8, 0)</f>
        <v/>
      </c>
      <c r="J77" s="59">
        <f>VLOOKUP(D77,INDIRECT("'"&amp;B77&amp;"'!$A$2:$S$999"), 9, 0)</f>
        <v/>
      </c>
      <c r="K77" s="59">
        <f>VLOOKUP(D77,INDIRECT("'"&amp;B77&amp;"'!$A$2:$S$999"), 10, 0)</f>
        <v/>
      </c>
      <c r="L77" s="59">
        <f>VLOOKUP(D77,INDIRECT("'"&amp;B77&amp;"'!$A$2:$S$999"), 11, 0)</f>
        <v/>
      </c>
      <c r="M77" s="12">
        <f>IF((SUM(F77:H77)&lt;0.42),$AA$4,((SUM(F77:H77)*$AA$5)))</f>
        <v/>
      </c>
      <c r="N77" s="12">
        <f>IF((SUM(F77:H77)&lt;0.42),$AB$4,((SUM(F77:H77)*$AB$5)))</f>
        <v/>
      </c>
      <c r="O77" s="12">
        <f>IF((SUM(F77:H77)&lt;0.42),$Z$4,((SUM(F77:H77)*$Z$5)))</f>
        <v/>
      </c>
      <c r="P77" s="12" t="inlineStr">
        <is>
          <t>SGLJNPJ331082R</t>
        </is>
      </c>
      <c r="Q77" s="12">
        <f>D77</f>
        <v/>
      </c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</row>
    <row r="78" ht="18.75" customHeight="1" s="220">
      <c r="A78" s="30">
        <f>B78&amp;D78</f>
        <v/>
      </c>
      <c r="B78" s="215" t="inlineStr">
        <is>
          <t>Ladies Ring</t>
        </is>
      </c>
      <c r="C78" s="215" t="n"/>
      <c r="D78" s="12" t="n">
        <v>240</v>
      </c>
      <c r="E78" s="59">
        <f>VLOOKUP(D78,INDIRECT("'"&amp;B78&amp;"'!$A$2:$S$999"), 2, 0)</f>
        <v/>
      </c>
      <c r="F78" s="59">
        <f>VLOOKUP(D78,INDIRECT("'"&amp;B78&amp;"'!$A$2:$S$999"), 5, 0)</f>
        <v/>
      </c>
      <c r="G78" s="59">
        <f>VLOOKUP(D78,INDIRECT("'"&amp;B78&amp;"'!$A$2:$S$999"), 6, 0)</f>
        <v/>
      </c>
      <c r="H78" s="59">
        <f>VLOOKUP(D78,INDIRECT("'"&amp;B78&amp;"'!$A$2:$S$999"), 7, 0)</f>
        <v/>
      </c>
      <c r="I78" s="59">
        <f>VLOOKUP(D78,INDIRECT("'"&amp;B78&amp;"'!$A$2:$S$999"), 8, 0)</f>
        <v/>
      </c>
      <c r="J78" s="59">
        <f>VLOOKUP(D78,INDIRECT("'"&amp;B78&amp;"'!$A$2:$S$999"), 9, 0)</f>
        <v/>
      </c>
      <c r="K78" s="59">
        <f>VLOOKUP(D78,INDIRECT("'"&amp;B78&amp;"'!$A$2:$S$999"), 10, 0)</f>
        <v/>
      </c>
      <c r="L78" s="59">
        <f>VLOOKUP(D78,INDIRECT("'"&amp;B78&amp;"'!$A$2:$S$999"), 11, 0)</f>
        <v/>
      </c>
      <c r="M78" s="12">
        <f>IF((SUM(F78:H78)&lt;0.42),$AA$4,((SUM(F78:H78)*$AA$5)))</f>
        <v/>
      </c>
      <c r="N78" s="12">
        <f>IF((SUM(F78:H78)&lt;0.42),$AB$4,((SUM(F78:H78)*$AB$5)))</f>
        <v/>
      </c>
      <c r="O78" s="12">
        <f>IF((SUM(F78:H78)&lt;0.42),$Z$4,((SUM(F78:H78)*$Z$5)))</f>
        <v/>
      </c>
      <c r="P78" s="12" t="inlineStr">
        <is>
          <t>SGLJNPJ331083R</t>
        </is>
      </c>
      <c r="Q78" s="12">
        <f>D78</f>
        <v/>
      </c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</row>
    <row r="79" ht="18.75" customHeight="1" s="220">
      <c r="A79" s="30">
        <f>B79&amp;D79</f>
        <v/>
      </c>
      <c r="B79" s="215" t="inlineStr">
        <is>
          <t>Ladies Ring</t>
        </is>
      </c>
      <c r="C79" s="215" t="n">
        <v>1997</v>
      </c>
      <c r="D79" s="12" t="n">
        <v>46</v>
      </c>
      <c r="E79" s="59">
        <f>VLOOKUP(D79,INDIRECT("'"&amp;B79&amp;"'!$A$2:$S$999"), 2, 0)</f>
        <v/>
      </c>
      <c r="F79" s="59">
        <f>VLOOKUP(D79,INDIRECT("'"&amp;B79&amp;"'!$A$2:$S$999"), 5, 0)</f>
        <v/>
      </c>
      <c r="G79" s="59">
        <f>VLOOKUP(D79,INDIRECT("'"&amp;B79&amp;"'!$A$2:$S$999"), 6, 0)</f>
        <v/>
      </c>
      <c r="H79" s="59">
        <f>VLOOKUP(D79,INDIRECT("'"&amp;B79&amp;"'!$A$2:$S$999"), 7, 0)</f>
        <v/>
      </c>
      <c r="I79" s="59">
        <f>VLOOKUP(D79,INDIRECT("'"&amp;B79&amp;"'!$A$2:$S$999"), 8, 0)</f>
        <v/>
      </c>
      <c r="J79" s="59">
        <f>VLOOKUP(D79,INDIRECT("'"&amp;B79&amp;"'!$A$2:$S$999"), 9, 0)</f>
        <v/>
      </c>
      <c r="K79" s="59">
        <f>VLOOKUP(D79,INDIRECT("'"&amp;B79&amp;"'!$A$2:$S$999"), 10, 0)</f>
        <v/>
      </c>
      <c r="L79" s="59">
        <f>VLOOKUP(D79,INDIRECT("'"&amp;B79&amp;"'!$A$2:$S$999"), 11, 0)</f>
        <v/>
      </c>
      <c r="M79" s="12">
        <f>IF((SUM(F79:H79)&lt;0.42),$AA$4,((SUM(F79:H79)*$AA$5)))</f>
        <v/>
      </c>
      <c r="N79" s="12">
        <f>IF((SUM(F79:H79)&lt;0.42),$AB$4,((SUM(F79:H79)*$AB$5)))</f>
        <v/>
      </c>
      <c r="O79" s="12">
        <f>IF((SUM(F79:H79)&lt;0.42),$Z$4,((SUM(F79:H79)*$Z$5)))</f>
        <v/>
      </c>
      <c r="P79" s="12" t="inlineStr">
        <is>
          <t>SGLJNPJ331084R</t>
        </is>
      </c>
      <c r="Q79" s="12">
        <f>D79</f>
        <v/>
      </c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</row>
    <row r="80" ht="18.75" customHeight="1" s="220">
      <c r="A80" s="140">
        <f>B80&amp;D80</f>
        <v/>
      </c>
      <c r="B80" s="216" t="inlineStr">
        <is>
          <t>Ladies Ring</t>
        </is>
      </c>
      <c r="C80" s="216" t="n">
        <v>2898</v>
      </c>
      <c r="D80" s="217" t="n">
        <v>190</v>
      </c>
      <c r="E80" s="218">
        <f>VLOOKUP(D80,INDIRECT("'"&amp;B80&amp;"'!$A$2:$S$999"), 2, 0)</f>
        <v/>
      </c>
      <c r="F80" s="218">
        <f>VLOOKUP(D80,INDIRECT("'"&amp;B80&amp;"'!$A$2:$S$999"), 5, 0)</f>
        <v/>
      </c>
      <c r="G80" s="218">
        <f>VLOOKUP(D80,INDIRECT("'"&amp;B80&amp;"'!$A$2:$S$999"), 6, 0)</f>
        <v/>
      </c>
      <c r="H80" s="218">
        <f>VLOOKUP(D80,INDIRECT("'"&amp;B80&amp;"'!$A$2:$S$999"), 7, 0)</f>
        <v/>
      </c>
      <c r="I80" s="218">
        <f>VLOOKUP(D80,INDIRECT("'"&amp;B80&amp;"'!$A$2:$S$999"), 8, 0)</f>
        <v/>
      </c>
      <c r="J80" s="218">
        <f>VLOOKUP(D80,INDIRECT("'"&amp;B80&amp;"'!$A$2:$S$999"), 9, 0)</f>
        <v/>
      </c>
      <c r="K80" s="218">
        <f>VLOOKUP(D80,INDIRECT("'"&amp;B80&amp;"'!$A$2:$S$999"), 10, 0)</f>
        <v/>
      </c>
      <c r="L80" s="218">
        <f>VLOOKUP(D80,INDIRECT("'"&amp;B80&amp;"'!$A$2:$S$999"), 11, 0)</f>
        <v/>
      </c>
      <c r="M80" s="217">
        <f>IF((SUM(F80:H80)&lt;0.42),$AA$4,((SUM(F80:H80)*$AA$5)))</f>
        <v/>
      </c>
      <c r="N80" s="217">
        <f>IF((SUM(F80:H80)&lt;0.42),$AB$4,((SUM(F80:H80)*$AB$5)))</f>
        <v/>
      </c>
      <c r="O80" s="217">
        <f>IF((SUM(F80:H80)&lt;0.42),$Z$4,((SUM(F80:H80)*$Z$5)))</f>
        <v/>
      </c>
      <c r="P80" s="217" t="inlineStr">
        <is>
          <t>SGLJNPJ331069R</t>
        </is>
      </c>
      <c r="Q80" s="217">
        <f>D80</f>
        <v/>
      </c>
      <c r="R80" s="217" t="n"/>
      <c r="S80" s="217" t="n"/>
      <c r="T80" s="217" t="n"/>
      <c r="U80" s="217" t="n"/>
      <c r="V80" s="217" t="n"/>
      <c r="W80" s="217" t="n"/>
      <c r="X80" s="217" t="n"/>
      <c r="Y80" s="217" t="n"/>
      <c r="Z80" s="217" t="n"/>
      <c r="AA80" s="217" t="n"/>
      <c r="AB80" s="140" t="n"/>
    </row>
    <row r="81" ht="18.75" customHeight="1" s="220">
      <c r="A81" s="30">
        <f>B81&amp;D81</f>
        <v/>
      </c>
      <c r="B81" s="215" t="inlineStr">
        <is>
          <t>Jagganath</t>
        </is>
      </c>
      <c r="C81" s="215" t="n"/>
      <c r="D81" s="12" t="n">
        <v>34</v>
      </c>
      <c r="E81" s="59">
        <f>VLOOKUP(D81,INDIRECT("'"&amp;B81&amp;"'!$A$2:$S$999"), 2, 0)</f>
        <v/>
      </c>
      <c r="F81" s="59">
        <f>VLOOKUP(D81,INDIRECT("'"&amp;B81&amp;"'!$A$2:$S$999"), 5, 0)</f>
        <v/>
      </c>
      <c r="G81" s="59">
        <f>VLOOKUP(D81,INDIRECT("'"&amp;B81&amp;"'!$A$2:$S$999"), 6, 0)</f>
        <v/>
      </c>
      <c r="H81" s="59">
        <f>VLOOKUP(D81,INDIRECT("'"&amp;B81&amp;"'!$A$2:$S$999"), 7, 0)</f>
        <v/>
      </c>
      <c r="I81" s="59">
        <f>VLOOKUP(D81,INDIRECT("'"&amp;B81&amp;"'!$A$2:$S$999"), 8, 0)</f>
        <v/>
      </c>
      <c r="J81" s="59">
        <f>VLOOKUP(D81,INDIRECT("'"&amp;B81&amp;"'!$A$2:$S$999"), 9, 0)</f>
        <v/>
      </c>
      <c r="K81" s="59">
        <f>VLOOKUP(D81,INDIRECT("'"&amp;B81&amp;"'!$A$2:$S$999"), 10, 0)</f>
        <v/>
      </c>
      <c r="L81" s="59">
        <f>VLOOKUP(D81,INDIRECT("'"&amp;B81&amp;"'!$A$2:$S$999"), 11, 0)</f>
        <v/>
      </c>
      <c r="M81" s="12">
        <f>IF((SUM(F81:H81)&lt;0.42),$AA$4,((SUM(F81:H81)*$AA$5)))</f>
        <v/>
      </c>
      <c r="N81" s="12">
        <f>IF((SUM(F81:H81)&lt;0.42),$AB$4,((SUM(F81:H81)*$AB$5)))</f>
        <v/>
      </c>
      <c r="O81" s="12">
        <f>IF((SUM(F81:H81)&lt;0.42),$Z$4,((SUM(F81:H81)*$Z$5)))</f>
        <v/>
      </c>
      <c r="P81" s="12" t="n"/>
      <c r="Q81" s="12">
        <f>D81</f>
        <v/>
      </c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</row>
    <row r="82" ht="18.75" customHeight="1" s="220">
      <c r="A82" s="30">
        <f>B82&amp;D82</f>
        <v/>
      </c>
      <c r="B82" s="215" t="inlineStr">
        <is>
          <t>Jagganath</t>
        </is>
      </c>
      <c r="C82" s="215" t="n"/>
      <c r="D82" s="12" t="n">
        <v>35</v>
      </c>
      <c r="E82" s="59">
        <f>VLOOKUP(D82,INDIRECT("'"&amp;B82&amp;"'!$A$2:$S$999"), 2, 0)</f>
        <v/>
      </c>
      <c r="F82" s="59">
        <f>VLOOKUP(D82,INDIRECT("'"&amp;B82&amp;"'!$A$2:$S$999"), 5, 0)</f>
        <v/>
      </c>
      <c r="G82" s="59">
        <f>VLOOKUP(D82,INDIRECT("'"&amp;B82&amp;"'!$A$2:$S$999"), 6, 0)</f>
        <v/>
      </c>
      <c r="H82" s="59">
        <f>VLOOKUP(D82,INDIRECT("'"&amp;B82&amp;"'!$A$2:$S$999"), 7, 0)</f>
        <v/>
      </c>
      <c r="I82" s="59">
        <f>VLOOKUP(D82,INDIRECT("'"&amp;B82&amp;"'!$A$2:$S$999"), 8, 0)</f>
        <v/>
      </c>
      <c r="J82" s="59">
        <f>VLOOKUP(D82,INDIRECT("'"&amp;B82&amp;"'!$A$2:$S$999"), 9, 0)</f>
        <v/>
      </c>
      <c r="K82" s="59">
        <f>VLOOKUP(D82,INDIRECT("'"&amp;B82&amp;"'!$A$2:$S$999"), 10, 0)</f>
        <v/>
      </c>
      <c r="L82" s="59">
        <f>VLOOKUP(D82,INDIRECT("'"&amp;B82&amp;"'!$A$2:$S$999"), 11, 0)</f>
        <v/>
      </c>
      <c r="M82" s="12">
        <f>IF((SUM(F82:H82)&lt;0.42),$AA$4,((SUM(F82:H82)*$AA$5)))</f>
        <v/>
      </c>
      <c r="N82" s="12">
        <f>IF((SUM(F82:H82)&lt;0.42),$AB$4,((SUM(F82:H82)*$AB$5)))</f>
        <v/>
      </c>
      <c r="O82" s="12">
        <f>IF((SUM(F82:H82)&lt;0.42),$Z$4,((SUM(F82:H82)*$Z$5)))</f>
        <v/>
      </c>
      <c r="P82" s="12" t="n"/>
      <c r="Q82" s="12">
        <f>D82</f>
        <v/>
      </c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</row>
    <row r="83" ht="18.75" customHeight="1" s="220">
      <c r="A83" s="30">
        <f>B83&amp;D83</f>
        <v/>
      </c>
      <c r="B83" s="215" t="inlineStr">
        <is>
          <t>Jagganath</t>
        </is>
      </c>
      <c r="C83" s="215" t="n"/>
      <c r="D83" s="12" t="n">
        <v>39</v>
      </c>
      <c r="E83" s="59">
        <f>VLOOKUP(D83,INDIRECT("'"&amp;B83&amp;"'!$A$2:$S$999"), 2, 0)</f>
        <v/>
      </c>
      <c r="F83" s="59">
        <f>VLOOKUP(D83,INDIRECT("'"&amp;B83&amp;"'!$A$2:$S$999"), 5, 0)</f>
        <v/>
      </c>
      <c r="G83" s="59">
        <f>VLOOKUP(D83,INDIRECT("'"&amp;B83&amp;"'!$A$2:$S$999"), 6, 0)</f>
        <v/>
      </c>
      <c r="H83" s="59">
        <f>VLOOKUP(D83,INDIRECT("'"&amp;B83&amp;"'!$A$2:$S$999"), 7, 0)</f>
        <v/>
      </c>
      <c r="I83" s="59">
        <f>VLOOKUP(D83,INDIRECT("'"&amp;B83&amp;"'!$A$2:$S$999"), 8, 0)</f>
        <v/>
      </c>
      <c r="J83" s="59">
        <f>VLOOKUP(D83,INDIRECT("'"&amp;B83&amp;"'!$A$2:$S$999"), 9, 0)</f>
        <v/>
      </c>
      <c r="K83" s="59">
        <f>VLOOKUP(D83,INDIRECT("'"&amp;B83&amp;"'!$A$2:$S$999"), 10, 0)</f>
        <v/>
      </c>
      <c r="L83" s="59">
        <f>VLOOKUP(D83,INDIRECT("'"&amp;B83&amp;"'!$A$2:$S$999"), 11, 0)</f>
        <v/>
      </c>
      <c r="M83" s="12">
        <f>IF((SUM(F83:H83)&lt;0.42),$AA$4,((SUM(F83:H83)*$AA$5)))</f>
        <v/>
      </c>
      <c r="N83" s="12">
        <f>IF((SUM(F83:H83)&lt;0.42),$AB$4,((SUM(F83:H83)*$AB$5)))</f>
        <v/>
      </c>
      <c r="O83" s="12">
        <f>IF((SUM(F83:H83)&lt;0.42),$Z$4,((SUM(F83:H83)*$Z$5)))</f>
        <v/>
      </c>
      <c r="P83" s="12" t="n"/>
      <c r="Q83" s="12">
        <f>D83</f>
        <v/>
      </c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</row>
    <row r="84" ht="18.75" customHeight="1" s="220">
      <c r="A84" s="30">
        <f>B84&amp;D84</f>
        <v/>
      </c>
      <c r="B84" s="215" t="inlineStr">
        <is>
          <t>Jagganath</t>
        </is>
      </c>
      <c r="C84" s="215" t="n"/>
      <c r="D84" s="12" t="n">
        <v>40</v>
      </c>
      <c r="E84" s="59">
        <f>VLOOKUP(D84,INDIRECT("'"&amp;B84&amp;"'!$A$2:$S$999"), 2, 0)</f>
        <v/>
      </c>
      <c r="F84" s="59">
        <f>VLOOKUP(D84,INDIRECT("'"&amp;B84&amp;"'!$A$2:$S$999"), 5, 0)</f>
        <v/>
      </c>
      <c r="G84" s="59">
        <f>VLOOKUP(D84,INDIRECT("'"&amp;B84&amp;"'!$A$2:$S$999"), 6, 0)</f>
        <v/>
      </c>
      <c r="H84" s="59">
        <f>VLOOKUP(D84,INDIRECT("'"&amp;B84&amp;"'!$A$2:$S$999"), 7, 0)</f>
        <v/>
      </c>
      <c r="I84" s="59">
        <f>VLOOKUP(D84,INDIRECT("'"&amp;B84&amp;"'!$A$2:$S$999"), 8, 0)</f>
        <v/>
      </c>
      <c r="J84" s="59">
        <f>VLOOKUP(D84,INDIRECT("'"&amp;B84&amp;"'!$A$2:$S$999"), 9, 0)</f>
        <v/>
      </c>
      <c r="K84" s="59">
        <f>VLOOKUP(D84,INDIRECT("'"&amp;B84&amp;"'!$A$2:$S$999"), 10, 0)</f>
        <v/>
      </c>
      <c r="L84" s="59">
        <f>VLOOKUP(D84,INDIRECT("'"&amp;B84&amp;"'!$A$2:$S$999"), 11, 0)</f>
        <v/>
      </c>
      <c r="M84" s="12">
        <f>IF((SUM(F84:H84)&lt;0.42),$AA$4,((SUM(F84:H84)*$AA$5)))</f>
        <v/>
      </c>
      <c r="N84" s="12">
        <f>IF((SUM(F84:H84)&lt;0.42),$AB$4,((SUM(F84:H84)*$AB$5)))</f>
        <v/>
      </c>
      <c r="O84" s="12">
        <f>IF((SUM(F84:H84)&lt;0.42),$Z$4,((SUM(F84:H84)*$Z$5)))</f>
        <v/>
      </c>
      <c r="P84" s="12" t="n"/>
      <c r="Q84" s="12">
        <f>D84</f>
        <v/>
      </c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</row>
    <row r="85" ht="18.75" customHeight="1" s="220">
      <c r="A85" s="30">
        <f>B85&amp;D85</f>
        <v/>
      </c>
      <c r="B85" s="215" t="inlineStr">
        <is>
          <t>Jagganath</t>
        </is>
      </c>
      <c r="C85" s="215" t="n"/>
      <c r="D85" s="12" t="n">
        <v>43</v>
      </c>
      <c r="E85" s="59">
        <f>VLOOKUP(D85,INDIRECT("'"&amp;B85&amp;"'!$A$2:$S$999"), 2, 0)</f>
        <v/>
      </c>
      <c r="F85" s="59">
        <f>VLOOKUP(D85,INDIRECT("'"&amp;B85&amp;"'!$A$2:$S$999"), 5, 0)</f>
        <v/>
      </c>
      <c r="G85" s="59">
        <f>VLOOKUP(D85,INDIRECT("'"&amp;B85&amp;"'!$A$2:$S$999"), 6, 0)</f>
        <v/>
      </c>
      <c r="H85" s="59">
        <f>VLOOKUP(D85,INDIRECT("'"&amp;B85&amp;"'!$A$2:$S$999"), 7, 0)</f>
        <v/>
      </c>
      <c r="I85" s="59">
        <f>VLOOKUP(D85,INDIRECT("'"&amp;B85&amp;"'!$A$2:$S$999"), 8, 0)</f>
        <v/>
      </c>
      <c r="J85" s="59">
        <f>VLOOKUP(D85,INDIRECT("'"&amp;B85&amp;"'!$A$2:$S$999"), 9, 0)</f>
        <v/>
      </c>
      <c r="K85" s="59">
        <f>VLOOKUP(D85,INDIRECT("'"&amp;B85&amp;"'!$A$2:$S$999"), 10, 0)</f>
        <v/>
      </c>
      <c r="L85" s="59">
        <f>VLOOKUP(D85,INDIRECT("'"&amp;B85&amp;"'!$A$2:$S$999"), 11, 0)</f>
        <v/>
      </c>
      <c r="M85" s="12">
        <f>IF((SUM(F85:H85)&lt;0.42),$AA$4,((SUM(F85:H85)*$AA$5)))</f>
        <v/>
      </c>
      <c r="N85" s="12">
        <f>IF((SUM(F85:H85)&lt;0.42),$AB$4,((SUM(F85:H85)*$AB$5)))</f>
        <v/>
      </c>
      <c r="O85" s="12">
        <f>IF((SUM(F85:H85)&lt;0.42),$Z$4,((SUM(F85:H85)*$Z$5)))</f>
        <v/>
      </c>
      <c r="P85" s="12" t="n"/>
      <c r="Q85" s="12">
        <f>D85</f>
        <v/>
      </c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</row>
    <row r="86" ht="18.75" customHeight="1" s="220">
      <c r="A86" s="30">
        <f>B86&amp;D86</f>
        <v/>
      </c>
      <c r="B86" s="215" t="inlineStr">
        <is>
          <t>Jagganath</t>
        </is>
      </c>
      <c r="C86" s="215" t="n"/>
      <c r="D86" s="12" t="n">
        <v>44</v>
      </c>
      <c r="E86" s="59">
        <f>VLOOKUP(D86,INDIRECT("'"&amp;B86&amp;"'!$A$2:$S$999"), 2, 0)</f>
        <v/>
      </c>
      <c r="F86" s="59">
        <f>VLOOKUP(D86,INDIRECT("'"&amp;B86&amp;"'!$A$2:$S$999"), 5, 0)</f>
        <v/>
      </c>
      <c r="G86" s="59">
        <f>VLOOKUP(D86,INDIRECT("'"&amp;B86&amp;"'!$A$2:$S$999"), 6, 0)</f>
        <v/>
      </c>
      <c r="H86" s="59">
        <f>VLOOKUP(D86,INDIRECT("'"&amp;B86&amp;"'!$A$2:$S$999"), 7, 0)</f>
        <v/>
      </c>
      <c r="I86" s="59">
        <f>VLOOKUP(D86,INDIRECT("'"&amp;B86&amp;"'!$A$2:$S$999"), 8, 0)</f>
        <v/>
      </c>
      <c r="J86" s="59">
        <f>VLOOKUP(D86,INDIRECT("'"&amp;B86&amp;"'!$A$2:$S$999"), 9, 0)</f>
        <v/>
      </c>
      <c r="K86" s="59">
        <f>VLOOKUP(D86,INDIRECT("'"&amp;B86&amp;"'!$A$2:$S$999"), 10, 0)</f>
        <v/>
      </c>
      <c r="L86" s="59">
        <f>VLOOKUP(D86,INDIRECT("'"&amp;B86&amp;"'!$A$2:$S$999"), 11, 0)</f>
        <v/>
      </c>
      <c r="M86" s="12">
        <f>IF((SUM(F86:H86)&lt;0.42),$AA$4,((SUM(F86:H86)*$AA$5)))</f>
        <v/>
      </c>
      <c r="N86" s="12">
        <f>IF((SUM(F86:H86)&lt;0.42),$AB$4,((SUM(F86:H86)*$AB$5)))</f>
        <v/>
      </c>
      <c r="O86" s="12">
        <f>IF((SUM(F86:H86)&lt;0.42),$Z$4,((SUM(F86:H86)*$Z$5)))</f>
        <v/>
      </c>
      <c r="P86" s="12" t="n"/>
      <c r="Q86" s="12">
        <f>D86</f>
        <v/>
      </c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</row>
    <row r="87" ht="18.75" customHeight="1" s="220">
      <c r="A87" s="30">
        <f>B87&amp;D87</f>
        <v/>
      </c>
      <c r="B87" s="215" t="inlineStr">
        <is>
          <t>Necklace</t>
        </is>
      </c>
      <c r="C87" s="215" t="n"/>
      <c r="D87" s="12" t="n">
        <v>1</v>
      </c>
      <c r="E87" s="59">
        <f>VLOOKUP(D87,INDIRECT("'"&amp;B87&amp;"'!$A$2:$S$999"), 2, 0)</f>
        <v/>
      </c>
      <c r="F87" s="59">
        <f>VLOOKUP(D87,INDIRECT("'"&amp;B87&amp;"'!$A$2:$S$999"), 5, 0)</f>
        <v/>
      </c>
      <c r="G87" s="59">
        <f>VLOOKUP(D87,INDIRECT("'"&amp;B87&amp;"'!$A$2:$S$999"), 6, 0)</f>
        <v/>
      </c>
      <c r="H87" s="59">
        <f>VLOOKUP(D87,INDIRECT("'"&amp;B87&amp;"'!$A$2:$S$999"), 7, 0)</f>
        <v/>
      </c>
      <c r="I87" s="59">
        <f>VLOOKUP(D87,INDIRECT("'"&amp;B87&amp;"'!$A$2:$S$999"), 8, 0)</f>
        <v/>
      </c>
      <c r="J87" s="59">
        <f>VLOOKUP(D87,INDIRECT("'"&amp;B87&amp;"'!$A$2:$S$999"), 9, 0)</f>
        <v/>
      </c>
      <c r="K87" s="59">
        <f>VLOOKUP(D87,INDIRECT("'"&amp;B87&amp;"'!$A$2:$S$999"), 10, 0)</f>
        <v/>
      </c>
      <c r="L87" s="59">
        <f>VLOOKUP(D87,INDIRECT("'"&amp;B87&amp;"'!$A$2:$S$999"), 11, 0)</f>
        <v/>
      </c>
      <c r="M87" s="12">
        <f>IF((SUM(F87:H87)&lt;0.42),$AA$4,((SUM(F87:H87)*$AA$5)))</f>
        <v/>
      </c>
      <c r="N87" s="12">
        <f>IF((SUM(F87:H87)&lt;0.42),$AB$4,((SUM(F87:H87)*$AB$5)))</f>
        <v/>
      </c>
      <c r="O87" s="12">
        <f>IF((SUM(F87:H87)&lt;0.42),$Z$4,((SUM(F87:H87)*$Z$5)))</f>
        <v/>
      </c>
      <c r="P87" s="12" t="n"/>
      <c r="Q87" s="12">
        <f>D87</f>
        <v/>
      </c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</row>
    <row r="88" ht="18.75" customHeight="1" s="220">
      <c r="A88" s="140">
        <f>B88&amp;D88</f>
        <v/>
      </c>
      <c r="B88" s="216" t="inlineStr">
        <is>
          <t>Top</t>
        </is>
      </c>
      <c r="C88" s="216" t="n"/>
      <c r="D88" s="217" t="n">
        <v>95</v>
      </c>
      <c r="E88" s="218">
        <f>VLOOKUP(D88,INDIRECT("'"&amp;B88&amp;"'!$A$2:$S$999"), 2, 0)</f>
        <v/>
      </c>
      <c r="F88" s="218">
        <f>VLOOKUP(D88,INDIRECT("'"&amp;B88&amp;"'!$A$2:$S$999"), 5, 0)</f>
        <v/>
      </c>
      <c r="G88" s="218">
        <f>VLOOKUP(D88,INDIRECT("'"&amp;B88&amp;"'!$A$2:$S$999"), 6, 0)</f>
        <v/>
      </c>
      <c r="H88" s="218">
        <f>VLOOKUP(D88,INDIRECT("'"&amp;B88&amp;"'!$A$2:$S$999"), 7, 0)</f>
        <v/>
      </c>
      <c r="I88" s="218">
        <f>VLOOKUP(D88,INDIRECT("'"&amp;B88&amp;"'!$A$2:$S$999"), 8, 0)</f>
        <v/>
      </c>
      <c r="J88" s="218">
        <f>VLOOKUP(D88,INDIRECT("'"&amp;B88&amp;"'!$A$2:$S$999"), 9, 0)</f>
        <v/>
      </c>
      <c r="K88" s="218">
        <f>VLOOKUP(D88,INDIRECT("'"&amp;B88&amp;"'!$A$2:$S$999"), 10, 0)</f>
        <v/>
      </c>
      <c r="L88" s="218">
        <f>VLOOKUP(D88,INDIRECT("'"&amp;B88&amp;"'!$A$2:$S$999"), 11, 0)</f>
        <v/>
      </c>
      <c r="M88" s="217">
        <f>IF((SUM(F88:H88)&lt;0.42),$AA$4,((SUM(F88:H88)*$AA$5)))</f>
        <v/>
      </c>
      <c r="N88" s="217">
        <f>IF((SUM(F88:H88)&lt;0.42),$AB$4,((SUM(F88:H88)*$AB$5)))</f>
        <v/>
      </c>
      <c r="O88" s="217">
        <f>IF((SUM(F88:H88)&lt;0.42),$Z$4,((SUM(F88:H88)*$Z$5)))</f>
        <v/>
      </c>
      <c r="P88" s="217" t="n"/>
      <c r="Q88" s="217">
        <f>D88</f>
        <v/>
      </c>
      <c r="R88" s="217" t="n"/>
      <c r="S88" s="217" t="n"/>
      <c r="T88" s="217" t="n"/>
      <c r="U88" s="217" t="n"/>
      <c r="V88" s="217" t="n"/>
      <c r="W88" s="217" t="n"/>
      <c r="X88" s="217" t="n"/>
      <c r="Y88" s="217" t="n"/>
      <c r="Z88" s="217" t="n"/>
      <c r="AA88" s="217" t="n"/>
      <c r="AB88" s="140" t="n"/>
    </row>
    <row r="89" ht="18.75" customHeight="1" s="220">
      <c r="A89" s="30">
        <f>B89&amp;D89</f>
        <v/>
      </c>
      <c r="B89" s="215" t="inlineStr">
        <is>
          <t>Jagganath</t>
        </is>
      </c>
      <c r="C89" s="215" t="n"/>
      <c r="D89" s="12" t="n">
        <v>16</v>
      </c>
      <c r="E89" s="59">
        <f>VLOOKUP(D89,INDIRECT("'"&amp;B89&amp;"'!$A$2:$S$999"), 2, 0)</f>
        <v/>
      </c>
      <c r="F89" s="59">
        <f>VLOOKUP(D89,INDIRECT("'"&amp;B89&amp;"'!$A$2:$S$999"), 5, 0)</f>
        <v/>
      </c>
      <c r="G89" s="59">
        <f>VLOOKUP(D89,INDIRECT("'"&amp;B89&amp;"'!$A$2:$S$999"), 6, 0)</f>
        <v/>
      </c>
      <c r="H89" s="59">
        <f>VLOOKUP(D89,INDIRECT("'"&amp;B89&amp;"'!$A$2:$S$999"), 7, 0)</f>
        <v/>
      </c>
      <c r="I89" s="59">
        <f>VLOOKUP(D89,INDIRECT("'"&amp;B89&amp;"'!$A$2:$S$999"), 8, 0)</f>
        <v/>
      </c>
      <c r="J89" s="59">
        <f>VLOOKUP(D89,INDIRECT("'"&amp;B89&amp;"'!$A$2:$S$999"), 9, 0)</f>
        <v/>
      </c>
      <c r="K89" s="59">
        <f>VLOOKUP(D89,INDIRECT("'"&amp;B89&amp;"'!$A$2:$S$999"), 10, 0)</f>
        <v/>
      </c>
      <c r="L89" s="59">
        <f>VLOOKUP(D89,INDIRECT("'"&amp;B89&amp;"'!$A$2:$S$999"), 11, 0)</f>
        <v/>
      </c>
      <c r="M89" s="12">
        <f>IF((SUM(F89:H89)&lt;0.42),$AA$4,((SUM(F89:H89)*$AA$5)))</f>
        <v/>
      </c>
      <c r="N89" s="12">
        <f>IF((SUM(F89:H89)&lt;0.42),$AB$4,((SUM(F89:H89)*$AB$5)))</f>
        <v/>
      </c>
      <c r="O89" s="12">
        <f>IF((SUM(F89:H89)&lt;0.42),$Z$4,((SUM(F89:H89)*$Z$5)))</f>
        <v/>
      </c>
      <c r="P89" s="12" t="inlineStr">
        <is>
          <t>SGLJNPJ342356E</t>
        </is>
      </c>
      <c r="Q89" s="12">
        <f>D89</f>
        <v/>
      </c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</row>
    <row r="90" ht="18.75" customHeight="1" s="220">
      <c r="A90" s="30">
        <f>B90&amp;D90</f>
        <v/>
      </c>
      <c r="B90" s="215" t="inlineStr">
        <is>
          <t>Ladies Ring</t>
        </is>
      </c>
      <c r="C90" s="12" t="n"/>
      <c r="D90" s="12" t="n">
        <v>35</v>
      </c>
      <c r="E90" s="12">
        <f>VLOOKUP(D90,INDIRECT("'"&amp;B90&amp;"'!$A$2:$S$999"), 2, 0)</f>
        <v/>
      </c>
      <c r="F90" s="12">
        <f>VLOOKUP(D90,INDIRECT("'"&amp;B90&amp;"'!$A$2:$S$999"), 5, 0)</f>
        <v/>
      </c>
      <c r="G90" s="12">
        <f>VLOOKUP(D90,INDIRECT("'"&amp;B90&amp;"'!$A$2:$S$999"), 6, 0)</f>
        <v/>
      </c>
      <c r="H90" s="12">
        <f>VLOOKUP(D90,INDIRECT("'"&amp;B90&amp;"'!$A$2:$S$999"), 7, 0)</f>
        <v/>
      </c>
      <c r="I90" s="12">
        <f>VLOOKUP(D90,INDIRECT("'"&amp;B90&amp;"'!$A$2:$S$999"), 8, 0)</f>
        <v/>
      </c>
      <c r="J90" s="12">
        <f>VLOOKUP(D90,INDIRECT("'"&amp;B90&amp;"'!$A$2:$S$999"), 9, 0)</f>
        <v/>
      </c>
      <c r="K90" s="12">
        <f>VLOOKUP(D90,INDIRECT("'"&amp;B90&amp;"'!$A$2:$S$999"), 10, 0)</f>
        <v/>
      </c>
      <c r="L90" s="12">
        <f>VLOOKUP(D90,INDIRECT("'"&amp;B90&amp;"'!$A$2:$S$999"), 11, 0)</f>
        <v/>
      </c>
      <c r="M90" s="12">
        <f>IF((SUM(F90:H90)&lt;0.42),$AA$4,((SUM(F90:H90)*$AA$5)))</f>
        <v/>
      </c>
      <c r="N90" s="12">
        <f>IF((SUM(F90:H90)&lt;0.42),$AB$4,((SUM(F90:H90)*$AB$5)))</f>
        <v/>
      </c>
      <c r="O90" s="12">
        <f>IF((SUM(F90:H90)&lt;0.42),$Z$4,((SUM(F90:H90)*$Z$5)))</f>
        <v/>
      </c>
      <c r="P90" s="12" t="inlineStr">
        <is>
          <t>SGLJNPJ342323E</t>
        </is>
      </c>
      <c r="Q90" s="12">
        <f>D90</f>
        <v/>
      </c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</row>
    <row r="91" ht="18.75" customHeight="1" s="220">
      <c r="A91" s="30">
        <f>B91&amp;D91</f>
        <v/>
      </c>
      <c r="B91" s="215" t="inlineStr">
        <is>
          <t>Ladies Ring</t>
        </is>
      </c>
      <c r="C91" s="12" t="n"/>
      <c r="D91" s="12" t="n">
        <v>150</v>
      </c>
      <c r="E91" s="12">
        <f>VLOOKUP(D91,INDIRECT("'"&amp;B91&amp;"'!$A$2:$S$999"), 2, 0)</f>
        <v/>
      </c>
      <c r="F91" s="12">
        <f>VLOOKUP(D91,INDIRECT("'"&amp;B91&amp;"'!$A$2:$S$999"), 5, 0)</f>
        <v/>
      </c>
      <c r="G91" s="12">
        <f>VLOOKUP(D91,INDIRECT("'"&amp;B91&amp;"'!$A$2:$S$999"), 6, 0)</f>
        <v/>
      </c>
      <c r="H91" s="12">
        <f>VLOOKUP(D91,INDIRECT("'"&amp;B91&amp;"'!$A$2:$S$999"), 7, 0)</f>
        <v/>
      </c>
      <c r="I91" s="12">
        <f>VLOOKUP(D91,INDIRECT("'"&amp;B91&amp;"'!$A$2:$S$999"), 8, 0)</f>
        <v/>
      </c>
      <c r="J91" s="12">
        <f>VLOOKUP(D91,INDIRECT("'"&amp;B91&amp;"'!$A$2:$S$999"), 9, 0)</f>
        <v/>
      </c>
      <c r="K91" s="12">
        <f>VLOOKUP(D91,INDIRECT("'"&amp;B91&amp;"'!$A$2:$S$999"), 10, 0)</f>
        <v/>
      </c>
      <c r="L91" s="12">
        <f>VLOOKUP(D91,INDIRECT("'"&amp;B91&amp;"'!$A$2:$S$999"), 11, 0)</f>
        <v/>
      </c>
      <c r="M91" s="12">
        <f>IF((SUM(F91:H91)&lt;0.42),$AA$4,((SUM(F91:H91)*$AA$5)))</f>
        <v/>
      </c>
      <c r="N91" s="12">
        <f>IF((SUM(F91:H91)&lt;0.42),$AB$4,((SUM(F91:H91)*$AB$5)))</f>
        <v/>
      </c>
      <c r="O91" s="12">
        <f>IF((SUM(F91:H91)&lt;0.42),$Z$4,((SUM(F91:H91)*$Z$5)))</f>
        <v/>
      </c>
      <c r="P91" s="12" t="inlineStr">
        <is>
          <t>SGLJNPJ342324E</t>
        </is>
      </c>
      <c r="Q91" s="12">
        <f>D91</f>
        <v/>
      </c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</row>
    <row r="92" ht="18.75" customHeight="1" s="220">
      <c r="A92" s="30">
        <f>B92&amp;D92</f>
        <v/>
      </c>
      <c r="B92" s="215" t="inlineStr">
        <is>
          <t>Ladies Ring</t>
        </is>
      </c>
      <c r="C92" s="12" t="n"/>
      <c r="D92" s="12" t="n">
        <v>330</v>
      </c>
      <c r="E92" s="12">
        <f>VLOOKUP(D92,INDIRECT("'"&amp;B92&amp;"'!$A$2:$S$999"), 2, 0)</f>
        <v/>
      </c>
      <c r="F92" s="12">
        <f>VLOOKUP(D92,INDIRECT("'"&amp;B92&amp;"'!$A$2:$S$999"), 5, 0)</f>
        <v/>
      </c>
      <c r="G92" s="12">
        <f>VLOOKUP(D92,INDIRECT("'"&amp;B92&amp;"'!$A$2:$S$999"), 6, 0)</f>
        <v/>
      </c>
      <c r="H92" s="12">
        <f>VLOOKUP(D92,INDIRECT("'"&amp;B92&amp;"'!$A$2:$S$999"), 7, 0)</f>
        <v/>
      </c>
      <c r="I92" s="12">
        <f>VLOOKUP(D92,INDIRECT("'"&amp;B92&amp;"'!$A$2:$S$999"), 8, 0)</f>
        <v/>
      </c>
      <c r="J92" s="12">
        <f>VLOOKUP(D92,INDIRECT("'"&amp;B92&amp;"'!$A$2:$S$999"), 9, 0)</f>
        <v/>
      </c>
      <c r="K92" s="12">
        <f>VLOOKUP(D92,INDIRECT("'"&amp;B92&amp;"'!$A$2:$S$999"), 10, 0)</f>
        <v/>
      </c>
      <c r="L92" s="12">
        <f>VLOOKUP(D92,INDIRECT("'"&amp;B92&amp;"'!$A$2:$S$999"), 11, 0)</f>
        <v/>
      </c>
      <c r="M92" s="12">
        <f>IF((SUM(F92:H92)&lt;0.42),$AA$4,((SUM(F92:H92)*$AA$5)))</f>
        <v/>
      </c>
      <c r="N92" s="12">
        <f>IF((SUM(F92:H92)&lt;0.42),$AB$4,((SUM(F92:H92)*$AB$5)))</f>
        <v/>
      </c>
      <c r="O92" s="12">
        <f>IF((SUM(F92:H92)&lt;0.42),$Z$4,((SUM(F92:H92)*$Z$5)))</f>
        <v/>
      </c>
      <c r="P92" s="12" t="inlineStr">
        <is>
          <t>SGLJNPJ342325E</t>
        </is>
      </c>
      <c r="Q92" s="12">
        <f>D92</f>
        <v/>
      </c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</row>
    <row r="93" ht="18.75" customHeight="1" s="220">
      <c r="A93" s="30">
        <f>B93&amp;D93</f>
        <v/>
      </c>
      <c r="B93" s="215" t="inlineStr">
        <is>
          <t>Ladies Ring</t>
        </is>
      </c>
      <c r="C93" s="12" t="n"/>
      <c r="D93" s="12" t="n">
        <v>339</v>
      </c>
      <c r="E93" s="12">
        <f>VLOOKUP(D93,INDIRECT("'"&amp;B93&amp;"'!$A$2:$S$999"), 2, 0)</f>
        <v/>
      </c>
      <c r="F93" s="12">
        <f>VLOOKUP(D93,INDIRECT("'"&amp;B93&amp;"'!$A$2:$S$999"), 5, 0)</f>
        <v/>
      </c>
      <c r="G93" s="12">
        <f>VLOOKUP(D93,INDIRECT("'"&amp;B93&amp;"'!$A$2:$S$999"), 6, 0)</f>
        <v/>
      </c>
      <c r="H93" s="12">
        <f>VLOOKUP(D93,INDIRECT("'"&amp;B93&amp;"'!$A$2:$S$999"), 7, 0)</f>
        <v/>
      </c>
      <c r="I93" s="12">
        <f>VLOOKUP(D93,INDIRECT("'"&amp;B93&amp;"'!$A$2:$S$999"), 8, 0)</f>
        <v/>
      </c>
      <c r="J93" s="12">
        <f>VLOOKUP(D93,INDIRECT("'"&amp;B93&amp;"'!$A$2:$S$999"), 9, 0)</f>
        <v/>
      </c>
      <c r="K93" s="12">
        <f>VLOOKUP(D93,INDIRECT("'"&amp;B93&amp;"'!$A$2:$S$999"), 10, 0)</f>
        <v/>
      </c>
      <c r="L93" s="12">
        <f>VLOOKUP(D93,INDIRECT("'"&amp;B93&amp;"'!$A$2:$S$999"), 11, 0)</f>
        <v/>
      </c>
      <c r="M93" s="12">
        <f>IF((SUM(F93:H93)&lt;0.42),$AA$4,((SUM(F93:H93)*$AA$5)))</f>
        <v/>
      </c>
      <c r="N93" s="12">
        <f>IF((SUM(F93:H93)&lt;0.42),$AB$4,((SUM(F93:H93)*$AB$5)))</f>
        <v/>
      </c>
      <c r="O93" s="12">
        <f>IF((SUM(F93:H93)&lt;0.42),$Z$4,((SUM(F93:H93)*$Z$5)))</f>
        <v/>
      </c>
      <c r="P93" s="12" t="inlineStr">
        <is>
          <t>SGLJNPJ342326E</t>
        </is>
      </c>
      <c r="Q93" s="12">
        <f>D93</f>
        <v/>
      </c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</row>
    <row r="94" ht="18.75" customHeight="1" s="220">
      <c r="A94" s="30">
        <f>B94&amp;D94</f>
        <v/>
      </c>
      <c r="B94" s="215" t="inlineStr">
        <is>
          <t>Ladies Ring</t>
        </is>
      </c>
      <c r="C94" s="12" t="n"/>
      <c r="D94" s="12" t="n">
        <v>332</v>
      </c>
      <c r="E94" s="12">
        <f>VLOOKUP(D94,INDIRECT("'"&amp;B94&amp;"'!$A$2:$S$999"), 2, 0)</f>
        <v/>
      </c>
      <c r="F94" s="12">
        <f>VLOOKUP(D94,INDIRECT("'"&amp;B94&amp;"'!$A$2:$S$999"), 5, 0)</f>
        <v/>
      </c>
      <c r="G94" s="12">
        <f>VLOOKUP(D94,INDIRECT("'"&amp;B94&amp;"'!$A$2:$S$999"), 6, 0)</f>
        <v/>
      </c>
      <c r="H94" s="12">
        <f>VLOOKUP(D94,INDIRECT("'"&amp;B94&amp;"'!$A$2:$S$999"), 7, 0)</f>
        <v/>
      </c>
      <c r="I94" s="12">
        <f>VLOOKUP(D94,INDIRECT("'"&amp;B94&amp;"'!$A$2:$S$999"), 8, 0)</f>
        <v/>
      </c>
      <c r="J94" s="12">
        <f>VLOOKUP(D94,INDIRECT("'"&amp;B94&amp;"'!$A$2:$S$999"), 9, 0)</f>
        <v/>
      </c>
      <c r="K94" s="12">
        <f>VLOOKUP(D94,INDIRECT("'"&amp;B94&amp;"'!$A$2:$S$999"), 10, 0)</f>
        <v/>
      </c>
      <c r="L94" s="12">
        <f>VLOOKUP(D94,INDIRECT("'"&amp;B94&amp;"'!$A$2:$S$999"), 11, 0)</f>
        <v/>
      </c>
      <c r="M94" s="12">
        <f>IF((SUM(F94:H94)&lt;0.42),$AA$4,((SUM(F94:H94)*$AA$5)))</f>
        <v/>
      </c>
      <c r="N94" s="12">
        <f>IF((SUM(F94:H94)&lt;0.42),$AB$4,((SUM(F94:H94)*$AB$5)))</f>
        <v/>
      </c>
      <c r="O94" s="12">
        <f>IF((SUM(F94:H94)&lt;0.42),$Z$4,((SUM(F94:H94)*$Z$5)))</f>
        <v/>
      </c>
      <c r="P94" s="12" t="inlineStr">
        <is>
          <t>SGLJNPJ342327E</t>
        </is>
      </c>
      <c r="Q94" s="12">
        <f>D94</f>
        <v/>
      </c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</row>
    <row r="95" ht="18.75" customHeight="1" s="220">
      <c r="A95" s="30">
        <f>B95&amp;D95</f>
        <v/>
      </c>
      <c r="B95" s="215" t="inlineStr">
        <is>
          <t>Ladies Ring</t>
        </is>
      </c>
      <c r="C95" s="12" t="n"/>
      <c r="D95" s="12" t="n">
        <v>304</v>
      </c>
      <c r="E95" s="12">
        <f>VLOOKUP(D95,INDIRECT("'"&amp;B95&amp;"'!$A$2:$S$999"), 2, 0)</f>
        <v/>
      </c>
      <c r="F95" s="12">
        <f>VLOOKUP(D95,INDIRECT("'"&amp;B95&amp;"'!$A$2:$S$999"), 5, 0)</f>
        <v/>
      </c>
      <c r="G95" s="12">
        <f>VLOOKUP(D95,INDIRECT("'"&amp;B95&amp;"'!$A$2:$S$999"), 6, 0)</f>
        <v/>
      </c>
      <c r="H95" s="12">
        <f>VLOOKUP(D95,INDIRECT("'"&amp;B95&amp;"'!$A$2:$S$999"), 7, 0)</f>
        <v/>
      </c>
      <c r="I95" s="12">
        <f>VLOOKUP(D95,INDIRECT("'"&amp;B95&amp;"'!$A$2:$S$999"), 8, 0)</f>
        <v/>
      </c>
      <c r="J95" s="12">
        <f>VLOOKUP(D95,INDIRECT("'"&amp;B95&amp;"'!$A$2:$S$999"), 9, 0)</f>
        <v/>
      </c>
      <c r="K95" s="12">
        <f>VLOOKUP(D95,INDIRECT("'"&amp;B95&amp;"'!$A$2:$S$999"), 10, 0)</f>
        <v/>
      </c>
      <c r="L95" s="12">
        <f>VLOOKUP(D95,INDIRECT("'"&amp;B95&amp;"'!$A$2:$S$999"), 11, 0)</f>
        <v/>
      </c>
      <c r="M95" s="12">
        <f>IF((SUM(F95:H95)&lt;0.42),$AA$4,((SUM(F95:H95)*$AA$5)))</f>
        <v/>
      </c>
      <c r="N95" s="12">
        <f>IF((SUM(F95:H95)&lt;0.42),$AB$4,((SUM(F95:H95)*$AB$5)))</f>
        <v/>
      </c>
      <c r="O95" s="12">
        <f>IF((SUM(F95:H95)&lt;0.42),$Z$4,((SUM(F95:H95)*$Z$5)))</f>
        <v/>
      </c>
      <c r="P95" s="12" t="inlineStr">
        <is>
          <t>SGLJNPJ342328E</t>
        </is>
      </c>
      <c r="Q95" s="12">
        <f>D95</f>
        <v/>
      </c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</row>
    <row r="96" ht="18.75" customHeight="1" s="220">
      <c r="A96" s="30">
        <f>B96&amp;D96</f>
        <v/>
      </c>
      <c r="B96" s="215" t="inlineStr">
        <is>
          <t>Ladies Ring</t>
        </is>
      </c>
      <c r="C96" s="12" t="n"/>
      <c r="D96" s="12" t="n">
        <v>155</v>
      </c>
      <c r="E96" s="12">
        <f>VLOOKUP(D96,INDIRECT("'"&amp;B96&amp;"'!$A$2:$S$999"), 2, 0)</f>
        <v/>
      </c>
      <c r="F96" s="12">
        <f>VLOOKUP(D96,INDIRECT("'"&amp;B96&amp;"'!$A$2:$S$999"), 5, 0)</f>
        <v/>
      </c>
      <c r="G96" s="12">
        <f>VLOOKUP(D96,INDIRECT("'"&amp;B96&amp;"'!$A$2:$S$999"), 6, 0)</f>
        <v/>
      </c>
      <c r="H96" s="12">
        <f>VLOOKUP(D96,INDIRECT("'"&amp;B96&amp;"'!$A$2:$S$999"), 7, 0)</f>
        <v/>
      </c>
      <c r="I96" s="12">
        <f>VLOOKUP(D96,INDIRECT("'"&amp;B96&amp;"'!$A$2:$S$999"), 8, 0)</f>
        <v/>
      </c>
      <c r="J96" s="12">
        <f>VLOOKUP(D96,INDIRECT("'"&amp;B96&amp;"'!$A$2:$S$999"), 9, 0)</f>
        <v/>
      </c>
      <c r="K96" s="12">
        <f>VLOOKUP(D96,INDIRECT("'"&amp;B96&amp;"'!$A$2:$S$999"), 10, 0)</f>
        <v/>
      </c>
      <c r="L96" s="12">
        <f>VLOOKUP(D96,INDIRECT("'"&amp;B96&amp;"'!$A$2:$S$999"), 11, 0)</f>
        <v/>
      </c>
      <c r="M96" s="12">
        <f>IF((SUM(F96:H96)&lt;0.42),$AA$4,((SUM(F96:H96)*$AA$5)))</f>
        <v/>
      </c>
      <c r="N96" s="12">
        <f>IF((SUM(F96:H96)&lt;0.42),$AB$4,((SUM(F96:H96)*$AB$5)))</f>
        <v/>
      </c>
      <c r="O96" s="12">
        <f>IF((SUM(F96:H96)&lt;0.42),$Z$4,((SUM(F96:H96)*$Z$5)))</f>
        <v/>
      </c>
      <c r="P96" s="12" t="inlineStr">
        <is>
          <t>SGLJNPJ342329E</t>
        </is>
      </c>
      <c r="Q96" s="12">
        <f>D96</f>
        <v/>
      </c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</row>
    <row r="97" ht="18.75" customHeight="1" s="220">
      <c r="A97" s="30">
        <f>B97&amp;D97</f>
        <v/>
      </c>
      <c r="B97" s="215" t="inlineStr">
        <is>
          <t>Ladies Ring</t>
        </is>
      </c>
      <c r="C97" s="12" t="n"/>
      <c r="D97" s="12" t="n">
        <v>354</v>
      </c>
      <c r="E97" s="12">
        <f>VLOOKUP(D97,INDIRECT("'"&amp;B97&amp;"'!$A$2:$S$999"), 2, 0)</f>
        <v/>
      </c>
      <c r="F97" s="12">
        <f>VLOOKUP(D97,INDIRECT("'"&amp;B97&amp;"'!$A$2:$S$999"), 5, 0)</f>
        <v/>
      </c>
      <c r="G97" s="12">
        <f>VLOOKUP(D97,INDIRECT("'"&amp;B97&amp;"'!$A$2:$S$999"), 6, 0)</f>
        <v/>
      </c>
      <c r="H97" s="12">
        <f>VLOOKUP(D97,INDIRECT("'"&amp;B97&amp;"'!$A$2:$S$999"), 7, 0)</f>
        <v/>
      </c>
      <c r="I97" s="12">
        <f>VLOOKUP(D97,INDIRECT("'"&amp;B97&amp;"'!$A$2:$S$999"), 8, 0)</f>
        <v/>
      </c>
      <c r="J97" s="12">
        <f>VLOOKUP(D97,INDIRECT("'"&amp;B97&amp;"'!$A$2:$S$999"), 9, 0)</f>
        <v/>
      </c>
      <c r="K97" s="12">
        <f>VLOOKUP(D97,INDIRECT("'"&amp;B97&amp;"'!$A$2:$S$999"), 10, 0)</f>
        <v/>
      </c>
      <c r="L97" s="12">
        <f>VLOOKUP(D97,INDIRECT("'"&amp;B97&amp;"'!$A$2:$S$999"), 11, 0)</f>
        <v/>
      </c>
      <c r="M97" s="12">
        <f>IF((SUM(F97:H97)&lt;0.42),$AA$4,((SUM(F97:H97)*$AA$5)))</f>
        <v/>
      </c>
      <c r="N97" s="12">
        <f>IF((SUM(F97:H97)&lt;0.42),$AB$4,((SUM(F97:H97)*$AB$5)))</f>
        <v/>
      </c>
      <c r="O97" s="12">
        <f>IF((SUM(F97:H97)&lt;0.42),$Z$4,((SUM(F97:H97)*$Z$5)))</f>
        <v/>
      </c>
      <c r="P97" s="12" t="inlineStr">
        <is>
          <t>SGLJNPJ342330E</t>
        </is>
      </c>
      <c r="Q97" s="12">
        <f>D97</f>
        <v/>
      </c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</row>
    <row r="98" ht="18.75" customHeight="1" s="220">
      <c r="A98" s="30">
        <f>B98&amp;D98</f>
        <v/>
      </c>
      <c r="B98" s="215" t="inlineStr">
        <is>
          <t>Ladies Ring</t>
        </is>
      </c>
      <c r="C98" s="12" t="n"/>
      <c r="D98" s="12" t="n">
        <v>227</v>
      </c>
      <c r="E98" s="12">
        <f>VLOOKUP(D98,INDIRECT("'"&amp;B98&amp;"'!$A$2:$S$999"), 2, 0)</f>
        <v/>
      </c>
      <c r="F98" s="12">
        <f>VLOOKUP(D98,INDIRECT("'"&amp;B98&amp;"'!$A$2:$S$999"), 5, 0)</f>
        <v/>
      </c>
      <c r="G98" s="12">
        <f>VLOOKUP(D98,INDIRECT("'"&amp;B98&amp;"'!$A$2:$S$999"), 6, 0)</f>
        <v/>
      </c>
      <c r="H98" s="12">
        <f>VLOOKUP(D98,INDIRECT("'"&amp;B98&amp;"'!$A$2:$S$999"), 7, 0)</f>
        <v/>
      </c>
      <c r="I98" s="12">
        <f>VLOOKUP(D98,INDIRECT("'"&amp;B98&amp;"'!$A$2:$S$999"), 8, 0)</f>
        <v/>
      </c>
      <c r="J98" s="12">
        <f>VLOOKUP(D98,INDIRECT("'"&amp;B98&amp;"'!$A$2:$S$999"), 9, 0)</f>
        <v/>
      </c>
      <c r="K98" s="12">
        <f>VLOOKUP(D98,INDIRECT("'"&amp;B98&amp;"'!$A$2:$S$999"), 10, 0)</f>
        <v/>
      </c>
      <c r="L98" s="12">
        <f>VLOOKUP(D98,INDIRECT("'"&amp;B98&amp;"'!$A$2:$S$999"), 11, 0)</f>
        <v/>
      </c>
      <c r="M98" s="12">
        <f>IF((SUM(F98:H98)&lt;0.42),$AA$4,((SUM(F98:H98)*$AA$5)))</f>
        <v/>
      </c>
      <c r="N98" s="12">
        <f>IF((SUM(F98:H98)&lt;0.42),$AB$4,((SUM(F98:H98)*$AB$5)))</f>
        <v/>
      </c>
      <c r="O98" s="12">
        <f>IF((SUM(F98:H98)&lt;0.42),$Z$4,((SUM(F98:H98)*$Z$5)))</f>
        <v/>
      </c>
      <c r="P98" s="12" t="inlineStr">
        <is>
          <t>SGLJNPJ342331E</t>
        </is>
      </c>
      <c r="Q98" s="12">
        <f>D98</f>
        <v/>
      </c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</row>
    <row r="99" ht="18.75" customHeight="1" s="220">
      <c r="A99" s="30">
        <f>B99&amp;D99</f>
        <v/>
      </c>
      <c r="B99" s="215" t="inlineStr">
        <is>
          <t>Ladies Ring</t>
        </is>
      </c>
      <c r="C99" s="12" t="n"/>
      <c r="D99" s="12" t="n">
        <v>301</v>
      </c>
      <c r="E99" s="12">
        <f>VLOOKUP(D99,INDIRECT("'"&amp;B99&amp;"'!$A$2:$S$999"), 2, 0)</f>
        <v/>
      </c>
      <c r="F99" s="12">
        <f>VLOOKUP(D99,INDIRECT("'"&amp;B99&amp;"'!$A$2:$S$999"), 5, 0)</f>
        <v/>
      </c>
      <c r="G99" s="12">
        <f>VLOOKUP(D99,INDIRECT("'"&amp;B99&amp;"'!$A$2:$S$999"), 6, 0)</f>
        <v/>
      </c>
      <c r="H99" s="12">
        <f>VLOOKUP(D99,INDIRECT("'"&amp;B99&amp;"'!$A$2:$S$999"), 7, 0)</f>
        <v/>
      </c>
      <c r="I99" s="12">
        <f>VLOOKUP(D99,INDIRECT("'"&amp;B99&amp;"'!$A$2:$S$999"), 8, 0)</f>
        <v/>
      </c>
      <c r="J99" s="12">
        <f>VLOOKUP(D99,INDIRECT("'"&amp;B99&amp;"'!$A$2:$S$999"), 9, 0)</f>
        <v/>
      </c>
      <c r="K99" s="12">
        <f>VLOOKUP(D99,INDIRECT("'"&amp;B99&amp;"'!$A$2:$S$999"), 10, 0)</f>
        <v/>
      </c>
      <c r="L99" s="12">
        <f>VLOOKUP(D99,INDIRECT("'"&amp;B99&amp;"'!$A$2:$S$999"), 11, 0)</f>
        <v/>
      </c>
      <c r="M99" s="12">
        <f>IF((SUM(F99:H99)&lt;0.42),$AA$4,((SUM(F99:H99)*$AA$5)))</f>
        <v/>
      </c>
      <c r="N99" s="12">
        <f>IF((SUM(F99:H99)&lt;0.42),$AB$4,((SUM(F99:H99)*$AB$5)))</f>
        <v/>
      </c>
      <c r="O99" s="12">
        <f>IF((SUM(F99:H99)&lt;0.42),$Z$4,((SUM(F99:H99)*$Z$5)))</f>
        <v/>
      </c>
      <c r="P99" s="12" t="inlineStr">
        <is>
          <t>SGLJNPJ342332E</t>
        </is>
      </c>
      <c r="Q99" s="12">
        <f>D99</f>
        <v/>
      </c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</row>
    <row r="100" ht="18.75" customHeight="1" s="220">
      <c r="A100" s="30">
        <f>B100&amp;D100</f>
        <v/>
      </c>
      <c r="B100" s="215" t="inlineStr">
        <is>
          <t>Ladies Ring</t>
        </is>
      </c>
      <c r="C100" s="12" t="n"/>
      <c r="D100" s="12" t="n">
        <v>245</v>
      </c>
      <c r="E100" s="12">
        <f>VLOOKUP(D100,INDIRECT("'"&amp;B100&amp;"'!$A$2:$S$999"), 2, 0)</f>
        <v/>
      </c>
      <c r="F100" s="12">
        <f>VLOOKUP(D100,INDIRECT("'"&amp;B100&amp;"'!$A$2:$S$999"), 5, 0)</f>
        <v/>
      </c>
      <c r="G100" s="12">
        <f>VLOOKUP(D100,INDIRECT("'"&amp;B100&amp;"'!$A$2:$S$999"), 6, 0)</f>
        <v/>
      </c>
      <c r="H100" s="12">
        <f>VLOOKUP(D100,INDIRECT("'"&amp;B100&amp;"'!$A$2:$S$999"), 7, 0)</f>
        <v/>
      </c>
      <c r="I100" s="12">
        <f>VLOOKUP(D100,INDIRECT("'"&amp;B100&amp;"'!$A$2:$S$999"), 8, 0)</f>
        <v/>
      </c>
      <c r="J100" s="12">
        <f>VLOOKUP(D100,INDIRECT("'"&amp;B100&amp;"'!$A$2:$S$999"), 9, 0)</f>
        <v/>
      </c>
      <c r="K100" s="12">
        <f>VLOOKUP(D100,INDIRECT("'"&amp;B100&amp;"'!$A$2:$S$999"), 10, 0)</f>
        <v/>
      </c>
      <c r="L100" s="12">
        <f>VLOOKUP(D100,INDIRECT("'"&amp;B100&amp;"'!$A$2:$S$999"), 11, 0)</f>
        <v/>
      </c>
      <c r="M100" s="12">
        <f>IF((SUM(F100:H100)&lt;0.42),$AA$4,((SUM(F100:H100)*$AA$5)))</f>
        <v/>
      </c>
      <c r="N100" s="12">
        <f>IF((SUM(F100:H100)&lt;0.42),$AB$4,((SUM(F100:H100)*$AB$5)))</f>
        <v/>
      </c>
      <c r="O100" s="12">
        <f>IF((SUM(F100:H100)&lt;0.42),$Z$4,((SUM(F100:H100)*$Z$5)))</f>
        <v/>
      </c>
      <c r="P100" s="12" t="inlineStr">
        <is>
          <t>SGLJNPJ342333E</t>
        </is>
      </c>
      <c r="Q100" s="12">
        <f>D100</f>
        <v/>
      </c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</row>
    <row r="101" ht="18.75" customHeight="1" s="220">
      <c r="A101" s="30">
        <f>B101&amp;D101</f>
        <v/>
      </c>
      <c r="B101" s="215" t="inlineStr">
        <is>
          <t>Ladies Ring</t>
        </is>
      </c>
      <c r="C101" s="12" t="n"/>
      <c r="D101" s="12" t="n">
        <v>359</v>
      </c>
      <c r="E101" s="12">
        <f>VLOOKUP(D101,INDIRECT("'"&amp;B101&amp;"'!$A$2:$S$999"), 2, 0)</f>
        <v/>
      </c>
      <c r="F101" s="12">
        <f>VLOOKUP(D101,INDIRECT("'"&amp;B101&amp;"'!$A$2:$S$999"), 5, 0)</f>
        <v/>
      </c>
      <c r="G101" s="12">
        <f>VLOOKUP(D101,INDIRECT("'"&amp;B101&amp;"'!$A$2:$S$999"), 6, 0)</f>
        <v/>
      </c>
      <c r="H101" s="12">
        <f>VLOOKUP(D101,INDIRECT("'"&amp;B101&amp;"'!$A$2:$S$999"), 7, 0)</f>
        <v/>
      </c>
      <c r="I101" s="12">
        <f>VLOOKUP(D101,INDIRECT("'"&amp;B101&amp;"'!$A$2:$S$999"), 8, 0)</f>
        <v/>
      </c>
      <c r="J101" s="12">
        <f>VLOOKUP(D101,INDIRECT("'"&amp;B101&amp;"'!$A$2:$S$999"), 9, 0)</f>
        <v/>
      </c>
      <c r="K101" s="12">
        <f>VLOOKUP(D101,INDIRECT("'"&amp;B101&amp;"'!$A$2:$S$999"), 10, 0)</f>
        <v/>
      </c>
      <c r="L101" s="12">
        <f>VLOOKUP(D101,INDIRECT("'"&amp;B101&amp;"'!$A$2:$S$999"), 11, 0)</f>
        <v/>
      </c>
      <c r="M101" s="12">
        <f>IF((SUM(F101:H101)&lt;0.42),$AA$4,((SUM(F101:H101)*$AA$5)))</f>
        <v/>
      </c>
      <c r="N101" s="12">
        <f>IF((SUM(F101:H101)&lt;0.42),$AB$4,((SUM(F101:H101)*$AB$5)))</f>
        <v/>
      </c>
      <c r="O101" s="12">
        <f>IF((SUM(F101:H101)&lt;0.42),$Z$4,((SUM(F101:H101)*$Z$5)))</f>
        <v/>
      </c>
      <c r="P101" s="12" t="inlineStr">
        <is>
          <t>SGLJNPJ342334E</t>
        </is>
      </c>
      <c r="Q101" s="12">
        <f>D101</f>
        <v/>
      </c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</row>
    <row r="102" ht="18.75" customHeight="1" s="220">
      <c r="A102" s="30">
        <f>B102&amp;D102</f>
        <v/>
      </c>
      <c r="B102" s="215" t="inlineStr">
        <is>
          <t>Ladies Ring</t>
        </is>
      </c>
      <c r="C102" s="12" t="n"/>
      <c r="D102" s="12" t="n">
        <v>242</v>
      </c>
      <c r="E102" s="12">
        <f>VLOOKUP(D102,INDIRECT("'"&amp;B102&amp;"'!$A$2:$S$999"), 2, 0)</f>
        <v/>
      </c>
      <c r="F102" s="12">
        <f>VLOOKUP(D102,INDIRECT("'"&amp;B102&amp;"'!$A$2:$S$999"), 5, 0)</f>
        <v/>
      </c>
      <c r="G102" s="12">
        <f>VLOOKUP(D102,INDIRECT("'"&amp;B102&amp;"'!$A$2:$S$999"), 6, 0)</f>
        <v/>
      </c>
      <c r="H102" s="12">
        <f>VLOOKUP(D102,INDIRECT("'"&amp;B102&amp;"'!$A$2:$S$999"), 7, 0)</f>
        <v/>
      </c>
      <c r="I102" s="12">
        <f>VLOOKUP(D102,INDIRECT("'"&amp;B102&amp;"'!$A$2:$S$999"), 8, 0)</f>
        <v/>
      </c>
      <c r="J102" s="12">
        <f>VLOOKUP(D102,INDIRECT("'"&amp;B102&amp;"'!$A$2:$S$999"), 9, 0)</f>
        <v/>
      </c>
      <c r="K102" s="12">
        <f>VLOOKUP(D102,INDIRECT("'"&amp;B102&amp;"'!$A$2:$S$999"), 10, 0)</f>
        <v/>
      </c>
      <c r="L102" s="12">
        <f>VLOOKUP(D102,INDIRECT("'"&amp;B102&amp;"'!$A$2:$S$999"), 11, 0)</f>
        <v/>
      </c>
      <c r="M102" s="12">
        <f>IF((SUM(F102:H102)&lt;0.42),$AA$4,((SUM(F102:H102)*$AA$5)))</f>
        <v/>
      </c>
      <c r="N102" s="12">
        <f>IF((SUM(F102:H102)&lt;0.42),$AB$4,((SUM(F102:H102)*$AB$5)))</f>
        <v/>
      </c>
      <c r="O102" s="12">
        <f>IF((SUM(F102:H102)&lt;0.42),$Z$4,((SUM(F102:H102)*$Z$5)))</f>
        <v/>
      </c>
      <c r="P102" s="12" t="inlineStr">
        <is>
          <t>SGLJNPJ342335E</t>
        </is>
      </c>
      <c r="Q102" s="12">
        <f>D102</f>
        <v/>
      </c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</row>
    <row r="103" ht="18.75" customHeight="1" s="220">
      <c r="A103" s="30">
        <f>B103&amp;D103</f>
        <v/>
      </c>
      <c r="B103" s="215" t="inlineStr">
        <is>
          <t>Ladies Ring</t>
        </is>
      </c>
      <c r="C103" s="12" t="n"/>
      <c r="D103" s="12" t="n">
        <v>217</v>
      </c>
      <c r="E103" s="12">
        <f>VLOOKUP(D103,INDIRECT("'"&amp;B103&amp;"'!$A$2:$S$999"), 2, 0)</f>
        <v/>
      </c>
      <c r="F103" s="12">
        <f>VLOOKUP(D103,INDIRECT("'"&amp;B103&amp;"'!$A$2:$S$999"), 5, 0)</f>
        <v/>
      </c>
      <c r="G103" s="12">
        <f>VLOOKUP(D103,INDIRECT("'"&amp;B103&amp;"'!$A$2:$S$999"), 6, 0)</f>
        <v/>
      </c>
      <c r="H103" s="12">
        <f>VLOOKUP(D103,INDIRECT("'"&amp;B103&amp;"'!$A$2:$S$999"), 7, 0)</f>
        <v/>
      </c>
      <c r="I103" s="12">
        <f>VLOOKUP(D103,INDIRECT("'"&amp;B103&amp;"'!$A$2:$S$999"), 8, 0)</f>
        <v/>
      </c>
      <c r="J103" s="12">
        <f>VLOOKUP(D103,INDIRECT("'"&amp;B103&amp;"'!$A$2:$S$999"), 9, 0)</f>
        <v/>
      </c>
      <c r="K103" s="12">
        <f>VLOOKUP(D103,INDIRECT("'"&amp;B103&amp;"'!$A$2:$S$999"), 10, 0)</f>
        <v/>
      </c>
      <c r="L103" s="12">
        <f>VLOOKUP(D103,INDIRECT("'"&amp;B103&amp;"'!$A$2:$S$999"), 11, 0)</f>
        <v/>
      </c>
      <c r="M103" s="12">
        <f>IF((SUM(F103:H103)&lt;0.42),$AA$4,((SUM(F103:H103)*$AA$5)))</f>
        <v/>
      </c>
      <c r="N103" s="12">
        <f>IF((SUM(F103:H103)&lt;0.42),$AB$4,((SUM(F103:H103)*$AB$5)))</f>
        <v/>
      </c>
      <c r="O103" s="12">
        <f>IF((SUM(F103:H103)&lt;0.42),$Z$4,((SUM(F103:H103)*$Z$5)))</f>
        <v/>
      </c>
      <c r="P103" s="12" t="inlineStr">
        <is>
          <t>SGLJNPJ342336E</t>
        </is>
      </c>
      <c r="Q103" s="12">
        <f>D103</f>
        <v/>
      </c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</row>
    <row r="104" ht="18.75" customHeight="1" s="220">
      <c r="A104" s="30">
        <f>B104&amp;D104</f>
        <v/>
      </c>
      <c r="B104" s="215" t="inlineStr">
        <is>
          <t>Ladies Ring</t>
        </is>
      </c>
      <c r="C104" s="12" t="n"/>
      <c r="D104" s="12" t="n">
        <v>275</v>
      </c>
      <c r="E104" s="12">
        <f>VLOOKUP(D104,INDIRECT("'"&amp;B104&amp;"'!$A$2:$S$999"), 2, 0)</f>
        <v/>
      </c>
      <c r="F104" s="12">
        <f>VLOOKUP(D104,INDIRECT("'"&amp;B104&amp;"'!$A$2:$S$999"), 5, 0)</f>
        <v/>
      </c>
      <c r="G104" s="12">
        <f>VLOOKUP(D104,INDIRECT("'"&amp;B104&amp;"'!$A$2:$S$999"), 6, 0)</f>
        <v/>
      </c>
      <c r="H104" s="12">
        <f>VLOOKUP(D104,INDIRECT("'"&amp;B104&amp;"'!$A$2:$S$999"), 7, 0)</f>
        <v/>
      </c>
      <c r="I104" s="12">
        <f>VLOOKUP(D104,INDIRECT("'"&amp;B104&amp;"'!$A$2:$S$999"), 8, 0)</f>
        <v/>
      </c>
      <c r="J104" s="12">
        <f>VLOOKUP(D104,INDIRECT("'"&amp;B104&amp;"'!$A$2:$S$999"), 9, 0)</f>
        <v/>
      </c>
      <c r="K104" s="12">
        <f>VLOOKUP(D104,INDIRECT("'"&amp;B104&amp;"'!$A$2:$S$999"), 10, 0)</f>
        <v/>
      </c>
      <c r="L104" s="12">
        <f>VLOOKUP(D104,INDIRECT("'"&amp;B104&amp;"'!$A$2:$S$999"), 11, 0)</f>
        <v/>
      </c>
      <c r="M104" s="12">
        <f>IF((SUM(F104:H104)&lt;0.42),$AA$4,((SUM(F104:H104)*$AA$5)))</f>
        <v/>
      </c>
      <c r="N104" s="12">
        <f>IF((SUM(F104:H104)&lt;0.42),$AB$4,((SUM(F104:H104)*$AB$5)))</f>
        <v/>
      </c>
      <c r="O104" s="12">
        <f>IF((SUM(F104:H104)&lt;0.42),$Z$4,((SUM(F104:H104)*$Z$5)))</f>
        <v/>
      </c>
      <c r="P104" s="12" t="inlineStr">
        <is>
          <t>SGLJNPJ342337E</t>
        </is>
      </c>
      <c r="Q104" s="12">
        <f>D104</f>
        <v/>
      </c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</row>
    <row r="105" ht="18.75" customHeight="1" s="220">
      <c r="A105" s="30">
        <f>B105&amp;D105</f>
        <v/>
      </c>
      <c r="B105" s="215" t="inlineStr">
        <is>
          <t>Ladies Ring</t>
        </is>
      </c>
      <c r="C105" s="12" t="n"/>
      <c r="D105" s="12" t="n">
        <v>160</v>
      </c>
      <c r="E105" s="12">
        <f>VLOOKUP(D105,INDIRECT("'"&amp;B105&amp;"'!$A$2:$S$999"), 2, 0)</f>
        <v/>
      </c>
      <c r="F105" s="12">
        <f>VLOOKUP(D105,INDIRECT("'"&amp;B105&amp;"'!$A$2:$S$999"), 5, 0)</f>
        <v/>
      </c>
      <c r="G105" s="12">
        <f>VLOOKUP(D105,INDIRECT("'"&amp;B105&amp;"'!$A$2:$S$999"), 6, 0)</f>
        <v/>
      </c>
      <c r="H105" s="12">
        <f>VLOOKUP(D105,INDIRECT("'"&amp;B105&amp;"'!$A$2:$S$999"), 7, 0)</f>
        <v/>
      </c>
      <c r="I105" s="12">
        <f>VLOOKUP(D105,INDIRECT("'"&amp;B105&amp;"'!$A$2:$S$999"), 8, 0)</f>
        <v/>
      </c>
      <c r="J105" s="12">
        <f>VLOOKUP(D105,INDIRECT("'"&amp;B105&amp;"'!$A$2:$S$999"), 9, 0)</f>
        <v/>
      </c>
      <c r="K105" s="12">
        <f>VLOOKUP(D105,INDIRECT("'"&amp;B105&amp;"'!$A$2:$S$999"), 10, 0)</f>
        <v/>
      </c>
      <c r="L105" s="12">
        <f>VLOOKUP(D105,INDIRECT("'"&amp;B105&amp;"'!$A$2:$S$999"), 11, 0)</f>
        <v/>
      </c>
      <c r="M105" s="12">
        <f>IF((SUM(F105:H105)&lt;0.42),$AA$4,((SUM(F105:H105)*$AA$5)))</f>
        <v/>
      </c>
      <c r="N105" s="12">
        <f>IF((SUM(F105:H105)&lt;0.42),$AB$4,((SUM(F105:H105)*$AB$5)))</f>
        <v/>
      </c>
      <c r="O105" s="12">
        <f>IF((SUM(F105:H105)&lt;0.42),$Z$4,((SUM(F105:H105)*$Z$5)))</f>
        <v/>
      </c>
      <c r="P105" s="12" t="inlineStr">
        <is>
          <t>SGLJNPJ342338E</t>
        </is>
      </c>
      <c r="Q105" s="12">
        <f>D105</f>
        <v/>
      </c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</row>
    <row r="106" ht="18.75" customHeight="1" s="220">
      <c r="A106" s="30">
        <f>B106&amp;D106</f>
        <v/>
      </c>
      <c r="B106" s="215" t="inlineStr">
        <is>
          <t>Ladies Ring</t>
        </is>
      </c>
      <c r="C106" s="12" t="n"/>
      <c r="D106" s="12" t="n">
        <v>117</v>
      </c>
      <c r="E106" s="12">
        <f>VLOOKUP(D106,INDIRECT("'"&amp;B106&amp;"'!$A$2:$S$999"), 2, 0)</f>
        <v/>
      </c>
      <c r="F106" s="12">
        <f>VLOOKUP(D106,INDIRECT("'"&amp;B106&amp;"'!$A$2:$S$999"), 5, 0)</f>
        <v/>
      </c>
      <c r="G106" s="12">
        <f>VLOOKUP(D106,INDIRECT("'"&amp;B106&amp;"'!$A$2:$S$999"), 6, 0)</f>
        <v/>
      </c>
      <c r="H106" s="12">
        <f>VLOOKUP(D106,INDIRECT("'"&amp;B106&amp;"'!$A$2:$S$999"), 7, 0)</f>
        <v/>
      </c>
      <c r="I106" s="12">
        <f>VLOOKUP(D106,INDIRECT("'"&amp;B106&amp;"'!$A$2:$S$999"), 8, 0)</f>
        <v/>
      </c>
      <c r="J106" s="12">
        <f>VLOOKUP(D106,INDIRECT("'"&amp;B106&amp;"'!$A$2:$S$999"), 9, 0)</f>
        <v/>
      </c>
      <c r="K106" s="12">
        <f>VLOOKUP(D106,INDIRECT("'"&amp;B106&amp;"'!$A$2:$S$999"), 10, 0)</f>
        <v/>
      </c>
      <c r="L106" s="12">
        <f>VLOOKUP(D106,INDIRECT("'"&amp;B106&amp;"'!$A$2:$S$999"), 11, 0)</f>
        <v/>
      </c>
      <c r="M106" s="12">
        <f>IF((SUM(F106:H106)&lt;0.42),$AA$4,((SUM(F106:H106)*$AA$5)))</f>
        <v/>
      </c>
      <c r="N106" s="12">
        <f>IF((SUM(F106:H106)&lt;0.42),$AB$4,((SUM(F106:H106)*$AB$5)))</f>
        <v/>
      </c>
      <c r="O106" s="12">
        <f>IF((SUM(F106:H106)&lt;0.42),$Z$4,((SUM(F106:H106)*$Z$5)))</f>
        <v/>
      </c>
      <c r="P106" s="12" t="inlineStr">
        <is>
          <t>SGLJNPJ342339E</t>
        </is>
      </c>
      <c r="Q106" s="12">
        <f>D106</f>
        <v/>
      </c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</row>
    <row r="107" ht="18.75" customHeight="1" s="220">
      <c r="A107" s="30">
        <f>B107&amp;D107</f>
        <v/>
      </c>
      <c r="B107" s="215" t="inlineStr">
        <is>
          <t>Ladies Ring</t>
        </is>
      </c>
      <c r="C107" s="12" t="n"/>
      <c r="D107" s="12" t="n">
        <v>356</v>
      </c>
      <c r="E107" s="12">
        <f>VLOOKUP(D107,INDIRECT("'"&amp;B107&amp;"'!$A$2:$S$999"), 2, 0)</f>
        <v/>
      </c>
      <c r="F107" s="12">
        <f>VLOOKUP(D107,INDIRECT("'"&amp;B107&amp;"'!$A$2:$S$999"), 5, 0)</f>
        <v/>
      </c>
      <c r="G107" s="12">
        <f>VLOOKUP(D107,INDIRECT("'"&amp;B107&amp;"'!$A$2:$S$999"), 6, 0)</f>
        <v/>
      </c>
      <c r="H107" s="12">
        <f>VLOOKUP(D107,INDIRECT("'"&amp;B107&amp;"'!$A$2:$S$999"), 7, 0)</f>
        <v/>
      </c>
      <c r="I107" s="12">
        <f>VLOOKUP(D107,INDIRECT("'"&amp;B107&amp;"'!$A$2:$S$999"), 8, 0)</f>
        <v/>
      </c>
      <c r="J107" s="12">
        <f>VLOOKUP(D107,INDIRECT("'"&amp;B107&amp;"'!$A$2:$S$999"), 9, 0)</f>
        <v/>
      </c>
      <c r="K107" s="12">
        <f>VLOOKUP(D107,INDIRECT("'"&amp;B107&amp;"'!$A$2:$S$999"), 10, 0)</f>
        <v/>
      </c>
      <c r="L107" s="12">
        <f>VLOOKUP(D107,INDIRECT("'"&amp;B107&amp;"'!$A$2:$S$999"), 11, 0)</f>
        <v/>
      </c>
      <c r="M107" s="12">
        <f>IF((SUM(F107:H107)&lt;0.42),$AA$4,((SUM(F107:H107)*$AA$5)))</f>
        <v/>
      </c>
      <c r="N107" s="12">
        <f>IF((SUM(F107:H107)&lt;0.42),$AB$4,((SUM(F107:H107)*$AB$5)))</f>
        <v/>
      </c>
      <c r="O107" s="12">
        <f>IF((SUM(F107:H107)&lt;0.42),$Z$4,((SUM(F107:H107)*$Z$5)))</f>
        <v/>
      </c>
      <c r="P107" s="12" t="inlineStr">
        <is>
          <t>SGLJNPJ342340E</t>
        </is>
      </c>
      <c r="Q107" s="12">
        <f>D107</f>
        <v/>
      </c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</row>
    <row r="108" ht="18.75" customHeight="1" s="220">
      <c r="A108" s="30">
        <f>B108&amp;D108</f>
        <v/>
      </c>
      <c r="B108" s="215" t="inlineStr">
        <is>
          <t>Ladies Ring</t>
        </is>
      </c>
      <c r="C108" s="12" t="n"/>
      <c r="D108" s="12" t="n">
        <v>326</v>
      </c>
      <c r="E108" s="12">
        <f>VLOOKUP(D108,INDIRECT("'"&amp;B108&amp;"'!$A$2:$S$999"), 2, 0)</f>
        <v/>
      </c>
      <c r="F108" s="12">
        <f>VLOOKUP(D108,INDIRECT("'"&amp;B108&amp;"'!$A$2:$S$999"), 5, 0)</f>
        <v/>
      </c>
      <c r="G108" s="12">
        <f>VLOOKUP(D108,INDIRECT("'"&amp;B108&amp;"'!$A$2:$S$999"), 6, 0)</f>
        <v/>
      </c>
      <c r="H108" s="12">
        <f>VLOOKUP(D108,INDIRECT("'"&amp;B108&amp;"'!$A$2:$S$999"), 7, 0)</f>
        <v/>
      </c>
      <c r="I108" s="12">
        <f>VLOOKUP(D108,INDIRECT("'"&amp;B108&amp;"'!$A$2:$S$999"), 8, 0)</f>
        <v/>
      </c>
      <c r="J108" s="12">
        <f>VLOOKUP(D108,INDIRECT("'"&amp;B108&amp;"'!$A$2:$S$999"), 9, 0)</f>
        <v/>
      </c>
      <c r="K108" s="12">
        <f>VLOOKUP(D108,INDIRECT("'"&amp;B108&amp;"'!$A$2:$S$999"), 10, 0)</f>
        <v/>
      </c>
      <c r="L108" s="12">
        <f>VLOOKUP(D108,INDIRECT("'"&amp;B108&amp;"'!$A$2:$S$999"), 11, 0)</f>
        <v/>
      </c>
      <c r="M108" s="12">
        <f>IF((SUM(F108:H108)&lt;0.42),$AA$4,((SUM(F108:H108)*$AA$5)))</f>
        <v/>
      </c>
      <c r="N108" s="12">
        <f>IF((SUM(F108:H108)&lt;0.42),$AB$4,((SUM(F108:H108)*$AB$5)))</f>
        <v/>
      </c>
      <c r="O108" s="12">
        <f>IF((SUM(F108:H108)&lt;0.42),$Z$4,((SUM(F108:H108)*$Z$5)))</f>
        <v/>
      </c>
      <c r="P108" s="12" t="inlineStr">
        <is>
          <t>SGLJNPJ342341E</t>
        </is>
      </c>
      <c r="Q108" s="12">
        <f>D108</f>
        <v/>
      </c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</row>
    <row r="109" ht="18.75" customHeight="1" s="220">
      <c r="A109" s="30">
        <f>B109&amp;D109</f>
        <v/>
      </c>
      <c r="B109" s="215" t="inlineStr">
        <is>
          <t>Ladies Ring</t>
        </is>
      </c>
      <c r="C109" s="12" t="n"/>
      <c r="D109" s="12" t="n">
        <v>123</v>
      </c>
      <c r="E109" s="12">
        <f>VLOOKUP(D109,INDIRECT("'"&amp;B109&amp;"'!$A$2:$S$999"), 2, 0)</f>
        <v/>
      </c>
      <c r="F109" s="12">
        <f>VLOOKUP(D109,INDIRECT("'"&amp;B109&amp;"'!$A$2:$S$999"), 5, 0)</f>
        <v/>
      </c>
      <c r="G109" s="12">
        <f>VLOOKUP(D109,INDIRECT("'"&amp;B109&amp;"'!$A$2:$S$999"), 6, 0)</f>
        <v/>
      </c>
      <c r="H109" s="12">
        <f>VLOOKUP(D109,INDIRECT("'"&amp;B109&amp;"'!$A$2:$S$999"), 7, 0)</f>
        <v/>
      </c>
      <c r="I109" s="12">
        <f>VLOOKUP(D109,INDIRECT("'"&amp;B109&amp;"'!$A$2:$S$999"), 8, 0)</f>
        <v/>
      </c>
      <c r="J109" s="12">
        <f>VLOOKUP(D109,INDIRECT("'"&amp;B109&amp;"'!$A$2:$S$999"), 9, 0)</f>
        <v/>
      </c>
      <c r="K109" s="12">
        <f>VLOOKUP(D109,INDIRECT("'"&amp;B109&amp;"'!$A$2:$S$999"), 10, 0)</f>
        <v/>
      </c>
      <c r="L109" s="12">
        <f>VLOOKUP(D109,INDIRECT("'"&amp;B109&amp;"'!$A$2:$S$999"), 11, 0)</f>
        <v/>
      </c>
      <c r="M109" s="12">
        <f>IF((SUM(F109:H109)&lt;0.42),$AA$4,((SUM(F109:H109)*$AA$5)))</f>
        <v/>
      </c>
      <c r="N109" s="12">
        <f>IF((SUM(F109:H109)&lt;0.42),$AB$4,((SUM(F109:H109)*$AB$5)))</f>
        <v/>
      </c>
      <c r="O109" s="12">
        <f>IF((SUM(F109:H109)&lt;0.42),$Z$4,((SUM(F109:H109)*$Z$5)))</f>
        <v/>
      </c>
      <c r="P109" s="12" t="inlineStr">
        <is>
          <t>SGLJNPJ342342E</t>
        </is>
      </c>
      <c r="Q109" s="12">
        <f>D109</f>
        <v/>
      </c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</row>
    <row r="110" ht="18.75" customHeight="1" s="220">
      <c r="A110" s="30">
        <f>B110&amp;D110</f>
        <v/>
      </c>
      <c r="B110" s="215" t="inlineStr">
        <is>
          <t>Ladies Ring</t>
        </is>
      </c>
      <c r="C110" s="12" t="n"/>
      <c r="D110" s="12" t="n">
        <v>362</v>
      </c>
      <c r="E110" s="12">
        <f>VLOOKUP(D110,INDIRECT("'"&amp;B110&amp;"'!$A$2:$S$999"), 2, 0)</f>
        <v/>
      </c>
      <c r="F110" s="12">
        <f>VLOOKUP(D110,INDIRECT("'"&amp;B110&amp;"'!$A$2:$S$999"), 5, 0)</f>
        <v/>
      </c>
      <c r="G110" s="12">
        <f>VLOOKUP(D110,INDIRECT("'"&amp;B110&amp;"'!$A$2:$S$999"), 6, 0)</f>
        <v/>
      </c>
      <c r="H110" s="12">
        <f>VLOOKUP(D110,INDIRECT("'"&amp;B110&amp;"'!$A$2:$S$999"), 7, 0)</f>
        <v/>
      </c>
      <c r="I110" s="12">
        <f>VLOOKUP(D110,INDIRECT("'"&amp;B110&amp;"'!$A$2:$S$999"), 8, 0)</f>
        <v/>
      </c>
      <c r="J110" s="12">
        <f>VLOOKUP(D110,INDIRECT("'"&amp;B110&amp;"'!$A$2:$S$999"), 9, 0)</f>
        <v/>
      </c>
      <c r="K110" s="12">
        <f>VLOOKUP(D110,INDIRECT("'"&amp;B110&amp;"'!$A$2:$S$999"), 10, 0)</f>
        <v/>
      </c>
      <c r="L110" s="12">
        <f>VLOOKUP(D110,INDIRECT("'"&amp;B110&amp;"'!$A$2:$S$999"), 11, 0)</f>
        <v/>
      </c>
      <c r="M110" s="12">
        <f>IF((SUM(F110:H110)&lt;0.42),$AA$4,((SUM(F110:H110)*$AA$5)))</f>
        <v/>
      </c>
      <c r="N110" s="12">
        <f>IF((SUM(F110:H110)&lt;0.42),$AB$4,((SUM(F110:H110)*$AB$5)))</f>
        <v/>
      </c>
      <c r="O110" s="12">
        <f>IF((SUM(F110:H110)&lt;0.42),$Z$4,((SUM(F110:H110)*$Z$5)))</f>
        <v/>
      </c>
      <c r="P110" s="12" t="inlineStr">
        <is>
          <t>SGLJNPJ342343E</t>
        </is>
      </c>
      <c r="Q110" s="12">
        <f>D110</f>
        <v/>
      </c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</row>
    <row r="111" ht="18.75" customHeight="1" s="220">
      <c r="A111" s="30">
        <f>B111&amp;D111</f>
        <v/>
      </c>
      <c r="B111" s="215" t="inlineStr">
        <is>
          <t>Ladies Ring</t>
        </is>
      </c>
      <c r="C111" s="12" t="n"/>
      <c r="D111" s="12" t="n">
        <v>351</v>
      </c>
      <c r="E111" s="12">
        <f>VLOOKUP(D111,INDIRECT("'"&amp;B111&amp;"'!$A$2:$S$999"), 2, 0)</f>
        <v/>
      </c>
      <c r="F111" s="12">
        <f>VLOOKUP(D111,INDIRECT("'"&amp;B111&amp;"'!$A$2:$S$999"), 5, 0)</f>
        <v/>
      </c>
      <c r="G111" s="12">
        <f>VLOOKUP(D111,INDIRECT("'"&amp;B111&amp;"'!$A$2:$S$999"), 6, 0)</f>
        <v/>
      </c>
      <c r="H111" s="12">
        <f>VLOOKUP(D111,INDIRECT("'"&amp;B111&amp;"'!$A$2:$S$999"), 7, 0)</f>
        <v/>
      </c>
      <c r="I111" s="12">
        <f>VLOOKUP(D111,INDIRECT("'"&amp;B111&amp;"'!$A$2:$S$999"), 8, 0)</f>
        <v/>
      </c>
      <c r="J111" s="12">
        <f>VLOOKUP(D111,INDIRECT("'"&amp;B111&amp;"'!$A$2:$S$999"), 9, 0)</f>
        <v/>
      </c>
      <c r="K111" s="12">
        <f>VLOOKUP(D111,INDIRECT("'"&amp;B111&amp;"'!$A$2:$S$999"), 10, 0)</f>
        <v/>
      </c>
      <c r="L111" s="12">
        <f>VLOOKUP(D111,INDIRECT("'"&amp;B111&amp;"'!$A$2:$S$999"), 11, 0)</f>
        <v/>
      </c>
      <c r="M111" s="12">
        <f>IF((SUM(F111:H111)&lt;0.42),$AA$4,((SUM(F111:H111)*$AA$5)))</f>
        <v/>
      </c>
      <c r="N111" s="12">
        <f>IF((SUM(F111:H111)&lt;0.42),$AB$4,((SUM(F111:H111)*$AB$5)))</f>
        <v/>
      </c>
      <c r="O111" s="12">
        <f>IF((SUM(F111:H111)&lt;0.42),$Z$4,((SUM(F111:H111)*$Z$5)))</f>
        <v/>
      </c>
      <c r="P111" s="12" t="inlineStr">
        <is>
          <t>SGLJNPJ342344E</t>
        </is>
      </c>
      <c r="Q111" s="12">
        <f>D111</f>
        <v/>
      </c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</row>
    <row r="112" ht="18.75" customHeight="1" s="220">
      <c r="A112" s="30">
        <f>B112&amp;D112</f>
        <v/>
      </c>
      <c r="B112" s="215" t="inlineStr">
        <is>
          <t>Ladies Ring</t>
        </is>
      </c>
      <c r="C112" s="12" t="n"/>
      <c r="D112" s="12" t="n">
        <v>251</v>
      </c>
      <c r="E112" s="12">
        <f>VLOOKUP(D112,INDIRECT("'"&amp;B112&amp;"'!$A$2:$S$999"), 2, 0)</f>
        <v/>
      </c>
      <c r="F112" s="12">
        <f>VLOOKUP(D112,INDIRECT("'"&amp;B112&amp;"'!$A$2:$S$999"), 5, 0)</f>
        <v/>
      </c>
      <c r="G112" s="12">
        <f>VLOOKUP(D112,INDIRECT("'"&amp;B112&amp;"'!$A$2:$S$999"), 6, 0)</f>
        <v/>
      </c>
      <c r="H112" s="12">
        <f>VLOOKUP(D112,INDIRECT("'"&amp;B112&amp;"'!$A$2:$S$999"), 7, 0)</f>
        <v/>
      </c>
      <c r="I112" s="12">
        <f>VLOOKUP(D112,INDIRECT("'"&amp;B112&amp;"'!$A$2:$S$999"), 8, 0)</f>
        <v/>
      </c>
      <c r="J112" s="12">
        <f>VLOOKUP(D112,INDIRECT("'"&amp;B112&amp;"'!$A$2:$S$999"), 9, 0)</f>
        <v/>
      </c>
      <c r="K112" s="12">
        <f>VLOOKUP(D112,INDIRECT("'"&amp;B112&amp;"'!$A$2:$S$999"), 10, 0)</f>
        <v/>
      </c>
      <c r="L112" s="12">
        <f>VLOOKUP(D112,INDIRECT("'"&amp;B112&amp;"'!$A$2:$S$999"), 11, 0)</f>
        <v/>
      </c>
      <c r="M112" s="12">
        <f>IF((SUM(F112:H112)&lt;0.42),$AA$4,((SUM(F112:H112)*$AA$5)))</f>
        <v/>
      </c>
      <c r="N112" s="12">
        <f>IF((SUM(F112:H112)&lt;0.42),$AB$4,((SUM(F112:H112)*$AB$5)))</f>
        <v/>
      </c>
      <c r="O112" s="12">
        <f>IF((SUM(F112:H112)&lt;0.42),$Z$4,((SUM(F112:H112)*$Z$5)))</f>
        <v/>
      </c>
      <c r="P112" s="12" t="inlineStr">
        <is>
          <t>SGLJNPJ342345E</t>
        </is>
      </c>
      <c r="Q112" s="12">
        <f>D112</f>
        <v/>
      </c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</row>
    <row r="113" ht="18.75" customHeight="1" s="220">
      <c r="A113" s="30">
        <f>B113&amp;D113</f>
        <v/>
      </c>
      <c r="B113" s="215" t="inlineStr">
        <is>
          <t>Ladies Ring</t>
        </is>
      </c>
      <c r="C113" s="12" t="n"/>
      <c r="D113" s="12" t="n">
        <v>315</v>
      </c>
      <c r="E113" s="12">
        <f>VLOOKUP(D113,INDIRECT("'"&amp;B113&amp;"'!$A$2:$S$999"), 2, 0)</f>
        <v/>
      </c>
      <c r="F113" s="12">
        <f>VLOOKUP(D113,INDIRECT("'"&amp;B113&amp;"'!$A$2:$S$999"), 5, 0)</f>
        <v/>
      </c>
      <c r="G113" s="12">
        <f>VLOOKUP(D113,INDIRECT("'"&amp;B113&amp;"'!$A$2:$S$999"), 6, 0)</f>
        <v/>
      </c>
      <c r="H113" s="12">
        <f>VLOOKUP(D113,INDIRECT("'"&amp;B113&amp;"'!$A$2:$S$999"), 7, 0)</f>
        <v/>
      </c>
      <c r="I113" s="12">
        <f>VLOOKUP(D113,INDIRECT("'"&amp;B113&amp;"'!$A$2:$S$999"), 8, 0)</f>
        <v/>
      </c>
      <c r="J113" s="12">
        <f>VLOOKUP(D113,INDIRECT("'"&amp;B113&amp;"'!$A$2:$S$999"), 9, 0)</f>
        <v/>
      </c>
      <c r="K113" s="12">
        <f>VLOOKUP(D113,INDIRECT("'"&amp;B113&amp;"'!$A$2:$S$999"), 10, 0)</f>
        <v/>
      </c>
      <c r="L113" s="12">
        <f>VLOOKUP(D113,INDIRECT("'"&amp;B113&amp;"'!$A$2:$S$999"), 11, 0)</f>
        <v/>
      </c>
      <c r="M113" s="12">
        <f>IF((SUM(F113:H113)&lt;0.42),$AA$4,((SUM(F113:H113)*$AA$5)))</f>
        <v/>
      </c>
      <c r="N113" s="12">
        <f>IF((SUM(F113:H113)&lt;0.42),$AB$4,((SUM(F113:H113)*$AB$5)))</f>
        <v/>
      </c>
      <c r="O113" s="12">
        <f>IF((SUM(F113:H113)&lt;0.42),$Z$4,((SUM(F113:H113)*$Z$5)))</f>
        <v/>
      </c>
      <c r="P113" s="12" t="inlineStr">
        <is>
          <t>SGLJNPJ342346E</t>
        </is>
      </c>
      <c r="Q113" s="12">
        <f>D113</f>
        <v/>
      </c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</row>
    <row r="114" ht="18.75" customHeight="1" s="220">
      <c r="A114" s="30">
        <f>B114&amp;D114</f>
        <v/>
      </c>
      <c r="B114" s="215" t="inlineStr">
        <is>
          <t>Ladies Ring</t>
        </is>
      </c>
      <c r="C114" s="12" t="n"/>
      <c r="D114" s="12" t="n">
        <v>99</v>
      </c>
      <c r="E114" s="12">
        <f>VLOOKUP(D114,INDIRECT("'"&amp;B114&amp;"'!$A$2:$S$999"), 2, 0)</f>
        <v/>
      </c>
      <c r="F114" s="12">
        <f>VLOOKUP(D114,INDIRECT("'"&amp;B114&amp;"'!$A$2:$S$999"), 5, 0)</f>
        <v/>
      </c>
      <c r="G114" s="12">
        <f>VLOOKUP(D114,INDIRECT("'"&amp;B114&amp;"'!$A$2:$S$999"), 6, 0)</f>
        <v/>
      </c>
      <c r="H114" s="12">
        <f>VLOOKUP(D114,INDIRECT("'"&amp;B114&amp;"'!$A$2:$S$999"), 7, 0)</f>
        <v/>
      </c>
      <c r="I114" s="12">
        <f>VLOOKUP(D114,INDIRECT("'"&amp;B114&amp;"'!$A$2:$S$999"), 8, 0)</f>
        <v/>
      </c>
      <c r="J114" s="12">
        <f>VLOOKUP(D114,INDIRECT("'"&amp;B114&amp;"'!$A$2:$S$999"), 9, 0)</f>
        <v/>
      </c>
      <c r="K114" s="12">
        <f>VLOOKUP(D114,INDIRECT("'"&amp;B114&amp;"'!$A$2:$S$999"), 10, 0)</f>
        <v/>
      </c>
      <c r="L114" s="12">
        <f>VLOOKUP(D114,INDIRECT("'"&amp;B114&amp;"'!$A$2:$S$999"), 11, 0)</f>
        <v/>
      </c>
      <c r="M114" s="12">
        <f>IF((SUM(F114:H114)&lt;0.42),$AA$4,((SUM(F114:H114)*$AA$5)))</f>
        <v/>
      </c>
      <c r="N114" s="12">
        <f>IF((SUM(F114:H114)&lt;0.42),$AB$4,((SUM(F114:H114)*$AB$5)))</f>
        <v/>
      </c>
      <c r="O114" s="12">
        <f>IF((SUM(F114:H114)&lt;0.42),$Z$4,((SUM(F114:H114)*$Z$5)))</f>
        <v/>
      </c>
      <c r="P114" s="12" t="inlineStr">
        <is>
          <t>SGLJNPJ342347E</t>
        </is>
      </c>
      <c r="Q114" s="12">
        <f>D114</f>
        <v/>
      </c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</row>
    <row r="115" ht="18.75" customHeight="1" s="220">
      <c r="A115" s="30">
        <f>B115&amp;D115</f>
        <v/>
      </c>
      <c r="B115" s="215" t="inlineStr">
        <is>
          <t>Ladies Ring</t>
        </is>
      </c>
      <c r="C115" s="12" t="n"/>
      <c r="D115" s="12" t="n">
        <v>207</v>
      </c>
      <c r="E115" s="12">
        <f>VLOOKUP(D115,INDIRECT("'"&amp;B115&amp;"'!$A$2:$S$999"), 2, 0)</f>
        <v/>
      </c>
      <c r="F115" s="12">
        <f>VLOOKUP(D115,INDIRECT("'"&amp;B115&amp;"'!$A$2:$S$999"), 5, 0)</f>
        <v/>
      </c>
      <c r="G115" s="12">
        <f>VLOOKUP(D115,INDIRECT("'"&amp;B115&amp;"'!$A$2:$S$999"), 6, 0)</f>
        <v/>
      </c>
      <c r="H115" s="12">
        <f>VLOOKUP(D115,INDIRECT("'"&amp;B115&amp;"'!$A$2:$S$999"), 7, 0)</f>
        <v/>
      </c>
      <c r="I115" s="12">
        <f>VLOOKUP(D115,INDIRECT("'"&amp;B115&amp;"'!$A$2:$S$999"), 8, 0)</f>
        <v/>
      </c>
      <c r="J115" s="12">
        <f>VLOOKUP(D115,INDIRECT("'"&amp;B115&amp;"'!$A$2:$S$999"), 9, 0)</f>
        <v/>
      </c>
      <c r="K115" s="12">
        <f>VLOOKUP(D115,INDIRECT("'"&amp;B115&amp;"'!$A$2:$S$999"), 10, 0)</f>
        <v/>
      </c>
      <c r="L115" s="12">
        <f>VLOOKUP(D115,INDIRECT("'"&amp;B115&amp;"'!$A$2:$S$999"), 11, 0)</f>
        <v/>
      </c>
      <c r="M115" s="12">
        <f>IF((SUM(F115:H115)&lt;0.42),$AA$4,((SUM(F115:H115)*$AA$5)))</f>
        <v/>
      </c>
      <c r="N115" s="12">
        <f>IF((SUM(F115:H115)&lt;0.42),$AB$4,((SUM(F115:H115)*$AB$5)))</f>
        <v/>
      </c>
      <c r="O115" s="12">
        <f>IF((SUM(F115:H115)&lt;0.42),$Z$4,((SUM(F115:H115)*$Z$5)))</f>
        <v/>
      </c>
      <c r="P115" s="12" t="inlineStr">
        <is>
          <t>SGLJNPJ342348E</t>
        </is>
      </c>
      <c r="Q115" s="12">
        <f>D115</f>
        <v/>
      </c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</row>
    <row r="116" ht="18.75" customHeight="1" s="220">
      <c r="A116" s="30">
        <f>B116&amp;D116</f>
        <v/>
      </c>
      <c r="B116" s="215" t="inlineStr">
        <is>
          <t>Ladies Ring</t>
        </is>
      </c>
      <c r="C116" s="12" t="n"/>
      <c r="D116" s="12" t="n">
        <v>11</v>
      </c>
      <c r="E116" s="12">
        <f>VLOOKUP(D116,INDIRECT("'"&amp;B116&amp;"'!$A$2:$S$999"), 2, 0)</f>
        <v/>
      </c>
      <c r="F116" s="12">
        <f>VLOOKUP(D116,INDIRECT("'"&amp;B116&amp;"'!$A$2:$S$999"), 5, 0)</f>
        <v/>
      </c>
      <c r="G116" s="12">
        <f>VLOOKUP(D116,INDIRECT("'"&amp;B116&amp;"'!$A$2:$S$999"), 6, 0)</f>
        <v/>
      </c>
      <c r="H116" s="12">
        <f>VLOOKUP(D116,INDIRECT("'"&amp;B116&amp;"'!$A$2:$S$999"), 7, 0)</f>
        <v/>
      </c>
      <c r="I116" s="12">
        <f>VLOOKUP(D116,INDIRECT("'"&amp;B116&amp;"'!$A$2:$S$999"), 8, 0)</f>
        <v/>
      </c>
      <c r="J116" s="12">
        <f>VLOOKUP(D116,INDIRECT("'"&amp;B116&amp;"'!$A$2:$S$999"), 9, 0)</f>
        <v/>
      </c>
      <c r="K116" s="12">
        <f>VLOOKUP(D116,INDIRECT("'"&amp;B116&amp;"'!$A$2:$S$999"), 10, 0)</f>
        <v/>
      </c>
      <c r="L116" s="12">
        <f>VLOOKUP(D116,INDIRECT("'"&amp;B116&amp;"'!$A$2:$S$999"), 11, 0)</f>
        <v/>
      </c>
      <c r="M116" s="12">
        <f>IF((SUM(F116:H116)&lt;0.42),$AA$4,((SUM(F116:H116)*$AA$5)))</f>
        <v/>
      </c>
      <c r="N116" s="12">
        <f>IF((SUM(F116:H116)&lt;0.42),$AB$4,((SUM(F116:H116)*$AB$5)))</f>
        <v/>
      </c>
      <c r="O116" s="12">
        <f>IF((SUM(F116:H116)&lt;0.42),$Z$4,((SUM(F116:H116)*$Z$5)))</f>
        <v/>
      </c>
      <c r="P116" s="12" t="inlineStr">
        <is>
          <t>SGLJNPJ342349E</t>
        </is>
      </c>
      <c r="Q116" s="12">
        <f>D116</f>
        <v/>
      </c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</row>
    <row r="117" ht="18.75" customHeight="1" s="220">
      <c r="A117" s="30">
        <f>B117&amp;D117</f>
        <v/>
      </c>
      <c r="B117" s="215" t="inlineStr">
        <is>
          <t>Ladies Ring</t>
        </is>
      </c>
      <c r="C117" s="12" t="n"/>
      <c r="D117" s="12" t="n">
        <v>116</v>
      </c>
      <c r="E117" s="12">
        <f>VLOOKUP(D117,INDIRECT("'"&amp;B117&amp;"'!$A$2:$S$999"), 2, 0)</f>
        <v/>
      </c>
      <c r="F117" s="12">
        <f>VLOOKUP(D117,INDIRECT("'"&amp;B117&amp;"'!$A$2:$S$999"), 5, 0)</f>
        <v/>
      </c>
      <c r="G117" s="12">
        <f>VLOOKUP(D117,INDIRECT("'"&amp;B117&amp;"'!$A$2:$S$999"), 6, 0)</f>
        <v/>
      </c>
      <c r="H117" s="12">
        <f>VLOOKUP(D117,INDIRECT("'"&amp;B117&amp;"'!$A$2:$S$999"), 7, 0)</f>
        <v/>
      </c>
      <c r="I117" s="12">
        <f>VLOOKUP(D117,INDIRECT("'"&amp;B117&amp;"'!$A$2:$S$999"), 8, 0)</f>
        <v/>
      </c>
      <c r="J117" s="12">
        <f>VLOOKUP(D117,INDIRECT("'"&amp;B117&amp;"'!$A$2:$S$999"), 9, 0)</f>
        <v/>
      </c>
      <c r="K117" s="12">
        <f>VLOOKUP(D117,INDIRECT("'"&amp;B117&amp;"'!$A$2:$S$999"), 10, 0)</f>
        <v/>
      </c>
      <c r="L117" s="12">
        <f>VLOOKUP(D117,INDIRECT("'"&amp;B117&amp;"'!$A$2:$S$999"), 11, 0)</f>
        <v/>
      </c>
      <c r="M117" s="12">
        <f>IF((SUM(F117:H117)&lt;0.42),$AA$4,((SUM(F117:H117)*$AA$5)))</f>
        <v/>
      </c>
      <c r="N117" s="12">
        <f>IF((SUM(F117:H117)&lt;0.42),$AB$4,((SUM(F117:H117)*$AB$5)))</f>
        <v/>
      </c>
      <c r="O117" s="12">
        <f>IF((SUM(F117:H117)&lt;0.42),$Z$4,((SUM(F117:H117)*$Z$5)))</f>
        <v/>
      </c>
      <c r="P117" s="12" t="inlineStr">
        <is>
          <t>SGLJNPJ342350E</t>
        </is>
      </c>
      <c r="Q117" s="12">
        <f>D117</f>
        <v/>
      </c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</row>
    <row r="118" ht="18.75" customHeight="1" s="220">
      <c r="A118" s="30">
        <f>B118&amp;D118</f>
        <v/>
      </c>
      <c r="B118" s="215" t="inlineStr">
        <is>
          <t>Ladies Ring</t>
        </is>
      </c>
      <c r="C118" s="12" t="n"/>
      <c r="D118" s="12" t="n">
        <v>197</v>
      </c>
      <c r="E118" s="12">
        <f>VLOOKUP(D118,INDIRECT("'"&amp;B118&amp;"'!$A$2:$S$999"), 2, 0)</f>
        <v/>
      </c>
      <c r="F118" s="12">
        <f>VLOOKUP(D118,INDIRECT("'"&amp;B118&amp;"'!$A$2:$S$999"), 5, 0)</f>
        <v/>
      </c>
      <c r="G118" s="12">
        <f>VLOOKUP(D118,INDIRECT("'"&amp;B118&amp;"'!$A$2:$S$999"), 6, 0)</f>
        <v/>
      </c>
      <c r="H118" s="12">
        <f>VLOOKUP(D118,INDIRECT("'"&amp;B118&amp;"'!$A$2:$S$999"), 7, 0)</f>
        <v/>
      </c>
      <c r="I118" s="12">
        <f>VLOOKUP(D118,INDIRECT("'"&amp;B118&amp;"'!$A$2:$S$999"), 8, 0)</f>
        <v/>
      </c>
      <c r="J118" s="12">
        <f>VLOOKUP(D118,INDIRECT("'"&amp;B118&amp;"'!$A$2:$S$999"), 9, 0)</f>
        <v/>
      </c>
      <c r="K118" s="12">
        <f>VLOOKUP(D118,INDIRECT("'"&amp;B118&amp;"'!$A$2:$S$999"), 10, 0)</f>
        <v/>
      </c>
      <c r="L118" s="12">
        <f>VLOOKUP(D118,INDIRECT("'"&amp;B118&amp;"'!$A$2:$S$999"), 11, 0)</f>
        <v/>
      </c>
      <c r="M118" s="12">
        <f>IF((SUM(F118:H118)&lt;0.42),$AA$4,((SUM(F118:H118)*$AA$5)))</f>
        <v/>
      </c>
      <c r="N118" s="12">
        <f>IF((SUM(F118:H118)&lt;0.42),$AB$4,((SUM(F118:H118)*$AB$5)))</f>
        <v/>
      </c>
      <c r="O118" s="12">
        <f>IF((SUM(F118:H118)&lt;0.42),$Z$4,((SUM(F118:H118)*$Z$5)))</f>
        <v/>
      </c>
      <c r="P118" s="12" t="inlineStr">
        <is>
          <t>SGLJNPJ342351E</t>
        </is>
      </c>
      <c r="Q118" s="12">
        <f>D118</f>
        <v/>
      </c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</row>
    <row r="119" ht="18.75" customHeight="1" s="220">
      <c r="A119" s="30">
        <f>B119&amp;D119</f>
        <v/>
      </c>
      <c r="B119" s="215" t="inlineStr">
        <is>
          <t>Ladies Ring</t>
        </is>
      </c>
      <c r="C119" s="12" t="n"/>
      <c r="D119" s="12" t="n">
        <v>208</v>
      </c>
      <c r="E119" s="12">
        <f>VLOOKUP(D119,INDIRECT("'"&amp;B119&amp;"'!$A$2:$S$999"), 2, 0)</f>
        <v/>
      </c>
      <c r="F119" s="12">
        <f>VLOOKUP(D119,INDIRECT("'"&amp;B119&amp;"'!$A$2:$S$999"), 5, 0)</f>
        <v/>
      </c>
      <c r="G119" s="12">
        <f>VLOOKUP(D119,INDIRECT("'"&amp;B119&amp;"'!$A$2:$S$999"), 6, 0)</f>
        <v/>
      </c>
      <c r="H119" s="12">
        <f>VLOOKUP(D119,INDIRECT("'"&amp;B119&amp;"'!$A$2:$S$999"), 7, 0)</f>
        <v/>
      </c>
      <c r="I119" s="12">
        <f>VLOOKUP(D119,INDIRECT("'"&amp;B119&amp;"'!$A$2:$S$999"), 8, 0)</f>
        <v/>
      </c>
      <c r="J119" s="12">
        <f>VLOOKUP(D119,INDIRECT("'"&amp;B119&amp;"'!$A$2:$S$999"), 9, 0)</f>
        <v/>
      </c>
      <c r="K119" s="12">
        <f>VLOOKUP(D119,INDIRECT("'"&amp;B119&amp;"'!$A$2:$S$999"), 10, 0)</f>
        <v/>
      </c>
      <c r="L119" s="12">
        <f>VLOOKUP(D119,INDIRECT("'"&amp;B119&amp;"'!$A$2:$S$999"), 11, 0)</f>
        <v/>
      </c>
      <c r="M119" s="12">
        <f>IF((SUM(F119:H119)&lt;0.42),$AA$4,((SUM(F119:H119)*$AA$5)))</f>
        <v/>
      </c>
      <c r="N119" s="12">
        <f>IF((SUM(F119:H119)&lt;0.42),$AB$4,((SUM(F119:H119)*$AB$5)))</f>
        <v/>
      </c>
      <c r="O119" s="12">
        <f>IF((SUM(F119:H119)&lt;0.42),$Z$4,((SUM(F119:H119)*$Z$5)))</f>
        <v/>
      </c>
      <c r="P119" s="12" t="inlineStr">
        <is>
          <t>SGLJNPJ342352E</t>
        </is>
      </c>
      <c r="Q119" s="12">
        <f>D119</f>
        <v/>
      </c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</row>
    <row r="120" ht="18.75" customHeight="1" s="220">
      <c r="A120" s="30">
        <f>B120&amp;D120</f>
        <v/>
      </c>
      <c r="B120" s="215" t="inlineStr">
        <is>
          <t>Ladies Ring</t>
        </is>
      </c>
      <c r="C120" s="12" t="n"/>
      <c r="D120" s="12" t="n">
        <v>357</v>
      </c>
      <c r="E120" s="12">
        <f>VLOOKUP(D120,INDIRECT("'"&amp;B120&amp;"'!$A$2:$S$999"), 2, 0)</f>
        <v/>
      </c>
      <c r="F120" s="12">
        <f>VLOOKUP(D120,INDIRECT("'"&amp;B120&amp;"'!$A$2:$S$999"), 5, 0)</f>
        <v/>
      </c>
      <c r="G120" s="12">
        <f>VLOOKUP(D120,INDIRECT("'"&amp;B120&amp;"'!$A$2:$S$999"), 6, 0)</f>
        <v/>
      </c>
      <c r="H120" s="12">
        <f>VLOOKUP(D120,INDIRECT("'"&amp;B120&amp;"'!$A$2:$S$999"), 7, 0)</f>
        <v/>
      </c>
      <c r="I120" s="12">
        <f>VLOOKUP(D120,INDIRECT("'"&amp;B120&amp;"'!$A$2:$S$999"), 8, 0)</f>
        <v/>
      </c>
      <c r="J120" s="12">
        <f>VLOOKUP(D120,INDIRECT("'"&amp;B120&amp;"'!$A$2:$S$999"), 9, 0)</f>
        <v/>
      </c>
      <c r="K120" s="12">
        <f>VLOOKUP(D120,INDIRECT("'"&amp;B120&amp;"'!$A$2:$S$999"), 10, 0)</f>
        <v/>
      </c>
      <c r="L120" s="12">
        <f>VLOOKUP(D120,INDIRECT("'"&amp;B120&amp;"'!$A$2:$S$999"), 11, 0)</f>
        <v/>
      </c>
      <c r="M120" s="12">
        <f>IF((SUM(F120:H120)&lt;0.42),$AA$4,((SUM(F120:H120)*$AA$5)))</f>
        <v/>
      </c>
      <c r="N120" s="12">
        <f>IF((SUM(F120:H120)&lt;0.42),$AB$4,((SUM(F120:H120)*$AB$5)))</f>
        <v/>
      </c>
      <c r="O120" s="12">
        <f>IF((SUM(F120:H120)&lt;0.42),$Z$4,((SUM(F120:H120)*$Z$5)))</f>
        <v/>
      </c>
      <c r="P120" s="12" t="inlineStr">
        <is>
          <t>SGLJNPJ342353E</t>
        </is>
      </c>
      <c r="Q120" s="12">
        <f>D120</f>
        <v/>
      </c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</row>
    <row r="121" ht="18.75" customHeight="1" s="220">
      <c r="A121" s="30">
        <f>B121&amp;D121</f>
        <v/>
      </c>
      <c r="B121" s="215" t="inlineStr">
        <is>
          <t>Ladies Ring</t>
        </is>
      </c>
      <c r="C121" s="12" t="n"/>
      <c r="D121" s="12" t="n">
        <v>361</v>
      </c>
      <c r="E121" s="12">
        <f>VLOOKUP(D121,INDIRECT("'"&amp;B121&amp;"'!$A$2:$S$999"), 2, 0)</f>
        <v/>
      </c>
      <c r="F121" s="12">
        <f>VLOOKUP(D121,INDIRECT("'"&amp;B121&amp;"'!$A$2:$S$999"), 5, 0)</f>
        <v/>
      </c>
      <c r="G121" s="12">
        <f>VLOOKUP(D121,INDIRECT("'"&amp;B121&amp;"'!$A$2:$S$999"), 6, 0)</f>
        <v/>
      </c>
      <c r="H121" s="12">
        <f>VLOOKUP(D121,INDIRECT("'"&amp;B121&amp;"'!$A$2:$S$999"), 7, 0)</f>
        <v/>
      </c>
      <c r="I121" s="12">
        <f>VLOOKUP(D121,INDIRECT("'"&amp;B121&amp;"'!$A$2:$S$999"), 8, 0)</f>
        <v/>
      </c>
      <c r="J121" s="12">
        <f>VLOOKUP(D121,INDIRECT("'"&amp;B121&amp;"'!$A$2:$S$999"), 9, 0)</f>
        <v/>
      </c>
      <c r="K121" s="12">
        <f>VLOOKUP(D121,INDIRECT("'"&amp;B121&amp;"'!$A$2:$S$999"), 10, 0)</f>
        <v/>
      </c>
      <c r="L121" s="12">
        <f>VLOOKUP(D121,INDIRECT("'"&amp;B121&amp;"'!$A$2:$S$999"), 11, 0)</f>
        <v/>
      </c>
      <c r="M121" s="12">
        <f>IF((SUM(F121:H121)&lt;0.42),$AA$4,((SUM(F121:H121)*$AA$5)))</f>
        <v/>
      </c>
      <c r="N121" s="12">
        <f>IF((SUM(F121:H121)&lt;0.42),$AB$4,((SUM(F121:H121)*$AB$5)))</f>
        <v/>
      </c>
      <c r="O121" s="12">
        <f>IF((SUM(F121:H121)&lt;0.42),$Z$4,((SUM(F121:H121)*$Z$5)))</f>
        <v/>
      </c>
      <c r="P121" s="12" t="inlineStr">
        <is>
          <t>SGLJNPJ342354E</t>
        </is>
      </c>
      <c r="Q121" s="12">
        <f>D121</f>
        <v/>
      </c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</row>
    <row r="122" ht="18.75" customHeight="1" s="220">
      <c r="A122" s="30">
        <f>B122&amp;D122</f>
        <v/>
      </c>
      <c r="B122" s="215" t="inlineStr">
        <is>
          <t>Ladies Ring</t>
        </is>
      </c>
      <c r="C122" s="12" t="n"/>
      <c r="D122" s="12" t="n">
        <v>165</v>
      </c>
      <c r="E122" s="12">
        <f>VLOOKUP(D122,INDIRECT("'"&amp;B122&amp;"'!$A$2:$S$999"), 2, 0)</f>
        <v/>
      </c>
      <c r="F122" s="12">
        <f>VLOOKUP(D122,INDIRECT("'"&amp;B122&amp;"'!$A$2:$S$999"), 5, 0)</f>
        <v/>
      </c>
      <c r="G122" s="12">
        <f>VLOOKUP(D122,INDIRECT("'"&amp;B122&amp;"'!$A$2:$S$999"), 6, 0)</f>
        <v/>
      </c>
      <c r="H122" s="12">
        <f>VLOOKUP(D122,INDIRECT("'"&amp;B122&amp;"'!$A$2:$S$999"), 7, 0)</f>
        <v/>
      </c>
      <c r="I122" s="12">
        <f>VLOOKUP(D122,INDIRECT("'"&amp;B122&amp;"'!$A$2:$S$999"), 8, 0)</f>
        <v/>
      </c>
      <c r="J122" s="12">
        <f>VLOOKUP(D122,INDIRECT("'"&amp;B122&amp;"'!$A$2:$S$999"), 9, 0)</f>
        <v/>
      </c>
      <c r="K122" s="12">
        <f>VLOOKUP(D122,INDIRECT("'"&amp;B122&amp;"'!$A$2:$S$999"), 10, 0)</f>
        <v/>
      </c>
      <c r="L122" s="12">
        <f>VLOOKUP(D122,INDIRECT("'"&amp;B122&amp;"'!$A$2:$S$999"), 11, 0)</f>
        <v/>
      </c>
      <c r="M122" s="12">
        <f>IF((SUM(F122:H122)&lt;0.42),$AA$4,((SUM(F122:H122)*$AA$5)))</f>
        <v/>
      </c>
      <c r="N122" s="12">
        <f>IF((SUM(F122:H122)&lt;0.42),$AB$4,((SUM(F122:H122)*$AB$5)))</f>
        <v/>
      </c>
      <c r="O122" s="12">
        <f>IF((SUM(F122:H122)&lt;0.42),$Z$4,((SUM(F122:H122)*$Z$5)))</f>
        <v/>
      </c>
      <c r="P122" s="12" t="inlineStr">
        <is>
          <t>SGLJNPJ342355E</t>
        </is>
      </c>
      <c r="Q122" s="12">
        <f>D122</f>
        <v/>
      </c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</row>
    <row r="123" ht="18.75" customHeight="1" s="220">
      <c r="A123" s="30">
        <f>B123&amp;D123</f>
        <v/>
      </c>
      <c r="B123" s="215" t="inlineStr">
        <is>
          <t>Ladies Ring</t>
        </is>
      </c>
      <c r="C123" s="12" t="n"/>
      <c r="D123" s="12" t="n">
        <v>1</v>
      </c>
      <c r="E123" s="12">
        <f>VLOOKUP(D123,INDIRECT("'"&amp;B123&amp;"'!$A$2:$S$999"), 2, 0)</f>
        <v/>
      </c>
      <c r="F123" s="12">
        <f>VLOOKUP(D123,INDIRECT("'"&amp;B123&amp;"'!$A$2:$S$999"), 5, 0)</f>
        <v/>
      </c>
      <c r="G123" s="12">
        <f>VLOOKUP(D123,INDIRECT("'"&amp;B123&amp;"'!$A$2:$S$999"), 6, 0)</f>
        <v/>
      </c>
      <c r="H123" s="12">
        <f>VLOOKUP(D123,INDIRECT("'"&amp;B123&amp;"'!$A$2:$S$999"), 7, 0)</f>
        <v/>
      </c>
      <c r="I123" s="12">
        <f>VLOOKUP(D123,INDIRECT("'"&amp;B123&amp;"'!$A$2:$S$999"), 8, 0)</f>
        <v/>
      </c>
      <c r="J123" s="12">
        <f>VLOOKUP(D123,INDIRECT("'"&amp;B123&amp;"'!$A$2:$S$999"), 9, 0)</f>
        <v/>
      </c>
      <c r="K123" s="12">
        <f>VLOOKUP(D123,INDIRECT("'"&amp;B123&amp;"'!$A$2:$S$999"), 10, 0)</f>
        <v/>
      </c>
      <c r="L123" s="12">
        <f>VLOOKUP(D123,INDIRECT("'"&amp;B123&amp;"'!$A$2:$S$999"), 11, 0)</f>
        <v/>
      </c>
      <c r="M123" s="12">
        <f>IF((SUM(F123:H123)&lt;0.42),$AA$4,((SUM(F123:H123)*$AA$5)))</f>
        <v/>
      </c>
      <c r="N123" s="12">
        <f>IF((SUM(F123:H123)&lt;0.42),$AB$4,((SUM(F123:H123)*$AB$5)))</f>
        <v/>
      </c>
      <c r="O123" s="12">
        <f>IF((SUM(F123:H123)&lt;0.42),$Z$4,((SUM(F123:H123)*$Z$5)))</f>
        <v/>
      </c>
      <c r="P123" s="12" t="inlineStr">
        <is>
          <t>SGLJNPJ342357E</t>
        </is>
      </c>
      <c r="Q123" s="12">
        <f>D123</f>
        <v/>
      </c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</row>
    <row r="124" ht="18.75" customHeight="1" s="220"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</row>
    <row r="125" ht="18.75" customHeight="1" s="220"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>
        <f>SUM(N89:N124)</f>
        <v/>
      </c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</row>
    <row r="126" ht="18.75" customHeight="1" s="220"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</row>
    <row r="127" ht="18.75" customHeight="1" s="220"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</row>
    <row r="128" ht="18.75" customHeight="1" s="220"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</row>
    <row r="129" ht="18.75" customHeight="1" s="220"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</row>
    <row r="130" ht="18.75" customHeight="1" s="220"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</row>
    <row r="131" ht="18.75" customHeight="1" s="220"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</row>
    <row r="132" ht="18.75" customHeight="1" s="220"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</row>
    <row r="133" ht="18.75" customHeight="1" s="220"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</row>
    <row r="134" ht="18.75" customHeight="1" s="220"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</row>
    <row r="135" ht="18.75" customHeight="1" s="220"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</row>
    <row r="136" ht="18.75" customHeight="1" s="220"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</row>
    <row r="137" ht="18.75" customHeight="1" s="220"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</row>
    <row r="138" ht="18.75" customHeight="1" s="220"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</row>
    <row r="139" ht="18.75" customHeight="1" s="220"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</row>
    <row r="140" ht="18.75" customHeight="1" s="220"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</row>
    <row r="141" ht="18.75" customHeight="1" s="220"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</row>
    <row r="142" ht="18.75" customHeight="1" s="220"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</row>
    <row r="143" ht="18.75" customHeight="1" s="220"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</row>
    <row r="144" ht="18.75" customHeight="1" s="220"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</row>
    <row r="145" ht="18.75" customHeight="1" s="220"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</row>
    <row r="146" ht="18.75" customHeight="1" s="220"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</row>
    <row r="147" ht="18.75" customHeight="1" s="220"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</row>
    <row r="148" ht="18.75" customHeight="1" s="220"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</row>
    <row r="149" ht="18.75" customHeight="1" s="220"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</row>
    <row r="150" ht="18.75" customHeight="1" s="220"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</row>
    <row r="151" ht="18.75" customHeight="1" s="220"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</row>
    <row r="152" ht="18.75" customHeight="1" s="220"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</row>
    <row r="153" ht="18.75" customHeight="1" s="220"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</row>
    <row r="154" ht="18.75" customHeight="1" s="220"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</row>
    <row r="155" ht="18.75" customHeight="1" s="220"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</row>
    <row r="156" ht="18.75" customHeight="1" s="220"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</row>
    <row r="157" ht="18.75" customHeight="1" s="220"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</row>
    <row r="158" ht="18.75" customHeight="1" s="220"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</row>
    <row r="159" ht="18.75" customHeight="1" s="220"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</row>
    <row r="160" ht="18.75" customHeight="1" s="220"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</row>
    <row r="161" ht="18.75" customHeight="1" s="220"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</row>
    <row r="162" ht="18.75" customHeight="1" s="220"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</row>
    <row r="163" ht="18.75" customHeight="1" s="220"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</row>
    <row r="164" ht="18.75" customHeight="1" s="220"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</row>
    <row r="165" ht="18.75" customHeight="1" s="220"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</row>
    <row r="166" ht="18.75" customHeight="1" s="220"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</row>
    <row r="167" ht="18.75" customHeight="1" s="220"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</row>
    <row r="168" ht="18.75" customHeight="1" s="220"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</row>
    <row r="169" ht="18.75" customHeight="1" s="220"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</row>
    <row r="170" ht="18.75" customHeight="1" s="220"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</row>
    <row r="171" ht="18.75" customHeight="1" s="220"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</row>
    <row r="172" ht="18.75" customHeight="1" s="220"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</row>
    <row r="173" ht="18.75" customHeight="1" s="220"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</row>
    <row r="174" ht="18.75" customHeight="1" s="220"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</row>
    <row r="175" ht="18.75" customHeight="1" s="220"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</row>
    <row r="176" ht="18.75" customHeight="1" s="220"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</row>
    <row r="177" ht="18.75" customHeight="1" s="220"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</row>
    <row r="178" ht="18.75" customHeight="1" s="220"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</row>
    <row r="179" ht="18.75" customHeight="1" s="220"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</row>
    <row r="180" ht="18.75" customHeight="1" s="220"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</row>
    <row r="181" ht="18.75" customHeight="1" s="220"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</row>
    <row r="182" ht="18.75" customHeight="1" s="220"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</row>
    <row r="183" ht="18.75" customHeight="1" s="220"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</row>
    <row r="184" ht="18.75" customHeight="1" s="220"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</row>
    <row r="185" ht="18.75" customHeight="1" s="220"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</row>
    <row r="186" ht="18.75" customHeight="1" s="220"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</row>
    <row r="187" ht="18.75" customHeight="1" s="220"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</row>
    <row r="188" ht="18.75" customHeight="1" s="220"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</row>
    <row r="189" ht="18.75" customHeight="1" s="220"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</row>
    <row r="190" ht="18.75" customHeight="1" s="220"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</row>
    <row r="191" ht="18.75" customHeight="1" s="220"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</row>
    <row r="192" ht="18.75" customHeight="1" s="220"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</row>
    <row r="193" ht="18.75" customHeight="1" s="220"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</row>
    <row r="194" ht="18.75" customHeight="1" s="220"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</row>
    <row r="195" ht="18.75" customHeight="1" s="220"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</row>
    <row r="196" ht="18.75" customHeight="1" s="220"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</row>
    <row r="197" ht="18.75" customHeight="1" s="220"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</row>
    <row r="198" ht="18.75" customHeight="1" s="220"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</row>
    <row r="199" ht="18.75" customHeight="1" s="220"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</row>
    <row r="200" ht="18.75" customHeight="1" s="220"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</row>
    <row r="201" ht="18.75" customHeight="1" s="220"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</row>
    <row r="202" ht="18.75" customHeight="1" s="220"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</row>
    <row r="203" ht="18.75" customHeight="1" s="220"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</row>
    <row r="204" ht="18.75" customHeight="1" s="220"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</row>
    <row r="205" ht="18.75" customHeight="1" s="220"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</row>
    <row r="206" ht="18.75" customHeight="1" s="220"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</row>
    <row r="207" ht="18.75" customHeight="1" s="220"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</row>
    <row r="208" ht="18.75" customHeight="1" s="220"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</row>
    <row r="209" ht="18.75" customHeight="1" s="220"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</row>
    <row r="210" ht="18.75" customHeight="1" s="220"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</row>
    <row r="211" ht="18.75" customHeight="1" s="220"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</row>
    <row r="212" ht="18.75" customHeight="1" s="220"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</row>
    <row r="213" ht="18.75" customHeight="1" s="220"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</row>
    <row r="214" ht="18.75" customHeight="1" s="220"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</row>
    <row r="215" ht="18.75" customHeight="1" s="220"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</row>
    <row r="216" ht="18.75" customHeight="1" s="220"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</row>
    <row r="217" ht="18.75" customHeight="1" s="220"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</row>
    <row r="218" ht="18.75" customHeight="1" s="220"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</row>
    <row r="219" ht="18.75" customHeight="1" s="220"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</row>
    <row r="220" ht="18.75" customHeight="1" s="220"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</row>
    <row r="221" ht="18.75" customHeight="1" s="220"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</row>
    <row r="222" ht="18.75" customHeight="1" s="220"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</row>
    <row r="223" ht="18.75" customHeight="1" s="220"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</row>
    <row r="224" ht="18.75" customHeight="1" s="220"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</row>
    <row r="225" ht="18.75" customHeight="1" s="220"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</row>
    <row r="226" ht="18.75" customHeight="1" s="220"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</row>
    <row r="227" ht="18.75" customHeight="1" s="220"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</row>
    <row r="228" ht="18.75" customHeight="1" s="220"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</row>
    <row r="229" ht="18.75" customHeight="1" s="220"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</row>
    <row r="230" ht="18.75" customHeight="1" s="220"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</row>
    <row r="231" ht="18.75" customHeight="1" s="220"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</row>
    <row r="232" ht="18.75" customHeight="1" s="220"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</row>
    <row r="233" ht="18.75" customHeight="1" s="220"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</row>
    <row r="234" ht="18.75" customHeight="1" s="220"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</row>
    <row r="235" ht="18.75" customHeight="1" s="220"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</row>
    <row r="236" ht="18.75" customHeight="1" s="220"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</row>
    <row r="237" ht="18.75" customHeight="1" s="220"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</row>
    <row r="238" ht="18.75" customHeight="1" s="220"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</row>
    <row r="239" ht="18.75" customHeight="1" s="220"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</row>
    <row r="240" ht="18.75" customHeight="1" s="220"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</row>
    <row r="241" ht="18.75" customHeight="1" s="220"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</row>
    <row r="242" ht="18.75" customHeight="1" s="220"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</row>
    <row r="243" ht="18.75" customHeight="1" s="220"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</row>
    <row r="244" ht="18.75" customHeight="1" s="220"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</row>
    <row r="245" ht="18.75" customHeight="1" s="220"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</row>
    <row r="246" ht="18.75" customHeight="1" s="220"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</row>
    <row r="247" ht="18.75" customHeight="1" s="220"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</row>
    <row r="248" ht="18.75" customHeight="1" s="220"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</row>
    <row r="249" ht="18.75" customHeight="1" s="220"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</row>
    <row r="250" ht="18.75" customHeight="1" s="220"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</row>
    <row r="251" ht="18.75" customHeight="1" s="220"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</row>
    <row r="252" ht="18.75" customHeight="1" s="220"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</row>
    <row r="253" ht="18.75" customHeight="1" s="220"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</row>
    <row r="254" ht="18.75" customHeight="1" s="220"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</row>
    <row r="255" ht="18.75" customHeight="1" s="220"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</row>
    <row r="256" ht="18.75" customHeight="1" s="220"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</row>
    <row r="257" ht="18.75" customHeight="1" s="220"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</row>
    <row r="258" ht="18.75" customHeight="1" s="220"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</row>
    <row r="259" ht="18.75" customHeight="1" s="220"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</row>
    <row r="260" ht="18.75" customHeight="1" s="220"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</row>
    <row r="261" ht="18.75" customHeight="1" s="220"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</row>
    <row r="262" ht="18.75" customHeight="1" s="220"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</row>
    <row r="263" ht="18.75" customHeight="1" s="220"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</row>
    <row r="264" ht="18.75" customHeight="1" s="220"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</row>
    <row r="265" ht="18.75" customHeight="1" s="220"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</row>
    <row r="266" ht="18.75" customHeight="1" s="220"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</row>
    <row r="267" ht="18.75" customHeight="1" s="220"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</row>
    <row r="268" ht="18.75" customHeight="1" s="220"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</row>
    <row r="269" ht="18.75" customHeight="1" s="220"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</row>
    <row r="270" ht="18.75" customHeight="1" s="220"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</row>
    <row r="271" ht="18.75" customHeight="1" s="220"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</row>
    <row r="272" ht="18.75" customHeight="1" s="220"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</row>
    <row r="273" ht="18.75" customHeight="1" s="220"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</row>
    <row r="274" ht="18.75" customHeight="1" s="220"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</row>
    <row r="275" ht="18.75" customHeight="1" s="220"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</row>
    <row r="276" ht="18.75" customHeight="1" s="220"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</row>
    <row r="277" ht="18.75" customHeight="1" s="220"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</row>
    <row r="278" ht="18.75" customHeight="1" s="220"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</row>
    <row r="279" ht="18.75" customHeight="1" s="220"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</row>
    <row r="280" ht="18.75" customHeight="1" s="220"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</row>
    <row r="281" ht="18.75" customHeight="1" s="220"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</row>
    <row r="282" ht="18.75" customHeight="1" s="220"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</row>
    <row r="283" ht="18.75" customHeight="1" s="220"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</row>
    <row r="284" ht="18.75" customHeight="1" s="220"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</row>
    <row r="285" ht="18.75" customHeight="1" s="220"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</row>
    <row r="286" ht="18.75" customHeight="1" s="220"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</row>
    <row r="287" ht="18.75" customHeight="1" s="220"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</row>
    <row r="288" ht="18.75" customHeight="1" s="220"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</row>
    <row r="289" ht="18.75" customHeight="1" s="220"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</row>
    <row r="290" ht="18.75" customHeight="1" s="220"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</row>
    <row r="291" ht="18.75" customHeight="1" s="220"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</row>
    <row r="292" ht="18.75" customHeight="1" s="220"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</row>
    <row r="293" ht="18.75" customHeight="1" s="220"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</row>
    <row r="294" ht="18.75" customHeight="1" s="220"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</row>
    <row r="295" ht="18.75" customHeight="1" s="220"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</row>
    <row r="296" ht="18.75" customHeight="1" s="220"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</row>
    <row r="297" ht="18.75" customHeight="1" s="220"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</row>
    <row r="298" ht="18.75" customHeight="1" s="220"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</row>
    <row r="299" ht="18.75" customHeight="1" s="220"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</row>
    <row r="300" ht="18.75" customHeight="1" s="220"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</row>
    <row r="301" ht="18.75" customHeight="1" s="220"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</row>
    <row r="302" ht="18.75" customHeight="1" s="220"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</row>
    <row r="303" ht="18.75" customHeight="1" s="220"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</row>
    <row r="304" ht="18.75" customHeight="1" s="220"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</row>
    <row r="305" ht="18.75" customHeight="1" s="220"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</row>
    <row r="306" ht="18.75" customHeight="1" s="220"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</row>
    <row r="307" ht="18.75" customHeight="1" s="220"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</row>
    <row r="308" ht="18.75" customHeight="1" s="220"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</row>
    <row r="309" ht="18.75" customHeight="1" s="220"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</row>
    <row r="310" ht="18.75" customHeight="1" s="220"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</row>
    <row r="311" ht="18.75" customHeight="1" s="220"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</row>
    <row r="312" ht="18.75" customHeight="1" s="220"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</row>
    <row r="313" ht="18.75" customHeight="1" s="220"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</row>
    <row r="314" ht="18.75" customHeight="1" s="220"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</row>
    <row r="315" ht="18.75" customHeight="1" s="220"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</row>
    <row r="316" ht="18.75" customHeight="1" s="220"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</row>
    <row r="317" ht="18.75" customHeight="1" s="220"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</row>
    <row r="318" ht="18.75" customHeight="1" s="220"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</row>
    <row r="319" ht="18.75" customHeight="1" s="220"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</row>
    <row r="320" ht="18.75" customHeight="1" s="220"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</row>
    <row r="321" ht="18.75" customHeight="1" s="220"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</row>
    <row r="322" ht="18.75" customHeight="1" s="220"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</row>
    <row r="323" ht="18.75" customHeight="1" s="220"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</row>
    <row r="324" ht="18.75" customHeight="1" s="220"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</row>
    <row r="325" ht="18.75" customHeight="1" s="220"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</row>
    <row r="326" ht="18.75" customHeight="1" s="220"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</row>
    <row r="327" ht="18.75" customHeight="1" s="220"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</row>
    <row r="328" ht="18.75" customHeight="1" s="220"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</row>
    <row r="329" ht="18.75" customHeight="1" s="220"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</row>
    <row r="330" ht="18.75" customHeight="1" s="220"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</row>
    <row r="331" ht="18.75" customHeight="1" s="220"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</row>
    <row r="332" ht="18.75" customHeight="1" s="220"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</row>
    <row r="333" ht="18.75" customHeight="1" s="220"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</row>
    <row r="334" ht="18.75" customHeight="1" s="220"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</row>
    <row r="335" ht="18.75" customHeight="1" s="220"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</row>
    <row r="336" ht="18.75" customHeight="1" s="220"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</row>
    <row r="337" ht="18.75" customHeight="1" s="220"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</row>
    <row r="338" ht="18.75" customHeight="1" s="220"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</row>
    <row r="339" ht="18.75" customHeight="1" s="220"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</row>
    <row r="340" ht="18.75" customHeight="1" s="220"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</row>
    <row r="341" ht="18.75" customHeight="1" s="220"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</row>
    <row r="342" ht="18.75" customHeight="1" s="220"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</row>
    <row r="343" ht="18.75" customHeight="1" s="220"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</row>
    <row r="344" ht="18.75" customHeight="1" s="220"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</row>
    <row r="345" ht="18.75" customHeight="1" s="220"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</row>
    <row r="346" ht="18.75" customHeight="1" s="220"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</row>
    <row r="347" ht="18.75" customHeight="1" s="220"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</row>
    <row r="348" ht="18.75" customHeight="1" s="220"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</row>
    <row r="349" ht="18.75" customHeight="1" s="220"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</row>
    <row r="350" ht="18.75" customHeight="1" s="220"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</row>
    <row r="351" ht="18.75" customHeight="1" s="220"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</row>
    <row r="352" ht="18.75" customHeight="1" s="220"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</row>
    <row r="353" ht="18.75" customHeight="1" s="220"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</row>
    <row r="354" ht="18.75" customHeight="1" s="220"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</row>
    <row r="355" ht="18.75" customHeight="1" s="220"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</row>
    <row r="356" ht="18.75" customHeight="1" s="220"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</row>
    <row r="357" ht="18.75" customHeight="1" s="220"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</row>
    <row r="358" ht="18.75" customHeight="1" s="220"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</row>
    <row r="359" ht="18.75" customHeight="1" s="220"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</row>
    <row r="360" ht="18.75" customHeight="1" s="220"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</row>
    <row r="361" ht="18.75" customHeight="1" s="220"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</row>
    <row r="362" ht="18.75" customHeight="1" s="220"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</row>
    <row r="363" ht="18.75" customHeight="1" s="220"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</row>
    <row r="364" ht="18.75" customHeight="1" s="220"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</row>
    <row r="365" ht="18.75" customHeight="1" s="220"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</row>
    <row r="366" ht="18.75" customHeight="1" s="220"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</row>
    <row r="367" ht="18.75" customHeight="1" s="220"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</row>
    <row r="368" ht="18.75" customHeight="1" s="220"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</row>
    <row r="369" ht="18.75" customHeight="1" s="220"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</row>
    <row r="370" ht="18.75" customHeight="1" s="220"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</row>
    <row r="371" ht="18.75" customHeight="1" s="220"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</row>
    <row r="372" ht="18.75" customHeight="1" s="220"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</row>
    <row r="373" ht="18.75" customHeight="1" s="220"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</row>
    <row r="374" ht="18.75" customHeight="1" s="220"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</row>
    <row r="375" ht="18.75" customHeight="1" s="220"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</row>
    <row r="376" ht="18.75" customHeight="1" s="220"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</row>
    <row r="377" ht="18.75" customHeight="1" s="220"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</row>
    <row r="378" ht="18.75" customHeight="1" s="220"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</row>
    <row r="379" ht="18.75" customHeight="1" s="220"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</row>
    <row r="380" ht="18.75" customHeight="1" s="220"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</row>
    <row r="381" ht="18.75" customHeight="1" s="220"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</row>
    <row r="382" ht="18.75" customHeight="1" s="220"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</row>
    <row r="383" ht="18.75" customHeight="1" s="220"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</row>
    <row r="384" ht="18.75" customHeight="1" s="220"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</row>
    <row r="385" ht="18.75" customHeight="1" s="220"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</row>
    <row r="386" ht="18.75" customHeight="1" s="220"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</row>
    <row r="387" ht="18.75" customHeight="1" s="220"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</row>
    <row r="388" ht="18.75" customHeight="1" s="220"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</row>
    <row r="389" ht="18.75" customHeight="1" s="220"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</row>
    <row r="390" ht="18.75" customHeight="1" s="220"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</row>
    <row r="391" ht="18.75" customHeight="1" s="220"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</row>
    <row r="392" ht="18.75" customHeight="1" s="220"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</row>
    <row r="393" ht="18.75" customHeight="1" s="220"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</row>
    <row r="394" ht="18.75" customHeight="1" s="220"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</row>
    <row r="395" ht="18.75" customHeight="1" s="220"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</row>
    <row r="396" ht="18.75" customHeight="1" s="220"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</row>
    <row r="397" ht="18.75" customHeight="1" s="220"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</row>
    <row r="398" ht="18.75" customHeight="1" s="220"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</row>
    <row r="399" ht="18.75" customHeight="1" s="220"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</row>
    <row r="400" ht="18.75" customHeight="1" s="220"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</row>
    <row r="401" ht="18.75" customHeight="1" s="220"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</row>
    <row r="402" ht="18.75" customHeight="1" s="220"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</row>
    <row r="403" ht="18.75" customHeight="1" s="220"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</row>
    <row r="404" ht="18.75" customHeight="1" s="220"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</row>
    <row r="405" ht="18.75" customHeight="1" s="220"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</row>
    <row r="406" ht="18.75" customHeight="1" s="220"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</row>
    <row r="407" ht="18.75" customHeight="1" s="220"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</row>
    <row r="408" ht="18.75" customHeight="1" s="220"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</row>
    <row r="409" ht="18.75" customHeight="1" s="220"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</row>
    <row r="410" ht="18.75" customHeight="1" s="220"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</row>
    <row r="411" ht="18.75" customHeight="1" s="220"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</row>
    <row r="412" ht="18.75" customHeight="1" s="220"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</row>
    <row r="413" ht="18.75" customHeight="1" s="220"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</row>
    <row r="414" ht="18.75" customHeight="1" s="220"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</row>
    <row r="415" ht="18.75" customHeight="1" s="220"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</row>
    <row r="416" ht="18.75" customHeight="1" s="220"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</row>
    <row r="417" ht="18.75" customHeight="1" s="220"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</row>
    <row r="418" ht="18.75" customHeight="1" s="220"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</row>
    <row r="419" ht="18.75" customHeight="1" s="220"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</row>
    <row r="420" ht="18.75" customHeight="1" s="220"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</row>
    <row r="421" ht="18.75" customHeight="1" s="220"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</row>
    <row r="422" ht="18.75" customHeight="1" s="220"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</row>
    <row r="423" ht="18.75" customHeight="1" s="220"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</row>
    <row r="424" ht="18.75" customHeight="1" s="220"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</row>
    <row r="425" ht="18.75" customHeight="1" s="220"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</row>
    <row r="426" ht="18.75" customHeight="1" s="220"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</row>
    <row r="427" ht="18.75" customHeight="1" s="220"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</row>
    <row r="428" ht="18.75" customHeight="1" s="220"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</row>
    <row r="429" ht="18.75" customHeight="1" s="220"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</row>
    <row r="430" ht="18.75" customHeight="1" s="220"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</row>
    <row r="431" ht="18.75" customHeight="1" s="220"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</row>
    <row r="432" ht="18.75" customHeight="1" s="220"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</row>
    <row r="433" ht="18.75" customHeight="1" s="220"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</row>
    <row r="434" ht="18.75" customHeight="1" s="220"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</row>
    <row r="435" ht="18.75" customHeight="1" s="220"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</row>
    <row r="436" ht="18.75" customHeight="1" s="220"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</row>
    <row r="437" ht="18.75" customHeight="1" s="220"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</row>
    <row r="438" ht="18.75" customHeight="1" s="220"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</row>
    <row r="439" ht="18.75" customHeight="1" s="220"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</row>
    <row r="440" ht="18.75" customHeight="1" s="220"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</row>
    <row r="441" ht="18.75" customHeight="1" s="220"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</row>
    <row r="442" ht="18.75" customHeight="1" s="220"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</row>
    <row r="443" ht="18.75" customHeight="1" s="220"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</row>
    <row r="444" ht="18.75" customHeight="1" s="220"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</row>
    <row r="445" ht="18.75" customHeight="1" s="220"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</row>
    <row r="446" ht="18.75" customHeight="1" s="220"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</row>
    <row r="447" ht="18.75" customHeight="1" s="220"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</row>
    <row r="448" ht="18.75" customHeight="1" s="220"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</row>
    <row r="449" ht="18.75" customHeight="1" s="220"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</row>
    <row r="450" ht="18.75" customHeight="1" s="220"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</row>
    <row r="451" ht="18.75" customHeight="1" s="220"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</row>
    <row r="452" ht="18.75" customHeight="1" s="220"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</row>
    <row r="453" ht="18.75" customHeight="1" s="220"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</row>
    <row r="454" ht="18.75" customHeight="1" s="220"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</row>
    <row r="455" ht="18.75" customHeight="1" s="220"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</row>
    <row r="456" ht="18.75" customHeight="1" s="220"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</row>
    <row r="457" ht="18.75" customHeight="1" s="220"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</row>
    <row r="458" ht="18.75" customHeight="1" s="220"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</row>
    <row r="459" ht="18.75" customHeight="1" s="220"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</row>
    <row r="460" ht="18.75" customHeight="1" s="220"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</row>
    <row r="461" ht="18.75" customHeight="1" s="220"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</row>
    <row r="462" ht="18.75" customHeight="1" s="220"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</row>
    <row r="463" ht="18.75" customHeight="1" s="220"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</row>
    <row r="464" ht="18.75" customHeight="1" s="220"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</row>
    <row r="465" ht="18.75" customHeight="1" s="220"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</row>
    <row r="466" ht="18.75" customHeight="1" s="220"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</row>
    <row r="467" ht="18.75" customHeight="1" s="220"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</row>
    <row r="468" ht="18.75" customHeight="1" s="220"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</row>
    <row r="469" ht="18.75" customHeight="1" s="220"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</row>
    <row r="470" ht="18.75" customHeight="1" s="220"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</row>
    <row r="471" ht="18.75" customHeight="1" s="220"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</row>
    <row r="472" ht="18.75" customHeight="1" s="220"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</row>
    <row r="473" ht="18.75" customHeight="1" s="220"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</row>
    <row r="474" ht="18.75" customHeight="1" s="220"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</row>
    <row r="475" ht="18.75" customHeight="1" s="220"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</row>
    <row r="476" ht="18.75" customHeight="1" s="220"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</row>
    <row r="477" ht="18.75" customHeight="1" s="220"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</row>
    <row r="478" ht="18.75" customHeight="1" s="220"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</row>
    <row r="479" ht="18.75" customHeight="1" s="220"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</row>
    <row r="480" ht="18.75" customHeight="1" s="220"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</row>
    <row r="481" ht="18.75" customHeight="1" s="220"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</row>
    <row r="482" ht="18.75" customHeight="1" s="220"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</row>
    <row r="483" ht="18.75" customHeight="1" s="220"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</row>
    <row r="484" ht="18.75" customHeight="1" s="220"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</row>
    <row r="485" ht="18.75" customHeight="1" s="220"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</row>
    <row r="486" ht="18.75" customHeight="1" s="220"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</row>
    <row r="487" ht="18.75" customHeight="1" s="220"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</row>
    <row r="488" ht="18.75" customHeight="1" s="220"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</row>
    <row r="489" ht="18.75" customHeight="1" s="220"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</row>
    <row r="490" ht="18.75" customHeight="1" s="220"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</row>
    <row r="491" ht="18.75" customHeight="1" s="220"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</row>
    <row r="492" ht="18.75" customHeight="1" s="220"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</row>
    <row r="493" ht="18.75" customHeight="1" s="220"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</row>
    <row r="494" ht="18.75" customHeight="1" s="220"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</row>
    <row r="495" ht="18.75" customHeight="1" s="220"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</row>
    <row r="496" ht="18.75" customHeight="1" s="220"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</row>
    <row r="497" ht="18.75" customHeight="1" s="220"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</row>
    <row r="498" ht="18.75" customHeight="1" s="220"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</row>
    <row r="499" ht="18.75" customHeight="1" s="220"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</row>
    <row r="500" ht="18.75" customHeight="1" s="220"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</row>
    <row r="501" ht="18.75" customHeight="1" s="220"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</row>
    <row r="502" ht="18.75" customHeight="1" s="220"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</row>
    <row r="503" ht="18.75" customHeight="1" s="220"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</row>
    <row r="504" ht="18.75" customHeight="1" s="220"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</row>
    <row r="505" ht="18.75" customHeight="1" s="220"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</row>
    <row r="506" ht="18.75" customHeight="1" s="220"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</row>
    <row r="507" ht="18.75" customHeight="1" s="220"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</row>
    <row r="508" ht="18.75" customHeight="1" s="220"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</row>
    <row r="509" ht="18.75" customHeight="1" s="220"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</row>
    <row r="510" ht="18.75" customHeight="1" s="220"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</row>
    <row r="511" ht="18.75" customHeight="1" s="220"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</row>
    <row r="512" ht="18.75" customHeight="1" s="220"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</row>
    <row r="513" ht="18.75" customHeight="1" s="220"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</row>
    <row r="514" ht="18.75" customHeight="1" s="220"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</row>
    <row r="515" ht="18.75" customHeight="1" s="220"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</row>
    <row r="516" ht="18.75" customHeight="1" s="220"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</row>
    <row r="517" ht="18.75" customHeight="1" s="220"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</row>
    <row r="518" ht="18.75" customHeight="1" s="220"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</row>
    <row r="519" ht="18.75" customHeight="1" s="220"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</row>
    <row r="520" ht="18.75" customHeight="1" s="220"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</row>
    <row r="521" ht="18.75" customHeight="1" s="220"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</row>
    <row r="522" ht="18.75" customHeight="1" s="220"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</row>
    <row r="523" ht="18.75" customHeight="1" s="220"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</row>
    <row r="524" ht="18.75" customHeight="1" s="220"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</row>
    <row r="525" ht="18.75" customHeight="1" s="220"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</row>
    <row r="526" ht="18.75" customHeight="1" s="220"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</row>
    <row r="527" ht="18.75" customHeight="1" s="220"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</row>
    <row r="528" ht="18.75" customHeight="1" s="220"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</row>
    <row r="529" ht="18.75" customHeight="1" s="220"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</row>
    <row r="530" ht="18.75" customHeight="1" s="220"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</row>
    <row r="531" ht="18.75" customHeight="1" s="220"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</row>
    <row r="532" ht="18.75" customHeight="1" s="220"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</row>
    <row r="533" ht="18.75" customHeight="1" s="220"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</row>
    <row r="534" ht="18.75" customHeight="1" s="220"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</row>
    <row r="535" ht="18.75" customHeight="1" s="220"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</row>
    <row r="536" ht="18.75" customHeight="1" s="220"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</row>
    <row r="537" ht="18.75" customHeight="1" s="220"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</row>
    <row r="538" ht="18.75" customHeight="1" s="220"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</row>
    <row r="539" ht="18.75" customHeight="1" s="220"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</row>
    <row r="540" ht="18.75" customHeight="1" s="220"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</row>
    <row r="541" ht="18.75" customHeight="1" s="220"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</row>
    <row r="542" ht="18.75" customHeight="1" s="220"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</row>
    <row r="543" ht="18.75" customHeight="1" s="220"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</row>
    <row r="544" ht="18.75" customHeight="1" s="220"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</row>
    <row r="545" ht="18.75" customHeight="1" s="220"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</row>
    <row r="546" ht="18.75" customHeight="1" s="220"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</row>
    <row r="547" ht="18.75" customHeight="1" s="220"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</row>
    <row r="548" ht="18.75" customHeight="1" s="220"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</row>
    <row r="549" ht="18.75" customHeight="1" s="220"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</row>
    <row r="550" ht="18.75" customHeight="1" s="220"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</row>
    <row r="551" ht="18.75" customHeight="1" s="220"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</row>
    <row r="552" ht="18.75" customHeight="1" s="220"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</row>
    <row r="553" ht="18.75" customHeight="1" s="220"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</row>
    <row r="554" ht="18.75" customHeight="1" s="220"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</row>
    <row r="555" ht="18.75" customHeight="1" s="220"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</row>
    <row r="556" ht="18.75" customHeight="1" s="220"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</row>
    <row r="557" ht="18.75" customHeight="1" s="220"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</row>
    <row r="558" ht="18.75" customHeight="1" s="220"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</row>
    <row r="559" ht="18.75" customHeight="1" s="220"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</row>
    <row r="560" ht="18.75" customHeight="1" s="220"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</row>
    <row r="561" ht="18.75" customHeight="1" s="220"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</row>
    <row r="562" ht="18.75" customHeight="1" s="220"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</row>
    <row r="563" ht="18.75" customHeight="1" s="220"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</row>
    <row r="564" ht="18.75" customHeight="1" s="220"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</row>
    <row r="565" ht="18.75" customHeight="1" s="220"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</row>
    <row r="566" ht="18.75" customHeight="1" s="220"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</row>
    <row r="567" ht="18.75" customHeight="1" s="220"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</row>
    <row r="568" ht="18.75" customHeight="1" s="220"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</row>
    <row r="569" ht="18.75" customHeight="1" s="220"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</row>
    <row r="570" ht="18.75" customHeight="1" s="220"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</row>
    <row r="571" ht="18.75" customHeight="1" s="220"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</row>
    <row r="572" ht="18.75" customHeight="1" s="220"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</row>
    <row r="573" ht="18.75" customHeight="1" s="220"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</row>
    <row r="574" ht="18.75" customHeight="1" s="220"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</row>
    <row r="575" ht="18.75" customHeight="1" s="220"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</row>
    <row r="576" ht="18.75" customHeight="1" s="220"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</row>
    <row r="577" ht="18.75" customHeight="1" s="220"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</row>
    <row r="578" ht="18.75" customHeight="1" s="220"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</row>
    <row r="579" ht="18.75" customHeight="1" s="220"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</row>
    <row r="580" ht="18.75" customHeight="1" s="220"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</row>
    <row r="581" ht="18.75" customHeight="1" s="220"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</row>
    <row r="582" ht="18.75" customHeight="1" s="220"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</row>
    <row r="583" ht="18.75" customHeight="1" s="220"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</row>
    <row r="584" ht="18.75" customHeight="1" s="220"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</row>
    <row r="585" ht="18.75" customHeight="1" s="220"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</row>
    <row r="586" ht="18.75" customHeight="1" s="220"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</row>
    <row r="587" ht="18.75" customHeight="1" s="220"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</row>
    <row r="588" ht="18.75" customHeight="1" s="220"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</row>
    <row r="589" ht="18.75" customHeight="1" s="220"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</row>
    <row r="590" ht="18.75" customHeight="1" s="220"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</row>
    <row r="591" ht="18.75" customHeight="1" s="220"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</row>
    <row r="592" ht="18.75" customHeight="1" s="220"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</row>
    <row r="593" ht="18.75" customHeight="1" s="220"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</row>
    <row r="594" ht="18.75" customHeight="1" s="220"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</row>
    <row r="595" ht="18.75" customHeight="1" s="220"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</row>
    <row r="596" ht="18.75" customHeight="1" s="220"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</row>
    <row r="597" ht="18.75" customHeight="1" s="220"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</row>
    <row r="598" ht="18.75" customHeight="1" s="220"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</row>
    <row r="599" ht="18.75" customHeight="1" s="220"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</row>
    <row r="600" ht="18.75" customHeight="1" s="220"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</row>
    <row r="601" ht="18.75" customHeight="1" s="220"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</row>
    <row r="602" ht="18.75" customHeight="1" s="220"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</row>
    <row r="603" ht="18.75" customHeight="1" s="220"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</row>
    <row r="604" ht="18.75" customHeight="1" s="220"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</row>
    <row r="605" ht="18.75" customHeight="1" s="220"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</row>
    <row r="606" ht="18.75" customHeight="1" s="220"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</row>
    <row r="607" ht="18.75" customHeight="1" s="220"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</row>
    <row r="608" ht="18.75" customHeight="1" s="220"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</row>
    <row r="609" ht="18.75" customHeight="1" s="220"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</row>
    <row r="610" ht="18.75" customHeight="1" s="220"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</row>
    <row r="611" ht="18.75" customHeight="1" s="220"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</row>
    <row r="612" ht="18.75" customHeight="1" s="220"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</row>
    <row r="613" ht="18.75" customHeight="1" s="220"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</row>
    <row r="614" ht="18.75" customHeight="1" s="220"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</row>
    <row r="615" ht="18.75" customHeight="1" s="220"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</row>
    <row r="616" ht="18.75" customHeight="1" s="220"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</row>
    <row r="617" ht="18.75" customHeight="1" s="220"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</row>
    <row r="618" ht="18.75" customHeight="1" s="220"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</row>
    <row r="619" ht="18.75" customHeight="1" s="220"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</row>
    <row r="620" ht="18.75" customHeight="1" s="220"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</row>
    <row r="621" ht="18.75" customHeight="1" s="220"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</row>
    <row r="622" ht="18.75" customHeight="1" s="220"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</row>
    <row r="623" ht="18.75" customHeight="1" s="220"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</row>
    <row r="624" ht="18.75" customHeight="1" s="220"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</row>
    <row r="625" ht="18.75" customHeight="1" s="220"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</row>
    <row r="626" ht="18.75" customHeight="1" s="220"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</row>
    <row r="627" ht="18.75" customHeight="1" s="220"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</row>
    <row r="628" ht="18.75" customHeight="1" s="220"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</row>
    <row r="629" ht="18.75" customHeight="1" s="220"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</row>
    <row r="630" ht="18.75" customHeight="1" s="220"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</row>
    <row r="631" ht="18.75" customHeight="1" s="220"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</row>
    <row r="632" ht="18.75" customHeight="1" s="220"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</row>
    <row r="633" ht="18.75" customHeight="1" s="220"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</row>
    <row r="634" ht="18.75" customHeight="1" s="220"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</row>
    <row r="635" ht="18.75" customHeight="1" s="220"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</row>
    <row r="636" ht="18.75" customHeight="1" s="220"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</row>
    <row r="637" ht="18.75" customHeight="1" s="220"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</row>
    <row r="638" ht="18.75" customHeight="1" s="220"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</row>
    <row r="639" ht="18.75" customHeight="1" s="220"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</row>
    <row r="640" ht="18.75" customHeight="1" s="220"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</row>
    <row r="641" ht="18.75" customHeight="1" s="220"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</row>
    <row r="642" ht="18.75" customHeight="1" s="220"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</row>
    <row r="643" ht="18.75" customHeight="1" s="220"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</row>
    <row r="644" ht="18.75" customHeight="1" s="220"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</row>
    <row r="645" ht="18.75" customHeight="1" s="220"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</row>
    <row r="646" ht="18.75" customHeight="1" s="220"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</row>
    <row r="647" ht="18.75" customHeight="1" s="220"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</row>
    <row r="648" ht="18.75" customHeight="1" s="220"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</row>
    <row r="649" ht="18.75" customHeight="1" s="220"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</row>
    <row r="650" ht="18.75" customHeight="1" s="220"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</row>
    <row r="651" ht="18.75" customHeight="1" s="220"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</row>
    <row r="652" ht="18.75" customHeight="1" s="220"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</row>
    <row r="653" ht="18.75" customHeight="1" s="220"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</row>
    <row r="654" ht="18.75" customHeight="1" s="220"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</row>
    <row r="655" ht="18.75" customHeight="1" s="220"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</row>
    <row r="656" ht="18.75" customHeight="1" s="220"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</row>
    <row r="657" ht="18.75" customHeight="1" s="220"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</row>
    <row r="658" ht="18.75" customHeight="1" s="220"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</row>
    <row r="659" ht="18.75" customHeight="1" s="220"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</row>
    <row r="660" ht="18.75" customHeight="1" s="220"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</row>
    <row r="661" ht="18.75" customHeight="1" s="220"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</row>
    <row r="662" ht="18.75" customHeight="1" s="220"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</row>
    <row r="663" ht="18.75" customHeight="1" s="220"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</row>
    <row r="664" ht="18.75" customHeight="1" s="220"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</row>
    <row r="665" ht="18.75" customHeight="1" s="220"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</row>
    <row r="666" ht="18.75" customHeight="1" s="220"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</row>
    <row r="667" ht="18.75" customHeight="1" s="220"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</row>
    <row r="668" ht="18.75" customHeight="1" s="220"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</row>
    <row r="669" ht="18.75" customHeight="1" s="220"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</row>
    <row r="670" ht="18.75" customHeight="1" s="220"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</row>
    <row r="671" ht="18.75" customHeight="1" s="220"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</row>
    <row r="672" ht="18.75" customHeight="1" s="220"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</row>
    <row r="673" ht="18.75" customHeight="1" s="220"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</row>
    <row r="674" ht="18.75" customHeight="1" s="220"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</row>
    <row r="675" ht="18.75" customHeight="1" s="220"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</row>
    <row r="676" ht="18.75" customHeight="1" s="220"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</row>
    <row r="677" ht="18.75" customHeight="1" s="220"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</row>
    <row r="678" ht="18.75" customHeight="1" s="220"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</row>
    <row r="679" ht="18.75" customHeight="1" s="220"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</row>
    <row r="680" ht="18.75" customHeight="1" s="220"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</row>
    <row r="681" ht="18.75" customHeight="1" s="220"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</row>
    <row r="682" ht="18.75" customHeight="1" s="220"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</row>
    <row r="683" ht="18.75" customHeight="1" s="220"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</row>
    <row r="684" ht="18.75" customHeight="1" s="220"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</row>
    <row r="685" ht="18.75" customHeight="1" s="220"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</row>
    <row r="686" ht="18.75" customHeight="1" s="220"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</row>
    <row r="687" ht="18.75" customHeight="1" s="220"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</row>
    <row r="688" ht="18.75" customHeight="1" s="220"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</row>
    <row r="689" ht="18.75" customHeight="1" s="220"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</row>
    <row r="690" ht="18.75" customHeight="1" s="220"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</row>
    <row r="691" ht="18.75" customHeight="1" s="220"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</row>
    <row r="692" ht="18.75" customHeight="1" s="220"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</row>
    <row r="693" ht="18.75" customHeight="1" s="220"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</row>
    <row r="694" ht="18.75" customHeight="1" s="220"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</row>
    <row r="695" ht="18.75" customHeight="1" s="220"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</row>
    <row r="696" ht="18.75" customHeight="1" s="220"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</row>
    <row r="697" ht="18.75" customHeight="1" s="220"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</row>
    <row r="698" ht="18.75" customHeight="1" s="220"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</row>
    <row r="699" ht="18.75" customHeight="1" s="220"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</row>
    <row r="700" ht="18.75" customHeight="1" s="220"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</row>
    <row r="701" ht="18.75" customHeight="1" s="220"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</row>
    <row r="702" ht="18.75" customHeight="1" s="220"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</row>
    <row r="703" ht="18.75" customHeight="1" s="220"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</row>
    <row r="704" ht="18.75" customHeight="1" s="220"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</row>
    <row r="705" ht="18.75" customHeight="1" s="220"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</row>
    <row r="706" ht="18.75" customHeight="1" s="220"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</row>
    <row r="707" ht="18.75" customHeight="1" s="220"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</row>
    <row r="708" ht="18.75" customHeight="1" s="220"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</row>
    <row r="709" ht="18.75" customHeight="1" s="220"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</row>
    <row r="710" ht="18.75" customHeight="1" s="220"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</row>
    <row r="711" ht="18.75" customHeight="1" s="220"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</row>
    <row r="712" ht="18.75" customHeight="1" s="220"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</row>
    <row r="713" ht="18.75" customHeight="1" s="220"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</row>
    <row r="714" ht="18.75" customHeight="1" s="220"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</row>
    <row r="715" ht="18.75" customHeight="1" s="220"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</row>
    <row r="716" ht="18.75" customHeight="1" s="220"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</row>
    <row r="717" ht="18.75" customHeight="1" s="220"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</row>
    <row r="718" ht="18.75" customHeight="1" s="220"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</row>
    <row r="719" ht="18.75" customHeight="1" s="220"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</row>
    <row r="720" ht="18.75" customHeight="1" s="220"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</row>
    <row r="721" ht="18.75" customHeight="1" s="220"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</row>
    <row r="722" ht="18.75" customHeight="1" s="220"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</row>
    <row r="723" ht="18.75" customHeight="1" s="220"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</row>
    <row r="724" ht="18.75" customHeight="1" s="220"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</row>
    <row r="725" ht="18.75" customHeight="1" s="220"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</row>
    <row r="726" ht="18.75" customHeight="1" s="220"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</row>
    <row r="727" ht="18.75" customHeight="1" s="220"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</row>
    <row r="728" ht="18.75" customHeight="1" s="220"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</row>
    <row r="729" ht="18.75" customHeight="1" s="220"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</row>
    <row r="730" ht="18.75" customHeight="1" s="220"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</row>
    <row r="731" ht="18.75" customHeight="1" s="220"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</row>
    <row r="732" ht="18.75" customHeight="1" s="220"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</row>
    <row r="733" ht="18.75" customHeight="1" s="220"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</row>
    <row r="734" ht="18.75" customHeight="1" s="220"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</row>
    <row r="735" ht="18.75" customHeight="1" s="220"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</row>
    <row r="736" ht="18.75" customHeight="1" s="220"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</row>
    <row r="737" ht="18.75" customHeight="1" s="220"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</row>
    <row r="738" ht="18.75" customHeight="1" s="220"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</row>
    <row r="739" ht="18.75" customHeight="1" s="220"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</row>
    <row r="740" ht="18.75" customHeight="1" s="220"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</row>
    <row r="741" ht="18.75" customHeight="1" s="220"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</row>
    <row r="742" ht="18.75" customHeight="1" s="220"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</row>
    <row r="743" ht="18.75" customHeight="1" s="220"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</row>
    <row r="744" ht="18.75" customHeight="1" s="220"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</row>
    <row r="745" ht="18.75" customHeight="1" s="220"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</row>
    <row r="746" ht="18.75" customHeight="1" s="220"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</row>
    <row r="747" ht="18.75" customHeight="1" s="220"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</row>
    <row r="748" ht="18.75" customHeight="1" s="220"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</row>
    <row r="749" ht="18.75" customHeight="1" s="220"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</row>
    <row r="750" ht="18.75" customHeight="1" s="220"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</row>
    <row r="751" ht="18.75" customHeight="1" s="220"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</row>
    <row r="752" ht="18.75" customHeight="1" s="220"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</row>
    <row r="753" ht="18.75" customHeight="1" s="220"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</row>
    <row r="754" ht="18.75" customHeight="1" s="220"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</row>
    <row r="755" ht="18.75" customHeight="1" s="220"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</row>
    <row r="756" ht="18.75" customHeight="1" s="220"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</row>
    <row r="757" ht="18.75" customHeight="1" s="220"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</row>
    <row r="758" ht="18.75" customHeight="1" s="220"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</row>
    <row r="759" ht="18.75" customHeight="1" s="220"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</row>
    <row r="760" ht="18.75" customHeight="1" s="220"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</row>
    <row r="761" ht="18.75" customHeight="1" s="220"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</row>
    <row r="762" ht="18.75" customHeight="1" s="220"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</row>
    <row r="763" ht="18.75" customHeight="1" s="220"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</row>
    <row r="764" ht="18.75" customHeight="1" s="220"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</row>
    <row r="765" ht="18.75" customHeight="1" s="220"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</row>
    <row r="766" ht="18.75" customHeight="1" s="220"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</row>
    <row r="767" ht="18.75" customHeight="1" s="220"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</row>
    <row r="768" ht="18.75" customHeight="1" s="220"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</row>
    <row r="769" ht="18.75" customHeight="1" s="220"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</row>
    <row r="770" ht="18.75" customHeight="1" s="220"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</row>
    <row r="771" ht="18.75" customHeight="1" s="220"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</row>
    <row r="772" ht="18.75" customHeight="1" s="220"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</row>
    <row r="773" ht="18.75" customHeight="1" s="220"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</row>
    <row r="774" ht="18.75" customHeight="1" s="220"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</row>
    <row r="775" ht="18.75" customHeight="1" s="220"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</row>
    <row r="776" ht="18.75" customHeight="1" s="220"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</row>
    <row r="777" ht="18.75" customHeight="1" s="220"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</row>
    <row r="778" ht="18.75" customHeight="1" s="220"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</row>
    <row r="779" ht="18.75" customHeight="1" s="220"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</row>
    <row r="780" ht="18.75" customHeight="1" s="220"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</row>
    <row r="781" ht="18.75" customHeight="1" s="220"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</row>
    <row r="782" ht="18.75" customHeight="1" s="220"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</row>
    <row r="783" ht="18.75" customHeight="1" s="220"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</row>
    <row r="784" ht="18.75" customHeight="1" s="220"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</row>
    <row r="785" ht="18.75" customHeight="1" s="220"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</row>
    <row r="786" ht="18.75" customHeight="1" s="220"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</row>
    <row r="787" ht="18.75" customHeight="1" s="220"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</row>
    <row r="788" ht="18.75" customHeight="1" s="220"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</row>
    <row r="789" ht="18.75" customHeight="1" s="220"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</row>
    <row r="790" ht="18.75" customHeight="1" s="220"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</row>
    <row r="791" ht="18.75" customHeight="1" s="220"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</row>
    <row r="792" ht="18.75" customHeight="1" s="220"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</row>
    <row r="793" ht="18.75" customHeight="1" s="220"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</row>
    <row r="794" ht="18.75" customHeight="1" s="220"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</row>
    <row r="795" ht="18.75" customHeight="1" s="220"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</row>
    <row r="796" ht="18.75" customHeight="1" s="220"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</row>
    <row r="797" ht="18.75" customHeight="1" s="220"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</row>
    <row r="798" ht="18.75" customHeight="1" s="220"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</row>
    <row r="799" ht="18.75" customHeight="1" s="220"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</row>
    <row r="800" ht="18.75" customHeight="1" s="220"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</row>
    <row r="801" ht="18.75" customHeight="1" s="220"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</row>
    <row r="802" ht="18.75" customHeight="1" s="220"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</row>
    <row r="803" ht="18.75" customHeight="1" s="220"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</row>
    <row r="804" ht="18.75" customHeight="1" s="220"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</row>
    <row r="805" ht="18.75" customHeight="1" s="220"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</row>
    <row r="806" ht="18.75" customHeight="1" s="220"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</row>
    <row r="807" ht="18.75" customHeight="1" s="220"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</row>
    <row r="808" ht="18.75" customHeight="1" s="220"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</row>
    <row r="809" ht="18.75" customHeight="1" s="220"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</row>
    <row r="810" ht="18.75" customHeight="1" s="220"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</row>
    <row r="811" ht="18.75" customHeight="1" s="220"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</row>
    <row r="812" ht="18.75" customHeight="1" s="220"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</row>
    <row r="813" ht="18.75" customHeight="1" s="220"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</row>
    <row r="814" ht="18.75" customHeight="1" s="220"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</row>
    <row r="815" ht="18.75" customHeight="1" s="220"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</row>
    <row r="816" ht="18.75" customHeight="1" s="220"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</row>
    <row r="817" ht="18.75" customHeight="1" s="220"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</row>
    <row r="818" ht="18.75" customHeight="1" s="220"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</row>
    <row r="819" ht="18.75" customHeight="1" s="220"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</row>
    <row r="820" ht="18.75" customHeight="1" s="220"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</row>
    <row r="821" ht="18.75" customHeight="1" s="220"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</row>
    <row r="822" ht="18.75" customHeight="1" s="220"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</row>
    <row r="823" ht="18.75" customHeight="1" s="220"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</row>
    <row r="824" ht="18.75" customHeight="1" s="220"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</row>
    <row r="825" ht="18.75" customHeight="1" s="220"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</row>
    <row r="826" ht="18.75" customHeight="1" s="220"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</row>
    <row r="827" ht="18.75" customHeight="1" s="220"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</row>
    <row r="828" ht="18.75" customHeight="1" s="220"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</row>
    <row r="829" ht="18.75" customHeight="1" s="220"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</row>
    <row r="830" ht="18.75" customHeight="1" s="220"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</row>
    <row r="831" ht="18.75" customHeight="1" s="220"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</row>
    <row r="832" ht="18.75" customHeight="1" s="220"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</row>
    <row r="833" ht="18.75" customHeight="1" s="220"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</row>
    <row r="834" ht="18.75" customHeight="1" s="220"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</row>
    <row r="835" ht="18.75" customHeight="1" s="220"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</row>
    <row r="836" ht="18.75" customHeight="1" s="220"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</row>
    <row r="837" ht="18.75" customHeight="1" s="220"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</row>
    <row r="838" ht="18.75" customHeight="1" s="220"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</row>
    <row r="839" ht="18.75" customHeight="1" s="220"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</row>
    <row r="840" ht="18.75" customHeight="1" s="220"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</row>
    <row r="841" ht="18.75" customHeight="1" s="220"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</row>
    <row r="842" ht="18.75" customHeight="1" s="220"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</row>
    <row r="843" ht="18.75" customHeight="1" s="220"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</row>
    <row r="844" ht="18.75" customHeight="1" s="220"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</row>
    <row r="845" ht="18.75" customHeight="1" s="220"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</row>
    <row r="846" ht="18.75" customHeight="1" s="220"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</row>
    <row r="847" ht="18.75" customHeight="1" s="220"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</row>
    <row r="848" ht="18.75" customHeight="1" s="220"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</row>
    <row r="849" ht="18.75" customHeight="1" s="220"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</row>
    <row r="850" ht="18.75" customHeight="1" s="220"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</row>
    <row r="851" ht="18.75" customHeight="1" s="220"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</row>
    <row r="852" ht="18.75" customHeight="1" s="220"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</row>
    <row r="853" ht="18.75" customHeight="1" s="220"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</row>
    <row r="854" ht="18.75" customHeight="1" s="220"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</row>
    <row r="855" ht="18.75" customHeight="1" s="220"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</row>
    <row r="856" ht="18.75" customHeight="1" s="220"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</row>
    <row r="857" ht="18.75" customHeight="1" s="220"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</row>
    <row r="858" ht="18.75" customHeight="1" s="220"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</row>
    <row r="859" ht="18.75" customHeight="1" s="220"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</row>
    <row r="860" ht="18.75" customHeight="1" s="220"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</row>
    <row r="861" ht="18.75" customHeight="1" s="220"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</row>
    <row r="862" ht="18.75" customHeight="1" s="220"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</row>
    <row r="863" ht="18.75" customHeight="1" s="220"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</row>
    <row r="864" ht="18.75" customHeight="1" s="220"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</row>
    <row r="865" ht="18.75" customHeight="1" s="220"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</row>
    <row r="866" ht="18.75" customHeight="1" s="220"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</row>
    <row r="867" ht="18.75" customHeight="1" s="220"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</row>
    <row r="868" ht="18.75" customHeight="1" s="220"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</row>
    <row r="869" ht="18.75" customHeight="1" s="220"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</row>
    <row r="870" ht="18.75" customHeight="1" s="220"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</row>
    <row r="871" ht="18.75" customHeight="1" s="220"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</row>
    <row r="872" ht="18.75" customHeight="1" s="220"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</row>
    <row r="873" ht="18.75" customHeight="1" s="220"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</row>
    <row r="874" ht="18.75" customHeight="1" s="220"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</row>
    <row r="875" ht="18.75" customHeight="1" s="220"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</row>
    <row r="876" ht="18.75" customHeight="1" s="220"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</row>
    <row r="877" ht="18.75" customHeight="1" s="220"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</row>
    <row r="878" ht="18.75" customHeight="1" s="220"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</row>
    <row r="879" ht="18.75" customHeight="1" s="220"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</row>
    <row r="880" ht="18.75" customHeight="1" s="220"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</row>
    <row r="881" ht="18.75" customHeight="1" s="220"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</row>
    <row r="882" ht="18.75" customHeight="1" s="220"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</row>
    <row r="883" ht="18.75" customHeight="1" s="220"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</row>
    <row r="884" ht="18.75" customHeight="1" s="220"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</row>
    <row r="885" ht="18.75" customHeight="1" s="220"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</row>
    <row r="886" ht="18.75" customHeight="1" s="220"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</row>
    <row r="887" ht="18.75" customHeight="1" s="220"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</row>
    <row r="888" ht="18.75" customHeight="1" s="220"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</row>
    <row r="889" ht="18.75" customHeight="1" s="220"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</row>
    <row r="890" ht="18.75" customHeight="1" s="220"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</row>
    <row r="891" ht="18.75" customHeight="1" s="220"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</row>
    <row r="892" ht="18.75" customHeight="1" s="220"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</row>
    <row r="893" ht="18.75" customHeight="1" s="220"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</row>
    <row r="894" ht="18.75" customHeight="1" s="220"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</row>
    <row r="895" ht="18.75" customHeight="1" s="220"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</row>
    <row r="896" ht="18.75" customHeight="1" s="220"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</row>
    <row r="897" ht="18.75" customHeight="1" s="220"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</row>
    <row r="898" ht="18.75" customHeight="1" s="220"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</row>
    <row r="899" ht="18.75" customHeight="1" s="220"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</row>
    <row r="900" ht="18.75" customHeight="1" s="220"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</row>
    <row r="901" ht="18.75" customHeight="1" s="220"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</row>
    <row r="902" ht="18.75" customHeight="1" s="220"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</row>
    <row r="903" ht="18.75" customHeight="1" s="220"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</row>
    <row r="904" ht="18.75" customHeight="1" s="220"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</row>
    <row r="905" ht="18.75" customHeight="1" s="220"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</row>
    <row r="906" ht="18.75" customHeight="1" s="220"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</row>
    <row r="907" ht="18.75" customHeight="1" s="220"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</row>
    <row r="908" ht="18.75" customHeight="1" s="220"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</row>
    <row r="909" ht="18.75" customHeight="1" s="220"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</row>
    <row r="910" ht="18.75" customHeight="1" s="220"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</row>
    <row r="911" ht="18.75" customHeight="1" s="220"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</row>
    <row r="912" ht="18.75" customHeight="1" s="220"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</row>
    <row r="913" ht="18.75" customHeight="1" s="220"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</row>
    <row r="914" ht="18.75" customHeight="1" s="220"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</row>
    <row r="915" ht="18.75" customHeight="1" s="220"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</row>
    <row r="916" ht="18.75" customHeight="1" s="220"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</row>
    <row r="917" ht="18.75" customHeight="1" s="220"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</row>
    <row r="918" ht="18.75" customHeight="1" s="220"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</row>
    <row r="919" ht="18.75" customHeight="1" s="220"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</row>
    <row r="920" ht="18.75" customHeight="1" s="220"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</row>
    <row r="921" ht="18.75" customHeight="1" s="220"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</row>
    <row r="922" ht="18.75" customHeight="1" s="220"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</row>
    <row r="923" ht="18.75" customHeight="1" s="220"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</row>
    <row r="924" ht="18.75" customHeight="1" s="220"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</row>
    <row r="925" ht="18.75" customHeight="1" s="220"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</row>
    <row r="926" ht="18.75" customHeight="1" s="220"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</row>
    <row r="927" ht="18.75" customHeight="1" s="220"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</row>
    <row r="928" ht="18.75" customHeight="1" s="220"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</row>
    <row r="929" ht="18.75" customHeight="1" s="220"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</row>
    <row r="930" ht="18.75" customHeight="1" s="220"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</row>
    <row r="931" ht="18.75" customHeight="1" s="220"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</row>
    <row r="932" ht="18.75" customHeight="1" s="220"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</row>
    <row r="933" ht="18.75" customHeight="1" s="220"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</row>
    <row r="934" ht="18.75" customHeight="1" s="220"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</row>
    <row r="935" ht="18.75" customHeight="1" s="220"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</row>
    <row r="936" ht="18.75" customHeight="1" s="220"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</row>
    <row r="937" ht="18.75" customHeight="1" s="220"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</row>
    <row r="938" ht="18.75" customHeight="1" s="220"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</row>
    <row r="939" ht="18.75" customHeight="1" s="220"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</row>
    <row r="940" ht="18.75" customHeight="1" s="220"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</row>
    <row r="941" ht="18.75" customHeight="1" s="220"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</row>
    <row r="942" ht="18.75" customHeight="1" s="220"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</row>
    <row r="943" ht="18.75" customHeight="1" s="220"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</row>
    <row r="944" ht="18.75" customHeight="1" s="220"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</row>
    <row r="945" ht="18.75" customHeight="1" s="220"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</row>
    <row r="946" ht="18.75" customHeight="1" s="220"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</row>
    <row r="947" ht="18.75" customHeight="1" s="220"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</row>
    <row r="948" ht="18.75" customHeight="1" s="220"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</row>
    <row r="949" ht="18.75" customHeight="1" s="220"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</row>
    <row r="950" ht="18.75" customHeight="1" s="220"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</row>
    <row r="951" ht="18.75" customHeight="1" s="220"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</row>
    <row r="952" ht="18.75" customHeight="1" s="220"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</row>
    <row r="953" ht="18.75" customHeight="1" s="220"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</row>
    <row r="954" ht="18.75" customHeight="1" s="220"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</row>
    <row r="955" ht="18.75" customHeight="1" s="220"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</row>
    <row r="956" ht="18.75" customHeight="1" s="220"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</row>
    <row r="957" ht="18.75" customHeight="1" s="220"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</row>
    <row r="958" ht="18.75" customHeight="1" s="220"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</row>
    <row r="959" ht="18.75" customHeight="1" s="220"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</row>
    <row r="960" ht="18.75" customHeight="1" s="220"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</row>
    <row r="961" ht="18.75" customHeight="1" s="220"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</row>
    <row r="962" ht="18.75" customHeight="1" s="220"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</row>
    <row r="963" ht="18.75" customHeight="1" s="220"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</row>
    <row r="964" ht="18.75" customHeight="1" s="220"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</row>
    <row r="965" ht="18.75" customHeight="1" s="220"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</row>
    <row r="966" ht="18.75" customHeight="1" s="220"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</row>
    <row r="967" ht="18.75" customHeight="1" s="220"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</row>
    <row r="968" ht="18.75" customHeight="1" s="220"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</row>
    <row r="969" ht="18.75" customHeight="1" s="220"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</row>
    <row r="970" ht="18.75" customHeight="1" s="220"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</row>
    <row r="971" ht="18.75" customHeight="1" s="220"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</row>
    <row r="972" ht="18.75" customHeight="1" s="220"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</row>
    <row r="973" ht="18.75" customHeight="1" s="220"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</row>
    <row r="974" ht="18.75" customHeight="1" s="220"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</row>
    <row r="975" ht="18.75" customHeight="1" s="220"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</row>
    <row r="976" ht="18.75" customHeight="1" s="220"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</row>
    <row r="977" ht="18.75" customHeight="1" s="220"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</row>
    <row r="978" ht="18.75" customHeight="1" s="220"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</row>
    <row r="979" ht="18.75" customHeight="1" s="220"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</row>
    <row r="980" ht="18.75" customHeight="1" s="220"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</row>
    <row r="981" ht="18.75" customHeight="1" s="220"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</row>
    <row r="982" ht="18.75" customHeight="1" s="220"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</row>
    <row r="983" ht="18.75" customHeight="1" s="220"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</row>
    <row r="984" ht="18.75" customHeight="1" s="220"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</row>
    <row r="985" ht="18.75" customHeight="1" s="220"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</row>
    <row r="986" ht="18.75" customHeight="1" s="220"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</row>
    <row r="987" ht="18.75" customHeight="1" s="220"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</row>
    <row r="988" ht="18.75" customHeight="1" s="220"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</row>
    <row r="989" ht="18.75" customHeight="1" s="220"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</row>
    <row r="990" ht="18.75" customHeight="1" s="220"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</row>
    <row r="991" ht="18.75" customHeight="1" s="220"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</row>
    <row r="992" ht="18.75" customHeight="1" s="220"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</row>
    <row r="993" ht="18.75" customHeight="1" s="220"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</row>
    <row r="994" ht="18.75" customHeight="1" s="220"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</row>
    <row r="995" ht="18.75" customHeight="1" s="220"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</row>
    <row r="996" ht="18.75" customHeight="1" s="220"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</row>
    <row r="997" ht="18.75" customHeight="1" s="220"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</row>
    <row r="998" ht="18.75" customHeight="1" s="220"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</row>
    <row r="999" ht="18.75" customHeight="1" s="220"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</row>
    <row r="1000" ht="18.75" customHeight="1" s="220"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</row>
  </sheetData>
  <autoFilter ref="$A$1:$T$79"/>
  <dataValidations count="2">
    <dataValidation sqref="C1:C1000" showDropDown="0" showInputMessage="0" showErrorMessage="1" allowBlank="1" type="decimal">
      <formula1>0.0</formula1>
      <formula2>9.9999999999E10</formula2>
    </dataValidation>
    <dataValidation sqref="B2:B123" showDropDown="0" showInputMessage="0" showErrorMessage="1" allowBlank="1" type="list">
      <formula1>Prices!$A$9:$A$18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ColWidth="14.43" defaultRowHeight="15" customHeight="1"/>
  <cols>
    <col width="16.14" customWidth="1" style="220" min="1" max="1"/>
    <col width="10.14" customWidth="1" style="220" min="2" max="2"/>
    <col width="12.71" customWidth="1" style="220" min="3" max="3"/>
    <col width="10.14" customWidth="1" style="220" min="4" max="4"/>
    <col width="10.57" customWidth="1" style="220" min="5" max="5"/>
    <col width="10.14" customWidth="1" style="220" min="6" max="6"/>
    <col width="8.289999999999999" customWidth="1" style="220" min="7" max="7"/>
    <col width="5.43" customWidth="1" style="220" min="8" max="8"/>
    <col width="7.29" customWidth="1" style="220" min="9" max="9"/>
    <col width="5.86" customWidth="1" style="220" min="10" max="10"/>
    <col width="8.710000000000001" customWidth="1" style="220" min="11" max="26"/>
  </cols>
  <sheetData>
    <row r="1">
      <c r="A1" s="30" t="inlineStr">
        <is>
          <t>Mens Ring Stock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</row>
    <row r="2">
      <c r="A2" s="219" t="inlineStr">
        <is>
          <t>Net Weight</t>
        </is>
      </c>
      <c r="B2" s="219" t="inlineStr">
        <is>
          <t>Wstg + MC</t>
        </is>
      </c>
      <c r="C2" s="219" t="inlineStr">
        <is>
          <t>Gross Weight</t>
        </is>
      </c>
      <c r="D2" s="219" t="inlineStr">
        <is>
          <t>Dmd &lt;0.06</t>
        </is>
      </c>
      <c r="E2" s="219" t="inlineStr">
        <is>
          <t>Dmd &lt; 0.12</t>
        </is>
      </c>
      <c r="F2" s="219" t="inlineStr">
        <is>
          <t>Dmd &lt;0.17</t>
        </is>
      </c>
      <c r="G2" s="219" t="inlineStr">
        <is>
          <t>Dmd Big</t>
        </is>
      </c>
      <c r="H2" s="219" t="inlineStr">
        <is>
          <t>Ruby</t>
        </is>
      </c>
      <c r="I2" s="219" t="inlineStr">
        <is>
          <t>Emreld</t>
        </is>
      </c>
      <c r="J2" s="219" t="inlineStr">
        <is>
          <t>Muga</t>
        </is>
      </c>
      <c r="O2" s="30" t="inlineStr">
        <is>
          <t>Available</t>
        </is>
      </c>
    </row>
    <row r="3">
      <c r="A3" s="30">
        <f>SUMIF('Gents Ring'!$U2:$U999,'Stock Sheet'!$O2,'Gents Ring'!B2:B999)</f>
        <v/>
      </c>
      <c r="B3" s="30">
        <f>SUMIF('Gents Ring'!$U2:$U999,'Stock Sheet'!$O2,'Gents Ring'!C2:C999)</f>
        <v/>
      </c>
      <c r="C3" s="30">
        <f>SUMIF('Gents Ring'!$U2:$U999,'Stock Sheet'!$O2,'Gents Ring'!D2:D999)</f>
        <v/>
      </c>
      <c r="D3" s="30">
        <f>SUMIF('Gents Ring'!$U2:$U999,'Stock Sheet'!$O2,'Gents Ring'!E2:E999)</f>
        <v/>
      </c>
      <c r="E3" s="30">
        <f>SUMIF('Gents Ring'!$U2:$U999,'Stock Sheet'!$O2,'Gents Ring'!F2:F999)</f>
        <v/>
      </c>
      <c r="F3" s="30">
        <f>SUMIF('Gents Ring'!$U2:$U999,'Stock Sheet'!$O2,'Gents Ring'!G2:G999)</f>
        <v/>
      </c>
      <c r="G3" s="30">
        <f>SUMIF('Gents Ring'!$U2:$U999,'Stock Sheet'!$O2,'Gents Ring'!H2:H999)</f>
        <v/>
      </c>
      <c r="H3" s="30">
        <f>SUMIF('Gents Ring'!$U2:$U999,'Stock Sheet'!$O2,'Gents Ring'!I2:I999)</f>
        <v/>
      </c>
      <c r="I3" s="30">
        <f>SUMIF('Gents Ring'!$U2:$U999,'Stock Sheet'!$O2,'Gents Ring'!J2:J999)</f>
        <v/>
      </c>
      <c r="J3" s="30">
        <f>SUMIF('Gents Ring'!$U2:$U999,'Stock Sheet'!$O2,'Gents Ring'!K2:K999)</f>
        <v/>
      </c>
      <c r="K3" s="30">
        <f>COUNTIF('Gents Ring'!$U$2:$U$999,'Stock Sheet'!O2)</f>
        <v/>
      </c>
      <c r="O3" s="30" t="inlineStr">
        <is>
          <t>Sold</t>
        </is>
      </c>
    </row>
    <row r="5">
      <c r="A5" s="30" t="inlineStr">
        <is>
          <t>Ladies Ring Stock</t>
        </is>
      </c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</row>
    <row r="6">
      <c r="A6" s="219" t="inlineStr">
        <is>
          <t>Net Weight</t>
        </is>
      </c>
      <c r="B6" s="219" t="inlineStr">
        <is>
          <t>Wstg + MC</t>
        </is>
      </c>
      <c r="C6" s="219" t="inlineStr">
        <is>
          <t>Gross Weight</t>
        </is>
      </c>
      <c r="D6" s="219" t="inlineStr">
        <is>
          <t>Dmd &lt;0.06</t>
        </is>
      </c>
      <c r="E6" s="219" t="inlineStr">
        <is>
          <t>Dmd &lt; 0.12</t>
        </is>
      </c>
      <c r="F6" s="219" t="inlineStr">
        <is>
          <t>Dmd &lt;0.17</t>
        </is>
      </c>
      <c r="G6" s="219" t="inlineStr">
        <is>
          <t>Dmd Big</t>
        </is>
      </c>
      <c r="H6" s="219" t="inlineStr">
        <is>
          <t>Ruby</t>
        </is>
      </c>
      <c r="I6" s="219" t="inlineStr">
        <is>
          <t>Emreld</t>
        </is>
      </c>
      <c r="J6" s="219" t="inlineStr">
        <is>
          <t>Muga</t>
        </is>
      </c>
    </row>
    <row r="7">
      <c r="A7" s="30">
        <f>SUMIF('Ladies Ring'!$U$2:$U$1002,'Stock Sheet'!$O$2,'Ladies Ring'!B$2:B$1002)</f>
        <v/>
      </c>
      <c r="B7" s="30">
        <f>SUMIF('Ladies Ring'!$U$2:$U$1002,'Stock Sheet'!$O$2,'Ladies Ring'!C$2:C$1002)</f>
        <v/>
      </c>
      <c r="C7" s="30">
        <f>SUMIF('Ladies Ring'!$U$2:$U$1002,'Stock Sheet'!$O$2,'Ladies Ring'!D$2:D$1002)</f>
        <v/>
      </c>
      <c r="D7" s="30">
        <f>SUMIF('Ladies Ring'!$U$2:$U$1002,'Stock Sheet'!$O$2,'Ladies Ring'!E$2:E$1002)</f>
        <v/>
      </c>
      <c r="E7" s="30">
        <f>SUMIF('Ladies Ring'!$U$2:$U$1002,'Stock Sheet'!$O$2,'Ladies Ring'!F$2:F$1002)</f>
        <v/>
      </c>
      <c r="F7" s="30">
        <f>SUMIF('Ladies Ring'!$U$2:$U$1002,'Stock Sheet'!$O$2,'Ladies Ring'!G$2:G$1002)</f>
        <v/>
      </c>
      <c r="G7" s="30">
        <f>SUMIF('Ladies Ring'!$U$2:$U$1002,'Stock Sheet'!$O$2,'Ladies Ring'!H$2:H$1002)</f>
        <v/>
      </c>
      <c r="H7" s="30">
        <f>SUMIF('Ladies Ring'!$U$2:$U$1002,'Stock Sheet'!$O$2,'Ladies Ring'!I$2:I$1002)</f>
        <v/>
      </c>
      <c r="I7" s="30">
        <f>SUMIF('Ladies Ring'!$U$2:$U$1002,'Stock Sheet'!$O$2,'Ladies Ring'!J$2:J$1002)</f>
        <v/>
      </c>
      <c r="J7" s="30">
        <f>SUMIF('Ladies Ring'!$U$2:$U$1002,'Stock Sheet'!$O$2,'Ladies Ring'!K$2:K$1002)</f>
        <v/>
      </c>
      <c r="K7" s="30">
        <f>COUNTIF('Ladies Ring'!$U$2:$U$998,'Stock Sheet'!$O$2)</f>
        <v/>
      </c>
    </row>
    <row r="9">
      <c r="A9" s="30" t="inlineStr">
        <is>
          <t>Top Stock</t>
        </is>
      </c>
      <c r="B9" s="30" t="n"/>
      <c r="C9" s="30" t="n"/>
      <c r="D9" s="30" t="n"/>
      <c r="E9" s="30" t="n"/>
      <c r="F9" s="30" t="n"/>
      <c r="G9" s="30" t="n"/>
      <c r="H9" s="30" t="n"/>
      <c r="I9" s="30" t="n"/>
      <c r="J9" s="30" t="n"/>
    </row>
    <row r="10">
      <c r="A10" s="219" t="inlineStr">
        <is>
          <t>Net Weight</t>
        </is>
      </c>
      <c r="B10" s="219" t="inlineStr">
        <is>
          <t>Wstg + MC</t>
        </is>
      </c>
      <c r="C10" s="219" t="inlineStr">
        <is>
          <t>Gross Weight</t>
        </is>
      </c>
      <c r="D10" s="219" t="inlineStr">
        <is>
          <t>Dmd &lt;0.06</t>
        </is>
      </c>
      <c r="E10" s="219" t="inlineStr">
        <is>
          <t>Dmd &lt; 0.12</t>
        </is>
      </c>
      <c r="F10" s="219" t="inlineStr">
        <is>
          <t>Dmd &lt;0.17</t>
        </is>
      </c>
      <c r="G10" s="219" t="inlineStr">
        <is>
          <t>Dmd Big</t>
        </is>
      </c>
      <c r="H10" s="219" t="inlineStr">
        <is>
          <t>Ruby</t>
        </is>
      </c>
      <c r="I10" s="219" t="inlineStr">
        <is>
          <t>Emreld</t>
        </is>
      </c>
      <c r="J10" s="219" t="inlineStr">
        <is>
          <t>Muga</t>
        </is>
      </c>
    </row>
    <row r="11">
      <c r="A11" s="30">
        <f>SUMIF(Top!$U$2:$U$1004,'Stock Sheet'!$O$2,Top!B$2:B$1004)</f>
        <v/>
      </c>
      <c r="B11" s="30">
        <f>SUMIF(Top!$U$2:$U$1004,'Stock Sheet'!$O$2,Top!C$2:C$1004)</f>
        <v/>
      </c>
      <c r="C11" s="30">
        <f>SUMIF(Top!$U$2:$U$1004,'Stock Sheet'!$O$2,Top!D$2:D$1004)</f>
        <v/>
      </c>
      <c r="D11" s="30">
        <f>SUMIF(Top!$U$2:$U$1004,'Stock Sheet'!$O$2,Top!E$2:E$1004)</f>
        <v/>
      </c>
      <c r="E11" s="30">
        <f>SUMIF(Top!$U$2:$U$1004,'Stock Sheet'!$O$2,Top!F$2:F$1004)</f>
        <v/>
      </c>
      <c r="F11" s="30">
        <f>SUMIF(Top!$U$2:$U$1004,'Stock Sheet'!$O$2,Top!G$2:G$1004)</f>
        <v/>
      </c>
      <c r="G11" s="30">
        <f>SUMIF(Top!$U$2:$U$1004,'Stock Sheet'!$O$2,Top!H$2:H$1004)</f>
        <v/>
      </c>
      <c r="H11" s="30">
        <f>SUMIF(Top!$U$2:$U$1004,'Stock Sheet'!$O$2,Top!I$2:I$1004)</f>
        <v/>
      </c>
      <c r="I11" s="30">
        <f>SUMIF(Top!$U$2:$U$1004,'Stock Sheet'!$O$2,Top!J$2:J$1004)</f>
        <v/>
      </c>
      <c r="J11" s="30">
        <f>SUMIF(Top!$U$2:$U$1004,'Stock Sheet'!$O$2,Top!K$2:K$1004)</f>
        <v/>
      </c>
      <c r="K11" s="30">
        <f>COUNTIF(Top!$U$2:$U$1000,'Stock Sheet'!$O$2)</f>
        <v/>
      </c>
    </row>
    <row r="13">
      <c r="A13" s="30" t="inlineStr">
        <is>
          <t>Locket Stock</t>
        </is>
      </c>
      <c r="B13" s="30" t="n"/>
      <c r="C13" s="30" t="n"/>
      <c r="D13" s="30" t="n"/>
      <c r="E13" s="30" t="n"/>
      <c r="F13" s="30" t="n"/>
      <c r="G13" s="30" t="n"/>
      <c r="H13" s="30" t="n"/>
      <c r="I13" s="30" t="n"/>
      <c r="J13" s="30" t="n"/>
    </row>
    <row r="14">
      <c r="A14" s="219" t="inlineStr">
        <is>
          <t>Net Weight</t>
        </is>
      </c>
      <c r="B14" s="219" t="inlineStr">
        <is>
          <t>Wstg + MC</t>
        </is>
      </c>
      <c r="C14" s="219" t="inlineStr">
        <is>
          <t>Gross Weight</t>
        </is>
      </c>
      <c r="D14" s="219" t="inlineStr">
        <is>
          <t>Dmd &lt;0.06</t>
        </is>
      </c>
      <c r="E14" s="219" t="inlineStr">
        <is>
          <t>Dmd &lt; 0.12</t>
        </is>
      </c>
      <c r="F14" s="219" t="inlineStr">
        <is>
          <t>Dmd &lt;0.17</t>
        </is>
      </c>
      <c r="G14" s="219" t="inlineStr">
        <is>
          <t>Dmd Big</t>
        </is>
      </c>
      <c r="H14" s="219" t="inlineStr">
        <is>
          <t>Ruby</t>
        </is>
      </c>
      <c r="I14" s="219" t="inlineStr">
        <is>
          <t>Emreld</t>
        </is>
      </c>
      <c r="J14" s="219" t="inlineStr">
        <is>
          <t>Muga</t>
        </is>
      </c>
    </row>
    <row r="15">
      <c r="A15" s="30">
        <f>SUMIF(Locket!$U$2:$U$1003,'Stock Sheet'!$O$2,Locket!B$2:B$1003)</f>
        <v/>
      </c>
      <c r="B15" s="30">
        <f>SUMIF(Locket!$U$2:$U$1003,'Stock Sheet'!$O$2,Locket!C$2:C$1003)</f>
        <v/>
      </c>
      <c r="C15" s="30">
        <f>SUMIF(Locket!$U$2:$U$1003,'Stock Sheet'!$O$2,Locket!D$2:D$1003)</f>
        <v/>
      </c>
      <c r="D15" s="30">
        <f>SUMIF(Locket!$U$2:$U$1003,'Stock Sheet'!$O$2,Locket!E$2:E$1003)</f>
        <v/>
      </c>
      <c r="E15" s="30">
        <f>SUMIF(Locket!$U$2:$U$1003,'Stock Sheet'!$O$2,Locket!F$2:F$1003)</f>
        <v/>
      </c>
      <c r="F15" s="30">
        <f>SUMIF(Locket!$U$2:$U$1003,'Stock Sheet'!$O$2,Locket!G$2:G$1003)</f>
        <v/>
      </c>
      <c r="G15" s="30">
        <f>SUMIF(Locket!$U$2:$U$1003,'Stock Sheet'!$O$2,Locket!H$2:H$1003)</f>
        <v/>
      </c>
      <c r="H15" s="30">
        <f>SUMIF(Locket!$U$2:$U$1003,'Stock Sheet'!$O$2,Locket!I$2:I$1003)</f>
        <v/>
      </c>
      <c r="I15" s="30">
        <f>SUMIF(Locket!$U$2:$U$1003,'Stock Sheet'!$O$2,Locket!J$2:J$1003)</f>
        <v/>
      </c>
      <c r="J15" s="30">
        <f>SUMIF(Locket!$U$2:$U$1003,'Stock Sheet'!$O$2,Locket!K$2:K$1003)</f>
        <v/>
      </c>
      <c r="K15" s="30">
        <f>COUNTIF(Locket!$U$2:$U$999,'Stock Sheet'!$O$2)</f>
        <v/>
      </c>
    </row>
    <row r="17" ht="15.75" customHeight="1" s="220">
      <c r="A17" s="30" t="inlineStr">
        <is>
          <t>Necklace Stock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</row>
    <row r="18" ht="15.75" customHeight="1" s="220">
      <c r="A18" s="219" t="inlineStr">
        <is>
          <t>Net Weight</t>
        </is>
      </c>
      <c r="B18" s="219" t="inlineStr">
        <is>
          <t>Wstg + MC</t>
        </is>
      </c>
      <c r="C18" s="219" t="inlineStr">
        <is>
          <t>Gross Weight</t>
        </is>
      </c>
      <c r="D18" s="219" t="inlineStr">
        <is>
          <t>Dmd &lt;0.06</t>
        </is>
      </c>
      <c r="E18" s="219" t="inlineStr">
        <is>
          <t>Dmd &lt; 0.12</t>
        </is>
      </c>
      <c r="F18" s="219" t="inlineStr">
        <is>
          <t>Dmd &lt;0.17</t>
        </is>
      </c>
      <c r="G18" s="219" t="inlineStr">
        <is>
          <t>Dmd Big</t>
        </is>
      </c>
      <c r="H18" s="219" t="inlineStr">
        <is>
          <t>Ruby</t>
        </is>
      </c>
      <c r="I18" s="219" t="inlineStr">
        <is>
          <t>Emreld</t>
        </is>
      </c>
      <c r="J18" s="219" t="inlineStr">
        <is>
          <t>Muga</t>
        </is>
      </c>
    </row>
    <row r="19" ht="15.75" customHeight="1" s="220">
      <c r="A19" s="30">
        <f>SUMIF(Necklace!$U$2:$U$1003,'Stock Sheet'!$O$2,Necklace!B$2:B$1003)</f>
        <v/>
      </c>
      <c r="B19" s="30">
        <f>SUMIF(Necklace!$U$2:$U$1003,'Stock Sheet'!$O$2,Necklace!C$2:C$1003)</f>
        <v/>
      </c>
      <c r="C19" s="30">
        <f>SUMIF(Necklace!$U$2:$U$1003,'Stock Sheet'!$O$2,Necklace!D$2:D$1003)</f>
        <v/>
      </c>
      <c r="D19" s="30">
        <f>SUMIF(Necklace!$U$2:$U$1003,'Stock Sheet'!$O$2,Necklace!E$2:E$1003)</f>
        <v/>
      </c>
      <c r="E19" s="30">
        <f>SUMIF(Necklace!$U$2:$U$1003,'Stock Sheet'!$O$2,Necklace!F$2:F$1003)</f>
        <v/>
      </c>
      <c r="F19" s="30">
        <f>SUMIF(Necklace!$U$2:$U$1003,'Stock Sheet'!$O$2,Necklace!G$2:G$1003)</f>
        <v/>
      </c>
      <c r="G19" s="30">
        <f>SUMIF(Necklace!$U$2:$U$1003,'Stock Sheet'!$O$2,Necklace!H$2:H$1003)</f>
        <v/>
      </c>
      <c r="H19" s="30">
        <f>SUMIF(Necklace!$U$2:$U$1003,'Stock Sheet'!$O$2,Necklace!I$2:I$1003)</f>
        <v/>
      </c>
      <c r="I19" s="30">
        <f>SUMIF(Necklace!$U$2:$U$1003,'Stock Sheet'!$O$2,Necklace!J$2:J$1003)</f>
        <v/>
      </c>
      <c r="J19" s="30">
        <f>SUMIF(Necklace!$U$2:$U$1003,'Stock Sheet'!$O$2,Necklace!K$2:K$1003)</f>
        <v/>
      </c>
      <c r="K19" s="30">
        <f>COUNTIF(Necklace!$U$2:$U$999,'Stock Sheet'!$O$2)</f>
        <v/>
      </c>
    </row>
    <row r="20" ht="15.75" customHeight="1" s="220"/>
    <row r="21" ht="15.75" customHeight="1" s="220">
      <c r="A21" s="30" t="inlineStr">
        <is>
          <t>Chura Stock</t>
        </is>
      </c>
      <c r="B21" s="30" t="n"/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 ht="15.75" customHeight="1" s="220">
      <c r="A22" s="219" t="inlineStr">
        <is>
          <t>Net Weight</t>
        </is>
      </c>
      <c r="B22" s="219" t="inlineStr">
        <is>
          <t>Wstg + MC</t>
        </is>
      </c>
      <c r="C22" s="219" t="inlineStr">
        <is>
          <t>Gross Weight</t>
        </is>
      </c>
      <c r="D22" s="219" t="inlineStr">
        <is>
          <t>Dmd &lt;0.06</t>
        </is>
      </c>
      <c r="E22" s="219" t="inlineStr">
        <is>
          <t>Dmd &lt; 0.12</t>
        </is>
      </c>
      <c r="F22" s="219" t="inlineStr">
        <is>
          <t>Dmd &lt;0.17</t>
        </is>
      </c>
      <c r="G22" s="219" t="inlineStr">
        <is>
          <t>Dmd Big</t>
        </is>
      </c>
      <c r="H22" s="219" t="inlineStr">
        <is>
          <t>Ruby</t>
        </is>
      </c>
      <c r="I22" s="219" t="inlineStr">
        <is>
          <t>Emreld</t>
        </is>
      </c>
      <c r="J22" s="219" t="inlineStr">
        <is>
          <t>Muga</t>
        </is>
      </c>
    </row>
    <row r="23" ht="15.75" customHeight="1" s="220">
      <c r="A23" s="30">
        <f>SUMIF(Chura!$U$2:$U$1003,'Stock Sheet'!$O$2,Chura!B$2:B$1003)</f>
        <v/>
      </c>
      <c r="B23" s="30">
        <f>SUMIF(Chura!$U$2:$U$1003,'Stock Sheet'!$O$2,Chura!C$2:C$1003)</f>
        <v/>
      </c>
      <c r="C23" s="30">
        <f>SUMIF(Chura!$U$2:$U$1003,'Stock Sheet'!$O$2,Chura!D$2:D$1003)</f>
        <v/>
      </c>
      <c r="D23" s="30">
        <f>SUMIF(Chura!$U$2:$U$1003,'Stock Sheet'!$O$2,Chura!E$2:E$1003)</f>
        <v/>
      </c>
      <c r="E23" s="30">
        <f>SUMIF(Chura!$U$2:$U$1003,'Stock Sheet'!$O$2,Chura!F$2:F$1003)</f>
        <v/>
      </c>
      <c r="F23" s="30">
        <f>SUMIF(Chura!$U$2:$U$1003,'Stock Sheet'!$O$2,Chura!G$2:G$1003)</f>
        <v/>
      </c>
      <c r="G23" s="30">
        <f>SUMIF(Chura!$U$2:$U$1003,'Stock Sheet'!$O$2,Chura!H$2:H$1003)</f>
        <v/>
      </c>
      <c r="H23" s="30">
        <f>SUMIF(Chura!$U$2:$U$1003,'Stock Sheet'!$O$2,Chura!I$2:I$1003)</f>
        <v/>
      </c>
      <c r="I23" s="30">
        <f>SUMIF(Chura!$U$2:$U$1003,'Stock Sheet'!$O$2,Chura!J$2:J$1003)</f>
        <v/>
      </c>
      <c r="J23" s="30">
        <f>SUMIF(Chura!$U$2:$U$1003,'Stock Sheet'!$O$2,Chura!K$2:K$1003)</f>
        <v/>
      </c>
      <c r="K23" s="30">
        <f>COUNTIF(Chura!$U$2:$U$999,'Stock Sheet'!$O$2)</f>
        <v/>
      </c>
    </row>
    <row r="24" ht="15.75" customHeight="1" s="220"/>
    <row r="25" ht="15.75" customHeight="1" s="220">
      <c r="A25" s="30" t="inlineStr">
        <is>
          <t>Jagganath Stock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</row>
    <row r="26" ht="15.75" customHeight="1" s="220">
      <c r="A26" s="219" t="inlineStr">
        <is>
          <t>Net Weight</t>
        </is>
      </c>
      <c r="B26" s="219" t="inlineStr">
        <is>
          <t>Wstg + MC</t>
        </is>
      </c>
      <c r="C26" s="219" t="inlineStr">
        <is>
          <t>Gross Weight</t>
        </is>
      </c>
      <c r="D26" s="219" t="inlineStr">
        <is>
          <t>Dmd &lt;0.06</t>
        </is>
      </c>
      <c r="E26" s="219" t="inlineStr">
        <is>
          <t>Dmd &lt; 0.12</t>
        </is>
      </c>
      <c r="F26" s="219" t="inlineStr">
        <is>
          <t>Dmd &lt;0.17</t>
        </is>
      </c>
      <c r="G26" s="219" t="inlineStr">
        <is>
          <t>Dmd Big</t>
        </is>
      </c>
      <c r="H26" s="219" t="inlineStr">
        <is>
          <t>Ruby</t>
        </is>
      </c>
      <c r="I26" s="219" t="inlineStr">
        <is>
          <t>Emreld</t>
        </is>
      </c>
      <c r="J26" s="219" t="inlineStr">
        <is>
          <t>Muga</t>
        </is>
      </c>
    </row>
    <row r="27" ht="15.75" customHeight="1" s="220">
      <c r="A27" s="30">
        <f>SUMIF(Jagganath!$U$2:$U$1003,'Stock Sheet'!$O$2,Jagganath!B$2:B$1003)</f>
        <v/>
      </c>
      <c r="B27" s="30">
        <f>SUMIF(Jagganath!$U$2:$U$1003,'Stock Sheet'!$O$2,Jagganath!C$2:C$1003)</f>
        <v/>
      </c>
      <c r="C27" s="30">
        <f>SUMIF(Jagganath!$U$2:$U$1003,'Stock Sheet'!$O$2,Jagganath!D$2:D$1003)</f>
        <v/>
      </c>
      <c r="D27" s="30">
        <f>SUMIF(Jagganath!$U$2:$U$1003,'Stock Sheet'!$O$2,Jagganath!E$2:E$1003)</f>
        <v/>
      </c>
      <c r="E27" s="30">
        <f>SUMIF(Jagganath!$U$2:$U$1003,'Stock Sheet'!$O$2,Jagganath!F$2:F$1003)</f>
        <v/>
      </c>
      <c r="F27" s="30">
        <f>SUMIF(Jagganath!$U$2:$U$1003,'Stock Sheet'!$O$2,Jagganath!G$2:G$1003)</f>
        <v/>
      </c>
      <c r="G27" s="30">
        <f>SUMIF(Jagganath!$U$2:$U$1003,'Stock Sheet'!$O$2,Jagganath!H$2:H$1003)</f>
        <v/>
      </c>
      <c r="H27" s="30">
        <f>SUMIF(Jagganath!$U$2:$U$1003,'Stock Sheet'!$O$2,Jagganath!I$2:I$1003)</f>
        <v/>
      </c>
      <c r="I27" s="30">
        <f>SUMIF(Jagganath!$U$2:$U$1003,'Stock Sheet'!$O$2,Jagganath!J$2:J$1003)</f>
        <v/>
      </c>
      <c r="J27" s="30">
        <f>SUMIF(Jagganath!$U$2:$U$1003,'Stock Sheet'!$O$2,Jagganath!K$2:K$1003)</f>
        <v/>
      </c>
      <c r="K27" s="30">
        <f>COUNTIF(Jagganath!$U$2:$U$999,'Stock Sheet'!$O$2)</f>
        <v/>
      </c>
    </row>
    <row r="28" ht="15.75" customHeight="1" s="220"/>
    <row r="29" ht="15.75" customHeight="1" s="220">
      <c r="A29" s="30" t="inlineStr">
        <is>
          <t>Prithivi Stock</t>
        </is>
      </c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</row>
    <row r="30" ht="15.75" customHeight="1" s="220">
      <c r="A30" s="219" t="inlineStr">
        <is>
          <t>Net Weight</t>
        </is>
      </c>
      <c r="B30" s="219" t="inlineStr">
        <is>
          <t>Wstg + MC</t>
        </is>
      </c>
      <c r="C30" s="219" t="inlineStr">
        <is>
          <t>Gross Weight</t>
        </is>
      </c>
      <c r="D30" s="219" t="inlineStr">
        <is>
          <t>Dmd &lt;0.06</t>
        </is>
      </c>
      <c r="E30" s="219" t="inlineStr">
        <is>
          <t>Dmd &lt; 0.12</t>
        </is>
      </c>
      <c r="F30" s="219" t="inlineStr">
        <is>
          <t>Dmd &lt;0.17</t>
        </is>
      </c>
      <c r="G30" s="219" t="inlineStr">
        <is>
          <t>Dmd Big</t>
        </is>
      </c>
      <c r="H30" s="219" t="inlineStr">
        <is>
          <t>Ruby</t>
        </is>
      </c>
      <c r="I30" s="219" t="inlineStr">
        <is>
          <t>Emreld</t>
        </is>
      </c>
      <c r="J30" s="219" t="inlineStr">
        <is>
          <t>Muga</t>
        </is>
      </c>
    </row>
    <row r="31" ht="15.75" customHeight="1" s="220">
      <c r="A31" s="30">
        <f>SUMIF(Prithivi!$U$2:$U$997,'Stock Sheet'!$O$2,Prithivi!B$2:B$997)</f>
        <v/>
      </c>
      <c r="B31" s="30">
        <f>SUMIF(Prithivi!$U$2:$U$997,'Stock Sheet'!$O$2,Prithivi!C$2:C$997)</f>
        <v/>
      </c>
      <c r="C31" s="30">
        <f>SUMIF(Prithivi!$U$2:$U$997,'Stock Sheet'!$O$2,Prithivi!D$2:D$997)</f>
        <v/>
      </c>
      <c r="D31" s="30">
        <f>SUMIF(Prithivi!$U$2:$U$997,'Stock Sheet'!$O$2,Prithivi!E$2:E$997)</f>
        <v/>
      </c>
      <c r="E31" s="30">
        <f>SUMIF(Prithivi!$U$2:$U$997,'Stock Sheet'!$O$2,Prithivi!F$2:F$997)</f>
        <v/>
      </c>
      <c r="F31" s="30">
        <f>SUMIF(Prithivi!$U$2:$U$997,'Stock Sheet'!$O$2,Prithivi!G$2:G$997)</f>
        <v/>
      </c>
      <c r="G31" s="30">
        <f>SUMIF(Prithivi!$U$2:$U$997,'Stock Sheet'!$O$2,Prithivi!H$2:H$997)</f>
        <v/>
      </c>
      <c r="H31" s="30">
        <f>SUMIF(Prithivi!$U$2:$U$997,'Stock Sheet'!$O$2,Prithivi!I$2:I$997)</f>
        <v/>
      </c>
      <c r="I31" s="30">
        <f>SUMIF(Prithivi!$U$2:$U$997,'Stock Sheet'!$O$2,Prithivi!J$2:J$997)</f>
        <v/>
      </c>
      <c r="J31" s="30">
        <f>SUMIF(Prithivi!$U$2:$U$997,'Stock Sheet'!$O$2,Prithivi!K$2:K$997)</f>
        <v/>
      </c>
      <c r="K31" s="30">
        <f>COUNTIF(Prithivi!$U$2:$U$993,'Stock Sheet'!$O$2)</f>
        <v/>
      </c>
    </row>
    <row r="32" ht="15.75" customHeight="1" s="220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 ht="15.75" customHeight="1" s="220">
      <c r="K33" s="30" t="n"/>
    </row>
    <row r="34" ht="15.75" customHeight="1" s="220">
      <c r="A34" s="30" t="inlineStr">
        <is>
          <t>Total</t>
        </is>
      </c>
    </row>
    <row r="35" ht="15.75" customHeight="1" s="220">
      <c r="B35" s="30" t="inlineStr">
        <is>
          <t>Gold</t>
        </is>
      </c>
      <c r="C35" s="30" t="inlineStr">
        <is>
          <t>Diamond</t>
        </is>
      </c>
      <c r="D35" s="219" t="inlineStr">
        <is>
          <t>Dmd &lt;0.06</t>
        </is>
      </c>
      <c r="E35" s="219" t="inlineStr">
        <is>
          <t>Dmd &lt; 0.12</t>
        </is>
      </c>
      <c r="F35" s="219" t="inlineStr">
        <is>
          <t>Dmd &lt;0.17</t>
        </is>
      </c>
      <c r="G35" s="219" t="inlineStr">
        <is>
          <t>Dmd Big</t>
        </is>
      </c>
      <c r="H35" s="219" t="inlineStr">
        <is>
          <t>Ruby</t>
        </is>
      </c>
      <c r="I35" s="219" t="inlineStr">
        <is>
          <t>Emreld</t>
        </is>
      </c>
      <c r="J35" s="219" t="inlineStr">
        <is>
          <t>Muga</t>
        </is>
      </c>
    </row>
    <row r="36" ht="15.75" customHeight="1" s="220">
      <c r="A36" s="30" t="inlineStr">
        <is>
          <t>14K</t>
        </is>
      </c>
      <c r="B36" s="30">
        <f>A3+A7+A11+A15+A19+A23+A27+A31</f>
        <v/>
      </c>
      <c r="C36" s="30">
        <f>D3+E3+F3+G3+D7+E7+F7+G7+G11+F11+E11+D11+D15+E15+F15+G15+D19+E19+F19+G19+G23+F23+E23+D23+D27+E27+F27+G27+D31+E31+F31+G31</f>
        <v/>
      </c>
      <c r="D36" s="30">
        <f>SUM(D3+D7+D11+D15+D19+D23+D27+D31)</f>
        <v/>
      </c>
      <c r="E36" s="30">
        <f>SUM(E3+E7+E11+E15+E19+E23+E27+E31)</f>
        <v/>
      </c>
      <c r="F36" s="30">
        <f>SUM(F3+F7+F11+F15+F19+F23+F27+F31)</f>
        <v/>
      </c>
      <c r="G36" s="30">
        <f>SUM(G3+G7+G11+G15+G19+G23+G27+G31)</f>
        <v/>
      </c>
      <c r="H36" s="30">
        <f>SUM(H3+H7+H11+H15+H19+H23+H27+H31)</f>
        <v/>
      </c>
      <c r="I36" s="30">
        <f>SUM(I3+I7+I11+I15+I19+I23+I27+I31)</f>
        <v/>
      </c>
      <c r="J36" s="30">
        <f>SUM(J3+J7+J11+J15+J19+J23+J27+J31)</f>
        <v/>
      </c>
    </row>
    <row r="37" ht="15.75" customHeight="1" s="220">
      <c r="A37" s="30" t="inlineStr">
        <is>
          <t>Pure</t>
        </is>
      </c>
      <c r="B37" s="30">
        <f>B36*60%</f>
        <v/>
      </c>
    </row>
    <row r="38" ht="15.75" customHeight="1" s="220"/>
    <row r="39" ht="15.75" customHeight="1" s="220">
      <c r="A39" s="30" t="inlineStr">
        <is>
          <t>14K</t>
        </is>
      </c>
      <c r="B39" s="30">
        <f>(B36+(B36*0.25))*Prices!A2</f>
        <v/>
      </c>
      <c r="C39" s="30">
        <f>C36*58000</f>
        <v/>
      </c>
      <c r="D39" s="30">
        <f>C39+B39</f>
        <v/>
      </c>
      <c r="E39" s="30" t="n"/>
    </row>
    <row r="40" ht="15.75" customHeight="1" s="220">
      <c r="A40" s="30" t="inlineStr">
        <is>
          <t>Pure</t>
        </is>
      </c>
      <c r="B40" s="30">
        <f>B37*Prices!B5</f>
        <v/>
      </c>
      <c r="C40" s="30">
        <f>C36*38000</f>
        <v/>
      </c>
      <c r="D40" s="30">
        <f>C40+B40</f>
        <v/>
      </c>
      <c r="E40" s="30" t="n"/>
      <c r="F40" s="30" t="n"/>
    </row>
    <row r="41" ht="15.75" customHeight="1" s="220">
      <c r="C41" s="30" t="n"/>
      <c r="F41" s="30" t="n"/>
    </row>
    <row r="42" ht="15.75" customHeight="1" s="220"/>
    <row r="43" ht="15.75" customHeight="1" s="220"/>
    <row r="44" ht="15.75" customHeight="1" s="220"/>
    <row r="45" ht="15.75" customHeight="1" s="220"/>
    <row r="46" ht="15.75" customHeight="1" s="220"/>
    <row r="47" ht="15.75" customHeight="1" s="220"/>
    <row r="48" ht="15.75" customHeight="1" s="220"/>
    <row r="49" ht="15.75" customHeight="1" s="220"/>
    <row r="50" ht="15.75" customHeight="1" s="220"/>
    <row r="51" ht="15.75" customHeight="1" s="220"/>
    <row r="52" ht="15.75" customHeight="1" s="220"/>
    <row r="53" ht="15.75" customHeight="1" s="220"/>
    <row r="54" ht="15.75" customHeight="1" s="220"/>
    <row r="55" ht="15.75" customHeight="1" s="220"/>
    <row r="56" ht="15.75" customHeight="1" s="220"/>
    <row r="57" ht="15.75" customHeight="1" s="220"/>
    <row r="58" ht="15.75" customHeight="1" s="220"/>
    <row r="59" ht="15.75" customHeight="1" s="220"/>
    <row r="60" ht="15.75" customHeight="1" s="220"/>
    <row r="61" ht="15.75" customHeight="1" s="220"/>
    <row r="62" ht="15.75" customHeight="1" s="220"/>
    <row r="63" ht="15.75" customHeight="1" s="220"/>
    <row r="64" ht="15.75" customHeight="1" s="220"/>
    <row r="65" ht="15.75" customHeight="1" s="220"/>
    <row r="66" ht="15.75" customHeight="1" s="220"/>
    <row r="67" ht="15.75" customHeight="1" s="220"/>
    <row r="68" ht="15.75" customHeight="1" s="220"/>
    <row r="69" ht="15.75" customHeight="1" s="220"/>
    <row r="70" ht="15.75" customHeight="1" s="220"/>
    <row r="71" ht="15.75" customHeight="1" s="220"/>
    <row r="72" ht="15.75" customHeight="1" s="220"/>
    <row r="73" ht="15.75" customHeight="1" s="220"/>
    <row r="74" ht="15.75" customHeight="1" s="220"/>
    <row r="75" ht="15.75" customHeight="1" s="220"/>
    <row r="76" ht="15.75" customHeight="1" s="220"/>
    <row r="77" ht="15.75" customHeight="1" s="220"/>
    <row r="78" ht="15.75" customHeight="1" s="220"/>
    <row r="79" ht="15.75" customHeight="1" s="220"/>
    <row r="80" ht="15.75" customHeight="1" s="220"/>
    <row r="81" ht="15.75" customHeight="1" s="220"/>
    <row r="82" ht="15.75" customHeight="1" s="220"/>
    <row r="83" ht="15.75" customHeight="1" s="220"/>
    <row r="84" ht="15.75" customHeight="1" s="220"/>
    <row r="85" ht="15.75" customHeight="1" s="220"/>
    <row r="86" ht="15.75" customHeight="1" s="220"/>
    <row r="87" ht="15.75" customHeight="1" s="220"/>
    <row r="88" ht="15.75" customHeight="1" s="220"/>
    <row r="89" ht="15.75" customHeight="1" s="220"/>
    <row r="90" ht="15.75" customHeight="1" s="220"/>
    <row r="91" ht="15.75" customHeight="1" s="220"/>
    <row r="92" ht="15.75" customHeight="1" s="220"/>
    <row r="93" ht="15.75" customHeight="1" s="220"/>
    <row r="94" ht="15.75" customHeight="1" s="220"/>
    <row r="95" ht="15.75" customHeight="1" s="220"/>
    <row r="96" ht="15.75" customHeight="1" s="220"/>
    <row r="97" ht="15.75" customHeight="1" s="220"/>
    <row r="98" ht="15.75" customHeight="1" s="220"/>
    <row r="99" ht="15.75" customHeight="1" s="220"/>
    <row r="100" ht="15.75" customHeight="1" s="220"/>
    <row r="101" ht="15.75" customHeight="1" s="220"/>
    <row r="102" ht="15.75" customHeight="1" s="220"/>
    <row r="103" ht="15.75" customHeight="1" s="220"/>
    <row r="104" ht="15.75" customHeight="1" s="220"/>
    <row r="105" ht="15.75" customHeight="1" s="220"/>
    <row r="106" ht="15.75" customHeight="1" s="220"/>
    <row r="107" ht="15.75" customHeight="1" s="220"/>
    <row r="108" ht="15.75" customHeight="1" s="220"/>
    <row r="109" ht="15.75" customHeight="1" s="220"/>
    <row r="110" ht="15.75" customHeight="1" s="220"/>
    <row r="111" ht="15.75" customHeight="1" s="220"/>
    <row r="112" ht="15.75" customHeight="1" s="220"/>
    <row r="113" ht="15.75" customHeight="1" s="220"/>
    <row r="114" ht="15.75" customHeight="1" s="220"/>
    <row r="115" ht="15.75" customHeight="1" s="220"/>
    <row r="116" ht="15.75" customHeight="1" s="220"/>
    <row r="117" ht="15.75" customHeight="1" s="220"/>
    <row r="118" ht="15.75" customHeight="1" s="220"/>
    <row r="119" ht="15.75" customHeight="1" s="220"/>
    <row r="120" ht="15.75" customHeight="1" s="220"/>
    <row r="121" ht="15.75" customHeight="1" s="220"/>
    <row r="122" ht="15.75" customHeight="1" s="220"/>
    <row r="123" ht="15.75" customHeight="1" s="220"/>
    <row r="124" ht="15.75" customHeight="1" s="220"/>
    <row r="125" ht="15.75" customHeight="1" s="220"/>
    <row r="126" ht="15.75" customHeight="1" s="220"/>
    <row r="127" ht="15.75" customHeight="1" s="220"/>
    <row r="128" ht="15.75" customHeight="1" s="220"/>
    <row r="129" ht="15.75" customHeight="1" s="220"/>
    <row r="130" ht="15.75" customHeight="1" s="220"/>
    <row r="131" ht="15.75" customHeight="1" s="220"/>
    <row r="132" ht="15.75" customHeight="1" s="220"/>
    <row r="133" ht="15.75" customHeight="1" s="220"/>
    <row r="134" ht="15.75" customHeight="1" s="220"/>
    <row r="135" ht="15.75" customHeight="1" s="220"/>
    <row r="136" ht="15.75" customHeight="1" s="220"/>
    <row r="137" ht="15.75" customHeight="1" s="220"/>
    <row r="138" ht="15.75" customHeight="1" s="220"/>
    <row r="139" ht="15.75" customHeight="1" s="220"/>
    <row r="140" ht="15.75" customHeight="1" s="220"/>
    <row r="141" ht="15.75" customHeight="1" s="220"/>
    <row r="142" ht="15.75" customHeight="1" s="220"/>
    <row r="143" ht="15.75" customHeight="1" s="220"/>
    <row r="144" ht="15.75" customHeight="1" s="220"/>
    <row r="145" ht="15.75" customHeight="1" s="220"/>
    <row r="146" ht="15.75" customHeight="1" s="220"/>
    <row r="147" ht="15.75" customHeight="1" s="220"/>
    <row r="148" ht="15.75" customHeight="1" s="220"/>
    <row r="149" ht="15.75" customHeight="1" s="220"/>
    <row r="150" ht="15.75" customHeight="1" s="220"/>
    <row r="151" ht="15.75" customHeight="1" s="220"/>
    <row r="152" ht="15.75" customHeight="1" s="220"/>
    <row r="153" ht="15.75" customHeight="1" s="220"/>
    <row r="154" ht="15.75" customHeight="1" s="220"/>
    <row r="155" ht="15.75" customHeight="1" s="220"/>
    <row r="156" ht="15.75" customHeight="1" s="220"/>
    <row r="157" ht="15.75" customHeight="1" s="220"/>
    <row r="158" ht="15.75" customHeight="1" s="220"/>
    <row r="159" ht="15.75" customHeight="1" s="220"/>
    <row r="160" ht="15.75" customHeight="1" s="220"/>
    <row r="161" ht="15.75" customHeight="1" s="220"/>
    <row r="162" ht="15.75" customHeight="1" s="220"/>
    <row r="163" ht="15.75" customHeight="1" s="220"/>
    <row r="164" ht="15.75" customHeight="1" s="220"/>
    <row r="165" ht="15.75" customHeight="1" s="220"/>
    <row r="166" ht="15.75" customHeight="1" s="220"/>
    <row r="167" ht="15.75" customHeight="1" s="220"/>
    <row r="168" ht="15.75" customHeight="1" s="220"/>
    <row r="169" ht="15.75" customHeight="1" s="220"/>
    <row r="170" ht="15.75" customHeight="1" s="220"/>
    <row r="171" ht="15.75" customHeight="1" s="220"/>
    <row r="172" ht="15.75" customHeight="1" s="220"/>
    <row r="173" ht="15.75" customHeight="1" s="220"/>
    <row r="174" ht="15.75" customHeight="1" s="220"/>
    <row r="175" ht="15.75" customHeight="1" s="220"/>
    <row r="176" ht="15.75" customHeight="1" s="220"/>
    <row r="177" ht="15.75" customHeight="1" s="220"/>
    <row r="178" ht="15.75" customHeight="1" s="220"/>
    <row r="179" ht="15.75" customHeight="1" s="220"/>
    <row r="180" ht="15.75" customHeight="1" s="220"/>
    <row r="181" ht="15.75" customHeight="1" s="220"/>
    <row r="182" ht="15.75" customHeight="1" s="220"/>
    <row r="183" ht="15.75" customHeight="1" s="220"/>
    <row r="184" ht="15.75" customHeight="1" s="220"/>
    <row r="185" ht="15.75" customHeight="1" s="220"/>
    <row r="186" ht="15.75" customHeight="1" s="220"/>
    <row r="187" ht="15.75" customHeight="1" s="220"/>
    <row r="188" ht="15.75" customHeight="1" s="220"/>
    <row r="189" ht="15.75" customHeight="1" s="220"/>
    <row r="190" ht="15.75" customHeight="1" s="220"/>
    <row r="191" ht="15.75" customHeight="1" s="220"/>
    <row r="192" ht="15.75" customHeight="1" s="220"/>
    <row r="193" ht="15.75" customHeight="1" s="220"/>
    <row r="194" ht="15.75" customHeight="1" s="220"/>
    <row r="195" ht="15.75" customHeight="1" s="220"/>
    <row r="196" ht="15.75" customHeight="1" s="220"/>
    <row r="197" ht="15.75" customHeight="1" s="220"/>
    <row r="198" ht="15.75" customHeight="1" s="220"/>
    <row r="199" ht="15.75" customHeight="1" s="220"/>
    <row r="200" ht="15.75" customHeight="1" s="220"/>
    <row r="201" ht="15.75" customHeight="1" s="220"/>
    <row r="202" ht="15.75" customHeight="1" s="220"/>
    <row r="203" ht="15.75" customHeight="1" s="220"/>
    <row r="204" ht="15.75" customHeight="1" s="220"/>
    <row r="205" ht="15.75" customHeight="1" s="220"/>
    <row r="206" ht="15.75" customHeight="1" s="220"/>
    <row r="207" ht="15.75" customHeight="1" s="220"/>
    <row r="208" ht="15.75" customHeight="1" s="220"/>
    <row r="209" ht="15.75" customHeight="1" s="220"/>
    <row r="210" ht="15.75" customHeight="1" s="220"/>
    <row r="211" ht="15.75" customHeight="1" s="220"/>
    <row r="212" ht="15.75" customHeight="1" s="220"/>
    <row r="213" ht="15.75" customHeight="1" s="220"/>
    <row r="214" ht="15.75" customHeight="1" s="220"/>
    <row r="215" ht="15.75" customHeight="1" s="220"/>
    <row r="216" ht="15.75" customHeight="1" s="220"/>
    <row r="217" ht="15.75" customHeight="1" s="220"/>
    <row r="218" ht="15.75" customHeight="1" s="220"/>
    <row r="219" ht="15.75" customHeight="1" s="220"/>
    <row r="220" ht="15.75" customHeight="1" s="220"/>
    <row r="221" ht="15.75" customHeight="1" s="220"/>
    <row r="222" ht="15.75" customHeight="1" s="220"/>
    <row r="223" ht="15.75" customHeight="1" s="220"/>
    <row r="224" ht="15.75" customHeight="1" s="220"/>
    <row r="225" ht="15.75" customHeight="1" s="220"/>
    <row r="226" ht="15.75" customHeight="1" s="220"/>
    <row r="227" ht="15.75" customHeight="1" s="220"/>
    <row r="228" ht="15.75" customHeight="1" s="220"/>
    <row r="229" ht="15.75" customHeight="1" s="220"/>
    <row r="230" ht="15.75" customHeight="1" s="220"/>
    <row r="231" ht="15.75" customHeight="1" s="220"/>
    <row r="232" ht="15.75" customHeight="1" s="220"/>
    <row r="233" ht="15.75" customHeight="1" s="220"/>
    <row r="234" ht="15.75" customHeight="1" s="220"/>
    <row r="235" ht="15.75" customHeight="1" s="220"/>
    <row r="236" ht="15.75" customHeight="1" s="220"/>
    <row r="237" ht="15.75" customHeight="1" s="220"/>
    <row r="238" ht="15.75" customHeight="1" s="220"/>
    <row r="239" ht="15.75" customHeight="1" s="220"/>
    <row r="240" ht="15.75" customHeight="1" s="220"/>
    <row r="241" ht="15.75" customHeight="1" s="220"/>
    <row r="242" ht="15.75" customHeight="1" s="220"/>
    <row r="243" ht="15.75" customHeight="1" s="220"/>
    <row r="244" ht="15.75" customHeight="1" s="220"/>
    <row r="245" ht="15.75" customHeight="1" s="220"/>
    <row r="246" ht="15.75" customHeight="1" s="220"/>
    <row r="247" ht="15.75" customHeight="1" s="220"/>
    <row r="248" ht="15.75" customHeight="1" s="220"/>
    <row r="249" ht="15.75" customHeight="1" s="220"/>
    <row r="250" ht="15.75" customHeight="1" s="220"/>
    <row r="251" ht="15.75" customHeight="1" s="220"/>
    <row r="252" ht="15.75" customHeight="1" s="220"/>
    <row r="253" ht="15.75" customHeight="1" s="220"/>
    <row r="254" ht="15.75" customHeight="1" s="220"/>
    <row r="255" ht="15.75" customHeight="1" s="220"/>
    <row r="256" ht="15.75" customHeight="1" s="220"/>
    <row r="257" ht="15.75" customHeight="1" s="220"/>
    <row r="258" ht="15.75" customHeight="1" s="220"/>
    <row r="259" ht="15.75" customHeight="1" s="220"/>
    <row r="260" ht="15.75" customHeight="1" s="220"/>
    <row r="261" ht="15.75" customHeight="1" s="220"/>
    <row r="262" ht="15.75" customHeight="1" s="220"/>
    <row r="263" ht="15.75" customHeight="1" s="220"/>
    <row r="264" ht="15.75" customHeight="1" s="220"/>
    <row r="265" ht="15.75" customHeight="1" s="220"/>
    <row r="266" ht="15.75" customHeight="1" s="220"/>
    <row r="267" ht="15.75" customHeight="1" s="220"/>
    <row r="268" ht="15.75" customHeight="1" s="220"/>
    <row r="269" ht="15.75" customHeight="1" s="220"/>
    <row r="270" ht="15.75" customHeight="1" s="220"/>
    <row r="271" ht="15.75" customHeight="1" s="220"/>
    <row r="272" ht="15.75" customHeight="1" s="220"/>
    <row r="273" ht="15.75" customHeight="1" s="220"/>
    <row r="274" ht="15.75" customHeight="1" s="220"/>
    <row r="275" ht="15.75" customHeight="1" s="220"/>
    <row r="276" ht="15.75" customHeight="1" s="220"/>
    <row r="277" ht="15.75" customHeight="1" s="220"/>
    <row r="278" ht="15.75" customHeight="1" s="220"/>
    <row r="279" ht="15.75" customHeight="1" s="220"/>
    <row r="280" ht="15.75" customHeight="1" s="220"/>
    <row r="281" ht="15.75" customHeight="1" s="220"/>
    <row r="282" ht="15.75" customHeight="1" s="220"/>
    <row r="283" ht="15.75" customHeight="1" s="220"/>
    <row r="284" ht="15.75" customHeight="1" s="220"/>
    <row r="285" ht="15.75" customHeight="1" s="220"/>
    <row r="286" ht="15.75" customHeight="1" s="220"/>
    <row r="287" ht="15.75" customHeight="1" s="220"/>
    <row r="288" ht="15.75" customHeight="1" s="220"/>
    <row r="289" ht="15.75" customHeight="1" s="220"/>
    <row r="290" ht="15.75" customHeight="1" s="220"/>
    <row r="291" ht="15.75" customHeight="1" s="220"/>
    <row r="292" ht="15.75" customHeight="1" s="220"/>
    <row r="293" ht="15.75" customHeight="1" s="220"/>
    <row r="294" ht="15.75" customHeight="1" s="220"/>
    <row r="295" ht="15.75" customHeight="1" s="220"/>
    <row r="296" ht="15.75" customHeight="1" s="220"/>
    <row r="297" ht="15.75" customHeight="1" s="220"/>
    <row r="298" ht="15.75" customHeight="1" s="220"/>
    <row r="299" ht="15.75" customHeight="1" s="220"/>
    <row r="300" ht="15.75" customHeight="1" s="220"/>
    <row r="301" ht="15.75" customHeight="1" s="220"/>
    <row r="302" ht="15.75" customHeight="1" s="220"/>
    <row r="303" ht="15.75" customHeight="1" s="220"/>
    <row r="304" ht="15.75" customHeight="1" s="220"/>
    <row r="305" ht="15.75" customHeight="1" s="220"/>
    <row r="306" ht="15.75" customHeight="1" s="220"/>
    <row r="307" ht="15.75" customHeight="1" s="220"/>
    <row r="308" ht="15.75" customHeight="1" s="220"/>
    <row r="309" ht="15.75" customHeight="1" s="220"/>
    <row r="310" ht="15.75" customHeight="1" s="220"/>
    <row r="311" ht="15.75" customHeight="1" s="220"/>
    <row r="312" ht="15.75" customHeight="1" s="220"/>
    <row r="313" ht="15.75" customHeight="1" s="220"/>
    <row r="314" ht="15.75" customHeight="1" s="220"/>
    <row r="315" ht="15.75" customHeight="1" s="220"/>
    <row r="316" ht="15.75" customHeight="1" s="220"/>
    <row r="317" ht="15.75" customHeight="1" s="220"/>
    <row r="318" ht="15.75" customHeight="1" s="220"/>
    <row r="319" ht="15.75" customHeight="1" s="220"/>
    <row r="320" ht="15.75" customHeight="1" s="220"/>
    <row r="321" ht="15.75" customHeight="1" s="220"/>
    <row r="322" ht="15.75" customHeight="1" s="220"/>
    <row r="323" ht="15.75" customHeight="1" s="220"/>
    <row r="324" ht="15.75" customHeight="1" s="220"/>
    <row r="325" ht="15.75" customHeight="1" s="220"/>
    <row r="326" ht="15.75" customHeight="1" s="220"/>
    <row r="327" ht="15.75" customHeight="1" s="220"/>
    <row r="328" ht="15.75" customHeight="1" s="220"/>
    <row r="329" ht="15.75" customHeight="1" s="220"/>
    <row r="330" ht="15.75" customHeight="1" s="220"/>
    <row r="331" ht="15.75" customHeight="1" s="220"/>
    <row r="332" ht="15.75" customHeight="1" s="220"/>
    <row r="333" ht="15.75" customHeight="1" s="220"/>
    <row r="334" ht="15.75" customHeight="1" s="220"/>
    <row r="335" ht="15.75" customHeight="1" s="220"/>
    <row r="336" ht="15.75" customHeight="1" s="220"/>
    <row r="337" ht="15.75" customHeight="1" s="220"/>
    <row r="338" ht="15.75" customHeight="1" s="220"/>
    <row r="339" ht="15.75" customHeight="1" s="220"/>
    <row r="340" ht="15.75" customHeight="1" s="220"/>
    <row r="341" ht="15.75" customHeight="1" s="220"/>
    <row r="342" ht="15.75" customHeight="1" s="220"/>
    <row r="343" ht="15.75" customHeight="1" s="220"/>
    <row r="344" ht="15.75" customHeight="1" s="220"/>
    <row r="345" ht="15.75" customHeight="1" s="220"/>
    <row r="346" ht="15.75" customHeight="1" s="220"/>
    <row r="347" ht="15.75" customHeight="1" s="220"/>
    <row r="348" ht="15.75" customHeight="1" s="220"/>
    <row r="349" ht="15.75" customHeight="1" s="220"/>
    <row r="350" ht="15.75" customHeight="1" s="220"/>
    <row r="351" ht="15.75" customHeight="1" s="220"/>
    <row r="352" ht="15.75" customHeight="1" s="220"/>
    <row r="353" ht="15.75" customHeight="1" s="220"/>
    <row r="354" ht="15.75" customHeight="1" s="220"/>
    <row r="355" ht="15.75" customHeight="1" s="220"/>
    <row r="356" ht="15.75" customHeight="1" s="220"/>
    <row r="357" ht="15.75" customHeight="1" s="220"/>
    <row r="358" ht="15.75" customHeight="1" s="220"/>
    <row r="359" ht="15.75" customHeight="1" s="220"/>
    <row r="360" ht="15.75" customHeight="1" s="220"/>
    <row r="361" ht="15.75" customHeight="1" s="220"/>
    <row r="362" ht="15.75" customHeight="1" s="220"/>
    <row r="363" ht="15.75" customHeight="1" s="220"/>
    <row r="364" ht="15.75" customHeight="1" s="220"/>
    <row r="365" ht="15.75" customHeight="1" s="220"/>
    <row r="366" ht="15.75" customHeight="1" s="220"/>
    <row r="367" ht="15.75" customHeight="1" s="220"/>
    <row r="368" ht="15.75" customHeight="1" s="220"/>
    <row r="369" ht="15.75" customHeight="1" s="220"/>
    <row r="370" ht="15.75" customHeight="1" s="220"/>
    <row r="371" ht="15.75" customHeight="1" s="220"/>
    <row r="372" ht="15.75" customHeight="1" s="220"/>
    <row r="373" ht="15.75" customHeight="1" s="220"/>
    <row r="374" ht="15.75" customHeight="1" s="220"/>
    <row r="375" ht="15.75" customHeight="1" s="220"/>
    <row r="376" ht="15.75" customHeight="1" s="220"/>
    <row r="377" ht="15.75" customHeight="1" s="220"/>
    <row r="378" ht="15.75" customHeight="1" s="220"/>
    <row r="379" ht="15.75" customHeight="1" s="220"/>
    <row r="380" ht="15.75" customHeight="1" s="220"/>
    <row r="381" ht="15.75" customHeight="1" s="220"/>
    <row r="382" ht="15.75" customHeight="1" s="220"/>
    <row r="383" ht="15.75" customHeight="1" s="220"/>
    <row r="384" ht="15.75" customHeight="1" s="220"/>
    <row r="385" ht="15.75" customHeight="1" s="220"/>
    <row r="386" ht="15.75" customHeight="1" s="220"/>
    <row r="387" ht="15.75" customHeight="1" s="220"/>
    <row r="388" ht="15.75" customHeight="1" s="220"/>
    <row r="389" ht="15.75" customHeight="1" s="220"/>
    <row r="390" ht="15.75" customHeight="1" s="220"/>
    <row r="391" ht="15.75" customHeight="1" s="220"/>
    <row r="392" ht="15.75" customHeight="1" s="220"/>
    <row r="393" ht="15.75" customHeight="1" s="220"/>
    <row r="394" ht="15.75" customHeight="1" s="220"/>
    <row r="395" ht="15.75" customHeight="1" s="220"/>
    <row r="396" ht="15.75" customHeight="1" s="220"/>
    <row r="397" ht="15.75" customHeight="1" s="220"/>
    <row r="398" ht="15.75" customHeight="1" s="220"/>
    <row r="399" ht="15.75" customHeight="1" s="220"/>
    <row r="400" ht="15.75" customHeight="1" s="220"/>
    <row r="401" ht="15.75" customHeight="1" s="220"/>
    <row r="402" ht="15.75" customHeight="1" s="220"/>
    <row r="403" ht="15.75" customHeight="1" s="220"/>
    <row r="404" ht="15.75" customHeight="1" s="220"/>
    <row r="405" ht="15.75" customHeight="1" s="220"/>
    <row r="406" ht="15.75" customHeight="1" s="220"/>
    <row r="407" ht="15.75" customHeight="1" s="220"/>
    <row r="408" ht="15.75" customHeight="1" s="220"/>
    <row r="409" ht="15.75" customHeight="1" s="220"/>
    <row r="410" ht="15.75" customHeight="1" s="220"/>
    <row r="411" ht="15.75" customHeight="1" s="220"/>
    <row r="412" ht="15.75" customHeight="1" s="220"/>
    <row r="413" ht="15.75" customHeight="1" s="220"/>
    <row r="414" ht="15.75" customHeight="1" s="220"/>
    <row r="415" ht="15.75" customHeight="1" s="220"/>
    <row r="416" ht="15.75" customHeight="1" s="220"/>
    <row r="417" ht="15.75" customHeight="1" s="220"/>
    <row r="418" ht="15.75" customHeight="1" s="220"/>
    <row r="419" ht="15.75" customHeight="1" s="220"/>
    <row r="420" ht="15.75" customHeight="1" s="220"/>
    <row r="421" ht="15.75" customHeight="1" s="220"/>
    <row r="422" ht="15.75" customHeight="1" s="220"/>
    <row r="423" ht="15.75" customHeight="1" s="220"/>
    <row r="424" ht="15.75" customHeight="1" s="220"/>
    <row r="425" ht="15.75" customHeight="1" s="220"/>
    <row r="426" ht="15.75" customHeight="1" s="220"/>
    <row r="427" ht="15.75" customHeight="1" s="220"/>
    <row r="428" ht="15.75" customHeight="1" s="220"/>
    <row r="429" ht="15.75" customHeight="1" s="220"/>
    <row r="430" ht="15.75" customHeight="1" s="220"/>
    <row r="431" ht="15.75" customHeight="1" s="220"/>
    <row r="432" ht="15.75" customHeight="1" s="220"/>
    <row r="433" ht="15.75" customHeight="1" s="220"/>
    <row r="434" ht="15.75" customHeight="1" s="220"/>
    <row r="435" ht="15.75" customHeight="1" s="220"/>
    <row r="436" ht="15.75" customHeight="1" s="220"/>
    <row r="437" ht="15.75" customHeight="1" s="220"/>
    <row r="438" ht="15.75" customHeight="1" s="220"/>
    <row r="439" ht="15.75" customHeight="1" s="220"/>
    <row r="440" ht="15.75" customHeight="1" s="220"/>
    <row r="441" ht="15.75" customHeight="1" s="220"/>
    <row r="442" ht="15.75" customHeight="1" s="220"/>
    <row r="443" ht="15.75" customHeight="1" s="220"/>
    <row r="444" ht="15.75" customHeight="1" s="220"/>
    <row r="445" ht="15.75" customHeight="1" s="220"/>
    <row r="446" ht="15.75" customHeight="1" s="220"/>
    <row r="447" ht="15.75" customHeight="1" s="220"/>
    <row r="448" ht="15.75" customHeight="1" s="220"/>
    <row r="449" ht="15.75" customHeight="1" s="220"/>
    <row r="450" ht="15.75" customHeight="1" s="220"/>
    <row r="451" ht="15.75" customHeight="1" s="220"/>
    <row r="452" ht="15.75" customHeight="1" s="220"/>
    <row r="453" ht="15.75" customHeight="1" s="220"/>
    <row r="454" ht="15.75" customHeight="1" s="220"/>
    <row r="455" ht="15.75" customHeight="1" s="220"/>
    <row r="456" ht="15.75" customHeight="1" s="220"/>
    <row r="457" ht="15.75" customHeight="1" s="220"/>
    <row r="458" ht="15.75" customHeight="1" s="220"/>
    <row r="459" ht="15.75" customHeight="1" s="220"/>
    <row r="460" ht="15.75" customHeight="1" s="220"/>
    <row r="461" ht="15.75" customHeight="1" s="220"/>
    <row r="462" ht="15.75" customHeight="1" s="220"/>
    <row r="463" ht="15.75" customHeight="1" s="220"/>
    <row r="464" ht="15.75" customHeight="1" s="220"/>
    <row r="465" ht="15.75" customHeight="1" s="220"/>
    <row r="466" ht="15.75" customHeight="1" s="220"/>
    <row r="467" ht="15.75" customHeight="1" s="220"/>
    <row r="468" ht="15.75" customHeight="1" s="220"/>
    <row r="469" ht="15.75" customHeight="1" s="220"/>
    <row r="470" ht="15.75" customHeight="1" s="220"/>
    <row r="471" ht="15.75" customHeight="1" s="220"/>
    <row r="472" ht="15.75" customHeight="1" s="220"/>
    <row r="473" ht="15.75" customHeight="1" s="220"/>
    <row r="474" ht="15.75" customHeight="1" s="220"/>
    <row r="475" ht="15.75" customHeight="1" s="220"/>
    <row r="476" ht="15.75" customHeight="1" s="220"/>
    <row r="477" ht="15.75" customHeight="1" s="220"/>
    <row r="478" ht="15.75" customHeight="1" s="220"/>
    <row r="479" ht="15.75" customHeight="1" s="220"/>
    <row r="480" ht="15.75" customHeight="1" s="220"/>
    <row r="481" ht="15.75" customHeight="1" s="220"/>
    <row r="482" ht="15.75" customHeight="1" s="220"/>
    <row r="483" ht="15.75" customHeight="1" s="220"/>
    <row r="484" ht="15.75" customHeight="1" s="220"/>
    <row r="485" ht="15.75" customHeight="1" s="220"/>
    <row r="486" ht="15.75" customHeight="1" s="220"/>
    <row r="487" ht="15.75" customHeight="1" s="220"/>
    <row r="488" ht="15.75" customHeight="1" s="220"/>
    <row r="489" ht="15.75" customHeight="1" s="220"/>
    <row r="490" ht="15.75" customHeight="1" s="220"/>
    <row r="491" ht="15.75" customHeight="1" s="220"/>
    <row r="492" ht="15.75" customHeight="1" s="220"/>
    <row r="493" ht="15.75" customHeight="1" s="220"/>
    <row r="494" ht="15.75" customHeight="1" s="220"/>
    <row r="495" ht="15.75" customHeight="1" s="220"/>
    <row r="496" ht="15.75" customHeight="1" s="220"/>
    <row r="497" ht="15.75" customHeight="1" s="220"/>
    <row r="498" ht="15.75" customHeight="1" s="220"/>
    <row r="499" ht="15.75" customHeight="1" s="220"/>
    <row r="500" ht="15.75" customHeight="1" s="220"/>
    <row r="501" ht="15.75" customHeight="1" s="220"/>
    <row r="502" ht="15.75" customHeight="1" s="220"/>
    <row r="503" ht="15.75" customHeight="1" s="220"/>
    <row r="504" ht="15.75" customHeight="1" s="220"/>
    <row r="505" ht="15.75" customHeight="1" s="220"/>
    <row r="506" ht="15.75" customHeight="1" s="220"/>
    <row r="507" ht="15.75" customHeight="1" s="220"/>
    <row r="508" ht="15.75" customHeight="1" s="220"/>
    <row r="509" ht="15.75" customHeight="1" s="220"/>
    <row r="510" ht="15.75" customHeight="1" s="220"/>
    <row r="511" ht="15.75" customHeight="1" s="220"/>
    <row r="512" ht="15.75" customHeight="1" s="220"/>
    <row r="513" ht="15.75" customHeight="1" s="220"/>
    <row r="514" ht="15.75" customHeight="1" s="220"/>
    <row r="515" ht="15.75" customHeight="1" s="220"/>
    <row r="516" ht="15.75" customHeight="1" s="220"/>
    <row r="517" ht="15.75" customHeight="1" s="220"/>
    <row r="518" ht="15.75" customHeight="1" s="220"/>
    <row r="519" ht="15.75" customHeight="1" s="220"/>
    <row r="520" ht="15.75" customHeight="1" s="220"/>
    <row r="521" ht="15.75" customHeight="1" s="220"/>
    <row r="522" ht="15.75" customHeight="1" s="220"/>
    <row r="523" ht="15.75" customHeight="1" s="220"/>
    <row r="524" ht="15.75" customHeight="1" s="220"/>
    <row r="525" ht="15.75" customHeight="1" s="220"/>
    <row r="526" ht="15.75" customHeight="1" s="220"/>
    <row r="527" ht="15.75" customHeight="1" s="220"/>
    <row r="528" ht="15.75" customHeight="1" s="220"/>
    <row r="529" ht="15.75" customHeight="1" s="220"/>
    <row r="530" ht="15.75" customHeight="1" s="220"/>
    <row r="531" ht="15.75" customHeight="1" s="220"/>
    <row r="532" ht="15.75" customHeight="1" s="220"/>
    <row r="533" ht="15.75" customHeight="1" s="220"/>
    <row r="534" ht="15.75" customHeight="1" s="220"/>
    <row r="535" ht="15.75" customHeight="1" s="220"/>
    <row r="536" ht="15.75" customHeight="1" s="220"/>
    <row r="537" ht="15.75" customHeight="1" s="220"/>
    <row r="538" ht="15.75" customHeight="1" s="220"/>
    <row r="539" ht="15.75" customHeight="1" s="220"/>
    <row r="540" ht="15.75" customHeight="1" s="220"/>
    <row r="541" ht="15.75" customHeight="1" s="220"/>
    <row r="542" ht="15.75" customHeight="1" s="220"/>
    <row r="543" ht="15.75" customHeight="1" s="220"/>
    <row r="544" ht="15.75" customHeight="1" s="220"/>
    <row r="545" ht="15.75" customHeight="1" s="220"/>
    <row r="546" ht="15.75" customHeight="1" s="220"/>
    <row r="547" ht="15.75" customHeight="1" s="220"/>
    <row r="548" ht="15.75" customHeight="1" s="220"/>
    <row r="549" ht="15.75" customHeight="1" s="220"/>
    <row r="550" ht="15.75" customHeight="1" s="220"/>
    <row r="551" ht="15.75" customHeight="1" s="220"/>
    <row r="552" ht="15.75" customHeight="1" s="220"/>
    <row r="553" ht="15.75" customHeight="1" s="220"/>
    <row r="554" ht="15.75" customHeight="1" s="220"/>
    <row r="555" ht="15.75" customHeight="1" s="220"/>
    <row r="556" ht="15.75" customHeight="1" s="220"/>
    <row r="557" ht="15.75" customHeight="1" s="220"/>
    <row r="558" ht="15.75" customHeight="1" s="220"/>
    <row r="559" ht="15.75" customHeight="1" s="220"/>
    <row r="560" ht="15.75" customHeight="1" s="220"/>
    <row r="561" ht="15.75" customHeight="1" s="220"/>
    <row r="562" ht="15.75" customHeight="1" s="220"/>
    <row r="563" ht="15.75" customHeight="1" s="220"/>
    <row r="564" ht="15.75" customHeight="1" s="220"/>
    <row r="565" ht="15.75" customHeight="1" s="220"/>
    <row r="566" ht="15.75" customHeight="1" s="220"/>
    <row r="567" ht="15.75" customHeight="1" s="220"/>
    <row r="568" ht="15.75" customHeight="1" s="220"/>
    <row r="569" ht="15.75" customHeight="1" s="220"/>
    <row r="570" ht="15.75" customHeight="1" s="220"/>
    <row r="571" ht="15.75" customHeight="1" s="220"/>
    <row r="572" ht="15.75" customHeight="1" s="220"/>
    <row r="573" ht="15.75" customHeight="1" s="220"/>
    <row r="574" ht="15.75" customHeight="1" s="220"/>
    <row r="575" ht="15.75" customHeight="1" s="220"/>
    <row r="576" ht="15.75" customHeight="1" s="220"/>
    <row r="577" ht="15.75" customHeight="1" s="220"/>
    <row r="578" ht="15.75" customHeight="1" s="220"/>
    <row r="579" ht="15.75" customHeight="1" s="220"/>
    <row r="580" ht="15.75" customHeight="1" s="220"/>
    <row r="581" ht="15.75" customHeight="1" s="220"/>
    <row r="582" ht="15.75" customHeight="1" s="220"/>
    <row r="583" ht="15.75" customHeight="1" s="220"/>
    <row r="584" ht="15.75" customHeight="1" s="220"/>
    <row r="585" ht="15.75" customHeight="1" s="220"/>
    <row r="586" ht="15.75" customHeight="1" s="220"/>
    <row r="587" ht="15.75" customHeight="1" s="220"/>
    <row r="588" ht="15.75" customHeight="1" s="220"/>
    <row r="589" ht="15.75" customHeight="1" s="220"/>
    <row r="590" ht="15.75" customHeight="1" s="220"/>
    <row r="591" ht="15.75" customHeight="1" s="220"/>
    <row r="592" ht="15.75" customHeight="1" s="220"/>
    <row r="593" ht="15.75" customHeight="1" s="220"/>
    <row r="594" ht="15.75" customHeight="1" s="220"/>
    <row r="595" ht="15.75" customHeight="1" s="220"/>
    <row r="596" ht="15.75" customHeight="1" s="220"/>
    <row r="597" ht="15.75" customHeight="1" s="220"/>
    <row r="598" ht="15.75" customHeight="1" s="220"/>
    <row r="599" ht="15.75" customHeight="1" s="220"/>
    <row r="600" ht="15.75" customHeight="1" s="220"/>
    <row r="601" ht="15.75" customHeight="1" s="220"/>
    <row r="602" ht="15.75" customHeight="1" s="220"/>
    <row r="603" ht="15.75" customHeight="1" s="220"/>
    <row r="604" ht="15.75" customHeight="1" s="220"/>
    <row r="605" ht="15.75" customHeight="1" s="220"/>
    <row r="606" ht="15.75" customHeight="1" s="220"/>
    <row r="607" ht="15.75" customHeight="1" s="220"/>
    <row r="608" ht="15.75" customHeight="1" s="220"/>
    <row r="609" ht="15.75" customHeight="1" s="220"/>
    <row r="610" ht="15.75" customHeight="1" s="220"/>
    <row r="611" ht="15.75" customHeight="1" s="220"/>
    <row r="612" ht="15.75" customHeight="1" s="220"/>
    <row r="613" ht="15.75" customHeight="1" s="220"/>
    <row r="614" ht="15.75" customHeight="1" s="220"/>
    <row r="615" ht="15.75" customHeight="1" s="220"/>
    <row r="616" ht="15.75" customHeight="1" s="220"/>
    <row r="617" ht="15.75" customHeight="1" s="220"/>
    <row r="618" ht="15.75" customHeight="1" s="220"/>
    <row r="619" ht="15.75" customHeight="1" s="220"/>
    <row r="620" ht="15.75" customHeight="1" s="220"/>
    <row r="621" ht="15.75" customHeight="1" s="220"/>
    <row r="622" ht="15.75" customHeight="1" s="220"/>
    <row r="623" ht="15.75" customHeight="1" s="220"/>
    <row r="624" ht="15.75" customHeight="1" s="220"/>
    <row r="625" ht="15.75" customHeight="1" s="220"/>
    <row r="626" ht="15.75" customHeight="1" s="220"/>
    <row r="627" ht="15.75" customHeight="1" s="220"/>
    <row r="628" ht="15.75" customHeight="1" s="220"/>
    <row r="629" ht="15.75" customHeight="1" s="220"/>
    <row r="630" ht="15.75" customHeight="1" s="220"/>
    <row r="631" ht="15.75" customHeight="1" s="220"/>
    <row r="632" ht="15.75" customHeight="1" s="220"/>
    <row r="633" ht="15.75" customHeight="1" s="220"/>
    <row r="634" ht="15.75" customHeight="1" s="220"/>
    <row r="635" ht="15.75" customHeight="1" s="220"/>
    <row r="636" ht="15.75" customHeight="1" s="220"/>
    <row r="637" ht="15.75" customHeight="1" s="220"/>
    <row r="638" ht="15.75" customHeight="1" s="220"/>
    <row r="639" ht="15.75" customHeight="1" s="220"/>
    <row r="640" ht="15.75" customHeight="1" s="220"/>
    <row r="641" ht="15.75" customHeight="1" s="220"/>
    <row r="642" ht="15.75" customHeight="1" s="220"/>
    <row r="643" ht="15.75" customHeight="1" s="220"/>
    <row r="644" ht="15.75" customHeight="1" s="220"/>
    <row r="645" ht="15.75" customHeight="1" s="220"/>
    <row r="646" ht="15.75" customHeight="1" s="220"/>
    <row r="647" ht="15.75" customHeight="1" s="220"/>
    <row r="648" ht="15.75" customHeight="1" s="220"/>
    <row r="649" ht="15.75" customHeight="1" s="220"/>
    <row r="650" ht="15.75" customHeight="1" s="220"/>
    <row r="651" ht="15.75" customHeight="1" s="220"/>
    <row r="652" ht="15.75" customHeight="1" s="220"/>
    <row r="653" ht="15.75" customHeight="1" s="220"/>
    <row r="654" ht="15.75" customHeight="1" s="220"/>
    <row r="655" ht="15.75" customHeight="1" s="220"/>
    <row r="656" ht="15.75" customHeight="1" s="220"/>
    <row r="657" ht="15.75" customHeight="1" s="220"/>
    <row r="658" ht="15.75" customHeight="1" s="220"/>
    <row r="659" ht="15.75" customHeight="1" s="220"/>
    <row r="660" ht="15.75" customHeight="1" s="220"/>
    <row r="661" ht="15.75" customHeight="1" s="220"/>
    <row r="662" ht="15.75" customHeight="1" s="220"/>
    <row r="663" ht="15.75" customHeight="1" s="220"/>
    <row r="664" ht="15.75" customHeight="1" s="220"/>
    <row r="665" ht="15.75" customHeight="1" s="220"/>
    <row r="666" ht="15.75" customHeight="1" s="220"/>
    <row r="667" ht="15.75" customHeight="1" s="220"/>
    <row r="668" ht="15.75" customHeight="1" s="220"/>
    <row r="669" ht="15.75" customHeight="1" s="220"/>
    <row r="670" ht="15.75" customHeight="1" s="220"/>
    <row r="671" ht="15.75" customHeight="1" s="220"/>
    <row r="672" ht="15.75" customHeight="1" s="220"/>
    <row r="673" ht="15.75" customHeight="1" s="220"/>
    <row r="674" ht="15.75" customHeight="1" s="220"/>
    <row r="675" ht="15.75" customHeight="1" s="220"/>
    <row r="676" ht="15.75" customHeight="1" s="220"/>
    <row r="677" ht="15.75" customHeight="1" s="220"/>
    <row r="678" ht="15.75" customHeight="1" s="220"/>
    <row r="679" ht="15.75" customHeight="1" s="220"/>
    <row r="680" ht="15.75" customHeight="1" s="220"/>
    <row r="681" ht="15.75" customHeight="1" s="220"/>
    <row r="682" ht="15.75" customHeight="1" s="220"/>
    <row r="683" ht="15.75" customHeight="1" s="220"/>
    <row r="684" ht="15.75" customHeight="1" s="220"/>
    <row r="685" ht="15.75" customHeight="1" s="220"/>
    <row r="686" ht="15.75" customHeight="1" s="220"/>
    <row r="687" ht="15.75" customHeight="1" s="220"/>
    <row r="688" ht="15.75" customHeight="1" s="220"/>
    <row r="689" ht="15.75" customHeight="1" s="220"/>
    <row r="690" ht="15.75" customHeight="1" s="220"/>
    <row r="691" ht="15.75" customHeight="1" s="220"/>
    <row r="692" ht="15.75" customHeight="1" s="220"/>
    <row r="693" ht="15.75" customHeight="1" s="220"/>
    <row r="694" ht="15.75" customHeight="1" s="220"/>
    <row r="695" ht="15.75" customHeight="1" s="220"/>
    <row r="696" ht="15.75" customHeight="1" s="220"/>
    <row r="697" ht="15.75" customHeight="1" s="220"/>
    <row r="698" ht="15.75" customHeight="1" s="220"/>
    <row r="699" ht="15.75" customHeight="1" s="220"/>
    <row r="700" ht="15.75" customHeight="1" s="220"/>
    <row r="701" ht="15.75" customHeight="1" s="220"/>
    <row r="702" ht="15.75" customHeight="1" s="220"/>
    <row r="703" ht="15.75" customHeight="1" s="220"/>
    <row r="704" ht="15.75" customHeight="1" s="220"/>
    <row r="705" ht="15.75" customHeight="1" s="220"/>
    <row r="706" ht="15.75" customHeight="1" s="220"/>
    <row r="707" ht="15.75" customHeight="1" s="220"/>
    <row r="708" ht="15.75" customHeight="1" s="220"/>
    <row r="709" ht="15.75" customHeight="1" s="220"/>
    <row r="710" ht="15.75" customHeight="1" s="220"/>
    <row r="711" ht="15.75" customHeight="1" s="220"/>
    <row r="712" ht="15.75" customHeight="1" s="220"/>
    <row r="713" ht="15.75" customHeight="1" s="220"/>
    <row r="714" ht="15.75" customHeight="1" s="220"/>
    <row r="715" ht="15.75" customHeight="1" s="220"/>
    <row r="716" ht="15.75" customHeight="1" s="220"/>
    <row r="717" ht="15.75" customHeight="1" s="220"/>
    <row r="718" ht="15.75" customHeight="1" s="220"/>
    <row r="719" ht="15.75" customHeight="1" s="220"/>
    <row r="720" ht="15.75" customHeight="1" s="220"/>
    <row r="721" ht="15.75" customHeight="1" s="220"/>
    <row r="722" ht="15.75" customHeight="1" s="220"/>
    <row r="723" ht="15.75" customHeight="1" s="220"/>
    <row r="724" ht="15.75" customHeight="1" s="220"/>
    <row r="725" ht="15.75" customHeight="1" s="220"/>
    <row r="726" ht="15.75" customHeight="1" s="220"/>
    <row r="727" ht="15.75" customHeight="1" s="220"/>
    <row r="728" ht="15.75" customHeight="1" s="220"/>
    <row r="729" ht="15.75" customHeight="1" s="220"/>
    <row r="730" ht="15.75" customHeight="1" s="220"/>
    <row r="731" ht="15.75" customHeight="1" s="220"/>
    <row r="732" ht="15.75" customHeight="1" s="220"/>
    <row r="733" ht="15.75" customHeight="1" s="220"/>
    <row r="734" ht="15.75" customHeight="1" s="220"/>
    <row r="735" ht="15.75" customHeight="1" s="220"/>
    <row r="736" ht="15.75" customHeight="1" s="220"/>
    <row r="737" ht="15.75" customHeight="1" s="220"/>
    <row r="738" ht="15.75" customHeight="1" s="220"/>
    <row r="739" ht="15.75" customHeight="1" s="220"/>
    <row r="740" ht="15.75" customHeight="1" s="220"/>
    <row r="741" ht="15.75" customHeight="1" s="220"/>
    <row r="742" ht="15.75" customHeight="1" s="220"/>
    <row r="743" ht="15.75" customHeight="1" s="220"/>
    <row r="744" ht="15.75" customHeight="1" s="220"/>
    <row r="745" ht="15.75" customHeight="1" s="220"/>
    <row r="746" ht="15.75" customHeight="1" s="220"/>
    <row r="747" ht="15.75" customHeight="1" s="220"/>
    <row r="748" ht="15.75" customHeight="1" s="220"/>
    <row r="749" ht="15.75" customHeight="1" s="220"/>
    <row r="750" ht="15.75" customHeight="1" s="220"/>
    <row r="751" ht="15.75" customHeight="1" s="220"/>
    <row r="752" ht="15.75" customHeight="1" s="220"/>
    <row r="753" ht="15.75" customHeight="1" s="220"/>
    <row r="754" ht="15.75" customHeight="1" s="220"/>
    <row r="755" ht="15.75" customHeight="1" s="220"/>
    <row r="756" ht="15.75" customHeight="1" s="220"/>
    <row r="757" ht="15.75" customHeight="1" s="220"/>
    <row r="758" ht="15.75" customHeight="1" s="220"/>
    <row r="759" ht="15.75" customHeight="1" s="220"/>
    <row r="760" ht="15.75" customHeight="1" s="220"/>
    <row r="761" ht="15.75" customHeight="1" s="220"/>
    <row r="762" ht="15.75" customHeight="1" s="220"/>
    <row r="763" ht="15.75" customHeight="1" s="220"/>
    <row r="764" ht="15.75" customHeight="1" s="220"/>
    <row r="765" ht="15.75" customHeight="1" s="220"/>
    <row r="766" ht="15.75" customHeight="1" s="220"/>
    <row r="767" ht="15.75" customHeight="1" s="220"/>
    <row r="768" ht="15.75" customHeight="1" s="220"/>
    <row r="769" ht="15.75" customHeight="1" s="220"/>
    <row r="770" ht="15.75" customHeight="1" s="220"/>
    <row r="771" ht="15.75" customHeight="1" s="220"/>
    <row r="772" ht="15.75" customHeight="1" s="220"/>
    <row r="773" ht="15.75" customHeight="1" s="220"/>
    <row r="774" ht="15.75" customHeight="1" s="220"/>
    <row r="775" ht="15.75" customHeight="1" s="220"/>
    <row r="776" ht="15.75" customHeight="1" s="220"/>
    <row r="777" ht="15.75" customHeight="1" s="220"/>
    <row r="778" ht="15.75" customHeight="1" s="220"/>
    <row r="779" ht="15.75" customHeight="1" s="220"/>
    <row r="780" ht="15.75" customHeight="1" s="220"/>
    <row r="781" ht="15.75" customHeight="1" s="220"/>
    <row r="782" ht="15.75" customHeight="1" s="220"/>
    <row r="783" ht="15.75" customHeight="1" s="220"/>
    <row r="784" ht="15.75" customHeight="1" s="220"/>
    <row r="785" ht="15.75" customHeight="1" s="220"/>
    <row r="786" ht="15.75" customHeight="1" s="220"/>
    <row r="787" ht="15.75" customHeight="1" s="220"/>
    <row r="788" ht="15.75" customHeight="1" s="220"/>
    <row r="789" ht="15.75" customHeight="1" s="220"/>
    <row r="790" ht="15.75" customHeight="1" s="220"/>
    <row r="791" ht="15.75" customHeight="1" s="220"/>
    <row r="792" ht="15.75" customHeight="1" s="220"/>
    <row r="793" ht="15.75" customHeight="1" s="220"/>
    <row r="794" ht="15.75" customHeight="1" s="220"/>
    <row r="795" ht="15.75" customHeight="1" s="220"/>
    <row r="796" ht="15.75" customHeight="1" s="220"/>
    <row r="797" ht="15.75" customHeight="1" s="220"/>
    <row r="798" ht="15.75" customHeight="1" s="220"/>
    <row r="799" ht="15.75" customHeight="1" s="220"/>
    <row r="800" ht="15.75" customHeight="1" s="220"/>
    <row r="801" ht="15.75" customHeight="1" s="220"/>
    <row r="802" ht="15.75" customHeight="1" s="220"/>
    <row r="803" ht="15.75" customHeight="1" s="220"/>
    <row r="804" ht="15.75" customHeight="1" s="220"/>
    <row r="805" ht="15.75" customHeight="1" s="220"/>
    <row r="806" ht="15.75" customHeight="1" s="220"/>
    <row r="807" ht="15.75" customHeight="1" s="220"/>
    <row r="808" ht="15.75" customHeight="1" s="220"/>
    <row r="809" ht="15.75" customHeight="1" s="220"/>
    <row r="810" ht="15.75" customHeight="1" s="220"/>
    <row r="811" ht="15.75" customHeight="1" s="220"/>
    <row r="812" ht="15.75" customHeight="1" s="220"/>
    <row r="813" ht="15.75" customHeight="1" s="220"/>
    <row r="814" ht="15.75" customHeight="1" s="220"/>
    <row r="815" ht="15.75" customHeight="1" s="220"/>
    <row r="816" ht="15.75" customHeight="1" s="220"/>
    <row r="817" ht="15.75" customHeight="1" s="220"/>
    <row r="818" ht="15.75" customHeight="1" s="220"/>
    <row r="819" ht="15.75" customHeight="1" s="220"/>
    <row r="820" ht="15.75" customHeight="1" s="220"/>
    <row r="821" ht="15.75" customHeight="1" s="220"/>
    <row r="822" ht="15.75" customHeight="1" s="220"/>
    <row r="823" ht="15.75" customHeight="1" s="220"/>
    <row r="824" ht="15.75" customHeight="1" s="220"/>
    <row r="825" ht="15.75" customHeight="1" s="220"/>
    <row r="826" ht="15.75" customHeight="1" s="220"/>
    <row r="827" ht="15.75" customHeight="1" s="220"/>
    <row r="828" ht="15.75" customHeight="1" s="220"/>
    <row r="829" ht="15.75" customHeight="1" s="220"/>
    <row r="830" ht="15.75" customHeight="1" s="220"/>
    <row r="831" ht="15.75" customHeight="1" s="220"/>
    <row r="832" ht="15.75" customHeight="1" s="220"/>
    <row r="833" ht="15.75" customHeight="1" s="220"/>
    <row r="834" ht="15.75" customHeight="1" s="220"/>
    <row r="835" ht="15.75" customHeight="1" s="220"/>
    <row r="836" ht="15.75" customHeight="1" s="220"/>
    <row r="837" ht="15.75" customHeight="1" s="220"/>
    <row r="838" ht="15.75" customHeight="1" s="220"/>
    <row r="839" ht="15.75" customHeight="1" s="220"/>
    <row r="840" ht="15.75" customHeight="1" s="220"/>
    <row r="841" ht="15.75" customHeight="1" s="220"/>
    <row r="842" ht="15.75" customHeight="1" s="220"/>
    <row r="843" ht="15.75" customHeight="1" s="220"/>
    <row r="844" ht="15.75" customHeight="1" s="220"/>
    <row r="845" ht="15.75" customHeight="1" s="220"/>
    <row r="846" ht="15.75" customHeight="1" s="220"/>
    <row r="847" ht="15.75" customHeight="1" s="220"/>
    <row r="848" ht="15.75" customHeight="1" s="220"/>
    <row r="849" ht="15.75" customHeight="1" s="220"/>
    <row r="850" ht="15.75" customHeight="1" s="220"/>
    <row r="851" ht="15.75" customHeight="1" s="220"/>
    <row r="852" ht="15.75" customHeight="1" s="220"/>
    <row r="853" ht="15.75" customHeight="1" s="220"/>
    <row r="854" ht="15.75" customHeight="1" s="220"/>
    <row r="855" ht="15.75" customHeight="1" s="220"/>
    <row r="856" ht="15.75" customHeight="1" s="220"/>
    <row r="857" ht="15.75" customHeight="1" s="220"/>
    <row r="858" ht="15.75" customHeight="1" s="220"/>
    <row r="859" ht="15.75" customHeight="1" s="220"/>
    <row r="860" ht="15.75" customHeight="1" s="220"/>
    <row r="861" ht="15.75" customHeight="1" s="220"/>
    <row r="862" ht="15.75" customHeight="1" s="220"/>
    <row r="863" ht="15.75" customHeight="1" s="220"/>
    <row r="864" ht="15.75" customHeight="1" s="220"/>
    <row r="865" ht="15.75" customHeight="1" s="220"/>
    <row r="866" ht="15.75" customHeight="1" s="220"/>
    <row r="867" ht="15.75" customHeight="1" s="220"/>
    <row r="868" ht="15.75" customHeight="1" s="220"/>
    <row r="869" ht="15.75" customHeight="1" s="220"/>
    <row r="870" ht="15.75" customHeight="1" s="220"/>
    <row r="871" ht="15.75" customHeight="1" s="220"/>
    <row r="872" ht="15.75" customHeight="1" s="220"/>
    <row r="873" ht="15.75" customHeight="1" s="220"/>
    <row r="874" ht="15.75" customHeight="1" s="220"/>
    <row r="875" ht="15.75" customHeight="1" s="220"/>
    <row r="876" ht="15.75" customHeight="1" s="220"/>
    <row r="877" ht="15.75" customHeight="1" s="220"/>
    <row r="878" ht="15.75" customHeight="1" s="220"/>
    <row r="879" ht="15.75" customHeight="1" s="220"/>
    <row r="880" ht="15.75" customHeight="1" s="220"/>
    <row r="881" ht="15.75" customHeight="1" s="220"/>
    <row r="882" ht="15.75" customHeight="1" s="220"/>
    <row r="883" ht="15.75" customHeight="1" s="220"/>
    <row r="884" ht="15.75" customHeight="1" s="220"/>
    <row r="885" ht="15.75" customHeight="1" s="220"/>
    <row r="886" ht="15.75" customHeight="1" s="220"/>
    <row r="887" ht="15.75" customHeight="1" s="220"/>
    <row r="888" ht="15.75" customHeight="1" s="220"/>
    <row r="889" ht="15.75" customHeight="1" s="220"/>
    <row r="890" ht="15.75" customHeight="1" s="220"/>
    <row r="891" ht="15.75" customHeight="1" s="220"/>
    <row r="892" ht="15.75" customHeight="1" s="220"/>
    <row r="893" ht="15.75" customHeight="1" s="220"/>
    <row r="894" ht="15.75" customHeight="1" s="220"/>
    <row r="895" ht="15.75" customHeight="1" s="220"/>
    <row r="896" ht="15.75" customHeight="1" s="220"/>
    <row r="897" ht="15.75" customHeight="1" s="220"/>
    <row r="898" ht="15.75" customHeight="1" s="220"/>
    <row r="899" ht="15.75" customHeight="1" s="220"/>
    <row r="900" ht="15.75" customHeight="1" s="220"/>
    <row r="901" ht="15.75" customHeight="1" s="220"/>
    <row r="902" ht="15.75" customHeight="1" s="220"/>
    <row r="903" ht="15.75" customHeight="1" s="220"/>
    <row r="904" ht="15.75" customHeight="1" s="220"/>
    <row r="905" ht="15.75" customHeight="1" s="220"/>
    <row r="906" ht="15.75" customHeight="1" s="220"/>
    <row r="907" ht="15.75" customHeight="1" s="220"/>
    <row r="908" ht="15.75" customHeight="1" s="220"/>
    <row r="909" ht="15.75" customHeight="1" s="220"/>
    <row r="910" ht="15.75" customHeight="1" s="220"/>
    <row r="911" ht="15.75" customHeight="1" s="220"/>
    <row r="912" ht="15.75" customHeight="1" s="220"/>
    <row r="913" ht="15.75" customHeight="1" s="220"/>
    <row r="914" ht="15.75" customHeight="1" s="220"/>
    <row r="915" ht="15.75" customHeight="1" s="220"/>
    <row r="916" ht="15.75" customHeight="1" s="220"/>
    <row r="917" ht="15.75" customHeight="1" s="220"/>
    <row r="918" ht="15.75" customHeight="1" s="220"/>
    <row r="919" ht="15.75" customHeight="1" s="220"/>
    <row r="920" ht="15.75" customHeight="1" s="220"/>
    <row r="921" ht="15.75" customHeight="1" s="220"/>
    <row r="922" ht="15.75" customHeight="1" s="220"/>
    <row r="923" ht="15.75" customHeight="1" s="220"/>
    <row r="924" ht="15.75" customHeight="1" s="220"/>
    <row r="925" ht="15.75" customHeight="1" s="220"/>
    <row r="926" ht="15.75" customHeight="1" s="220"/>
    <row r="927" ht="15.75" customHeight="1" s="220"/>
    <row r="928" ht="15.75" customHeight="1" s="220"/>
    <row r="929" ht="15.75" customHeight="1" s="220"/>
    <row r="930" ht="15.75" customHeight="1" s="220"/>
    <row r="931" ht="15.75" customHeight="1" s="220"/>
    <row r="932" ht="15.75" customHeight="1" s="220"/>
    <row r="933" ht="15.75" customHeight="1" s="220"/>
    <row r="934" ht="15.75" customHeight="1" s="220"/>
    <row r="935" ht="15.75" customHeight="1" s="220"/>
    <row r="936" ht="15.75" customHeight="1" s="220"/>
    <row r="937" ht="15.75" customHeight="1" s="220"/>
    <row r="938" ht="15.75" customHeight="1" s="220"/>
    <row r="939" ht="15.75" customHeight="1" s="220"/>
    <row r="940" ht="15.75" customHeight="1" s="220"/>
    <row r="941" ht="15.75" customHeight="1" s="220"/>
    <row r="942" ht="15.75" customHeight="1" s="220"/>
    <row r="943" ht="15.75" customHeight="1" s="220"/>
    <row r="944" ht="15.75" customHeight="1" s="220"/>
    <row r="945" ht="15.75" customHeight="1" s="220"/>
    <row r="946" ht="15.75" customHeight="1" s="220"/>
    <row r="947" ht="15.75" customHeight="1" s="220"/>
    <row r="948" ht="15.75" customHeight="1" s="220"/>
    <row r="949" ht="15.75" customHeight="1" s="220"/>
    <row r="950" ht="15.75" customHeight="1" s="220"/>
    <row r="951" ht="15.75" customHeight="1" s="220"/>
    <row r="952" ht="15.75" customHeight="1" s="220"/>
    <row r="953" ht="15.75" customHeight="1" s="220"/>
    <row r="954" ht="15.75" customHeight="1" s="220"/>
    <row r="955" ht="15.75" customHeight="1" s="220"/>
    <row r="956" ht="15.75" customHeight="1" s="220"/>
    <row r="957" ht="15.75" customHeight="1" s="220"/>
    <row r="958" ht="15.75" customHeight="1" s="220"/>
    <row r="959" ht="15.75" customHeight="1" s="220"/>
    <row r="960" ht="15.75" customHeight="1" s="220"/>
    <row r="961" ht="15.75" customHeight="1" s="220"/>
    <row r="962" ht="15.75" customHeight="1" s="220"/>
    <row r="963" ht="15.75" customHeight="1" s="220"/>
    <row r="964" ht="15.75" customHeight="1" s="220"/>
    <row r="965" ht="15.75" customHeight="1" s="220"/>
    <row r="966" ht="15.75" customHeight="1" s="220"/>
    <row r="967" ht="15.75" customHeight="1" s="220"/>
    <row r="968" ht="15.75" customHeight="1" s="220"/>
    <row r="969" ht="15.75" customHeight="1" s="220"/>
    <row r="970" ht="15.75" customHeight="1" s="220"/>
    <row r="971" ht="15.75" customHeight="1" s="220"/>
    <row r="972" ht="15.75" customHeight="1" s="220"/>
    <row r="973" ht="15.75" customHeight="1" s="220"/>
    <row r="974" ht="15.75" customHeight="1" s="220"/>
    <row r="975" ht="15.75" customHeight="1" s="220"/>
    <row r="976" ht="15.75" customHeight="1" s="220"/>
    <row r="977" ht="15.75" customHeight="1" s="220"/>
    <row r="978" ht="15.75" customHeight="1" s="220"/>
    <row r="979" ht="15.75" customHeight="1" s="220"/>
    <row r="980" ht="15.75" customHeight="1" s="220"/>
    <row r="981" ht="15.75" customHeight="1" s="220"/>
    <row r="982" ht="15.75" customHeight="1" s="220"/>
    <row r="983" ht="15.75" customHeight="1" s="220"/>
    <row r="984" ht="15.75" customHeight="1" s="220"/>
    <row r="985" ht="15.75" customHeight="1" s="220"/>
    <row r="986" ht="15.75" customHeight="1" s="220"/>
    <row r="987" ht="15.75" customHeight="1" s="220"/>
    <row r="988" ht="15.75" customHeight="1" s="220"/>
    <row r="989" ht="15.75" customHeight="1" s="220"/>
    <row r="990" ht="15.75" customHeight="1" s="220"/>
    <row r="991" ht="15.75" customHeight="1" s="220"/>
    <row r="992" ht="15.75" customHeight="1" s="220"/>
    <row r="993" ht="15.75" customHeight="1" s="220"/>
    <row r="994" ht="15.75" customHeight="1" s="220"/>
    <row r="995" ht="15.75" customHeight="1" s="220"/>
    <row r="996" ht="15.75" customHeight="1" s="220"/>
    <row r="997" ht="15.75" customHeight="1" s="220"/>
    <row r="998" ht="15.75" customHeight="1" s="220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Sakriya Bajracharya</dc:creator>
  <dcterms:created xsi:type="dcterms:W3CDTF">2021-10-02T12:54:36Z</dcterms:created>
  <dcterms:modified xsi:type="dcterms:W3CDTF">2026-06-07T07:37:01Z</dcterms:modified>
</cp:coreProperties>
</file>