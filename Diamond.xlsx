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 Up Mobile" sheetId="1" r:id="rId4"/>
    <sheet state="visible" name="Bill Maker 1" sheetId="2" r:id="rId5"/>
    <sheet state="hidden" name="Bill Maker" sheetId="3" r:id="rId6"/>
    <sheet state="visible" name="Gold Prices" sheetId="4" r:id="rId7"/>
    <sheet state="visible" name="Look Up" sheetId="5" r:id="rId8"/>
    <sheet state="visible" name="Ladies Ring" sheetId="6" r:id="rId9"/>
    <sheet state="visible" name="Gents Ring" sheetId="7" r:id="rId10"/>
    <sheet state="visible" name="Top" sheetId="8" r:id="rId11"/>
    <sheet state="visible" name="Locket" sheetId="9" r:id="rId12"/>
    <sheet state="visible" name="Jagganath" sheetId="10" r:id="rId13"/>
    <sheet state="visible" name="Prithivi" sheetId="11" r:id="rId14"/>
    <sheet state="visible" name="Necklace" sheetId="12" r:id="rId15"/>
    <sheet state="visible" name="Chura" sheetId="13" r:id="rId16"/>
    <sheet state="visible" name="Nosepin" sheetId="14" r:id="rId17"/>
    <sheet state="visible" name="Check Price" sheetId="15" r:id="rId18"/>
    <sheet state="visible" name="DJ Price" sheetId="16" r:id="rId19"/>
    <sheet state="visible" name="Prices" sheetId="17" r:id="rId20"/>
    <sheet state="visible" name="Certificate Data" sheetId="18" r:id="rId21"/>
    <sheet state="visible" name="Stock Sheet" sheetId="19" r:id="rId22"/>
  </sheets>
  <definedNames>
    <definedName hidden="1" localSheetId="17" name="_xlnm._FilterDatabase">'Certificate Data'!$A$1:$T$79</definedName>
  </definedNames>
  <calcPr/>
  <extLst>
    <ext uri="GoogleSheetsCustomDataVersion2">
      <go:sheetsCustomData xmlns:go="http://customooxmlschemas.google.com/" r:id="rId23" roundtripDataChecksum="47hd8GJKiTUHr7WrpX2kJhcu61R6QNM80dwDtfSbjq8="/>
    </ext>
  </extLst>
</workbook>
</file>

<file path=xl/sharedStrings.xml><?xml version="1.0" encoding="utf-8"?>
<sst xmlns="http://schemas.openxmlformats.org/spreadsheetml/2006/main" count="2196" uniqueCount="306">
  <si>
    <t>Ladies Ring</t>
  </si>
  <si>
    <t>Discount</t>
  </si>
  <si>
    <t>Sn</t>
  </si>
  <si>
    <t>Cert Check</t>
  </si>
  <si>
    <t>Net Weight</t>
  </si>
  <si>
    <t>Dmd &lt; 0.06</t>
  </si>
  <si>
    <t>Dmd &lt; 0.12</t>
  </si>
  <si>
    <t>Dmd &lt; 0.17</t>
  </si>
  <si>
    <t>Dmd Big</t>
  </si>
  <si>
    <t>Ruby</t>
  </si>
  <si>
    <t>Emreld</t>
  </si>
  <si>
    <t>Muga</t>
  </si>
  <si>
    <t>Gold Total</t>
  </si>
  <si>
    <t>Diamond Total</t>
  </si>
  <si>
    <t>Stone Total</t>
  </si>
  <si>
    <t>Total</t>
  </si>
  <si>
    <t>Net Total</t>
  </si>
  <si>
    <t>2% Luxury Tax</t>
  </si>
  <si>
    <t>Grand Total</t>
  </si>
  <si>
    <t>Gold Rate</t>
  </si>
  <si>
    <t>14k</t>
  </si>
  <si>
    <t>SN</t>
  </si>
  <si>
    <t>Description</t>
  </si>
  <si>
    <t>Net Wt</t>
  </si>
  <si>
    <t>Wastage</t>
  </si>
  <si>
    <t>Total Wt</t>
  </si>
  <si>
    <t>Rate</t>
  </si>
  <si>
    <t>Labour</t>
  </si>
  <si>
    <t>Taxable Amount</t>
  </si>
  <si>
    <t>Amount</t>
  </si>
  <si>
    <t>AJ1</t>
  </si>
  <si>
    <t>DJ Price</t>
  </si>
  <si>
    <t>Gold</t>
  </si>
  <si>
    <t>Labour Rate</t>
  </si>
  <si>
    <t>Amount Before TAX</t>
  </si>
  <si>
    <t>2% TAX</t>
  </si>
  <si>
    <t>Tax</t>
  </si>
  <si>
    <t>Diamond</t>
  </si>
  <si>
    <t>net</t>
  </si>
  <si>
    <t>Diamond Aft Disc</t>
  </si>
  <si>
    <t>14k Rate</t>
  </si>
  <si>
    <t>%</t>
  </si>
  <si>
    <t>18K</t>
  </si>
  <si>
    <t>14K</t>
  </si>
  <si>
    <t>Conversion</t>
  </si>
  <si>
    <t>Weight</t>
  </si>
  <si>
    <t>lal</t>
  </si>
  <si>
    <t>=</t>
  </si>
  <si>
    <t>gm</t>
  </si>
  <si>
    <t>Jarti</t>
  </si>
  <si>
    <t>Total Weight</t>
  </si>
  <si>
    <t>Jyala/pc</t>
  </si>
  <si>
    <t>Jyala %</t>
  </si>
  <si>
    <t>Jyala/tola</t>
  </si>
  <si>
    <t>Jyala/gm</t>
  </si>
  <si>
    <t>Total Price</t>
  </si>
  <si>
    <t>Jyala</t>
  </si>
  <si>
    <t>Stone</t>
  </si>
  <si>
    <t>Silver</t>
  </si>
  <si>
    <t>24K</t>
  </si>
  <si>
    <t>22K</t>
  </si>
  <si>
    <t>Ring Lookup</t>
  </si>
  <si>
    <t>Discount %</t>
  </si>
  <si>
    <t>Wstg + MC</t>
  </si>
  <si>
    <t>Gross Weight</t>
  </si>
  <si>
    <t>Dmd &lt;0.06</t>
  </si>
  <si>
    <t>Dmd &lt;0.17</t>
  </si>
  <si>
    <t>Dmd Price</t>
  </si>
  <si>
    <t>Stn Price</t>
  </si>
  <si>
    <t>Gold Price</t>
  </si>
  <si>
    <t>Ttl dmd Price</t>
  </si>
  <si>
    <t xml:space="preserve">  </t>
  </si>
  <si>
    <t>Gents Ring</t>
  </si>
  <si>
    <t>Top Lookup</t>
  </si>
  <si>
    <t>Gross weight</t>
  </si>
  <si>
    <t>Pendent Lookup</t>
  </si>
  <si>
    <t>Locket Lookup</t>
  </si>
  <si>
    <t>Jagganath Lookup</t>
  </si>
  <si>
    <t>Necklace Lookup</t>
  </si>
  <si>
    <t>Chura Lookup</t>
  </si>
  <si>
    <t>Available</t>
  </si>
  <si>
    <t>A</t>
  </si>
  <si>
    <t>Sold</t>
  </si>
  <si>
    <t>Return</t>
  </si>
  <si>
    <t>Net Weightt</t>
  </si>
  <si>
    <t>sold</t>
  </si>
  <si>
    <t>Available 1/2</t>
  </si>
  <si>
    <t>Dmd &lt;0.12</t>
  </si>
  <si>
    <t>r10</t>
  </si>
  <si>
    <t>e2</t>
  </si>
  <si>
    <t xml:space="preserve"> </t>
  </si>
  <si>
    <t>Dmd &gt;0.06</t>
  </si>
  <si>
    <t>lc</t>
  </si>
  <si>
    <t>TAX</t>
  </si>
  <si>
    <t>Disocunt Price</t>
  </si>
  <si>
    <t>Cost</t>
  </si>
  <si>
    <t>LT420</t>
  </si>
  <si>
    <t>ER819</t>
  </si>
  <si>
    <t>ER122</t>
  </si>
  <si>
    <t>LT122</t>
  </si>
  <si>
    <t>LT66</t>
  </si>
  <si>
    <t>ER66</t>
  </si>
  <si>
    <t>LT130</t>
  </si>
  <si>
    <t>ER130</t>
  </si>
  <si>
    <t>LT174</t>
  </si>
  <si>
    <t>ER174</t>
  </si>
  <si>
    <t>LT110</t>
  </si>
  <si>
    <t>ER110</t>
  </si>
  <si>
    <t>RG120</t>
  </si>
  <si>
    <t>RG66</t>
  </si>
  <si>
    <t>RG738</t>
  </si>
  <si>
    <t>RG1017</t>
  </si>
  <si>
    <t>BS453</t>
  </si>
  <si>
    <t>BS472</t>
  </si>
  <si>
    <t>BS431</t>
  </si>
  <si>
    <t>BS372</t>
  </si>
  <si>
    <t>BS498</t>
  </si>
  <si>
    <t>ER670</t>
  </si>
  <si>
    <t>ER606</t>
  </si>
  <si>
    <t>ER294</t>
  </si>
  <si>
    <t>ER1832</t>
  </si>
  <si>
    <t>ER1189</t>
  </si>
  <si>
    <t>ER1195</t>
  </si>
  <si>
    <t>ER1457</t>
  </si>
  <si>
    <t>ER238</t>
  </si>
  <si>
    <t>ER236</t>
  </si>
  <si>
    <t>ER2448</t>
  </si>
  <si>
    <t>ER2031</t>
  </si>
  <si>
    <t>LT1315</t>
  </si>
  <si>
    <t>LT1314</t>
  </si>
  <si>
    <t>LT1045</t>
  </si>
  <si>
    <t>LT809</t>
  </si>
  <si>
    <t>LT644</t>
  </si>
  <si>
    <t>RG3685</t>
  </si>
  <si>
    <t>RG1056</t>
  </si>
  <si>
    <t>RG2699</t>
  </si>
  <si>
    <t>LT177</t>
  </si>
  <si>
    <t>ER177</t>
  </si>
  <si>
    <t>ER2584</t>
  </si>
  <si>
    <t>ER2084</t>
  </si>
  <si>
    <t>ER1939</t>
  </si>
  <si>
    <t>NC163</t>
  </si>
  <si>
    <t>NC414</t>
  </si>
  <si>
    <t>NC182</t>
  </si>
  <si>
    <t>NC372</t>
  </si>
  <si>
    <t>NC307</t>
  </si>
  <si>
    <t>ER393</t>
  </si>
  <si>
    <t>ER435</t>
  </si>
  <si>
    <t>ER1149</t>
  </si>
  <si>
    <t>ER1641</t>
  </si>
  <si>
    <t>ER1098</t>
  </si>
  <si>
    <t>ER2598</t>
  </si>
  <si>
    <t>ER2541</t>
  </si>
  <si>
    <t>ER1852</t>
  </si>
  <si>
    <t>ER808</t>
  </si>
  <si>
    <t>ER2596</t>
  </si>
  <si>
    <t>ER1881</t>
  </si>
  <si>
    <t>ER1615</t>
  </si>
  <si>
    <t>ER241</t>
  </si>
  <si>
    <t>ER2301</t>
  </si>
  <si>
    <t>List</t>
  </si>
  <si>
    <t>Top</t>
  </si>
  <si>
    <t>Locket</t>
  </si>
  <si>
    <t>Jagganath</t>
  </si>
  <si>
    <t>Necklace</t>
  </si>
  <si>
    <t>Chura</t>
  </si>
  <si>
    <t>Prithivi</t>
  </si>
  <si>
    <t>Nosepin</t>
  </si>
  <si>
    <t>Item</t>
  </si>
  <si>
    <t>Number</t>
  </si>
  <si>
    <t>Gold Weight</t>
  </si>
  <si>
    <t>NEGJA Cost</t>
  </si>
  <si>
    <t>SGL Cost</t>
  </si>
  <si>
    <t>Certificate Price</t>
  </si>
  <si>
    <t>Certificate No.</t>
  </si>
  <si>
    <t>SGLJNPJ317588W</t>
  </si>
  <si>
    <t>SGLJNPJ317589W</t>
  </si>
  <si>
    <t>NEGJA</t>
  </si>
  <si>
    <t>sgl</t>
  </si>
  <si>
    <t>SGLJNPJ320267J</t>
  </si>
  <si>
    <t>NEGJA COST</t>
  </si>
  <si>
    <t>Base Rate</t>
  </si>
  <si>
    <t>SGLJNPJ320268J</t>
  </si>
  <si>
    <t>SGL COST</t>
  </si>
  <si>
    <t>&gt;0.43/ct Rate</t>
  </si>
  <si>
    <t>SGLJNPJ320269J</t>
  </si>
  <si>
    <t>TOTAL</t>
  </si>
  <si>
    <t>sol &gt;0.21/ct Rate</t>
  </si>
  <si>
    <t>SGLJNPJ320270J</t>
  </si>
  <si>
    <t>SGLJNPJ320271J</t>
  </si>
  <si>
    <t>SGLJNPJ320272J</t>
  </si>
  <si>
    <t>SGLJNPJ320273J</t>
  </si>
  <si>
    <t>SGLJNPJ320274J</t>
  </si>
  <si>
    <t>SGLJNPJ320275J</t>
  </si>
  <si>
    <t>SGLJNPJ320276J</t>
  </si>
  <si>
    <t>SGLJNPJ320277J</t>
  </si>
  <si>
    <t>SGLJNPJ320278J</t>
  </si>
  <si>
    <t>SGLJNPJ320279J</t>
  </si>
  <si>
    <t>SGLJNPJ320280J</t>
  </si>
  <si>
    <t>SGLJNPJ320281J</t>
  </si>
  <si>
    <t>SGLJNPJ320339K</t>
  </si>
  <si>
    <t>SGLJNPJ320340K</t>
  </si>
  <si>
    <t>SGLJNPJ320341K</t>
  </si>
  <si>
    <t>SGLJNPJ320342K</t>
  </si>
  <si>
    <t>SGLJNPJ320343K</t>
  </si>
  <si>
    <t>SGLJNPJ320344K</t>
  </si>
  <si>
    <t>SGLJNPJ320345K</t>
  </si>
  <si>
    <t>SGLJNPJ320346K</t>
  </si>
  <si>
    <t>SGLJNPJ320347K</t>
  </si>
  <si>
    <t>SGLJNPJ320348K</t>
  </si>
  <si>
    <t>SGLJNPJ320349K</t>
  </si>
  <si>
    <t>SGLJNPJ320350K</t>
  </si>
  <si>
    <t>SGLJNPJ320351K</t>
  </si>
  <si>
    <t>SGLJNPJ320352K</t>
  </si>
  <si>
    <t>SGLJNPJ320353K</t>
  </si>
  <si>
    <t>SGLJNPJ320354K</t>
  </si>
  <si>
    <t>SGLJNPJ320355K</t>
  </si>
  <si>
    <t>SGLJNPJ320356K</t>
  </si>
  <si>
    <t>SGLJNPJ320357K</t>
  </si>
  <si>
    <t>SGLJNPJ320358K</t>
  </si>
  <si>
    <t>SGLJNPJ320359K</t>
  </si>
  <si>
    <t>SGLJNPJ320360K</t>
  </si>
  <si>
    <t>SGLJNPJ320361K</t>
  </si>
  <si>
    <t>SGLJNPJ320362K</t>
  </si>
  <si>
    <t>SGLJNPJ320363K</t>
  </si>
  <si>
    <t>SGLJNPJ320364K</t>
  </si>
  <si>
    <t>SGLJNPJ320365K</t>
  </si>
  <si>
    <t>SGLJNPJ320366K</t>
  </si>
  <si>
    <t>SGLJNPJ320367K</t>
  </si>
  <si>
    <t>SGLJNPJ320368K</t>
  </si>
  <si>
    <t>SGLJNPJ320369K</t>
  </si>
  <si>
    <t>SGLJNPJ320370K</t>
  </si>
  <si>
    <t>SGLJNPJ320371K</t>
  </si>
  <si>
    <t>SGLJNPJ320372K</t>
  </si>
  <si>
    <t>SGLJNPJ320373K</t>
  </si>
  <si>
    <t>SGLJNPJ320374K</t>
  </si>
  <si>
    <t>SGLJNPJ320375K</t>
  </si>
  <si>
    <t>SGLJNPJ320376K</t>
  </si>
  <si>
    <t>SGLJNPJ320377K</t>
  </si>
  <si>
    <t>SGLJNPJ320378K</t>
  </si>
  <si>
    <t>SGLJNPJ320379K</t>
  </si>
  <si>
    <t>SGLJNPJ320380K</t>
  </si>
  <si>
    <t>SGLJNPJ320381K</t>
  </si>
  <si>
    <t>SGLJNPJ320382K</t>
  </si>
  <si>
    <t>SGLJNPJ320383K</t>
  </si>
  <si>
    <t>SGLJNPJ320536Y</t>
  </si>
  <si>
    <t>SGLJNPJ331070R</t>
  </si>
  <si>
    <t>SGLJNPJ331071R</t>
  </si>
  <si>
    <t>SGLJNPJ331072R</t>
  </si>
  <si>
    <t>SGLJNPJ331073R</t>
  </si>
  <si>
    <t>SGLJNPJ331074R</t>
  </si>
  <si>
    <t>SGLJNPJ331075R</t>
  </si>
  <si>
    <t>SGLJNPJ331076R</t>
  </si>
  <si>
    <t>SGLJNPJ331077R</t>
  </si>
  <si>
    <t>SGLJNPJ331078R</t>
  </si>
  <si>
    <t>SGLJNPJ331079R</t>
  </si>
  <si>
    <t>SGLJNPJ331080R</t>
  </si>
  <si>
    <t>SGLJNPJ331081R</t>
  </si>
  <si>
    <t>SGLJNPJ331082R</t>
  </si>
  <si>
    <t>SGLJNPJ331083R</t>
  </si>
  <si>
    <t>SGLJNPJ331084R</t>
  </si>
  <si>
    <t>SGLJNPJ331069R</t>
  </si>
  <si>
    <t>SGLJNPJ342356E</t>
  </si>
  <si>
    <t>SGLJNPJ342323E</t>
  </si>
  <si>
    <t>SGLJNPJ342324E</t>
  </si>
  <si>
    <t>SGLJNPJ342325E</t>
  </si>
  <si>
    <t>SGLJNPJ342326E</t>
  </si>
  <si>
    <t>SGLJNPJ342327E</t>
  </si>
  <si>
    <t>SGLJNPJ342328E</t>
  </si>
  <si>
    <t>SGLJNPJ342329E</t>
  </si>
  <si>
    <t>SGLJNPJ342330E</t>
  </si>
  <si>
    <t>SGLJNPJ342331E</t>
  </si>
  <si>
    <t>SGLJNPJ342332E</t>
  </si>
  <si>
    <t>SGLJNPJ342333E</t>
  </si>
  <si>
    <t>SGLJNPJ342334E</t>
  </si>
  <si>
    <t>SGLJNPJ342335E</t>
  </si>
  <si>
    <t>SGLJNPJ342336E</t>
  </si>
  <si>
    <t>SGLJNPJ342337E</t>
  </si>
  <si>
    <t>SGLJNPJ342338E</t>
  </si>
  <si>
    <t>SGLJNPJ342339E</t>
  </si>
  <si>
    <t>SGLJNPJ342340E</t>
  </si>
  <si>
    <t>SGLJNPJ342341E</t>
  </si>
  <si>
    <t>SGLJNPJ342342E</t>
  </si>
  <si>
    <t>SGLJNPJ342343E</t>
  </si>
  <si>
    <t>SGLJNPJ342344E</t>
  </si>
  <si>
    <t>SGLJNPJ342345E</t>
  </si>
  <si>
    <t>SGLJNPJ342346E</t>
  </si>
  <si>
    <t>SGLJNPJ342347E</t>
  </si>
  <si>
    <t>SGLJNPJ342348E</t>
  </si>
  <si>
    <t>SGLJNPJ342349E</t>
  </si>
  <si>
    <t>SGLJNPJ342350E</t>
  </si>
  <si>
    <t>SGLJNPJ342351E</t>
  </si>
  <si>
    <t>SGLJNPJ342352E</t>
  </si>
  <si>
    <t>SGLJNPJ342353E</t>
  </si>
  <si>
    <t>SGLJNPJ342354E</t>
  </si>
  <si>
    <t>SGLJNPJ342355E</t>
  </si>
  <si>
    <t>SGLJNPJ342357E</t>
  </si>
  <si>
    <t>Mens Ring Stock</t>
  </si>
  <si>
    <t>Ladies Ring Stock</t>
  </si>
  <si>
    <t>Top Stock</t>
  </si>
  <si>
    <t>Locket Stock</t>
  </si>
  <si>
    <t>Necklace Stock</t>
  </si>
  <si>
    <t>Chura Stock</t>
  </si>
  <si>
    <t>Jagganath Stock</t>
  </si>
  <si>
    <t>Prithivi Stock</t>
  </si>
  <si>
    <t>Pure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</si>
</sst>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Rs.-849]\ * #,##0.00_-;\-[$Rs.-849]\ * #,##0.00_-;_-[$Rs.-849]\ * &quot;-&quot;??_-;_-@"/>
    <numFmt numFmtId="165" formatCode="_(* #,##0_);_(* \(#,##0\);_(* &quot;-&quot;??_);_(@_)"/>
    <numFmt numFmtId="166" formatCode="_-[$Rs.-849]* #,##0.00_-;\-[$Rs.-849]* #,##0.00_-;_-[$Rs.-849]* &quot;-&quot;??_-;_-@"/>
    <numFmt numFmtId="167" formatCode="_(* #,##0.00_);_(* \(#,##0.00\);_(* &quot;-&quot;??_);_(@_)"/>
  </numFmts>
  <fonts count="50">
    <font>
      <sz val="11.0"/>
      <color theme="1"/>
      <name val="Calibri"/>
      <scheme val="minor"/>
    </font>
    <font>
      <b/>
      <sz val="28.0"/>
      <color theme="1"/>
      <name val="Times New Roman"/>
    </font>
    <font/>
    <font>
      <b/>
      <sz val="20.0"/>
      <color theme="1"/>
      <name val="Times New Roman"/>
    </font>
    <font>
      <b/>
      <sz val="14.0"/>
      <color theme="1"/>
      <name val="Times New Roman"/>
    </font>
    <font>
      <sz val="24.0"/>
      <color theme="1"/>
      <name val="Times New Roman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theme="1"/>
      <name val="Times New Roman"/>
    </font>
    <font>
      <sz val="10.0"/>
      <color theme="1"/>
      <name val="Arimo"/>
    </font>
    <font>
      <sz val="14.0"/>
      <color theme="1"/>
      <name val="Times New Roman"/>
    </font>
    <font>
      <b/>
      <u/>
      <sz val="14.0"/>
      <color theme="1"/>
      <name val="Times New Roman"/>
    </font>
    <font>
      <b/>
      <u/>
      <sz val="14.0"/>
      <color theme="1"/>
      <name val="Times New Roman"/>
    </font>
    <font>
      <sz val="11.0"/>
      <color theme="1"/>
      <name val="Calibri"/>
    </font>
    <font>
      <b/>
      <u/>
      <sz val="14.0"/>
      <color theme="1"/>
      <name val="Times New Roman"/>
    </font>
    <font>
      <u/>
      <sz val="11.0"/>
      <color theme="10"/>
      <name val="Calibri"/>
    </font>
    <font>
      <b/>
      <u/>
      <sz val="14.0"/>
      <color theme="1"/>
      <name val="Times New Roman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sz val="18.0"/>
      <color theme="1"/>
      <name val="Calibri"/>
    </font>
    <font>
      <b/>
      <u/>
      <sz val="18.0"/>
      <color theme="1"/>
      <name val="Calibri"/>
    </font>
    <font>
      <u/>
      <sz val="11.0"/>
      <color theme="10"/>
      <name val="Calibri"/>
    </font>
    <font>
      <b/>
      <sz val="14.0"/>
      <color theme="0"/>
      <name val="Calibri"/>
    </font>
    <font>
      <sz val="14.0"/>
      <color theme="10"/>
      <name val="Calibri"/>
    </font>
    <font>
      <sz val="18.0"/>
      <color theme="1"/>
      <name val="Times New Roman"/>
    </font>
    <font>
      <b/>
      <sz val="26.0"/>
      <color theme="1"/>
      <name val="Calibri"/>
    </font>
    <font>
      <b/>
      <sz val="22.0"/>
      <color theme="1"/>
      <name val="Calibri"/>
    </font>
    <font>
      <b/>
      <sz val="16.0"/>
      <color theme="1"/>
      <name val="Calibri"/>
    </font>
    <font>
      <sz val="18.0"/>
      <color theme="1"/>
      <name val="Calibri"/>
    </font>
    <font>
      <sz val="16.0"/>
      <color theme="1"/>
      <name val="Calibri"/>
    </font>
    <font>
      <b/>
      <u/>
      <sz val="14.0"/>
      <color theme="1"/>
      <name val="Calibri"/>
    </font>
    <font>
      <b/>
      <u/>
      <sz val="16.0"/>
      <color theme="1"/>
      <name val="Calibri"/>
    </font>
    <font>
      <b/>
      <u/>
      <sz val="14.0"/>
      <color theme="1"/>
      <name val="Calibri"/>
    </font>
    <font>
      <b/>
      <u/>
      <sz val="16.0"/>
      <color theme="1"/>
      <name val="Calibri"/>
    </font>
    <font>
      <b/>
      <u/>
      <sz val="14.0"/>
      <color theme="1"/>
      <name val="Calibri"/>
    </font>
    <font>
      <b/>
      <u/>
      <sz val="16.0"/>
      <color theme="1"/>
      <name val="Calibri"/>
    </font>
    <font>
      <b/>
      <u/>
      <sz val="14.0"/>
      <color theme="1"/>
      <name val="Calibri"/>
    </font>
    <font>
      <b/>
      <u/>
      <sz val="16.0"/>
      <color theme="1"/>
      <name val="Calibri"/>
    </font>
    <font>
      <b/>
      <sz val="11.0"/>
      <color theme="1"/>
      <name val="Calibri"/>
    </font>
    <font>
      <sz val="36.0"/>
      <color theme="1"/>
      <name val="Times New Roman"/>
    </font>
    <font>
      <sz val="11.0"/>
      <color theme="1"/>
      <name val="Times New Roman"/>
    </font>
    <font>
      <sz val="9.0"/>
      <color theme="1"/>
      <name val="Times New Roman"/>
    </font>
    <font>
      <b/>
      <sz val="16.0"/>
      <color theme="1"/>
      <name val="Times New Roman"/>
    </font>
    <font>
      <b/>
      <sz val="22.0"/>
      <color theme="1"/>
      <name val="Times New Roman"/>
    </font>
    <font>
      <strike/>
      <sz val="14.0"/>
      <color theme="1"/>
      <name val="Calibri"/>
    </font>
    <font>
      <b/>
      <strike/>
      <sz val="14.0"/>
      <color theme="1"/>
      <name val="Calibri"/>
    </font>
    <font>
      <strike/>
      <sz val="14.0"/>
      <color theme="1"/>
      <name val="Times New Roman"/>
    </font>
    <font>
      <b/>
      <strike/>
      <sz val="14.0"/>
      <color theme="1"/>
      <name val="Times New Roman"/>
    </font>
    <font>
      <sz val="14.0"/>
      <color rgb="FF0C0C0C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</fills>
  <borders count="6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0" fillId="0" fontId="4" numFmtId="14" xfId="0" applyAlignment="1" applyFont="1" applyNumberFormat="1">
      <alignment horizont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2" fillId="0" fontId="6" numFmtId="0" xfId="0" applyAlignment="1" applyBorder="1" applyFont="1">
      <alignment horizontal="center" vertical="center"/>
    </xf>
    <xf borderId="4" fillId="0" fontId="6" numFmtId="0" xfId="0" applyBorder="1" applyFont="1"/>
    <xf borderId="0" fillId="0" fontId="7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8" numFmtId="0" xfId="0" applyAlignment="1" applyFont="1">
      <alignment horizontal="center"/>
    </xf>
    <xf borderId="11" fillId="0" fontId="9" numFmtId="0" xfId="0" applyBorder="1" applyFont="1"/>
    <xf borderId="12" fillId="0" fontId="4" numFmtId="0" xfId="0" applyAlignment="1" applyBorder="1" applyFont="1">
      <alignment horizontal="left" vertical="center"/>
    </xf>
    <xf borderId="0" fillId="0" fontId="10" numFmtId="0" xfId="0" applyAlignment="1" applyFont="1">
      <alignment horizontal="right" vertical="center"/>
    </xf>
    <xf borderId="13" fillId="0" fontId="11" numFmtId="164" xfId="0" applyAlignment="1" applyBorder="1" applyFont="1" applyNumberFormat="1">
      <alignment horizontal="left" vertical="center"/>
    </xf>
    <xf borderId="0" fillId="0" fontId="7" numFmtId="165" xfId="0" applyAlignment="1" applyFont="1" applyNumberFormat="1">
      <alignment horizontal="right" vertical="center"/>
    </xf>
    <xf borderId="0" fillId="0" fontId="10" numFmtId="2" xfId="0" applyAlignment="1" applyFont="1" applyNumberFormat="1">
      <alignment horizontal="center"/>
    </xf>
    <xf borderId="14" fillId="0" fontId="4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15" fillId="0" fontId="12" numFmtId="164" xfId="0" applyAlignment="1" applyBorder="1" applyFont="1" applyNumberFormat="1">
      <alignment horizontal="left" vertical="center"/>
    </xf>
    <xf borderId="0" fillId="0" fontId="10" numFmtId="0" xfId="0" applyAlignment="1" applyFont="1">
      <alignment horizontal="center"/>
    </xf>
    <xf borderId="16" fillId="0" fontId="4" numFmtId="0" xfId="0" applyAlignment="1" applyBorder="1" applyFont="1">
      <alignment horizontal="left" vertical="center"/>
    </xf>
    <xf borderId="9" fillId="0" fontId="7" numFmtId="0" xfId="0" applyAlignment="1" applyBorder="1" applyFont="1">
      <alignment vertical="center"/>
    </xf>
    <xf borderId="17" fillId="0" fontId="7" numFmtId="0" xfId="0" applyAlignment="1" applyBorder="1" applyFont="1">
      <alignment horizontal="right" vertical="center"/>
    </xf>
    <xf borderId="0" fillId="0" fontId="13" numFmtId="0" xfId="0" applyFont="1"/>
    <xf borderId="18" fillId="0" fontId="6" numFmtId="0" xfId="0" applyAlignment="1" applyBorder="1" applyFont="1">
      <alignment horizontal="right" vertical="center"/>
    </xf>
    <xf borderId="19" fillId="0" fontId="14" numFmtId="164" xfId="0" applyAlignment="1" applyBorder="1" applyFont="1" applyNumberFormat="1">
      <alignment horizontal="left" vertical="center"/>
    </xf>
    <xf borderId="0" fillId="0" fontId="13" numFmtId="166" xfId="0" applyAlignment="1" applyFont="1" applyNumberFormat="1">
      <alignment horizontal="right" vertical="center"/>
    </xf>
    <xf borderId="17" fillId="0" fontId="15" numFmtId="0" xfId="0" applyAlignment="1" applyBorder="1" applyFont="1">
      <alignment horizontal="right" vertical="center"/>
    </xf>
    <xf borderId="20" fillId="0" fontId="6" numFmtId="0" xfId="0" applyAlignment="1" applyBorder="1" applyFont="1">
      <alignment horizontal="right" vertical="center"/>
    </xf>
    <xf borderId="21" fillId="0" fontId="16" numFmtId="164" xfId="0" applyAlignment="1" applyBorder="1" applyFont="1" applyNumberFormat="1">
      <alignment horizontal="left" vertical="center"/>
    </xf>
    <xf borderId="21" fillId="0" fontId="17" numFmtId="164" xfId="0" applyAlignment="1" applyBorder="1" applyFont="1" applyNumberFormat="1">
      <alignment horizontal="left" vertical="center"/>
    </xf>
    <xf borderId="0" fillId="0" fontId="13" numFmtId="0" xfId="0" applyAlignment="1" applyFont="1">
      <alignment horizontal="right" vertical="center"/>
    </xf>
    <xf borderId="22" fillId="0" fontId="6" numFmtId="0" xfId="0" applyAlignment="1" applyBorder="1" applyFont="1">
      <alignment horizontal="right" vertical="center"/>
    </xf>
    <xf borderId="23" fillId="0" fontId="18" numFmtId="164" xfId="0" applyAlignment="1" applyBorder="1" applyFont="1" applyNumberFormat="1">
      <alignment horizontal="left" vertical="center"/>
    </xf>
    <xf borderId="19" fillId="0" fontId="19" numFmtId="166" xfId="0" applyAlignment="1" applyBorder="1" applyFont="1" applyNumberFormat="1">
      <alignment horizontal="right" vertical="center"/>
    </xf>
    <xf borderId="24" fillId="0" fontId="20" numFmtId="0" xfId="0" applyAlignment="1" applyBorder="1" applyFont="1">
      <alignment horizontal="right" vertical="center"/>
    </xf>
    <xf borderId="25" fillId="0" fontId="21" numFmtId="164" xfId="0" applyAlignment="1" applyBorder="1" applyFont="1" applyNumberFormat="1">
      <alignment horizontal="left" vertical="center"/>
    </xf>
    <xf borderId="0" fillId="0" fontId="13" numFmtId="166" xfId="0" applyFont="1" applyNumberFormat="1"/>
    <xf borderId="0" fillId="0" fontId="22" numFmtId="0" xfId="0" applyAlignment="1" applyFont="1">
      <alignment horizontal="right" vertical="center"/>
    </xf>
    <xf borderId="26" fillId="0" fontId="7" numFmtId="0" xfId="0" applyBorder="1" applyFont="1"/>
    <xf borderId="27" fillId="0" fontId="7" numFmtId="0" xfId="0" applyAlignment="1" applyBorder="1" applyFont="1">
      <alignment horizontal="center" vertical="center"/>
    </xf>
    <xf borderId="27" fillId="0" fontId="7" numFmtId="0" xfId="0" applyBorder="1" applyFont="1"/>
    <xf borderId="27" fillId="0" fontId="7" numFmtId="165" xfId="0" applyAlignment="1" applyBorder="1" applyFont="1" applyNumberFormat="1">
      <alignment horizontal="right" vertical="center"/>
    </xf>
    <xf borderId="27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31" fillId="0" fontId="7" numFmtId="0" xfId="0" applyAlignment="1" applyBorder="1" applyFont="1">
      <alignment vertical="center"/>
    </xf>
    <xf borderId="31" fillId="0" fontId="7" numFmtId="0" xfId="0" applyAlignment="1" applyBorder="1" applyFont="1">
      <alignment horizontal="right"/>
    </xf>
    <xf borderId="31" fillId="0" fontId="7" numFmtId="0" xfId="0" applyBorder="1" applyFont="1"/>
    <xf borderId="31" fillId="0" fontId="7" numFmtId="0" xfId="0" applyAlignment="1" applyBorder="1" applyFont="1">
      <alignment horizontal="right" vertical="center"/>
    </xf>
    <xf borderId="0" fillId="0" fontId="7" numFmtId="0" xfId="0" applyAlignment="1" applyFont="1">
      <alignment horizontal="right"/>
    </xf>
    <xf borderId="31" fillId="0" fontId="7" numFmtId="165" xfId="0" applyBorder="1" applyFont="1" applyNumberFormat="1"/>
    <xf borderId="31" fillId="0" fontId="7" numFmtId="164" xfId="0" applyAlignment="1" applyBorder="1" applyFont="1" applyNumberFormat="1">
      <alignment horizontal="left" vertical="center"/>
    </xf>
    <xf borderId="31" fillId="0" fontId="7" numFmtId="0" xfId="0" applyAlignment="1" applyBorder="1" applyFont="1">
      <alignment horizontal="left" vertical="center"/>
    </xf>
    <xf borderId="31" fillId="0" fontId="7" numFmtId="165" xfId="0" applyAlignment="1" applyBorder="1" applyFont="1" applyNumberFormat="1">
      <alignment horizontal="right" vertical="center"/>
    </xf>
    <xf borderId="27" fillId="0" fontId="7" numFmtId="165" xfId="0" applyBorder="1" applyFont="1" applyNumberFormat="1"/>
    <xf borderId="27" fillId="0" fontId="7" numFmtId="166" xfId="0" applyBorder="1" applyFont="1" applyNumberFormat="1"/>
    <xf borderId="27" fillId="0" fontId="7" numFmtId="0" xfId="0" applyAlignment="1" applyBorder="1" applyFont="1">
      <alignment horizontal="left" vertical="center"/>
    </xf>
    <xf borderId="27" fillId="0" fontId="7" numFmtId="164" xfId="0" applyAlignment="1" applyBorder="1" applyFont="1" applyNumberFormat="1">
      <alignment horizontal="left" vertical="center"/>
    </xf>
    <xf borderId="0" fillId="0" fontId="7" numFmtId="166" xfId="0" applyFont="1" applyNumberFormat="1"/>
    <xf borderId="32" fillId="0" fontId="7" numFmtId="0" xfId="0" applyBorder="1" applyFont="1"/>
    <xf borderId="32" fillId="0" fontId="7" numFmtId="0" xfId="0" applyAlignment="1" applyBorder="1" applyFont="1">
      <alignment horizontal="left" vertical="center"/>
    </xf>
    <xf borderId="32" fillId="0" fontId="7" numFmtId="0" xfId="0" applyAlignment="1" applyBorder="1" applyFont="1">
      <alignment horizontal="right" vertical="center"/>
    </xf>
    <xf borderId="32" fillId="0" fontId="7" numFmtId="165" xfId="0" applyAlignment="1" applyBorder="1" applyFont="1" applyNumberFormat="1">
      <alignment horizontal="right" vertical="center"/>
    </xf>
    <xf borderId="32" fillId="0" fontId="7" numFmtId="164" xfId="0" applyAlignment="1" applyBorder="1" applyFont="1" applyNumberFormat="1">
      <alignment horizontal="left" vertical="center"/>
    </xf>
    <xf borderId="28" fillId="0" fontId="7" numFmtId="0" xfId="0" applyBorder="1" applyFont="1"/>
    <xf borderId="29" fillId="0" fontId="7" numFmtId="0" xfId="0" applyBorder="1" applyFont="1"/>
    <xf borderId="30" fillId="0" fontId="6" numFmtId="0" xfId="0" applyAlignment="1" applyBorder="1" applyFont="1">
      <alignment horizontal="right"/>
    </xf>
    <xf borderId="33" fillId="2" fontId="23" numFmtId="0" xfId="0" applyBorder="1" applyFill="1" applyFont="1"/>
    <xf borderId="34" fillId="0" fontId="6" numFmtId="0" xfId="0" applyAlignment="1" applyBorder="1" applyFont="1">
      <alignment horizontal="right"/>
    </xf>
    <xf borderId="35" fillId="0" fontId="2" numFmtId="0" xfId="0" applyBorder="1" applyFont="1"/>
    <xf borderId="26" fillId="0" fontId="7" numFmtId="164" xfId="0" applyAlignment="1" applyBorder="1" applyFont="1" applyNumberFormat="1">
      <alignment horizontal="left" vertical="center"/>
    </xf>
    <xf borderId="26" fillId="0" fontId="7" numFmtId="166" xfId="0" applyAlignment="1" applyBorder="1" applyFont="1" applyNumberFormat="1">
      <alignment horizontal="right" vertical="center"/>
    </xf>
    <xf borderId="27" fillId="2" fontId="23" numFmtId="0" xfId="0" applyBorder="1" applyFont="1"/>
    <xf borderId="0" fillId="0" fontId="7" numFmtId="164" xfId="0" applyFont="1" applyNumberFormat="1"/>
    <xf borderId="27" fillId="0" fontId="7" numFmtId="167" xfId="0" applyBorder="1" applyFont="1" applyNumberFormat="1"/>
    <xf borderId="36" fillId="0" fontId="6" numFmtId="0" xfId="0" applyAlignment="1" applyBorder="1" applyFont="1">
      <alignment horizontal="right"/>
    </xf>
    <xf borderId="37" fillId="0" fontId="2" numFmtId="0" xfId="0" applyBorder="1" applyFont="1"/>
    <xf borderId="38" fillId="0" fontId="2" numFmtId="0" xfId="0" applyBorder="1" applyFont="1"/>
    <xf borderId="39" fillId="0" fontId="7" numFmtId="166" xfId="0" applyAlignment="1" applyBorder="1" applyFont="1" applyNumberFormat="1">
      <alignment horizontal="center"/>
    </xf>
    <xf borderId="26" fillId="0" fontId="2" numFmtId="0" xfId="0" applyBorder="1" applyFont="1"/>
    <xf borderId="0" fillId="0" fontId="7" numFmtId="0" xfId="0" applyAlignment="1" applyFont="1">
      <alignment horizontal="center" vertical="center"/>
    </xf>
    <xf borderId="0" fillId="0" fontId="7" numFmtId="14" xfId="0" applyAlignment="1" applyFont="1" applyNumberFormat="1">
      <alignment horizont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/>
    </xf>
    <xf borderId="0" fillId="0" fontId="7" numFmtId="2" xfId="0" applyAlignment="1" applyFont="1" applyNumberFormat="1">
      <alignment horizontal="center"/>
    </xf>
    <xf borderId="0" fillId="0" fontId="7" numFmtId="0" xfId="0" applyAlignment="1" applyFont="1">
      <alignment horizontal="right" vertical="center"/>
    </xf>
    <xf borderId="0" fillId="0" fontId="7" numFmtId="166" xfId="0" applyAlignment="1" applyFont="1" applyNumberFormat="1">
      <alignment horizontal="right" vertical="center"/>
    </xf>
    <xf borderId="0" fillId="0" fontId="24" numFmtId="0" xfId="0" applyAlignment="1" applyFont="1">
      <alignment horizontal="right" vertical="center"/>
    </xf>
    <xf borderId="0" fillId="0" fontId="7" numFmtId="164" xfId="0" applyAlignment="1" applyFont="1" applyNumberFormat="1">
      <alignment horizontal="left" vertical="center"/>
    </xf>
    <xf borderId="0" fillId="0" fontId="7" numFmtId="165" xfId="0" applyFont="1" applyNumberFormat="1"/>
    <xf borderId="39" fillId="0" fontId="6" numFmtId="0" xfId="0" applyAlignment="1" applyBorder="1" applyFont="1">
      <alignment horizontal="center"/>
    </xf>
    <xf borderId="40" fillId="0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31" fillId="0" fontId="10" numFmtId="0" xfId="0" applyAlignment="1" applyBorder="1" applyFont="1">
      <alignment vertical="center"/>
    </xf>
    <xf borderId="31" fillId="0" fontId="25" numFmtId="0" xfId="0" applyAlignment="1" applyBorder="1" applyFont="1">
      <alignment vertical="center"/>
    </xf>
    <xf borderId="31" fillId="0" fontId="10" numFmtId="0" xfId="0" applyAlignment="1" applyBorder="1" applyFont="1">
      <alignment horizontal="right" vertical="center"/>
    </xf>
    <xf borderId="31" fillId="0" fontId="10" numFmtId="164" xfId="0" applyAlignment="1" applyBorder="1" applyFont="1" applyNumberFormat="1">
      <alignment horizontal="left" vertical="center"/>
    </xf>
    <xf borderId="31" fillId="0" fontId="10" numFmtId="0" xfId="0" applyAlignment="1" applyBorder="1" applyFont="1">
      <alignment horizontal="left" vertical="center"/>
    </xf>
    <xf borderId="27" fillId="0" fontId="10" numFmtId="0" xfId="0" applyAlignment="1" applyBorder="1" applyFont="1">
      <alignment horizontal="left" vertical="center"/>
    </xf>
    <xf borderId="27" fillId="0" fontId="10" numFmtId="164" xfId="0" applyAlignment="1" applyBorder="1" applyFont="1" applyNumberFormat="1">
      <alignment horizontal="left" vertical="center"/>
    </xf>
    <xf borderId="32" fillId="0" fontId="10" numFmtId="0" xfId="0" applyAlignment="1" applyBorder="1" applyFont="1">
      <alignment horizontal="left" vertical="center"/>
    </xf>
    <xf borderId="32" fillId="0" fontId="10" numFmtId="0" xfId="0" applyAlignment="1" applyBorder="1" applyFont="1">
      <alignment horizontal="right" vertical="center"/>
    </xf>
    <xf borderId="32" fillId="0" fontId="10" numFmtId="164" xfId="0" applyAlignment="1" applyBorder="1" applyFont="1" applyNumberFormat="1">
      <alignment horizontal="left" vertical="center"/>
    </xf>
    <xf borderId="28" fillId="0" fontId="6" numFmtId="0" xfId="0" applyAlignment="1" applyBorder="1" applyFont="1">
      <alignment horizontal="center" vertical="center"/>
    </xf>
    <xf borderId="26" fillId="0" fontId="10" numFmtId="164" xfId="0" applyAlignment="1" applyBorder="1" applyFont="1" applyNumberForma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0" numFmtId="14" xfId="0" applyAlignment="1" applyFont="1" applyNumberFormat="1">
      <alignment horizontal="center"/>
    </xf>
    <xf borderId="0" fillId="0" fontId="10" numFmtId="0" xfId="0" applyAlignment="1" applyFont="1">
      <alignment horizontal="left" vertical="center"/>
    </xf>
    <xf borderId="0" fillId="0" fontId="10" numFmtId="164" xfId="0" applyAlignment="1" applyFont="1" applyNumberFormat="1">
      <alignment horizontal="left" vertical="center"/>
    </xf>
    <xf borderId="41" fillId="0" fontId="26" numFmtId="0" xfId="0" applyAlignment="1" applyBorder="1" applyFont="1">
      <alignment horizontal="center"/>
    </xf>
    <xf borderId="42" fillId="0" fontId="2" numFmtId="0" xfId="0" applyBorder="1" applyFont="1"/>
    <xf borderId="43" fillId="0" fontId="27" numFmtId="0" xfId="0" applyBorder="1" applyFont="1"/>
    <xf borderId="9" fillId="0" fontId="20" numFmtId="0" xfId="0" applyAlignment="1" applyBorder="1" applyFont="1">
      <alignment horizontal="center"/>
    </xf>
    <xf borderId="44" fillId="0" fontId="28" numFmtId="0" xfId="0" applyBorder="1" applyFont="1"/>
    <xf borderId="45" fillId="0" fontId="28" numFmtId="0" xfId="0" applyAlignment="1" applyBorder="1" applyFont="1">
      <alignment horizontal="left"/>
    </xf>
    <xf borderId="21" fillId="0" fontId="29" numFmtId="9" xfId="0" applyBorder="1" applyFont="1" applyNumberFormat="1"/>
    <xf borderId="5" fillId="0" fontId="13" numFmtId="0" xfId="0" applyBorder="1" applyFont="1"/>
    <xf borderId="46" fillId="0" fontId="13" numFmtId="0" xfId="0" applyBorder="1" applyFont="1"/>
    <xf borderId="6" fillId="0" fontId="13" numFmtId="0" xfId="0" applyBorder="1" applyFont="1"/>
    <xf borderId="47" fillId="0" fontId="13" numFmtId="0" xfId="0" applyBorder="1" applyFont="1"/>
    <xf borderId="7" fillId="0" fontId="13" numFmtId="0" xfId="0" applyBorder="1" applyFont="1"/>
    <xf borderId="17" fillId="0" fontId="28" numFmtId="0" xfId="0" applyBorder="1" applyFont="1"/>
    <xf borderId="31" fillId="0" fontId="30" numFmtId="0" xfId="0" applyAlignment="1" applyBorder="1" applyFont="1">
      <alignment horizontal="left"/>
    </xf>
    <xf borderId="21" fillId="0" fontId="13" numFmtId="164" xfId="0" applyBorder="1" applyFont="1" applyNumberFormat="1"/>
    <xf borderId="17" fillId="0" fontId="13" numFmtId="0" xfId="0" applyBorder="1" applyFont="1"/>
    <xf borderId="35" fillId="0" fontId="13" numFmtId="0" xfId="0" applyBorder="1" applyFont="1"/>
    <xf borderId="34" fillId="0" fontId="13" numFmtId="0" xfId="0" applyBorder="1" applyFont="1"/>
    <xf borderId="48" fillId="0" fontId="13" numFmtId="0" xfId="0" applyBorder="1" applyFont="1"/>
    <xf borderId="8" fillId="0" fontId="13" numFmtId="0" xfId="0" applyBorder="1" applyFont="1"/>
    <xf borderId="49" fillId="0" fontId="13" numFmtId="0" xfId="0" applyBorder="1" applyFont="1"/>
    <xf borderId="9" fillId="0" fontId="13" numFmtId="0" xfId="0" applyBorder="1" applyFont="1"/>
    <xf borderId="50" fillId="0" fontId="13" numFmtId="0" xfId="0" applyBorder="1" applyFont="1"/>
    <xf borderId="10" fillId="0" fontId="13" numFmtId="0" xfId="0" applyBorder="1" applyFont="1"/>
    <xf borderId="0" fillId="0" fontId="13" numFmtId="0" xfId="0" applyAlignment="1" applyFont="1">
      <alignment horizontal="center"/>
    </xf>
    <xf borderId="8" fillId="0" fontId="28" numFmtId="0" xfId="0" applyBorder="1" applyFont="1"/>
    <xf borderId="51" fillId="0" fontId="30" numFmtId="0" xfId="0" applyAlignment="1" applyBorder="1" applyFont="1">
      <alignment horizontal="left"/>
    </xf>
    <xf borderId="52" fillId="0" fontId="31" numFmtId="0" xfId="0" applyBorder="1" applyFont="1"/>
    <xf borderId="36" fillId="0" fontId="32" numFmtId="164" xfId="0" applyAlignment="1" applyBorder="1" applyFont="1" applyNumberFormat="1">
      <alignment horizontal="left"/>
    </xf>
    <xf borderId="53" fillId="0" fontId="13" numFmtId="0" xfId="0" applyBorder="1" applyFont="1"/>
    <xf borderId="20" fillId="0" fontId="33" numFmtId="0" xfId="0" applyBorder="1" applyFont="1"/>
    <xf borderId="39" fillId="0" fontId="34" numFmtId="164" xfId="0" applyAlignment="1" applyBorder="1" applyFont="1" applyNumberFormat="1">
      <alignment horizontal="left"/>
    </xf>
    <xf borderId="54" fillId="0" fontId="35" numFmtId="0" xfId="0" applyBorder="1" applyFont="1"/>
    <xf borderId="28" fillId="0" fontId="36" numFmtId="166" xfId="0" applyAlignment="1" applyBorder="1" applyFont="1" applyNumberFormat="1">
      <alignment horizontal="left"/>
    </xf>
    <xf borderId="22" fillId="0" fontId="37" numFmtId="0" xfId="0" applyBorder="1" applyFont="1"/>
    <xf borderId="55" fillId="0" fontId="38" numFmtId="164" xfId="0" applyAlignment="1" applyBorder="1" applyFont="1" applyNumberFormat="1">
      <alignment horizontal="left"/>
    </xf>
    <xf borderId="56" fillId="0" fontId="13" numFmtId="0" xfId="0" applyBorder="1" applyFont="1"/>
    <xf borderId="0" fillId="0" fontId="13" numFmtId="0" xfId="0" applyAlignment="1" applyFont="1">
      <alignment horizontal="left"/>
    </xf>
    <xf borderId="18" fillId="0" fontId="39" numFmtId="0" xfId="0" applyBorder="1" applyFont="1"/>
    <xf borderId="57" fillId="0" fontId="39" numFmtId="0" xfId="0" applyAlignment="1" applyBorder="1" applyFont="1">
      <alignment horizontal="center"/>
    </xf>
    <xf borderId="19" fillId="0" fontId="39" numFmtId="0" xfId="0" applyAlignment="1" applyBorder="1" applyFont="1">
      <alignment horizontal="center"/>
    </xf>
    <xf borderId="20" fillId="0" fontId="39" numFmtId="0" xfId="0" applyAlignment="1" applyBorder="1" applyFont="1">
      <alignment horizontal="right"/>
    </xf>
    <xf borderId="27" fillId="0" fontId="13" numFmtId="164" xfId="0" applyAlignment="1" applyBorder="1" applyFont="1" applyNumberFormat="1">
      <alignment horizontal="left"/>
    </xf>
    <xf borderId="21" fillId="0" fontId="13" numFmtId="164" xfId="0" applyAlignment="1" applyBorder="1" applyFont="1" applyNumberFormat="1">
      <alignment horizontal="left"/>
    </xf>
    <xf borderId="22" fillId="0" fontId="39" numFmtId="0" xfId="0" applyAlignment="1" applyBorder="1" applyFont="1">
      <alignment horizontal="right"/>
    </xf>
    <xf borderId="58" fillId="0" fontId="13" numFmtId="166" xfId="0" applyBorder="1" applyFont="1" applyNumberFormat="1"/>
    <xf borderId="23" fillId="0" fontId="13" numFmtId="164" xfId="0" applyAlignment="1" applyBorder="1" applyFont="1" applyNumberFormat="1">
      <alignment horizontal="left"/>
    </xf>
    <xf borderId="0" fillId="0" fontId="40" numFmtId="0" xfId="0" applyAlignment="1" applyFont="1">
      <alignment horizontal="left" vertical="center"/>
    </xf>
    <xf borderId="0" fillId="0" fontId="40" numFmtId="0" xfId="0" applyFont="1"/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41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9" fillId="0" fontId="25" numFmtId="165" xfId="0" applyAlignment="1" applyBorder="1" applyFont="1" applyNumberFormat="1">
      <alignment horizontal="center"/>
    </xf>
    <xf borderId="0" fillId="0" fontId="25" numFmtId="165" xfId="0" applyAlignment="1" applyFont="1" applyNumberFormat="1">
      <alignment horizontal="center"/>
    </xf>
    <xf borderId="0" fillId="0" fontId="42" numFmtId="165" xfId="0" applyAlignment="1" applyFont="1" applyNumberFormat="1">
      <alignment horizontal="center"/>
    </xf>
    <xf borderId="0" fillId="0" fontId="43" numFmtId="165" xfId="0" applyAlignment="1" applyFont="1" applyNumberFormat="1">
      <alignment horizontal="center"/>
    </xf>
    <xf borderId="9" fillId="0" fontId="44" numFmtId="165" xfId="0" applyAlignment="1" applyBorder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40" numFmtId="0" xfId="0" applyAlignment="1" applyFont="1">
      <alignment horizontal="left"/>
    </xf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shrinkToFit="0" vertical="center" wrapText="1"/>
    </xf>
    <xf borderId="0" fillId="0" fontId="8" numFmtId="1" xfId="0" applyAlignment="1" applyFont="1" applyNumberFormat="1">
      <alignment horizontal="center" shrinkToFit="0" vertical="center" wrapText="1"/>
    </xf>
    <xf borderId="9" fillId="0" fontId="25" numFmtId="165" xfId="0" applyAlignment="1" applyBorder="1" applyFont="1" applyNumberFormat="1">
      <alignment horizontal="right"/>
    </xf>
    <xf borderId="0" fillId="0" fontId="10" numFmtId="167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45" numFmtId="0" xfId="0" applyAlignment="1" applyFont="1">
      <alignment horizontal="center"/>
    </xf>
    <xf borderId="0" fillId="0" fontId="45" numFmtId="165" xfId="0" applyAlignment="1" applyFont="1" applyNumberFormat="1">
      <alignment horizontal="center"/>
    </xf>
    <xf borderId="0" fillId="0" fontId="46" numFmtId="165" xfId="0" applyAlignment="1" applyFont="1" applyNumberFormat="1">
      <alignment horizontal="center"/>
    </xf>
    <xf borderId="0" fillId="0" fontId="45" numFmtId="0" xfId="0" applyFont="1"/>
    <xf borderId="0" fillId="0" fontId="47" numFmtId="0" xfId="0" applyAlignment="1" applyFont="1">
      <alignment horizontal="center"/>
    </xf>
    <xf borderId="0" fillId="0" fontId="47" numFmtId="165" xfId="0" applyAlignment="1" applyFont="1" applyNumberFormat="1">
      <alignment horizontal="center"/>
    </xf>
    <xf borderId="0" fillId="0" fontId="48" numFmtId="165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59" fillId="3" fontId="49" numFmtId="165" xfId="0" applyAlignment="1" applyBorder="1" applyFill="1" applyFont="1" applyNumberFormat="1">
      <alignment horizontal="center"/>
    </xf>
    <xf borderId="0" fillId="0" fontId="4" numFmtId="0" xfId="0" applyAlignment="1" applyFont="1">
      <alignment vertical="center"/>
    </xf>
    <xf borderId="0" fillId="0" fontId="4" numFmtId="1" xfId="0" applyAlignment="1" applyFont="1" applyNumberFormat="1">
      <alignment vertical="center"/>
    </xf>
    <xf borderId="0" fillId="0" fontId="4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4" numFmtId="165" xfId="0" applyAlignment="1" applyFont="1" applyNumberFormat="1">
      <alignment horizontal="right"/>
    </xf>
    <xf borderId="0" fillId="0" fontId="10" numFmtId="165" xfId="0" applyAlignment="1" applyFont="1" applyNumberFormat="1">
      <alignment horizontal="right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0" numFmtId="165" xfId="0" applyFont="1" applyNumberFormat="1"/>
    <xf borderId="0" fillId="0" fontId="10" numFmtId="1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0" fontId="6" numFmtId="0" xfId="0" applyFont="1"/>
    <xf borderId="0" fillId="0" fontId="10" numFmtId="0" xfId="0" applyAlignment="1" applyFont="1">
      <alignment vertical="center"/>
    </xf>
    <xf borderId="9" fillId="0" fontId="10" numFmtId="0" xfId="0" applyAlignment="1" applyBorder="1" applyFont="1">
      <alignment vertical="center"/>
    </xf>
    <xf borderId="9" fillId="0" fontId="7" numFmtId="0" xfId="0" applyBorder="1" applyFont="1"/>
    <xf borderId="9" fillId="0" fontId="7" numFmtId="0" xfId="0" applyAlignment="1" applyBorder="1" applyFont="1">
      <alignment horizontal="right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00BC24"/>
          <bgColor rgb="FF00BC24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>
        <strike/>
      </font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8.43"/>
    <col customWidth="1" min="3" max="3" width="9.86"/>
    <col customWidth="1" min="4" max="4" width="18.43"/>
    <col customWidth="1" min="5" max="5" width="26.86"/>
    <col customWidth="1" min="6" max="6" width="16.43"/>
    <col customWidth="1" min="7" max="7" width="15.71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8.57"/>
    <col customWidth="1" min="20" max="20" width="11.57"/>
    <col customWidth="1" min="21" max="21" width="7.29"/>
    <col customWidth="1" min="22" max="22" width="10.14"/>
    <col customWidth="1" min="23" max="26" width="7.29"/>
  </cols>
  <sheetData>
    <row r="1">
      <c r="A1" s="1" t="s">
        <v>0</v>
      </c>
      <c r="B1" s="2"/>
      <c r="C1" s="2"/>
      <c r="D1" s="3"/>
      <c r="E1" s="4" t="s">
        <v>1</v>
      </c>
      <c r="F1" s="5"/>
    </row>
    <row r="2">
      <c r="A2" s="6" t="s">
        <v>2</v>
      </c>
      <c r="B2" s="7">
        <v>217.0</v>
      </c>
      <c r="C2" s="8"/>
      <c r="D2" s="9"/>
      <c r="E2" s="10">
        <v>37.5</v>
      </c>
      <c r="F2" s="11" t="s">
        <v>3</v>
      </c>
      <c r="G2" s="12"/>
    </row>
    <row r="3">
      <c r="A3" s="13"/>
      <c r="B3" s="13"/>
      <c r="C3" s="14"/>
      <c r="D3" s="15"/>
      <c r="E3" s="16" t="str">
        <f>IF(G5&gt;30,"G",IF(AND(G5&gt;25,G5&lt;30),"A",IF(AND(G5&gt;20,G5&lt;25),"B","C")))</f>
        <v>B</v>
      </c>
      <c r="F3" s="17" t="str">
        <f t="array" ref="F3">XLOOKUP(A1&amp;B2, 'Certificate Data'!A:A, 'Certificate Data'!P:P)</f>
        <v>SGLJNPJ342336E</v>
      </c>
      <c r="G3" s="12"/>
    </row>
    <row r="4">
      <c r="A4" s="18" t="s">
        <v>4</v>
      </c>
      <c r="B4" s="12">
        <f t="array" ref="B4">VLOOKUP($B$2,INDIRECT("'"&amp;A1&amp;"'!$A$2:$S$999"), 2, 0)</f>
        <v>4.14</v>
      </c>
      <c r="C4" s="12">
        <f t="array" ref="C4">VLOOKUP($B$2,INDIRECT("'"&amp;A1&amp;"'!$A$2:$S$999"), 3, 0)</f>
        <v>1.035</v>
      </c>
      <c r="D4" s="19">
        <f t="array" ref="D4">VLOOKUP($B$2,INDIRECT("'"&amp;A1&amp;"'!$A$2:$S$999"), 4, 0)</f>
        <v>5.175</v>
      </c>
      <c r="E4" s="20">
        <f t="array" ref="E4">VLOOKUP($B$2,INDIRECT("'"&amp;A1&amp;"'!$A$2:$S$999"), 17, 0)</f>
        <v>92373.75</v>
      </c>
      <c r="F4" s="21">
        <f t="shared" ref="F4:F11" si="1">IFERROR(E4/D4,0)</f>
        <v>17850</v>
      </c>
      <c r="G4" s="22">
        <f>(((D4*0.6)/11.664)*Prices!A4)+D5*38000+D6*51900+D7*60900+D8*140000+D9*2000+D10*8000+D11*1200</f>
        <v>105855.5556</v>
      </c>
    </row>
    <row r="5">
      <c r="A5" s="23" t="s">
        <v>5</v>
      </c>
      <c r="B5" s="24"/>
      <c r="C5" s="24"/>
      <c r="D5" s="19">
        <f t="array" ref="D5">VLOOKUP($B$2,INDIRECT("'"&amp;A1&amp;"'!$A$2:$S$999"), 5, 0)</f>
        <v>0.6</v>
      </c>
      <c r="E5" s="25">
        <f t="array" ref="E5">VLOOKUP($B$2,INDIRECT("'"&amp;A1&amp;"'!$A$2:$S$999"), 12, 0)</f>
        <v>66000</v>
      </c>
      <c r="F5" s="21">
        <f t="shared" si="1"/>
        <v>110000</v>
      </c>
      <c r="G5" s="12">
        <f>((E17-G4)/E17)*100</f>
        <v>20.78088247</v>
      </c>
    </row>
    <row r="6">
      <c r="A6" s="23" t="s">
        <v>6</v>
      </c>
      <c r="B6" s="24"/>
      <c r="C6" s="24"/>
      <c r="D6" s="19" t="str">
        <f t="array" ref="D6">VLOOKUP($B$2,INDIRECT("'"&amp;A1&amp;"'!$A$2:$S$999"), 6, 0)</f>
        <v/>
      </c>
      <c r="E6" s="25">
        <f t="array" ref="E6">VLOOKUP($B$2,INDIRECT("'"&amp;A1&amp;"'!$A$2:$S$999"), 13, 0)</f>
        <v>0</v>
      </c>
      <c r="F6" s="21">
        <f t="shared" si="1"/>
        <v>0</v>
      </c>
      <c r="G6" s="12"/>
    </row>
    <row r="7">
      <c r="A7" s="23" t="s">
        <v>7</v>
      </c>
      <c r="B7" s="24"/>
      <c r="C7" s="24"/>
      <c r="D7" s="19" t="str">
        <f t="array" ref="D7">VLOOKUP($B$2,INDIRECT("'"&amp;A1&amp;"'!$A$2:$S$999"), 7, 0)</f>
        <v/>
      </c>
      <c r="E7" s="25">
        <f t="array" ref="E7">VLOOKUP($B$2,INDIRECT("'"&amp;A1&amp;"'!$A$2:$S$999"), 14, 0)</f>
        <v>0</v>
      </c>
      <c r="F7" s="21">
        <f t="shared" si="1"/>
        <v>0</v>
      </c>
      <c r="G7" s="26"/>
    </row>
    <row r="8">
      <c r="A8" s="23" t="s">
        <v>8</v>
      </c>
      <c r="B8" s="24"/>
      <c r="C8" s="24"/>
      <c r="D8" s="19" t="str">
        <f t="array" ref="D8">VLOOKUP($B$2,INDIRECT("'"&amp;A1&amp;"'!$A$2:$S$999"), 8, 0)</f>
        <v/>
      </c>
      <c r="E8" s="25">
        <f t="array" ref="E8">VLOOKUP($B$2,INDIRECT("'"&amp;A1&amp;"'!$A$2:$S$999"), 15, 0)</f>
        <v>0</v>
      </c>
      <c r="F8" s="21">
        <f t="shared" si="1"/>
        <v>0</v>
      </c>
      <c r="G8" s="26"/>
    </row>
    <row r="9">
      <c r="A9" s="23" t="s">
        <v>9</v>
      </c>
      <c r="B9" s="24"/>
      <c r="C9" s="24"/>
      <c r="D9" s="19" t="str">
        <f t="array" ref="D9">VLOOKUP($B$2,INDIRECT("'"&amp;A1&amp;"'!$A$2:$S$999"), 9, 0)</f>
        <v/>
      </c>
      <c r="E9" s="25">
        <f t="array" ref="E9">IF(D9&lt;&gt;0,VLOOKUP($B$2,INDIRECT("'"&amp;A1&amp;"'!$A$2:$S$999"),16,0),0)</f>
        <v>0</v>
      </c>
      <c r="F9" s="21">
        <f t="shared" si="1"/>
        <v>0</v>
      </c>
      <c r="G9" s="12"/>
    </row>
    <row r="10">
      <c r="A10" s="23" t="s">
        <v>10</v>
      </c>
      <c r="B10" s="24"/>
      <c r="C10" s="24"/>
      <c r="D10" s="19" t="str">
        <f t="array" ref="D10">VLOOKUP($B$2,INDIRECT("'"&amp;A1&amp;"'!$A$2:$S$999"), 10, 0)</f>
        <v/>
      </c>
      <c r="E10" s="25">
        <f t="array" ref="E10">IF(D10&lt;&gt;0,VLOOKUP($B$2,INDIRECT("'"&amp;A1&amp;"'!$A$2:$S$999"),16,0),0)</f>
        <v>0</v>
      </c>
      <c r="F10" s="21">
        <f t="shared" si="1"/>
        <v>0</v>
      </c>
      <c r="G10" s="12"/>
    </row>
    <row r="11">
      <c r="A11" s="27" t="s">
        <v>11</v>
      </c>
      <c r="B11" s="28"/>
      <c r="C11" s="28"/>
      <c r="D11" s="19" t="str">
        <f t="array" ref="D11">VLOOKUP($B$2,INDIRECT("'"&amp;A1&amp;"'!$A$2:$S$999"), 11, 0)</f>
        <v/>
      </c>
      <c r="E11" s="25">
        <f t="array" ref="E11">IF(D11&lt;&gt;0,VLOOKUP($B$2,INDIRECT("'"&amp;A1&amp;"'!$A$2:$S$999"),16,0),0)</f>
        <v>0</v>
      </c>
      <c r="F11" s="21">
        <f t="shared" si="1"/>
        <v>0</v>
      </c>
      <c r="G11" s="12"/>
    </row>
    <row r="12" ht="15.0" customHeight="1">
      <c r="A12" s="29"/>
      <c r="B12" s="24"/>
      <c r="C12" s="30"/>
      <c r="D12" s="31" t="s">
        <v>12</v>
      </c>
      <c r="E12" s="32">
        <f t="array" ref="E12">VLOOKUP($B$2,INDIRECT("'"&amp;A1&amp;"'!$A$2:$S$999"), 17, 0)</f>
        <v>92373.75</v>
      </c>
      <c r="F12" s="33"/>
    </row>
    <row r="13" ht="15.0" customHeight="1">
      <c r="A13" s="34"/>
      <c r="B13" s="24"/>
      <c r="C13" s="30"/>
      <c r="D13" s="35" t="s">
        <v>13</v>
      </c>
      <c r="E13" s="36">
        <f t="array" ref="E13">VLOOKUP($B$2,INDIRECT("'"&amp;A1&amp;"'!$A$2:$S$999"), 18, 0)</f>
        <v>66000</v>
      </c>
      <c r="F13" s="33"/>
      <c r="G13" s="30"/>
    </row>
    <row r="14" ht="15.0" customHeight="1">
      <c r="A14" s="29"/>
      <c r="B14" s="24"/>
      <c r="C14" s="30"/>
      <c r="D14" s="35" t="s">
        <v>14</v>
      </c>
      <c r="E14" s="36">
        <f t="array" ref="E14">VLOOKUP($B$2,INDIRECT("'"&amp;A1&amp;"'!$A$2:$S$999"), 16, 0)</f>
        <v>0</v>
      </c>
      <c r="F14" s="33"/>
    </row>
    <row r="15" ht="15.0" customHeight="1">
      <c r="A15" s="29"/>
      <c r="B15" s="24"/>
      <c r="C15" s="30"/>
      <c r="D15" s="35" t="s">
        <v>15</v>
      </c>
      <c r="E15" s="37">
        <f>E14+E12+E13</f>
        <v>158373.75</v>
      </c>
      <c r="F15" s="38"/>
    </row>
    <row r="16" ht="15.0" customHeight="1">
      <c r="D16" s="35" t="s">
        <v>1</v>
      </c>
      <c r="E16" s="37">
        <f>E13*E2%</f>
        <v>24750</v>
      </c>
    </row>
    <row r="17" ht="15.0" customHeight="1">
      <c r="D17" s="39" t="s">
        <v>16</v>
      </c>
      <c r="E17" s="40">
        <f>E15-E16</f>
        <v>133623.75</v>
      </c>
    </row>
    <row r="18" ht="15.0" customHeight="1">
      <c r="D18" s="31" t="s">
        <v>17</v>
      </c>
      <c r="E18" s="41">
        <f>E12*0.02</f>
        <v>1847.475</v>
      </c>
    </row>
    <row r="19" ht="15.0" customHeight="1">
      <c r="D19" s="42" t="s">
        <v>18</v>
      </c>
      <c r="E19" s="43">
        <f>E15-E16+E18</f>
        <v>135471.225</v>
      </c>
      <c r="F19" s="44"/>
    </row>
    <row r="20" ht="15.0" customHeight="1">
      <c r="H20" s="30"/>
      <c r="I20" s="30"/>
      <c r="J20" s="45"/>
    </row>
    <row r="21" ht="15.0" customHeight="1">
      <c r="H21" s="30"/>
      <c r="I21" s="30"/>
      <c r="J21" s="30"/>
    </row>
  </sheetData>
  <mergeCells count="3">
    <mergeCell ref="A1:D1"/>
    <mergeCell ref="A2:A3"/>
    <mergeCell ref="B2:D3"/>
  </mergeCells>
  <conditionalFormatting sqref="E3">
    <cfRule type="containsText" dxfId="0" priority="1" operator="containsText" text="C">
      <formula>NOT(ISERROR(SEARCH(("C"),(E3))))</formula>
    </cfRule>
  </conditionalFormatting>
  <conditionalFormatting sqref="E3">
    <cfRule type="containsText" dxfId="1" priority="2" operator="containsText" text="B">
      <formula>NOT(ISERROR(SEARCH(("B"),(E3))))</formula>
    </cfRule>
  </conditionalFormatting>
  <conditionalFormatting sqref="E3">
    <cfRule type="containsText" dxfId="2" priority="3" operator="containsText" text="A">
      <formula>NOT(ISERROR(SEARCH(("A"),(E3))))</formula>
    </cfRule>
  </conditionalFormatting>
  <conditionalFormatting sqref="E3">
    <cfRule type="containsText" dxfId="3" priority="4" operator="containsText" text="G">
      <formula>NOT(ISERROR(SEARCH(("G"),(E3))))</formula>
    </cfRule>
  </conditionalFormatting>
  <conditionalFormatting sqref="F3">
    <cfRule type="notContainsText" dxfId="0" priority="5" operator="notContains" text="Not Found">
      <formula>ISERROR(SEARCH(("Not Found"),(F3)))</formula>
    </cfRule>
  </conditionalFormatting>
  <dataValidations>
    <dataValidation type="list" allowBlank="1" showErrorMessage="1" sqref="E2">
      <formula1>Prices!$B$9:$B$15</formula1>
    </dataValidation>
    <dataValidation type="list" allowBlank="1" showErrorMessage="1" sqref="A1">
      <formula1>Prices!$A$9:$A$18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24.43"/>
    <col customWidth="1" min="3" max="3" width="12.14"/>
    <col customWidth="1" min="4" max="4" width="13.43"/>
    <col customWidth="1" min="5" max="5" width="13.29"/>
    <col customWidth="1" min="6" max="6" width="16.14"/>
    <col customWidth="1" min="7" max="7" width="14.57"/>
    <col customWidth="1" min="8" max="8" width="20.0"/>
    <col customWidth="1" min="9" max="9" width="21.0"/>
    <col customWidth="1" min="10" max="10" width="13.86"/>
    <col customWidth="1" hidden="1" min="11" max="11" width="17.57"/>
    <col customWidth="1" hidden="1" min="12" max="13" width="19.43"/>
    <col customWidth="1" hidden="1" min="14" max="14" width="18.57"/>
    <col customWidth="1" hidden="1" min="15" max="17" width="19.43"/>
    <col customWidth="1" hidden="1" min="18" max="18" width="18.0"/>
  </cols>
  <sheetData>
    <row r="1" ht="18.75" customHeight="1">
      <c r="A1" s="12"/>
      <c r="B1" s="12"/>
      <c r="C1" s="46" t="s">
        <v>1</v>
      </c>
      <c r="D1" s="47">
        <v>42.0</v>
      </c>
      <c r="E1" s="46" t="s">
        <v>19</v>
      </c>
      <c r="F1" s="48">
        <v>296800.0</v>
      </c>
      <c r="G1" s="12">
        <v>1100.0</v>
      </c>
      <c r="H1" s="12"/>
      <c r="I1" s="12"/>
      <c r="J1" s="12"/>
      <c r="K1" s="46" t="s">
        <v>20</v>
      </c>
      <c r="L1" s="49">
        <f>L12</f>
        <v>17850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50" t="s">
        <v>21</v>
      </c>
      <c r="B2" s="50" t="s">
        <v>22</v>
      </c>
      <c r="C2" s="50" t="s">
        <v>23</v>
      </c>
      <c r="D2" s="50" t="s">
        <v>24</v>
      </c>
      <c r="E2" s="50" t="s">
        <v>25</v>
      </c>
      <c r="F2" s="50" t="s">
        <v>26</v>
      </c>
      <c r="G2" s="50" t="s">
        <v>27</v>
      </c>
      <c r="H2" s="50" t="s">
        <v>28</v>
      </c>
      <c r="I2" s="50" t="s">
        <v>29</v>
      </c>
      <c r="J2" s="51"/>
      <c r="K2" s="52"/>
      <c r="L2" s="53" t="s">
        <v>26</v>
      </c>
      <c r="M2" s="54"/>
      <c r="N2" s="12"/>
      <c r="O2" s="12"/>
      <c r="P2" s="12"/>
      <c r="Q2" s="12"/>
      <c r="R2" s="12"/>
      <c r="S2" s="12"/>
      <c r="T2" s="51"/>
      <c r="U2" s="12"/>
      <c r="V2" s="12"/>
      <c r="W2" s="51"/>
      <c r="X2" s="51"/>
      <c r="Y2" s="51"/>
      <c r="Z2" s="51"/>
    </row>
    <row r="3" ht="18.75" customHeight="1">
      <c r="A3" s="55" t="s">
        <v>30</v>
      </c>
      <c r="B3" s="55" t="s">
        <v>31</v>
      </c>
      <c r="C3" s="56">
        <f t="array" ref="C3">VLOOKUP($A$3,INDIRECT("'"&amp;B3&amp;"'!$A$2:$S$999"), 2, 0)</f>
        <v>1.278</v>
      </c>
      <c r="D3" s="57">
        <f t="array" ref="D3">VLOOKUP($A$3,INDIRECT("'"&amp;B3&amp;"'!$A$2:$S$999"), 3, 0)</f>
        <v>0.3195</v>
      </c>
      <c r="E3" s="58">
        <f t="array" ref="E3">VLOOKUP($A$3,INDIRECT("'"&amp;B3&amp;"'!$A$2:$S$999"), 4, 0)</f>
        <v>1.5975</v>
      </c>
      <c r="F3" s="59">
        <f>ROUNDDOWN((F1/11.664)*0.6,0)</f>
        <v>15267</v>
      </c>
      <c r="G3" s="60">
        <f>L4*E3</f>
        <v>1757.25</v>
      </c>
      <c r="H3" s="61">
        <f>(F3*E3)+G3</f>
        <v>26146.2825</v>
      </c>
      <c r="I3" s="57"/>
      <c r="J3" s="12"/>
      <c r="K3" s="48" t="s">
        <v>32</v>
      </c>
      <c r="L3" s="48">
        <f>ROUNDDOWN((F1/11.664)*0.6,0)</f>
        <v>15267</v>
      </c>
      <c r="M3" s="4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75" customHeight="1">
      <c r="A4" s="57"/>
      <c r="B4" s="62" t="s">
        <v>5</v>
      </c>
      <c r="C4" s="57"/>
      <c r="D4" s="57"/>
      <c r="E4" s="58">
        <f t="array" ref="E4">VLOOKUP($A$3,INDIRECT("'"&amp;B3&amp;"'!$A$2:$S$999"), 5, 0)</f>
        <v>0.26</v>
      </c>
      <c r="F4" s="63">
        <f t="shared" ref="F4:F7" si="1">P5</f>
        <v>73094.13212</v>
      </c>
      <c r="G4" s="57"/>
      <c r="H4" s="57"/>
      <c r="I4" s="61">
        <f t="shared" ref="I4:I7" si="2">F4*E4</f>
        <v>19004.47435</v>
      </c>
      <c r="J4" s="12"/>
      <c r="K4" s="48" t="s">
        <v>33</v>
      </c>
      <c r="L4" s="64">
        <v>1100.0</v>
      </c>
      <c r="M4" s="65">
        <f>L12-L3</f>
        <v>2583</v>
      </c>
      <c r="N4" s="12"/>
      <c r="O4" s="52"/>
      <c r="P4" s="53" t="s">
        <v>26</v>
      </c>
      <c r="Q4" s="54"/>
      <c r="R4" s="12">
        <f>COUNTIF(E4:E7, "&gt;0")</f>
        <v>1</v>
      </c>
      <c r="S4" s="12"/>
      <c r="T4" s="12"/>
      <c r="U4" s="12"/>
      <c r="V4" s="12"/>
      <c r="W4" s="12"/>
      <c r="X4" s="12"/>
      <c r="Y4" s="12"/>
      <c r="Z4" s="12"/>
    </row>
    <row r="5" ht="18.75" customHeight="1">
      <c r="A5" s="57"/>
      <c r="B5" s="62" t="s">
        <v>6</v>
      </c>
      <c r="C5" s="57"/>
      <c r="D5" s="57"/>
      <c r="E5" s="58" t="str">
        <f t="array" ref="E5">VLOOKUP($A$3,INDIRECT("'"&amp;B3&amp;"'!$A$2:$S$999"), 6, 0)</f>
        <v/>
      </c>
      <c r="F5" s="63">
        <f t="shared" si="1"/>
        <v>0</v>
      </c>
      <c r="G5" s="57"/>
      <c r="H5" s="57"/>
      <c r="I5" s="61">
        <f t="shared" si="2"/>
        <v>0</v>
      </c>
      <c r="J5" s="12"/>
      <c r="K5" s="66" t="s">
        <v>5</v>
      </c>
      <c r="L5" s="48">
        <f t="shared" ref="L5:L11" si="3">IFERROR(M5/E4,0)</f>
        <v>110000</v>
      </c>
      <c r="M5" s="67">
        <f t="array" ref="M5">VLOOKUP($A$3,INDIRECT("'"&amp;B3&amp;"'!$A$2:$S$999"), 12, 0)</f>
        <v>28600</v>
      </c>
      <c r="N5" s="63">
        <f t="shared" ref="N5:N8" si="4">L5-(L5*$D$1%)</f>
        <v>63800</v>
      </c>
      <c r="O5" s="66" t="s">
        <v>5</v>
      </c>
      <c r="P5" s="65">
        <f t="shared" ref="P5:P11" si="5">IFERROR(Q5/E4,0)</f>
        <v>73094.13212</v>
      </c>
      <c r="Q5" s="67">
        <f t="shared" ref="Q5:Q8" si="6">IF(E4&lt;&gt;0,(N5*E4)+R5,0)</f>
        <v>19004.47435</v>
      </c>
      <c r="R5" s="68">
        <f t="shared" ref="R5:R8" si="7">$R$15/$R$4</f>
        <v>2416.47435</v>
      </c>
      <c r="S5" s="12"/>
      <c r="T5" s="12"/>
      <c r="U5" s="12"/>
      <c r="V5" s="12"/>
      <c r="W5" s="12"/>
      <c r="X5" s="12"/>
      <c r="Y5" s="12"/>
      <c r="Z5" s="12"/>
    </row>
    <row r="6" ht="18.75" customHeight="1">
      <c r="A6" s="57"/>
      <c r="B6" s="62" t="s">
        <v>7</v>
      </c>
      <c r="C6" s="57"/>
      <c r="D6" s="57"/>
      <c r="E6" s="58" t="str">
        <f t="array" ref="E6">VLOOKUP($A$3,INDIRECT("'"&amp;B3&amp;"'!$A$2:$S$999"), 7, 0)</f>
        <v/>
      </c>
      <c r="F6" s="63">
        <f t="shared" si="1"/>
        <v>0</v>
      </c>
      <c r="G6" s="57"/>
      <c r="H6" s="57"/>
      <c r="I6" s="61">
        <f t="shared" si="2"/>
        <v>0</v>
      </c>
      <c r="J6" s="12"/>
      <c r="K6" s="66" t="s">
        <v>6</v>
      </c>
      <c r="L6" s="48">
        <f t="shared" si="3"/>
        <v>0</v>
      </c>
      <c r="M6" s="67">
        <f t="array" ref="M6">VLOOKUP($A$3,INDIRECT("'"&amp;B3&amp;"'!$A$2:$S$999"), 13, 0)</f>
        <v>0</v>
      </c>
      <c r="N6" s="63">
        <f t="shared" si="4"/>
        <v>0</v>
      </c>
      <c r="O6" s="66" t="s">
        <v>6</v>
      </c>
      <c r="P6" s="65">
        <f t="shared" si="5"/>
        <v>0</v>
      </c>
      <c r="Q6" s="67">
        <f t="shared" si="6"/>
        <v>0</v>
      </c>
      <c r="R6" s="68">
        <f t="shared" si="7"/>
        <v>2416.47435</v>
      </c>
      <c r="S6" s="12"/>
      <c r="T6" s="12"/>
      <c r="U6" s="12"/>
      <c r="V6" s="12"/>
      <c r="W6" s="12"/>
      <c r="X6" s="12"/>
      <c r="Y6" s="12"/>
      <c r="Z6" s="12"/>
    </row>
    <row r="7" ht="18.75" customHeight="1">
      <c r="A7" s="57"/>
      <c r="B7" s="62" t="s">
        <v>8</v>
      </c>
      <c r="C7" s="57"/>
      <c r="D7" s="57"/>
      <c r="E7" s="58" t="str">
        <f t="array" ref="E7">VLOOKUP($A$3,INDIRECT("'"&amp;B3&amp;"'!$A$2:$S$999"), 8, 0)</f>
        <v/>
      </c>
      <c r="F7" s="63">
        <f t="shared" si="1"/>
        <v>0</v>
      </c>
      <c r="G7" s="57"/>
      <c r="H7" s="57"/>
      <c r="I7" s="61">
        <f t="shared" si="2"/>
        <v>0</v>
      </c>
      <c r="J7" s="12"/>
      <c r="K7" s="66" t="s">
        <v>7</v>
      </c>
      <c r="L7" s="48">
        <f t="shared" si="3"/>
        <v>0</v>
      </c>
      <c r="M7" s="67">
        <f t="array" ref="M7">VLOOKUP($A$3,INDIRECT("'"&amp;B3&amp;"'!$A$2:$S$999"), 14, 0)</f>
        <v>0</v>
      </c>
      <c r="N7" s="63">
        <f t="shared" si="4"/>
        <v>0</v>
      </c>
      <c r="O7" s="66" t="s">
        <v>7</v>
      </c>
      <c r="P7" s="65">
        <f t="shared" si="5"/>
        <v>0</v>
      </c>
      <c r="Q7" s="67">
        <f t="shared" si="6"/>
        <v>0</v>
      </c>
      <c r="R7" s="68">
        <f t="shared" si="7"/>
        <v>2416.47435</v>
      </c>
      <c r="S7" s="12"/>
      <c r="T7" s="12"/>
      <c r="U7" s="12"/>
      <c r="V7" s="12"/>
      <c r="W7" s="12"/>
      <c r="X7" s="12"/>
      <c r="Y7" s="12"/>
      <c r="Z7" s="12"/>
    </row>
    <row r="8" ht="18.75" customHeight="1">
      <c r="A8" s="57"/>
      <c r="B8" s="62" t="s">
        <v>9</v>
      </c>
      <c r="C8" s="57"/>
      <c r="D8" s="57"/>
      <c r="E8" s="58" t="str">
        <f t="array" ref="E8">VLOOKUP($A$3,INDIRECT("'"&amp;B3&amp;"'!$A$2:$S$999"), 9, 0)</f>
        <v/>
      </c>
      <c r="F8" s="63">
        <f t="shared" ref="F8:F10" si="8">IFERROR(I8/E8,0)</f>
        <v>0</v>
      </c>
      <c r="G8" s="57"/>
      <c r="H8" s="57"/>
      <c r="I8" s="61">
        <f t="array" ref="I8">IF(E8&lt;&gt;0,VLOOKUP($A$3,INDIRECT("'"&amp;B3&amp;"'!$A$2:$S$999"),16,0),0)</f>
        <v>0</v>
      </c>
      <c r="J8" s="12"/>
      <c r="K8" s="66" t="s">
        <v>8</v>
      </c>
      <c r="L8" s="48">
        <f t="shared" si="3"/>
        <v>0</v>
      </c>
      <c r="M8" s="67">
        <f t="array" ref="M8">VLOOKUP($A$3,INDIRECT("'"&amp;B3&amp;"'!$A$2:$S$999"), 15, 0)</f>
        <v>0</v>
      </c>
      <c r="N8" s="63">
        <f t="shared" si="4"/>
        <v>0</v>
      </c>
      <c r="O8" s="66" t="s">
        <v>8</v>
      </c>
      <c r="P8" s="65">
        <f t="shared" si="5"/>
        <v>0</v>
      </c>
      <c r="Q8" s="67">
        <f t="shared" si="6"/>
        <v>0</v>
      </c>
      <c r="R8" s="68">
        <f t="shared" si="7"/>
        <v>2416.47435</v>
      </c>
      <c r="S8" s="12"/>
      <c r="T8" s="12"/>
      <c r="U8" s="12"/>
      <c r="V8" s="12"/>
      <c r="W8" s="12"/>
      <c r="X8" s="12"/>
      <c r="Y8" s="12"/>
      <c r="Z8" s="12"/>
    </row>
    <row r="9" ht="18.75" customHeight="1">
      <c r="A9" s="57"/>
      <c r="B9" s="62" t="s">
        <v>10</v>
      </c>
      <c r="C9" s="57"/>
      <c r="D9" s="57"/>
      <c r="E9" s="58" t="str">
        <f t="array" ref="E9">VLOOKUP($A$3,INDIRECT("'"&amp;B3&amp;"'!$A$2:$S$999"), 10, 0)</f>
        <v/>
      </c>
      <c r="F9" s="63">
        <f t="shared" si="8"/>
        <v>0</v>
      </c>
      <c r="G9" s="57"/>
      <c r="H9" s="57"/>
      <c r="I9" s="61">
        <f t="array" ref="I9">IF(E9&lt;&gt;0,VLOOKUP($A$3,INDIRECT("'"&amp;B3&amp;"'!$A$2:$S$999"),16,0),0)</f>
        <v>0</v>
      </c>
      <c r="J9" s="12"/>
      <c r="K9" s="66" t="s">
        <v>9</v>
      </c>
      <c r="L9" s="48">
        <f t="shared" si="3"/>
        <v>0</v>
      </c>
      <c r="M9" s="67">
        <f t="array" ref="M9">IF(I8&lt;&gt;0,VLOOKUP($A$3,INDIRECT("'"&amp;B3&amp;"'!$A$2:$S$999"),16,0),0)</f>
        <v>0</v>
      </c>
      <c r="N9" s="12"/>
      <c r="O9" s="66" t="s">
        <v>9</v>
      </c>
      <c r="P9" s="65">
        <f t="shared" si="5"/>
        <v>0</v>
      </c>
      <c r="Q9" s="67">
        <f t="array" ref="Q9">IF(I8&lt;&gt;0,VLOOKUP($A$3,INDIRECT("'"&amp;B3&amp;"'!$A$2:$S$999"),16,0),0)</f>
        <v>0</v>
      </c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69"/>
      <c r="B10" s="70" t="s">
        <v>11</v>
      </c>
      <c r="C10" s="69"/>
      <c r="D10" s="69"/>
      <c r="E10" s="71" t="str">
        <f t="array" ref="E10">VLOOKUP($A$3,INDIRECT("'"&amp;B3&amp;"'!$A$2:$S$999"), 11, 0)</f>
        <v/>
      </c>
      <c r="F10" s="72">
        <f t="shared" si="8"/>
        <v>0</v>
      </c>
      <c r="G10" s="69"/>
      <c r="H10" s="69"/>
      <c r="I10" s="73">
        <f t="array" ref="I10">IF(E10&lt;&gt;0,VLOOKUP($A$3,INDIRECT("'"&amp;B3&amp;"'!$A$2:$S$999"),16,0),0)</f>
        <v>0</v>
      </c>
      <c r="J10" s="12"/>
      <c r="K10" s="66" t="s">
        <v>10</v>
      </c>
      <c r="L10" s="48">
        <f t="shared" si="3"/>
        <v>0</v>
      </c>
      <c r="M10" s="67">
        <f t="array" ref="M10">IF(I9&lt;&gt;0,VLOOKUP($A$3,INDIRECT("'"&amp;B3&amp;"'!$A$2:$S$999"),16,0),0)</f>
        <v>0</v>
      </c>
      <c r="N10" s="12"/>
      <c r="O10" s="66" t="s">
        <v>10</v>
      </c>
      <c r="P10" s="65">
        <f t="shared" si="5"/>
        <v>0</v>
      </c>
      <c r="Q10" s="67">
        <f t="array" ref="Q10">IF(I9&lt;&gt;0,VLOOKUP($A$3,INDIRECT("'"&amp;B3&amp;"'!$A$2:$S$999"),16,0),0)</f>
        <v>0</v>
      </c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12"/>
      <c r="B11" s="12"/>
      <c r="C11" s="12"/>
      <c r="D11" s="12"/>
      <c r="E11" s="74"/>
      <c r="F11" s="75"/>
      <c r="G11" s="76" t="s">
        <v>1</v>
      </c>
      <c r="H11" s="77"/>
      <c r="I11" s="67">
        <v>288.0</v>
      </c>
      <c r="J11" s="12"/>
      <c r="K11" s="66" t="s">
        <v>11</v>
      </c>
      <c r="L11" s="48">
        <f t="shared" si="3"/>
        <v>0</v>
      </c>
      <c r="M11" s="67">
        <f t="array" ref="M11">IF(I10&lt;&gt;0,VLOOKUP($A$3,INDIRECT("'"&amp;B3&amp;"'!$A$2:$S$999"),16,0),0)</f>
        <v>0</v>
      </c>
      <c r="N11" s="12"/>
      <c r="O11" s="66" t="s">
        <v>11</v>
      </c>
      <c r="P11" s="65">
        <f t="shared" si="5"/>
        <v>0</v>
      </c>
      <c r="Q11" s="67">
        <f t="array" ref="Q11">IF(I10&lt;&gt;0,VLOOKUP($A$3,INDIRECT("'"&amp;B3&amp;"'!$A$2:$S$999"),16,0),0)</f>
        <v>0</v>
      </c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12"/>
      <c r="B12" s="12"/>
      <c r="C12" s="12"/>
      <c r="D12" s="12"/>
      <c r="E12" s="78" t="s">
        <v>34</v>
      </c>
      <c r="G12" s="79"/>
      <c r="H12" s="80">
        <f>H3</f>
        <v>26146.2825</v>
      </c>
      <c r="I12" s="65">
        <f>I4-I11+I10+I9+I7+I8+I6+I5</f>
        <v>18716.47435</v>
      </c>
      <c r="J12" s="12"/>
      <c r="K12" s="48" t="s">
        <v>32</v>
      </c>
      <c r="L12" s="65">
        <f>M12/E3</f>
        <v>17850</v>
      </c>
      <c r="M12" s="67">
        <f t="array" ref="M12">VLOOKUP($A$3,INDIRECT("'"&amp;$B$3&amp;"'!$A$2:$S$999"), 17, 0)</f>
        <v>28515.375</v>
      </c>
      <c r="N12" s="12"/>
      <c r="O12" s="48" t="s">
        <v>32</v>
      </c>
      <c r="P12" s="48">
        <f>ROUNDDOWN((F1/11.664)*0.6,0)</f>
        <v>15267</v>
      </c>
      <c r="Q12" s="67">
        <f>E3*P12</f>
        <v>24389.0325</v>
      </c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12"/>
      <c r="B13" s="12"/>
      <c r="C13" s="12"/>
      <c r="D13" s="12"/>
      <c r="E13" s="78" t="s">
        <v>35</v>
      </c>
      <c r="G13" s="79"/>
      <c r="H13" s="81">
        <f>H12*0.02</f>
        <v>522.92565</v>
      </c>
      <c r="I13" s="82"/>
      <c r="J13" s="12"/>
      <c r="K13" s="66" t="s">
        <v>36</v>
      </c>
      <c r="L13" s="48"/>
      <c r="M13" s="65">
        <f>M12*0.02</f>
        <v>570.3075</v>
      </c>
      <c r="N13" s="83"/>
      <c r="O13" s="66" t="s">
        <v>27</v>
      </c>
      <c r="P13" s="64">
        <v>1100.0</v>
      </c>
      <c r="Q13" s="84">
        <f>E3*P13</f>
        <v>1757.25</v>
      </c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12"/>
      <c r="B14" s="12"/>
      <c r="C14" s="12"/>
      <c r="D14" s="12"/>
      <c r="E14" s="85" t="s">
        <v>18</v>
      </c>
      <c r="F14" s="86"/>
      <c r="G14" s="87"/>
      <c r="H14" s="88">
        <f>H12+I12+H13</f>
        <v>45385.6825</v>
      </c>
      <c r="I14" s="89"/>
      <c r="J14" s="12"/>
      <c r="K14" s="48" t="s">
        <v>37</v>
      </c>
      <c r="L14" s="65">
        <f>M14/(E4+E5+E6+E7)</f>
        <v>110000</v>
      </c>
      <c r="M14" s="67">
        <f t="array" ref="M14">VLOOKUP($A$3,INDIRECT("'"&amp;$B$3&amp;"'!$A$2:$S$999"), 18, 0)</f>
        <v>28600</v>
      </c>
      <c r="N14" s="12"/>
      <c r="O14" s="66" t="s">
        <v>36</v>
      </c>
      <c r="P14" s="48"/>
      <c r="Q14" s="65">
        <f>(Q12+Q13)*0.02</f>
        <v>522.92565</v>
      </c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48" t="s">
        <v>38</v>
      </c>
      <c r="L15" s="48"/>
      <c r="M15" s="67">
        <f>M14+M13+M12+M11+M10+M9</f>
        <v>57685.6825</v>
      </c>
      <c r="N15" s="68"/>
      <c r="O15" s="48" t="s">
        <v>37</v>
      </c>
      <c r="P15" s="65"/>
      <c r="Q15" s="67">
        <f>Q18-Q9-Q10-Q11-Q12-Q13-Q14</f>
        <v>19004.47435</v>
      </c>
      <c r="R15" s="68">
        <f>Q15-M17</f>
        <v>2416.47435</v>
      </c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48" t="s">
        <v>1</v>
      </c>
      <c r="L16" s="48"/>
      <c r="M16" s="65">
        <f>M14*D1%</f>
        <v>12012</v>
      </c>
      <c r="N16" s="12"/>
      <c r="O16" s="48" t="s">
        <v>38</v>
      </c>
      <c r="P16" s="48"/>
      <c r="Q16" s="67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57" t="s">
        <v>39</v>
      </c>
      <c r="L17" s="12"/>
      <c r="M17" s="68">
        <f>M14-M16</f>
        <v>16588</v>
      </c>
      <c r="N17" s="12"/>
      <c r="O17" s="48" t="s">
        <v>1</v>
      </c>
      <c r="P17" s="48"/>
      <c r="Q17" s="65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48" t="s">
        <v>18</v>
      </c>
      <c r="L18" s="48"/>
      <c r="M18" s="65">
        <f>M9+M10+M11+M12+M13+M14-M16</f>
        <v>45673.6825</v>
      </c>
      <c r="N18" s="12"/>
      <c r="O18" s="48" t="s">
        <v>18</v>
      </c>
      <c r="P18" s="48"/>
      <c r="Q18" s="65">
        <f>M18</f>
        <v>45673.6825</v>
      </c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75" customHeight="1">
      <c r="A33" s="12"/>
      <c r="B33" s="12"/>
      <c r="C33" s="12"/>
      <c r="D33" s="12"/>
      <c r="E33" s="12"/>
      <c r="F33" s="12"/>
      <c r="G33" s="12"/>
      <c r="H33" s="12"/>
      <c r="I33" s="90"/>
      <c r="J33" s="9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75" customHeight="1">
      <c r="A34" s="12"/>
      <c r="B34" s="12"/>
      <c r="C34" s="12"/>
      <c r="D34" s="12"/>
      <c r="E34" s="9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75" customHeight="1">
      <c r="A35" s="12"/>
      <c r="B35" s="12"/>
      <c r="C35" s="12"/>
      <c r="D35" s="12"/>
      <c r="F35" s="12"/>
      <c r="G35" s="12"/>
      <c r="H35" s="12"/>
      <c r="I35" s="9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75" customHeight="1">
      <c r="A36" s="12"/>
      <c r="B36" s="12"/>
      <c r="C36" s="12"/>
      <c r="D36" s="12"/>
      <c r="E36" s="92"/>
      <c r="F36" s="12"/>
      <c r="G36" s="12"/>
      <c r="H36" s="12"/>
      <c r="I36" s="12"/>
      <c r="J36" s="12"/>
      <c r="K36" s="94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75" customHeight="1">
      <c r="A37" s="12"/>
      <c r="B37" s="12"/>
      <c r="C37" s="12"/>
      <c r="D37" s="12"/>
      <c r="E37" s="12"/>
      <c r="F37" s="24"/>
      <c r="G37" s="24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75" customHeight="1">
      <c r="A38" s="12"/>
      <c r="B38" s="12"/>
      <c r="C38" s="12"/>
      <c r="D38" s="12"/>
      <c r="E38" s="12"/>
      <c r="F38" s="24"/>
      <c r="G38" s="2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75" customHeight="1">
      <c r="A39" s="12"/>
      <c r="B39" s="12"/>
      <c r="C39" s="12"/>
      <c r="D39" s="12"/>
      <c r="E39" s="12"/>
      <c r="F39" s="24"/>
      <c r="G39" s="24"/>
      <c r="H39" s="12"/>
      <c r="I39" s="12"/>
      <c r="J39" s="12"/>
      <c r="K39" s="9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75" customHeight="1">
      <c r="A40" s="12"/>
      <c r="B40" s="12"/>
      <c r="C40" s="12"/>
      <c r="D40" s="12"/>
      <c r="E40" s="12"/>
      <c r="F40" s="24"/>
      <c r="G40" s="24"/>
      <c r="H40" s="12"/>
      <c r="I40" s="12"/>
      <c r="J40" s="12"/>
      <c r="K40" s="9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75" customHeight="1">
      <c r="A41" s="12"/>
      <c r="B41" s="12"/>
      <c r="C41" s="12"/>
      <c r="D41" s="12"/>
      <c r="E41" s="12"/>
      <c r="F41" s="24"/>
      <c r="G41" s="2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75" customHeight="1">
      <c r="A42" s="12"/>
      <c r="B42" s="12"/>
      <c r="C42" s="12"/>
      <c r="D42" s="12"/>
      <c r="E42" s="12"/>
      <c r="F42" s="24"/>
      <c r="G42" s="2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75" customHeight="1">
      <c r="A43" s="12"/>
      <c r="B43" s="12"/>
      <c r="C43" s="12"/>
      <c r="D43" s="12"/>
      <c r="E43" s="12"/>
      <c r="F43" s="24"/>
      <c r="G43" s="2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75" customHeight="1">
      <c r="A44" s="12"/>
      <c r="B44" s="12"/>
      <c r="C44" s="12"/>
      <c r="D44" s="12"/>
      <c r="E44" s="95"/>
      <c r="F44" s="24"/>
      <c r="G44" s="12"/>
      <c r="H44" s="12"/>
      <c r="I44" s="12"/>
      <c r="J44" s="96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75" customHeight="1">
      <c r="A45" s="12"/>
      <c r="B45" s="12"/>
      <c r="C45" s="12"/>
      <c r="D45" s="12"/>
      <c r="E45" s="97"/>
      <c r="F45" s="24"/>
      <c r="G45" s="12"/>
      <c r="H45" s="12"/>
      <c r="I45" s="12"/>
      <c r="J45" s="96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75" customHeight="1">
      <c r="A46" s="12"/>
      <c r="B46" s="12"/>
      <c r="C46" s="12"/>
      <c r="D46" s="12"/>
      <c r="E46" s="95"/>
      <c r="F46" s="24"/>
      <c r="G46" s="12"/>
      <c r="H46" s="12"/>
      <c r="I46" s="12"/>
      <c r="J46" s="96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8.75" customHeight="1">
      <c r="A47" s="12"/>
      <c r="B47" s="12"/>
      <c r="C47" s="12"/>
      <c r="D47" s="12"/>
      <c r="E47" s="95"/>
      <c r="F47" s="24"/>
      <c r="G47" s="12"/>
      <c r="H47" s="12"/>
      <c r="I47" s="12"/>
      <c r="J47" s="9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6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75" customHeight="1">
      <c r="A56" s="12"/>
      <c r="B56" s="12"/>
      <c r="C56" s="12"/>
      <c r="D56" s="12"/>
      <c r="E56" s="12"/>
      <c r="F56" s="12"/>
      <c r="G56" s="12"/>
      <c r="H56" s="9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75" customHeight="1">
      <c r="A57" s="12"/>
      <c r="B57" s="12"/>
      <c r="C57" s="12"/>
      <c r="D57" s="12"/>
      <c r="E57" s="12"/>
      <c r="F57" s="12"/>
      <c r="G57" s="12"/>
      <c r="H57" s="95"/>
      <c r="I57" s="9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75" customHeight="1">
      <c r="A58" s="12"/>
      <c r="B58" s="12"/>
      <c r="C58" s="12"/>
      <c r="D58" s="12"/>
      <c r="E58" s="12"/>
      <c r="F58" s="12"/>
      <c r="G58" s="12"/>
      <c r="H58" s="95"/>
      <c r="I58" s="98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75" customHeight="1">
      <c r="A59" s="12"/>
      <c r="B59" s="12"/>
      <c r="C59" s="12"/>
      <c r="D59" s="12"/>
      <c r="E59" s="12"/>
      <c r="F59" s="12"/>
      <c r="G59" s="12"/>
      <c r="H59" s="95"/>
      <c r="I59" s="9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75" customHeight="1">
      <c r="A60" s="12"/>
      <c r="B60" s="12"/>
      <c r="C60" s="12"/>
      <c r="D60" s="12"/>
      <c r="E60" s="12"/>
      <c r="F60" s="12"/>
      <c r="G60" s="12"/>
      <c r="H60" s="9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75" customHeight="1">
      <c r="A61" s="12"/>
      <c r="B61" s="12"/>
      <c r="C61" s="12"/>
      <c r="D61" s="12"/>
      <c r="E61" s="12"/>
      <c r="F61" s="12"/>
      <c r="G61" s="12"/>
      <c r="H61" s="95"/>
      <c r="I61" s="98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75" customHeight="1">
      <c r="A62" s="12"/>
      <c r="B62" s="12"/>
      <c r="C62" s="12"/>
      <c r="D62" s="12"/>
      <c r="E62" s="12"/>
      <c r="F62" s="12"/>
      <c r="G62" s="12"/>
      <c r="H62" s="9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75" customHeight="1">
      <c r="A63" s="12"/>
      <c r="B63" s="12"/>
      <c r="C63" s="12"/>
      <c r="D63" s="12"/>
      <c r="E63" s="12"/>
      <c r="F63" s="12"/>
      <c r="G63" s="12"/>
      <c r="H63" s="9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75" customHeight="1">
      <c r="A64" s="12"/>
      <c r="B64" s="12"/>
      <c r="C64" s="12"/>
      <c r="D64" s="12"/>
      <c r="E64" s="12"/>
      <c r="F64" s="12"/>
      <c r="G64" s="12"/>
      <c r="H64" s="95"/>
      <c r="I64" s="98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">
    <mergeCell ref="E12:G12"/>
    <mergeCell ref="E13:G13"/>
    <mergeCell ref="E14:G14"/>
    <mergeCell ref="H14:I14"/>
    <mergeCell ref="E34:E35"/>
  </mergeCells>
  <conditionalFormatting sqref="I35">
    <cfRule type="containsText" dxfId="0" priority="1" operator="containsText" text="C">
      <formula>NOT(ISERROR(SEARCH(("C"),(I35))))</formula>
    </cfRule>
  </conditionalFormatting>
  <conditionalFormatting sqref="I35">
    <cfRule type="containsText" dxfId="1" priority="2" operator="containsText" text="B">
      <formula>NOT(ISERROR(SEARCH(("B"),(I35))))</formula>
    </cfRule>
  </conditionalFormatting>
  <conditionalFormatting sqref="I35">
    <cfRule type="containsText" dxfId="2" priority="3" operator="containsText" text="A">
      <formula>NOT(ISERROR(SEARCH(("A"),(I35))))</formula>
    </cfRule>
  </conditionalFormatting>
  <conditionalFormatting sqref="I35">
    <cfRule type="containsText" dxfId="3" priority="4" operator="containsText" text="G">
      <formula>NOT(ISERROR(SEARCH(("G"),(I35))))</formula>
    </cfRule>
  </conditionalFormatting>
  <dataValidations>
    <dataValidation type="list" allowBlank="1" showErrorMessage="1" sqref="B3">
      <formula1>Prices!$A$9:$A$18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24.43"/>
    <col customWidth="1" min="3" max="3" width="12.14"/>
    <col customWidth="1" min="4" max="4" width="13.43"/>
    <col customWidth="1" min="5" max="5" width="13.29"/>
    <col customWidth="1" min="6" max="6" width="16.14"/>
    <col customWidth="1" min="7" max="7" width="14.57"/>
    <col customWidth="1" min="8" max="8" width="22.0"/>
    <col customWidth="1" min="9" max="9" width="21.0"/>
    <col customWidth="1" min="10" max="11" width="13.86"/>
    <col customWidth="1" min="13" max="13" width="19.43"/>
  </cols>
  <sheetData>
    <row r="1" ht="18.75" customHeight="1">
      <c r="A1" s="12"/>
      <c r="B1" s="12"/>
      <c r="C1" s="12"/>
      <c r="D1" s="12"/>
      <c r="E1" s="12"/>
      <c r="F1" s="48" t="s">
        <v>19</v>
      </c>
      <c r="G1" s="48">
        <v>238000.0</v>
      </c>
      <c r="H1" s="48" t="s">
        <v>40</v>
      </c>
      <c r="I1" s="49">
        <f>IFERROR(H3/E3,0)</f>
        <v>17850</v>
      </c>
      <c r="J1" s="99">
        <f>I1-F3</f>
        <v>5608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50" t="s">
        <v>21</v>
      </c>
      <c r="B2" s="50" t="s">
        <v>22</v>
      </c>
      <c r="C2" s="50" t="s">
        <v>23</v>
      </c>
      <c r="D2" s="50" t="s">
        <v>24</v>
      </c>
      <c r="E2" s="50" t="s">
        <v>25</v>
      </c>
      <c r="F2" s="50" t="s">
        <v>26</v>
      </c>
      <c r="G2" s="50" t="s">
        <v>27</v>
      </c>
      <c r="H2" s="50" t="s">
        <v>28</v>
      </c>
      <c r="I2" s="50" t="s">
        <v>29</v>
      </c>
      <c r="J2" s="51"/>
      <c r="K2" s="100"/>
      <c r="L2" s="101" t="s">
        <v>26</v>
      </c>
      <c r="M2" s="102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8.75" customHeight="1">
      <c r="A3" s="103">
        <v>337.0</v>
      </c>
      <c r="B3" s="104" t="s">
        <v>0</v>
      </c>
      <c r="C3" s="56">
        <f t="array" ref="C3">VLOOKUP($A$3,INDIRECT("'"&amp;B3&amp;"'!$A$2:$S$999"), 2, 0)</f>
        <v>3.442</v>
      </c>
      <c r="D3" s="57">
        <f t="array" ref="D3">VLOOKUP($A$3,INDIRECT("'"&amp;B3&amp;"'!$A$2:$S$999"), 3, 0)</f>
        <v>0.8605</v>
      </c>
      <c r="E3" s="105">
        <f t="array" ref="E3">VLOOKUP($A$3,INDIRECT("'"&amp;B3&amp;"'!$A$2:$S$999"), 4, 0)</f>
        <v>4.3025</v>
      </c>
      <c r="F3" s="59">
        <f>ROUNDDOWN((G1/11.664)*0.6,0)</f>
        <v>12242</v>
      </c>
      <c r="G3" s="60">
        <f>J1*E3</f>
        <v>24128.42</v>
      </c>
      <c r="H3" s="106">
        <f t="array" ref="H3">VLOOKUP($A$3,INDIRECT("'"&amp;B3&amp;"'!$A$2:$S$999"), 17, 0)</f>
        <v>76799.625</v>
      </c>
      <c r="I3" s="57"/>
      <c r="J3" s="12"/>
      <c r="K3" s="69" t="s">
        <v>32</v>
      </c>
      <c r="L3" s="69">
        <f>ROUNDDOWN((G1/11.664)*0.6,0)</f>
        <v>12242</v>
      </c>
      <c r="M3" s="69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75" customHeight="1">
      <c r="A4" s="57"/>
      <c r="B4" s="107" t="s">
        <v>5</v>
      </c>
      <c r="C4" s="57"/>
      <c r="D4" s="57"/>
      <c r="E4" s="105">
        <f t="array" ref="E4">VLOOKUP($A$3,INDIRECT("'"&amp;B3&amp;"'!$A$2:$S$999"), 5, 0)</f>
        <v>0.54</v>
      </c>
      <c r="F4" s="63">
        <f>L4-(L4*E11%)</f>
        <v>68200</v>
      </c>
      <c r="G4" s="57"/>
      <c r="H4" s="57"/>
      <c r="I4" s="106">
        <f>F4*E4</f>
        <v>36828</v>
      </c>
      <c r="J4" s="12"/>
      <c r="K4" s="108" t="s">
        <v>5</v>
      </c>
      <c r="L4" s="48">
        <f t="shared" ref="L4:L10" si="1">IFERROR(M4/E4,0)</f>
        <v>110000</v>
      </c>
      <c r="M4" s="109">
        <f t="array" ref="M4">VLOOKUP($A$3,INDIRECT("'"&amp;B3&amp;"'!$A$2:$S$999"), 12, 0)</f>
        <v>59400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57"/>
      <c r="B5" s="107" t="s">
        <v>6</v>
      </c>
      <c r="C5" s="57"/>
      <c r="D5" s="57"/>
      <c r="E5" s="105" t="str">
        <f t="array" ref="E5">VLOOKUP($A$3,INDIRECT("'"&amp;B3&amp;"'!$A$2:$S$999"), 6, 0)</f>
        <v/>
      </c>
      <c r="F5" s="63">
        <f t="shared" ref="F5:F10" si="2">IFERROR(I5/E5,0)</f>
        <v>0</v>
      </c>
      <c r="G5" s="57"/>
      <c r="H5" s="57"/>
      <c r="I5" s="106">
        <f t="array" ref="I5">VLOOKUP($A$3,INDIRECT("'"&amp;B3&amp;"'!$A$2:$S$999"), 13, 0)</f>
        <v>0</v>
      </c>
      <c r="J5" s="12"/>
      <c r="K5" s="108" t="s">
        <v>6</v>
      </c>
      <c r="L5" s="48">
        <f t="shared" si="1"/>
        <v>0</v>
      </c>
      <c r="M5" s="109">
        <f t="array" ref="M5">VLOOKUP($A$3,INDIRECT("'"&amp;B3&amp;"'!$A$2:$S$999"), 13, 0)</f>
        <v>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57"/>
      <c r="B6" s="107" t="s">
        <v>7</v>
      </c>
      <c r="C6" s="57"/>
      <c r="D6" s="57"/>
      <c r="E6" s="105" t="str">
        <f t="array" ref="E6">VLOOKUP($A$3,INDIRECT("'"&amp;B3&amp;"'!$A$2:$S$999"), 7, 0)</f>
        <v/>
      </c>
      <c r="F6" s="63">
        <f t="shared" si="2"/>
        <v>0</v>
      </c>
      <c r="G6" s="57"/>
      <c r="H6" s="57"/>
      <c r="I6" s="106">
        <f t="array" ref="I6">VLOOKUP($A$3,INDIRECT("'"&amp;B3&amp;"'!$A$2:$S$999"), 14, 0)</f>
        <v>0</v>
      </c>
      <c r="J6" s="12"/>
      <c r="K6" s="108" t="s">
        <v>7</v>
      </c>
      <c r="L6" s="48">
        <f t="shared" si="1"/>
        <v>0</v>
      </c>
      <c r="M6" s="109">
        <f t="array" ref="M6">VLOOKUP($A$3,INDIRECT("'"&amp;B3&amp;"'!$A$2:$S$999"), 14, 0)</f>
        <v>0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57"/>
      <c r="B7" s="107" t="s">
        <v>8</v>
      </c>
      <c r="C7" s="57"/>
      <c r="D7" s="57"/>
      <c r="E7" s="105" t="str">
        <f t="array" ref="E7">VLOOKUP($A$3,INDIRECT("'"&amp;B3&amp;"'!$A$2:$S$999"), 8, 0)</f>
        <v/>
      </c>
      <c r="F7" s="63">
        <f t="shared" si="2"/>
        <v>0</v>
      </c>
      <c r="G7" s="57"/>
      <c r="H7" s="57"/>
      <c r="I7" s="106">
        <f t="array" ref="I7">VLOOKUP($A$3,INDIRECT("'"&amp;B3&amp;"'!$A$2:$S$999"), 15, 0)</f>
        <v>0</v>
      </c>
      <c r="J7" s="12"/>
      <c r="K7" s="108" t="s">
        <v>8</v>
      </c>
      <c r="L7" s="48">
        <f t="shared" si="1"/>
        <v>0</v>
      </c>
      <c r="M7" s="109">
        <f t="array" ref="M7">VLOOKUP($A$3,INDIRECT("'"&amp;B3&amp;"'!$A$2:$S$999"), 15, 0)</f>
        <v>0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75" customHeight="1">
      <c r="A8" s="57"/>
      <c r="B8" s="107" t="s">
        <v>9</v>
      </c>
      <c r="C8" s="57"/>
      <c r="D8" s="57"/>
      <c r="E8" s="105" t="str">
        <f t="array" ref="E8">VLOOKUP($A$3,INDIRECT("'"&amp;B3&amp;"'!$A$2:$S$999"), 9, 0)</f>
        <v/>
      </c>
      <c r="F8" s="63">
        <f t="shared" si="2"/>
        <v>0</v>
      </c>
      <c r="G8" s="57"/>
      <c r="H8" s="57"/>
      <c r="I8" s="106">
        <f t="array" ref="I8">IF(E8&lt;&gt;0,VLOOKUP($A$3,INDIRECT("'"&amp;B3&amp;"'!$A$2:$S$999"),16,0),0)</f>
        <v>0</v>
      </c>
      <c r="J8" s="12"/>
      <c r="K8" s="108" t="s">
        <v>9</v>
      </c>
      <c r="L8" s="48">
        <f t="shared" si="1"/>
        <v>0</v>
      </c>
      <c r="M8" s="109">
        <f t="array" ref="M8">IF(I8&lt;&gt;0,VLOOKUP($A$3,INDIRECT("'"&amp;B3&amp;"'!$A$2:$S$999"),16,0),0)</f>
        <v>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57"/>
      <c r="B9" s="107" t="s">
        <v>10</v>
      </c>
      <c r="C9" s="57"/>
      <c r="D9" s="57"/>
      <c r="E9" s="105" t="str">
        <f t="array" ref="E9">VLOOKUP($A$3,INDIRECT("'"&amp;B3&amp;"'!$A$2:$S$999"), 10, 0)</f>
        <v/>
      </c>
      <c r="F9" s="63">
        <f t="shared" si="2"/>
        <v>0</v>
      </c>
      <c r="G9" s="57"/>
      <c r="H9" s="57"/>
      <c r="I9" s="106">
        <f t="array" ref="I9">IF(E9&lt;&gt;0,VLOOKUP($A$3,INDIRECT("'"&amp;B3&amp;"'!$A$2:$S$999"),16,0),0)</f>
        <v>0</v>
      </c>
      <c r="J9" s="12"/>
      <c r="K9" s="108" t="s">
        <v>10</v>
      </c>
      <c r="L9" s="48">
        <f t="shared" si="1"/>
        <v>0</v>
      </c>
      <c r="M9" s="109">
        <f t="array" ref="M9">IF(I9&lt;&gt;0,VLOOKUP($A$3,INDIRECT("'"&amp;B3&amp;"'!$A$2:$S$999"),16,0),0)</f>
        <v>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69"/>
      <c r="B10" s="110" t="s">
        <v>11</v>
      </c>
      <c r="C10" s="69"/>
      <c r="D10" s="69"/>
      <c r="E10" s="111" t="str">
        <f t="array" ref="E10">VLOOKUP($A$3,INDIRECT("'"&amp;B3&amp;"'!$A$2:$S$999"), 11, 0)</f>
        <v/>
      </c>
      <c r="F10" s="72">
        <f t="shared" si="2"/>
        <v>0</v>
      </c>
      <c r="G10" s="69"/>
      <c r="H10" s="69"/>
      <c r="I10" s="112">
        <f t="array" ref="I10">IF(E10&lt;&gt;0,VLOOKUP($A$3,INDIRECT("'"&amp;B3&amp;"'!$A$2:$S$999"),16,0),0)</f>
        <v>0</v>
      </c>
      <c r="J10" s="12"/>
      <c r="K10" s="108" t="s">
        <v>11</v>
      </c>
      <c r="L10" s="48">
        <f t="shared" si="1"/>
        <v>0</v>
      </c>
      <c r="M10" s="109">
        <f t="array" ref="M10">IF(I10&lt;&gt;0,VLOOKUP($A$3,INDIRECT("'"&amp;B3&amp;"'!$A$2:$S$999"),16,0),0)</f>
        <v>0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12"/>
      <c r="B11" s="12"/>
      <c r="C11" s="12"/>
      <c r="D11" s="12"/>
      <c r="E11" s="113">
        <v>38.0</v>
      </c>
      <c r="F11" s="75" t="s">
        <v>41</v>
      </c>
      <c r="G11" s="76" t="s">
        <v>1</v>
      </c>
      <c r="H11" s="77"/>
      <c r="I11" s="67">
        <v>696.0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12"/>
      <c r="B12" s="12"/>
      <c r="C12" s="12"/>
      <c r="D12" s="12"/>
      <c r="E12" s="78" t="s">
        <v>34</v>
      </c>
      <c r="G12" s="79"/>
      <c r="H12" s="114">
        <f t="array" ref="H12">VLOOKUP($A$3,INDIRECT("'"&amp;B3&amp;"'!$A$2:$S$999"), 17, 0)</f>
        <v>76799.625</v>
      </c>
      <c r="I12" s="65">
        <f>SUM(I4:I10)-I11</f>
        <v>36132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12"/>
      <c r="B13" s="12"/>
      <c r="C13" s="12"/>
      <c r="D13" s="12"/>
      <c r="E13" s="78" t="s">
        <v>35</v>
      </c>
      <c r="G13" s="79"/>
      <c r="H13" s="81">
        <f>H12*0.02</f>
        <v>1535.9925</v>
      </c>
      <c r="I13" s="8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12"/>
      <c r="B14" s="12"/>
      <c r="C14" s="12"/>
      <c r="D14" s="12"/>
      <c r="E14" s="85" t="s">
        <v>18</v>
      </c>
      <c r="F14" s="86"/>
      <c r="G14" s="87"/>
      <c r="H14" s="88">
        <f>H12+I12+H13</f>
        <v>114467.6175</v>
      </c>
      <c r="I14" s="8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75" customHeight="1">
      <c r="A33" s="12"/>
      <c r="B33" s="12"/>
      <c r="C33" s="12"/>
      <c r="D33" s="12"/>
      <c r="E33" s="12"/>
      <c r="F33" s="12"/>
      <c r="G33" s="12"/>
      <c r="H33" s="12"/>
      <c r="I33" s="115"/>
      <c r="J33" s="116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75" customHeight="1">
      <c r="A34" s="12"/>
      <c r="B34" s="12"/>
      <c r="C34" s="12"/>
      <c r="D34" s="12"/>
      <c r="E34" s="11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75" customHeight="1">
      <c r="A35" s="12"/>
      <c r="B35" s="12"/>
      <c r="C35" s="12"/>
      <c r="D35" s="12"/>
      <c r="F35" s="12"/>
      <c r="G35" s="12"/>
      <c r="H35" s="12"/>
      <c r="I35" s="2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75" customHeight="1">
      <c r="A36" s="12"/>
      <c r="B36" s="12"/>
      <c r="C36" s="12"/>
      <c r="D36" s="12"/>
      <c r="E36" s="117"/>
      <c r="F36" s="12"/>
      <c r="G36" s="12"/>
      <c r="H36" s="12"/>
      <c r="I36" s="12"/>
      <c r="J36" s="12"/>
      <c r="K36" s="2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75" customHeight="1">
      <c r="A37" s="12"/>
      <c r="B37" s="12"/>
      <c r="C37" s="12"/>
      <c r="D37" s="12"/>
      <c r="E37" s="12"/>
      <c r="F37" s="24"/>
      <c r="G37" s="24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75" customHeight="1">
      <c r="A38" s="12"/>
      <c r="B38" s="12"/>
      <c r="C38" s="12"/>
      <c r="D38" s="12"/>
      <c r="E38" s="12"/>
      <c r="F38" s="24"/>
      <c r="G38" s="2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75" customHeight="1">
      <c r="A39" s="12"/>
      <c r="B39" s="12"/>
      <c r="C39" s="12"/>
      <c r="D39" s="12"/>
      <c r="E39" s="12"/>
      <c r="F39" s="24"/>
      <c r="G39" s="24"/>
      <c r="H39" s="12"/>
      <c r="I39" s="12"/>
      <c r="J39" s="12"/>
      <c r="K39" s="2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75" customHeight="1">
      <c r="A40" s="12"/>
      <c r="B40" s="12"/>
      <c r="C40" s="12"/>
      <c r="D40" s="12"/>
      <c r="E40" s="12"/>
      <c r="F40" s="24"/>
      <c r="G40" s="24"/>
      <c r="H40" s="12"/>
      <c r="I40" s="12"/>
      <c r="J40" s="12"/>
      <c r="K40" s="26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75" customHeight="1">
      <c r="A41" s="12"/>
      <c r="B41" s="12"/>
      <c r="C41" s="12"/>
      <c r="D41" s="12"/>
      <c r="E41" s="12"/>
      <c r="F41" s="24"/>
      <c r="G41" s="2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75" customHeight="1">
      <c r="A42" s="12"/>
      <c r="B42" s="12"/>
      <c r="C42" s="12"/>
      <c r="D42" s="12"/>
      <c r="E42" s="12"/>
      <c r="F42" s="24"/>
      <c r="G42" s="2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75" customHeight="1">
      <c r="A43" s="12"/>
      <c r="B43" s="12"/>
      <c r="C43" s="12"/>
      <c r="D43" s="12"/>
      <c r="E43" s="12"/>
      <c r="F43" s="24"/>
      <c r="G43" s="2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75" customHeight="1">
      <c r="A44" s="12"/>
      <c r="B44" s="12"/>
      <c r="C44" s="12"/>
      <c r="D44" s="12"/>
      <c r="E44" s="95"/>
      <c r="F44" s="24"/>
      <c r="G44" s="12"/>
      <c r="H44" s="12"/>
      <c r="I44" s="12"/>
      <c r="J44" s="96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75" customHeight="1">
      <c r="A45" s="12"/>
      <c r="B45" s="12"/>
      <c r="C45" s="12"/>
      <c r="D45" s="12"/>
      <c r="E45" s="97"/>
      <c r="F45" s="24"/>
      <c r="G45" s="12"/>
      <c r="H45" s="12"/>
      <c r="I45" s="12"/>
      <c r="J45" s="96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75" customHeight="1">
      <c r="A46" s="12"/>
      <c r="B46" s="12"/>
      <c r="C46" s="12"/>
      <c r="D46" s="12"/>
      <c r="E46" s="95"/>
      <c r="F46" s="24"/>
      <c r="G46" s="12"/>
      <c r="H46" s="12"/>
      <c r="I46" s="12"/>
      <c r="J46" s="96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8.75" customHeight="1">
      <c r="A47" s="12"/>
      <c r="B47" s="12"/>
      <c r="C47" s="12"/>
      <c r="D47" s="12"/>
      <c r="E47" s="95"/>
      <c r="F47" s="24"/>
      <c r="G47" s="12"/>
      <c r="H47" s="12"/>
      <c r="I47" s="12"/>
      <c r="J47" s="9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6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75" customHeight="1">
      <c r="A56" s="12"/>
      <c r="B56" s="12"/>
      <c r="C56" s="12"/>
      <c r="D56" s="12"/>
      <c r="E56" s="12"/>
      <c r="F56" s="12"/>
      <c r="G56" s="12"/>
      <c r="H56" s="9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75" customHeight="1">
      <c r="A57" s="12"/>
      <c r="B57" s="12"/>
      <c r="C57" s="12"/>
      <c r="D57" s="12"/>
      <c r="E57" s="12"/>
      <c r="F57" s="12"/>
      <c r="G57" s="12"/>
      <c r="H57" s="95"/>
      <c r="I57" s="11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75" customHeight="1">
      <c r="A58" s="12"/>
      <c r="B58" s="12"/>
      <c r="C58" s="12"/>
      <c r="D58" s="12"/>
      <c r="E58" s="12"/>
      <c r="F58" s="12"/>
      <c r="G58" s="12"/>
      <c r="H58" s="95"/>
      <c r="I58" s="118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75" customHeight="1">
      <c r="A59" s="12"/>
      <c r="B59" s="12"/>
      <c r="C59" s="12"/>
      <c r="D59" s="12"/>
      <c r="E59" s="12"/>
      <c r="F59" s="12"/>
      <c r="G59" s="12"/>
      <c r="H59" s="95"/>
      <c r="I59" s="98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75" customHeight="1">
      <c r="A60" s="12"/>
      <c r="B60" s="12"/>
      <c r="C60" s="12"/>
      <c r="D60" s="12"/>
      <c r="E60" s="12"/>
      <c r="F60" s="12"/>
      <c r="G60" s="12"/>
      <c r="H60" s="9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75" customHeight="1">
      <c r="A61" s="12"/>
      <c r="B61" s="12"/>
      <c r="C61" s="12"/>
      <c r="D61" s="12"/>
      <c r="E61" s="12"/>
      <c r="F61" s="12"/>
      <c r="G61" s="12"/>
      <c r="H61" s="95"/>
      <c r="I61" s="98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75" customHeight="1">
      <c r="A62" s="12"/>
      <c r="B62" s="12"/>
      <c r="C62" s="12"/>
      <c r="D62" s="12"/>
      <c r="E62" s="12"/>
      <c r="F62" s="12"/>
      <c r="G62" s="12"/>
      <c r="H62" s="9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75" customHeight="1">
      <c r="A63" s="12"/>
      <c r="B63" s="12"/>
      <c r="C63" s="12"/>
      <c r="D63" s="12"/>
      <c r="E63" s="12"/>
      <c r="F63" s="12"/>
      <c r="G63" s="12"/>
      <c r="H63" s="9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75" customHeight="1">
      <c r="A64" s="12"/>
      <c r="B64" s="12"/>
      <c r="C64" s="12"/>
      <c r="D64" s="12"/>
      <c r="E64" s="12"/>
      <c r="F64" s="12"/>
      <c r="G64" s="12"/>
      <c r="H64" s="95"/>
      <c r="I64" s="98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8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8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8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8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8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8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8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8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8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8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8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8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8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8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8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8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8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8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8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8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8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8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8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8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8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8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8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8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8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8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8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8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8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8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8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8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8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8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8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8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8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8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8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8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8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8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8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8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8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8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8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8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8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8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8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8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8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8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8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8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8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8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8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8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8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8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8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8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8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8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8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8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8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8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8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8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8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8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8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8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8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8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8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8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8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8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8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8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8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8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8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8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8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8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8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8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8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8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8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8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8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8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8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8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8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8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8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8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8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8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8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8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8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8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8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8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8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8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8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8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8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8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8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8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8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8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8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8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8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8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8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8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8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8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8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8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8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8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8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8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8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8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8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8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8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8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8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8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8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8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8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8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8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8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8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8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8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8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8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8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8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8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8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8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8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8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8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8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8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8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8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8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8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8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8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8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8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8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8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8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8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8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8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8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8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8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8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8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8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8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8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8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8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8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8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8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8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8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8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8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8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8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8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8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8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8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8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8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8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8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8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8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8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8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8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8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8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8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8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8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8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8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8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8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8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8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8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8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8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8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8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8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8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8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8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8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8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8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8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8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8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8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8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8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8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8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8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8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8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8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8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8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8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8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8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8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8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8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8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8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8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8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8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8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8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8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8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8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8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8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8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8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8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8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8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8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8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8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8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8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8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8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8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8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8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8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8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8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8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8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8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8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8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8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8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8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8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8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8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8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8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8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8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8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8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8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8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8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8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8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8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8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8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8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8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8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8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8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8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8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8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8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8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8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8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8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8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8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8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8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8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8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8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8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8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8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8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8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8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8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8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8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8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8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8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8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8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8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8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8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8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8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8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8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8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8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8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8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5">
    <mergeCell ref="E12:G12"/>
    <mergeCell ref="E13:G13"/>
    <mergeCell ref="E14:G14"/>
    <mergeCell ref="H14:I14"/>
    <mergeCell ref="E34:E35"/>
  </mergeCells>
  <conditionalFormatting sqref="I35">
    <cfRule type="containsText" dxfId="0" priority="1" operator="containsText" text="C">
      <formula>NOT(ISERROR(SEARCH(("C"),(I35))))</formula>
    </cfRule>
  </conditionalFormatting>
  <conditionalFormatting sqref="I35">
    <cfRule type="containsText" dxfId="1" priority="2" operator="containsText" text="B">
      <formula>NOT(ISERROR(SEARCH(("B"),(I35))))</formula>
    </cfRule>
  </conditionalFormatting>
  <conditionalFormatting sqref="I35">
    <cfRule type="containsText" dxfId="2" priority="3" operator="containsText" text="A">
      <formula>NOT(ISERROR(SEARCH(("A"),(I35))))</formula>
    </cfRule>
  </conditionalFormatting>
  <conditionalFormatting sqref="I35">
    <cfRule type="containsText" dxfId="3" priority="4" operator="containsText" text="G">
      <formula>NOT(ISERROR(SEARCH(("G"),(I35))))</formula>
    </cfRule>
  </conditionalFormatting>
  <dataValidations>
    <dataValidation type="list" allowBlank="1" showErrorMessage="1" sqref="B3">
      <formula1>Prices!$A$9:$A$18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0.29"/>
    <col customWidth="1" min="3" max="3" width="14.71"/>
    <col customWidth="1" min="4" max="4" width="2.57"/>
    <col customWidth="1" min="5" max="5" width="5.71"/>
    <col customWidth="1" min="6" max="6" width="17.29"/>
    <col customWidth="1" min="7" max="7" width="20.29"/>
    <col customWidth="1" min="8" max="8" width="13.71"/>
    <col customWidth="1" min="9" max="9" width="8.71"/>
    <col customWidth="1" min="10" max="10" width="2.0"/>
    <col customWidth="1" min="11" max="11" width="6.0"/>
    <col customWidth="1" min="12" max="12" width="4.0"/>
    <col customWidth="1" min="13" max="13" width="2.0"/>
    <col customWidth="1" min="14" max="14" width="9.0"/>
    <col customWidth="1" min="15" max="15" width="4.0"/>
    <col customWidth="1" min="16" max="27" width="8.71"/>
  </cols>
  <sheetData>
    <row r="1">
      <c r="A1" s="119" t="s">
        <v>32</v>
      </c>
      <c r="B1" s="120"/>
      <c r="C1" s="121" t="s">
        <v>42</v>
      </c>
      <c r="D1" s="30"/>
      <c r="E1" s="30"/>
      <c r="F1" s="119" t="s">
        <v>32</v>
      </c>
      <c r="G1" s="120"/>
      <c r="H1" s="121" t="s">
        <v>43</v>
      </c>
      <c r="I1" s="30"/>
      <c r="J1" s="30"/>
      <c r="K1" s="122" t="s">
        <v>44</v>
      </c>
      <c r="L1" s="14"/>
      <c r="M1" s="14"/>
      <c r="N1" s="14"/>
      <c r="O1" s="14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123" t="s">
        <v>45</v>
      </c>
      <c r="B2" s="124">
        <v>27.0</v>
      </c>
      <c r="C2" s="125">
        <v>0.12</v>
      </c>
      <c r="D2" s="30" t="s">
        <v>41</v>
      </c>
      <c r="F2" s="123" t="s">
        <v>45</v>
      </c>
      <c r="G2" s="124">
        <v>3.021</v>
      </c>
      <c r="H2" s="125">
        <v>0.2</v>
      </c>
      <c r="K2" s="126">
        <f t="shared" ref="K2:K4" si="1">B2</f>
        <v>27</v>
      </c>
      <c r="L2" s="127" t="s">
        <v>46</v>
      </c>
      <c r="M2" s="128" t="s">
        <v>47</v>
      </c>
      <c r="N2" s="129">
        <f t="shared" ref="N2:N4" si="2">B2*0.1164</f>
        <v>3.1428</v>
      </c>
      <c r="O2" s="130" t="s">
        <v>48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131" t="s">
        <v>49</v>
      </c>
      <c r="B3" s="132">
        <f>B2*(C2)</f>
        <v>3.24</v>
      </c>
      <c r="C3" s="133">
        <f>IF(A1="Gold",IF(C1="24K",B15,IF(C1="22K",B16,IF(C1="18K",B17,B18))),C15)</f>
        <v>245200</v>
      </c>
      <c r="D3" s="30"/>
      <c r="F3" s="131" t="s">
        <v>49</v>
      </c>
      <c r="G3" s="132">
        <f>G2*(H2)</f>
        <v>0.6042</v>
      </c>
      <c r="H3" s="133">
        <f>IF(F1="Gold",IF(H1="24K",G15,IF(H1="22K",G16,IF(H1="18K",G17,G18))),H15)</f>
        <v>15766.46091</v>
      </c>
      <c r="K3" s="134">
        <f t="shared" si="1"/>
        <v>3.24</v>
      </c>
      <c r="L3" s="135" t="s">
        <v>46</v>
      </c>
      <c r="M3" s="30" t="s">
        <v>47</v>
      </c>
      <c r="N3" s="136">
        <f t="shared" si="2"/>
        <v>0.377136</v>
      </c>
      <c r="O3" s="137" t="s">
        <v>48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131" t="s">
        <v>50</v>
      </c>
      <c r="B4" s="132">
        <f>B2+B3</f>
        <v>30.24</v>
      </c>
      <c r="C4" s="137"/>
      <c r="D4" s="30"/>
      <c r="F4" s="131" t="s">
        <v>50</v>
      </c>
      <c r="G4" s="132">
        <f>G2+G3</f>
        <v>3.6252</v>
      </c>
      <c r="H4" s="137"/>
      <c r="K4" s="138">
        <f t="shared" si="1"/>
        <v>30.24</v>
      </c>
      <c r="L4" s="139" t="s">
        <v>46</v>
      </c>
      <c r="M4" s="140" t="s">
        <v>47</v>
      </c>
      <c r="N4" s="141">
        <f t="shared" si="2"/>
        <v>3.519936</v>
      </c>
      <c r="O4" s="142" t="s">
        <v>48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131" t="s">
        <v>51</v>
      </c>
      <c r="B5" s="132">
        <v>1500.0</v>
      </c>
      <c r="C5" s="137"/>
      <c r="D5" s="30"/>
      <c r="F5" s="131" t="s">
        <v>51</v>
      </c>
      <c r="G5" s="132"/>
      <c r="H5" s="137"/>
      <c r="I5" s="143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131" t="s">
        <v>52</v>
      </c>
      <c r="B6" s="132"/>
      <c r="C6" s="137"/>
      <c r="D6" s="30"/>
      <c r="F6" s="131" t="s">
        <v>52</v>
      </c>
      <c r="G6" s="132">
        <v>5.0</v>
      </c>
      <c r="H6" s="137"/>
      <c r="I6" s="143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144" t="s">
        <v>53</v>
      </c>
      <c r="B7" s="145"/>
      <c r="C7" s="142"/>
      <c r="D7" s="30"/>
      <c r="E7" s="143"/>
      <c r="F7" s="144" t="s">
        <v>54</v>
      </c>
      <c r="G7" s="145"/>
      <c r="H7" s="142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146" t="s">
        <v>55</v>
      </c>
      <c r="B8" s="147">
        <f>IF($A$1="Gold",B4*(C3/100),B4*(C15))</f>
        <v>74148.48</v>
      </c>
      <c r="C8" s="148"/>
      <c r="D8" s="30"/>
      <c r="E8" s="30"/>
      <c r="F8" s="146" t="s">
        <v>55</v>
      </c>
      <c r="G8" s="147">
        <f>IF($A$1="Gold",G4*(H3),G4*(H15))</f>
        <v>57156.57407</v>
      </c>
      <c r="H8" s="148"/>
      <c r="I8" s="143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149" t="s">
        <v>56</v>
      </c>
      <c r="B9" s="150">
        <f>IF(B6&lt;&gt;0,((B4*B6%)*(C3/100)),IF(B7&lt;&gt;0,B7*B4,B5))</f>
        <v>1500</v>
      </c>
      <c r="C9" s="148"/>
      <c r="D9" s="30"/>
      <c r="E9" s="30"/>
      <c r="F9" s="149" t="s">
        <v>56</v>
      </c>
      <c r="G9" s="150">
        <f>IF(G6&lt;&gt;0,((G4*G6%)*(H3)),IF(G7&lt;&gt;0,G7*G4,G5))</f>
        <v>2857.828704</v>
      </c>
      <c r="H9" s="14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149" t="s">
        <v>57</v>
      </c>
      <c r="B10" s="150"/>
      <c r="C10" s="148"/>
      <c r="D10" s="30"/>
      <c r="E10" s="30"/>
      <c r="F10" s="149" t="s">
        <v>57</v>
      </c>
      <c r="G10" s="150"/>
      <c r="H10" s="14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151" t="s">
        <v>36</v>
      </c>
      <c r="B11" s="152">
        <f>IF(A1="Gold",SUM(B8:B9)*0.02,0)</f>
        <v>1512.9696</v>
      </c>
      <c r="C11" s="148"/>
      <c r="D11" s="30"/>
      <c r="E11" s="30"/>
      <c r="F11" s="151" t="s">
        <v>36</v>
      </c>
      <c r="G11" s="152">
        <f>IF(F1="Gold",SUM(G8:G9)*0.02,0)</f>
        <v>1200.288056</v>
      </c>
      <c r="H11" s="148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153" t="s">
        <v>18</v>
      </c>
      <c r="B12" s="154">
        <f>SUM(B8:B11)</f>
        <v>77161.4496</v>
      </c>
      <c r="C12" s="155"/>
      <c r="D12" s="30"/>
      <c r="E12" s="30"/>
      <c r="F12" s="153" t="s">
        <v>18</v>
      </c>
      <c r="G12" s="154">
        <f>SUM(G8:G11)</f>
        <v>61214.69083</v>
      </c>
      <c r="H12" s="155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0"/>
      <c r="B13" s="156"/>
      <c r="C13" s="30"/>
      <c r="D13" s="30"/>
      <c r="E13" s="30"/>
      <c r="F13" s="30"/>
      <c r="G13" s="15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157"/>
      <c r="B14" s="158" t="s">
        <v>32</v>
      </c>
      <c r="C14" s="159" t="s">
        <v>58</v>
      </c>
      <c r="D14" s="30"/>
      <c r="E14" s="30"/>
      <c r="F14" s="157"/>
      <c r="G14" s="158" t="s">
        <v>32</v>
      </c>
      <c r="H14" s="159" t="s">
        <v>58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160" t="s">
        <v>59</v>
      </c>
      <c r="B15" s="161">
        <v>306500.0</v>
      </c>
      <c r="C15" s="162">
        <v>4080.0</v>
      </c>
      <c r="D15" s="30"/>
      <c r="E15" s="30"/>
      <c r="F15" s="160" t="s">
        <v>59</v>
      </c>
      <c r="G15" s="161">
        <f>B15/11.664</f>
        <v>26277.43484</v>
      </c>
      <c r="H15" s="162">
        <v>4080.0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160" t="s">
        <v>60</v>
      </c>
      <c r="B16" s="161">
        <f>ROUNDUP(B15*91.6%, -1)</f>
        <v>280760</v>
      </c>
      <c r="C16" s="162"/>
      <c r="D16" s="30"/>
      <c r="E16" s="30"/>
      <c r="F16" s="160" t="s">
        <v>60</v>
      </c>
      <c r="G16" s="161">
        <f>ROUNDUP(G15*91.6%, -1)</f>
        <v>24080</v>
      </c>
      <c r="H16" s="162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160" t="s">
        <v>42</v>
      </c>
      <c r="B17" s="161">
        <f>B15*0.8</f>
        <v>245200</v>
      </c>
      <c r="C17" s="162"/>
      <c r="D17" s="30"/>
      <c r="E17" s="30"/>
      <c r="F17" s="160" t="s">
        <v>42</v>
      </c>
      <c r="G17" s="161">
        <f>G15*0.8</f>
        <v>21021.94787</v>
      </c>
      <c r="H17" s="162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163" t="s">
        <v>20</v>
      </c>
      <c r="B18" s="164">
        <f>B15*0.6</f>
        <v>183900</v>
      </c>
      <c r="C18" s="165"/>
      <c r="D18" s="30"/>
      <c r="E18" s="30"/>
      <c r="F18" s="163" t="s">
        <v>43</v>
      </c>
      <c r="G18" s="164">
        <f>G15*0.6</f>
        <v>15766.46091</v>
      </c>
      <c r="H18" s="165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0"/>
      <c r="B19" s="15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0"/>
      <c r="B20" s="15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0"/>
      <c r="B21" s="15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0"/>
      <c r="B22" s="15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0"/>
      <c r="B23" s="15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0"/>
      <c r="B24" s="15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0"/>
      <c r="B25" s="15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0"/>
      <c r="B26" s="15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0"/>
      <c r="B27" s="15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0"/>
      <c r="B28" s="15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0"/>
      <c r="B29" s="15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0"/>
      <c r="B30" s="15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0"/>
      <c r="B31" s="15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0"/>
      <c r="B32" s="15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0"/>
      <c r="B33" s="15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0"/>
      <c r="B34" s="15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0"/>
      <c r="B35" s="15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0"/>
      <c r="B36" s="15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0"/>
      <c r="B37" s="15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0"/>
      <c r="B38" s="15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0"/>
      <c r="B39" s="15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0"/>
      <c r="B40" s="15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0"/>
      <c r="B41" s="156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0"/>
      <c r="B42" s="15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0"/>
      <c r="B43" s="15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0"/>
      <c r="B44" s="156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0"/>
      <c r="B45" s="156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0"/>
      <c r="B46" s="156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0"/>
      <c r="B47" s="156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0"/>
      <c r="B48" s="156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0"/>
      <c r="B49" s="15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0"/>
      <c r="B50" s="15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0"/>
      <c r="B51" s="156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0"/>
      <c r="B52" s="15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0"/>
      <c r="B53" s="156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0"/>
      <c r="B54" s="156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0"/>
      <c r="B55" s="156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0"/>
      <c r="B56" s="156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0"/>
      <c r="B57" s="156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0"/>
      <c r="B58" s="156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0"/>
      <c r="B59" s="15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0"/>
      <c r="B60" s="156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0"/>
      <c r="B61" s="156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0"/>
      <c r="B62" s="156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0"/>
      <c r="B63" s="156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0"/>
      <c r="B64" s="156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0"/>
      <c r="B65" s="156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0"/>
      <c r="B66" s="156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0"/>
      <c r="B67" s="156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0"/>
      <c r="B68" s="156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0"/>
      <c r="B69" s="156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0"/>
      <c r="B70" s="156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0"/>
      <c r="B71" s="156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156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0"/>
      <c r="B73" s="156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0"/>
      <c r="B74" s="156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0"/>
      <c r="B75" s="156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0"/>
      <c r="B76" s="156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0"/>
      <c r="B77" s="156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0"/>
      <c r="B78" s="156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0"/>
      <c r="B79" s="156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0"/>
      <c r="B80" s="156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0"/>
      <c r="B81" s="156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0"/>
      <c r="B82" s="156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0"/>
      <c r="B83" s="156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0"/>
      <c r="B84" s="156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0"/>
      <c r="B85" s="156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/>
      <c r="B86" s="156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0"/>
      <c r="B87" s="156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/>
      <c r="B88" s="156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0"/>
      <c r="B89" s="156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/>
      <c r="B90" s="156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/>
      <c r="B91" s="156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0"/>
      <c r="B92" s="156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/>
      <c r="B93" s="156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/>
      <c r="B94" s="156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/>
      <c r="B95" s="156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/>
      <c r="B96" s="156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/>
      <c r="B97" s="156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/>
      <c r="B98" s="156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/>
      <c r="B99" s="156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/>
      <c r="B100" s="156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/>
      <c r="B101" s="156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/>
      <c r="B102" s="156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/>
      <c r="B103" s="156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/>
      <c r="B104" s="156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/>
      <c r="B105" s="156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156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156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156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156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156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156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156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156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156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156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156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156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156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156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156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156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/>
      <c r="B122" s="156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156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156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156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156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156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156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156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/>
      <c r="B130" s="156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156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156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156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156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156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156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156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156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156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156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156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156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156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156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156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156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156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156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156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156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156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156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156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156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156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156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156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156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156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156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156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156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156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156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156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156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156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156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156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156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156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156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156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156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156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156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156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156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156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156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156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156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156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156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156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156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156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156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156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156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156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156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156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156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156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156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156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156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156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156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156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156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156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156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156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156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156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156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156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156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156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156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156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156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156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156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156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156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156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156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156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156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156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156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156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156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156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156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156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156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156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156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156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156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156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156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156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156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156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156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156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156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156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156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156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156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156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156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156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156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156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156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156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156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156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156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156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156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156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156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156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156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156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156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156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156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156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156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156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156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/>
      <c r="B271" s="156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156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156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156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156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156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156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156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156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156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156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156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156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156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156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156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156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156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156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156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156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156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156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156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156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156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156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156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156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156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156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156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156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156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156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156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156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156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156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156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156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156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156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156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156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156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156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156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156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156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156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156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156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156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156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156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156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156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156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156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156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156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156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156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156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156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156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156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156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156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156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156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156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156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156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156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156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156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156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156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156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156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156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156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156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156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156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156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156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156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156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156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156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156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156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156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156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156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156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156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156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156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156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156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156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156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156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156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156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156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156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156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156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156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156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156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156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156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156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156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156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156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156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156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156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156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156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156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156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156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156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156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156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156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156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156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156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156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156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156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156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156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156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156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156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156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156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156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156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156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156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156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156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156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156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156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156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156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156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156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156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156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156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156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156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156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156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156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156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156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156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156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156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156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156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156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156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156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156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156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156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156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156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156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156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156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156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156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156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156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156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156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156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156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156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156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156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156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156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156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156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156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156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156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156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156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156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156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156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156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156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156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156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156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156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156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156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156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156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156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156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156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156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156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156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156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156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156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156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156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156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156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156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156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156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156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156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156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156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156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156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156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156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156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156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156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156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156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156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156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156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156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156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156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156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156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156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156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156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156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156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156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156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156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156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156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156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156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156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156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156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156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156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156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156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156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156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156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156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156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156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156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156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156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156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156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156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156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156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156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156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156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156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156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156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156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156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156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156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156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156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156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156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156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156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156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156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156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156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156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156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156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156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156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156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156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156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156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156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156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156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156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156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156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156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156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156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156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156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156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156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156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156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156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156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156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156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156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156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156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156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156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156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156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156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156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156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156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156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156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156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156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156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156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156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156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156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156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156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156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156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156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156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156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156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156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156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156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156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156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156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156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156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156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156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156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156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156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156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156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156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156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156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156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156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156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156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0"/>
      <c r="B658" s="156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0"/>
      <c r="B659" s="156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0"/>
      <c r="B660" s="156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0"/>
      <c r="B661" s="156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0"/>
      <c r="B662" s="156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0"/>
      <c r="B663" s="156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0"/>
      <c r="B664" s="156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0"/>
      <c r="B665" s="156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0"/>
      <c r="B666" s="156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0"/>
      <c r="B667" s="156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0"/>
      <c r="B668" s="156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0"/>
      <c r="B669" s="156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0"/>
      <c r="B670" s="156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0"/>
      <c r="B671" s="156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0"/>
      <c r="B672" s="156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0"/>
      <c r="B673" s="156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0"/>
      <c r="B674" s="156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0"/>
      <c r="B675" s="156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0"/>
      <c r="B676" s="156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0"/>
      <c r="B677" s="156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0"/>
      <c r="B678" s="156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0"/>
      <c r="B679" s="156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0"/>
      <c r="B680" s="156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0"/>
      <c r="B681" s="156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0"/>
      <c r="B682" s="156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0"/>
      <c r="B683" s="156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0"/>
      <c r="B684" s="156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0"/>
      <c r="B685" s="156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0"/>
      <c r="B686" s="156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0"/>
      <c r="B687" s="156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0"/>
      <c r="B688" s="156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0"/>
      <c r="B689" s="156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0"/>
      <c r="B690" s="156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0"/>
      <c r="B691" s="156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0"/>
      <c r="B692" s="156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0"/>
      <c r="B693" s="156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0"/>
      <c r="B694" s="156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0"/>
      <c r="B695" s="156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0"/>
      <c r="B696" s="156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0"/>
      <c r="B697" s="156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0"/>
      <c r="B698" s="156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0"/>
      <c r="B699" s="156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0"/>
      <c r="B700" s="156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0"/>
      <c r="B701" s="156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0"/>
      <c r="B702" s="156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0"/>
      <c r="B703" s="156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0"/>
      <c r="B704" s="156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0"/>
      <c r="B705" s="156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0"/>
      <c r="B706" s="156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0"/>
      <c r="B707" s="156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0"/>
      <c r="B708" s="156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0"/>
      <c r="B709" s="156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0"/>
      <c r="B710" s="156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0"/>
      <c r="B711" s="156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0"/>
      <c r="B712" s="156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0"/>
      <c r="B713" s="156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0"/>
      <c r="B714" s="156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0"/>
      <c r="B715" s="156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0"/>
      <c r="B716" s="156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0"/>
      <c r="B717" s="156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0"/>
      <c r="B718" s="156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0"/>
      <c r="B719" s="156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0"/>
      <c r="B720" s="156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0"/>
      <c r="B721" s="156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0"/>
      <c r="B722" s="156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0"/>
      <c r="B723" s="156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0"/>
      <c r="B724" s="156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0"/>
      <c r="B725" s="156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0"/>
      <c r="B726" s="156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0"/>
      <c r="B727" s="156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0"/>
      <c r="B728" s="156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0"/>
      <c r="B729" s="156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0"/>
      <c r="B730" s="156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0"/>
      <c r="B731" s="156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0"/>
      <c r="B732" s="156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0"/>
      <c r="B733" s="156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0"/>
      <c r="B734" s="156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0"/>
      <c r="B735" s="156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0"/>
      <c r="B736" s="156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0"/>
      <c r="B737" s="156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0"/>
      <c r="B738" s="156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0"/>
      <c r="B739" s="156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0"/>
      <c r="B740" s="156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0"/>
      <c r="B741" s="156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0"/>
      <c r="B742" s="156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0"/>
      <c r="B743" s="156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0"/>
      <c r="B744" s="156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0"/>
      <c r="B745" s="156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0"/>
      <c r="B746" s="156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0"/>
      <c r="B747" s="156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0"/>
      <c r="B748" s="156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0"/>
      <c r="B749" s="156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0"/>
      <c r="B750" s="156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0"/>
      <c r="B751" s="156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0"/>
      <c r="B752" s="156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0"/>
      <c r="B753" s="156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0"/>
      <c r="B754" s="156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0"/>
      <c r="B755" s="156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0"/>
      <c r="B756" s="156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0"/>
      <c r="B757" s="156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0"/>
      <c r="B758" s="156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0"/>
      <c r="B759" s="156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0"/>
      <c r="B760" s="156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0"/>
      <c r="B761" s="156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0"/>
      <c r="B762" s="156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0"/>
      <c r="B763" s="156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0"/>
      <c r="B764" s="156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0"/>
      <c r="B765" s="156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0"/>
      <c r="B766" s="156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0"/>
      <c r="B767" s="156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0"/>
      <c r="B768" s="156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0"/>
      <c r="B769" s="156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0"/>
      <c r="B770" s="156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0"/>
      <c r="B771" s="156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0"/>
      <c r="B772" s="156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0"/>
      <c r="B773" s="156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0"/>
      <c r="B774" s="156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0"/>
      <c r="B775" s="156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0"/>
      <c r="B776" s="156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0"/>
      <c r="B777" s="156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0"/>
      <c r="B778" s="156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0"/>
      <c r="B779" s="156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0"/>
      <c r="B780" s="156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0"/>
      <c r="B781" s="156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0"/>
      <c r="B782" s="156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0"/>
      <c r="B783" s="156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0"/>
      <c r="B784" s="156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0"/>
      <c r="B785" s="156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0"/>
      <c r="B786" s="156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0"/>
      <c r="B787" s="156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0"/>
      <c r="B788" s="156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0"/>
      <c r="B789" s="156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0"/>
      <c r="B790" s="156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0"/>
      <c r="B791" s="156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0"/>
      <c r="B792" s="156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0"/>
      <c r="B793" s="156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0"/>
      <c r="B794" s="156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0"/>
      <c r="B795" s="156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0"/>
      <c r="B796" s="156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0"/>
      <c r="B797" s="156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0"/>
      <c r="B798" s="156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0"/>
      <c r="B799" s="156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0"/>
      <c r="B800" s="156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0"/>
      <c r="B801" s="156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0"/>
      <c r="B802" s="156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0"/>
      <c r="B803" s="156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0"/>
      <c r="B804" s="156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0"/>
      <c r="B805" s="156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0"/>
      <c r="B806" s="156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0"/>
      <c r="B807" s="156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0"/>
      <c r="B808" s="156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0"/>
      <c r="B809" s="156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0"/>
      <c r="B810" s="156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0"/>
      <c r="B811" s="156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0"/>
      <c r="B812" s="156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0"/>
      <c r="B813" s="156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0"/>
      <c r="B814" s="156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0"/>
      <c r="B815" s="156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0"/>
      <c r="B816" s="156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0"/>
      <c r="B817" s="156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0"/>
      <c r="B818" s="156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0"/>
      <c r="B819" s="156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0"/>
      <c r="B820" s="156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0"/>
      <c r="B821" s="156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0"/>
      <c r="B822" s="156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0"/>
      <c r="B823" s="156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0"/>
      <c r="B824" s="156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0"/>
      <c r="B825" s="156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0"/>
      <c r="B826" s="156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0"/>
      <c r="B827" s="156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0"/>
      <c r="B828" s="156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0"/>
      <c r="B829" s="156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0"/>
      <c r="B830" s="156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0"/>
      <c r="B831" s="156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0"/>
      <c r="B832" s="156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0"/>
      <c r="B833" s="156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0"/>
      <c r="B834" s="156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0"/>
      <c r="B835" s="156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0"/>
      <c r="B836" s="156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0"/>
      <c r="B837" s="156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0"/>
      <c r="B838" s="156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0"/>
      <c r="B839" s="156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0"/>
      <c r="B840" s="156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0"/>
      <c r="B841" s="156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0"/>
      <c r="B842" s="156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0"/>
      <c r="B843" s="156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0"/>
      <c r="B844" s="156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0"/>
      <c r="B845" s="156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0"/>
      <c r="B846" s="156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0"/>
      <c r="B847" s="156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0"/>
      <c r="B848" s="156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0"/>
      <c r="B849" s="156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0"/>
      <c r="B850" s="156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0"/>
      <c r="B851" s="156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0"/>
      <c r="B852" s="156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0"/>
      <c r="B853" s="156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0"/>
      <c r="B854" s="156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0"/>
      <c r="B855" s="156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0"/>
      <c r="B856" s="156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0"/>
      <c r="B857" s="156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0"/>
      <c r="B858" s="156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0"/>
      <c r="B859" s="156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0"/>
      <c r="B860" s="156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0"/>
      <c r="B861" s="156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0"/>
      <c r="B862" s="156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0"/>
      <c r="B863" s="156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0"/>
      <c r="B864" s="156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0"/>
      <c r="B865" s="156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0"/>
      <c r="B866" s="156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0"/>
      <c r="B867" s="156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0"/>
      <c r="B868" s="156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0"/>
      <c r="B869" s="156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0"/>
      <c r="B870" s="156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0"/>
      <c r="B871" s="156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0"/>
      <c r="B872" s="156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0"/>
      <c r="B873" s="156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0"/>
      <c r="B874" s="156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0"/>
      <c r="B875" s="156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0"/>
      <c r="B876" s="156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0"/>
      <c r="B877" s="156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0"/>
      <c r="B878" s="156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0"/>
      <c r="B879" s="156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0"/>
      <c r="B880" s="156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0"/>
      <c r="B881" s="156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0"/>
      <c r="B882" s="156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0"/>
      <c r="B883" s="156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0"/>
      <c r="B884" s="156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0"/>
      <c r="B885" s="156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0"/>
      <c r="B886" s="156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0"/>
      <c r="B887" s="156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0"/>
      <c r="B888" s="156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0"/>
      <c r="B889" s="156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0"/>
      <c r="B890" s="156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0"/>
      <c r="B891" s="156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0"/>
      <c r="B892" s="156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0"/>
      <c r="B893" s="156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0"/>
      <c r="B894" s="156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0"/>
      <c r="B895" s="156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0"/>
      <c r="B896" s="156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0"/>
      <c r="B897" s="156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0"/>
      <c r="B898" s="156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0"/>
      <c r="B899" s="156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0"/>
      <c r="B900" s="156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0"/>
      <c r="B901" s="156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0"/>
      <c r="B902" s="156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0"/>
      <c r="B903" s="156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0"/>
      <c r="B904" s="156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0"/>
      <c r="B905" s="156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0"/>
      <c r="B906" s="156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0"/>
      <c r="B907" s="156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0"/>
      <c r="B908" s="156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0"/>
      <c r="B909" s="156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0"/>
      <c r="B910" s="156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0"/>
      <c r="B911" s="156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0"/>
      <c r="B912" s="156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0"/>
      <c r="B913" s="156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0"/>
      <c r="B914" s="156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0"/>
      <c r="B915" s="156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0"/>
      <c r="B916" s="156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0"/>
      <c r="B917" s="156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0"/>
      <c r="B918" s="156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0"/>
      <c r="B919" s="156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0"/>
      <c r="B920" s="156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0"/>
      <c r="B921" s="156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0"/>
      <c r="B922" s="156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0"/>
      <c r="B923" s="156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0"/>
      <c r="B924" s="156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0"/>
      <c r="B925" s="156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0"/>
      <c r="B926" s="156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0"/>
      <c r="B927" s="156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0"/>
      <c r="B928" s="156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0"/>
      <c r="B929" s="156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0"/>
      <c r="B930" s="156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0"/>
      <c r="B931" s="156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0"/>
      <c r="B932" s="156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0"/>
      <c r="B933" s="156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0"/>
      <c r="B934" s="156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0"/>
      <c r="B935" s="156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0"/>
      <c r="B936" s="156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0"/>
      <c r="B937" s="156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0"/>
      <c r="B938" s="156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0"/>
      <c r="B939" s="156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0"/>
      <c r="B940" s="156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0"/>
      <c r="B941" s="156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0"/>
      <c r="B942" s="156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0"/>
      <c r="B943" s="156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0"/>
      <c r="B944" s="156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0"/>
      <c r="B945" s="156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0"/>
      <c r="B946" s="156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0"/>
      <c r="B947" s="156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0"/>
      <c r="B948" s="156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0"/>
      <c r="B949" s="156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0"/>
      <c r="B950" s="156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0"/>
      <c r="B951" s="156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0"/>
      <c r="B952" s="156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0"/>
      <c r="B953" s="156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0"/>
      <c r="B954" s="156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0"/>
      <c r="B955" s="156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0"/>
      <c r="B956" s="156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0"/>
      <c r="B957" s="156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0"/>
      <c r="B958" s="156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0"/>
      <c r="B959" s="156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0"/>
      <c r="B960" s="156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0"/>
      <c r="B961" s="156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0"/>
      <c r="B962" s="156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0"/>
      <c r="B963" s="156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0"/>
      <c r="B964" s="156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0"/>
      <c r="B965" s="156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0"/>
      <c r="B966" s="156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0"/>
      <c r="B967" s="156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0"/>
      <c r="B968" s="156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0"/>
      <c r="B969" s="156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0"/>
      <c r="B970" s="156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0"/>
      <c r="B971" s="156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0"/>
      <c r="B972" s="156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0"/>
      <c r="B973" s="156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0"/>
      <c r="B974" s="156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0"/>
      <c r="B975" s="156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0"/>
      <c r="B976" s="156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0"/>
      <c r="B977" s="156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0"/>
      <c r="B978" s="156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0"/>
      <c r="B979" s="156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0"/>
      <c r="B980" s="156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0"/>
      <c r="B981" s="156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156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156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156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156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156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156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156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156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156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156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156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156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156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156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156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156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156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156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156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0"/>
      <c r="B1001" s="156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0"/>
      <c r="B1002" s="156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ht="15.75" customHeight="1">
      <c r="A1003" s="30"/>
      <c r="B1003" s="156"/>
      <c r="C1003" s="30"/>
      <c r="D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</sheetData>
  <mergeCells count="3">
    <mergeCell ref="A1:B1"/>
    <mergeCell ref="F1:G1"/>
    <mergeCell ref="K1:O1"/>
  </mergeCells>
  <dataValidations>
    <dataValidation type="list" allowBlank="1" showErrorMessage="1" sqref="A1 F1">
      <formula1>$B$14:$C$14</formula1>
    </dataValidation>
    <dataValidation type="list" allowBlank="1" showErrorMessage="1" sqref="C1 H1">
      <formula1>"24K,22K,18K,14K"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43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5.0"/>
    <col customWidth="1" min="18" max="18" width="17.57"/>
    <col customWidth="1" min="19" max="19" width="18.57"/>
    <col customWidth="1" min="20" max="20" width="13.0"/>
    <col customWidth="1" min="21" max="21" width="11.57"/>
    <col customWidth="1" min="22" max="22" width="7.29"/>
    <col customWidth="1" min="23" max="23" width="12.29"/>
    <col customWidth="1" min="24" max="26" width="7.29"/>
  </cols>
  <sheetData>
    <row r="1" ht="33.75" customHeight="1">
      <c r="A1" s="166" t="s">
        <v>61</v>
      </c>
      <c r="E1" s="167"/>
      <c r="F1" s="5">
        <f>TODAY()</f>
        <v>46179</v>
      </c>
      <c r="G1" s="168"/>
      <c r="H1" s="30"/>
      <c r="I1" s="26"/>
      <c r="J1" s="26"/>
      <c r="K1" s="26"/>
      <c r="L1" s="26"/>
      <c r="M1" s="26"/>
      <c r="N1" s="26"/>
      <c r="O1" s="26"/>
      <c r="P1" s="26"/>
      <c r="Q1" s="169" t="s">
        <v>62</v>
      </c>
      <c r="R1" s="169">
        <v>40.0</v>
      </c>
      <c r="U1" s="170"/>
      <c r="V1" s="26"/>
      <c r="W1" s="22"/>
    </row>
    <row r="2" ht="17.25" customHeight="1">
      <c r="A2" s="171" t="s">
        <v>2</v>
      </c>
      <c r="B2" s="171" t="s">
        <v>4</v>
      </c>
      <c r="C2" s="171" t="s">
        <v>63</v>
      </c>
      <c r="D2" s="171" t="s">
        <v>64</v>
      </c>
      <c r="E2" s="171" t="s">
        <v>65</v>
      </c>
      <c r="F2" s="171" t="s">
        <v>6</v>
      </c>
      <c r="G2" s="171" t="s">
        <v>66</v>
      </c>
      <c r="H2" s="171" t="s">
        <v>8</v>
      </c>
      <c r="I2" s="171" t="s">
        <v>9</v>
      </c>
      <c r="J2" s="171" t="s">
        <v>10</v>
      </c>
      <c r="K2" s="171" t="s">
        <v>11</v>
      </c>
      <c r="L2" s="171" t="s">
        <v>67</v>
      </c>
      <c r="M2" s="171" t="s">
        <v>67</v>
      </c>
      <c r="N2" s="171" t="s">
        <v>67</v>
      </c>
      <c r="O2" s="171" t="s">
        <v>67</v>
      </c>
      <c r="P2" s="171" t="s">
        <v>68</v>
      </c>
      <c r="Q2" s="172" t="s">
        <v>69</v>
      </c>
      <c r="R2" s="171" t="s">
        <v>70</v>
      </c>
      <c r="S2" s="173" t="s">
        <v>55</v>
      </c>
      <c r="T2" s="173" t="s">
        <v>36</v>
      </c>
      <c r="U2" s="171"/>
      <c r="V2" s="26"/>
      <c r="W2" s="22">
        <f>(((D3*0.6)/11.664)*Prices!A4)+E3*38000+F3*51900+G3*60900+H3*140000+I3*1000+J3*3000+K3*300</f>
        <v>250769.1358</v>
      </c>
    </row>
    <row r="3" ht="23.25" customHeight="1">
      <c r="A3" s="171">
        <v>232.0</v>
      </c>
      <c r="B3" s="26">
        <f>VLOOKUP($A$3,'Ladies Ring'!$A$2:$S$998, 2, 0)</f>
        <v>9.382</v>
      </c>
      <c r="C3" s="26">
        <f>VLOOKUP($A$3,'Ladies Ring'!$A$2:$S$998, 3, 0)</f>
        <v>2.3455</v>
      </c>
      <c r="D3" s="26">
        <f>VLOOKUP($A$3,'Ladies Ring'!$A$2:$S$998, 4, 0)</f>
        <v>11.7275</v>
      </c>
      <c r="E3" s="26">
        <f>VLOOKUP($A$3,'Ladies Ring'!$A$2:$S$998, 5, 0)</f>
        <v>1.59</v>
      </c>
      <c r="F3" s="26" t="str">
        <f>VLOOKUP($A$3,'Ladies Ring'!$A$2:$S$998, 6, 0)</f>
        <v/>
      </c>
      <c r="G3" s="26" t="str">
        <f>VLOOKUP($A$3,'Ladies Ring'!$A$2:$S$998, 7, 0)</f>
        <v/>
      </c>
      <c r="H3" s="26" t="str">
        <f>VLOOKUP($A$3,'Ladies Ring'!$A$2:$S$998, 8, 0)</f>
        <v/>
      </c>
      <c r="I3" s="26" t="str">
        <f>VLOOKUP($A$3,'Ladies Ring'!$A$2:$S$998, 9, 0)</f>
        <v/>
      </c>
      <c r="J3" s="26" t="str">
        <f>VLOOKUP($A$3,'Ladies Ring'!$A$2:$S$998, 10, 0)</f>
        <v/>
      </c>
      <c r="K3" s="26">
        <f>VLOOKUP($A$3,'Ladies Ring'!$A$2:$S$998, 11, 0)</f>
        <v>7.1</v>
      </c>
      <c r="L3" s="174">
        <f>VLOOKUP($A$3,'Ladies Ring'!$A$2:$S$998, 12, 0)</f>
        <v>174900</v>
      </c>
      <c r="M3" s="174">
        <f>VLOOKUP($A$3,'Ladies Ring'!$A$2:$S$998, 13, 0)</f>
        <v>0</v>
      </c>
      <c r="N3" s="174">
        <f>VLOOKUP($A$3,'Ladies Ring'!$A$2:$S$998, 14, 0)</f>
        <v>0</v>
      </c>
      <c r="O3" s="174">
        <f>VLOOKUP($A$3,'Ladies Ring'!$A$2:$S$998, 15, 0)</f>
        <v>0</v>
      </c>
      <c r="P3" s="174">
        <f>VLOOKUP($A$3,'Ladies Ring'!$A$2:$S$998, 16, 0)</f>
        <v>12780</v>
      </c>
      <c r="Q3" s="175">
        <f>VLOOKUP($A$3,'Ladies Ring'!$A$2:$S$998, 17, 0)</f>
        <v>209335.875</v>
      </c>
      <c r="R3" s="174">
        <f>VLOOKUP($A$3,'Ladies Ring'!$A$2:$S$998, 18, 0)</f>
        <v>174900</v>
      </c>
      <c r="S3" s="176">
        <f>VLOOKUP($A$3,'Ladies Ring'!$A$2:$S$998, 19, 0)</f>
        <v>397015.875</v>
      </c>
      <c r="T3" s="177">
        <f>Q3*0.02</f>
        <v>4186.7175</v>
      </c>
      <c r="U3" s="26"/>
      <c r="W3" s="22">
        <f>((S4-W2)/S4)*100</f>
        <v>24.294417</v>
      </c>
    </row>
    <row r="4" ht="26.2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178">
        <f t="shared" ref="L4:O4" si="1">IFERROR(L3/E3,0)</f>
        <v>110000</v>
      </c>
      <c r="M4" s="178">
        <f t="shared" si="1"/>
        <v>0</v>
      </c>
      <c r="N4" s="178">
        <f t="shared" si="1"/>
        <v>0</v>
      </c>
      <c r="O4" s="178">
        <f t="shared" si="1"/>
        <v>0</v>
      </c>
      <c r="P4" s="178">
        <f>IFERROR(P3/(K3+J3+I3),0)</f>
        <v>1800</v>
      </c>
      <c r="Q4" s="178">
        <f>IFERROR(Q3/D3,0)</f>
        <v>17850</v>
      </c>
      <c r="R4" s="179">
        <f>R3-(R3*(R1/100))</f>
        <v>104940</v>
      </c>
      <c r="S4" s="180">
        <f>R4+Q3+P3+T3</f>
        <v>331242.5925</v>
      </c>
      <c r="T4" s="26" t="str">
        <f>IF(W3&gt;30,"G",IF(AND(W3&gt;25,W3&lt;30),"A",IF(AND(W3&gt;20,W3&lt;25),"B","C")))</f>
        <v>B</v>
      </c>
      <c r="V4" s="26"/>
      <c r="W4" s="22"/>
    </row>
    <row r="5" ht="15.0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 t="s">
        <v>71</v>
      </c>
      <c r="R5" s="174">
        <f>R3-R4</f>
        <v>69960</v>
      </c>
      <c r="S5" s="181"/>
      <c r="T5" s="181"/>
      <c r="U5" s="26"/>
      <c r="V5" s="26"/>
      <c r="W5" s="22"/>
    </row>
    <row r="6" ht="33.75" customHeight="1">
      <c r="A6" s="182" t="s">
        <v>72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181"/>
      <c r="T6" s="181"/>
      <c r="U6" s="26"/>
      <c r="V6" s="26"/>
      <c r="W6" s="22"/>
    </row>
    <row r="7">
      <c r="A7" s="171" t="s">
        <v>2</v>
      </c>
      <c r="B7" s="183" t="s">
        <v>4</v>
      </c>
      <c r="C7" s="183" t="s">
        <v>63</v>
      </c>
      <c r="D7" s="183" t="s">
        <v>64</v>
      </c>
      <c r="E7" s="183" t="s">
        <v>65</v>
      </c>
      <c r="F7" s="183" t="s">
        <v>6</v>
      </c>
      <c r="G7" s="183" t="s">
        <v>66</v>
      </c>
      <c r="H7" s="183" t="s">
        <v>8</v>
      </c>
      <c r="I7" s="183" t="s">
        <v>9</v>
      </c>
      <c r="J7" s="183" t="s">
        <v>10</v>
      </c>
      <c r="K7" s="183" t="s">
        <v>11</v>
      </c>
      <c r="L7" s="183" t="s">
        <v>67</v>
      </c>
      <c r="M7" s="183" t="s">
        <v>67</v>
      </c>
      <c r="N7" s="183" t="s">
        <v>67</v>
      </c>
      <c r="O7" s="183" t="s">
        <v>67</v>
      </c>
      <c r="P7" s="183" t="s">
        <v>68</v>
      </c>
      <c r="Q7" s="184" t="s">
        <v>69</v>
      </c>
      <c r="R7" s="183" t="s">
        <v>70</v>
      </c>
      <c r="S7" s="185" t="s">
        <v>55</v>
      </c>
      <c r="T7" s="173" t="s">
        <v>36</v>
      </c>
      <c r="U7" s="171"/>
      <c r="V7" s="26"/>
      <c r="W7" s="22">
        <f>(((D8*0.6)/11.664)*Prices!A4)+E8*38000+F8*51900+G8*60900+H8*140000+I8*1000+J8*3000+K8*300</f>
        <v>131610.679</v>
      </c>
    </row>
    <row r="8" ht="18.75" customHeight="1">
      <c r="A8" s="171">
        <v>40.0</v>
      </c>
      <c r="B8" s="26">
        <f>VLOOKUP($A$8,'Gents Ring'!A2:S999, 2, 0)</f>
        <v>3.98</v>
      </c>
      <c r="C8" s="26">
        <f>VLOOKUP($A$8,'Gents Ring'!A2:S999, 3, 0)</f>
        <v>0.995</v>
      </c>
      <c r="D8" s="26">
        <f>VLOOKUP($A$8,'Gents Ring'!A2:S999, 4, 0)</f>
        <v>4.975</v>
      </c>
      <c r="E8" s="26" t="str">
        <f>VLOOKUP($A$8,'Gents Ring'!A2:S999, 5, 0)</f>
        <v/>
      </c>
      <c r="F8" s="26" t="str">
        <f>VLOOKUP($A$8,'Gents Ring'!A2:S999, 6, 0)</f>
        <v/>
      </c>
      <c r="G8" s="26">
        <f>VLOOKUP($A$8,'Gents Ring'!A2:S999, 7, 0)</f>
        <v>0.85</v>
      </c>
      <c r="H8" s="26" t="str">
        <f>VLOOKUP($A$8,'Gents Ring'!A2:S999, 8, 0)</f>
        <v/>
      </c>
      <c r="I8" s="26" t="str">
        <f>VLOOKUP($A$8,'Gents Ring'!A2:S999, 9, 0)</f>
        <v/>
      </c>
      <c r="J8" s="26" t="str">
        <f>VLOOKUP($A$8,'Gents Ring'!A2:S999, 10, 0)</f>
        <v/>
      </c>
      <c r="K8" s="26" t="str">
        <f>VLOOKUP($A$8,'Gents Ring'!A2:S999, 11, 0)</f>
        <v/>
      </c>
      <c r="L8" s="174">
        <f>VLOOKUP($A$8,'Gents Ring'!A2:S999, 12, 0)</f>
        <v>0</v>
      </c>
      <c r="M8" s="174">
        <f>VLOOKUP($A$8,'Gents Ring'!A2:S999, 13, 0)</f>
        <v>0</v>
      </c>
      <c r="N8" s="174">
        <f>VLOOKUP($A$8,'Gents Ring'!A2:S999, 14, 0)</f>
        <v>165750</v>
      </c>
      <c r="O8" s="174">
        <f>VLOOKUP($A$8,'Gents Ring'!A2:S999, 15, 0)</f>
        <v>0</v>
      </c>
      <c r="P8" s="174">
        <f>VLOOKUP($A$8,'Gents Ring'!A2:S999, 16, 0)</f>
        <v>0</v>
      </c>
      <c r="Q8" s="175">
        <f>VLOOKUP($A$8,'Gents Ring'!A2:S999, 17, 0)</f>
        <v>88803.75</v>
      </c>
      <c r="R8" s="174">
        <f>VLOOKUP($A$8,'Gents Ring'!A2:S999, 18, 0)</f>
        <v>165750</v>
      </c>
      <c r="S8" s="176">
        <f>VLOOKUP($A$8,'Gents Ring'!A2:S999, 19, 0)</f>
        <v>254553.75</v>
      </c>
      <c r="T8" s="177">
        <f>Q8*0.02</f>
        <v>1776.075</v>
      </c>
      <c r="U8" s="26"/>
      <c r="W8" s="22">
        <f>((S9-W7)/S9)*100</f>
        <v>30.74209324</v>
      </c>
    </row>
    <row r="9" ht="21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178">
        <f t="shared" ref="L9:O9" si="2">IFERROR(L8/E8,0)</f>
        <v>0</v>
      </c>
      <c r="M9" s="178">
        <f t="shared" si="2"/>
        <v>0</v>
      </c>
      <c r="N9" s="178">
        <f t="shared" si="2"/>
        <v>195000</v>
      </c>
      <c r="O9" s="178">
        <f t="shared" si="2"/>
        <v>0</v>
      </c>
      <c r="P9" s="178">
        <f>IFERROR(P8/(K8+J8+I8),0)</f>
        <v>0</v>
      </c>
      <c r="Q9" s="178">
        <f>IFERROR(Q8/D8,0)</f>
        <v>17850</v>
      </c>
      <c r="R9" s="179">
        <f>R8-(R8*(R1/100))</f>
        <v>99450</v>
      </c>
      <c r="S9" s="180">
        <f>R9+Q8+P8+T8</f>
        <v>190029.825</v>
      </c>
      <c r="T9" s="26" t="str">
        <f>IF(W8&gt;30,"G",IF(AND(W8&gt;25,W8&lt;30),"A",IF(AND(W8&gt;20,W8&lt;25),"B","C")))</f>
        <v>G</v>
      </c>
      <c r="V9" s="26"/>
      <c r="W9" s="22"/>
    </row>
    <row r="10">
      <c r="E10" s="26"/>
      <c r="F10" s="26"/>
      <c r="G10" s="26"/>
      <c r="H10" s="26"/>
      <c r="I10" s="26"/>
      <c r="J10" s="26"/>
      <c r="K10" s="26"/>
      <c r="R10" s="174">
        <f>R8-R9</f>
        <v>66300</v>
      </c>
      <c r="V10" s="26"/>
      <c r="W10" s="22"/>
    </row>
    <row r="11" ht="36.75" customHeight="1">
      <c r="A11" s="167" t="s">
        <v>73</v>
      </c>
      <c r="B11" s="167"/>
      <c r="C11" s="167"/>
    </row>
    <row r="12">
      <c r="A12" s="171" t="s">
        <v>2</v>
      </c>
      <c r="B12" s="183" t="s">
        <v>4</v>
      </c>
      <c r="C12" s="183" t="s">
        <v>63</v>
      </c>
      <c r="D12" s="183" t="s">
        <v>74</v>
      </c>
      <c r="E12" s="183" t="s">
        <v>65</v>
      </c>
      <c r="F12" s="183" t="s">
        <v>6</v>
      </c>
      <c r="G12" s="183" t="s">
        <v>66</v>
      </c>
      <c r="H12" s="183" t="s">
        <v>8</v>
      </c>
      <c r="I12" s="171" t="s">
        <v>9</v>
      </c>
      <c r="J12" s="171" t="s">
        <v>10</v>
      </c>
      <c r="K12" s="171" t="s">
        <v>11</v>
      </c>
      <c r="L12" s="171" t="s">
        <v>67</v>
      </c>
      <c r="M12" s="171" t="s">
        <v>67</v>
      </c>
      <c r="N12" s="171" t="s">
        <v>67</v>
      </c>
      <c r="O12" s="171" t="s">
        <v>67</v>
      </c>
      <c r="P12" s="183" t="s">
        <v>68</v>
      </c>
      <c r="Q12" s="184" t="s">
        <v>69</v>
      </c>
      <c r="R12" s="183" t="s">
        <v>70</v>
      </c>
      <c r="S12" s="185" t="s">
        <v>55</v>
      </c>
      <c r="T12" s="173" t="s">
        <v>36</v>
      </c>
      <c r="U12" s="171"/>
      <c r="V12" s="26"/>
      <c r="W12" s="22">
        <f>(((D13*0.6)/11.664)*Prices!A4)+E13*38000+F13*55000+G13*60900+H13*140000+I13*1000+J13*3000+K13*300</f>
        <v>200806.7901</v>
      </c>
    </row>
    <row r="13" ht="21.75" customHeight="1">
      <c r="A13" s="171">
        <v>93.0</v>
      </c>
      <c r="B13" s="26">
        <f>VLOOKUP($A$13,Top!A2:S1000, 2, 0)</f>
        <v>8.21</v>
      </c>
      <c r="C13" s="26">
        <f>VLOOKUP($A$13,Top!A2:S1000, 3, 0)</f>
        <v>2.0525</v>
      </c>
      <c r="D13" s="26">
        <f>VLOOKUP($A$13,Top!A2:S1000, 4, 0)</f>
        <v>10.2625</v>
      </c>
      <c r="E13" s="26">
        <f>VLOOKUP($A$13,Top!A2:S1000, 5, 0)</f>
        <v>0.95</v>
      </c>
      <c r="F13" s="26" t="str">
        <f>VLOOKUP($A$13,Top!A2:S1000, 6, 0)</f>
        <v/>
      </c>
      <c r="G13" s="26" t="str">
        <f>VLOOKUP($A$13,Top!A2:S1000, 7, 0)</f>
        <v/>
      </c>
      <c r="H13" s="26" t="str">
        <f>VLOOKUP($A$13,Top!A2:S1000, 8, 0)</f>
        <v/>
      </c>
      <c r="I13" s="26" t="str">
        <f>VLOOKUP($A$13,Top!A2:S1000, 9, 0)</f>
        <v/>
      </c>
      <c r="J13" s="26" t="str">
        <f>VLOOKUP($A$13,Top!A2:S1000, 10, 0)</f>
        <v/>
      </c>
      <c r="K13" s="26" t="str">
        <f>VLOOKUP($A$13,Top!A2:S1000, 11, 0)</f>
        <v/>
      </c>
      <c r="L13" s="174">
        <f>VLOOKUP($A$13,Top!A2:S1000, 12, 0)</f>
        <v>104500</v>
      </c>
      <c r="M13" s="174">
        <f>VLOOKUP($A$13,Top!A2:S1000, 13, 0)</f>
        <v>0</v>
      </c>
      <c r="N13" s="174">
        <f>VLOOKUP($A$13,Top!A2:S1000, 14, 0)</f>
        <v>0</v>
      </c>
      <c r="O13" s="174">
        <f>VLOOKUP($A$13,Top!A2:S1000, 15, 0)</f>
        <v>0</v>
      </c>
      <c r="P13" s="174">
        <f>VLOOKUP($A$13,Top!A2:S1000, 16, 0)</f>
        <v>0</v>
      </c>
      <c r="Q13" s="175">
        <f>VLOOKUP($A$13,Top!A2:S1000, 17, 0)</f>
        <v>183185.625</v>
      </c>
      <c r="R13" s="174">
        <f>VLOOKUP($A$13,Top!A2:S1000, 18, 0)</f>
        <v>104500</v>
      </c>
      <c r="S13" s="176">
        <f>VLOOKUP($A$13,Top!A2:S1000, 19, 0)</f>
        <v>287685.625</v>
      </c>
      <c r="T13" s="177">
        <f>Q13*0.02</f>
        <v>3663.7125</v>
      </c>
      <c r="U13" s="26"/>
      <c r="V13" s="26"/>
      <c r="W13" s="22">
        <f>((S14-W12)/S14)*100</f>
        <v>19.53222872</v>
      </c>
    </row>
    <row r="14" ht="23.25" customHeight="1">
      <c r="A14" s="30"/>
      <c r="L14" s="178">
        <f t="shared" ref="L14:O14" si="3">IFERROR(L13/E13,0)</f>
        <v>110000</v>
      </c>
      <c r="M14" s="178">
        <f t="shared" si="3"/>
        <v>0</v>
      </c>
      <c r="N14" s="178">
        <f t="shared" si="3"/>
        <v>0</v>
      </c>
      <c r="O14" s="178">
        <f t="shared" si="3"/>
        <v>0</v>
      </c>
      <c r="P14" s="178">
        <f>IFERROR(P13/(K13+J13+I13),0)</f>
        <v>0</v>
      </c>
      <c r="Q14" s="178">
        <f>IFERROR(Q13/D13,0)</f>
        <v>17850</v>
      </c>
      <c r="R14" s="179">
        <f>R13-(R13*(R1/100))</f>
        <v>62700</v>
      </c>
      <c r="S14" s="180">
        <f>R14+Q13+P13+T13</f>
        <v>249549.3375</v>
      </c>
      <c r="T14" s="26" t="str">
        <f>IF(W13&gt;30,"G",IF(AND(W13&gt;25,W13&lt;30),"A",IF(AND(W13&gt;20,W13&lt;25),"B","C")))</f>
        <v>C</v>
      </c>
    </row>
    <row r="15" ht="18.0" customHeight="1">
      <c r="R15" s="174">
        <f>R13-R14</f>
        <v>41800</v>
      </c>
    </row>
    <row r="16" ht="18.75" customHeight="1">
      <c r="A16" s="182" t="s">
        <v>75</v>
      </c>
      <c r="F16" s="26"/>
      <c r="G16" s="26"/>
      <c r="H16" s="26"/>
      <c r="I16" s="26"/>
      <c r="J16" s="26"/>
      <c r="K16" s="26"/>
      <c r="V16" s="26"/>
      <c r="W16" s="22"/>
    </row>
    <row r="17" ht="15.0" customHeight="1"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S17" s="181"/>
      <c r="T17" s="181"/>
      <c r="U17" s="26"/>
      <c r="V17" s="26"/>
      <c r="W17" s="22"/>
    </row>
    <row r="18">
      <c r="A18" s="171" t="s">
        <v>2</v>
      </c>
      <c r="B18" s="171" t="s">
        <v>4</v>
      </c>
      <c r="C18" s="171" t="s">
        <v>63</v>
      </c>
      <c r="D18" s="171" t="s">
        <v>74</v>
      </c>
      <c r="E18" s="171" t="s">
        <v>65</v>
      </c>
      <c r="F18" s="171" t="s">
        <v>6</v>
      </c>
      <c r="G18" s="171" t="s">
        <v>66</v>
      </c>
      <c r="H18" s="171" t="s">
        <v>8</v>
      </c>
      <c r="I18" s="171" t="s">
        <v>9</v>
      </c>
      <c r="J18" s="171" t="s">
        <v>10</v>
      </c>
      <c r="K18" s="171" t="s">
        <v>11</v>
      </c>
      <c r="L18" s="171" t="s">
        <v>67</v>
      </c>
      <c r="M18" s="171" t="s">
        <v>67</v>
      </c>
      <c r="N18" s="171" t="s">
        <v>67</v>
      </c>
      <c r="O18" s="171" t="s">
        <v>67</v>
      </c>
      <c r="P18" s="171" t="s">
        <v>68</v>
      </c>
      <c r="Q18" s="172" t="s">
        <v>69</v>
      </c>
      <c r="R18" s="171" t="s">
        <v>70</v>
      </c>
      <c r="S18" s="173" t="s">
        <v>55</v>
      </c>
      <c r="T18" s="173" t="s">
        <v>36</v>
      </c>
      <c r="U18" s="171"/>
      <c r="V18" s="169"/>
      <c r="W18" s="22" t="str">
        <f>(((D19*0.6)/11.664)*Prices!A4)+E19*38000+F19*51900+G19*60900+H19*140000+I19*1000+J19*3000+K19*300</f>
        <v>#REF!</v>
      </c>
    </row>
    <row r="19" ht="18.75" customHeight="1">
      <c r="A19" s="171">
        <v>1.0</v>
      </c>
      <c r="B19" s="26" t="str">
        <f>VLOOKUP($A$19,#REF!, 2, 0)</f>
        <v>#REF!</v>
      </c>
      <c r="C19" s="26" t="str">
        <f>VLOOKUP($A$19,#REF!, 3, 0)</f>
        <v>#REF!</v>
      </c>
      <c r="D19" s="26" t="str">
        <f>VLOOKUP($A$19,#REF!, 4, 0)</f>
        <v>#REF!</v>
      </c>
      <c r="E19" s="26" t="str">
        <f>VLOOKUP($A$19,#REF!, 5, 0)</f>
        <v>#REF!</v>
      </c>
      <c r="F19" s="26" t="str">
        <f>VLOOKUP($A$19,#REF!, 6, 0)</f>
        <v>#REF!</v>
      </c>
      <c r="G19" s="26" t="str">
        <f>VLOOKUP($A$19,#REF!, 7, 0)</f>
        <v>#REF!</v>
      </c>
      <c r="H19" s="26" t="str">
        <f>VLOOKUP($A$19,#REF!, 8, 0)</f>
        <v>#REF!</v>
      </c>
      <c r="I19" s="26" t="str">
        <f>VLOOKUP($A$19,#REF!, 9, 0)</f>
        <v>#REF!</v>
      </c>
      <c r="J19" s="26" t="str">
        <f>VLOOKUP($A$19,#REF!, 10, 0)</f>
        <v>#REF!</v>
      </c>
      <c r="K19" s="26" t="str">
        <f>VLOOKUP($A$19,#REF!, 11, 0)</f>
        <v>#REF!</v>
      </c>
      <c r="L19" s="174" t="str">
        <f>VLOOKUP($A$19,#REF!, 12, 0)</f>
        <v>#REF!</v>
      </c>
      <c r="M19" s="174" t="str">
        <f>VLOOKUP($A$19,#REF!, 13, 0)</f>
        <v>#REF!</v>
      </c>
      <c r="N19" s="174" t="str">
        <f>VLOOKUP($A$19,#REF!, 14, 0)</f>
        <v>#REF!</v>
      </c>
      <c r="O19" s="174" t="str">
        <f>VLOOKUP($A$19,#REF!, 15, 0)</f>
        <v>#REF!</v>
      </c>
      <c r="P19" s="174" t="str">
        <f>VLOOKUP($A$19,#REF!, 16, 0)</f>
        <v>#REF!</v>
      </c>
      <c r="Q19" s="175" t="str">
        <f>VLOOKUP($A$19,#REF!, 17, 0)</f>
        <v>#REF!</v>
      </c>
      <c r="R19" s="174" t="str">
        <f>VLOOKUP($A$19,#REF!, 18, 0)</f>
        <v>#REF!</v>
      </c>
      <c r="S19" s="176" t="str">
        <f>VLOOKUP($A$19,#REF!, 19, 0)</f>
        <v>#REF!</v>
      </c>
      <c r="T19" s="177" t="str">
        <f>Q19*0.02</f>
        <v>#REF!</v>
      </c>
      <c r="U19" s="26"/>
      <c r="W19" s="22" t="str">
        <f>((S20-W18)/S20)*100</f>
        <v>#REF!</v>
      </c>
    </row>
    <row r="20" ht="22.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178">
        <f t="shared" ref="L20:O20" si="4">IFERROR(L19/E19,0)</f>
        <v>0</v>
      </c>
      <c r="M20" s="178">
        <f t="shared" si="4"/>
        <v>0</v>
      </c>
      <c r="N20" s="178">
        <f t="shared" si="4"/>
        <v>0</v>
      </c>
      <c r="O20" s="178">
        <f t="shared" si="4"/>
        <v>0</v>
      </c>
      <c r="P20" s="178">
        <f>IFERROR(P19/(K19+J19+I19),0)</f>
        <v>0</v>
      </c>
      <c r="Q20" s="178">
        <f>IFERROR(Q19/D19,0)</f>
        <v>0</v>
      </c>
      <c r="R20" s="179" t="str">
        <f>R19-(R19*(R1/100))</f>
        <v>#REF!</v>
      </c>
      <c r="S20" s="180" t="str">
        <f>R20+Q19+P19+T19</f>
        <v>#REF!</v>
      </c>
      <c r="T20" s="26" t="str">
        <f>IF(W19&gt;30,"G",IF(AND(W19&gt;25,W19&lt;30),"A",IF(AND(W19&gt;20,W19&lt;25),"B","C")))</f>
        <v>#REF!</v>
      </c>
      <c r="V20" s="26"/>
      <c r="W20" s="22"/>
    </row>
    <row r="21" ht="15.0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174" t="str">
        <f>R19-R20</f>
        <v>#REF!</v>
      </c>
      <c r="S21" s="181"/>
      <c r="T21" s="181"/>
      <c r="U21" s="26"/>
      <c r="V21" s="26"/>
      <c r="W21" s="22"/>
    </row>
    <row r="22" ht="36.0" customHeight="1">
      <c r="A22" s="182" t="s">
        <v>76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181"/>
      <c r="T22" s="181"/>
      <c r="U22" s="26"/>
      <c r="V22" s="26"/>
      <c r="W22" s="22"/>
    </row>
    <row r="23">
      <c r="A23" s="171" t="s">
        <v>2</v>
      </c>
      <c r="B23" s="183" t="s">
        <v>4</v>
      </c>
      <c r="C23" s="183" t="s">
        <v>63</v>
      </c>
      <c r="D23" s="183" t="s">
        <v>64</v>
      </c>
      <c r="E23" s="183" t="s">
        <v>65</v>
      </c>
      <c r="F23" s="183" t="s">
        <v>6</v>
      </c>
      <c r="G23" s="183" t="s">
        <v>66</v>
      </c>
      <c r="H23" s="183" t="s">
        <v>8</v>
      </c>
      <c r="I23" s="171" t="s">
        <v>9</v>
      </c>
      <c r="J23" s="171" t="s">
        <v>10</v>
      </c>
      <c r="K23" s="171" t="s">
        <v>11</v>
      </c>
      <c r="L23" s="183" t="s">
        <v>67</v>
      </c>
      <c r="M23" s="183" t="s">
        <v>67</v>
      </c>
      <c r="N23" s="183" t="s">
        <v>67</v>
      </c>
      <c r="O23" s="183" t="s">
        <v>67</v>
      </c>
      <c r="P23" s="183" t="s">
        <v>68</v>
      </c>
      <c r="Q23" s="184" t="s">
        <v>69</v>
      </c>
      <c r="R23" s="183" t="s">
        <v>70</v>
      </c>
      <c r="S23" s="185" t="s">
        <v>55</v>
      </c>
      <c r="T23" s="173" t="s">
        <v>36</v>
      </c>
      <c r="U23" s="171"/>
      <c r="V23" s="26"/>
      <c r="W23" s="22">
        <f>(((D24*0.6)/11.664)*Prices!A4)+E24*38000+F24*51900+G24*60900+H24*140000+I24*1000+J24*3000+K24*300</f>
        <v>293844.0741</v>
      </c>
    </row>
    <row r="24">
      <c r="A24" s="171">
        <v>33.0</v>
      </c>
      <c r="B24" s="26">
        <f>VLOOKUP($A$24,Locket!A2:S999, 2, 0)</f>
        <v>11.73</v>
      </c>
      <c r="C24" s="26">
        <f>VLOOKUP($A$24,Locket!A2:S999, 3, 0)</f>
        <v>2.9325</v>
      </c>
      <c r="D24" s="26">
        <f>VLOOKUP($A$24,Locket!A2:S999, 4, 0)</f>
        <v>14.6625</v>
      </c>
      <c r="E24" s="26">
        <f>VLOOKUP($A$24,Locket!A2:S999, 5, 0)</f>
        <v>1.54</v>
      </c>
      <c r="F24" s="26" t="str">
        <f>VLOOKUP($A$24,Locket!A2:S999, 6, 0)</f>
        <v/>
      </c>
      <c r="G24" s="26" t="str">
        <f>VLOOKUP($A$24,Locket!A2:S999, 7, 0)</f>
        <v/>
      </c>
      <c r="H24" s="26" t="str">
        <f>VLOOKUP($A$24,Locket!A2:S999, 8, 0)</f>
        <v/>
      </c>
      <c r="I24" s="26" t="str">
        <f>VLOOKUP($A$24,Locket!A2:S999, 9, 0)</f>
        <v/>
      </c>
      <c r="J24" s="26" t="str">
        <f>VLOOKUP($A$24,Locket!A2:S999, 10, 0)</f>
        <v/>
      </c>
      <c r="K24" s="26" t="str">
        <f>VLOOKUP($A$24,Locket!A2:S999, 11, 0)</f>
        <v/>
      </c>
      <c r="L24" s="174">
        <f>VLOOKUP($A$24,Locket!A2:S999, 12, 0)</f>
        <v>169400</v>
      </c>
      <c r="M24" s="174">
        <f>VLOOKUP($A$24,Locket!A2:S999, 13, 0)</f>
        <v>0</v>
      </c>
      <c r="N24" s="174">
        <f>VLOOKUP($A$24,Locket!A2:S999, 14, 0)</f>
        <v>0</v>
      </c>
      <c r="O24" s="174">
        <f>VLOOKUP($A$24,Locket!A2:S999, 15, 0)</f>
        <v>0</v>
      </c>
      <c r="P24" s="174">
        <f>VLOOKUP($A$24,Locket!A2:S999, 16, 0)</f>
        <v>0</v>
      </c>
      <c r="Q24" s="175">
        <f>VLOOKUP($A$24,Locket!A2:S999, 17, 0)</f>
        <v>261725.625</v>
      </c>
      <c r="R24" s="174">
        <f>VLOOKUP($A$24,Locket!A2:S999, 18, 0)</f>
        <v>169400</v>
      </c>
      <c r="S24" s="186">
        <f>VLOOKUP($A$24,Locket!A2:S999, 19, 0)</f>
        <v>431125.625</v>
      </c>
      <c r="T24" s="177">
        <f>Q24*0.02</f>
        <v>5234.5125</v>
      </c>
      <c r="U24" s="26"/>
      <c r="W24" s="22">
        <f>((S25-W23)/S25)*100</f>
        <v>20.28107313</v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178">
        <f t="shared" ref="L25:O25" si="5">IFERROR(L24/E24,0)</f>
        <v>110000</v>
      </c>
      <c r="M25" s="178">
        <f t="shared" si="5"/>
        <v>0</v>
      </c>
      <c r="N25" s="178">
        <f t="shared" si="5"/>
        <v>0</v>
      </c>
      <c r="O25" s="178">
        <f t="shared" si="5"/>
        <v>0</v>
      </c>
      <c r="P25" s="178">
        <f>IFERROR(P24/(K24+J24+I24),0)</f>
        <v>0</v>
      </c>
      <c r="Q25" s="178">
        <f>IFERROR(Q24/D24,0)</f>
        <v>17850</v>
      </c>
      <c r="R25" s="179">
        <f>R24-(R24*(R1/100))</f>
        <v>101640</v>
      </c>
      <c r="S25" s="180">
        <f>R25+Q24+P24+T24</f>
        <v>368600.1375</v>
      </c>
      <c r="T25" s="26" t="str">
        <f>IF(W24&gt;30,"G",IF(AND(W24&gt;25,W24&lt;30),"A",IF(AND(W24&gt;20,W24&lt;25),"B","C")))</f>
        <v>B</v>
      </c>
      <c r="V25" s="26"/>
      <c r="W25" s="22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174">
        <f>R24-R25</f>
        <v>67760</v>
      </c>
      <c r="S26" s="181"/>
      <c r="T26" s="181"/>
      <c r="U26" s="26"/>
      <c r="V26" s="26"/>
      <c r="W26" s="22"/>
    </row>
    <row r="27">
      <c r="A27" s="182" t="s">
        <v>77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181"/>
      <c r="T27" s="181"/>
      <c r="U27" s="26"/>
      <c r="V27" s="26"/>
      <c r="W27" s="22"/>
    </row>
    <row r="28">
      <c r="A28" s="171" t="s">
        <v>2</v>
      </c>
      <c r="B28" s="171" t="s">
        <v>4</v>
      </c>
      <c r="C28" s="171" t="s">
        <v>63</v>
      </c>
      <c r="D28" s="171" t="s">
        <v>74</v>
      </c>
      <c r="E28" s="171" t="s">
        <v>65</v>
      </c>
      <c r="F28" s="171" t="s">
        <v>6</v>
      </c>
      <c r="G28" s="171" t="s">
        <v>66</v>
      </c>
      <c r="H28" s="171" t="s">
        <v>8</v>
      </c>
      <c r="I28" s="171" t="s">
        <v>9</v>
      </c>
      <c r="J28" s="171" t="s">
        <v>10</v>
      </c>
      <c r="K28" s="171" t="s">
        <v>11</v>
      </c>
      <c r="L28" s="172" t="s">
        <v>67</v>
      </c>
      <c r="M28" s="171" t="s">
        <v>67</v>
      </c>
      <c r="N28" s="171" t="s">
        <v>67</v>
      </c>
      <c r="O28" s="171" t="s">
        <v>67</v>
      </c>
      <c r="P28" s="171" t="s">
        <v>68</v>
      </c>
      <c r="Q28" s="171" t="s">
        <v>69</v>
      </c>
      <c r="R28" s="171" t="s">
        <v>70</v>
      </c>
      <c r="S28" s="173" t="s">
        <v>55</v>
      </c>
      <c r="T28" s="173" t="s">
        <v>36</v>
      </c>
      <c r="U28" s="171"/>
      <c r="V28" s="170"/>
      <c r="W28" s="22">
        <f>(((D29*0.6)/11.664)*Prices!A4)+E29*38000+F29*51900+G29*60900+H29*140000+I29*1000+J29*3000+K29*300</f>
        <v>45155.67901</v>
      </c>
    </row>
    <row r="29">
      <c r="A29" s="171">
        <v>21.0</v>
      </c>
      <c r="B29" s="26">
        <f>VLOOKUP($A$29,Jagganath!A2:S996, 2, 0)</f>
        <v>1.55</v>
      </c>
      <c r="C29" s="26">
        <f>VLOOKUP($A$29,Jagganath!A2:S996, 3, 0)</f>
        <v>0.3875</v>
      </c>
      <c r="D29" s="26">
        <f>VLOOKUP($A$29,Jagganath!A2:S996, 4, 0)</f>
        <v>1.9375</v>
      </c>
      <c r="E29" s="26">
        <f>VLOOKUP($A$29,Jagganath!A2:S996, 5, 0)</f>
        <v>0.37</v>
      </c>
      <c r="F29" s="26" t="str">
        <f>VLOOKUP($A$29,Jagganath!A2:S996, 6, 0)</f>
        <v/>
      </c>
      <c r="G29" s="26" t="str">
        <f>VLOOKUP($A$29,Jagganath!A2:S996, 7, 0)</f>
        <v/>
      </c>
      <c r="H29" s="26" t="str">
        <f>VLOOKUP($A$29,Jagganath!A2:S996, 8, 0)</f>
        <v/>
      </c>
      <c r="I29" s="26" t="str">
        <f>VLOOKUP($A$29,Jagganath!A2:S996, 9, 0)</f>
        <v/>
      </c>
      <c r="J29" s="26" t="str">
        <f>VLOOKUP($A$29,Jagganath!A2:S996, 10, 0)</f>
        <v/>
      </c>
      <c r="K29" s="26" t="str">
        <f>VLOOKUP($A$29,Jagganath!A2:S996, 11, 0)</f>
        <v/>
      </c>
      <c r="L29" s="174">
        <f>VLOOKUP($A$29,Jagganath!A2:S996, 12, 0)</f>
        <v>40700</v>
      </c>
      <c r="M29" s="187">
        <f>VLOOKUP($A$29,Jagganath!A2:S996, 13, 0)</f>
        <v>0</v>
      </c>
      <c r="N29" s="187">
        <f>VLOOKUP($A$29,Jagganath!A2:S996, 14, 0)</f>
        <v>0</v>
      </c>
      <c r="O29" s="187">
        <f>VLOOKUP($A$29,Jagganath!A2:S996, 15, 0)</f>
        <v>0</v>
      </c>
      <c r="P29" s="187">
        <f>VLOOKUP($A$29,Jagganath!A2:S996, 16, 0)</f>
        <v>0</v>
      </c>
      <c r="Q29" s="175">
        <f>VLOOKUP($A$29,Jagganath!A2:S996, 17, 0)</f>
        <v>34584.375</v>
      </c>
      <c r="R29" s="174">
        <f>VLOOKUP($A$29,Jagganath!A2:S996, 18, 0)</f>
        <v>40700</v>
      </c>
      <c r="S29" s="176">
        <f>VLOOKUP($A$29,Jagganath!A2:S996, 19, 0)</f>
        <v>75284.375</v>
      </c>
      <c r="T29" s="177">
        <f>Q29*0.02</f>
        <v>691.6875</v>
      </c>
      <c r="U29" s="26"/>
      <c r="W29" s="22">
        <f>((S30-W28)/S30)*100</f>
        <v>24.35735772</v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178">
        <f t="shared" ref="L30:O30" si="6">IFERROR(L29/E29,0)</f>
        <v>110000</v>
      </c>
      <c r="M30" s="178">
        <f t="shared" si="6"/>
        <v>0</v>
      </c>
      <c r="N30" s="178">
        <f t="shared" si="6"/>
        <v>0</v>
      </c>
      <c r="O30" s="178">
        <f t="shared" si="6"/>
        <v>0</v>
      </c>
      <c r="P30" s="178">
        <f>IFERROR(P29/(K29+J29+I29),0)</f>
        <v>0</v>
      </c>
      <c r="Q30" s="178">
        <f>IFERROR(Q29/D29,0)</f>
        <v>17850</v>
      </c>
      <c r="R30" s="179">
        <f>R29-(R29*(R1/100))</f>
        <v>24420</v>
      </c>
      <c r="S30" s="180">
        <f>R30+Q29+P29+T29</f>
        <v>59696.0625</v>
      </c>
      <c r="T30" s="26" t="str">
        <f>IF(W29&gt;30,"G",IF(AND(W29&gt;25,W29&lt;30),"A",IF(AND(W29&gt;20,W29&lt;25),"B","C")))</f>
        <v>B</v>
      </c>
      <c r="V30" s="26"/>
      <c r="W30" s="22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174">
        <f>R29-R30</f>
        <v>16280</v>
      </c>
      <c r="S31" s="181"/>
      <c r="T31" s="181"/>
      <c r="U31" s="26"/>
      <c r="V31" s="26"/>
      <c r="W31" s="22"/>
    </row>
    <row r="32">
      <c r="A32" s="182" t="s">
        <v>77</v>
      </c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181"/>
      <c r="T32" s="181"/>
      <c r="U32" s="26"/>
      <c r="V32" s="26"/>
      <c r="W32" s="22"/>
    </row>
    <row r="33">
      <c r="A33" s="171" t="s">
        <v>2</v>
      </c>
      <c r="B33" s="171" t="s">
        <v>4</v>
      </c>
      <c r="C33" s="171" t="s">
        <v>63</v>
      </c>
      <c r="D33" s="171" t="s">
        <v>74</v>
      </c>
      <c r="E33" s="171" t="s">
        <v>65</v>
      </c>
      <c r="F33" s="171" t="s">
        <v>6</v>
      </c>
      <c r="G33" s="171" t="s">
        <v>66</v>
      </c>
      <c r="H33" s="171" t="s">
        <v>8</v>
      </c>
      <c r="I33" s="171" t="s">
        <v>9</v>
      </c>
      <c r="J33" s="171" t="s">
        <v>10</v>
      </c>
      <c r="K33" s="171" t="s">
        <v>11</v>
      </c>
      <c r="L33" s="172" t="s">
        <v>67</v>
      </c>
      <c r="M33" s="171" t="s">
        <v>67</v>
      </c>
      <c r="N33" s="171" t="s">
        <v>67</v>
      </c>
      <c r="O33" s="171" t="s">
        <v>67</v>
      </c>
      <c r="P33" s="171" t="s">
        <v>68</v>
      </c>
      <c r="Q33" s="171" t="s">
        <v>69</v>
      </c>
      <c r="R33" s="171" t="s">
        <v>70</v>
      </c>
      <c r="S33" s="173" t="s">
        <v>55</v>
      </c>
      <c r="T33" s="173" t="s">
        <v>36</v>
      </c>
      <c r="U33" s="171"/>
      <c r="V33" s="26"/>
      <c r="W33" s="22">
        <f>(((D34*0.6)/11.664)*Prices!A4)+E34*38000+F34*51900+G34*60900+H34*140000+I34*1000+J34*3000+K34*300</f>
        <v>51735.92593</v>
      </c>
    </row>
    <row r="34">
      <c r="A34" s="171">
        <v>85720.0</v>
      </c>
      <c r="B34" s="26">
        <f>VLOOKUP($A$34,Prithivi!A2:S995, 2, 0)</f>
        <v>1.878</v>
      </c>
      <c r="C34" s="26">
        <f>VLOOKUP($A$34,Prithivi!A2:S995, 3, 0)</f>
        <v>0.4695</v>
      </c>
      <c r="D34" s="26">
        <f>VLOOKUP($A$34,Prithivi!A2:S995, 4, 0)</f>
        <v>2.3475</v>
      </c>
      <c r="E34" s="26">
        <f>VLOOKUP($A$34,Prithivi!A2:S995, 5, 0)</f>
        <v>0.37</v>
      </c>
      <c r="F34" s="26" t="str">
        <f>VLOOKUP($A$34,Prithivi!A2:S995, 6, 0)</f>
        <v/>
      </c>
      <c r="G34" s="26" t="str">
        <f>VLOOKUP($A$34,Prithivi!A2:S995, 7, 0)</f>
        <v/>
      </c>
      <c r="H34" s="26" t="str">
        <f>VLOOKUP($A$34,Prithivi!A2:S995, 8, 0)</f>
        <v/>
      </c>
      <c r="I34" s="26" t="str">
        <f>VLOOKUP($A$34,Prithivi!A2:S995, 9, 0)</f>
        <v/>
      </c>
      <c r="J34" s="26" t="str">
        <f>VLOOKUP($A$34,Prithivi!A2:S995, 10, 0)</f>
        <v/>
      </c>
      <c r="K34" s="26" t="str">
        <f>VLOOKUP($A$34,Prithivi!A2:S995, 11, 0)</f>
        <v/>
      </c>
      <c r="L34" s="174">
        <f>VLOOKUP($A$34,Prithivi!A2:S995, 12, 0)</f>
        <v>40700</v>
      </c>
      <c r="M34" s="187">
        <f>VLOOKUP($A$34,Prithivi!A2:S995, 13, 0)</f>
        <v>0</v>
      </c>
      <c r="N34" s="187">
        <f>VLOOKUP($A$34,Prithivi!A2:S995, 14, 0)</f>
        <v>0</v>
      </c>
      <c r="O34" s="187">
        <f>VLOOKUP($A$34,Prithivi!A2:S995, 15, 0)</f>
        <v>0</v>
      </c>
      <c r="P34" s="187">
        <f>VLOOKUP($A$34,Prithivi!A2:S995, 16, 0)</f>
        <v>0</v>
      </c>
      <c r="Q34" s="175">
        <f>VLOOKUP($A$34,Prithivi!A2:S995, 17, 0)</f>
        <v>41902.875</v>
      </c>
      <c r="R34" s="174">
        <f>VLOOKUP($A$34,Prithivi!A2:S995, 18, 0)</f>
        <v>40700</v>
      </c>
      <c r="S34" s="176">
        <f>VLOOKUP($A$34,Prithivi!A2:S995, 19, 0)</f>
        <v>82602.875</v>
      </c>
      <c r="T34" s="177">
        <f>Q34*0.02</f>
        <v>838.0575</v>
      </c>
      <c r="U34" s="26"/>
      <c r="W34" s="22">
        <f>((S35-W33)/S35)*100</f>
        <v>22.9672311</v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78">
        <f t="shared" ref="L35:O35" si="7">IFERROR(L34/E34,0)</f>
        <v>110000</v>
      </c>
      <c r="M35" s="178">
        <f t="shared" si="7"/>
        <v>0</v>
      </c>
      <c r="N35" s="178">
        <f t="shared" si="7"/>
        <v>0</v>
      </c>
      <c r="O35" s="178">
        <f t="shared" si="7"/>
        <v>0</v>
      </c>
      <c r="P35" s="178">
        <f>IFERROR(P34/(K34+J34+I34),0)</f>
        <v>0</v>
      </c>
      <c r="Q35" s="178">
        <f>IFERROR(Q34/D34,0)</f>
        <v>17850</v>
      </c>
      <c r="R35" s="179">
        <f>R34-(R34*(R1/100))</f>
        <v>24420</v>
      </c>
      <c r="S35" s="180">
        <f>R35+Q34+P34+T34</f>
        <v>67160.9325</v>
      </c>
      <c r="T35" s="26" t="str">
        <f>IF(W34&gt;30,"G",IF(AND(W34&gt;25,W34&lt;30),"A",IF(AND(W34&gt;20,W34&lt;25),"B","C")))</f>
        <v>B</v>
      </c>
      <c r="V35" s="26"/>
      <c r="W35" s="22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174">
        <f>R34-R35</f>
        <v>16280</v>
      </c>
      <c r="S36" s="181"/>
      <c r="T36" s="181"/>
      <c r="U36" s="26"/>
      <c r="V36" s="26"/>
      <c r="W36" s="22"/>
    </row>
    <row r="37">
      <c r="A37" s="182" t="s">
        <v>78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181"/>
      <c r="T37" s="181"/>
      <c r="U37" s="26"/>
      <c r="V37" s="26"/>
      <c r="W37" s="22"/>
    </row>
    <row r="38">
      <c r="A38" s="171" t="s">
        <v>2</v>
      </c>
      <c r="B38" s="171" t="s">
        <v>4</v>
      </c>
      <c r="C38" s="171" t="s">
        <v>63</v>
      </c>
      <c r="D38" s="171" t="s">
        <v>74</v>
      </c>
      <c r="E38" s="171" t="s">
        <v>65</v>
      </c>
      <c r="F38" s="171" t="s">
        <v>6</v>
      </c>
      <c r="G38" s="171" t="s">
        <v>66</v>
      </c>
      <c r="H38" s="171" t="s">
        <v>8</v>
      </c>
      <c r="I38" s="171" t="s">
        <v>9</v>
      </c>
      <c r="J38" s="171" t="s">
        <v>10</v>
      </c>
      <c r="K38" s="171" t="s">
        <v>11</v>
      </c>
      <c r="L38" s="171" t="s">
        <v>67</v>
      </c>
      <c r="M38" s="171" t="s">
        <v>67</v>
      </c>
      <c r="N38" s="171" t="s">
        <v>67</v>
      </c>
      <c r="O38" s="171" t="s">
        <v>67</v>
      </c>
      <c r="P38" s="171" t="s">
        <v>68</v>
      </c>
      <c r="Q38" s="172" t="s">
        <v>69</v>
      </c>
      <c r="R38" s="171" t="s">
        <v>70</v>
      </c>
      <c r="S38" s="173" t="s">
        <v>55</v>
      </c>
      <c r="T38" s="173" t="s">
        <v>36</v>
      </c>
      <c r="U38" s="171"/>
      <c r="V38" s="26"/>
      <c r="W38" s="22">
        <f>(((D39*0.6)/11.664)*Prices!A4)+E39*38000+F39*51900+G39*60900+H39*140000+I39*1000+J39*3000+K39*300</f>
        <v>696704.9012</v>
      </c>
    </row>
    <row r="39">
      <c r="A39" s="171">
        <v>1.0</v>
      </c>
      <c r="B39" s="26">
        <f>VLOOKUP($A$39,Necklace!A1:T999, 2, 0)</f>
        <v>23.132</v>
      </c>
      <c r="C39" s="26">
        <f>VLOOKUP($A$39,Necklace!A1:T999, 3, 0)</f>
        <v>5.783</v>
      </c>
      <c r="D39" s="26">
        <f>VLOOKUP($A$39,Necklace!A1:T999, 4, 0)</f>
        <v>28.915</v>
      </c>
      <c r="E39" s="26">
        <f>VLOOKUP($A$39,Necklace!A1:T999, 5, 0)</f>
        <v>6.1</v>
      </c>
      <c r="F39" s="26" t="str">
        <f>VLOOKUP($A$39,Necklace!A1:T999, 6, 0)</f>
        <v/>
      </c>
      <c r="G39" s="26" t="str">
        <f>VLOOKUP($A$39,Necklace!A1:T999, 7, 0)</f>
        <v/>
      </c>
      <c r="H39" s="26" t="str">
        <f>VLOOKUP($A$39,Necklace!A1:T999, 8, 0)</f>
        <v/>
      </c>
      <c r="I39" s="26" t="str">
        <f>VLOOKUP($A$39,Necklace!A1:T999, 9, 0)</f>
        <v/>
      </c>
      <c r="J39" s="26" t="str">
        <f>VLOOKUP($A$39,Necklace!A1:T999, 10, 0)</f>
        <v/>
      </c>
      <c r="K39" s="26">
        <f>VLOOKUP($A$39,Necklace!A1:T999, 11, 0)</f>
        <v>2.79</v>
      </c>
      <c r="L39" s="174">
        <f>VLOOKUP($A$39,Necklace!A1:T999, 12, 0)</f>
        <v>671000</v>
      </c>
      <c r="M39" s="174">
        <f>VLOOKUP($A$39,Necklace!A1:T999, 13, 0)</f>
        <v>0</v>
      </c>
      <c r="N39" s="174">
        <f>VLOOKUP($A$39,Necklace!A1:T999, 14, 0)</f>
        <v>0</v>
      </c>
      <c r="O39" s="174">
        <f>VLOOKUP($A$39,Necklace!A1:T999, 15, 0)</f>
        <v>0</v>
      </c>
      <c r="P39" s="174">
        <f>VLOOKUP($A$39,Necklace!A1:T999, 16, 0)</f>
        <v>1813.5</v>
      </c>
      <c r="Q39" s="175">
        <f>VLOOKUP($A$39,Necklace!A1:T999, 17, 0)</f>
        <v>516132.75</v>
      </c>
      <c r="R39" s="174">
        <f>VLOOKUP($A$39,Necklace!A1:T999, 18, 0)</f>
        <v>671000</v>
      </c>
      <c r="S39" s="176">
        <f>VLOOKUP($A$39,Necklace!A1:T999, 19, 0)</f>
        <v>1188946.25</v>
      </c>
      <c r="T39" s="177">
        <f>Q39*0.02</f>
        <v>10322.655</v>
      </c>
      <c r="U39" s="26"/>
      <c r="W39" s="22">
        <f>((S40-W38)/S40)*100</f>
        <v>25.15542226</v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178">
        <f t="shared" ref="L40:O40" si="8">IFERROR(L39/E39,0)</f>
        <v>110000</v>
      </c>
      <c r="M40" s="178">
        <f t="shared" si="8"/>
        <v>0</v>
      </c>
      <c r="N40" s="178">
        <f t="shared" si="8"/>
        <v>0</v>
      </c>
      <c r="O40" s="178">
        <f t="shared" si="8"/>
        <v>0</v>
      </c>
      <c r="P40" s="178">
        <f>IFERROR(P39/(K39+J39+I39),0)</f>
        <v>650</v>
      </c>
      <c r="Q40" s="178">
        <f>IFERROR(Q39/D39,0)</f>
        <v>17850</v>
      </c>
      <c r="R40" s="179">
        <f>R39-(R39*(R1/100))</f>
        <v>402600</v>
      </c>
      <c r="S40" s="180">
        <f>R40+Q39+P39+T39</f>
        <v>930868.905</v>
      </c>
      <c r="T40" s="26" t="str">
        <f>IF(W34&gt;30,"G",IF(AND(W34&gt;25,W34&lt;30),"A",IF(AND(W34&gt;20,W34&lt;25),"B","C")))</f>
        <v>B</v>
      </c>
      <c r="V40" s="26"/>
      <c r="W40" s="22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174">
        <f>R39-R40</f>
        <v>268400</v>
      </c>
      <c r="S41" s="181"/>
      <c r="T41" s="181"/>
      <c r="U41" s="26"/>
      <c r="V41" s="26"/>
      <c r="W41" s="22"/>
    </row>
    <row r="42">
      <c r="A42" s="182" t="s">
        <v>79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81"/>
      <c r="T42" s="181"/>
      <c r="U42" s="26"/>
    </row>
    <row r="43">
      <c r="A43" s="169" t="s">
        <v>2</v>
      </c>
      <c r="B43" s="171" t="s">
        <v>4</v>
      </c>
      <c r="C43" s="171" t="s">
        <v>63</v>
      </c>
      <c r="D43" s="171" t="s">
        <v>74</v>
      </c>
      <c r="E43" s="171" t="s">
        <v>65</v>
      </c>
      <c r="F43" s="171" t="s">
        <v>6</v>
      </c>
      <c r="G43" s="171" t="s">
        <v>66</v>
      </c>
      <c r="H43" s="171" t="s">
        <v>8</v>
      </c>
      <c r="I43" s="171" t="s">
        <v>9</v>
      </c>
      <c r="J43" s="171" t="s">
        <v>10</v>
      </c>
      <c r="K43" s="171" t="s">
        <v>11</v>
      </c>
      <c r="L43" s="171" t="s">
        <v>67</v>
      </c>
      <c r="M43" s="171" t="s">
        <v>67</v>
      </c>
      <c r="N43" s="171" t="s">
        <v>67</v>
      </c>
      <c r="O43" s="171" t="s">
        <v>67</v>
      </c>
      <c r="P43" s="171" t="s">
        <v>68</v>
      </c>
      <c r="Q43" s="172" t="s">
        <v>69</v>
      </c>
      <c r="R43" s="171" t="s">
        <v>70</v>
      </c>
      <c r="S43" s="173" t="s">
        <v>55</v>
      </c>
      <c r="T43" s="173" t="s">
        <v>36</v>
      </c>
      <c r="U43" s="171"/>
      <c r="W43" s="22">
        <f>(((D44*0.6)/11.664)*Prices!A4)+E44*38000+F44*51900+G44*60900+H44*140000+I44*1000+J44*3000+K44*300</f>
        <v>839867.5309</v>
      </c>
    </row>
    <row r="44">
      <c r="A44" s="171">
        <v>268.0</v>
      </c>
      <c r="B44" s="26">
        <f>VLOOKUP($A$44,Chura!A1:T999, 2, 0)</f>
        <v>33.17</v>
      </c>
      <c r="C44" s="26">
        <f>VLOOKUP($A$44,Chura!A1:T999, 3, 0)</f>
        <v>8.2925</v>
      </c>
      <c r="D44" s="26">
        <f>VLOOKUP($A$44,Chura!A1:T999, 4, 0)</f>
        <v>41.4625</v>
      </c>
      <c r="E44" s="26">
        <f>VLOOKUP($A$44,Chura!A1:T999, 5, 0)</f>
        <v>4.59</v>
      </c>
      <c r="F44" s="26" t="str">
        <f>VLOOKUP($A$44,Chura!A1:T999, 6, 0)</f>
        <v/>
      </c>
      <c r="G44" s="26" t="str">
        <f>VLOOKUP($A$44,Chura!A1:T999, 7, 0)</f>
        <v/>
      </c>
      <c r="H44" s="26" t="str">
        <f>VLOOKUP($A$44,Chura!A1:T999, 8, 0)</f>
        <v/>
      </c>
      <c r="I44" s="26" t="str">
        <f>VLOOKUP($A$44,Chura!A1:T999, 9, 0)</f>
        <v/>
      </c>
      <c r="J44" s="26" t="str">
        <f>VLOOKUP($A$44,Chura!A1:T999, 10, 0)</f>
        <v/>
      </c>
      <c r="K44" s="26" t="str">
        <f>VLOOKUP($A$44,Chura!A1:T999, 11, 0)</f>
        <v/>
      </c>
      <c r="L44" s="174">
        <f>VLOOKUP($A$44,Chura!A1:T999, 12, 0)</f>
        <v>504900</v>
      </c>
      <c r="M44" s="174">
        <f>VLOOKUP($A$44,Chura!A1:T999, 13, 0)</f>
        <v>0</v>
      </c>
      <c r="N44" s="174">
        <f>VLOOKUP($A$44,Chura!A1:T999, 14, 0)</f>
        <v>0</v>
      </c>
      <c r="O44" s="174">
        <f>VLOOKUP($A$44,Chura!A1:T999, 15, 0)</f>
        <v>0</v>
      </c>
      <c r="P44" s="174">
        <f>VLOOKUP($A$44,Chura!A1:T999, 16, 0)</f>
        <v>0</v>
      </c>
      <c r="Q44" s="175">
        <f>VLOOKUP($A$44,Chura!A1:T999, 17, 0)</f>
        <v>740105.625</v>
      </c>
      <c r="R44" s="174">
        <f>VLOOKUP($A$44,Chura!A1:T999, 18, 0)</f>
        <v>504900</v>
      </c>
      <c r="S44" s="176">
        <f>VLOOKUP($A$44,Chura!A1:T999, 19, 0)</f>
        <v>1245005.625</v>
      </c>
      <c r="T44" s="177">
        <f>Q44*0.02</f>
        <v>14802.1125</v>
      </c>
      <c r="U44" s="26"/>
      <c r="W44" s="22">
        <f>((S45-W43)/S45)*100</f>
        <v>20.60600963</v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178">
        <f t="shared" ref="L45:O45" si="9">IFERROR(L44/E44,0)</f>
        <v>110000</v>
      </c>
      <c r="M45" s="178">
        <f t="shared" si="9"/>
        <v>0</v>
      </c>
      <c r="N45" s="178">
        <f t="shared" si="9"/>
        <v>0</v>
      </c>
      <c r="O45" s="178">
        <f t="shared" si="9"/>
        <v>0</v>
      </c>
      <c r="P45" s="178">
        <f>IFERROR(P44/(K44+J44+I44),0)</f>
        <v>0</v>
      </c>
      <c r="Q45" s="178">
        <f>IFERROR(Q44/D44,0)</f>
        <v>17850</v>
      </c>
      <c r="R45" s="174">
        <f>R44-(R44*(R1/100))</f>
        <v>302940</v>
      </c>
      <c r="S45" s="180">
        <f>R45+Q44+P44+T44</f>
        <v>1057847.738</v>
      </c>
      <c r="T45" s="26" t="str">
        <f>IF(W39&gt;30,"G",IF(AND(W39&gt;25,W39&lt;30),"A",IF(AND(W39&gt;20,W39&lt;25),"B","C")))</f>
        <v>A</v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174">
        <f>R44-R45</f>
        <v>201960</v>
      </c>
      <c r="S46" s="181"/>
      <c r="T46" s="181"/>
      <c r="U46" s="26"/>
    </row>
  </sheetData>
  <mergeCells count="8">
    <mergeCell ref="A1:D1"/>
    <mergeCell ref="A6:D6"/>
    <mergeCell ref="A16:E17"/>
    <mergeCell ref="A22:E22"/>
    <mergeCell ref="A27:D27"/>
    <mergeCell ref="A32:D32"/>
    <mergeCell ref="A37:D37"/>
    <mergeCell ref="A42:D4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5.57"/>
    <col customWidth="1" min="21" max="21" width="11.0"/>
    <col customWidth="1" min="22" max="26" width="8.71"/>
  </cols>
  <sheetData>
    <row r="1">
      <c r="A1" s="188" t="s">
        <v>2</v>
      </c>
      <c r="B1" s="51" t="s">
        <v>4</v>
      </c>
      <c r="C1" s="51" t="s">
        <v>63</v>
      </c>
      <c r="D1" s="51" t="s">
        <v>64</v>
      </c>
      <c r="E1" s="51" t="s">
        <v>65</v>
      </c>
      <c r="F1" s="188" t="s">
        <v>6</v>
      </c>
      <c r="G1" s="188" t="s">
        <v>66</v>
      </c>
      <c r="H1" s="188" t="s">
        <v>8</v>
      </c>
      <c r="I1" s="188" t="s">
        <v>9</v>
      </c>
      <c r="J1" s="188" t="s">
        <v>10</v>
      </c>
      <c r="K1" s="188" t="s">
        <v>11</v>
      </c>
      <c r="L1" s="188" t="s">
        <v>67</v>
      </c>
      <c r="M1" s="188" t="s">
        <v>67</v>
      </c>
      <c r="N1" s="188" t="s">
        <v>67</v>
      </c>
      <c r="O1" s="188" t="s">
        <v>67</v>
      </c>
      <c r="P1" s="188" t="s">
        <v>68</v>
      </c>
      <c r="Q1" s="189" t="s">
        <v>69</v>
      </c>
      <c r="R1" s="188" t="s">
        <v>70</v>
      </c>
      <c r="S1" s="189" t="s">
        <v>55</v>
      </c>
      <c r="T1" s="188" t="s">
        <v>2</v>
      </c>
      <c r="U1" s="51"/>
      <c r="V1" s="12"/>
      <c r="W1" s="12"/>
      <c r="X1" s="12"/>
      <c r="Y1" s="12"/>
      <c r="Z1" s="12"/>
    </row>
    <row r="2">
      <c r="A2" s="93">
        <v>1.0</v>
      </c>
      <c r="B2" s="93">
        <v>6.06</v>
      </c>
      <c r="C2" s="93">
        <f t="shared" ref="C2:C365" si="1">B2*(25/100)</f>
        <v>1.515</v>
      </c>
      <c r="D2" s="93">
        <f t="shared" ref="D2:D365" si="2">C2+B2</f>
        <v>7.575</v>
      </c>
      <c r="E2" s="93">
        <v>0.54</v>
      </c>
      <c r="F2" s="93"/>
      <c r="G2" s="93"/>
      <c r="H2" s="93"/>
      <c r="I2" s="93"/>
      <c r="J2" s="93"/>
      <c r="K2" s="93"/>
      <c r="L2" s="190">
        <f>E2*Prices!B$2</f>
        <v>59400</v>
      </c>
      <c r="M2" s="190">
        <f>F2*Prices!C$2</f>
        <v>0</v>
      </c>
      <c r="N2" s="190">
        <f>G2*Prices!D$2</f>
        <v>0</v>
      </c>
      <c r="O2" s="190">
        <f>H2*Prices!E$2</f>
        <v>0</v>
      </c>
      <c r="P2" s="190">
        <f t="shared" ref="P2:P117" si="3">I2*2000+J2*10000+K2*1800</f>
        <v>0</v>
      </c>
      <c r="Q2" s="190">
        <f>D2*Prices!A$2</f>
        <v>135213.75</v>
      </c>
      <c r="R2" s="191">
        <f t="shared" ref="R2:R365" si="4">L2+M2+N2+O2</f>
        <v>59400</v>
      </c>
      <c r="S2" s="190">
        <f t="shared" ref="S2:S365" si="5">R2+Q2+P2</f>
        <v>194613.75</v>
      </c>
      <c r="T2" s="93">
        <v>1.0</v>
      </c>
      <c r="U2" s="93" t="s">
        <v>80</v>
      </c>
      <c r="V2" s="12" t="s">
        <v>81</v>
      </c>
      <c r="W2" s="12"/>
      <c r="X2" s="12"/>
      <c r="Y2" s="12"/>
      <c r="Z2" s="12"/>
    </row>
    <row r="3">
      <c r="A3" s="93">
        <v>2.0</v>
      </c>
      <c r="B3" s="93">
        <v>2.986</v>
      </c>
      <c r="C3" s="93">
        <f t="shared" si="1"/>
        <v>0.7465</v>
      </c>
      <c r="D3" s="93">
        <f t="shared" si="2"/>
        <v>3.7325</v>
      </c>
      <c r="E3" s="93">
        <v>0.5</v>
      </c>
      <c r="F3" s="93"/>
      <c r="G3" s="93"/>
      <c r="H3" s="93"/>
      <c r="I3" s="93"/>
      <c r="J3" s="93"/>
      <c r="K3" s="93"/>
      <c r="L3" s="190">
        <f>E3*Prices!B$2</f>
        <v>55000</v>
      </c>
      <c r="M3" s="190">
        <f>F3*Prices!C$2</f>
        <v>0</v>
      </c>
      <c r="N3" s="190">
        <f>G3*Prices!D$2</f>
        <v>0</v>
      </c>
      <c r="O3" s="190">
        <f>H3*Prices!E$2</f>
        <v>0</v>
      </c>
      <c r="P3" s="190">
        <f t="shared" si="3"/>
        <v>0</v>
      </c>
      <c r="Q3" s="190">
        <f>D3*Prices!A$2</f>
        <v>66625.125</v>
      </c>
      <c r="R3" s="191">
        <f t="shared" si="4"/>
        <v>55000</v>
      </c>
      <c r="S3" s="190">
        <f t="shared" si="5"/>
        <v>121625.125</v>
      </c>
      <c r="T3" s="93">
        <v>2.0</v>
      </c>
      <c r="U3" s="93" t="s">
        <v>82</v>
      </c>
      <c r="V3" s="12"/>
      <c r="W3" s="12"/>
      <c r="X3" s="12"/>
      <c r="Y3" s="12"/>
      <c r="Z3" s="12"/>
    </row>
    <row r="4">
      <c r="A4" s="93">
        <v>3.0</v>
      </c>
      <c r="B4" s="93">
        <v>5.86</v>
      </c>
      <c r="C4" s="93">
        <f t="shared" si="1"/>
        <v>1.465</v>
      </c>
      <c r="D4" s="93">
        <f t="shared" si="2"/>
        <v>7.325</v>
      </c>
      <c r="E4" s="93">
        <v>1.19</v>
      </c>
      <c r="F4" s="93"/>
      <c r="G4" s="93"/>
      <c r="H4" s="93"/>
      <c r="I4" s="93"/>
      <c r="J4" s="93"/>
      <c r="K4" s="93"/>
      <c r="L4" s="190">
        <f>E4*Prices!B$2</f>
        <v>130900</v>
      </c>
      <c r="M4" s="190">
        <f>F4*Prices!C$2</f>
        <v>0</v>
      </c>
      <c r="N4" s="190">
        <f>G4*Prices!D$2</f>
        <v>0</v>
      </c>
      <c r="O4" s="190">
        <f>H4*Prices!E$2</f>
        <v>0</v>
      </c>
      <c r="P4" s="190">
        <f t="shared" si="3"/>
        <v>0</v>
      </c>
      <c r="Q4" s="190">
        <f>D4*Prices!A$2</f>
        <v>130751.25</v>
      </c>
      <c r="R4" s="191">
        <f t="shared" si="4"/>
        <v>130900</v>
      </c>
      <c r="S4" s="190">
        <f t="shared" si="5"/>
        <v>261651.25</v>
      </c>
      <c r="T4" s="93">
        <v>3.0</v>
      </c>
      <c r="U4" s="93" t="s">
        <v>82</v>
      </c>
      <c r="V4" s="12"/>
      <c r="W4" s="12"/>
      <c r="X4" s="12"/>
      <c r="Y4" s="12"/>
      <c r="Z4" s="12"/>
    </row>
    <row r="5">
      <c r="A5" s="93">
        <v>4.0</v>
      </c>
      <c r="B5" s="93">
        <v>1.79</v>
      </c>
      <c r="C5" s="93">
        <f t="shared" si="1"/>
        <v>0.4475</v>
      </c>
      <c r="D5" s="93">
        <f t="shared" si="2"/>
        <v>2.2375</v>
      </c>
      <c r="E5" s="93">
        <v>0.18</v>
      </c>
      <c r="F5" s="93"/>
      <c r="G5" s="93"/>
      <c r="H5" s="93"/>
      <c r="I5" s="93"/>
      <c r="J5" s="93"/>
      <c r="K5" s="93"/>
      <c r="L5" s="190">
        <f>E5*Prices!B$2</f>
        <v>19800</v>
      </c>
      <c r="M5" s="190">
        <f>F5*Prices!C$2</f>
        <v>0</v>
      </c>
      <c r="N5" s="190">
        <f>G5*Prices!D$2</f>
        <v>0</v>
      </c>
      <c r="O5" s="190">
        <f>H5*Prices!E$2</f>
        <v>0</v>
      </c>
      <c r="P5" s="190">
        <f t="shared" si="3"/>
        <v>0</v>
      </c>
      <c r="Q5" s="190">
        <f>D5*Prices!A$2</f>
        <v>39939.375</v>
      </c>
      <c r="R5" s="191">
        <f t="shared" si="4"/>
        <v>19800</v>
      </c>
      <c r="S5" s="190">
        <f t="shared" si="5"/>
        <v>59739.375</v>
      </c>
      <c r="T5" s="93">
        <v>4.0</v>
      </c>
      <c r="U5" s="93" t="s">
        <v>82</v>
      </c>
      <c r="V5" s="12"/>
      <c r="W5" s="12"/>
      <c r="X5" s="12"/>
      <c r="Y5" s="12"/>
      <c r="Z5" s="12"/>
    </row>
    <row r="6">
      <c r="A6" s="93">
        <v>5.0</v>
      </c>
      <c r="B6" s="93">
        <v>2.194</v>
      </c>
      <c r="C6" s="93">
        <f t="shared" si="1"/>
        <v>0.5485</v>
      </c>
      <c r="D6" s="93">
        <f t="shared" si="2"/>
        <v>2.7425</v>
      </c>
      <c r="E6" s="93">
        <v>0.35</v>
      </c>
      <c r="F6" s="93"/>
      <c r="G6" s="93"/>
      <c r="H6" s="93"/>
      <c r="I6" s="93"/>
      <c r="J6" s="93"/>
      <c r="K6" s="93"/>
      <c r="L6" s="190">
        <f>E6*Prices!B$2</f>
        <v>38500</v>
      </c>
      <c r="M6" s="190">
        <f>F6*Prices!C$2</f>
        <v>0</v>
      </c>
      <c r="N6" s="190">
        <f>G6*Prices!D$2</f>
        <v>0</v>
      </c>
      <c r="O6" s="190">
        <f>H6*Prices!E$2</f>
        <v>0</v>
      </c>
      <c r="P6" s="190">
        <f t="shared" si="3"/>
        <v>0</v>
      </c>
      <c r="Q6" s="190">
        <f>D6*Prices!A$2</f>
        <v>48953.625</v>
      </c>
      <c r="R6" s="191">
        <f t="shared" si="4"/>
        <v>38500</v>
      </c>
      <c r="S6" s="190">
        <f t="shared" si="5"/>
        <v>87453.625</v>
      </c>
      <c r="T6" s="93">
        <v>5.0</v>
      </c>
      <c r="U6" s="93" t="s">
        <v>82</v>
      </c>
      <c r="V6" s="12"/>
      <c r="W6" s="12"/>
      <c r="X6" s="12"/>
      <c r="Y6" s="12"/>
      <c r="Z6" s="12"/>
    </row>
    <row r="7">
      <c r="A7" s="93">
        <v>6.0</v>
      </c>
      <c r="B7" s="93">
        <v>1.95</v>
      </c>
      <c r="C7" s="93">
        <f t="shared" si="1"/>
        <v>0.4875</v>
      </c>
      <c r="D7" s="93">
        <f t="shared" si="2"/>
        <v>2.4375</v>
      </c>
      <c r="E7" s="93">
        <v>0.33</v>
      </c>
      <c r="F7" s="93"/>
      <c r="G7" s="93"/>
      <c r="H7" s="93"/>
      <c r="I7" s="93"/>
      <c r="J7" s="93"/>
      <c r="K7" s="93"/>
      <c r="L7" s="190">
        <f>E7*Prices!B$2</f>
        <v>36300</v>
      </c>
      <c r="M7" s="190">
        <f>F7*Prices!C$2</f>
        <v>0</v>
      </c>
      <c r="N7" s="190">
        <f>G7*Prices!D$2</f>
        <v>0</v>
      </c>
      <c r="O7" s="190">
        <f>H7*Prices!E$2</f>
        <v>0</v>
      </c>
      <c r="P7" s="190">
        <f t="shared" si="3"/>
        <v>0</v>
      </c>
      <c r="Q7" s="190">
        <f>D7*Prices!A$2</f>
        <v>43509.375</v>
      </c>
      <c r="R7" s="191">
        <f t="shared" si="4"/>
        <v>36300</v>
      </c>
      <c r="S7" s="190">
        <f t="shared" si="5"/>
        <v>79809.375</v>
      </c>
      <c r="T7" s="93">
        <v>6.0</v>
      </c>
      <c r="U7" s="93" t="s">
        <v>80</v>
      </c>
      <c r="V7" s="12" t="s">
        <v>81</v>
      </c>
      <c r="W7" s="12"/>
      <c r="X7" s="12"/>
      <c r="Y7" s="12"/>
      <c r="Z7" s="12"/>
    </row>
    <row r="8">
      <c r="A8" s="93">
        <v>7.0</v>
      </c>
      <c r="B8" s="93">
        <v>2.75</v>
      </c>
      <c r="C8" s="93">
        <f t="shared" si="1"/>
        <v>0.6875</v>
      </c>
      <c r="D8" s="93">
        <f t="shared" si="2"/>
        <v>3.4375</v>
      </c>
      <c r="E8" s="93">
        <v>0.75</v>
      </c>
      <c r="F8" s="93"/>
      <c r="G8" s="93"/>
      <c r="H8" s="93"/>
      <c r="I8" s="93"/>
      <c r="J8" s="93"/>
      <c r="K8" s="93"/>
      <c r="L8" s="190">
        <f>E8*Prices!B$2</f>
        <v>82500</v>
      </c>
      <c r="M8" s="190">
        <f>F8*Prices!C$2</f>
        <v>0</v>
      </c>
      <c r="N8" s="190">
        <f>G8*Prices!D$2</f>
        <v>0</v>
      </c>
      <c r="O8" s="190">
        <f>H8*Prices!E$2</f>
        <v>0</v>
      </c>
      <c r="P8" s="190">
        <f t="shared" si="3"/>
        <v>0</v>
      </c>
      <c r="Q8" s="190">
        <f>D8*Prices!A$2</f>
        <v>61359.375</v>
      </c>
      <c r="R8" s="191">
        <f t="shared" si="4"/>
        <v>82500</v>
      </c>
      <c r="S8" s="190">
        <f t="shared" si="5"/>
        <v>143859.375</v>
      </c>
      <c r="T8" s="93">
        <v>7.0</v>
      </c>
      <c r="U8" s="93" t="s">
        <v>82</v>
      </c>
      <c r="V8" s="12"/>
      <c r="W8" s="12"/>
      <c r="X8" s="12"/>
      <c r="Y8" s="12"/>
      <c r="Z8" s="12"/>
    </row>
    <row r="9">
      <c r="A9" s="192">
        <v>8.0</v>
      </c>
      <c r="B9" s="192">
        <v>3.58</v>
      </c>
      <c r="C9" s="192">
        <f t="shared" si="1"/>
        <v>0.895</v>
      </c>
      <c r="D9" s="192">
        <f t="shared" si="2"/>
        <v>4.475</v>
      </c>
      <c r="E9" s="192">
        <v>0.41</v>
      </c>
      <c r="F9" s="192"/>
      <c r="G9" s="192"/>
      <c r="H9" s="192"/>
      <c r="I9" s="192">
        <v>1.26</v>
      </c>
      <c r="J9" s="192"/>
      <c r="K9" s="192"/>
      <c r="L9" s="193">
        <f>E9*Prices!B$2</f>
        <v>45100</v>
      </c>
      <c r="M9" s="193">
        <f>F9*Prices!C$2</f>
        <v>0</v>
      </c>
      <c r="N9" s="193">
        <f>G9*Prices!D$2</f>
        <v>0</v>
      </c>
      <c r="O9" s="193">
        <f>H9*Prices!E$2</f>
        <v>0</v>
      </c>
      <c r="P9" s="193">
        <f t="shared" si="3"/>
        <v>2520</v>
      </c>
      <c r="Q9" s="193">
        <f>D9*Prices!A$2</f>
        <v>79878.75</v>
      </c>
      <c r="R9" s="194">
        <f t="shared" si="4"/>
        <v>45100</v>
      </c>
      <c r="S9" s="193">
        <f t="shared" si="5"/>
        <v>127498.75</v>
      </c>
      <c r="T9" s="192">
        <v>8.0</v>
      </c>
      <c r="U9" s="192" t="s">
        <v>83</v>
      </c>
      <c r="V9" s="195"/>
      <c r="W9" s="195"/>
      <c r="X9" s="195"/>
      <c r="Y9" s="195"/>
      <c r="Z9" s="195"/>
    </row>
    <row r="10">
      <c r="A10" s="93">
        <v>9.0</v>
      </c>
      <c r="B10" s="93">
        <v>2.7</v>
      </c>
      <c r="C10" s="93">
        <f t="shared" si="1"/>
        <v>0.675</v>
      </c>
      <c r="D10" s="93">
        <f t="shared" si="2"/>
        <v>3.375</v>
      </c>
      <c r="E10" s="93">
        <v>0.56</v>
      </c>
      <c r="F10" s="93"/>
      <c r="G10" s="93"/>
      <c r="H10" s="93"/>
      <c r="I10" s="93"/>
      <c r="J10" s="93"/>
      <c r="K10" s="93"/>
      <c r="L10" s="190">
        <f>E10*Prices!B$2</f>
        <v>61600</v>
      </c>
      <c r="M10" s="190">
        <f>F10*Prices!C$2</f>
        <v>0</v>
      </c>
      <c r="N10" s="190">
        <f>G10*Prices!D$2</f>
        <v>0</v>
      </c>
      <c r="O10" s="190">
        <f>H10*Prices!E$2</f>
        <v>0</v>
      </c>
      <c r="P10" s="190">
        <f t="shared" si="3"/>
        <v>0</v>
      </c>
      <c r="Q10" s="190">
        <f>D10*Prices!A$2</f>
        <v>60243.75</v>
      </c>
      <c r="R10" s="191">
        <f t="shared" si="4"/>
        <v>61600</v>
      </c>
      <c r="S10" s="190">
        <f t="shared" si="5"/>
        <v>121843.75</v>
      </c>
      <c r="T10" s="93">
        <v>9.0</v>
      </c>
      <c r="U10" s="93" t="s">
        <v>80</v>
      </c>
      <c r="V10" s="12"/>
      <c r="W10" s="12"/>
      <c r="X10" s="12"/>
      <c r="Y10" s="12"/>
      <c r="Z10" s="12"/>
    </row>
    <row r="11">
      <c r="A11" s="93">
        <v>10.0</v>
      </c>
      <c r="B11" s="93">
        <v>2.694</v>
      </c>
      <c r="C11" s="93">
        <f t="shared" si="1"/>
        <v>0.6735</v>
      </c>
      <c r="D11" s="93">
        <f t="shared" si="2"/>
        <v>3.3675</v>
      </c>
      <c r="E11" s="93">
        <v>0.53</v>
      </c>
      <c r="F11" s="93"/>
      <c r="G11" s="93"/>
      <c r="H11" s="93"/>
      <c r="I11" s="93"/>
      <c r="J11" s="93"/>
      <c r="K11" s="93"/>
      <c r="L11" s="190">
        <f>E11*Prices!B$2</f>
        <v>58300</v>
      </c>
      <c r="M11" s="190">
        <f>F11*Prices!C$2</f>
        <v>0</v>
      </c>
      <c r="N11" s="190">
        <f>G11*Prices!D$2</f>
        <v>0</v>
      </c>
      <c r="O11" s="190">
        <f>H11*Prices!E$2</f>
        <v>0</v>
      </c>
      <c r="P11" s="190">
        <f t="shared" si="3"/>
        <v>0</v>
      </c>
      <c r="Q11" s="190">
        <f>D11*Prices!A$2</f>
        <v>60109.875</v>
      </c>
      <c r="R11" s="191">
        <f t="shared" si="4"/>
        <v>58300</v>
      </c>
      <c r="S11" s="190">
        <f t="shared" si="5"/>
        <v>118409.875</v>
      </c>
      <c r="T11" s="93">
        <v>10.0</v>
      </c>
      <c r="U11" s="93" t="s">
        <v>82</v>
      </c>
      <c r="V11" s="12"/>
      <c r="W11" s="12"/>
      <c r="X11" s="12"/>
      <c r="Y11" s="12"/>
      <c r="Z11" s="12"/>
    </row>
    <row r="12">
      <c r="A12" s="93">
        <v>11.0</v>
      </c>
      <c r="B12" s="93">
        <v>3.66</v>
      </c>
      <c r="C12" s="93">
        <f t="shared" si="1"/>
        <v>0.915</v>
      </c>
      <c r="D12" s="93">
        <f t="shared" si="2"/>
        <v>4.575</v>
      </c>
      <c r="E12" s="93">
        <v>0.69</v>
      </c>
      <c r="F12" s="93"/>
      <c r="G12" s="93"/>
      <c r="H12" s="93"/>
      <c r="I12" s="93"/>
      <c r="J12" s="93"/>
      <c r="K12" s="93"/>
      <c r="L12" s="190">
        <f>E12*Prices!B$2</f>
        <v>75900</v>
      </c>
      <c r="M12" s="190">
        <f>F12*Prices!C$2</f>
        <v>0</v>
      </c>
      <c r="N12" s="190">
        <f>G12*Prices!D$2</f>
        <v>0</v>
      </c>
      <c r="O12" s="190">
        <f>H12*Prices!E$2</f>
        <v>0</v>
      </c>
      <c r="P12" s="190">
        <f t="shared" si="3"/>
        <v>0</v>
      </c>
      <c r="Q12" s="190">
        <f>D12*Prices!A$2</f>
        <v>81663.75</v>
      </c>
      <c r="R12" s="191">
        <f t="shared" si="4"/>
        <v>75900</v>
      </c>
      <c r="S12" s="190">
        <f t="shared" si="5"/>
        <v>157563.75</v>
      </c>
      <c r="T12" s="93">
        <v>11.0</v>
      </c>
      <c r="U12" s="93" t="s">
        <v>80</v>
      </c>
      <c r="V12" s="12" t="s">
        <v>81</v>
      </c>
      <c r="W12" s="12"/>
      <c r="X12" s="12"/>
      <c r="Y12" s="12"/>
      <c r="Z12" s="12"/>
    </row>
    <row r="13">
      <c r="A13" s="93">
        <v>12.0</v>
      </c>
      <c r="B13" s="93">
        <v>1.568</v>
      </c>
      <c r="C13" s="93">
        <f t="shared" si="1"/>
        <v>0.392</v>
      </c>
      <c r="D13" s="93">
        <f t="shared" si="2"/>
        <v>1.96</v>
      </c>
      <c r="E13" s="93">
        <v>0.36</v>
      </c>
      <c r="F13" s="93"/>
      <c r="G13" s="93"/>
      <c r="H13" s="93"/>
      <c r="I13" s="93"/>
      <c r="J13" s="93"/>
      <c r="K13" s="93"/>
      <c r="L13" s="190">
        <f>E13*Prices!B$2</f>
        <v>39600</v>
      </c>
      <c r="M13" s="190">
        <f>F13*Prices!C$2</f>
        <v>0</v>
      </c>
      <c r="N13" s="190">
        <f>G13*Prices!D$2</f>
        <v>0</v>
      </c>
      <c r="O13" s="190">
        <f>H13*Prices!E$2</f>
        <v>0</v>
      </c>
      <c r="P13" s="190">
        <f t="shared" si="3"/>
        <v>0</v>
      </c>
      <c r="Q13" s="190">
        <f>D13*Prices!A$2</f>
        <v>34986</v>
      </c>
      <c r="R13" s="191">
        <f t="shared" si="4"/>
        <v>39600</v>
      </c>
      <c r="S13" s="190">
        <f t="shared" si="5"/>
        <v>74586</v>
      </c>
      <c r="T13" s="93">
        <v>12.0</v>
      </c>
      <c r="U13" s="93" t="s">
        <v>80</v>
      </c>
      <c r="V13" s="12" t="s">
        <v>81</v>
      </c>
      <c r="W13" s="12"/>
      <c r="X13" s="12"/>
      <c r="Y13" s="12"/>
      <c r="Z13" s="12"/>
    </row>
    <row r="14">
      <c r="A14" s="93">
        <v>13.0</v>
      </c>
      <c r="B14" s="93">
        <v>2.48</v>
      </c>
      <c r="C14" s="93">
        <f t="shared" si="1"/>
        <v>0.62</v>
      </c>
      <c r="D14" s="93">
        <f t="shared" si="2"/>
        <v>3.1</v>
      </c>
      <c r="E14" s="93">
        <v>0.49</v>
      </c>
      <c r="F14" s="93"/>
      <c r="G14" s="93"/>
      <c r="H14" s="93"/>
      <c r="I14" s="93"/>
      <c r="J14" s="93"/>
      <c r="K14" s="93"/>
      <c r="L14" s="190">
        <f>E14*Prices!B$2</f>
        <v>53900</v>
      </c>
      <c r="M14" s="190">
        <f>F14*Prices!C$2</f>
        <v>0</v>
      </c>
      <c r="N14" s="190">
        <f>G14*Prices!D$2</f>
        <v>0</v>
      </c>
      <c r="O14" s="190">
        <f>H14*Prices!E$2</f>
        <v>0</v>
      </c>
      <c r="P14" s="190">
        <f t="shared" si="3"/>
        <v>0</v>
      </c>
      <c r="Q14" s="190">
        <f>D14*Prices!A$2</f>
        <v>55335</v>
      </c>
      <c r="R14" s="191">
        <f t="shared" si="4"/>
        <v>53900</v>
      </c>
      <c r="S14" s="190">
        <f t="shared" si="5"/>
        <v>109235</v>
      </c>
      <c r="T14" s="93">
        <v>13.0</v>
      </c>
      <c r="U14" s="93" t="s">
        <v>82</v>
      </c>
      <c r="V14" s="12"/>
      <c r="W14" s="12"/>
      <c r="X14" s="12"/>
      <c r="Y14" s="12"/>
      <c r="Z14" s="12"/>
    </row>
    <row r="15">
      <c r="A15" s="93">
        <v>14.0</v>
      </c>
      <c r="B15" s="93">
        <v>2.92</v>
      </c>
      <c r="C15" s="93">
        <f t="shared" si="1"/>
        <v>0.73</v>
      </c>
      <c r="D15" s="93">
        <f t="shared" si="2"/>
        <v>3.65</v>
      </c>
      <c r="E15" s="93">
        <v>0.83</v>
      </c>
      <c r="F15" s="93"/>
      <c r="G15" s="93"/>
      <c r="H15" s="93"/>
      <c r="I15" s="93"/>
      <c r="J15" s="93"/>
      <c r="K15" s="93"/>
      <c r="L15" s="190">
        <f>E15*Prices!B$2</f>
        <v>91300</v>
      </c>
      <c r="M15" s="190">
        <f>F15*Prices!C$2</f>
        <v>0</v>
      </c>
      <c r="N15" s="190">
        <f>G15*Prices!D$2</f>
        <v>0</v>
      </c>
      <c r="O15" s="190">
        <f>H15*Prices!E$2</f>
        <v>0</v>
      </c>
      <c r="P15" s="190">
        <f t="shared" si="3"/>
        <v>0</v>
      </c>
      <c r="Q15" s="190">
        <f>D15*Prices!A$2</f>
        <v>65152.5</v>
      </c>
      <c r="R15" s="191">
        <f t="shared" si="4"/>
        <v>91300</v>
      </c>
      <c r="S15" s="190">
        <f t="shared" si="5"/>
        <v>156452.5</v>
      </c>
      <c r="T15" s="93">
        <v>14.0</v>
      </c>
      <c r="U15" s="93" t="s">
        <v>80</v>
      </c>
      <c r="V15" s="12" t="s">
        <v>81</v>
      </c>
      <c r="W15" s="12"/>
      <c r="X15" s="12"/>
      <c r="Y15" s="12"/>
      <c r="Z15" s="12"/>
    </row>
    <row r="16">
      <c r="A16" s="93">
        <v>15.0</v>
      </c>
      <c r="B16" s="93">
        <v>5.11</v>
      </c>
      <c r="C16" s="93">
        <f t="shared" si="1"/>
        <v>1.2775</v>
      </c>
      <c r="D16" s="93">
        <f t="shared" si="2"/>
        <v>6.3875</v>
      </c>
      <c r="E16" s="93">
        <v>1.24</v>
      </c>
      <c r="F16" s="93"/>
      <c r="G16" s="93"/>
      <c r="H16" s="93"/>
      <c r="I16" s="93"/>
      <c r="J16" s="93"/>
      <c r="K16" s="93"/>
      <c r="L16" s="190">
        <f>E16*Prices!B$2</f>
        <v>136400</v>
      </c>
      <c r="M16" s="190">
        <f>F16*Prices!C$2</f>
        <v>0</v>
      </c>
      <c r="N16" s="190">
        <f>G16*Prices!D$2</f>
        <v>0</v>
      </c>
      <c r="O16" s="190">
        <f>H16*Prices!E$2</f>
        <v>0</v>
      </c>
      <c r="P16" s="190">
        <f t="shared" si="3"/>
        <v>0</v>
      </c>
      <c r="Q16" s="190">
        <f>D16*Prices!A$2</f>
        <v>114016.875</v>
      </c>
      <c r="R16" s="191">
        <f t="shared" si="4"/>
        <v>136400</v>
      </c>
      <c r="S16" s="190">
        <f t="shared" si="5"/>
        <v>250416.875</v>
      </c>
      <c r="T16" s="93">
        <v>15.0</v>
      </c>
      <c r="U16" s="93" t="s">
        <v>82</v>
      </c>
      <c r="V16" s="12"/>
      <c r="W16" s="12"/>
      <c r="X16" s="12"/>
      <c r="Y16" s="12"/>
      <c r="Z16" s="12"/>
    </row>
    <row r="17">
      <c r="A17" s="93">
        <v>16.0</v>
      </c>
      <c r="B17" s="93">
        <v>3.182</v>
      </c>
      <c r="C17" s="93">
        <f t="shared" si="1"/>
        <v>0.7955</v>
      </c>
      <c r="D17" s="93">
        <f t="shared" si="2"/>
        <v>3.9775</v>
      </c>
      <c r="E17" s="93">
        <v>0.79</v>
      </c>
      <c r="F17" s="93"/>
      <c r="G17" s="93"/>
      <c r="H17" s="93"/>
      <c r="I17" s="93"/>
      <c r="J17" s="93"/>
      <c r="K17" s="93"/>
      <c r="L17" s="190">
        <f>E17*Prices!B$2</f>
        <v>86900</v>
      </c>
      <c r="M17" s="190">
        <f>F17*Prices!C$2</f>
        <v>0</v>
      </c>
      <c r="N17" s="190">
        <f>G17*Prices!D$2</f>
        <v>0</v>
      </c>
      <c r="O17" s="190">
        <f>H17*Prices!E$2</f>
        <v>0</v>
      </c>
      <c r="P17" s="190">
        <f t="shared" si="3"/>
        <v>0</v>
      </c>
      <c r="Q17" s="190">
        <f>D17*Prices!A$2</f>
        <v>70998.375</v>
      </c>
      <c r="R17" s="191">
        <f t="shared" si="4"/>
        <v>86900</v>
      </c>
      <c r="S17" s="190">
        <f t="shared" si="5"/>
        <v>157898.375</v>
      </c>
      <c r="T17" s="93">
        <v>16.0</v>
      </c>
      <c r="U17" s="93" t="s">
        <v>82</v>
      </c>
      <c r="V17" s="12"/>
      <c r="W17" s="12"/>
      <c r="X17" s="12"/>
      <c r="Y17" s="12"/>
      <c r="Z17" s="12"/>
    </row>
    <row r="18">
      <c r="A18" s="93">
        <v>17.0</v>
      </c>
      <c r="B18" s="93">
        <v>2.984</v>
      </c>
      <c r="C18" s="93">
        <f t="shared" si="1"/>
        <v>0.746</v>
      </c>
      <c r="D18" s="93">
        <f t="shared" si="2"/>
        <v>3.73</v>
      </c>
      <c r="E18" s="93">
        <v>0.88</v>
      </c>
      <c r="F18" s="93"/>
      <c r="G18" s="93"/>
      <c r="H18" s="93"/>
      <c r="I18" s="93"/>
      <c r="J18" s="93"/>
      <c r="K18" s="93"/>
      <c r="L18" s="190">
        <f>E18*Prices!B$2</f>
        <v>96800</v>
      </c>
      <c r="M18" s="190">
        <f>F18*Prices!C$2</f>
        <v>0</v>
      </c>
      <c r="N18" s="190">
        <f>G18*Prices!D$2</f>
        <v>0</v>
      </c>
      <c r="O18" s="190">
        <f>H18*Prices!E$2</f>
        <v>0</v>
      </c>
      <c r="P18" s="190">
        <f t="shared" si="3"/>
        <v>0</v>
      </c>
      <c r="Q18" s="190">
        <f>D18*Prices!A$2</f>
        <v>66580.5</v>
      </c>
      <c r="R18" s="191">
        <f t="shared" si="4"/>
        <v>96800</v>
      </c>
      <c r="S18" s="190">
        <f t="shared" si="5"/>
        <v>163380.5</v>
      </c>
      <c r="T18" s="93">
        <v>17.0</v>
      </c>
      <c r="U18" s="93" t="s">
        <v>80</v>
      </c>
      <c r="V18" s="12" t="s">
        <v>81</v>
      </c>
      <c r="W18" s="12"/>
      <c r="X18" s="12"/>
      <c r="Y18" s="12"/>
      <c r="Z18" s="12"/>
    </row>
    <row r="19">
      <c r="A19" s="93">
        <v>18.0</v>
      </c>
      <c r="B19" s="93">
        <v>3.174</v>
      </c>
      <c r="C19" s="93">
        <f t="shared" si="1"/>
        <v>0.7935</v>
      </c>
      <c r="D19" s="93">
        <f t="shared" si="2"/>
        <v>3.9675</v>
      </c>
      <c r="E19" s="93">
        <v>0.68</v>
      </c>
      <c r="F19" s="93"/>
      <c r="G19" s="93"/>
      <c r="H19" s="93"/>
      <c r="I19" s="93"/>
      <c r="J19" s="93"/>
      <c r="K19" s="93"/>
      <c r="L19" s="190">
        <f>E19*Prices!B$2</f>
        <v>74800</v>
      </c>
      <c r="M19" s="190">
        <f>F19*Prices!C$2</f>
        <v>0</v>
      </c>
      <c r="N19" s="190">
        <f>G19*Prices!D$2</f>
        <v>0</v>
      </c>
      <c r="O19" s="190">
        <f>H19*Prices!E$2</f>
        <v>0</v>
      </c>
      <c r="P19" s="190">
        <f t="shared" si="3"/>
        <v>0</v>
      </c>
      <c r="Q19" s="190">
        <f>D19*Prices!A$2</f>
        <v>70819.875</v>
      </c>
      <c r="R19" s="191">
        <f t="shared" si="4"/>
        <v>74800</v>
      </c>
      <c r="S19" s="190">
        <f t="shared" si="5"/>
        <v>145619.875</v>
      </c>
      <c r="T19" s="93">
        <v>18.0</v>
      </c>
      <c r="U19" s="93" t="s">
        <v>82</v>
      </c>
      <c r="V19" s="12"/>
      <c r="W19" s="12"/>
      <c r="X19" s="12"/>
      <c r="Y19" s="12"/>
      <c r="Z19" s="12"/>
    </row>
    <row r="20">
      <c r="A20" s="93">
        <v>19.0</v>
      </c>
      <c r="B20" s="93">
        <v>3.282</v>
      </c>
      <c r="C20" s="93">
        <f t="shared" si="1"/>
        <v>0.8205</v>
      </c>
      <c r="D20" s="93">
        <f t="shared" si="2"/>
        <v>4.1025</v>
      </c>
      <c r="E20" s="93">
        <v>0.89</v>
      </c>
      <c r="F20" s="93"/>
      <c r="G20" s="93"/>
      <c r="H20" s="93"/>
      <c r="I20" s="93"/>
      <c r="J20" s="93"/>
      <c r="K20" s="93"/>
      <c r="L20" s="190">
        <f>E20*Prices!B$2</f>
        <v>97900</v>
      </c>
      <c r="M20" s="190">
        <f>F20*Prices!C$2</f>
        <v>0</v>
      </c>
      <c r="N20" s="190">
        <f>G20*Prices!D$2</f>
        <v>0</v>
      </c>
      <c r="O20" s="190">
        <f>H20*Prices!E$2</f>
        <v>0</v>
      </c>
      <c r="P20" s="190">
        <f t="shared" si="3"/>
        <v>0</v>
      </c>
      <c r="Q20" s="190">
        <f>D20*Prices!A$2</f>
        <v>73229.625</v>
      </c>
      <c r="R20" s="191">
        <f t="shared" si="4"/>
        <v>97900</v>
      </c>
      <c r="S20" s="190">
        <f t="shared" si="5"/>
        <v>171129.625</v>
      </c>
      <c r="T20" s="93">
        <v>19.0</v>
      </c>
      <c r="U20" s="93" t="s">
        <v>82</v>
      </c>
      <c r="V20" s="12"/>
      <c r="W20" s="12"/>
      <c r="X20" s="12"/>
      <c r="Y20" s="12"/>
      <c r="Z20" s="12"/>
    </row>
    <row r="21">
      <c r="A21" s="93">
        <v>20.0</v>
      </c>
      <c r="B21" s="93">
        <v>3.786</v>
      </c>
      <c r="C21" s="93">
        <f t="shared" si="1"/>
        <v>0.9465</v>
      </c>
      <c r="D21" s="93">
        <f t="shared" si="2"/>
        <v>4.7325</v>
      </c>
      <c r="E21" s="93">
        <v>0.77</v>
      </c>
      <c r="F21" s="93"/>
      <c r="G21" s="93"/>
      <c r="H21" s="93"/>
      <c r="I21" s="93"/>
      <c r="J21" s="93"/>
      <c r="K21" s="93"/>
      <c r="L21" s="190">
        <f>E21*Prices!B$2</f>
        <v>84700</v>
      </c>
      <c r="M21" s="190">
        <f>F21*Prices!C$2</f>
        <v>0</v>
      </c>
      <c r="N21" s="190">
        <f>G21*Prices!D$2</f>
        <v>0</v>
      </c>
      <c r="O21" s="190">
        <f>H21*Prices!E$2</f>
        <v>0</v>
      </c>
      <c r="P21" s="190">
        <f t="shared" si="3"/>
        <v>0</v>
      </c>
      <c r="Q21" s="190">
        <f>D21*Prices!A$2</f>
        <v>84475.125</v>
      </c>
      <c r="R21" s="191">
        <f t="shared" si="4"/>
        <v>84700</v>
      </c>
      <c r="S21" s="190">
        <f t="shared" si="5"/>
        <v>169175.125</v>
      </c>
      <c r="T21" s="93">
        <v>20.0</v>
      </c>
      <c r="U21" s="93" t="s">
        <v>82</v>
      </c>
      <c r="V21" s="12"/>
      <c r="W21" s="12"/>
      <c r="X21" s="12"/>
      <c r="Y21" s="12"/>
      <c r="Z21" s="12"/>
    </row>
    <row r="22">
      <c r="A22" s="93">
        <v>21.0</v>
      </c>
      <c r="B22" s="93">
        <v>1.324</v>
      </c>
      <c r="C22" s="93">
        <f t="shared" si="1"/>
        <v>0.331</v>
      </c>
      <c r="D22" s="93">
        <f t="shared" si="2"/>
        <v>1.655</v>
      </c>
      <c r="E22" s="93">
        <v>0.13</v>
      </c>
      <c r="F22" s="93"/>
      <c r="G22" s="93"/>
      <c r="H22" s="93"/>
      <c r="I22" s="93"/>
      <c r="J22" s="93"/>
      <c r="K22" s="93"/>
      <c r="L22" s="190">
        <f>E22*Prices!B$2</f>
        <v>14300</v>
      </c>
      <c r="M22" s="190">
        <f>F22*Prices!C$2</f>
        <v>0</v>
      </c>
      <c r="N22" s="190">
        <f>G22*Prices!D$2</f>
        <v>0</v>
      </c>
      <c r="O22" s="190">
        <f>H22*Prices!E$2</f>
        <v>0</v>
      </c>
      <c r="P22" s="190">
        <f t="shared" si="3"/>
        <v>0</v>
      </c>
      <c r="Q22" s="190">
        <f>D22*Prices!A$2</f>
        <v>29541.75</v>
      </c>
      <c r="R22" s="191">
        <f t="shared" si="4"/>
        <v>14300</v>
      </c>
      <c r="S22" s="190">
        <f t="shared" si="5"/>
        <v>43841.75</v>
      </c>
      <c r="T22" s="93">
        <v>21.0</v>
      </c>
      <c r="U22" s="93" t="s">
        <v>82</v>
      </c>
      <c r="V22" s="12"/>
      <c r="W22" s="12"/>
      <c r="X22" s="12"/>
      <c r="Y22" s="12"/>
      <c r="Z22" s="12"/>
    </row>
    <row r="23">
      <c r="A23" s="93">
        <v>22.0</v>
      </c>
      <c r="B23" s="93">
        <v>3.664</v>
      </c>
      <c r="C23" s="93">
        <f t="shared" si="1"/>
        <v>0.916</v>
      </c>
      <c r="D23" s="93">
        <f t="shared" si="2"/>
        <v>4.58</v>
      </c>
      <c r="E23" s="93">
        <v>0.2774</v>
      </c>
      <c r="F23" s="93"/>
      <c r="G23" s="93"/>
      <c r="H23" s="93"/>
      <c r="I23" s="93"/>
      <c r="J23" s="93"/>
      <c r="K23" s="93"/>
      <c r="L23" s="190">
        <f>E23*Prices!B$2</f>
        <v>30514</v>
      </c>
      <c r="M23" s="190">
        <f>F23*Prices!C$2</f>
        <v>0</v>
      </c>
      <c r="N23" s="190">
        <f>G23*Prices!D$2</f>
        <v>0</v>
      </c>
      <c r="O23" s="190">
        <f>H23*Prices!E$2</f>
        <v>0</v>
      </c>
      <c r="P23" s="190">
        <f t="shared" si="3"/>
        <v>0</v>
      </c>
      <c r="Q23" s="190">
        <f>D23*Prices!A$2</f>
        <v>81753</v>
      </c>
      <c r="R23" s="191">
        <f t="shared" si="4"/>
        <v>30514</v>
      </c>
      <c r="S23" s="190">
        <f t="shared" si="5"/>
        <v>112267</v>
      </c>
      <c r="T23" s="93">
        <v>22.0</v>
      </c>
      <c r="U23" s="93" t="s">
        <v>82</v>
      </c>
      <c r="V23" s="12"/>
      <c r="W23" s="12"/>
      <c r="X23" s="12"/>
      <c r="Y23" s="12"/>
      <c r="Z23" s="12"/>
    </row>
    <row r="24">
      <c r="A24" s="93">
        <v>23.0</v>
      </c>
      <c r="B24" s="93">
        <v>2.65</v>
      </c>
      <c r="C24" s="93">
        <f t="shared" si="1"/>
        <v>0.6625</v>
      </c>
      <c r="D24" s="93">
        <f t="shared" si="2"/>
        <v>3.3125</v>
      </c>
      <c r="E24" s="93">
        <v>0.46</v>
      </c>
      <c r="F24" s="93"/>
      <c r="G24" s="93"/>
      <c r="H24" s="93"/>
      <c r="I24" s="93"/>
      <c r="J24" s="93"/>
      <c r="K24" s="93"/>
      <c r="L24" s="190">
        <f>E24*Prices!B$2</f>
        <v>50600</v>
      </c>
      <c r="M24" s="190">
        <f>F24*Prices!C$2</f>
        <v>0</v>
      </c>
      <c r="N24" s="190">
        <f>G24*Prices!D$2</f>
        <v>0</v>
      </c>
      <c r="O24" s="190">
        <f>H24*Prices!E$2</f>
        <v>0</v>
      </c>
      <c r="P24" s="190">
        <f t="shared" si="3"/>
        <v>0</v>
      </c>
      <c r="Q24" s="190">
        <f>D24*Prices!A$2</f>
        <v>59128.125</v>
      </c>
      <c r="R24" s="191">
        <f t="shared" si="4"/>
        <v>50600</v>
      </c>
      <c r="S24" s="190">
        <f t="shared" si="5"/>
        <v>109728.125</v>
      </c>
      <c r="T24" s="93">
        <v>23.0</v>
      </c>
      <c r="U24" s="93" t="s">
        <v>82</v>
      </c>
      <c r="V24" s="12"/>
      <c r="W24" s="12"/>
      <c r="X24" s="12"/>
      <c r="Y24" s="12"/>
      <c r="Z24" s="12"/>
    </row>
    <row r="25">
      <c r="A25" s="93">
        <v>24.0</v>
      </c>
      <c r="B25" s="93">
        <v>2.83</v>
      </c>
      <c r="C25" s="93">
        <f t="shared" si="1"/>
        <v>0.7075</v>
      </c>
      <c r="D25" s="93">
        <f t="shared" si="2"/>
        <v>3.5375</v>
      </c>
      <c r="E25" s="93">
        <v>0.35</v>
      </c>
      <c r="F25" s="93"/>
      <c r="G25" s="93"/>
      <c r="H25" s="93"/>
      <c r="I25" s="93"/>
      <c r="J25" s="93"/>
      <c r="K25" s="93"/>
      <c r="L25" s="190">
        <f>E25*Prices!B$2</f>
        <v>38500</v>
      </c>
      <c r="M25" s="190">
        <f>F25*Prices!C$2</f>
        <v>0</v>
      </c>
      <c r="N25" s="190">
        <f>G25*Prices!D$2</f>
        <v>0</v>
      </c>
      <c r="O25" s="190">
        <f>H25*Prices!E$2</f>
        <v>0</v>
      </c>
      <c r="P25" s="190">
        <f t="shared" si="3"/>
        <v>0</v>
      </c>
      <c r="Q25" s="190">
        <f>D25*Prices!A$2</f>
        <v>63144.375</v>
      </c>
      <c r="R25" s="191">
        <f t="shared" si="4"/>
        <v>38500</v>
      </c>
      <c r="S25" s="190">
        <f t="shared" si="5"/>
        <v>101644.375</v>
      </c>
      <c r="T25" s="93">
        <v>24.0</v>
      </c>
      <c r="U25" s="93" t="s">
        <v>82</v>
      </c>
      <c r="V25" s="12"/>
      <c r="W25" s="12"/>
      <c r="X25" s="12"/>
      <c r="Y25" s="12"/>
      <c r="Z25" s="12"/>
    </row>
    <row r="26">
      <c r="A26" s="93">
        <v>25.0</v>
      </c>
      <c r="B26" s="93">
        <v>2.564</v>
      </c>
      <c r="C26" s="93">
        <f t="shared" si="1"/>
        <v>0.641</v>
      </c>
      <c r="D26" s="93">
        <f t="shared" si="2"/>
        <v>3.205</v>
      </c>
      <c r="E26" s="93">
        <v>0.38</v>
      </c>
      <c r="F26" s="93"/>
      <c r="G26" s="93"/>
      <c r="H26" s="93"/>
      <c r="I26" s="93"/>
      <c r="J26" s="93"/>
      <c r="K26" s="93"/>
      <c r="L26" s="190">
        <f>E26*Prices!B$2</f>
        <v>41800</v>
      </c>
      <c r="M26" s="190">
        <f>F26*Prices!C$2</f>
        <v>0</v>
      </c>
      <c r="N26" s="190">
        <f>G26*Prices!D$2</f>
        <v>0</v>
      </c>
      <c r="O26" s="190">
        <f>H26*Prices!E$2</f>
        <v>0</v>
      </c>
      <c r="P26" s="190">
        <f t="shared" si="3"/>
        <v>0</v>
      </c>
      <c r="Q26" s="190">
        <f>D26*Prices!A$2</f>
        <v>57209.25</v>
      </c>
      <c r="R26" s="191">
        <f t="shared" si="4"/>
        <v>41800</v>
      </c>
      <c r="S26" s="190">
        <f t="shared" si="5"/>
        <v>99009.25</v>
      </c>
      <c r="T26" s="93">
        <v>25.0</v>
      </c>
      <c r="U26" s="93" t="s">
        <v>82</v>
      </c>
      <c r="V26" s="12"/>
      <c r="W26" s="12"/>
      <c r="X26" s="12"/>
      <c r="Y26" s="12"/>
      <c r="Z26" s="12"/>
    </row>
    <row r="27">
      <c r="A27" s="93">
        <v>26.0</v>
      </c>
      <c r="B27" s="93">
        <v>2.706</v>
      </c>
      <c r="C27" s="93">
        <f t="shared" si="1"/>
        <v>0.6765</v>
      </c>
      <c r="D27" s="93">
        <f t="shared" si="2"/>
        <v>3.3825</v>
      </c>
      <c r="E27" s="93">
        <v>0.52</v>
      </c>
      <c r="F27" s="93"/>
      <c r="G27" s="93"/>
      <c r="H27" s="93"/>
      <c r="I27" s="93"/>
      <c r="J27" s="93"/>
      <c r="K27" s="93"/>
      <c r="L27" s="190">
        <f>E27*Prices!B$2</f>
        <v>57200</v>
      </c>
      <c r="M27" s="190">
        <f>F27*Prices!C$2</f>
        <v>0</v>
      </c>
      <c r="N27" s="190">
        <f>G27*Prices!D$2</f>
        <v>0</v>
      </c>
      <c r="O27" s="190">
        <f>H27*Prices!E$2</f>
        <v>0</v>
      </c>
      <c r="P27" s="190">
        <f t="shared" si="3"/>
        <v>0</v>
      </c>
      <c r="Q27" s="190">
        <f>D27*Prices!A$2</f>
        <v>60377.625</v>
      </c>
      <c r="R27" s="191">
        <f t="shared" si="4"/>
        <v>57200</v>
      </c>
      <c r="S27" s="190">
        <f t="shared" si="5"/>
        <v>117577.625</v>
      </c>
      <c r="T27" s="93">
        <v>26.0</v>
      </c>
      <c r="U27" s="93" t="s">
        <v>82</v>
      </c>
      <c r="V27" s="12"/>
      <c r="W27" s="12"/>
      <c r="X27" s="12"/>
      <c r="Y27" s="12"/>
      <c r="Z27" s="12"/>
    </row>
    <row r="28">
      <c r="A28" s="93">
        <v>27.0</v>
      </c>
      <c r="B28" s="93">
        <v>2.76</v>
      </c>
      <c r="C28" s="93">
        <f t="shared" si="1"/>
        <v>0.69</v>
      </c>
      <c r="D28" s="93">
        <f t="shared" si="2"/>
        <v>3.45</v>
      </c>
      <c r="E28" s="93">
        <v>0.33</v>
      </c>
      <c r="F28" s="93"/>
      <c r="G28" s="93"/>
      <c r="H28" s="93"/>
      <c r="I28" s="93"/>
      <c r="J28" s="93"/>
      <c r="K28" s="93"/>
      <c r="L28" s="190">
        <f>E28*Prices!B$2</f>
        <v>36300</v>
      </c>
      <c r="M28" s="190">
        <f>F28*Prices!C$2</f>
        <v>0</v>
      </c>
      <c r="N28" s="190">
        <f>G28*Prices!D$2</f>
        <v>0</v>
      </c>
      <c r="O28" s="190">
        <f>H28*Prices!E$2</f>
        <v>0</v>
      </c>
      <c r="P28" s="190">
        <f t="shared" si="3"/>
        <v>0</v>
      </c>
      <c r="Q28" s="190">
        <f>D28*Prices!A$2</f>
        <v>61582.5</v>
      </c>
      <c r="R28" s="191">
        <f t="shared" si="4"/>
        <v>36300</v>
      </c>
      <c r="S28" s="190">
        <f t="shared" si="5"/>
        <v>97882.5</v>
      </c>
      <c r="T28" s="93">
        <v>27.0</v>
      </c>
      <c r="U28" s="93" t="s">
        <v>80</v>
      </c>
      <c r="V28" s="12" t="s">
        <v>81</v>
      </c>
      <c r="W28" s="12"/>
      <c r="X28" s="12"/>
      <c r="Y28" s="12"/>
      <c r="Z28" s="12"/>
    </row>
    <row r="29">
      <c r="A29" s="93">
        <v>28.0</v>
      </c>
      <c r="B29" s="93">
        <v>1.904</v>
      </c>
      <c r="C29" s="93">
        <f t="shared" si="1"/>
        <v>0.476</v>
      </c>
      <c r="D29" s="93">
        <f t="shared" si="2"/>
        <v>2.38</v>
      </c>
      <c r="E29" s="93">
        <v>0.28</v>
      </c>
      <c r="F29" s="93"/>
      <c r="G29" s="93"/>
      <c r="H29" s="93"/>
      <c r="I29" s="93"/>
      <c r="J29" s="93"/>
      <c r="K29" s="93"/>
      <c r="L29" s="190">
        <f>E29*Prices!B$2</f>
        <v>30800</v>
      </c>
      <c r="M29" s="190">
        <f>F29*Prices!C$2</f>
        <v>0</v>
      </c>
      <c r="N29" s="190">
        <f>G29*Prices!D$2</f>
        <v>0</v>
      </c>
      <c r="O29" s="190">
        <f>H29*Prices!E$2</f>
        <v>0</v>
      </c>
      <c r="P29" s="190">
        <f t="shared" si="3"/>
        <v>0</v>
      </c>
      <c r="Q29" s="190">
        <f>D29*Prices!A$2</f>
        <v>42483</v>
      </c>
      <c r="R29" s="191">
        <f t="shared" si="4"/>
        <v>30800</v>
      </c>
      <c r="S29" s="190">
        <f t="shared" si="5"/>
        <v>73283</v>
      </c>
      <c r="T29" s="93">
        <v>28.0</v>
      </c>
      <c r="U29" s="93" t="s">
        <v>82</v>
      </c>
      <c r="V29" s="12"/>
      <c r="W29" s="12"/>
      <c r="X29" s="12"/>
      <c r="Y29" s="12"/>
      <c r="Z29" s="12"/>
    </row>
    <row r="30">
      <c r="A30" s="93">
        <v>29.0</v>
      </c>
      <c r="B30" s="93">
        <v>9.384</v>
      </c>
      <c r="C30" s="93">
        <f t="shared" si="1"/>
        <v>2.346</v>
      </c>
      <c r="D30" s="93">
        <f t="shared" si="2"/>
        <v>11.73</v>
      </c>
      <c r="E30" s="93">
        <v>1.38</v>
      </c>
      <c r="F30" s="93"/>
      <c r="G30" s="93"/>
      <c r="H30" s="93"/>
      <c r="I30" s="93"/>
      <c r="J30" s="93"/>
      <c r="K30" s="93">
        <v>8.0</v>
      </c>
      <c r="L30" s="190">
        <f>E30*Prices!B$2</f>
        <v>151800</v>
      </c>
      <c r="M30" s="190">
        <f>F30*Prices!C$2</f>
        <v>0</v>
      </c>
      <c r="N30" s="190">
        <f>G30*Prices!D$2</f>
        <v>0</v>
      </c>
      <c r="O30" s="190">
        <f>H30*Prices!E$2</f>
        <v>0</v>
      </c>
      <c r="P30" s="190">
        <f t="shared" si="3"/>
        <v>14400</v>
      </c>
      <c r="Q30" s="190">
        <f>D30*Prices!A$2</f>
        <v>209380.5</v>
      </c>
      <c r="R30" s="191">
        <f t="shared" si="4"/>
        <v>151800</v>
      </c>
      <c r="S30" s="190">
        <f t="shared" si="5"/>
        <v>375580.5</v>
      </c>
      <c r="T30" s="93">
        <v>29.0</v>
      </c>
      <c r="U30" s="93" t="s">
        <v>80</v>
      </c>
      <c r="V30" s="12" t="s">
        <v>81</v>
      </c>
      <c r="W30" s="12"/>
      <c r="X30" s="12"/>
      <c r="Y30" s="12"/>
      <c r="Z30" s="12"/>
    </row>
    <row r="31">
      <c r="A31" s="93">
        <v>30.0</v>
      </c>
      <c r="B31" s="93">
        <v>7.69</v>
      </c>
      <c r="C31" s="93">
        <f t="shared" si="1"/>
        <v>1.9225</v>
      </c>
      <c r="D31" s="93">
        <f t="shared" si="2"/>
        <v>9.6125</v>
      </c>
      <c r="E31" s="93">
        <v>0.98</v>
      </c>
      <c r="F31" s="93"/>
      <c r="G31" s="93"/>
      <c r="H31" s="93"/>
      <c r="I31" s="93"/>
      <c r="J31" s="93"/>
      <c r="K31" s="93">
        <v>6.42</v>
      </c>
      <c r="L31" s="190">
        <f>E31*Prices!B$2</f>
        <v>107800</v>
      </c>
      <c r="M31" s="190">
        <f>F31*Prices!C$2</f>
        <v>0</v>
      </c>
      <c r="N31" s="190">
        <f>G31*Prices!D$2</f>
        <v>0</v>
      </c>
      <c r="O31" s="190">
        <f>H31*Prices!E$2</f>
        <v>0</v>
      </c>
      <c r="P31" s="190">
        <f t="shared" si="3"/>
        <v>11556</v>
      </c>
      <c r="Q31" s="190">
        <f>D31*Prices!A$2</f>
        <v>171583.125</v>
      </c>
      <c r="R31" s="191">
        <f t="shared" si="4"/>
        <v>107800</v>
      </c>
      <c r="S31" s="190">
        <f t="shared" si="5"/>
        <v>290939.125</v>
      </c>
      <c r="T31" s="93">
        <v>30.0</v>
      </c>
      <c r="U31" s="26" t="s">
        <v>82</v>
      </c>
      <c r="V31" s="12"/>
      <c r="W31" s="12"/>
      <c r="X31" s="12"/>
      <c r="Y31" s="12"/>
      <c r="Z31" s="12"/>
    </row>
    <row r="32">
      <c r="A32" s="93">
        <v>31.0</v>
      </c>
      <c r="B32" s="93">
        <v>4.37</v>
      </c>
      <c r="C32" s="93">
        <f t="shared" si="1"/>
        <v>1.0925</v>
      </c>
      <c r="D32" s="93">
        <f t="shared" si="2"/>
        <v>5.4625</v>
      </c>
      <c r="E32" s="93">
        <v>0.54</v>
      </c>
      <c r="F32" s="93"/>
      <c r="G32" s="93"/>
      <c r="H32" s="93"/>
      <c r="I32" s="93"/>
      <c r="J32" s="93"/>
      <c r="K32" s="93">
        <v>9.96</v>
      </c>
      <c r="L32" s="190">
        <f>E32*Prices!B$2</f>
        <v>59400</v>
      </c>
      <c r="M32" s="190">
        <f>F32*Prices!C$2</f>
        <v>0</v>
      </c>
      <c r="N32" s="190">
        <f>G32*Prices!D$2</f>
        <v>0</v>
      </c>
      <c r="O32" s="190">
        <f>H32*Prices!E$2</f>
        <v>0</v>
      </c>
      <c r="P32" s="190">
        <f t="shared" si="3"/>
        <v>17928</v>
      </c>
      <c r="Q32" s="190">
        <f>D32*Prices!A$2</f>
        <v>97505.625</v>
      </c>
      <c r="R32" s="191">
        <f t="shared" si="4"/>
        <v>59400</v>
      </c>
      <c r="S32" s="190">
        <f t="shared" si="5"/>
        <v>174833.625</v>
      </c>
      <c r="T32" s="93">
        <v>31.0</v>
      </c>
      <c r="U32" s="26" t="s">
        <v>82</v>
      </c>
      <c r="V32" s="12"/>
      <c r="W32" s="12"/>
      <c r="X32" s="12"/>
      <c r="Y32" s="12"/>
      <c r="Z32" s="12"/>
    </row>
    <row r="33">
      <c r="A33" s="93">
        <v>32.0</v>
      </c>
      <c r="B33" s="93">
        <v>6.42</v>
      </c>
      <c r="C33" s="93">
        <f t="shared" si="1"/>
        <v>1.605</v>
      </c>
      <c r="D33" s="93">
        <f t="shared" si="2"/>
        <v>8.025</v>
      </c>
      <c r="E33" s="93">
        <v>0.95</v>
      </c>
      <c r="F33" s="93"/>
      <c r="G33" s="93"/>
      <c r="H33" s="93"/>
      <c r="I33" s="93"/>
      <c r="J33" s="93"/>
      <c r="K33" s="93"/>
      <c r="L33" s="190">
        <f>E33*Prices!B$2</f>
        <v>104500</v>
      </c>
      <c r="M33" s="190">
        <f>F33*Prices!C$2</f>
        <v>0</v>
      </c>
      <c r="N33" s="190">
        <f>G33*Prices!D$2</f>
        <v>0</v>
      </c>
      <c r="O33" s="190">
        <f>H33*Prices!E$2</f>
        <v>0</v>
      </c>
      <c r="P33" s="190">
        <f t="shared" si="3"/>
        <v>0</v>
      </c>
      <c r="Q33" s="190">
        <f>D33*Prices!A$2</f>
        <v>143246.25</v>
      </c>
      <c r="R33" s="191">
        <f t="shared" si="4"/>
        <v>104500</v>
      </c>
      <c r="S33" s="190">
        <f t="shared" si="5"/>
        <v>247746.25</v>
      </c>
      <c r="T33" s="93">
        <v>32.0</v>
      </c>
      <c r="U33" s="26" t="s">
        <v>82</v>
      </c>
      <c r="V33" s="12"/>
      <c r="W33" s="12"/>
      <c r="X33" s="12"/>
      <c r="Y33" s="12"/>
      <c r="Z33" s="12"/>
    </row>
    <row r="34">
      <c r="A34" s="93">
        <v>33.0</v>
      </c>
      <c r="B34" s="93">
        <v>3.194</v>
      </c>
      <c r="C34" s="93">
        <f t="shared" si="1"/>
        <v>0.7985</v>
      </c>
      <c r="D34" s="93">
        <f t="shared" si="2"/>
        <v>3.9925</v>
      </c>
      <c r="E34" s="93">
        <v>0.7</v>
      </c>
      <c r="F34" s="93">
        <v>0.08</v>
      </c>
      <c r="G34" s="93"/>
      <c r="H34" s="93"/>
      <c r="I34" s="93"/>
      <c r="J34" s="93"/>
      <c r="K34" s="93"/>
      <c r="L34" s="190">
        <f>E34*Prices!B$2</f>
        <v>77000</v>
      </c>
      <c r="M34" s="190">
        <f>F34*Prices!C$2</f>
        <v>12800</v>
      </c>
      <c r="N34" s="190">
        <f>G34*Prices!D$2</f>
        <v>0</v>
      </c>
      <c r="O34" s="190">
        <f>H34*Prices!E$2</f>
        <v>0</v>
      </c>
      <c r="P34" s="190">
        <f t="shared" si="3"/>
        <v>0</v>
      </c>
      <c r="Q34" s="190">
        <f>D34*Prices!A$2</f>
        <v>71266.125</v>
      </c>
      <c r="R34" s="191">
        <f t="shared" si="4"/>
        <v>89800</v>
      </c>
      <c r="S34" s="190">
        <f t="shared" si="5"/>
        <v>161066.125</v>
      </c>
      <c r="T34" s="93">
        <v>33.0</v>
      </c>
      <c r="U34" s="93" t="s">
        <v>82</v>
      </c>
      <c r="V34" s="12"/>
      <c r="W34" s="12"/>
      <c r="X34" s="12"/>
      <c r="Y34" s="12"/>
      <c r="Z34" s="12"/>
    </row>
    <row r="35">
      <c r="A35" s="93">
        <v>34.0</v>
      </c>
      <c r="B35" s="93">
        <v>4.4</v>
      </c>
      <c r="C35" s="93">
        <f t="shared" si="1"/>
        <v>1.1</v>
      </c>
      <c r="D35" s="93">
        <f t="shared" si="2"/>
        <v>5.5</v>
      </c>
      <c r="E35" s="93">
        <v>1.22</v>
      </c>
      <c r="F35" s="93"/>
      <c r="G35" s="93"/>
      <c r="H35" s="93"/>
      <c r="I35" s="93"/>
      <c r="J35" s="93"/>
      <c r="K35" s="93"/>
      <c r="L35" s="190">
        <f>E35*Prices!B$2</f>
        <v>134200</v>
      </c>
      <c r="M35" s="190">
        <f>F35*Prices!C$2</f>
        <v>0</v>
      </c>
      <c r="N35" s="190">
        <f>G35*Prices!D$2</f>
        <v>0</v>
      </c>
      <c r="O35" s="190">
        <f>H35*Prices!E$2</f>
        <v>0</v>
      </c>
      <c r="P35" s="190">
        <f t="shared" si="3"/>
        <v>0</v>
      </c>
      <c r="Q35" s="190">
        <f>D35*Prices!A$2</f>
        <v>98175</v>
      </c>
      <c r="R35" s="191">
        <f t="shared" si="4"/>
        <v>134200</v>
      </c>
      <c r="S35" s="190">
        <f t="shared" si="5"/>
        <v>232375</v>
      </c>
      <c r="T35" s="93">
        <v>34.0</v>
      </c>
      <c r="U35" s="93" t="s">
        <v>80</v>
      </c>
      <c r="V35" s="12" t="s">
        <v>81</v>
      </c>
      <c r="W35" s="12"/>
      <c r="X35" s="12"/>
      <c r="Y35" s="12"/>
      <c r="Z35" s="12"/>
    </row>
    <row r="36">
      <c r="A36" s="93">
        <v>35.0</v>
      </c>
      <c r="B36" s="93">
        <v>4.31</v>
      </c>
      <c r="C36" s="93">
        <f t="shared" si="1"/>
        <v>1.0775</v>
      </c>
      <c r="D36" s="93">
        <f t="shared" si="2"/>
        <v>5.3875</v>
      </c>
      <c r="E36" s="93">
        <v>0.6</v>
      </c>
      <c r="F36" s="93"/>
      <c r="G36" s="93"/>
      <c r="H36" s="93"/>
      <c r="I36" s="93"/>
      <c r="J36" s="93">
        <v>0.7</v>
      </c>
      <c r="K36" s="93"/>
      <c r="L36" s="190">
        <f>E36*Prices!B$2</f>
        <v>66000</v>
      </c>
      <c r="M36" s="190">
        <f>F36*Prices!C$2</f>
        <v>0</v>
      </c>
      <c r="N36" s="190">
        <f>G36*Prices!D$2</f>
        <v>0</v>
      </c>
      <c r="O36" s="190">
        <f>H36*Prices!E$2</f>
        <v>0</v>
      </c>
      <c r="P36" s="190">
        <f t="shared" si="3"/>
        <v>7000</v>
      </c>
      <c r="Q36" s="190">
        <f>D36*Prices!A$2</f>
        <v>96166.875</v>
      </c>
      <c r="R36" s="191">
        <f t="shared" si="4"/>
        <v>66000</v>
      </c>
      <c r="S36" s="190">
        <f t="shared" si="5"/>
        <v>169166.875</v>
      </c>
      <c r="T36" s="93">
        <v>35.0</v>
      </c>
      <c r="U36" s="93" t="s">
        <v>80</v>
      </c>
      <c r="V36" s="12" t="s">
        <v>81</v>
      </c>
      <c r="W36" s="12"/>
      <c r="X36" s="12"/>
      <c r="Y36" s="12"/>
      <c r="Z36" s="12"/>
    </row>
    <row r="37">
      <c r="A37" s="93">
        <v>36.0</v>
      </c>
      <c r="B37" s="93">
        <v>8.02</v>
      </c>
      <c r="C37" s="93">
        <f t="shared" si="1"/>
        <v>2.005</v>
      </c>
      <c r="D37" s="93">
        <f t="shared" si="2"/>
        <v>10.025</v>
      </c>
      <c r="E37" s="93">
        <v>0.96</v>
      </c>
      <c r="F37" s="93"/>
      <c r="G37" s="93"/>
      <c r="H37" s="93"/>
      <c r="I37" s="93"/>
      <c r="J37" s="93">
        <v>2.68</v>
      </c>
      <c r="K37" s="93"/>
      <c r="L37" s="190">
        <f>E37*Prices!B$2</f>
        <v>105600</v>
      </c>
      <c r="M37" s="190">
        <f>F37*Prices!C$2</f>
        <v>0</v>
      </c>
      <c r="N37" s="190">
        <f>G37*Prices!D$2</f>
        <v>0</v>
      </c>
      <c r="O37" s="190">
        <f>H37*Prices!E$2</f>
        <v>0</v>
      </c>
      <c r="P37" s="190">
        <f t="shared" si="3"/>
        <v>26800</v>
      </c>
      <c r="Q37" s="190">
        <f>D37*Prices!A$2</f>
        <v>178946.25</v>
      </c>
      <c r="R37" s="191">
        <f t="shared" si="4"/>
        <v>105600</v>
      </c>
      <c r="S37" s="190">
        <f t="shared" si="5"/>
        <v>311346.25</v>
      </c>
      <c r="T37" s="93">
        <v>36.0</v>
      </c>
      <c r="U37" s="93" t="s">
        <v>82</v>
      </c>
      <c r="V37" s="12"/>
      <c r="W37" s="12"/>
      <c r="X37" s="12"/>
      <c r="Y37" s="12"/>
      <c r="Z37" s="12"/>
    </row>
    <row r="38">
      <c r="A38" s="93">
        <v>37.0</v>
      </c>
      <c r="B38" s="93">
        <v>3.8</v>
      </c>
      <c r="C38" s="93">
        <f t="shared" si="1"/>
        <v>0.95</v>
      </c>
      <c r="D38" s="93">
        <f t="shared" si="2"/>
        <v>4.75</v>
      </c>
      <c r="E38" s="93">
        <v>0.33</v>
      </c>
      <c r="F38" s="93"/>
      <c r="G38" s="93"/>
      <c r="H38" s="93"/>
      <c r="I38" s="93"/>
      <c r="J38" s="93">
        <v>1.1</v>
      </c>
      <c r="K38" s="93"/>
      <c r="L38" s="190">
        <f>E38*Prices!B$2</f>
        <v>36300</v>
      </c>
      <c r="M38" s="190">
        <f>F38*Prices!C$2</f>
        <v>0</v>
      </c>
      <c r="N38" s="190">
        <f>G38*Prices!D$2</f>
        <v>0</v>
      </c>
      <c r="O38" s="190">
        <f>H38*Prices!E$2</f>
        <v>0</v>
      </c>
      <c r="P38" s="190">
        <f t="shared" si="3"/>
        <v>11000</v>
      </c>
      <c r="Q38" s="190">
        <f>D38*Prices!A$2</f>
        <v>84787.5</v>
      </c>
      <c r="R38" s="191">
        <f t="shared" si="4"/>
        <v>36300</v>
      </c>
      <c r="S38" s="190">
        <f t="shared" si="5"/>
        <v>132087.5</v>
      </c>
      <c r="T38" s="93">
        <v>37.0</v>
      </c>
      <c r="U38" s="93" t="s">
        <v>80</v>
      </c>
      <c r="V38" s="12" t="s">
        <v>81</v>
      </c>
      <c r="W38" s="12"/>
      <c r="X38" s="12"/>
      <c r="Y38" s="12"/>
      <c r="Z38" s="12"/>
    </row>
    <row r="39">
      <c r="A39" s="93">
        <v>38.0</v>
      </c>
      <c r="B39" s="93">
        <v>5.562</v>
      </c>
      <c r="C39" s="93">
        <f t="shared" si="1"/>
        <v>1.3905</v>
      </c>
      <c r="D39" s="93">
        <f t="shared" si="2"/>
        <v>6.9525</v>
      </c>
      <c r="E39" s="93">
        <v>1.16</v>
      </c>
      <c r="F39" s="93"/>
      <c r="G39" s="93"/>
      <c r="H39" s="93"/>
      <c r="I39" s="93"/>
      <c r="J39" s="93">
        <v>1.63</v>
      </c>
      <c r="K39" s="93"/>
      <c r="L39" s="190">
        <f>E39*Prices!B$2</f>
        <v>127600</v>
      </c>
      <c r="M39" s="190">
        <f>F39*Prices!C$2</f>
        <v>0</v>
      </c>
      <c r="N39" s="190">
        <f>G39*Prices!D$2</f>
        <v>0</v>
      </c>
      <c r="O39" s="190">
        <f>H39*Prices!E$2</f>
        <v>0</v>
      </c>
      <c r="P39" s="190">
        <f t="shared" si="3"/>
        <v>16300</v>
      </c>
      <c r="Q39" s="190">
        <f>D39*Prices!A$2</f>
        <v>124102.125</v>
      </c>
      <c r="R39" s="191">
        <f t="shared" si="4"/>
        <v>127600</v>
      </c>
      <c r="S39" s="190">
        <f t="shared" si="5"/>
        <v>268002.125</v>
      </c>
      <c r="T39" s="93">
        <v>38.0</v>
      </c>
      <c r="U39" s="93" t="s">
        <v>82</v>
      </c>
      <c r="V39" s="12"/>
      <c r="W39" s="12"/>
      <c r="X39" s="12"/>
      <c r="Y39" s="12"/>
      <c r="Z39" s="12"/>
    </row>
    <row r="40">
      <c r="A40" s="93">
        <v>39.0</v>
      </c>
      <c r="B40" s="93">
        <v>2.66</v>
      </c>
      <c r="C40" s="93">
        <f t="shared" si="1"/>
        <v>0.665</v>
      </c>
      <c r="D40" s="93">
        <f t="shared" si="2"/>
        <v>3.325</v>
      </c>
      <c r="E40" s="93"/>
      <c r="F40" s="93"/>
      <c r="G40" s="93"/>
      <c r="H40" s="93">
        <v>0.71</v>
      </c>
      <c r="I40" s="93"/>
      <c r="J40" s="93"/>
      <c r="K40" s="93"/>
      <c r="L40" s="190">
        <f>E40*Prices!B$2</f>
        <v>0</v>
      </c>
      <c r="M40" s="190">
        <f>F40*Prices!C$2</f>
        <v>0</v>
      </c>
      <c r="N40" s="190">
        <f>G40*Prices!D$2</f>
        <v>0</v>
      </c>
      <c r="O40" s="190">
        <f>H40*360000</f>
        <v>255600</v>
      </c>
      <c r="P40" s="190">
        <f t="shared" si="3"/>
        <v>0</v>
      </c>
      <c r="Q40" s="190">
        <f>D40*Prices!A$2</f>
        <v>59351.25</v>
      </c>
      <c r="R40" s="191">
        <f t="shared" si="4"/>
        <v>255600</v>
      </c>
      <c r="S40" s="190">
        <f t="shared" si="5"/>
        <v>314951.25</v>
      </c>
      <c r="T40" s="93">
        <v>39.0</v>
      </c>
      <c r="U40" s="93" t="s">
        <v>80</v>
      </c>
      <c r="V40" s="12" t="s">
        <v>81</v>
      </c>
      <c r="W40" s="12"/>
      <c r="X40" s="12"/>
      <c r="Y40" s="12"/>
      <c r="Z40" s="12"/>
    </row>
    <row r="41">
      <c r="A41" s="93">
        <v>40.0</v>
      </c>
      <c r="B41" s="93">
        <v>3.204</v>
      </c>
      <c r="C41" s="93">
        <f t="shared" si="1"/>
        <v>0.801</v>
      </c>
      <c r="D41" s="93">
        <f t="shared" si="2"/>
        <v>4.005</v>
      </c>
      <c r="E41" s="93">
        <v>0.5</v>
      </c>
      <c r="F41" s="93"/>
      <c r="G41" s="93"/>
      <c r="H41" s="93">
        <v>0.28</v>
      </c>
      <c r="I41" s="93"/>
      <c r="J41" s="93"/>
      <c r="K41" s="93"/>
      <c r="L41" s="190">
        <f>E41*Prices!B$2</f>
        <v>55000</v>
      </c>
      <c r="M41" s="190">
        <f>F41*Prices!C$2</f>
        <v>0</v>
      </c>
      <c r="N41" s="190">
        <f>G41*Prices!D$2</f>
        <v>0</v>
      </c>
      <c r="O41" s="190">
        <f>H41*200000</f>
        <v>56000</v>
      </c>
      <c r="P41" s="190">
        <f t="shared" si="3"/>
        <v>0</v>
      </c>
      <c r="Q41" s="190">
        <f>D41*Prices!A$2</f>
        <v>71489.25</v>
      </c>
      <c r="R41" s="191">
        <f t="shared" si="4"/>
        <v>111000</v>
      </c>
      <c r="S41" s="190">
        <f t="shared" si="5"/>
        <v>182489.25</v>
      </c>
      <c r="T41" s="93">
        <v>40.0</v>
      </c>
      <c r="U41" s="93" t="s">
        <v>80</v>
      </c>
      <c r="V41" s="12" t="s">
        <v>81</v>
      </c>
      <c r="W41" s="12"/>
      <c r="X41" s="12"/>
      <c r="Y41" s="12"/>
      <c r="Z41" s="12"/>
    </row>
    <row r="42">
      <c r="A42" s="93">
        <v>41.0</v>
      </c>
      <c r="B42" s="93">
        <v>3.91</v>
      </c>
      <c r="C42" s="93">
        <f t="shared" si="1"/>
        <v>0.9775</v>
      </c>
      <c r="D42" s="93">
        <f t="shared" si="2"/>
        <v>4.8875</v>
      </c>
      <c r="E42" s="93"/>
      <c r="F42" s="93"/>
      <c r="G42" s="93"/>
      <c r="H42" s="93">
        <v>0.7</v>
      </c>
      <c r="I42" s="93"/>
      <c r="J42" s="93"/>
      <c r="K42" s="93"/>
      <c r="L42" s="190">
        <f>E42*Prices!B$2</f>
        <v>0</v>
      </c>
      <c r="M42" s="190">
        <f>F42*Prices!C$2</f>
        <v>0</v>
      </c>
      <c r="N42" s="190">
        <f>G42*Prices!D$2</f>
        <v>0</v>
      </c>
      <c r="O42" s="190">
        <f>H42*360000</f>
        <v>252000</v>
      </c>
      <c r="P42" s="190">
        <f t="shared" si="3"/>
        <v>0</v>
      </c>
      <c r="Q42" s="190">
        <f>D42*Prices!A$2</f>
        <v>87241.875</v>
      </c>
      <c r="R42" s="191">
        <f t="shared" si="4"/>
        <v>252000</v>
      </c>
      <c r="S42" s="190">
        <f t="shared" si="5"/>
        <v>339241.875</v>
      </c>
      <c r="T42" s="93">
        <v>41.0</v>
      </c>
      <c r="U42" s="26" t="s">
        <v>82</v>
      </c>
      <c r="V42" s="12"/>
      <c r="W42" s="12"/>
      <c r="X42" s="12"/>
      <c r="Y42" s="12"/>
      <c r="Z42" s="12"/>
    </row>
    <row r="43">
      <c r="A43" s="93">
        <v>42.0</v>
      </c>
      <c r="B43" s="93">
        <v>3.688</v>
      </c>
      <c r="C43" s="93">
        <f t="shared" si="1"/>
        <v>0.922</v>
      </c>
      <c r="D43" s="93">
        <f t="shared" si="2"/>
        <v>4.61</v>
      </c>
      <c r="E43" s="93"/>
      <c r="F43" s="93"/>
      <c r="G43" s="93"/>
      <c r="H43" s="93">
        <v>0.56</v>
      </c>
      <c r="I43" s="93"/>
      <c r="J43" s="93"/>
      <c r="K43" s="93"/>
      <c r="L43" s="190">
        <f>E43*Prices!B$2</f>
        <v>0</v>
      </c>
      <c r="M43" s="190">
        <f>F43*Prices!C$2</f>
        <v>0</v>
      </c>
      <c r="N43" s="190">
        <f>G43*Prices!D$2</f>
        <v>0</v>
      </c>
      <c r="O43" s="190">
        <f>H43*290000</f>
        <v>162400</v>
      </c>
      <c r="P43" s="190">
        <f t="shared" si="3"/>
        <v>0</v>
      </c>
      <c r="Q43" s="190">
        <f>D43*Prices!A$2</f>
        <v>82288.5</v>
      </c>
      <c r="R43" s="191">
        <f t="shared" si="4"/>
        <v>162400</v>
      </c>
      <c r="S43" s="190">
        <f t="shared" si="5"/>
        <v>244688.5</v>
      </c>
      <c r="T43" s="93">
        <v>42.0</v>
      </c>
      <c r="U43" s="93" t="s">
        <v>80</v>
      </c>
      <c r="V43" s="12" t="s">
        <v>81</v>
      </c>
      <c r="W43" s="12"/>
      <c r="X43" s="12"/>
      <c r="Y43" s="12"/>
      <c r="Z43" s="12"/>
    </row>
    <row r="44">
      <c r="A44" s="93">
        <v>43.0</v>
      </c>
      <c r="B44" s="93">
        <v>4.006</v>
      </c>
      <c r="C44" s="93">
        <f t="shared" si="1"/>
        <v>1.0015</v>
      </c>
      <c r="D44" s="93">
        <f t="shared" si="2"/>
        <v>5.0075</v>
      </c>
      <c r="E44" s="93">
        <v>0.72</v>
      </c>
      <c r="F44" s="93"/>
      <c r="G44" s="93"/>
      <c r="H44" s="93"/>
      <c r="I44" s="93"/>
      <c r="J44" s="93"/>
      <c r="K44" s="93"/>
      <c r="L44" s="190">
        <f>E44*Prices!B$2</f>
        <v>79200</v>
      </c>
      <c r="M44" s="190">
        <f>F44*Prices!C$2</f>
        <v>0</v>
      </c>
      <c r="N44" s="190">
        <f>G44*Prices!D$2</f>
        <v>0</v>
      </c>
      <c r="O44" s="190">
        <f>H44*Prices!E$2</f>
        <v>0</v>
      </c>
      <c r="P44" s="190">
        <f t="shared" si="3"/>
        <v>0</v>
      </c>
      <c r="Q44" s="190">
        <f>D44*Prices!A$2</f>
        <v>89383.875</v>
      </c>
      <c r="R44" s="191">
        <f t="shared" si="4"/>
        <v>79200</v>
      </c>
      <c r="S44" s="190">
        <f t="shared" si="5"/>
        <v>168583.875</v>
      </c>
      <c r="T44" s="93">
        <v>43.0</v>
      </c>
      <c r="U44" s="93" t="s">
        <v>80</v>
      </c>
      <c r="V44" s="12" t="s">
        <v>81</v>
      </c>
      <c r="W44" s="12"/>
      <c r="X44" s="12"/>
      <c r="Y44" s="12"/>
      <c r="Z44" s="12"/>
    </row>
    <row r="45">
      <c r="A45" s="93">
        <v>44.0</v>
      </c>
      <c r="B45" s="93">
        <v>6.64</v>
      </c>
      <c r="C45" s="93">
        <f t="shared" si="1"/>
        <v>1.66</v>
      </c>
      <c r="D45" s="93">
        <f t="shared" si="2"/>
        <v>8.3</v>
      </c>
      <c r="E45" s="93">
        <f>0.52+0.3</f>
        <v>0.82</v>
      </c>
      <c r="F45" s="93"/>
      <c r="G45" s="93"/>
      <c r="H45" s="93"/>
      <c r="I45" s="93"/>
      <c r="J45" s="93"/>
      <c r="K45" s="93"/>
      <c r="L45" s="190">
        <f>E45*Prices!B$2</f>
        <v>90200</v>
      </c>
      <c r="M45" s="190">
        <f>F45*Prices!C$2</f>
        <v>0</v>
      </c>
      <c r="N45" s="190">
        <f>G45*Prices!D$2</f>
        <v>0</v>
      </c>
      <c r="O45" s="190">
        <f>H45*Prices!E$2</f>
        <v>0</v>
      </c>
      <c r="P45" s="190">
        <f t="shared" si="3"/>
        <v>0</v>
      </c>
      <c r="Q45" s="190">
        <f>D45*Prices!A$2</f>
        <v>148155</v>
      </c>
      <c r="R45" s="191">
        <f t="shared" si="4"/>
        <v>90200</v>
      </c>
      <c r="S45" s="190">
        <f t="shared" si="5"/>
        <v>238355</v>
      </c>
      <c r="T45" s="93">
        <v>44.0</v>
      </c>
      <c r="U45" s="93" t="s">
        <v>80</v>
      </c>
      <c r="V45" s="12" t="s">
        <v>81</v>
      </c>
      <c r="W45" s="12"/>
      <c r="X45" s="12"/>
      <c r="Y45" s="12"/>
      <c r="Z45" s="12"/>
    </row>
    <row r="46">
      <c r="A46" s="93">
        <v>45.0</v>
      </c>
      <c r="B46" s="93">
        <v>5.934</v>
      </c>
      <c r="C46" s="93">
        <f t="shared" si="1"/>
        <v>1.4835</v>
      </c>
      <c r="D46" s="93">
        <f t="shared" si="2"/>
        <v>7.4175</v>
      </c>
      <c r="E46" s="93">
        <v>1.13</v>
      </c>
      <c r="F46" s="93"/>
      <c r="G46" s="93"/>
      <c r="H46" s="93"/>
      <c r="I46" s="93"/>
      <c r="J46" s="93"/>
      <c r="K46" s="93">
        <v>7.8</v>
      </c>
      <c r="L46" s="190">
        <f>E46*Prices!B$2</f>
        <v>124300</v>
      </c>
      <c r="M46" s="190">
        <f>F46*Prices!C$2</f>
        <v>0</v>
      </c>
      <c r="N46" s="190">
        <f>G46*Prices!D$2</f>
        <v>0</v>
      </c>
      <c r="O46" s="190">
        <f>H46*Prices!E$2</f>
        <v>0</v>
      </c>
      <c r="P46" s="190">
        <f t="shared" si="3"/>
        <v>14040</v>
      </c>
      <c r="Q46" s="190">
        <f>D46*Prices!A$2</f>
        <v>132402.375</v>
      </c>
      <c r="R46" s="191">
        <f t="shared" si="4"/>
        <v>124300</v>
      </c>
      <c r="S46" s="190">
        <f t="shared" si="5"/>
        <v>270742.375</v>
      </c>
      <c r="T46" s="93">
        <v>45.0</v>
      </c>
      <c r="U46" s="93" t="s">
        <v>82</v>
      </c>
      <c r="V46" s="12"/>
      <c r="W46" s="12"/>
      <c r="X46" s="12"/>
      <c r="Y46" s="12"/>
      <c r="Z46" s="12"/>
    </row>
    <row r="47">
      <c r="A47" s="93">
        <v>46.0</v>
      </c>
      <c r="B47" s="93">
        <v>10.44</v>
      </c>
      <c r="C47" s="93">
        <f t="shared" si="1"/>
        <v>2.61</v>
      </c>
      <c r="D47" s="93">
        <f t="shared" si="2"/>
        <v>13.05</v>
      </c>
      <c r="E47" s="93">
        <v>1.97</v>
      </c>
      <c r="F47" s="93"/>
      <c r="G47" s="93"/>
      <c r="H47" s="93"/>
      <c r="I47" s="93"/>
      <c r="J47" s="93"/>
      <c r="K47" s="93">
        <v>6.3</v>
      </c>
      <c r="L47" s="190">
        <f>E47*Prices!B$2</f>
        <v>216700</v>
      </c>
      <c r="M47" s="190">
        <f>F47*Prices!C$2</f>
        <v>0</v>
      </c>
      <c r="N47" s="190">
        <f>G47*Prices!D$2</f>
        <v>0</v>
      </c>
      <c r="O47" s="190">
        <f>H47*Prices!E$2</f>
        <v>0</v>
      </c>
      <c r="P47" s="190">
        <f t="shared" si="3"/>
        <v>11340</v>
      </c>
      <c r="Q47" s="190">
        <f>D47*Prices!A$2</f>
        <v>232942.5</v>
      </c>
      <c r="R47" s="191">
        <f t="shared" si="4"/>
        <v>216700</v>
      </c>
      <c r="S47" s="190">
        <f t="shared" si="5"/>
        <v>460982.5</v>
      </c>
      <c r="T47" s="93">
        <v>46.0</v>
      </c>
      <c r="U47" s="93" t="s">
        <v>80</v>
      </c>
      <c r="V47" s="12" t="s">
        <v>81</v>
      </c>
      <c r="W47" s="12"/>
      <c r="X47" s="12"/>
      <c r="Y47" s="12"/>
      <c r="Z47" s="12"/>
    </row>
    <row r="48">
      <c r="A48" s="93">
        <v>47.0</v>
      </c>
      <c r="B48" s="93">
        <v>5.174</v>
      </c>
      <c r="C48" s="93">
        <f t="shared" si="1"/>
        <v>1.2935</v>
      </c>
      <c r="D48" s="93">
        <f t="shared" si="2"/>
        <v>6.4675</v>
      </c>
      <c r="E48" s="93">
        <v>0.77</v>
      </c>
      <c r="F48" s="93"/>
      <c r="G48" s="93"/>
      <c r="H48" s="93"/>
      <c r="I48" s="93"/>
      <c r="J48" s="93"/>
      <c r="K48" s="93">
        <v>6.36</v>
      </c>
      <c r="L48" s="190">
        <f>E48*Prices!B$2</f>
        <v>84700</v>
      </c>
      <c r="M48" s="190">
        <f>F48*Prices!C$2</f>
        <v>0</v>
      </c>
      <c r="N48" s="190">
        <f>G48*Prices!D$2</f>
        <v>0</v>
      </c>
      <c r="O48" s="190">
        <f>H48*Prices!E$2</f>
        <v>0</v>
      </c>
      <c r="P48" s="190">
        <f t="shared" si="3"/>
        <v>11448</v>
      </c>
      <c r="Q48" s="190">
        <f>D48*Prices!A$2</f>
        <v>115444.875</v>
      </c>
      <c r="R48" s="191">
        <f t="shared" si="4"/>
        <v>84700</v>
      </c>
      <c r="S48" s="190">
        <f t="shared" si="5"/>
        <v>211592.875</v>
      </c>
      <c r="T48" s="93">
        <v>47.0</v>
      </c>
      <c r="U48" s="93" t="s">
        <v>82</v>
      </c>
      <c r="V48" s="12"/>
      <c r="W48" s="12"/>
      <c r="X48" s="12"/>
      <c r="Y48" s="12"/>
      <c r="Z48" s="12"/>
    </row>
    <row r="49">
      <c r="A49" s="93">
        <v>48.0</v>
      </c>
      <c r="B49" s="93">
        <v>4.932</v>
      </c>
      <c r="C49" s="93">
        <f t="shared" si="1"/>
        <v>1.233</v>
      </c>
      <c r="D49" s="93">
        <f t="shared" si="2"/>
        <v>6.165</v>
      </c>
      <c r="E49" s="93">
        <v>0.39</v>
      </c>
      <c r="F49" s="93"/>
      <c r="G49" s="93"/>
      <c r="H49" s="93"/>
      <c r="I49" s="93"/>
      <c r="J49" s="93"/>
      <c r="K49" s="93"/>
      <c r="L49" s="190">
        <f>E49*Prices!B$2</f>
        <v>42900</v>
      </c>
      <c r="M49" s="190">
        <f>F49*Prices!C$2</f>
        <v>0</v>
      </c>
      <c r="N49" s="190">
        <f>G49*Prices!D$2</f>
        <v>0</v>
      </c>
      <c r="O49" s="190">
        <f>H49*Prices!E$2</f>
        <v>0</v>
      </c>
      <c r="P49" s="190">
        <f t="shared" si="3"/>
        <v>0</v>
      </c>
      <c r="Q49" s="190">
        <f>D49*Prices!A$2</f>
        <v>110045.25</v>
      </c>
      <c r="R49" s="191">
        <f t="shared" si="4"/>
        <v>42900</v>
      </c>
      <c r="S49" s="190">
        <f t="shared" si="5"/>
        <v>152945.25</v>
      </c>
      <c r="T49" s="93">
        <v>48.0</v>
      </c>
      <c r="U49" s="93" t="s">
        <v>82</v>
      </c>
      <c r="V49" s="12"/>
      <c r="W49" s="12"/>
      <c r="X49" s="12"/>
      <c r="Y49" s="12"/>
      <c r="Z49" s="12"/>
    </row>
    <row r="50">
      <c r="A50" s="93">
        <v>49.0</v>
      </c>
      <c r="B50" s="93">
        <v>5.852</v>
      </c>
      <c r="C50" s="93">
        <f t="shared" si="1"/>
        <v>1.463</v>
      </c>
      <c r="D50" s="93">
        <f t="shared" si="2"/>
        <v>7.315</v>
      </c>
      <c r="E50" s="93">
        <v>1.67</v>
      </c>
      <c r="F50" s="93"/>
      <c r="G50" s="93"/>
      <c r="H50" s="93"/>
      <c r="I50" s="93"/>
      <c r="J50" s="93"/>
      <c r="K50" s="93">
        <v>5.32</v>
      </c>
      <c r="L50" s="190">
        <f>E50*Prices!B$2</f>
        <v>183700</v>
      </c>
      <c r="M50" s="190">
        <f>F50*Prices!C$2</f>
        <v>0</v>
      </c>
      <c r="N50" s="190">
        <f>G50*Prices!D$2</f>
        <v>0</v>
      </c>
      <c r="O50" s="190">
        <f>H50*Prices!E$2</f>
        <v>0</v>
      </c>
      <c r="P50" s="190">
        <f t="shared" si="3"/>
        <v>9576</v>
      </c>
      <c r="Q50" s="190">
        <f>D50*Prices!A$2</f>
        <v>130572.75</v>
      </c>
      <c r="R50" s="191">
        <f t="shared" si="4"/>
        <v>183700</v>
      </c>
      <c r="S50" s="190">
        <f t="shared" si="5"/>
        <v>323848.75</v>
      </c>
      <c r="T50" s="93">
        <v>49.0</v>
      </c>
      <c r="U50" s="93" t="s">
        <v>82</v>
      </c>
      <c r="V50" s="12"/>
      <c r="W50" s="12"/>
      <c r="X50" s="12"/>
      <c r="Y50" s="12"/>
      <c r="Z50" s="12"/>
    </row>
    <row r="51">
      <c r="A51" s="93">
        <v>50.0</v>
      </c>
      <c r="B51" s="93">
        <v>4.95</v>
      </c>
      <c r="C51" s="93">
        <f t="shared" si="1"/>
        <v>1.2375</v>
      </c>
      <c r="D51" s="93">
        <f t="shared" si="2"/>
        <v>6.1875</v>
      </c>
      <c r="E51" s="93">
        <v>1.1</v>
      </c>
      <c r="F51" s="93"/>
      <c r="G51" s="93"/>
      <c r="H51" s="93"/>
      <c r="I51" s="93"/>
      <c r="J51" s="93"/>
      <c r="K51" s="93"/>
      <c r="L51" s="190">
        <f>E51*Prices!B$2</f>
        <v>121000</v>
      </c>
      <c r="M51" s="190">
        <f>F51*Prices!C$2</f>
        <v>0</v>
      </c>
      <c r="N51" s="190">
        <f>G51*Prices!D$2</f>
        <v>0</v>
      </c>
      <c r="O51" s="190">
        <f>H51*Prices!E$2</f>
        <v>0</v>
      </c>
      <c r="P51" s="190">
        <f t="shared" si="3"/>
        <v>0</v>
      </c>
      <c r="Q51" s="190">
        <f>D51*Prices!A$2</f>
        <v>110446.875</v>
      </c>
      <c r="R51" s="191">
        <f t="shared" si="4"/>
        <v>121000</v>
      </c>
      <c r="S51" s="190">
        <f t="shared" si="5"/>
        <v>231446.875</v>
      </c>
      <c r="T51" s="93">
        <v>50.0</v>
      </c>
      <c r="U51" s="93" t="s">
        <v>80</v>
      </c>
      <c r="V51" s="12" t="s">
        <v>81</v>
      </c>
      <c r="W51" s="12"/>
      <c r="X51" s="12"/>
      <c r="Y51" s="12"/>
      <c r="Z51" s="12"/>
    </row>
    <row r="52">
      <c r="A52" s="192">
        <v>51.0</v>
      </c>
      <c r="B52" s="192">
        <v>5.614</v>
      </c>
      <c r="C52" s="192">
        <f t="shared" si="1"/>
        <v>1.4035</v>
      </c>
      <c r="D52" s="192">
        <f t="shared" si="2"/>
        <v>7.0175</v>
      </c>
      <c r="E52" s="192">
        <f>0.23+0.18</f>
        <v>0.41</v>
      </c>
      <c r="F52" s="192"/>
      <c r="G52" s="192"/>
      <c r="H52" s="192"/>
      <c r="I52" s="192"/>
      <c r="J52" s="192"/>
      <c r="K52" s="192">
        <v>2.52</v>
      </c>
      <c r="L52" s="190">
        <f>E52*Prices!B$2</f>
        <v>45100</v>
      </c>
      <c r="M52" s="190">
        <f>F52*Prices!C$2</f>
        <v>0</v>
      </c>
      <c r="N52" s="190">
        <f>G52*Prices!D$2</f>
        <v>0</v>
      </c>
      <c r="O52" s="190">
        <f>H52*Prices!E$2</f>
        <v>0</v>
      </c>
      <c r="P52" s="190">
        <f t="shared" si="3"/>
        <v>4536</v>
      </c>
      <c r="Q52" s="190">
        <f>D52*Prices!A$2</f>
        <v>125262.375</v>
      </c>
      <c r="R52" s="194">
        <f t="shared" si="4"/>
        <v>45100</v>
      </c>
      <c r="S52" s="193">
        <f t="shared" si="5"/>
        <v>174898.375</v>
      </c>
      <c r="T52" s="192">
        <v>51.0</v>
      </c>
      <c r="U52" s="93" t="s">
        <v>83</v>
      </c>
      <c r="V52" s="12"/>
      <c r="W52" s="12"/>
      <c r="X52" s="12"/>
      <c r="Y52" s="12"/>
      <c r="Z52" s="12"/>
    </row>
    <row r="53">
      <c r="A53" s="93">
        <v>52.0</v>
      </c>
      <c r="B53" s="93">
        <v>3.318</v>
      </c>
      <c r="C53" s="93">
        <f t="shared" si="1"/>
        <v>0.8295</v>
      </c>
      <c r="D53" s="93">
        <f t="shared" si="2"/>
        <v>4.1475</v>
      </c>
      <c r="E53" s="93">
        <v>0.65</v>
      </c>
      <c r="F53" s="93"/>
      <c r="G53" s="93"/>
      <c r="H53" s="93"/>
      <c r="I53" s="93"/>
      <c r="J53" s="93"/>
      <c r="K53" s="93"/>
      <c r="L53" s="190">
        <f>E53*Prices!B$2</f>
        <v>71500</v>
      </c>
      <c r="M53" s="190">
        <f>F53*Prices!C$2</f>
        <v>0</v>
      </c>
      <c r="N53" s="190">
        <f>G53*Prices!D$2</f>
        <v>0</v>
      </c>
      <c r="O53" s="190">
        <f>H53*Prices!E$2</f>
        <v>0</v>
      </c>
      <c r="P53" s="190">
        <f t="shared" si="3"/>
        <v>0</v>
      </c>
      <c r="Q53" s="190">
        <f>D53*Prices!A$2</f>
        <v>74032.875</v>
      </c>
      <c r="R53" s="191">
        <f t="shared" si="4"/>
        <v>71500</v>
      </c>
      <c r="S53" s="190">
        <f t="shared" si="5"/>
        <v>145532.875</v>
      </c>
      <c r="T53" s="93">
        <v>52.0</v>
      </c>
      <c r="U53" s="93" t="s">
        <v>82</v>
      </c>
      <c r="V53" s="12"/>
      <c r="W53" s="12"/>
      <c r="X53" s="12"/>
      <c r="Y53" s="12"/>
      <c r="Z53" s="12"/>
    </row>
    <row r="54">
      <c r="A54" s="192">
        <v>53.0</v>
      </c>
      <c r="B54" s="192">
        <v>5.804</v>
      </c>
      <c r="C54" s="192">
        <f t="shared" si="1"/>
        <v>1.451</v>
      </c>
      <c r="D54" s="192">
        <f t="shared" si="2"/>
        <v>7.255</v>
      </c>
      <c r="E54" s="192">
        <v>0.86</v>
      </c>
      <c r="F54" s="192"/>
      <c r="G54" s="192"/>
      <c r="H54" s="192"/>
      <c r="I54" s="192"/>
      <c r="J54" s="192"/>
      <c r="K54" s="192">
        <v>4.92</v>
      </c>
      <c r="L54" s="193">
        <f>E54*Prices!B$2</f>
        <v>94600</v>
      </c>
      <c r="M54" s="193">
        <f>F54*Prices!C$2</f>
        <v>0</v>
      </c>
      <c r="N54" s="193">
        <f>G54*Prices!D$2</f>
        <v>0</v>
      </c>
      <c r="O54" s="193">
        <f>H54*Prices!E$2</f>
        <v>0</v>
      </c>
      <c r="P54" s="193">
        <f t="shared" si="3"/>
        <v>8856</v>
      </c>
      <c r="Q54" s="193">
        <f>D54*Prices!A$2</f>
        <v>129501.75</v>
      </c>
      <c r="R54" s="194">
        <f t="shared" si="4"/>
        <v>94600</v>
      </c>
      <c r="S54" s="193">
        <f t="shared" si="5"/>
        <v>232957.75</v>
      </c>
      <c r="T54" s="192">
        <v>53.0</v>
      </c>
      <c r="U54" s="192" t="s">
        <v>83</v>
      </c>
      <c r="V54" s="195"/>
      <c r="W54" s="195"/>
      <c r="X54" s="195"/>
      <c r="Y54" s="195"/>
      <c r="Z54" s="195"/>
    </row>
    <row r="55">
      <c r="A55" s="192">
        <v>54.0</v>
      </c>
      <c r="B55" s="192">
        <v>7.378</v>
      </c>
      <c r="C55" s="192">
        <f t="shared" si="1"/>
        <v>1.8445</v>
      </c>
      <c r="D55" s="192">
        <f t="shared" si="2"/>
        <v>9.2225</v>
      </c>
      <c r="E55" s="192">
        <v>0.92</v>
      </c>
      <c r="F55" s="192"/>
      <c r="G55" s="192"/>
      <c r="H55" s="192"/>
      <c r="I55" s="192"/>
      <c r="J55" s="192"/>
      <c r="K55" s="192">
        <v>4.84</v>
      </c>
      <c r="L55" s="193">
        <f>E55*Prices!B$2</f>
        <v>101200</v>
      </c>
      <c r="M55" s="193">
        <f>F55*Prices!C$2</f>
        <v>0</v>
      </c>
      <c r="N55" s="193">
        <f>G55*Prices!D$2</f>
        <v>0</v>
      </c>
      <c r="O55" s="193">
        <f>H55*Prices!E$2</f>
        <v>0</v>
      </c>
      <c r="P55" s="193">
        <f t="shared" si="3"/>
        <v>8712</v>
      </c>
      <c r="Q55" s="193">
        <f>D55*Prices!A$2</f>
        <v>164621.625</v>
      </c>
      <c r="R55" s="194">
        <f t="shared" si="4"/>
        <v>101200</v>
      </c>
      <c r="S55" s="193">
        <f t="shared" si="5"/>
        <v>274533.625</v>
      </c>
      <c r="T55" s="192">
        <v>54.0</v>
      </c>
      <c r="U55" s="192" t="s">
        <v>83</v>
      </c>
      <c r="V55" s="195"/>
      <c r="W55" s="195"/>
      <c r="X55" s="195"/>
      <c r="Y55" s="195"/>
      <c r="Z55" s="195"/>
    </row>
    <row r="56">
      <c r="A56" s="93">
        <v>55.0</v>
      </c>
      <c r="B56" s="93">
        <v>3.702</v>
      </c>
      <c r="C56" s="93">
        <f t="shared" si="1"/>
        <v>0.9255</v>
      </c>
      <c r="D56" s="93">
        <f t="shared" si="2"/>
        <v>4.6275</v>
      </c>
      <c r="E56" s="93">
        <v>0.54</v>
      </c>
      <c r="F56" s="93"/>
      <c r="G56" s="93"/>
      <c r="H56" s="93"/>
      <c r="I56" s="93"/>
      <c r="J56" s="93"/>
      <c r="K56" s="93"/>
      <c r="L56" s="190">
        <f>E56*Prices!B$2</f>
        <v>59400</v>
      </c>
      <c r="M56" s="190">
        <f>F56*Prices!C$2</f>
        <v>0</v>
      </c>
      <c r="N56" s="190">
        <f>G56*Prices!D$2</f>
        <v>0</v>
      </c>
      <c r="O56" s="190">
        <f>H56*Prices!E$2</f>
        <v>0</v>
      </c>
      <c r="P56" s="190">
        <f t="shared" si="3"/>
        <v>0</v>
      </c>
      <c r="Q56" s="190">
        <f>D56*Prices!A$2</f>
        <v>82600.875</v>
      </c>
      <c r="R56" s="191">
        <f t="shared" si="4"/>
        <v>59400</v>
      </c>
      <c r="S56" s="190">
        <f t="shared" si="5"/>
        <v>142000.875</v>
      </c>
      <c r="T56" s="93">
        <v>55.0</v>
      </c>
      <c r="U56" s="93" t="s">
        <v>80</v>
      </c>
      <c r="V56" s="12" t="s">
        <v>81</v>
      </c>
      <c r="W56" s="12"/>
      <c r="X56" s="12"/>
      <c r="Y56" s="12"/>
      <c r="Z56" s="12"/>
    </row>
    <row r="57">
      <c r="A57" s="93">
        <v>56.0</v>
      </c>
      <c r="B57" s="93">
        <v>2.8</v>
      </c>
      <c r="C57" s="93">
        <f t="shared" si="1"/>
        <v>0.7</v>
      </c>
      <c r="D57" s="93">
        <f t="shared" si="2"/>
        <v>3.5</v>
      </c>
      <c r="E57" s="93">
        <v>0.35</v>
      </c>
      <c r="F57" s="93"/>
      <c r="G57" s="93"/>
      <c r="H57" s="93"/>
      <c r="I57" s="93"/>
      <c r="J57" s="93"/>
      <c r="K57" s="93"/>
      <c r="L57" s="190">
        <f>E57*Prices!B$2</f>
        <v>38500</v>
      </c>
      <c r="M57" s="190">
        <f>F57*Prices!C$2</f>
        <v>0</v>
      </c>
      <c r="N57" s="190">
        <f>G57*Prices!D$2</f>
        <v>0</v>
      </c>
      <c r="O57" s="190">
        <f>H57*Prices!E$2</f>
        <v>0</v>
      </c>
      <c r="P57" s="190">
        <f t="shared" si="3"/>
        <v>0</v>
      </c>
      <c r="Q57" s="190">
        <f>D57*Prices!A$2</f>
        <v>62475</v>
      </c>
      <c r="R57" s="191">
        <f t="shared" si="4"/>
        <v>38500</v>
      </c>
      <c r="S57" s="190">
        <f t="shared" si="5"/>
        <v>100975</v>
      </c>
      <c r="T57" s="93">
        <v>56.0</v>
      </c>
      <c r="U57" s="93" t="s">
        <v>82</v>
      </c>
      <c r="V57" s="12"/>
      <c r="W57" s="12"/>
      <c r="X57" s="12"/>
      <c r="Y57" s="12"/>
      <c r="Z57" s="12"/>
    </row>
    <row r="58">
      <c r="A58" s="93">
        <v>57.0</v>
      </c>
      <c r="B58" s="93">
        <v>3.126</v>
      </c>
      <c r="C58" s="93">
        <f t="shared" si="1"/>
        <v>0.7815</v>
      </c>
      <c r="D58" s="93">
        <f t="shared" si="2"/>
        <v>3.9075</v>
      </c>
      <c r="E58" s="93">
        <v>0.42</v>
      </c>
      <c r="F58" s="93">
        <v>0.65</v>
      </c>
      <c r="G58" s="93"/>
      <c r="H58" s="93"/>
      <c r="I58" s="93"/>
      <c r="J58" s="93"/>
      <c r="K58" s="93"/>
      <c r="L58" s="190">
        <f>E58*Prices!B$2</f>
        <v>46200</v>
      </c>
      <c r="M58" s="190">
        <f>F58*Prices!C$2</f>
        <v>104000</v>
      </c>
      <c r="N58" s="190">
        <f>G58*Prices!D$2</f>
        <v>0</v>
      </c>
      <c r="O58" s="190">
        <f>H58*Prices!E$2</f>
        <v>0</v>
      </c>
      <c r="P58" s="190">
        <f t="shared" si="3"/>
        <v>0</v>
      </c>
      <c r="Q58" s="190">
        <f>D58*Prices!A$2</f>
        <v>69748.875</v>
      </c>
      <c r="R58" s="191">
        <f t="shared" si="4"/>
        <v>150200</v>
      </c>
      <c r="S58" s="190">
        <f t="shared" si="5"/>
        <v>219948.875</v>
      </c>
      <c r="T58" s="93">
        <v>57.0</v>
      </c>
      <c r="U58" s="93" t="s">
        <v>80</v>
      </c>
      <c r="V58" s="12" t="s">
        <v>81</v>
      </c>
      <c r="W58" s="12"/>
      <c r="X58" s="12"/>
      <c r="Y58" s="12"/>
      <c r="Z58" s="12"/>
    </row>
    <row r="59">
      <c r="A59" s="93">
        <v>58.0</v>
      </c>
      <c r="B59" s="93">
        <v>8.74</v>
      </c>
      <c r="C59" s="93">
        <f t="shared" si="1"/>
        <v>2.185</v>
      </c>
      <c r="D59" s="93">
        <f t="shared" si="2"/>
        <v>10.925</v>
      </c>
      <c r="E59" s="93">
        <v>1.47</v>
      </c>
      <c r="F59" s="93"/>
      <c r="G59" s="93"/>
      <c r="H59" s="93"/>
      <c r="I59" s="93"/>
      <c r="J59" s="93"/>
      <c r="K59" s="93">
        <v>15.98</v>
      </c>
      <c r="L59" s="190">
        <f>E59*Prices!B$2</f>
        <v>161700</v>
      </c>
      <c r="M59" s="190">
        <f>F59*Prices!C$2</f>
        <v>0</v>
      </c>
      <c r="N59" s="190">
        <f>G59*Prices!D$2</f>
        <v>0</v>
      </c>
      <c r="O59" s="190">
        <f>H59*Prices!E$2</f>
        <v>0</v>
      </c>
      <c r="P59" s="190">
        <f t="shared" si="3"/>
        <v>28764</v>
      </c>
      <c r="Q59" s="190">
        <f>D59*Prices!A$2</f>
        <v>195011.25</v>
      </c>
      <c r="R59" s="191">
        <f t="shared" si="4"/>
        <v>161700</v>
      </c>
      <c r="S59" s="190">
        <f t="shared" si="5"/>
        <v>385475.25</v>
      </c>
      <c r="T59" s="93">
        <v>58.0</v>
      </c>
      <c r="U59" s="93" t="s">
        <v>82</v>
      </c>
      <c r="V59" s="12"/>
      <c r="W59" s="12"/>
      <c r="X59" s="12"/>
      <c r="Y59" s="12"/>
      <c r="Z59" s="12"/>
    </row>
    <row r="60">
      <c r="A60" s="93">
        <v>59.0</v>
      </c>
      <c r="B60" s="93">
        <v>3.81</v>
      </c>
      <c r="C60" s="93">
        <f t="shared" si="1"/>
        <v>0.9525</v>
      </c>
      <c r="D60" s="93">
        <f t="shared" si="2"/>
        <v>4.7625</v>
      </c>
      <c r="E60" s="93">
        <v>0.9</v>
      </c>
      <c r="F60" s="93"/>
      <c r="G60" s="93"/>
      <c r="H60" s="93"/>
      <c r="I60" s="93"/>
      <c r="J60" s="93"/>
      <c r="K60" s="93"/>
      <c r="L60" s="190">
        <f>E60*Prices!B$2</f>
        <v>99000</v>
      </c>
      <c r="M60" s="190">
        <f>F60*Prices!C$2</f>
        <v>0</v>
      </c>
      <c r="N60" s="190">
        <f>G60*Prices!D$2</f>
        <v>0</v>
      </c>
      <c r="O60" s="190">
        <f>H60*Prices!E$2</f>
        <v>0</v>
      </c>
      <c r="P60" s="190">
        <f t="shared" si="3"/>
        <v>0</v>
      </c>
      <c r="Q60" s="190">
        <f>D60*Prices!A$2</f>
        <v>85010.625</v>
      </c>
      <c r="R60" s="191">
        <f t="shared" si="4"/>
        <v>99000</v>
      </c>
      <c r="S60" s="190">
        <f t="shared" si="5"/>
        <v>184010.625</v>
      </c>
      <c r="T60" s="93">
        <v>59.0</v>
      </c>
      <c r="U60" s="93" t="s">
        <v>82</v>
      </c>
      <c r="V60" s="12"/>
      <c r="W60" s="12"/>
      <c r="X60" s="12"/>
      <c r="Y60" s="12"/>
      <c r="Z60" s="12"/>
    </row>
    <row r="61">
      <c r="A61" s="93">
        <v>60.0</v>
      </c>
      <c r="B61" s="93">
        <v>3.524</v>
      </c>
      <c r="C61" s="93">
        <f t="shared" si="1"/>
        <v>0.881</v>
      </c>
      <c r="D61" s="93">
        <f t="shared" si="2"/>
        <v>4.405</v>
      </c>
      <c r="E61" s="93"/>
      <c r="F61" s="93">
        <v>1.88</v>
      </c>
      <c r="G61" s="93"/>
      <c r="H61" s="93"/>
      <c r="I61" s="93"/>
      <c r="J61" s="93"/>
      <c r="K61" s="93"/>
      <c r="L61" s="190">
        <f>E61*Prices!B$2</f>
        <v>0</v>
      </c>
      <c r="M61" s="190">
        <f>F61*Prices!C$2</f>
        <v>300800</v>
      </c>
      <c r="N61" s="190">
        <f>G61*Prices!D$2</f>
        <v>0</v>
      </c>
      <c r="O61" s="190">
        <f>H61*Prices!E$2</f>
        <v>0</v>
      </c>
      <c r="P61" s="190">
        <f t="shared" si="3"/>
        <v>0</v>
      </c>
      <c r="Q61" s="190">
        <f>D61*Prices!A$2</f>
        <v>78629.25</v>
      </c>
      <c r="R61" s="191">
        <f t="shared" si="4"/>
        <v>300800</v>
      </c>
      <c r="S61" s="190">
        <f t="shared" si="5"/>
        <v>379429.25</v>
      </c>
      <c r="T61" s="93">
        <v>60.0</v>
      </c>
      <c r="U61" s="93" t="s">
        <v>82</v>
      </c>
      <c r="V61" s="12"/>
      <c r="W61" s="12"/>
      <c r="X61" s="12"/>
      <c r="Y61" s="12"/>
      <c r="Z61" s="12"/>
    </row>
    <row r="62">
      <c r="A62" s="192">
        <v>61.0</v>
      </c>
      <c r="B62" s="192">
        <v>3.537</v>
      </c>
      <c r="C62" s="192">
        <f t="shared" si="1"/>
        <v>0.88425</v>
      </c>
      <c r="D62" s="192">
        <f t="shared" si="2"/>
        <v>4.42125</v>
      </c>
      <c r="E62" s="192">
        <v>0.49</v>
      </c>
      <c r="F62" s="192"/>
      <c r="G62" s="192"/>
      <c r="H62" s="192"/>
      <c r="I62" s="192"/>
      <c r="J62" s="192"/>
      <c r="K62" s="192"/>
      <c r="L62" s="193">
        <f>E62*Prices!B$2</f>
        <v>53900</v>
      </c>
      <c r="M62" s="193">
        <f>F62*Prices!C$2</f>
        <v>0</v>
      </c>
      <c r="N62" s="193">
        <f>G62*Prices!D$2</f>
        <v>0</v>
      </c>
      <c r="O62" s="193">
        <f>H62*Prices!E$2</f>
        <v>0</v>
      </c>
      <c r="P62" s="193">
        <f t="shared" si="3"/>
        <v>0</v>
      </c>
      <c r="Q62" s="193">
        <f>D62*Prices!A$2</f>
        <v>78919.3125</v>
      </c>
      <c r="R62" s="194">
        <f t="shared" si="4"/>
        <v>53900</v>
      </c>
      <c r="S62" s="193">
        <f t="shared" si="5"/>
        <v>132819.3125</v>
      </c>
      <c r="T62" s="192">
        <v>61.0</v>
      </c>
      <c r="U62" s="192" t="s">
        <v>83</v>
      </c>
      <c r="V62" s="195"/>
      <c r="W62" s="195"/>
      <c r="X62" s="195"/>
      <c r="Y62" s="195"/>
      <c r="Z62" s="195"/>
    </row>
    <row r="63">
      <c r="A63" s="93">
        <v>62.0</v>
      </c>
      <c r="B63" s="93">
        <v>4.78</v>
      </c>
      <c r="C63" s="93">
        <f t="shared" si="1"/>
        <v>1.195</v>
      </c>
      <c r="D63" s="93">
        <f t="shared" si="2"/>
        <v>5.975</v>
      </c>
      <c r="E63" s="93">
        <v>1.18</v>
      </c>
      <c r="F63" s="93"/>
      <c r="G63" s="93"/>
      <c r="H63" s="93"/>
      <c r="I63" s="93"/>
      <c r="J63" s="93"/>
      <c r="K63" s="93"/>
      <c r="L63" s="190">
        <f>E63*Prices!B$2</f>
        <v>129800</v>
      </c>
      <c r="M63" s="190">
        <f>F63*Prices!C$2</f>
        <v>0</v>
      </c>
      <c r="N63" s="190">
        <f>G63*Prices!D$2</f>
        <v>0</v>
      </c>
      <c r="O63" s="190">
        <f>H63*Prices!E$2</f>
        <v>0</v>
      </c>
      <c r="P63" s="190">
        <f t="shared" si="3"/>
        <v>0</v>
      </c>
      <c r="Q63" s="190">
        <f>D63*Prices!A$2</f>
        <v>106653.75</v>
      </c>
      <c r="R63" s="191">
        <f t="shared" si="4"/>
        <v>129800</v>
      </c>
      <c r="S63" s="190">
        <f t="shared" si="5"/>
        <v>236453.75</v>
      </c>
      <c r="T63" s="93">
        <v>62.0</v>
      </c>
      <c r="U63" s="93" t="s">
        <v>80</v>
      </c>
      <c r="V63" s="12" t="s">
        <v>81</v>
      </c>
      <c r="W63" s="12"/>
      <c r="X63" s="12"/>
      <c r="Y63" s="12"/>
      <c r="Z63" s="12"/>
    </row>
    <row r="64">
      <c r="A64" s="93">
        <v>63.0</v>
      </c>
      <c r="B64" s="93">
        <v>1.588</v>
      </c>
      <c r="C64" s="93">
        <f t="shared" si="1"/>
        <v>0.397</v>
      </c>
      <c r="D64" s="93">
        <f t="shared" si="2"/>
        <v>1.985</v>
      </c>
      <c r="E64" s="93">
        <v>0.46</v>
      </c>
      <c r="F64" s="93"/>
      <c r="G64" s="93"/>
      <c r="H64" s="93"/>
      <c r="I64" s="93"/>
      <c r="J64" s="93"/>
      <c r="K64" s="93"/>
      <c r="L64" s="190">
        <f>E64*Prices!B$2</f>
        <v>50600</v>
      </c>
      <c r="M64" s="190">
        <f>F64*Prices!C$2</f>
        <v>0</v>
      </c>
      <c r="N64" s="190">
        <f>G64*Prices!D$2</f>
        <v>0</v>
      </c>
      <c r="O64" s="190">
        <f>H64*Prices!E$2</f>
        <v>0</v>
      </c>
      <c r="P64" s="190">
        <f t="shared" si="3"/>
        <v>0</v>
      </c>
      <c r="Q64" s="190">
        <f>D64*Prices!A$2</f>
        <v>35432.25</v>
      </c>
      <c r="R64" s="191">
        <f t="shared" si="4"/>
        <v>50600</v>
      </c>
      <c r="S64" s="190">
        <f t="shared" si="5"/>
        <v>86032.25</v>
      </c>
      <c r="T64" s="93">
        <v>63.0</v>
      </c>
      <c r="U64" s="93" t="s">
        <v>82</v>
      </c>
      <c r="V64" s="12"/>
      <c r="W64" s="12"/>
      <c r="X64" s="12"/>
      <c r="Y64" s="12"/>
      <c r="Z64" s="12"/>
    </row>
    <row r="65">
      <c r="A65" s="93">
        <v>64.0</v>
      </c>
      <c r="B65" s="93">
        <v>2.16</v>
      </c>
      <c r="C65" s="93">
        <f t="shared" si="1"/>
        <v>0.54</v>
      </c>
      <c r="D65" s="93">
        <f t="shared" si="2"/>
        <v>2.7</v>
      </c>
      <c r="E65" s="93">
        <v>0.35</v>
      </c>
      <c r="F65" s="93"/>
      <c r="G65" s="93"/>
      <c r="H65" s="93"/>
      <c r="I65" s="93"/>
      <c r="J65" s="93"/>
      <c r="K65" s="93"/>
      <c r="L65" s="190">
        <f>E65*Prices!B$2</f>
        <v>38500</v>
      </c>
      <c r="M65" s="190">
        <f>F65*Prices!C$2</f>
        <v>0</v>
      </c>
      <c r="N65" s="190">
        <f>G65*Prices!D$2</f>
        <v>0</v>
      </c>
      <c r="O65" s="190">
        <f>H65*Prices!E$2</f>
        <v>0</v>
      </c>
      <c r="P65" s="190">
        <f t="shared" si="3"/>
        <v>0</v>
      </c>
      <c r="Q65" s="190">
        <f>D65*Prices!A$2</f>
        <v>48195</v>
      </c>
      <c r="R65" s="191">
        <f t="shared" si="4"/>
        <v>38500</v>
      </c>
      <c r="S65" s="190">
        <f t="shared" si="5"/>
        <v>86695</v>
      </c>
      <c r="T65" s="93">
        <v>64.0</v>
      </c>
      <c r="U65" s="93" t="s">
        <v>82</v>
      </c>
      <c r="V65" s="12"/>
      <c r="W65" s="12"/>
      <c r="X65" s="12"/>
      <c r="Y65" s="12"/>
      <c r="Z65" s="12"/>
    </row>
    <row r="66">
      <c r="A66" s="93">
        <v>65.0</v>
      </c>
      <c r="B66" s="93">
        <v>1.518</v>
      </c>
      <c r="C66" s="93">
        <f t="shared" si="1"/>
        <v>0.3795</v>
      </c>
      <c r="D66" s="93">
        <f t="shared" si="2"/>
        <v>1.8975</v>
      </c>
      <c r="E66" s="93">
        <v>0.26</v>
      </c>
      <c r="F66" s="93"/>
      <c r="G66" s="93"/>
      <c r="H66" s="93"/>
      <c r="I66" s="93"/>
      <c r="J66" s="93"/>
      <c r="K66" s="93"/>
      <c r="L66" s="190">
        <f>E66*Prices!B$2</f>
        <v>28600</v>
      </c>
      <c r="M66" s="190">
        <f>F66*Prices!C$2</f>
        <v>0</v>
      </c>
      <c r="N66" s="190">
        <f>G66*Prices!D$2</f>
        <v>0</v>
      </c>
      <c r="O66" s="190">
        <f>H66*Prices!E$2</f>
        <v>0</v>
      </c>
      <c r="P66" s="190">
        <f t="shared" si="3"/>
        <v>0</v>
      </c>
      <c r="Q66" s="190">
        <f>D66*Prices!A$2</f>
        <v>33870.375</v>
      </c>
      <c r="R66" s="191">
        <f t="shared" si="4"/>
        <v>28600</v>
      </c>
      <c r="S66" s="190">
        <f t="shared" si="5"/>
        <v>62470.375</v>
      </c>
      <c r="T66" s="93">
        <v>65.0</v>
      </c>
      <c r="U66" s="93" t="s">
        <v>82</v>
      </c>
      <c r="V66" s="12"/>
      <c r="W66" s="12"/>
      <c r="X66" s="12"/>
      <c r="Y66" s="12"/>
      <c r="Z66" s="12"/>
    </row>
    <row r="67">
      <c r="A67" s="93">
        <v>66.0</v>
      </c>
      <c r="B67" s="93">
        <v>2.148</v>
      </c>
      <c r="C67" s="93">
        <f t="shared" si="1"/>
        <v>0.537</v>
      </c>
      <c r="D67" s="93">
        <f t="shared" si="2"/>
        <v>2.685</v>
      </c>
      <c r="E67" s="93">
        <v>0.36</v>
      </c>
      <c r="F67" s="93"/>
      <c r="G67" s="93"/>
      <c r="H67" s="93"/>
      <c r="I67" s="93"/>
      <c r="J67" s="93"/>
      <c r="K67" s="93"/>
      <c r="L67" s="190">
        <f>E67*Prices!B$2</f>
        <v>39600</v>
      </c>
      <c r="M67" s="190">
        <f>F67*Prices!C$2</f>
        <v>0</v>
      </c>
      <c r="N67" s="190">
        <f>G67*Prices!D$2</f>
        <v>0</v>
      </c>
      <c r="O67" s="190">
        <f>H67*Prices!E$2</f>
        <v>0</v>
      </c>
      <c r="P67" s="190">
        <f t="shared" si="3"/>
        <v>0</v>
      </c>
      <c r="Q67" s="190">
        <f>D67*Prices!A$2</f>
        <v>47927.25</v>
      </c>
      <c r="R67" s="191">
        <f t="shared" si="4"/>
        <v>39600</v>
      </c>
      <c r="S67" s="190">
        <f t="shared" si="5"/>
        <v>87527.25</v>
      </c>
      <c r="T67" s="93">
        <v>66.0</v>
      </c>
      <c r="U67" s="93" t="s">
        <v>82</v>
      </c>
      <c r="V67" s="12"/>
      <c r="W67" s="12"/>
      <c r="X67" s="12"/>
      <c r="Y67" s="12"/>
      <c r="Z67" s="12"/>
    </row>
    <row r="68">
      <c r="A68" s="93">
        <v>67.0</v>
      </c>
      <c r="B68" s="93">
        <v>1.482</v>
      </c>
      <c r="C68" s="93">
        <f t="shared" si="1"/>
        <v>0.3705</v>
      </c>
      <c r="D68" s="93">
        <f t="shared" si="2"/>
        <v>1.8525</v>
      </c>
      <c r="E68" s="93">
        <v>0.49</v>
      </c>
      <c r="F68" s="93"/>
      <c r="G68" s="93"/>
      <c r="H68" s="93"/>
      <c r="I68" s="93"/>
      <c r="J68" s="93"/>
      <c r="K68" s="93"/>
      <c r="L68" s="190">
        <f>E68*Prices!B$2</f>
        <v>53900</v>
      </c>
      <c r="M68" s="190">
        <f>F68*Prices!C$2</f>
        <v>0</v>
      </c>
      <c r="N68" s="190">
        <f>G68*Prices!D$2</f>
        <v>0</v>
      </c>
      <c r="O68" s="190">
        <f>H68*Prices!E$2</f>
        <v>0</v>
      </c>
      <c r="P68" s="190">
        <f t="shared" si="3"/>
        <v>0</v>
      </c>
      <c r="Q68" s="190">
        <f>D68*Prices!A$2</f>
        <v>33067.125</v>
      </c>
      <c r="R68" s="191">
        <f t="shared" si="4"/>
        <v>53900</v>
      </c>
      <c r="S68" s="190">
        <f t="shared" si="5"/>
        <v>86967.125</v>
      </c>
      <c r="T68" s="93">
        <v>67.0</v>
      </c>
      <c r="U68" s="93" t="s">
        <v>82</v>
      </c>
      <c r="V68" s="12"/>
      <c r="W68" s="12"/>
      <c r="X68" s="12"/>
      <c r="Y68" s="12"/>
      <c r="Z68" s="12"/>
    </row>
    <row r="69">
      <c r="A69" s="93">
        <v>68.0</v>
      </c>
      <c r="B69" s="93">
        <v>1.92</v>
      </c>
      <c r="C69" s="93">
        <f t="shared" si="1"/>
        <v>0.48</v>
      </c>
      <c r="D69" s="93">
        <f t="shared" si="2"/>
        <v>2.4</v>
      </c>
      <c r="E69" s="93">
        <v>0.3</v>
      </c>
      <c r="F69" s="93"/>
      <c r="G69" s="93"/>
      <c r="H69" s="93"/>
      <c r="I69" s="93"/>
      <c r="J69" s="93"/>
      <c r="K69" s="93"/>
      <c r="L69" s="190">
        <f>E69*Prices!B$2</f>
        <v>33000</v>
      </c>
      <c r="M69" s="190">
        <f>F69*Prices!C$2</f>
        <v>0</v>
      </c>
      <c r="N69" s="190">
        <f>G69*Prices!D$2</f>
        <v>0</v>
      </c>
      <c r="O69" s="190">
        <f>H69*Prices!E$2</f>
        <v>0</v>
      </c>
      <c r="P69" s="190">
        <f t="shared" si="3"/>
        <v>0</v>
      </c>
      <c r="Q69" s="190">
        <f>D69*Prices!A$2</f>
        <v>42840</v>
      </c>
      <c r="R69" s="191">
        <f t="shared" si="4"/>
        <v>33000</v>
      </c>
      <c r="S69" s="190">
        <f t="shared" si="5"/>
        <v>75840</v>
      </c>
      <c r="T69" s="93">
        <v>68.0</v>
      </c>
      <c r="U69" s="93" t="s">
        <v>80</v>
      </c>
      <c r="V69" s="12" t="s">
        <v>81</v>
      </c>
      <c r="W69" s="12"/>
      <c r="X69" s="12"/>
      <c r="Y69" s="12"/>
      <c r="Z69" s="12"/>
    </row>
    <row r="70">
      <c r="A70" s="93">
        <v>69.0</v>
      </c>
      <c r="B70" s="93">
        <v>1.394</v>
      </c>
      <c r="C70" s="93">
        <f t="shared" si="1"/>
        <v>0.3485</v>
      </c>
      <c r="D70" s="93">
        <f t="shared" si="2"/>
        <v>1.7425</v>
      </c>
      <c r="E70" s="93">
        <v>0.48</v>
      </c>
      <c r="F70" s="93"/>
      <c r="G70" s="93"/>
      <c r="H70" s="93"/>
      <c r="I70" s="93"/>
      <c r="J70" s="93"/>
      <c r="K70" s="93"/>
      <c r="L70" s="190">
        <f>E70*Prices!B$2</f>
        <v>52800</v>
      </c>
      <c r="M70" s="190">
        <f>F70*Prices!C$2</f>
        <v>0</v>
      </c>
      <c r="N70" s="190">
        <f>G70*Prices!D$2</f>
        <v>0</v>
      </c>
      <c r="O70" s="190">
        <f>H70*Prices!E$2</f>
        <v>0</v>
      </c>
      <c r="P70" s="190">
        <f t="shared" si="3"/>
        <v>0</v>
      </c>
      <c r="Q70" s="190">
        <f>D70*Prices!A$2</f>
        <v>31103.625</v>
      </c>
      <c r="R70" s="191">
        <f t="shared" si="4"/>
        <v>52800</v>
      </c>
      <c r="S70" s="190">
        <f t="shared" si="5"/>
        <v>83903.625</v>
      </c>
      <c r="T70" s="93">
        <v>69.0</v>
      </c>
      <c r="U70" s="93" t="s">
        <v>82</v>
      </c>
      <c r="V70" s="12"/>
      <c r="W70" s="12"/>
      <c r="X70" s="12"/>
      <c r="Y70" s="12"/>
      <c r="Z70" s="12"/>
    </row>
    <row r="71">
      <c r="A71" s="93">
        <v>70.0</v>
      </c>
      <c r="B71" s="93">
        <v>2.4</v>
      </c>
      <c r="C71" s="93">
        <f t="shared" si="1"/>
        <v>0.6</v>
      </c>
      <c r="D71" s="93">
        <f t="shared" si="2"/>
        <v>3</v>
      </c>
      <c r="E71" s="93">
        <v>0.21</v>
      </c>
      <c r="F71" s="93"/>
      <c r="G71" s="93"/>
      <c r="H71" s="93"/>
      <c r="I71" s="93"/>
      <c r="J71" s="93"/>
      <c r="K71" s="93"/>
      <c r="L71" s="190">
        <f>E71*Prices!B$2</f>
        <v>23100</v>
      </c>
      <c r="M71" s="190">
        <f>F71*Prices!C$2</f>
        <v>0</v>
      </c>
      <c r="N71" s="190">
        <f>G71*Prices!D$2</f>
        <v>0</v>
      </c>
      <c r="O71" s="190">
        <f>H71*Prices!E$2</f>
        <v>0</v>
      </c>
      <c r="P71" s="190">
        <f t="shared" si="3"/>
        <v>0</v>
      </c>
      <c r="Q71" s="190">
        <f>D71*Prices!A$2</f>
        <v>53550</v>
      </c>
      <c r="R71" s="191">
        <f t="shared" si="4"/>
        <v>23100</v>
      </c>
      <c r="S71" s="190">
        <f t="shared" si="5"/>
        <v>76650</v>
      </c>
      <c r="T71" s="93">
        <v>70.0</v>
      </c>
      <c r="U71" s="93" t="s">
        <v>80</v>
      </c>
      <c r="V71" s="12" t="s">
        <v>81</v>
      </c>
      <c r="W71" s="12"/>
      <c r="X71" s="12"/>
      <c r="Y71" s="12"/>
      <c r="Z71" s="12"/>
    </row>
    <row r="72">
      <c r="A72" s="93">
        <v>71.0</v>
      </c>
      <c r="B72" s="93">
        <v>2.77</v>
      </c>
      <c r="C72" s="93">
        <f t="shared" si="1"/>
        <v>0.6925</v>
      </c>
      <c r="D72" s="93">
        <f t="shared" si="2"/>
        <v>3.4625</v>
      </c>
      <c r="E72" s="93"/>
      <c r="F72" s="93"/>
      <c r="G72" s="93">
        <v>0.54</v>
      </c>
      <c r="H72" s="93"/>
      <c r="I72" s="93"/>
      <c r="J72" s="93"/>
      <c r="K72" s="93"/>
      <c r="L72" s="190">
        <f>E72*Prices!B$2</f>
        <v>0</v>
      </c>
      <c r="M72" s="190">
        <f>F72*Prices!C$2</f>
        <v>0</v>
      </c>
      <c r="N72" s="190">
        <f>G72*Prices!D$2</f>
        <v>105300</v>
      </c>
      <c r="O72" s="190">
        <f>H72*Prices!E$2</f>
        <v>0</v>
      </c>
      <c r="P72" s="190">
        <f t="shared" si="3"/>
        <v>0</v>
      </c>
      <c r="Q72" s="190">
        <f>D72*Prices!A$2</f>
        <v>61805.625</v>
      </c>
      <c r="R72" s="191">
        <f t="shared" si="4"/>
        <v>105300</v>
      </c>
      <c r="S72" s="190">
        <f t="shared" si="5"/>
        <v>167105.625</v>
      </c>
      <c r="T72" s="93">
        <v>71.0</v>
      </c>
      <c r="U72" s="93" t="s">
        <v>82</v>
      </c>
      <c r="V72" s="12"/>
      <c r="W72" s="12"/>
      <c r="X72" s="12"/>
      <c r="Y72" s="12"/>
      <c r="Z72" s="12"/>
    </row>
    <row r="73">
      <c r="A73" s="93">
        <v>72.0</v>
      </c>
      <c r="B73" s="93">
        <v>3.488</v>
      </c>
      <c r="C73" s="93">
        <f t="shared" si="1"/>
        <v>0.872</v>
      </c>
      <c r="D73" s="93">
        <f t="shared" si="2"/>
        <v>4.36</v>
      </c>
      <c r="E73" s="93"/>
      <c r="F73" s="93">
        <v>0.81</v>
      </c>
      <c r="G73" s="93"/>
      <c r="H73" s="93"/>
      <c r="I73" s="93"/>
      <c r="J73" s="93"/>
      <c r="K73" s="93"/>
      <c r="L73" s="190">
        <f>E73*Prices!B$2</f>
        <v>0</v>
      </c>
      <c r="M73" s="190">
        <f>F73*Prices!C$2</f>
        <v>129600</v>
      </c>
      <c r="N73" s="190">
        <f>G73*Prices!D$2</f>
        <v>0</v>
      </c>
      <c r="O73" s="190">
        <f>H73*Prices!E$2</f>
        <v>0</v>
      </c>
      <c r="P73" s="190">
        <f t="shared" si="3"/>
        <v>0</v>
      </c>
      <c r="Q73" s="190">
        <f>D73*Prices!A$2</f>
        <v>77826</v>
      </c>
      <c r="R73" s="191">
        <f t="shared" si="4"/>
        <v>129600</v>
      </c>
      <c r="S73" s="190">
        <f t="shared" si="5"/>
        <v>207426</v>
      </c>
      <c r="T73" s="93">
        <v>72.0</v>
      </c>
      <c r="U73" s="93" t="s">
        <v>80</v>
      </c>
      <c r="V73" s="12" t="s">
        <v>81</v>
      </c>
      <c r="W73" s="12"/>
      <c r="X73" s="12"/>
      <c r="Y73" s="12"/>
      <c r="Z73" s="12"/>
    </row>
    <row r="74">
      <c r="A74" s="93">
        <v>73.0</v>
      </c>
      <c r="B74" s="93">
        <v>2.344</v>
      </c>
      <c r="C74" s="93">
        <f t="shared" si="1"/>
        <v>0.586</v>
      </c>
      <c r="D74" s="93">
        <f t="shared" si="2"/>
        <v>2.93</v>
      </c>
      <c r="E74" s="93"/>
      <c r="F74" s="93">
        <v>0.63</v>
      </c>
      <c r="G74" s="93"/>
      <c r="H74" s="93"/>
      <c r="I74" s="93"/>
      <c r="J74" s="93"/>
      <c r="K74" s="93"/>
      <c r="L74" s="190">
        <f>E74*Prices!B$2</f>
        <v>0</v>
      </c>
      <c r="M74" s="190">
        <f>F74*Prices!C$2</f>
        <v>100800</v>
      </c>
      <c r="N74" s="190">
        <f>G74*Prices!D$2</f>
        <v>0</v>
      </c>
      <c r="O74" s="190">
        <f>H74*Prices!E$2</f>
        <v>0</v>
      </c>
      <c r="P74" s="190">
        <f t="shared" si="3"/>
        <v>0</v>
      </c>
      <c r="Q74" s="190">
        <f>D74*Prices!A$2</f>
        <v>52300.5</v>
      </c>
      <c r="R74" s="191">
        <f t="shared" si="4"/>
        <v>100800</v>
      </c>
      <c r="S74" s="190">
        <f t="shared" si="5"/>
        <v>153100.5</v>
      </c>
      <c r="T74" s="93">
        <v>73.0</v>
      </c>
      <c r="U74" s="26" t="s">
        <v>82</v>
      </c>
      <c r="V74" s="12"/>
      <c r="W74" s="12"/>
      <c r="X74" s="12"/>
      <c r="Y74" s="12"/>
      <c r="Z74" s="12"/>
    </row>
    <row r="75">
      <c r="A75" s="93">
        <v>74.0</v>
      </c>
      <c r="B75" s="93">
        <v>1.824</v>
      </c>
      <c r="C75" s="93">
        <f t="shared" si="1"/>
        <v>0.456</v>
      </c>
      <c r="D75" s="93">
        <f t="shared" si="2"/>
        <v>2.28</v>
      </c>
      <c r="E75" s="93">
        <v>0.28</v>
      </c>
      <c r="F75" s="93"/>
      <c r="G75" s="93"/>
      <c r="H75" s="93"/>
      <c r="I75" s="93"/>
      <c r="J75" s="93"/>
      <c r="K75" s="93"/>
      <c r="L75" s="190">
        <f>E75*Prices!B$2</f>
        <v>30800</v>
      </c>
      <c r="M75" s="190">
        <f>F75*Prices!C$2</f>
        <v>0</v>
      </c>
      <c r="N75" s="190">
        <f>G75*Prices!D$2</f>
        <v>0</v>
      </c>
      <c r="O75" s="190">
        <f>H75*Prices!E$2</f>
        <v>0</v>
      </c>
      <c r="P75" s="190">
        <f t="shared" si="3"/>
        <v>0</v>
      </c>
      <c r="Q75" s="190">
        <f>D75*Prices!A$2</f>
        <v>40698</v>
      </c>
      <c r="R75" s="191">
        <f t="shared" si="4"/>
        <v>30800</v>
      </c>
      <c r="S75" s="190">
        <f t="shared" si="5"/>
        <v>71498</v>
      </c>
      <c r="T75" s="93">
        <v>74.0</v>
      </c>
      <c r="U75" s="93" t="s">
        <v>82</v>
      </c>
      <c r="V75" s="12"/>
      <c r="W75" s="12"/>
      <c r="X75" s="12"/>
      <c r="Y75" s="12"/>
      <c r="Z75" s="12"/>
    </row>
    <row r="76">
      <c r="A76" s="93">
        <v>75.0</v>
      </c>
      <c r="B76" s="93">
        <v>2.398</v>
      </c>
      <c r="C76" s="93">
        <f t="shared" si="1"/>
        <v>0.5995</v>
      </c>
      <c r="D76" s="93">
        <f t="shared" si="2"/>
        <v>2.9975</v>
      </c>
      <c r="E76" s="93">
        <v>0.26</v>
      </c>
      <c r="F76" s="93"/>
      <c r="G76" s="93"/>
      <c r="H76" s="93"/>
      <c r="I76" s="93"/>
      <c r="J76" s="93"/>
      <c r="K76" s="93"/>
      <c r="L76" s="190">
        <f>E76*Prices!B$2</f>
        <v>28600</v>
      </c>
      <c r="M76" s="190">
        <f>F76*Prices!C$2</f>
        <v>0</v>
      </c>
      <c r="N76" s="190">
        <f>G76*Prices!D$2</f>
        <v>0</v>
      </c>
      <c r="O76" s="190">
        <f>H76*Prices!E$2</f>
        <v>0</v>
      </c>
      <c r="P76" s="190">
        <f t="shared" si="3"/>
        <v>0</v>
      </c>
      <c r="Q76" s="190">
        <f>D76*Prices!A$2</f>
        <v>53505.375</v>
      </c>
      <c r="R76" s="191">
        <f t="shared" si="4"/>
        <v>28600</v>
      </c>
      <c r="S76" s="190">
        <f t="shared" si="5"/>
        <v>82105.375</v>
      </c>
      <c r="T76" s="93">
        <v>75.0</v>
      </c>
      <c r="U76" s="26" t="s">
        <v>82</v>
      </c>
      <c r="V76" s="12"/>
      <c r="W76" s="12"/>
      <c r="X76" s="12"/>
      <c r="Y76" s="12"/>
      <c r="Z76" s="12"/>
    </row>
    <row r="77">
      <c r="A77" s="93">
        <v>76.0</v>
      </c>
      <c r="B77" s="93">
        <v>2.55</v>
      </c>
      <c r="C77" s="93">
        <f t="shared" si="1"/>
        <v>0.6375</v>
      </c>
      <c r="D77" s="93">
        <f t="shared" si="2"/>
        <v>3.1875</v>
      </c>
      <c r="E77" s="93">
        <v>0.31</v>
      </c>
      <c r="F77" s="93">
        <v>0.08</v>
      </c>
      <c r="G77" s="93"/>
      <c r="H77" s="93"/>
      <c r="I77" s="93"/>
      <c r="J77" s="93"/>
      <c r="K77" s="93"/>
      <c r="L77" s="190">
        <f>E77*Prices!B$2</f>
        <v>34100</v>
      </c>
      <c r="M77" s="190">
        <f>F77*Prices!C$2</f>
        <v>12800</v>
      </c>
      <c r="N77" s="190">
        <f>G77*Prices!D$2</f>
        <v>0</v>
      </c>
      <c r="O77" s="190">
        <f>H77*Prices!E$2</f>
        <v>0</v>
      </c>
      <c r="P77" s="190">
        <f t="shared" si="3"/>
        <v>0</v>
      </c>
      <c r="Q77" s="190">
        <f>D77*Prices!A$2</f>
        <v>56896.875</v>
      </c>
      <c r="R77" s="191">
        <f t="shared" si="4"/>
        <v>46900</v>
      </c>
      <c r="S77" s="190">
        <f t="shared" si="5"/>
        <v>103796.875</v>
      </c>
      <c r="T77" s="93">
        <v>76.0</v>
      </c>
      <c r="U77" s="93" t="s">
        <v>82</v>
      </c>
      <c r="V77" s="12"/>
      <c r="W77" s="12"/>
      <c r="X77" s="12"/>
      <c r="Y77" s="12"/>
      <c r="Z77" s="12"/>
    </row>
    <row r="78">
      <c r="A78" s="192">
        <v>77.0</v>
      </c>
      <c r="B78" s="192">
        <v>3.5</v>
      </c>
      <c r="C78" s="192">
        <f t="shared" si="1"/>
        <v>0.875</v>
      </c>
      <c r="D78" s="192">
        <f t="shared" si="2"/>
        <v>4.375</v>
      </c>
      <c r="E78" s="192">
        <v>0.32</v>
      </c>
      <c r="F78" s="192"/>
      <c r="G78" s="192"/>
      <c r="H78" s="192"/>
      <c r="I78" s="192"/>
      <c r="J78" s="192"/>
      <c r="K78" s="192"/>
      <c r="L78" s="190">
        <f>E78*Prices!B$2</f>
        <v>35200</v>
      </c>
      <c r="M78" s="190">
        <f>F78*Prices!C$2</f>
        <v>0</v>
      </c>
      <c r="N78" s="190">
        <f>G78*Prices!D$2</f>
        <v>0</v>
      </c>
      <c r="O78" s="190">
        <f>H78*Prices!E$2</f>
        <v>0</v>
      </c>
      <c r="P78" s="190">
        <f t="shared" si="3"/>
        <v>0</v>
      </c>
      <c r="Q78" s="190">
        <f>D78*Prices!A$2</f>
        <v>78093.75</v>
      </c>
      <c r="R78" s="194">
        <f t="shared" si="4"/>
        <v>35200</v>
      </c>
      <c r="S78" s="193">
        <f t="shared" si="5"/>
        <v>113293.75</v>
      </c>
      <c r="T78" s="192">
        <v>77.0</v>
      </c>
      <c r="U78" s="93" t="s">
        <v>83</v>
      </c>
      <c r="V78" s="12"/>
      <c r="W78" s="12"/>
      <c r="X78" s="12"/>
      <c r="Y78" s="12"/>
      <c r="Z78" s="12"/>
    </row>
    <row r="79">
      <c r="A79" s="93">
        <v>78.0</v>
      </c>
      <c r="B79" s="93">
        <v>3.13</v>
      </c>
      <c r="C79" s="93">
        <f t="shared" si="1"/>
        <v>0.7825</v>
      </c>
      <c r="D79" s="93">
        <f t="shared" si="2"/>
        <v>3.9125</v>
      </c>
      <c r="E79" s="93">
        <v>0.25</v>
      </c>
      <c r="F79" s="93"/>
      <c r="G79" s="93"/>
      <c r="H79" s="93"/>
      <c r="I79" s="93"/>
      <c r="J79" s="93"/>
      <c r="K79" s="93"/>
      <c r="L79" s="190">
        <f>E79*Prices!B$2</f>
        <v>27500</v>
      </c>
      <c r="M79" s="190">
        <f>F79*Prices!C$2</f>
        <v>0</v>
      </c>
      <c r="N79" s="190">
        <f>G79*Prices!D$2</f>
        <v>0</v>
      </c>
      <c r="O79" s="190">
        <f>H79*Prices!E$2</f>
        <v>0</v>
      </c>
      <c r="P79" s="190">
        <f t="shared" si="3"/>
        <v>0</v>
      </c>
      <c r="Q79" s="190">
        <f>D79*Prices!A$2</f>
        <v>69838.125</v>
      </c>
      <c r="R79" s="191">
        <f t="shared" si="4"/>
        <v>27500</v>
      </c>
      <c r="S79" s="190">
        <f t="shared" si="5"/>
        <v>97338.125</v>
      </c>
      <c r="T79" s="93">
        <v>78.0</v>
      </c>
      <c r="U79" s="93" t="s">
        <v>80</v>
      </c>
      <c r="V79" s="12" t="s">
        <v>81</v>
      </c>
      <c r="W79" s="12"/>
      <c r="X79" s="12"/>
      <c r="Y79" s="12"/>
      <c r="Z79" s="12"/>
    </row>
    <row r="80">
      <c r="A80" s="93">
        <v>79.0</v>
      </c>
      <c r="B80" s="93">
        <v>2.844</v>
      </c>
      <c r="C80" s="93">
        <f t="shared" si="1"/>
        <v>0.711</v>
      </c>
      <c r="D80" s="93">
        <f t="shared" si="2"/>
        <v>3.555</v>
      </c>
      <c r="E80" s="93">
        <v>0.18</v>
      </c>
      <c r="F80" s="93"/>
      <c r="G80" s="93"/>
      <c r="H80" s="93"/>
      <c r="I80" s="93"/>
      <c r="J80" s="93"/>
      <c r="K80" s="93"/>
      <c r="L80" s="190">
        <f>E80*Prices!B$2</f>
        <v>19800</v>
      </c>
      <c r="M80" s="190">
        <f>F80*Prices!C$2</f>
        <v>0</v>
      </c>
      <c r="N80" s="190">
        <f>G80*Prices!D$2</f>
        <v>0</v>
      </c>
      <c r="O80" s="190">
        <f>H80*Prices!E$2</f>
        <v>0</v>
      </c>
      <c r="P80" s="190">
        <f t="shared" si="3"/>
        <v>0</v>
      </c>
      <c r="Q80" s="190">
        <f>D80*Prices!A$2</f>
        <v>63456.75</v>
      </c>
      <c r="R80" s="191">
        <f t="shared" si="4"/>
        <v>19800</v>
      </c>
      <c r="S80" s="190">
        <f t="shared" si="5"/>
        <v>83256.75</v>
      </c>
      <c r="T80" s="93">
        <v>79.0</v>
      </c>
      <c r="U80" s="26" t="s">
        <v>82</v>
      </c>
      <c r="V80" s="12"/>
      <c r="W80" s="12"/>
      <c r="X80" s="12"/>
      <c r="Y80" s="12"/>
      <c r="Z80" s="12"/>
    </row>
    <row r="81">
      <c r="A81" s="93">
        <v>80.0</v>
      </c>
      <c r="B81" s="93">
        <v>2.84</v>
      </c>
      <c r="C81" s="93">
        <f t="shared" si="1"/>
        <v>0.71</v>
      </c>
      <c r="D81" s="93">
        <f t="shared" si="2"/>
        <v>3.55</v>
      </c>
      <c r="E81" s="93">
        <v>0.65</v>
      </c>
      <c r="F81" s="93"/>
      <c r="G81" s="93"/>
      <c r="H81" s="93"/>
      <c r="I81" s="93"/>
      <c r="J81" s="93"/>
      <c r="K81" s="93"/>
      <c r="L81" s="190">
        <f>E81*Prices!B$2</f>
        <v>71500</v>
      </c>
      <c r="M81" s="190">
        <f>F81*Prices!C$2</f>
        <v>0</v>
      </c>
      <c r="N81" s="190">
        <f>G81*Prices!D$2</f>
        <v>0</v>
      </c>
      <c r="O81" s="190">
        <f>H81*Prices!E$2</f>
        <v>0</v>
      </c>
      <c r="P81" s="190">
        <f t="shared" si="3"/>
        <v>0</v>
      </c>
      <c r="Q81" s="190">
        <f>D81*Prices!A$2</f>
        <v>63367.5</v>
      </c>
      <c r="R81" s="191">
        <f t="shared" si="4"/>
        <v>71500</v>
      </c>
      <c r="S81" s="190">
        <f t="shared" si="5"/>
        <v>134867.5</v>
      </c>
      <c r="T81" s="93">
        <v>80.0</v>
      </c>
      <c r="U81" s="26" t="s">
        <v>82</v>
      </c>
      <c r="V81" s="12"/>
      <c r="W81" s="12"/>
      <c r="X81" s="12"/>
      <c r="Y81" s="12"/>
      <c r="Z81" s="12"/>
    </row>
    <row r="82">
      <c r="A82" s="93">
        <v>81.0</v>
      </c>
      <c r="B82" s="93">
        <v>3.468</v>
      </c>
      <c r="C82" s="93">
        <f t="shared" si="1"/>
        <v>0.867</v>
      </c>
      <c r="D82" s="93">
        <f t="shared" si="2"/>
        <v>4.335</v>
      </c>
      <c r="E82" s="93">
        <v>0.46</v>
      </c>
      <c r="F82" s="93"/>
      <c r="G82" s="93"/>
      <c r="H82" s="93"/>
      <c r="I82" s="93"/>
      <c r="J82" s="93"/>
      <c r="K82" s="93"/>
      <c r="L82" s="190">
        <f>E82*Prices!B$2</f>
        <v>50600</v>
      </c>
      <c r="M82" s="190">
        <f>F82*Prices!C$2</f>
        <v>0</v>
      </c>
      <c r="N82" s="190">
        <f>G82*Prices!D$2</f>
        <v>0</v>
      </c>
      <c r="O82" s="190">
        <f>H82*Prices!E$2</f>
        <v>0</v>
      </c>
      <c r="P82" s="190">
        <f t="shared" si="3"/>
        <v>0</v>
      </c>
      <c r="Q82" s="190">
        <f>D82*Prices!A$2</f>
        <v>77379.75</v>
      </c>
      <c r="R82" s="191">
        <f t="shared" si="4"/>
        <v>50600</v>
      </c>
      <c r="S82" s="190">
        <f t="shared" si="5"/>
        <v>127979.75</v>
      </c>
      <c r="T82" s="93">
        <v>81.0</v>
      </c>
      <c r="U82" s="26" t="s">
        <v>82</v>
      </c>
      <c r="V82" s="12"/>
      <c r="W82" s="12"/>
      <c r="X82" s="12"/>
      <c r="Y82" s="12"/>
      <c r="Z82" s="12"/>
    </row>
    <row r="83">
      <c r="A83" s="93">
        <v>82.0</v>
      </c>
      <c r="B83" s="93">
        <v>2.456</v>
      </c>
      <c r="C83" s="93">
        <f t="shared" si="1"/>
        <v>0.614</v>
      </c>
      <c r="D83" s="93">
        <f t="shared" si="2"/>
        <v>3.07</v>
      </c>
      <c r="E83" s="93">
        <v>0.42</v>
      </c>
      <c r="F83" s="93"/>
      <c r="G83" s="93"/>
      <c r="H83" s="93"/>
      <c r="I83" s="93"/>
      <c r="J83" s="93"/>
      <c r="K83" s="93"/>
      <c r="L83" s="190">
        <f>E83*Prices!B$2</f>
        <v>46200</v>
      </c>
      <c r="M83" s="190">
        <f>F83*Prices!C$2</f>
        <v>0</v>
      </c>
      <c r="N83" s="190">
        <f>G83*Prices!D$2</f>
        <v>0</v>
      </c>
      <c r="O83" s="190">
        <f>H83*Prices!E$2</f>
        <v>0</v>
      </c>
      <c r="P83" s="190">
        <f t="shared" si="3"/>
        <v>0</v>
      </c>
      <c r="Q83" s="190">
        <f>D83*Prices!A$2</f>
        <v>54799.5</v>
      </c>
      <c r="R83" s="191">
        <f t="shared" si="4"/>
        <v>46200</v>
      </c>
      <c r="S83" s="190">
        <f t="shared" si="5"/>
        <v>100999.5</v>
      </c>
      <c r="T83" s="93">
        <v>82.0</v>
      </c>
      <c r="U83" s="26" t="s">
        <v>82</v>
      </c>
      <c r="V83" s="12"/>
      <c r="W83" s="12"/>
      <c r="X83" s="12"/>
      <c r="Y83" s="12"/>
      <c r="Z83" s="12"/>
    </row>
    <row r="84">
      <c r="A84" s="192">
        <v>83.0</v>
      </c>
      <c r="B84" s="192">
        <v>5.21</v>
      </c>
      <c r="C84" s="192">
        <f t="shared" si="1"/>
        <v>1.3025</v>
      </c>
      <c r="D84" s="192">
        <f t="shared" si="2"/>
        <v>6.5125</v>
      </c>
      <c r="E84" s="192">
        <v>0.53</v>
      </c>
      <c r="F84" s="192"/>
      <c r="G84" s="192"/>
      <c r="H84" s="192"/>
      <c r="I84" s="192"/>
      <c r="J84" s="192"/>
      <c r="K84" s="192"/>
      <c r="L84" s="190">
        <f>E84*Prices!B$2</f>
        <v>58300</v>
      </c>
      <c r="M84" s="190">
        <f>F84*Prices!C$2</f>
        <v>0</v>
      </c>
      <c r="N84" s="190">
        <f>G84*Prices!D$2</f>
        <v>0</v>
      </c>
      <c r="O84" s="190">
        <f>H84*Prices!E$2</f>
        <v>0</v>
      </c>
      <c r="P84" s="190">
        <f t="shared" si="3"/>
        <v>0</v>
      </c>
      <c r="Q84" s="190">
        <f>D84*Prices!A$2</f>
        <v>116248.125</v>
      </c>
      <c r="R84" s="194">
        <f t="shared" si="4"/>
        <v>58300</v>
      </c>
      <c r="S84" s="193">
        <f t="shared" si="5"/>
        <v>174548.125</v>
      </c>
      <c r="T84" s="192">
        <v>83.0</v>
      </c>
      <c r="U84" s="93" t="s">
        <v>83</v>
      </c>
      <c r="V84" s="12"/>
      <c r="W84" s="12"/>
      <c r="X84" s="12"/>
      <c r="Y84" s="12"/>
      <c r="Z84" s="12"/>
    </row>
    <row r="85">
      <c r="A85" s="93">
        <v>84.0</v>
      </c>
      <c r="B85" s="93">
        <v>2.86</v>
      </c>
      <c r="C85" s="93">
        <f t="shared" si="1"/>
        <v>0.715</v>
      </c>
      <c r="D85" s="93">
        <f t="shared" si="2"/>
        <v>3.575</v>
      </c>
      <c r="E85" s="93">
        <v>0.4</v>
      </c>
      <c r="F85" s="93"/>
      <c r="G85" s="93"/>
      <c r="H85" s="93"/>
      <c r="I85" s="93"/>
      <c r="J85" s="93"/>
      <c r="K85" s="93"/>
      <c r="L85" s="190">
        <f>E85*Prices!B$2</f>
        <v>44000</v>
      </c>
      <c r="M85" s="190">
        <f>F85*Prices!C$2</f>
        <v>0</v>
      </c>
      <c r="N85" s="190">
        <f>G85*Prices!D$2</f>
        <v>0</v>
      </c>
      <c r="O85" s="190">
        <f>H85*Prices!E$2</f>
        <v>0</v>
      </c>
      <c r="P85" s="190">
        <f t="shared" si="3"/>
        <v>0</v>
      </c>
      <c r="Q85" s="190">
        <f>D85*Prices!A$2</f>
        <v>63813.75</v>
      </c>
      <c r="R85" s="191">
        <f t="shared" si="4"/>
        <v>44000</v>
      </c>
      <c r="S85" s="190">
        <f t="shared" si="5"/>
        <v>107813.75</v>
      </c>
      <c r="T85" s="93">
        <v>84.0</v>
      </c>
      <c r="U85" s="26" t="s">
        <v>82</v>
      </c>
      <c r="V85" s="12"/>
      <c r="W85" s="12"/>
      <c r="X85" s="12"/>
      <c r="Y85" s="12"/>
      <c r="Z85" s="12"/>
    </row>
    <row r="86">
      <c r="A86" s="93">
        <v>85.0</v>
      </c>
      <c r="B86" s="93">
        <v>3.038</v>
      </c>
      <c r="C86" s="93">
        <f t="shared" si="1"/>
        <v>0.7595</v>
      </c>
      <c r="D86" s="93">
        <f t="shared" si="2"/>
        <v>3.7975</v>
      </c>
      <c r="E86" s="93">
        <v>0.51</v>
      </c>
      <c r="F86" s="93"/>
      <c r="G86" s="93"/>
      <c r="H86" s="93"/>
      <c r="I86" s="93"/>
      <c r="J86" s="93"/>
      <c r="K86" s="93"/>
      <c r="L86" s="190">
        <f>E86*Prices!B$2</f>
        <v>56100</v>
      </c>
      <c r="M86" s="190">
        <f>F86*Prices!C$2</f>
        <v>0</v>
      </c>
      <c r="N86" s="190">
        <f>G86*Prices!D$2</f>
        <v>0</v>
      </c>
      <c r="O86" s="190">
        <f>H86*Prices!E$2</f>
        <v>0</v>
      </c>
      <c r="P86" s="190">
        <f t="shared" si="3"/>
        <v>0</v>
      </c>
      <c r="Q86" s="190">
        <f>D86*Prices!A$2</f>
        <v>67785.375</v>
      </c>
      <c r="R86" s="191">
        <f t="shared" si="4"/>
        <v>56100</v>
      </c>
      <c r="S86" s="190">
        <f t="shared" si="5"/>
        <v>123885.375</v>
      </c>
      <c r="T86" s="93">
        <v>85.0</v>
      </c>
      <c r="U86" s="93" t="s">
        <v>82</v>
      </c>
      <c r="V86" s="12"/>
      <c r="W86" s="12"/>
      <c r="X86" s="12"/>
      <c r="Y86" s="12"/>
      <c r="Z86" s="12"/>
    </row>
    <row r="87">
      <c r="A87" s="93">
        <v>86.0</v>
      </c>
      <c r="B87" s="93">
        <v>4.08</v>
      </c>
      <c r="C87" s="93">
        <f t="shared" si="1"/>
        <v>1.02</v>
      </c>
      <c r="D87" s="93">
        <f t="shared" si="2"/>
        <v>5.1</v>
      </c>
      <c r="E87" s="93">
        <v>0.95</v>
      </c>
      <c r="F87" s="93"/>
      <c r="G87" s="93"/>
      <c r="H87" s="93"/>
      <c r="I87" s="93"/>
      <c r="J87" s="93"/>
      <c r="K87" s="93"/>
      <c r="L87" s="190">
        <f>E87*Prices!B$2</f>
        <v>104500</v>
      </c>
      <c r="M87" s="190">
        <f>F87*Prices!C$2</f>
        <v>0</v>
      </c>
      <c r="N87" s="190">
        <f>G87*Prices!D$2</f>
        <v>0</v>
      </c>
      <c r="O87" s="190">
        <f>H87*Prices!E$2</f>
        <v>0</v>
      </c>
      <c r="P87" s="190">
        <f t="shared" si="3"/>
        <v>0</v>
      </c>
      <c r="Q87" s="190">
        <f>D87*Prices!A$2</f>
        <v>91035</v>
      </c>
      <c r="R87" s="191">
        <f t="shared" si="4"/>
        <v>104500</v>
      </c>
      <c r="S87" s="190">
        <f t="shared" si="5"/>
        <v>195535</v>
      </c>
      <c r="T87" s="93">
        <v>86.0</v>
      </c>
      <c r="U87" s="93" t="s">
        <v>82</v>
      </c>
      <c r="V87" s="12"/>
      <c r="W87" s="12"/>
      <c r="X87" s="12"/>
      <c r="Y87" s="12"/>
      <c r="Z87" s="12"/>
    </row>
    <row r="88">
      <c r="A88" s="93">
        <v>87.0</v>
      </c>
      <c r="B88" s="93">
        <v>3.122</v>
      </c>
      <c r="C88" s="93">
        <f t="shared" si="1"/>
        <v>0.7805</v>
      </c>
      <c r="D88" s="93">
        <f t="shared" si="2"/>
        <v>3.9025</v>
      </c>
      <c r="E88" s="93">
        <v>0.42</v>
      </c>
      <c r="F88" s="93">
        <v>0.07</v>
      </c>
      <c r="G88" s="93"/>
      <c r="H88" s="93"/>
      <c r="I88" s="93"/>
      <c r="J88" s="93"/>
      <c r="K88" s="93"/>
      <c r="L88" s="190">
        <f>E88*Prices!B$2</f>
        <v>46200</v>
      </c>
      <c r="M88" s="190">
        <f>F88*Prices!C$2</f>
        <v>11200</v>
      </c>
      <c r="N88" s="190">
        <f>G88*Prices!D$2</f>
        <v>0</v>
      </c>
      <c r="O88" s="190">
        <f>H88*Prices!E$2</f>
        <v>0</v>
      </c>
      <c r="P88" s="190">
        <f t="shared" si="3"/>
        <v>0</v>
      </c>
      <c r="Q88" s="190">
        <f>D88*Prices!A$2</f>
        <v>69659.625</v>
      </c>
      <c r="R88" s="191">
        <f t="shared" si="4"/>
        <v>57400</v>
      </c>
      <c r="S88" s="190">
        <f t="shared" si="5"/>
        <v>127059.625</v>
      </c>
      <c r="T88" s="93">
        <v>87.0</v>
      </c>
      <c r="U88" s="93" t="s">
        <v>82</v>
      </c>
      <c r="V88" s="12"/>
      <c r="W88" s="12"/>
      <c r="X88" s="12"/>
      <c r="Y88" s="12"/>
      <c r="Z88" s="12"/>
    </row>
    <row r="89">
      <c r="A89" s="93">
        <v>88.0</v>
      </c>
      <c r="B89" s="93">
        <v>2.634</v>
      </c>
      <c r="C89" s="93">
        <f t="shared" si="1"/>
        <v>0.6585</v>
      </c>
      <c r="D89" s="93">
        <f t="shared" si="2"/>
        <v>3.2925</v>
      </c>
      <c r="E89" s="93">
        <v>0.23</v>
      </c>
      <c r="F89" s="93"/>
      <c r="G89" s="93"/>
      <c r="H89" s="93"/>
      <c r="I89" s="93"/>
      <c r="J89" s="93"/>
      <c r="K89" s="93"/>
      <c r="L89" s="190">
        <f>E89*Prices!B$2</f>
        <v>25300</v>
      </c>
      <c r="M89" s="190">
        <f>F89*Prices!C$2</f>
        <v>0</v>
      </c>
      <c r="N89" s="190">
        <f>G89*Prices!D$2</f>
        <v>0</v>
      </c>
      <c r="O89" s="190">
        <f>H89*Prices!E$2</f>
        <v>0</v>
      </c>
      <c r="P89" s="190">
        <f t="shared" si="3"/>
        <v>0</v>
      </c>
      <c r="Q89" s="190">
        <f>D89*Prices!A$2</f>
        <v>58771.125</v>
      </c>
      <c r="R89" s="191">
        <f t="shared" si="4"/>
        <v>25300</v>
      </c>
      <c r="S89" s="190">
        <f t="shared" si="5"/>
        <v>84071.125</v>
      </c>
      <c r="T89" s="93">
        <v>88.0</v>
      </c>
      <c r="U89" s="93" t="s">
        <v>82</v>
      </c>
      <c r="V89" s="12"/>
      <c r="W89" s="12"/>
      <c r="X89" s="12"/>
      <c r="Y89" s="12"/>
      <c r="Z89" s="12"/>
    </row>
    <row r="90">
      <c r="A90" s="93">
        <v>89.0</v>
      </c>
      <c r="B90" s="93">
        <v>2.408</v>
      </c>
      <c r="C90" s="93">
        <f t="shared" si="1"/>
        <v>0.602</v>
      </c>
      <c r="D90" s="93">
        <f t="shared" si="2"/>
        <v>3.01</v>
      </c>
      <c r="E90" s="93">
        <v>0.21</v>
      </c>
      <c r="F90" s="93"/>
      <c r="G90" s="93"/>
      <c r="H90" s="93"/>
      <c r="I90" s="93"/>
      <c r="J90" s="93"/>
      <c r="K90" s="93"/>
      <c r="L90" s="190">
        <f>E90*Prices!B$2</f>
        <v>23100</v>
      </c>
      <c r="M90" s="190">
        <f>F90*Prices!C$2</f>
        <v>0</v>
      </c>
      <c r="N90" s="190">
        <f>G90*Prices!D$2</f>
        <v>0</v>
      </c>
      <c r="O90" s="190">
        <f>H90*Prices!E$2</f>
        <v>0</v>
      </c>
      <c r="P90" s="190">
        <f t="shared" si="3"/>
        <v>0</v>
      </c>
      <c r="Q90" s="190">
        <f>D90*Prices!A$2</f>
        <v>53728.5</v>
      </c>
      <c r="R90" s="191">
        <f t="shared" si="4"/>
        <v>23100</v>
      </c>
      <c r="S90" s="190">
        <f t="shared" si="5"/>
        <v>76828.5</v>
      </c>
      <c r="T90" s="93">
        <v>89.0</v>
      </c>
      <c r="U90" s="93" t="s">
        <v>82</v>
      </c>
      <c r="V90" s="12"/>
      <c r="W90" s="12"/>
      <c r="X90" s="12"/>
      <c r="Y90" s="12"/>
      <c r="Z90" s="12"/>
    </row>
    <row r="91">
      <c r="A91" s="93">
        <v>90.0</v>
      </c>
      <c r="B91" s="93">
        <v>2.514</v>
      </c>
      <c r="C91" s="93">
        <f t="shared" si="1"/>
        <v>0.6285</v>
      </c>
      <c r="D91" s="93">
        <f t="shared" si="2"/>
        <v>3.1425</v>
      </c>
      <c r="E91" s="93">
        <v>0.28</v>
      </c>
      <c r="F91" s="93"/>
      <c r="G91" s="93"/>
      <c r="H91" s="93"/>
      <c r="I91" s="93"/>
      <c r="J91" s="93"/>
      <c r="K91" s="93"/>
      <c r="L91" s="190">
        <f>E91*Prices!B$2</f>
        <v>30800</v>
      </c>
      <c r="M91" s="190">
        <f>F91*Prices!C$2</f>
        <v>0</v>
      </c>
      <c r="N91" s="190">
        <f>G91*Prices!D$2</f>
        <v>0</v>
      </c>
      <c r="O91" s="190">
        <f>H91*Prices!E$2</f>
        <v>0</v>
      </c>
      <c r="P91" s="190">
        <f t="shared" si="3"/>
        <v>0</v>
      </c>
      <c r="Q91" s="190">
        <f>D91*Prices!A$2</f>
        <v>56093.625</v>
      </c>
      <c r="R91" s="191">
        <f t="shared" si="4"/>
        <v>30800</v>
      </c>
      <c r="S91" s="190">
        <f t="shared" si="5"/>
        <v>86893.625</v>
      </c>
      <c r="T91" s="93">
        <v>90.0</v>
      </c>
      <c r="U91" s="93" t="s">
        <v>82</v>
      </c>
      <c r="V91" s="12"/>
      <c r="W91" s="12"/>
      <c r="X91" s="12"/>
      <c r="Y91" s="12"/>
      <c r="Z91" s="12"/>
    </row>
    <row r="92">
      <c r="A92" s="93">
        <v>91.0</v>
      </c>
      <c r="B92" s="93">
        <v>2.734</v>
      </c>
      <c r="C92" s="93">
        <f t="shared" si="1"/>
        <v>0.6835</v>
      </c>
      <c r="D92" s="93">
        <f t="shared" si="2"/>
        <v>3.4175</v>
      </c>
      <c r="E92" s="93">
        <v>0.28</v>
      </c>
      <c r="F92" s="93"/>
      <c r="G92" s="93"/>
      <c r="H92" s="93"/>
      <c r="I92" s="93"/>
      <c r="J92" s="93"/>
      <c r="K92" s="93"/>
      <c r="L92" s="190">
        <f>E92*Prices!B$2</f>
        <v>30800</v>
      </c>
      <c r="M92" s="190">
        <f>F92*Prices!C$2</f>
        <v>0</v>
      </c>
      <c r="N92" s="190">
        <f>G92*Prices!D$2</f>
        <v>0</v>
      </c>
      <c r="O92" s="190">
        <f>H92*Prices!E$2</f>
        <v>0</v>
      </c>
      <c r="P92" s="190">
        <f t="shared" si="3"/>
        <v>0</v>
      </c>
      <c r="Q92" s="190">
        <f>D92*Prices!A$2</f>
        <v>61002.375</v>
      </c>
      <c r="R92" s="191">
        <f t="shared" si="4"/>
        <v>30800</v>
      </c>
      <c r="S92" s="190">
        <f t="shared" si="5"/>
        <v>91802.375</v>
      </c>
      <c r="T92" s="93">
        <v>91.0</v>
      </c>
      <c r="U92" s="93" t="s">
        <v>82</v>
      </c>
      <c r="V92" s="12"/>
      <c r="W92" s="12"/>
      <c r="X92" s="12"/>
      <c r="Y92" s="12"/>
      <c r="Z92" s="12"/>
    </row>
    <row r="93">
      <c r="A93" s="93">
        <v>92.0</v>
      </c>
      <c r="B93" s="93">
        <v>2.736</v>
      </c>
      <c r="C93" s="93">
        <f t="shared" si="1"/>
        <v>0.684</v>
      </c>
      <c r="D93" s="93">
        <f t="shared" si="2"/>
        <v>3.42</v>
      </c>
      <c r="E93" s="93">
        <v>0.42</v>
      </c>
      <c r="F93" s="93"/>
      <c r="G93" s="93"/>
      <c r="H93" s="93"/>
      <c r="I93" s="93"/>
      <c r="J93" s="93"/>
      <c r="K93" s="93"/>
      <c r="L93" s="190">
        <f>E93*Prices!B$2</f>
        <v>46200</v>
      </c>
      <c r="M93" s="190">
        <f>F93*Prices!C$2</f>
        <v>0</v>
      </c>
      <c r="N93" s="190">
        <f>G93*Prices!D$2</f>
        <v>0</v>
      </c>
      <c r="O93" s="190">
        <f>H93*Prices!E$2</f>
        <v>0</v>
      </c>
      <c r="P93" s="190">
        <f t="shared" si="3"/>
        <v>0</v>
      </c>
      <c r="Q93" s="190">
        <f>D93*Prices!A$2</f>
        <v>61047</v>
      </c>
      <c r="R93" s="191">
        <f t="shared" si="4"/>
        <v>46200</v>
      </c>
      <c r="S93" s="190">
        <f t="shared" si="5"/>
        <v>107247</v>
      </c>
      <c r="T93" s="93">
        <v>92.0</v>
      </c>
      <c r="U93" s="93" t="s">
        <v>82</v>
      </c>
      <c r="V93" s="12"/>
      <c r="W93" s="12"/>
      <c r="X93" s="12"/>
      <c r="Y93" s="12"/>
      <c r="Z93" s="12"/>
    </row>
    <row r="94">
      <c r="A94" s="93">
        <v>93.0</v>
      </c>
      <c r="B94" s="93">
        <v>2.914</v>
      </c>
      <c r="C94" s="93">
        <f t="shared" si="1"/>
        <v>0.7285</v>
      </c>
      <c r="D94" s="93">
        <f t="shared" si="2"/>
        <v>3.6425</v>
      </c>
      <c r="E94" s="93">
        <v>0.63</v>
      </c>
      <c r="F94" s="93"/>
      <c r="G94" s="93"/>
      <c r="H94" s="93"/>
      <c r="I94" s="93"/>
      <c r="J94" s="93"/>
      <c r="K94" s="93"/>
      <c r="L94" s="190">
        <f>E94*Prices!B$2</f>
        <v>69300</v>
      </c>
      <c r="M94" s="190">
        <f>F94*Prices!C$2</f>
        <v>0</v>
      </c>
      <c r="N94" s="190">
        <f>G94*Prices!D$2</f>
        <v>0</v>
      </c>
      <c r="O94" s="190">
        <f>H94*Prices!E$2</f>
        <v>0</v>
      </c>
      <c r="P94" s="190">
        <f t="shared" si="3"/>
        <v>0</v>
      </c>
      <c r="Q94" s="190">
        <f>D94*Prices!A$2</f>
        <v>65018.625</v>
      </c>
      <c r="R94" s="191">
        <f t="shared" si="4"/>
        <v>69300</v>
      </c>
      <c r="S94" s="190">
        <f t="shared" si="5"/>
        <v>134318.625</v>
      </c>
      <c r="T94" s="93">
        <v>93.0</v>
      </c>
      <c r="U94" s="93" t="s">
        <v>82</v>
      </c>
      <c r="V94" s="12"/>
      <c r="W94" s="12"/>
      <c r="X94" s="12"/>
      <c r="Y94" s="12"/>
      <c r="Z94" s="12"/>
    </row>
    <row r="95">
      <c r="A95" s="93">
        <v>94.0</v>
      </c>
      <c r="B95" s="93">
        <v>3.124</v>
      </c>
      <c r="C95" s="93">
        <f t="shared" si="1"/>
        <v>0.781</v>
      </c>
      <c r="D95" s="93">
        <f t="shared" si="2"/>
        <v>3.905</v>
      </c>
      <c r="E95" s="93">
        <v>0.73</v>
      </c>
      <c r="F95" s="93"/>
      <c r="G95" s="93"/>
      <c r="H95" s="93"/>
      <c r="I95" s="93"/>
      <c r="J95" s="93"/>
      <c r="K95" s="93"/>
      <c r="L95" s="190">
        <f>E95*Prices!B$2</f>
        <v>80300</v>
      </c>
      <c r="M95" s="190">
        <f>F95*Prices!C$2</f>
        <v>0</v>
      </c>
      <c r="N95" s="190">
        <f>G95*Prices!D$2</f>
        <v>0</v>
      </c>
      <c r="O95" s="190">
        <f>H95*Prices!E$2</f>
        <v>0</v>
      </c>
      <c r="P95" s="190">
        <f t="shared" si="3"/>
        <v>0</v>
      </c>
      <c r="Q95" s="190">
        <f>D95*Prices!A$2</f>
        <v>69704.25</v>
      </c>
      <c r="R95" s="191">
        <f t="shared" si="4"/>
        <v>80300</v>
      </c>
      <c r="S95" s="190">
        <f t="shared" si="5"/>
        <v>150004.25</v>
      </c>
      <c r="T95" s="93">
        <v>94.0</v>
      </c>
      <c r="U95" s="93" t="s">
        <v>82</v>
      </c>
      <c r="V95" s="12"/>
      <c r="W95" s="12"/>
      <c r="X95" s="12"/>
      <c r="Y95" s="12"/>
      <c r="Z95" s="12"/>
    </row>
    <row r="96">
      <c r="A96" s="93">
        <v>95.0</v>
      </c>
      <c r="B96" s="93">
        <v>1.568</v>
      </c>
      <c r="C96" s="93">
        <f t="shared" si="1"/>
        <v>0.392</v>
      </c>
      <c r="D96" s="93">
        <f t="shared" si="2"/>
        <v>1.96</v>
      </c>
      <c r="E96" s="93">
        <v>0.26</v>
      </c>
      <c r="F96" s="93"/>
      <c r="G96" s="93"/>
      <c r="H96" s="93"/>
      <c r="I96" s="93"/>
      <c r="J96" s="93"/>
      <c r="K96" s="93"/>
      <c r="L96" s="190">
        <f>E96*Prices!B$2</f>
        <v>28600</v>
      </c>
      <c r="M96" s="190">
        <f>F96*Prices!C$2</f>
        <v>0</v>
      </c>
      <c r="N96" s="190">
        <f>G96*Prices!D$2</f>
        <v>0</v>
      </c>
      <c r="O96" s="190">
        <f>H96*Prices!E$2</f>
        <v>0</v>
      </c>
      <c r="P96" s="190">
        <f t="shared" si="3"/>
        <v>0</v>
      </c>
      <c r="Q96" s="190">
        <f>D96*Prices!A$2</f>
        <v>34986</v>
      </c>
      <c r="R96" s="191">
        <f t="shared" si="4"/>
        <v>28600</v>
      </c>
      <c r="S96" s="190">
        <f t="shared" si="5"/>
        <v>63586</v>
      </c>
      <c r="T96" s="93">
        <v>95.0</v>
      </c>
      <c r="U96" s="93" t="s">
        <v>82</v>
      </c>
      <c r="V96" s="12"/>
      <c r="W96" s="12"/>
      <c r="X96" s="12"/>
      <c r="Y96" s="12"/>
      <c r="Z96" s="12"/>
    </row>
    <row r="97">
      <c r="A97" s="93">
        <v>96.0</v>
      </c>
      <c r="B97" s="93">
        <v>6.804</v>
      </c>
      <c r="C97" s="93">
        <f t="shared" si="1"/>
        <v>1.701</v>
      </c>
      <c r="D97" s="93">
        <f t="shared" si="2"/>
        <v>8.505</v>
      </c>
      <c r="E97" s="93">
        <v>1.48</v>
      </c>
      <c r="F97" s="93"/>
      <c r="G97" s="93"/>
      <c r="H97" s="93"/>
      <c r="I97" s="93"/>
      <c r="J97" s="93"/>
      <c r="K97" s="93"/>
      <c r="L97" s="190">
        <f>E97*Prices!B$2</f>
        <v>162800</v>
      </c>
      <c r="M97" s="190">
        <f>F97*Prices!C$2</f>
        <v>0</v>
      </c>
      <c r="N97" s="190">
        <f>G97*Prices!D$2</f>
        <v>0</v>
      </c>
      <c r="O97" s="190">
        <f>H97*Prices!E$2</f>
        <v>0</v>
      </c>
      <c r="P97" s="190">
        <f t="shared" si="3"/>
        <v>0</v>
      </c>
      <c r="Q97" s="190">
        <f>D97*Prices!A$2</f>
        <v>151814.25</v>
      </c>
      <c r="R97" s="191">
        <f t="shared" si="4"/>
        <v>162800</v>
      </c>
      <c r="S97" s="190">
        <f t="shared" si="5"/>
        <v>314614.25</v>
      </c>
      <c r="T97" s="93">
        <v>96.0</v>
      </c>
      <c r="U97" s="93" t="s">
        <v>82</v>
      </c>
      <c r="V97" s="12"/>
      <c r="W97" s="12"/>
      <c r="X97" s="12"/>
      <c r="Y97" s="12"/>
      <c r="Z97" s="12"/>
    </row>
    <row r="98">
      <c r="A98" s="93">
        <v>97.0</v>
      </c>
      <c r="B98" s="93">
        <v>5.308</v>
      </c>
      <c r="C98" s="93">
        <f t="shared" si="1"/>
        <v>1.327</v>
      </c>
      <c r="D98" s="93">
        <f t="shared" si="2"/>
        <v>6.635</v>
      </c>
      <c r="E98" s="93">
        <v>0.96</v>
      </c>
      <c r="F98" s="93"/>
      <c r="G98" s="93"/>
      <c r="H98" s="93"/>
      <c r="I98" s="93"/>
      <c r="J98" s="93"/>
      <c r="K98" s="93"/>
      <c r="L98" s="190">
        <f>E98*Prices!B$2</f>
        <v>105600</v>
      </c>
      <c r="M98" s="190">
        <f>F98*Prices!C$2</f>
        <v>0</v>
      </c>
      <c r="N98" s="190">
        <f>G98*Prices!D$2</f>
        <v>0</v>
      </c>
      <c r="O98" s="190">
        <f>H98*Prices!E$2</f>
        <v>0</v>
      </c>
      <c r="P98" s="190">
        <f t="shared" si="3"/>
        <v>0</v>
      </c>
      <c r="Q98" s="190">
        <f>D98*Prices!A$2</f>
        <v>118434.75</v>
      </c>
      <c r="R98" s="191">
        <f t="shared" si="4"/>
        <v>105600</v>
      </c>
      <c r="S98" s="190">
        <f t="shared" si="5"/>
        <v>224034.75</v>
      </c>
      <c r="T98" s="93">
        <v>97.0</v>
      </c>
      <c r="U98" s="93" t="s">
        <v>82</v>
      </c>
      <c r="V98" s="12"/>
      <c r="W98" s="12"/>
      <c r="X98" s="12"/>
      <c r="Y98" s="12"/>
      <c r="Z98" s="12"/>
    </row>
    <row r="99">
      <c r="A99" s="93">
        <v>98.0</v>
      </c>
      <c r="B99" s="93">
        <v>5.168</v>
      </c>
      <c r="C99" s="93">
        <f t="shared" si="1"/>
        <v>1.292</v>
      </c>
      <c r="D99" s="93">
        <f t="shared" si="2"/>
        <v>6.46</v>
      </c>
      <c r="E99" s="93">
        <v>1.21</v>
      </c>
      <c r="F99" s="93"/>
      <c r="G99" s="93"/>
      <c r="H99" s="93"/>
      <c r="I99" s="93"/>
      <c r="J99" s="93"/>
      <c r="K99" s="93"/>
      <c r="L99" s="190">
        <f>E99*Prices!B$2</f>
        <v>133100</v>
      </c>
      <c r="M99" s="190">
        <f>F99*Prices!C$2</f>
        <v>0</v>
      </c>
      <c r="N99" s="190">
        <f>G99*Prices!D$2</f>
        <v>0</v>
      </c>
      <c r="O99" s="190">
        <f>H99*Prices!E$2</f>
        <v>0</v>
      </c>
      <c r="P99" s="190">
        <f t="shared" si="3"/>
        <v>0</v>
      </c>
      <c r="Q99" s="190">
        <f>D99*Prices!A$2</f>
        <v>115311</v>
      </c>
      <c r="R99" s="191">
        <f t="shared" si="4"/>
        <v>133100</v>
      </c>
      <c r="S99" s="190">
        <f t="shared" si="5"/>
        <v>248411</v>
      </c>
      <c r="T99" s="93">
        <v>98.0</v>
      </c>
      <c r="U99" s="93" t="s">
        <v>82</v>
      </c>
      <c r="V99" s="12"/>
      <c r="W99" s="12"/>
      <c r="X99" s="12"/>
      <c r="Y99" s="12"/>
      <c r="Z99" s="12"/>
    </row>
    <row r="100">
      <c r="A100" s="93">
        <v>99.0</v>
      </c>
      <c r="B100" s="93">
        <v>3.242</v>
      </c>
      <c r="C100" s="93">
        <f t="shared" si="1"/>
        <v>0.8105</v>
      </c>
      <c r="D100" s="93">
        <f t="shared" si="2"/>
        <v>4.0525</v>
      </c>
      <c r="E100" s="93">
        <v>1.17</v>
      </c>
      <c r="F100" s="93">
        <v>0.07</v>
      </c>
      <c r="G100" s="93"/>
      <c r="H100" s="93"/>
      <c r="I100" s="93"/>
      <c r="J100" s="93"/>
      <c r="K100" s="93"/>
      <c r="L100" s="190">
        <f>E100*Prices!B$2</f>
        <v>128700</v>
      </c>
      <c r="M100" s="190">
        <f>F100*Prices!C$2</f>
        <v>11200</v>
      </c>
      <c r="N100" s="190">
        <f>G100*Prices!D$2</f>
        <v>0</v>
      </c>
      <c r="O100" s="190">
        <f>H100*Prices!E$2</f>
        <v>0</v>
      </c>
      <c r="P100" s="190">
        <f t="shared" si="3"/>
        <v>0</v>
      </c>
      <c r="Q100" s="190">
        <f>D100*Prices!A$2</f>
        <v>72337.125</v>
      </c>
      <c r="R100" s="191">
        <f t="shared" si="4"/>
        <v>139900</v>
      </c>
      <c r="S100" s="190">
        <f t="shared" si="5"/>
        <v>212237.125</v>
      </c>
      <c r="T100" s="93">
        <v>99.0</v>
      </c>
      <c r="U100" s="93" t="s">
        <v>80</v>
      </c>
      <c r="V100" s="12" t="s">
        <v>81</v>
      </c>
      <c r="W100" s="12"/>
      <c r="X100" s="12"/>
      <c r="Y100" s="12"/>
      <c r="Z100" s="12"/>
    </row>
    <row r="101">
      <c r="A101" s="93">
        <v>100.0</v>
      </c>
      <c r="B101" s="93">
        <v>4.32</v>
      </c>
      <c r="C101" s="93">
        <f t="shared" si="1"/>
        <v>1.08</v>
      </c>
      <c r="D101" s="93">
        <f t="shared" si="2"/>
        <v>5.4</v>
      </c>
      <c r="E101" s="93">
        <v>1.01</v>
      </c>
      <c r="F101" s="93"/>
      <c r="G101" s="93"/>
      <c r="H101" s="93"/>
      <c r="I101" s="93"/>
      <c r="J101" s="93"/>
      <c r="K101" s="93"/>
      <c r="L101" s="190">
        <f>E101*Prices!B$2</f>
        <v>111100</v>
      </c>
      <c r="M101" s="190">
        <f>F101*Prices!C$2</f>
        <v>0</v>
      </c>
      <c r="N101" s="190">
        <f>G101*Prices!D$2</f>
        <v>0</v>
      </c>
      <c r="O101" s="190">
        <f>H101*Prices!E$2</f>
        <v>0</v>
      </c>
      <c r="P101" s="190">
        <f t="shared" si="3"/>
        <v>0</v>
      </c>
      <c r="Q101" s="190">
        <f>D101*Prices!A$2</f>
        <v>96390</v>
      </c>
      <c r="R101" s="191">
        <f t="shared" si="4"/>
        <v>111100</v>
      </c>
      <c r="S101" s="190">
        <f t="shared" si="5"/>
        <v>207490</v>
      </c>
      <c r="T101" s="93">
        <v>100.0</v>
      </c>
      <c r="U101" s="93" t="s">
        <v>82</v>
      </c>
      <c r="V101" s="12"/>
      <c r="W101" s="12"/>
      <c r="X101" s="12"/>
      <c r="Y101" s="12"/>
      <c r="Z101" s="12"/>
    </row>
    <row r="102">
      <c r="A102" s="93">
        <v>101.0</v>
      </c>
      <c r="B102" s="93">
        <v>4.064</v>
      </c>
      <c r="C102" s="93">
        <f t="shared" si="1"/>
        <v>1.016</v>
      </c>
      <c r="D102" s="93">
        <f t="shared" si="2"/>
        <v>5.08</v>
      </c>
      <c r="E102" s="93">
        <v>0.5</v>
      </c>
      <c r="F102" s="93"/>
      <c r="G102" s="93"/>
      <c r="H102" s="93"/>
      <c r="I102" s="93"/>
      <c r="J102" s="93"/>
      <c r="K102" s="93"/>
      <c r="L102" s="190">
        <f>E102*Prices!B$2</f>
        <v>55000</v>
      </c>
      <c r="M102" s="190">
        <f>F102*Prices!C$2</f>
        <v>0</v>
      </c>
      <c r="N102" s="190">
        <f>G102*Prices!D$2</f>
        <v>0</v>
      </c>
      <c r="O102" s="190">
        <f>H102*Prices!E$2</f>
        <v>0</v>
      </c>
      <c r="P102" s="190">
        <f t="shared" si="3"/>
        <v>0</v>
      </c>
      <c r="Q102" s="190">
        <f>D102*Prices!A$2</f>
        <v>90678</v>
      </c>
      <c r="R102" s="191">
        <f t="shared" si="4"/>
        <v>55000</v>
      </c>
      <c r="S102" s="190">
        <f t="shared" si="5"/>
        <v>145678</v>
      </c>
      <c r="T102" s="93">
        <v>101.0</v>
      </c>
      <c r="U102" s="93" t="s">
        <v>82</v>
      </c>
      <c r="V102" s="12"/>
      <c r="W102" s="12"/>
      <c r="X102" s="12"/>
      <c r="Y102" s="12"/>
      <c r="Z102" s="12"/>
    </row>
    <row r="103">
      <c r="A103" s="93">
        <v>102.0</v>
      </c>
      <c r="B103" s="93">
        <v>2.294</v>
      </c>
      <c r="C103" s="93">
        <f t="shared" si="1"/>
        <v>0.5735</v>
      </c>
      <c r="D103" s="93">
        <f t="shared" si="2"/>
        <v>2.8675</v>
      </c>
      <c r="E103" s="93">
        <v>0.78</v>
      </c>
      <c r="F103" s="93"/>
      <c r="G103" s="93"/>
      <c r="H103" s="93"/>
      <c r="I103" s="93"/>
      <c r="J103" s="93"/>
      <c r="K103" s="93"/>
      <c r="L103" s="190">
        <f>E103*Prices!B$2</f>
        <v>85800</v>
      </c>
      <c r="M103" s="190">
        <f>F103*Prices!C$2</f>
        <v>0</v>
      </c>
      <c r="N103" s="190">
        <f>G103*Prices!D$2</f>
        <v>0</v>
      </c>
      <c r="O103" s="190">
        <f>H103*Prices!E$2</f>
        <v>0</v>
      </c>
      <c r="P103" s="190">
        <f t="shared" si="3"/>
        <v>0</v>
      </c>
      <c r="Q103" s="190">
        <f>D103*Prices!A$2</f>
        <v>51184.875</v>
      </c>
      <c r="R103" s="191">
        <f t="shared" si="4"/>
        <v>85800</v>
      </c>
      <c r="S103" s="190">
        <f t="shared" si="5"/>
        <v>136984.875</v>
      </c>
      <c r="T103" s="93">
        <v>102.0</v>
      </c>
      <c r="U103" s="93" t="s">
        <v>80</v>
      </c>
      <c r="V103" s="12" t="s">
        <v>81</v>
      </c>
      <c r="W103" s="12"/>
      <c r="X103" s="12"/>
      <c r="Y103" s="12"/>
      <c r="Z103" s="12"/>
    </row>
    <row r="104">
      <c r="A104" s="93">
        <v>103.0</v>
      </c>
      <c r="B104" s="93">
        <v>1.578</v>
      </c>
      <c r="C104" s="93">
        <f t="shared" si="1"/>
        <v>0.3945</v>
      </c>
      <c r="D104" s="93">
        <f t="shared" si="2"/>
        <v>1.9725</v>
      </c>
      <c r="E104" s="93">
        <v>0.21</v>
      </c>
      <c r="F104" s="93"/>
      <c r="G104" s="93"/>
      <c r="H104" s="93"/>
      <c r="I104" s="93"/>
      <c r="J104" s="93"/>
      <c r="K104" s="93"/>
      <c r="L104" s="190">
        <f>E104*Prices!B$2</f>
        <v>23100</v>
      </c>
      <c r="M104" s="190">
        <f>F104*Prices!C$2</f>
        <v>0</v>
      </c>
      <c r="N104" s="190">
        <f>G104*Prices!D$2</f>
        <v>0</v>
      </c>
      <c r="O104" s="190">
        <f>H104*Prices!E$2</f>
        <v>0</v>
      </c>
      <c r="P104" s="190">
        <f t="shared" si="3"/>
        <v>0</v>
      </c>
      <c r="Q104" s="190">
        <f>D104*Prices!A$2</f>
        <v>35209.125</v>
      </c>
      <c r="R104" s="191">
        <f t="shared" si="4"/>
        <v>23100</v>
      </c>
      <c r="S104" s="190">
        <f t="shared" si="5"/>
        <v>58309.125</v>
      </c>
      <c r="T104" s="93">
        <v>103.0</v>
      </c>
      <c r="U104" s="93" t="s">
        <v>82</v>
      </c>
      <c r="V104" s="12"/>
      <c r="W104" s="12"/>
      <c r="X104" s="12"/>
      <c r="Y104" s="12"/>
      <c r="Z104" s="12"/>
    </row>
    <row r="105">
      <c r="A105" s="93">
        <v>104.0</v>
      </c>
      <c r="B105" s="93">
        <v>3.94</v>
      </c>
      <c r="C105" s="93">
        <f t="shared" si="1"/>
        <v>0.985</v>
      </c>
      <c r="D105" s="93">
        <f t="shared" si="2"/>
        <v>4.925</v>
      </c>
      <c r="E105" s="93">
        <v>0.59</v>
      </c>
      <c r="F105" s="93"/>
      <c r="G105" s="93"/>
      <c r="H105" s="93"/>
      <c r="I105" s="93"/>
      <c r="J105" s="93"/>
      <c r="K105" s="93">
        <v>6.01</v>
      </c>
      <c r="L105" s="190">
        <f>E105*Prices!B$2</f>
        <v>64900</v>
      </c>
      <c r="M105" s="190">
        <f>F105*Prices!C$2</f>
        <v>0</v>
      </c>
      <c r="N105" s="190">
        <f>G105*Prices!D$2</f>
        <v>0</v>
      </c>
      <c r="O105" s="190">
        <f>H105*Prices!E$2</f>
        <v>0</v>
      </c>
      <c r="P105" s="190">
        <f t="shared" si="3"/>
        <v>10818</v>
      </c>
      <c r="Q105" s="190">
        <f>D105*Prices!A$2</f>
        <v>87911.25</v>
      </c>
      <c r="R105" s="191">
        <f t="shared" si="4"/>
        <v>64900</v>
      </c>
      <c r="S105" s="190">
        <f t="shared" si="5"/>
        <v>163629.25</v>
      </c>
      <c r="T105" s="93">
        <v>104.0</v>
      </c>
      <c r="U105" s="93" t="s">
        <v>80</v>
      </c>
      <c r="V105" s="12" t="s">
        <v>81</v>
      </c>
      <c r="W105" s="12"/>
      <c r="X105" s="12"/>
      <c r="Y105" s="12"/>
      <c r="Z105" s="12"/>
    </row>
    <row r="106">
      <c r="A106" s="93">
        <v>105.0</v>
      </c>
      <c r="B106" s="93">
        <v>8.098</v>
      </c>
      <c r="C106" s="93">
        <f t="shared" si="1"/>
        <v>2.0245</v>
      </c>
      <c r="D106" s="93">
        <f t="shared" si="2"/>
        <v>10.1225</v>
      </c>
      <c r="E106" s="93">
        <v>0.94</v>
      </c>
      <c r="F106" s="93"/>
      <c r="G106" s="93"/>
      <c r="H106" s="93"/>
      <c r="I106" s="93"/>
      <c r="J106" s="93"/>
      <c r="K106" s="93">
        <v>5.42</v>
      </c>
      <c r="L106" s="190">
        <f>E106*Prices!B$2</f>
        <v>103400</v>
      </c>
      <c r="M106" s="190">
        <f>F106*Prices!C$2</f>
        <v>0</v>
      </c>
      <c r="N106" s="190">
        <f>G106*Prices!D$2</f>
        <v>0</v>
      </c>
      <c r="O106" s="190">
        <f>H106*Prices!E$2</f>
        <v>0</v>
      </c>
      <c r="P106" s="190">
        <f t="shared" si="3"/>
        <v>9756</v>
      </c>
      <c r="Q106" s="190">
        <f>D106*Prices!A$2</f>
        <v>180686.625</v>
      </c>
      <c r="R106" s="191">
        <f t="shared" si="4"/>
        <v>103400</v>
      </c>
      <c r="S106" s="190">
        <f t="shared" si="5"/>
        <v>293842.625</v>
      </c>
      <c r="T106" s="93">
        <v>105.0</v>
      </c>
      <c r="U106" s="93" t="s">
        <v>82</v>
      </c>
      <c r="V106" s="12"/>
      <c r="W106" s="12"/>
      <c r="X106" s="12"/>
      <c r="Y106" s="12"/>
      <c r="Z106" s="12"/>
    </row>
    <row r="107">
      <c r="A107" s="93">
        <v>106.0</v>
      </c>
      <c r="B107" s="93">
        <v>4.208</v>
      </c>
      <c r="C107" s="93">
        <f t="shared" si="1"/>
        <v>1.052</v>
      </c>
      <c r="D107" s="93">
        <f t="shared" si="2"/>
        <v>5.26</v>
      </c>
      <c r="E107" s="93">
        <v>0.44</v>
      </c>
      <c r="F107" s="93"/>
      <c r="G107" s="93"/>
      <c r="H107" s="93"/>
      <c r="I107" s="93"/>
      <c r="J107" s="93"/>
      <c r="K107" s="93">
        <v>7.32</v>
      </c>
      <c r="L107" s="190">
        <f>E107*Prices!B$2</f>
        <v>48400</v>
      </c>
      <c r="M107" s="190">
        <f>F107*Prices!C$2</f>
        <v>0</v>
      </c>
      <c r="N107" s="190">
        <f>G107*Prices!D$2</f>
        <v>0</v>
      </c>
      <c r="O107" s="190">
        <f>H107*Prices!E$2</f>
        <v>0</v>
      </c>
      <c r="P107" s="190">
        <f t="shared" si="3"/>
        <v>13176</v>
      </c>
      <c r="Q107" s="190">
        <f>D107*Prices!A$2</f>
        <v>93891</v>
      </c>
      <c r="R107" s="191">
        <f t="shared" si="4"/>
        <v>48400</v>
      </c>
      <c r="S107" s="190">
        <f t="shared" si="5"/>
        <v>155467</v>
      </c>
      <c r="T107" s="93">
        <v>106.0</v>
      </c>
      <c r="U107" s="26" t="s">
        <v>82</v>
      </c>
      <c r="V107" s="12"/>
      <c r="W107" s="12"/>
      <c r="X107" s="12"/>
      <c r="Y107" s="12"/>
      <c r="Z107" s="12"/>
    </row>
    <row r="108">
      <c r="A108" s="93">
        <v>107.0</v>
      </c>
      <c r="B108" s="93">
        <v>5.354</v>
      </c>
      <c r="C108" s="93">
        <f t="shared" si="1"/>
        <v>1.3385</v>
      </c>
      <c r="D108" s="93">
        <f t="shared" si="2"/>
        <v>6.6925</v>
      </c>
      <c r="E108" s="93">
        <v>0.94</v>
      </c>
      <c r="F108" s="93"/>
      <c r="G108" s="93"/>
      <c r="H108" s="93"/>
      <c r="I108" s="93"/>
      <c r="J108" s="93"/>
      <c r="K108" s="93">
        <v>3.69</v>
      </c>
      <c r="L108" s="190">
        <f>E108*Prices!B$2</f>
        <v>103400</v>
      </c>
      <c r="M108" s="190">
        <f>F108*Prices!C$2</f>
        <v>0</v>
      </c>
      <c r="N108" s="190">
        <f>G108*Prices!D$2</f>
        <v>0</v>
      </c>
      <c r="O108" s="190">
        <f>H108*Prices!E$2</f>
        <v>0</v>
      </c>
      <c r="P108" s="190">
        <f t="shared" si="3"/>
        <v>6642</v>
      </c>
      <c r="Q108" s="190">
        <f>D108*Prices!A$2</f>
        <v>119461.125</v>
      </c>
      <c r="R108" s="191">
        <f t="shared" si="4"/>
        <v>103400</v>
      </c>
      <c r="S108" s="190">
        <f t="shared" si="5"/>
        <v>229503.125</v>
      </c>
      <c r="T108" s="93">
        <v>107.0</v>
      </c>
      <c r="U108" s="93" t="s">
        <v>80</v>
      </c>
      <c r="V108" s="12" t="s">
        <v>81</v>
      </c>
      <c r="W108" s="12"/>
      <c r="X108" s="12"/>
      <c r="Y108" s="12"/>
      <c r="Z108" s="12"/>
    </row>
    <row r="109">
      <c r="A109" s="93">
        <v>108.0</v>
      </c>
      <c r="B109" s="93">
        <v>5.882</v>
      </c>
      <c r="C109" s="93">
        <f t="shared" si="1"/>
        <v>1.4705</v>
      </c>
      <c r="D109" s="93">
        <f t="shared" si="2"/>
        <v>7.3525</v>
      </c>
      <c r="E109" s="93">
        <v>0.62</v>
      </c>
      <c r="F109" s="93"/>
      <c r="G109" s="93"/>
      <c r="H109" s="93"/>
      <c r="I109" s="93"/>
      <c r="J109" s="93"/>
      <c r="K109" s="93">
        <v>1.97</v>
      </c>
      <c r="L109" s="190">
        <f>E109*Prices!B$2</f>
        <v>68200</v>
      </c>
      <c r="M109" s="190">
        <f>F109*Prices!C$2</f>
        <v>0</v>
      </c>
      <c r="N109" s="190">
        <f>G109*Prices!D$2</f>
        <v>0</v>
      </c>
      <c r="O109" s="190">
        <f>H109*Prices!E$2</f>
        <v>0</v>
      </c>
      <c r="P109" s="190">
        <f t="shared" si="3"/>
        <v>3546</v>
      </c>
      <c r="Q109" s="190">
        <f>D109*Prices!A$2</f>
        <v>131242.125</v>
      </c>
      <c r="R109" s="191">
        <f t="shared" si="4"/>
        <v>68200</v>
      </c>
      <c r="S109" s="190">
        <f t="shared" si="5"/>
        <v>202988.125</v>
      </c>
      <c r="T109" s="93">
        <v>108.0</v>
      </c>
      <c r="U109" s="26" t="s">
        <v>82</v>
      </c>
      <c r="V109" s="12"/>
      <c r="W109" s="12"/>
      <c r="X109" s="12"/>
      <c r="Y109" s="12"/>
      <c r="Z109" s="12"/>
    </row>
    <row r="110">
      <c r="A110" s="93">
        <v>109.0</v>
      </c>
      <c r="B110" s="93">
        <v>2.968</v>
      </c>
      <c r="C110" s="93">
        <f t="shared" si="1"/>
        <v>0.742</v>
      </c>
      <c r="D110" s="93">
        <f t="shared" si="2"/>
        <v>3.71</v>
      </c>
      <c r="E110" s="93">
        <v>0.51</v>
      </c>
      <c r="F110" s="93"/>
      <c r="G110" s="93"/>
      <c r="H110" s="93"/>
      <c r="I110" s="93"/>
      <c r="J110" s="93"/>
      <c r="K110" s="93"/>
      <c r="L110" s="190">
        <f>E110*Prices!B$2</f>
        <v>56100</v>
      </c>
      <c r="M110" s="190">
        <f>F110*Prices!C$2</f>
        <v>0</v>
      </c>
      <c r="N110" s="190">
        <f>G110*Prices!D$2</f>
        <v>0</v>
      </c>
      <c r="O110" s="190">
        <f>H110*Prices!E$2</f>
        <v>0</v>
      </c>
      <c r="P110" s="190">
        <f t="shared" si="3"/>
        <v>0</v>
      </c>
      <c r="Q110" s="190">
        <f>D110*Prices!A$2</f>
        <v>66223.5</v>
      </c>
      <c r="R110" s="191">
        <f t="shared" si="4"/>
        <v>56100</v>
      </c>
      <c r="S110" s="190">
        <f t="shared" si="5"/>
        <v>122323.5</v>
      </c>
      <c r="T110" s="93">
        <v>109.0</v>
      </c>
      <c r="U110" s="93" t="s">
        <v>82</v>
      </c>
      <c r="V110" s="12"/>
      <c r="W110" s="12"/>
      <c r="X110" s="12"/>
      <c r="Y110" s="12"/>
      <c r="Z110" s="12"/>
    </row>
    <row r="111">
      <c r="A111" s="93">
        <v>110.0</v>
      </c>
      <c r="B111" s="93">
        <v>2.1</v>
      </c>
      <c r="C111" s="93">
        <f t="shared" si="1"/>
        <v>0.525</v>
      </c>
      <c r="D111" s="93">
        <f t="shared" si="2"/>
        <v>2.625</v>
      </c>
      <c r="E111" s="93">
        <v>0.35</v>
      </c>
      <c r="F111" s="93"/>
      <c r="G111" s="93"/>
      <c r="H111" s="93"/>
      <c r="I111" s="93"/>
      <c r="J111" s="93"/>
      <c r="K111" s="93"/>
      <c r="L111" s="190">
        <f>E111*Prices!B$2</f>
        <v>38500</v>
      </c>
      <c r="M111" s="190">
        <f>F111*Prices!C$2</f>
        <v>0</v>
      </c>
      <c r="N111" s="190">
        <f>G111*Prices!D$2</f>
        <v>0</v>
      </c>
      <c r="O111" s="190">
        <f>H111*Prices!E$2</f>
        <v>0</v>
      </c>
      <c r="P111" s="190">
        <f t="shared" si="3"/>
        <v>0</v>
      </c>
      <c r="Q111" s="190">
        <f>D111*Prices!A$2</f>
        <v>46856.25</v>
      </c>
      <c r="R111" s="191">
        <f t="shared" si="4"/>
        <v>38500</v>
      </c>
      <c r="S111" s="190">
        <f t="shared" si="5"/>
        <v>85356.25</v>
      </c>
      <c r="T111" s="93">
        <v>110.0</v>
      </c>
      <c r="U111" s="93" t="s">
        <v>82</v>
      </c>
      <c r="V111" s="12"/>
      <c r="W111" s="12"/>
      <c r="X111" s="12"/>
      <c r="Y111" s="12"/>
      <c r="Z111" s="12"/>
    </row>
    <row r="112">
      <c r="A112" s="93">
        <v>111.0</v>
      </c>
      <c r="B112" s="93">
        <v>9.014</v>
      </c>
      <c r="C112" s="93">
        <f t="shared" si="1"/>
        <v>2.2535</v>
      </c>
      <c r="D112" s="93">
        <f t="shared" si="2"/>
        <v>11.2675</v>
      </c>
      <c r="E112" s="93">
        <v>1.35</v>
      </c>
      <c r="F112" s="93"/>
      <c r="G112" s="93"/>
      <c r="H112" s="93"/>
      <c r="I112" s="93"/>
      <c r="J112" s="93"/>
      <c r="K112" s="93">
        <v>5.53</v>
      </c>
      <c r="L112" s="190">
        <f>E112*Prices!B$2</f>
        <v>148500</v>
      </c>
      <c r="M112" s="190">
        <f>F112*Prices!C$2</f>
        <v>0</v>
      </c>
      <c r="N112" s="190">
        <f>G112*Prices!D$2</f>
        <v>0</v>
      </c>
      <c r="O112" s="190">
        <f>H112*Prices!E$2</f>
        <v>0</v>
      </c>
      <c r="P112" s="190">
        <f t="shared" si="3"/>
        <v>9954</v>
      </c>
      <c r="Q112" s="190">
        <f>D112*Prices!A$2</f>
        <v>201124.875</v>
      </c>
      <c r="R112" s="191">
        <f t="shared" si="4"/>
        <v>148500</v>
      </c>
      <c r="S112" s="190">
        <f t="shared" si="5"/>
        <v>359578.875</v>
      </c>
      <c r="T112" s="93">
        <v>111.0</v>
      </c>
      <c r="U112" s="93" t="s">
        <v>82</v>
      </c>
      <c r="V112" s="12"/>
      <c r="W112" s="12"/>
      <c r="X112" s="12"/>
      <c r="Y112" s="12"/>
      <c r="Z112" s="12"/>
    </row>
    <row r="113">
      <c r="A113" s="93">
        <v>112.0</v>
      </c>
      <c r="B113" s="93">
        <v>4.174</v>
      </c>
      <c r="C113" s="93">
        <f t="shared" si="1"/>
        <v>1.0435</v>
      </c>
      <c r="D113" s="93">
        <f t="shared" si="2"/>
        <v>5.2175</v>
      </c>
      <c r="E113" s="93">
        <v>0.48</v>
      </c>
      <c r="F113" s="93"/>
      <c r="G113" s="93"/>
      <c r="H113" s="93"/>
      <c r="I113" s="93"/>
      <c r="J113" s="93"/>
      <c r="K113" s="93">
        <v>6.9</v>
      </c>
      <c r="L113" s="190">
        <f>E113*Prices!B$2</f>
        <v>52800</v>
      </c>
      <c r="M113" s="190">
        <f>F113*Prices!C$2</f>
        <v>0</v>
      </c>
      <c r="N113" s="190">
        <f>G113*Prices!D$2</f>
        <v>0</v>
      </c>
      <c r="O113" s="190">
        <f>H113*Prices!E$2</f>
        <v>0</v>
      </c>
      <c r="P113" s="190">
        <f t="shared" si="3"/>
        <v>12420</v>
      </c>
      <c r="Q113" s="190">
        <f>D113*Prices!A$2</f>
        <v>93132.375</v>
      </c>
      <c r="R113" s="191">
        <f t="shared" si="4"/>
        <v>52800</v>
      </c>
      <c r="S113" s="190">
        <f t="shared" si="5"/>
        <v>158352.375</v>
      </c>
      <c r="T113" s="93">
        <v>112.0</v>
      </c>
      <c r="U113" s="93" t="s">
        <v>82</v>
      </c>
      <c r="V113" s="12"/>
      <c r="W113" s="12"/>
      <c r="X113" s="12"/>
      <c r="Y113" s="12"/>
      <c r="Z113" s="12"/>
    </row>
    <row r="114">
      <c r="A114" s="93">
        <v>113.0</v>
      </c>
      <c r="B114" s="93">
        <v>3.52</v>
      </c>
      <c r="C114" s="93">
        <f t="shared" si="1"/>
        <v>0.88</v>
      </c>
      <c r="D114" s="93">
        <f t="shared" si="2"/>
        <v>4.4</v>
      </c>
      <c r="E114" s="93"/>
      <c r="F114" s="93">
        <v>0.75</v>
      </c>
      <c r="G114" s="93"/>
      <c r="H114" s="93"/>
      <c r="I114" s="93"/>
      <c r="J114" s="93"/>
      <c r="K114" s="93"/>
      <c r="L114" s="190">
        <f>E114*Prices!B$2</f>
        <v>0</v>
      </c>
      <c r="M114" s="190">
        <f>F114*Prices!C$2</f>
        <v>120000</v>
      </c>
      <c r="N114" s="190">
        <f>G114*Prices!D$2</f>
        <v>0</v>
      </c>
      <c r="O114" s="190">
        <f>H114*Prices!E$2</f>
        <v>0</v>
      </c>
      <c r="P114" s="190">
        <f t="shared" si="3"/>
        <v>0</v>
      </c>
      <c r="Q114" s="190">
        <f>D114*Prices!A$2</f>
        <v>78540</v>
      </c>
      <c r="R114" s="191">
        <f t="shared" si="4"/>
        <v>120000</v>
      </c>
      <c r="S114" s="190">
        <f t="shared" si="5"/>
        <v>198540</v>
      </c>
      <c r="T114" s="93">
        <v>113.0</v>
      </c>
      <c r="U114" s="93" t="s">
        <v>82</v>
      </c>
      <c r="V114" s="12"/>
      <c r="W114" s="12"/>
      <c r="X114" s="12"/>
      <c r="Y114" s="12"/>
      <c r="Z114" s="12"/>
    </row>
    <row r="115">
      <c r="A115" s="93">
        <v>114.0</v>
      </c>
      <c r="B115" s="93">
        <v>5.35</v>
      </c>
      <c r="C115" s="93">
        <f t="shared" si="1"/>
        <v>1.3375</v>
      </c>
      <c r="D115" s="93">
        <f t="shared" si="2"/>
        <v>6.6875</v>
      </c>
      <c r="E115" s="93">
        <v>0.52</v>
      </c>
      <c r="F115" s="93"/>
      <c r="G115" s="93"/>
      <c r="H115" s="93"/>
      <c r="I115" s="93"/>
      <c r="J115" s="93"/>
      <c r="K115" s="93">
        <v>10.93</v>
      </c>
      <c r="L115" s="190">
        <f>E115*Prices!B$2</f>
        <v>57200</v>
      </c>
      <c r="M115" s="190">
        <f>F115*Prices!C$2</f>
        <v>0</v>
      </c>
      <c r="N115" s="190">
        <f>G115*Prices!D$2</f>
        <v>0</v>
      </c>
      <c r="O115" s="190">
        <f>H115*Prices!E$2</f>
        <v>0</v>
      </c>
      <c r="P115" s="190">
        <f t="shared" si="3"/>
        <v>19674</v>
      </c>
      <c r="Q115" s="190">
        <f>D115*Prices!A$2</f>
        <v>119371.875</v>
      </c>
      <c r="R115" s="191">
        <f t="shared" si="4"/>
        <v>57200</v>
      </c>
      <c r="S115" s="190">
        <f t="shared" si="5"/>
        <v>196245.875</v>
      </c>
      <c r="T115" s="93">
        <v>114.0</v>
      </c>
      <c r="U115" s="93" t="s">
        <v>82</v>
      </c>
      <c r="V115" s="12"/>
      <c r="W115" s="12"/>
      <c r="X115" s="12"/>
      <c r="Y115" s="12"/>
      <c r="Z115" s="12"/>
    </row>
    <row r="116">
      <c r="A116" s="93">
        <v>115.0</v>
      </c>
      <c r="B116" s="93">
        <v>4.32</v>
      </c>
      <c r="C116" s="93">
        <f t="shared" si="1"/>
        <v>1.08</v>
      </c>
      <c r="D116" s="93">
        <f t="shared" si="2"/>
        <v>5.4</v>
      </c>
      <c r="E116" s="93">
        <v>0.62</v>
      </c>
      <c r="F116" s="93"/>
      <c r="G116" s="93"/>
      <c r="H116" s="93"/>
      <c r="I116" s="93"/>
      <c r="J116" s="93"/>
      <c r="K116" s="93"/>
      <c r="L116" s="190">
        <f>E116*Prices!B$2</f>
        <v>68200</v>
      </c>
      <c r="M116" s="190">
        <f>F116*Prices!C$2</f>
        <v>0</v>
      </c>
      <c r="N116" s="190">
        <f>G116*Prices!D$2</f>
        <v>0</v>
      </c>
      <c r="O116" s="190">
        <f>H116*Prices!E$2</f>
        <v>0</v>
      </c>
      <c r="P116" s="190">
        <f t="shared" si="3"/>
        <v>0</v>
      </c>
      <c r="Q116" s="190">
        <f>D116*Prices!A$2</f>
        <v>96390</v>
      </c>
      <c r="R116" s="191">
        <f t="shared" si="4"/>
        <v>68200</v>
      </c>
      <c r="S116" s="190">
        <f t="shared" si="5"/>
        <v>164590</v>
      </c>
      <c r="T116" s="93">
        <v>115.0</v>
      </c>
      <c r="U116" s="26" t="s">
        <v>82</v>
      </c>
      <c r="V116" s="12"/>
      <c r="W116" s="12"/>
      <c r="X116" s="12"/>
      <c r="Y116" s="12"/>
      <c r="Z116" s="12"/>
    </row>
    <row r="117">
      <c r="A117" s="93">
        <v>116.0</v>
      </c>
      <c r="B117" s="93">
        <v>4.96</v>
      </c>
      <c r="C117" s="93">
        <f t="shared" si="1"/>
        <v>1.24</v>
      </c>
      <c r="D117" s="93">
        <f t="shared" si="2"/>
        <v>6.2</v>
      </c>
      <c r="E117" s="93">
        <v>0.87</v>
      </c>
      <c r="F117" s="93"/>
      <c r="G117" s="93"/>
      <c r="H117" s="93"/>
      <c r="I117" s="93"/>
      <c r="J117" s="93"/>
      <c r="K117" s="93">
        <v>2.8</v>
      </c>
      <c r="L117" s="190">
        <f>E117*Prices!B$2</f>
        <v>95700</v>
      </c>
      <c r="M117" s="190">
        <f>F117*Prices!C$2</f>
        <v>0</v>
      </c>
      <c r="N117" s="190">
        <f>G117*Prices!D$2</f>
        <v>0</v>
      </c>
      <c r="O117" s="190">
        <f>H117*Prices!E$2</f>
        <v>0</v>
      </c>
      <c r="P117" s="190">
        <f t="shared" si="3"/>
        <v>5040</v>
      </c>
      <c r="Q117" s="190">
        <f>D117*Prices!A$2</f>
        <v>110670</v>
      </c>
      <c r="R117" s="191">
        <f t="shared" si="4"/>
        <v>95700</v>
      </c>
      <c r="S117" s="190">
        <f t="shared" si="5"/>
        <v>211410</v>
      </c>
      <c r="T117" s="93">
        <v>116.0</v>
      </c>
      <c r="U117" s="93" t="s">
        <v>80</v>
      </c>
      <c r="V117" s="12" t="s">
        <v>81</v>
      </c>
      <c r="W117" s="12"/>
      <c r="X117" s="12"/>
      <c r="Y117" s="12"/>
      <c r="Z117" s="12"/>
    </row>
    <row r="118">
      <c r="A118" s="93">
        <v>117.0</v>
      </c>
      <c r="B118" s="93">
        <v>8.124</v>
      </c>
      <c r="C118" s="93">
        <f t="shared" si="1"/>
        <v>2.031</v>
      </c>
      <c r="D118" s="93">
        <f t="shared" si="2"/>
        <v>10.155</v>
      </c>
      <c r="E118" s="93">
        <v>1.73</v>
      </c>
      <c r="F118" s="93"/>
      <c r="G118" s="93"/>
      <c r="H118" s="93"/>
      <c r="I118" s="93"/>
      <c r="J118" s="93">
        <v>4.9</v>
      </c>
      <c r="K118" s="93"/>
      <c r="L118" s="190">
        <f>E118*Prices!B$2</f>
        <v>190300</v>
      </c>
      <c r="M118" s="190">
        <f>F118*Prices!C$2</f>
        <v>0</v>
      </c>
      <c r="N118" s="190">
        <f>G118*Prices!D$2</f>
        <v>0</v>
      </c>
      <c r="O118" s="190">
        <f>H118*Prices!E$2</f>
        <v>0</v>
      </c>
      <c r="P118" s="190">
        <f>I118*2000+J118*3500+K118*1800</f>
        <v>17150</v>
      </c>
      <c r="Q118" s="190">
        <f>D118*Prices!A$2</f>
        <v>181266.75</v>
      </c>
      <c r="R118" s="191">
        <f t="shared" si="4"/>
        <v>190300</v>
      </c>
      <c r="S118" s="190">
        <f t="shared" si="5"/>
        <v>388716.75</v>
      </c>
      <c r="T118" s="93">
        <v>117.0</v>
      </c>
      <c r="U118" s="93" t="s">
        <v>80</v>
      </c>
      <c r="V118" s="12" t="s">
        <v>81</v>
      </c>
      <c r="W118" s="12"/>
      <c r="X118" s="12"/>
      <c r="Y118" s="12"/>
      <c r="Z118" s="12"/>
    </row>
    <row r="119">
      <c r="A119" s="93">
        <v>118.0</v>
      </c>
      <c r="B119" s="93">
        <v>10.43</v>
      </c>
      <c r="C119" s="93">
        <f t="shared" si="1"/>
        <v>2.6075</v>
      </c>
      <c r="D119" s="93">
        <f t="shared" si="2"/>
        <v>13.0375</v>
      </c>
      <c r="E119" s="93">
        <v>2.03</v>
      </c>
      <c r="F119" s="93"/>
      <c r="G119" s="93"/>
      <c r="H119" s="93"/>
      <c r="I119" s="93"/>
      <c r="J119" s="93"/>
      <c r="K119" s="93">
        <v>9.32</v>
      </c>
      <c r="L119" s="190">
        <f>E119*Prices!B$2</f>
        <v>223300</v>
      </c>
      <c r="M119" s="190">
        <f>F119*Prices!C$2</f>
        <v>0</v>
      </c>
      <c r="N119" s="190">
        <f>G119*Prices!D$2</f>
        <v>0</v>
      </c>
      <c r="O119" s="190">
        <f>H119*Prices!E$2</f>
        <v>0</v>
      </c>
      <c r="P119" s="190">
        <f t="shared" ref="P119:P278" si="6">I119*2000+J119*10000+K119*1800</f>
        <v>16776</v>
      </c>
      <c r="Q119" s="190">
        <f>D119*Prices!A$2</f>
        <v>232719.375</v>
      </c>
      <c r="R119" s="191">
        <f t="shared" si="4"/>
        <v>223300</v>
      </c>
      <c r="S119" s="190">
        <f t="shared" si="5"/>
        <v>472795.375</v>
      </c>
      <c r="T119" s="93">
        <v>118.0</v>
      </c>
      <c r="U119" s="93" t="s">
        <v>82</v>
      </c>
      <c r="V119" s="12"/>
      <c r="W119" s="12"/>
      <c r="X119" s="12"/>
      <c r="Y119" s="12"/>
      <c r="Z119" s="12"/>
    </row>
    <row r="120">
      <c r="A120" s="93">
        <v>119.0</v>
      </c>
      <c r="B120" s="93">
        <v>3.444</v>
      </c>
      <c r="C120" s="93">
        <f t="shared" si="1"/>
        <v>0.861</v>
      </c>
      <c r="D120" s="93">
        <f t="shared" si="2"/>
        <v>4.305</v>
      </c>
      <c r="E120" s="93">
        <v>0.93</v>
      </c>
      <c r="F120" s="93"/>
      <c r="G120" s="93"/>
      <c r="H120" s="93"/>
      <c r="I120" s="93"/>
      <c r="J120" s="93"/>
      <c r="K120" s="93"/>
      <c r="L120" s="190">
        <f>E120*Prices!B$2</f>
        <v>102300</v>
      </c>
      <c r="M120" s="190">
        <f>F120*Prices!C$2</f>
        <v>0</v>
      </c>
      <c r="N120" s="190">
        <f>G120*Prices!D$2</f>
        <v>0</v>
      </c>
      <c r="O120" s="190">
        <f>H120*Prices!E$2</f>
        <v>0</v>
      </c>
      <c r="P120" s="190">
        <f t="shared" si="6"/>
        <v>0</v>
      </c>
      <c r="Q120" s="190">
        <f>D120*Prices!A$2</f>
        <v>76844.25</v>
      </c>
      <c r="R120" s="191">
        <f t="shared" si="4"/>
        <v>102300</v>
      </c>
      <c r="S120" s="190">
        <f t="shared" si="5"/>
        <v>179144.25</v>
      </c>
      <c r="T120" s="93">
        <v>119.0</v>
      </c>
      <c r="U120" s="93" t="s">
        <v>82</v>
      </c>
      <c r="V120" s="12"/>
      <c r="W120" s="12"/>
      <c r="X120" s="12"/>
      <c r="Y120" s="12"/>
      <c r="Z120" s="12"/>
    </row>
    <row r="121">
      <c r="A121" s="93">
        <v>120.0</v>
      </c>
      <c r="B121" s="93">
        <v>5.33</v>
      </c>
      <c r="C121" s="93">
        <f t="shared" si="1"/>
        <v>1.3325</v>
      </c>
      <c r="D121" s="93">
        <f t="shared" si="2"/>
        <v>6.6625</v>
      </c>
      <c r="E121" s="93"/>
      <c r="F121" s="93">
        <v>1.82</v>
      </c>
      <c r="G121" s="93"/>
      <c r="H121" s="93"/>
      <c r="I121" s="93"/>
      <c r="J121" s="93"/>
      <c r="K121" s="93"/>
      <c r="L121" s="190">
        <f>E121*Prices!B$2</f>
        <v>0</v>
      </c>
      <c r="M121" s="190">
        <f>F121*Prices!C$2</f>
        <v>291200</v>
      </c>
      <c r="N121" s="190">
        <f>G121*Prices!D$2</f>
        <v>0</v>
      </c>
      <c r="O121" s="190">
        <f>H121*Prices!E$2</f>
        <v>0</v>
      </c>
      <c r="P121" s="190">
        <f t="shared" si="6"/>
        <v>0</v>
      </c>
      <c r="Q121" s="190">
        <f>D121*Prices!A$2</f>
        <v>118925.625</v>
      </c>
      <c r="R121" s="191">
        <f t="shared" si="4"/>
        <v>291200</v>
      </c>
      <c r="S121" s="190">
        <f t="shared" si="5"/>
        <v>410125.625</v>
      </c>
      <c r="T121" s="93">
        <v>120.0</v>
      </c>
      <c r="U121" s="93" t="s">
        <v>80</v>
      </c>
      <c r="V121" s="12" t="s">
        <v>81</v>
      </c>
      <c r="W121" s="12"/>
      <c r="X121" s="12"/>
      <c r="Y121" s="12"/>
      <c r="Z121" s="12"/>
    </row>
    <row r="122">
      <c r="A122" s="93">
        <v>121.0</v>
      </c>
      <c r="B122" s="93">
        <v>3.618</v>
      </c>
      <c r="C122" s="93">
        <f t="shared" si="1"/>
        <v>0.9045</v>
      </c>
      <c r="D122" s="93">
        <f t="shared" si="2"/>
        <v>4.5225</v>
      </c>
      <c r="E122" s="93">
        <v>0.34</v>
      </c>
      <c r="F122" s="93"/>
      <c r="G122" s="93"/>
      <c r="H122" s="93"/>
      <c r="I122" s="93"/>
      <c r="J122" s="93"/>
      <c r="K122" s="93"/>
      <c r="L122" s="190">
        <f>E122*Prices!B$2</f>
        <v>37400</v>
      </c>
      <c r="M122" s="190">
        <f>F122*Prices!C$2</f>
        <v>0</v>
      </c>
      <c r="N122" s="190">
        <f>G122*Prices!D$2</f>
        <v>0</v>
      </c>
      <c r="O122" s="190">
        <f>H122*Prices!E$2</f>
        <v>0</v>
      </c>
      <c r="P122" s="190">
        <f t="shared" si="6"/>
        <v>0</v>
      </c>
      <c r="Q122" s="190">
        <f>D122*Prices!A$2</f>
        <v>80726.625</v>
      </c>
      <c r="R122" s="191">
        <f t="shared" si="4"/>
        <v>37400</v>
      </c>
      <c r="S122" s="190">
        <f t="shared" si="5"/>
        <v>118126.625</v>
      </c>
      <c r="T122" s="93">
        <v>121.0</v>
      </c>
      <c r="U122" s="26" t="s">
        <v>82</v>
      </c>
      <c r="V122" s="12"/>
      <c r="W122" s="12"/>
      <c r="X122" s="12"/>
      <c r="Y122" s="12"/>
      <c r="Z122" s="12"/>
    </row>
    <row r="123">
      <c r="A123" s="93">
        <v>122.0</v>
      </c>
      <c r="B123" s="93">
        <v>1.98</v>
      </c>
      <c r="C123" s="93">
        <f t="shared" si="1"/>
        <v>0.495</v>
      </c>
      <c r="D123" s="93">
        <f t="shared" si="2"/>
        <v>2.475</v>
      </c>
      <c r="E123" s="93">
        <v>0.42</v>
      </c>
      <c r="F123" s="93"/>
      <c r="G123" s="93">
        <v>0.13</v>
      </c>
      <c r="H123" s="93"/>
      <c r="I123" s="93"/>
      <c r="J123" s="93"/>
      <c r="K123" s="93"/>
      <c r="L123" s="190">
        <f>E123*Prices!B$2</f>
        <v>46200</v>
      </c>
      <c r="M123" s="190">
        <f>F123*Prices!C$2</f>
        <v>0</v>
      </c>
      <c r="N123" s="190">
        <f>G123*Prices!D$2</f>
        <v>25350</v>
      </c>
      <c r="O123" s="190">
        <f>H123*Prices!E$2</f>
        <v>0</v>
      </c>
      <c r="P123" s="190">
        <f t="shared" si="6"/>
        <v>0</v>
      </c>
      <c r="Q123" s="190">
        <f>D123*Prices!A$2</f>
        <v>44178.75</v>
      </c>
      <c r="R123" s="191">
        <f t="shared" si="4"/>
        <v>71550</v>
      </c>
      <c r="S123" s="190">
        <f t="shared" si="5"/>
        <v>115728.75</v>
      </c>
      <c r="T123" s="93">
        <v>122.0</v>
      </c>
      <c r="U123" s="93" t="s">
        <v>80</v>
      </c>
      <c r="V123" s="12" t="s">
        <v>81</v>
      </c>
      <c r="W123" s="12"/>
      <c r="X123" s="12"/>
      <c r="Y123" s="12"/>
      <c r="Z123" s="12"/>
    </row>
    <row r="124">
      <c r="A124" s="93">
        <v>123.0</v>
      </c>
      <c r="B124" s="93">
        <v>4.3</v>
      </c>
      <c r="C124" s="93">
        <f t="shared" si="1"/>
        <v>1.075</v>
      </c>
      <c r="D124" s="93">
        <f t="shared" si="2"/>
        <v>5.375</v>
      </c>
      <c r="E124" s="93">
        <v>0.33</v>
      </c>
      <c r="F124" s="93"/>
      <c r="G124" s="93"/>
      <c r="H124" s="93"/>
      <c r="I124" s="93"/>
      <c r="J124" s="93">
        <v>1.19</v>
      </c>
      <c r="K124" s="93"/>
      <c r="L124" s="190">
        <f>E124*Prices!B$2</f>
        <v>36300</v>
      </c>
      <c r="M124" s="190">
        <f>F124*Prices!C$2</f>
        <v>0</v>
      </c>
      <c r="N124" s="190">
        <f>G124*Prices!D$2</f>
        <v>0</v>
      </c>
      <c r="O124" s="190">
        <f>H124*Prices!E$2</f>
        <v>0</v>
      </c>
      <c r="P124" s="190">
        <f t="shared" si="6"/>
        <v>11900</v>
      </c>
      <c r="Q124" s="190">
        <f>D124*Prices!A$2</f>
        <v>95943.75</v>
      </c>
      <c r="R124" s="191">
        <f t="shared" si="4"/>
        <v>36300</v>
      </c>
      <c r="S124" s="190">
        <f t="shared" si="5"/>
        <v>144143.75</v>
      </c>
      <c r="T124" s="93">
        <v>123.0</v>
      </c>
      <c r="U124" s="93" t="s">
        <v>80</v>
      </c>
      <c r="V124" s="12" t="s">
        <v>81</v>
      </c>
      <c r="W124" s="12"/>
      <c r="X124" s="12"/>
      <c r="Y124" s="12"/>
      <c r="Z124" s="12"/>
    </row>
    <row r="125">
      <c r="A125" s="93">
        <v>124.0</v>
      </c>
      <c r="B125" s="93">
        <v>4.446</v>
      </c>
      <c r="C125" s="93">
        <f t="shared" si="1"/>
        <v>1.1115</v>
      </c>
      <c r="D125" s="93">
        <f t="shared" si="2"/>
        <v>5.5575</v>
      </c>
      <c r="E125" s="93">
        <v>0.62</v>
      </c>
      <c r="F125" s="93"/>
      <c r="G125" s="93"/>
      <c r="H125" s="93"/>
      <c r="I125" s="93"/>
      <c r="J125" s="93"/>
      <c r="K125" s="93">
        <v>2.1</v>
      </c>
      <c r="L125" s="190">
        <f>E125*Prices!B$2</f>
        <v>68200</v>
      </c>
      <c r="M125" s="190">
        <f>F125*Prices!C$2</f>
        <v>0</v>
      </c>
      <c r="N125" s="190">
        <f>G125*Prices!D$2</f>
        <v>0</v>
      </c>
      <c r="O125" s="190">
        <f>H125*Prices!E$2</f>
        <v>0</v>
      </c>
      <c r="P125" s="190">
        <f t="shared" si="6"/>
        <v>3780</v>
      </c>
      <c r="Q125" s="190">
        <f>D125*Prices!A$2</f>
        <v>99201.375</v>
      </c>
      <c r="R125" s="191">
        <f t="shared" si="4"/>
        <v>68200</v>
      </c>
      <c r="S125" s="190">
        <f t="shared" si="5"/>
        <v>171181.375</v>
      </c>
      <c r="T125" s="93">
        <v>124.0</v>
      </c>
      <c r="U125" s="93" t="s">
        <v>82</v>
      </c>
      <c r="V125" s="12"/>
      <c r="W125" s="12"/>
      <c r="X125" s="12"/>
      <c r="Y125" s="12"/>
      <c r="Z125" s="12"/>
    </row>
    <row r="126">
      <c r="A126" s="93">
        <v>125.0</v>
      </c>
      <c r="B126" s="93">
        <v>1.946</v>
      </c>
      <c r="C126" s="93">
        <f t="shared" si="1"/>
        <v>0.4865</v>
      </c>
      <c r="D126" s="93">
        <f t="shared" si="2"/>
        <v>2.4325</v>
      </c>
      <c r="E126" s="93">
        <v>0.42</v>
      </c>
      <c r="F126" s="93"/>
      <c r="G126" s="93"/>
      <c r="H126" s="93"/>
      <c r="I126" s="93"/>
      <c r="J126" s="93"/>
      <c r="K126" s="93"/>
      <c r="L126" s="190">
        <f>E126*Prices!B$2</f>
        <v>46200</v>
      </c>
      <c r="M126" s="190">
        <f>F126*Prices!C$2</f>
        <v>0</v>
      </c>
      <c r="N126" s="190">
        <f>G126*Prices!D$2</f>
        <v>0</v>
      </c>
      <c r="O126" s="190">
        <f>H126*Prices!E$2</f>
        <v>0</v>
      </c>
      <c r="P126" s="190">
        <f t="shared" si="6"/>
        <v>0</v>
      </c>
      <c r="Q126" s="190">
        <f>D126*Prices!A$2</f>
        <v>43420.125</v>
      </c>
      <c r="R126" s="191">
        <f t="shared" si="4"/>
        <v>46200</v>
      </c>
      <c r="S126" s="190">
        <f t="shared" si="5"/>
        <v>89620.125</v>
      </c>
      <c r="T126" s="93">
        <v>125.0</v>
      </c>
      <c r="U126" s="93" t="s">
        <v>80</v>
      </c>
      <c r="V126" s="12" t="s">
        <v>81</v>
      </c>
      <c r="W126" s="12"/>
      <c r="X126" s="12"/>
      <c r="Y126" s="12"/>
      <c r="Z126" s="12"/>
    </row>
    <row r="127">
      <c r="A127" s="93">
        <v>126.0</v>
      </c>
      <c r="B127" s="93">
        <v>3.43</v>
      </c>
      <c r="C127" s="93">
        <f t="shared" si="1"/>
        <v>0.8575</v>
      </c>
      <c r="D127" s="93">
        <f t="shared" si="2"/>
        <v>4.2875</v>
      </c>
      <c r="E127" s="93">
        <v>0.5</v>
      </c>
      <c r="F127" s="93"/>
      <c r="G127" s="93"/>
      <c r="H127" s="93"/>
      <c r="I127" s="93"/>
      <c r="J127" s="93"/>
      <c r="K127" s="93"/>
      <c r="L127" s="190">
        <f>E127*Prices!B$2</f>
        <v>55000</v>
      </c>
      <c r="M127" s="190">
        <f>F127*Prices!C$2</f>
        <v>0</v>
      </c>
      <c r="N127" s="190">
        <f>G127*Prices!D$2</f>
        <v>0</v>
      </c>
      <c r="O127" s="190">
        <f>H127*Prices!E$2</f>
        <v>0</v>
      </c>
      <c r="P127" s="190">
        <f t="shared" si="6"/>
        <v>0</v>
      </c>
      <c r="Q127" s="190">
        <f>D127*Prices!A$2</f>
        <v>76531.875</v>
      </c>
      <c r="R127" s="191">
        <f t="shared" si="4"/>
        <v>55000</v>
      </c>
      <c r="S127" s="190">
        <f t="shared" si="5"/>
        <v>131531.875</v>
      </c>
      <c r="T127" s="93">
        <v>126.0</v>
      </c>
      <c r="U127" s="93" t="s">
        <v>82</v>
      </c>
      <c r="V127" s="12"/>
      <c r="W127" s="12"/>
      <c r="X127" s="12"/>
      <c r="Y127" s="12"/>
      <c r="Z127" s="12"/>
    </row>
    <row r="128">
      <c r="A128" s="93">
        <v>127.0</v>
      </c>
      <c r="B128" s="93">
        <v>9.142</v>
      </c>
      <c r="C128" s="93">
        <f t="shared" si="1"/>
        <v>2.2855</v>
      </c>
      <c r="D128" s="93">
        <f t="shared" si="2"/>
        <v>11.4275</v>
      </c>
      <c r="E128" s="93">
        <v>1.09</v>
      </c>
      <c r="F128" s="93"/>
      <c r="G128" s="93"/>
      <c r="H128" s="93"/>
      <c r="I128" s="93"/>
      <c r="J128" s="93"/>
      <c r="K128" s="93">
        <v>10.4</v>
      </c>
      <c r="L128" s="190">
        <f>E128*Prices!B$2</f>
        <v>119900</v>
      </c>
      <c r="M128" s="190">
        <f>F128*Prices!C$2</f>
        <v>0</v>
      </c>
      <c r="N128" s="190">
        <f>G128*Prices!D$2</f>
        <v>0</v>
      </c>
      <c r="O128" s="190">
        <f>H128*Prices!E$2</f>
        <v>0</v>
      </c>
      <c r="P128" s="190">
        <f t="shared" si="6"/>
        <v>18720</v>
      </c>
      <c r="Q128" s="190">
        <f>D128*Prices!A$2</f>
        <v>203980.875</v>
      </c>
      <c r="R128" s="191">
        <f t="shared" si="4"/>
        <v>119900</v>
      </c>
      <c r="S128" s="190">
        <f t="shared" si="5"/>
        <v>342600.875</v>
      </c>
      <c r="T128" s="93">
        <v>127.0</v>
      </c>
      <c r="U128" s="93" t="s">
        <v>82</v>
      </c>
      <c r="V128" s="12"/>
      <c r="W128" s="12"/>
      <c r="X128" s="12"/>
      <c r="Y128" s="12"/>
      <c r="Z128" s="12"/>
    </row>
    <row r="129">
      <c r="A129" s="93">
        <v>128.0</v>
      </c>
      <c r="B129" s="93">
        <v>3.354</v>
      </c>
      <c r="C129" s="93">
        <f t="shared" si="1"/>
        <v>0.8385</v>
      </c>
      <c r="D129" s="93">
        <f t="shared" si="2"/>
        <v>4.1925</v>
      </c>
      <c r="E129" s="93">
        <v>0.83</v>
      </c>
      <c r="F129" s="93">
        <v>0.1</v>
      </c>
      <c r="G129" s="93"/>
      <c r="H129" s="93"/>
      <c r="I129" s="93"/>
      <c r="J129" s="93"/>
      <c r="K129" s="93"/>
      <c r="L129" s="190">
        <f>E129*Prices!B$2</f>
        <v>91300</v>
      </c>
      <c r="M129" s="190">
        <f>F129*Prices!C$2</f>
        <v>16000</v>
      </c>
      <c r="N129" s="190">
        <f>G129*Prices!D$2</f>
        <v>0</v>
      </c>
      <c r="O129" s="190">
        <f>H129*Prices!E$2</f>
        <v>0</v>
      </c>
      <c r="P129" s="190">
        <f t="shared" si="6"/>
        <v>0</v>
      </c>
      <c r="Q129" s="190">
        <f>D129*Prices!A$2</f>
        <v>74836.125</v>
      </c>
      <c r="R129" s="191">
        <f t="shared" si="4"/>
        <v>107300</v>
      </c>
      <c r="S129" s="190">
        <f t="shared" si="5"/>
        <v>182136.125</v>
      </c>
      <c r="T129" s="93">
        <v>128.0</v>
      </c>
      <c r="U129" s="26" t="s">
        <v>82</v>
      </c>
      <c r="V129" s="12"/>
      <c r="W129" s="12"/>
      <c r="X129" s="12"/>
      <c r="Y129" s="12"/>
      <c r="Z129" s="12"/>
    </row>
    <row r="130">
      <c r="A130" s="93">
        <v>129.0</v>
      </c>
      <c r="B130" s="93">
        <v>2.45</v>
      </c>
      <c r="C130" s="93">
        <f t="shared" si="1"/>
        <v>0.6125</v>
      </c>
      <c r="D130" s="93">
        <f t="shared" si="2"/>
        <v>3.0625</v>
      </c>
      <c r="E130" s="93">
        <v>0.19</v>
      </c>
      <c r="F130" s="93"/>
      <c r="G130" s="93"/>
      <c r="H130" s="93"/>
      <c r="I130" s="93"/>
      <c r="J130" s="93"/>
      <c r="K130" s="93"/>
      <c r="L130" s="190">
        <f>E130*Prices!B$2</f>
        <v>20900</v>
      </c>
      <c r="M130" s="190">
        <f>F130*Prices!C$2</f>
        <v>0</v>
      </c>
      <c r="N130" s="190">
        <f>G130*Prices!D$2</f>
        <v>0</v>
      </c>
      <c r="O130" s="190">
        <f>H130*Prices!E$2</f>
        <v>0</v>
      </c>
      <c r="P130" s="190">
        <f t="shared" si="6"/>
        <v>0</v>
      </c>
      <c r="Q130" s="190">
        <f>D130*Prices!A$2</f>
        <v>54665.625</v>
      </c>
      <c r="R130" s="191">
        <f t="shared" si="4"/>
        <v>20900</v>
      </c>
      <c r="S130" s="190">
        <f t="shared" si="5"/>
        <v>75565.625</v>
      </c>
      <c r="T130" s="93">
        <v>129.0</v>
      </c>
      <c r="U130" s="93" t="s">
        <v>82</v>
      </c>
      <c r="V130" s="12"/>
      <c r="W130" s="12"/>
      <c r="X130" s="12"/>
      <c r="Y130" s="12"/>
      <c r="Z130" s="12"/>
    </row>
    <row r="131">
      <c r="A131" s="93">
        <v>130.0</v>
      </c>
      <c r="B131" s="93">
        <v>2.78</v>
      </c>
      <c r="C131" s="93">
        <f t="shared" si="1"/>
        <v>0.695</v>
      </c>
      <c r="D131" s="93">
        <f t="shared" si="2"/>
        <v>3.475</v>
      </c>
      <c r="E131" s="93"/>
      <c r="F131" s="93"/>
      <c r="G131" s="93"/>
      <c r="H131" s="93">
        <v>0.7</v>
      </c>
      <c r="I131" s="93"/>
      <c r="J131" s="93"/>
      <c r="K131" s="93"/>
      <c r="L131" s="190">
        <f>E131*Prices!B$2</f>
        <v>0</v>
      </c>
      <c r="M131" s="190">
        <f>F131*Prices!C$2</f>
        <v>0</v>
      </c>
      <c r="N131" s="190">
        <f>G131*Prices!D$2</f>
        <v>0</v>
      </c>
      <c r="O131" s="190">
        <f>H131*Prices!E$2</f>
        <v>245000</v>
      </c>
      <c r="P131" s="190">
        <f t="shared" si="6"/>
        <v>0</v>
      </c>
      <c r="Q131" s="190">
        <f>D131*Prices!A$2</f>
        <v>62028.75</v>
      </c>
      <c r="R131" s="191">
        <f t="shared" si="4"/>
        <v>245000</v>
      </c>
      <c r="S131" s="190">
        <f t="shared" si="5"/>
        <v>307028.75</v>
      </c>
      <c r="T131" s="93">
        <v>130.0</v>
      </c>
      <c r="U131" s="93" t="s">
        <v>82</v>
      </c>
      <c r="V131" s="12"/>
      <c r="W131" s="12"/>
      <c r="X131" s="12"/>
      <c r="Y131" s="12"/>
      <c r="Z131" s="12"/>
    </row>
    <row r="132">
      <c r="A132" s="93">
        <v>131.0</v>
      </c>
      <c r="B132" s="93">
        <v>3.798</v>
      </c>
      <c r="C132" s="93">
        <f t="shared" si="1"/>
        <v>0.9495</v>
      </c>
      <c r="D132" s="93">
        <f t="shared" si="2"/>
        <v>4.7475</v>
      </c>
      <c r="E132" s="93">
        <v>0.33</v>
      </c>
      <c r="F132" s="93"/>
      <c r="G132" s="93"/>
      <c r="H132" s="93"/>
      <c r="I132" s="93"/>
      <c r="J132" s="93"/>
      <c r="K132" s="93">
        <v>3.48</v>
      </c>
      <c r="L132" s="190">
        <f>E132*Prices!B$2</f>
        <v>36300</v>
      </c>
      <c r="M132" s="190">
        <f>F132*Prices!C$2</f>
        <v>0</v>
      </c>
      <c r="N132" s="190">
        <f>G132*Prices!D$2</f>
        <v>0</v>
      </c>
      <c r="O132" s="190">
        <f>H132*Prices!E$2</f>
        <v>0</v>
      </c>
      <c r="P132" s="190">
        <f t="shared" si="6"/>
        <v>6264</v>
      </c>
      <c r="Q132" s="190">
        <f>D132*Prices!A$2</f>
        <v>84742.875</v>
      </c>
      <c r="R132" s="191">
        <f t="shared" si="4"/>
        <v>36300</v>
      </c>
      <c r="S132" s="190">
        <f t="shared" si="5"/>
        <v>127306.875</v>
      </c>
      <c r="T132" s="93">
        <v>131.0</v>
      </c>
      <c r="U132" s="93" t="s">
        <v>82</v>
      </c>
      <c r="V132" s="12"/>
      <c r="W132" s="12"/>
      <c r="X132" s="12"/>
      <c r="Y132" s="12"/>
      <c r="Z132" s="12"/>
    </row>
    <row r="133">
      <c r="A133" s="93">
        <v>132.0</v>
      </c>
      <c r="B133" s="93">
        <v>3.486</v>
      </c>
      <c r="C133" s="93">
        <f t="shared" si="1"/>
        <v>0.8715</v>
      </c>
      <c r="D133" s="93">
        <f t="shared" si="2"/>
        <v>4.3575</v>
      </c>
      <c r="E133" s="93">
        <v>0.77</v>
      </c>
      <c r="F133" s="93"/>
      <c r="G133" s="93"/>
      <c r="H133" s="93"/>
      <c r="I133" s="93"/>
      <c r="J133" s="93"/>
      <c r="K133" s="93"/>
      <c r="L133" s="190">
        <f>E133*Prices!B$2</f>
        <v>84700</v>
      </c>
      <c r="M133" s="190">
        <f>F133*Prices!C$2</f>
        <v>0</v>
      </c>
      <c r="N133" s="190">
        <f>G133*Prices!D$2</f>
        <v>0</v>
      </c>
      <c r="O133" s="190">
        <f>H133*Prices!E$2</f>
        <v>0</v>
      </c>
      <c r="P133" s="190">
        <f t="shared" si="6"/>
        <v>0</v>
      </c>
      <c r="Q133" s="190">
        <f>D133*Prices!A$2</f>
        <v>77781.375</v>
      </c>
      <c r="R133" s="191">
        <f t="shared" si="4"/>
        <v>84700</v>
      </c>
      <c r="S133" s="190">
        <f t="shared" si="5"/>
        <v>162481.375</v>
      </c>
      <c r="T133" s="93">
        <v>132.0</v>
      </c>
      <c r="U133" s="93" t="s">
        <v>82</v>
      </c>
      <c r="V133" s="12"/>
      <c r="W133" s="12"/>
      <c r="X133" s="12"/>
      <c r="Y133" s="12"/>
      <c r="Z133" s="12"/>
    </row>
    <row r="134">
      <c r="A134" s="93">
        <v>133.0</v>
      </c>
      <c r="B134" s="93">
        <v>4.59</v>
      </c>
      <c r="C134" s="93">
        <f t="shared" si="1"/>
        <v>1.1475</v>
      </c>
      <c r="D134" s="93">
        <f t="shared" si="2"/>
        <v>5.7375</v>
      </c>
      <c r="E134" s="93">
        <v>0.17</v>
      </c>
      <c r="F134" s="93"/>
      <c r="G134" s="93"/>
      <c r="H134" s="93"/>
      <c r="I134" s="93"/>
      <c r="J134" s="93"/>
      <c r="K134" s="93"/>
      <c r="L134" s="190">
        <f>E134*Prices!B$3</f>
        <v>18700</v>
      </c>
      <c r="M134" s="190">
        <f>F134*Prices!C$3</f>
        <v>0</v>
      </c>
      <c r="N134" s="190">
        <f>G134*Prices!D$3</f>
        <v>0</v>
      </c>
      <c r="O134" s="190">
        <f>H134*Prices!E$3</f>
        <v>0</v>
      </c>
      <c r="P134" s="190">
        <f t="shared" si="6"/>
        <v>0</v>
      </c>
      <c r="Q134" s="190">
        <f>D134*Prices!A$2</f>
        <v>102414.375</v>
      </c>
      <c r="R134" s="191">
        <f t="shared" si="4"/>
        <v>18700</v>
      </c>
      <c r="S134" s="190">
        <f t="shared" si="5"/>
        <v>121114.375</v>
      </c>
      <c r="T134" s="93">
        <v>133.0</v>
      </c>
      <c r="U134" s="93" t="s">
        <v>80</v>
      </c>
      <c r="V134" s="12" t="s">
        <v>81</v>
      </c>
      <c r="W134" s="12"/>
      <c r="X134" s="12"/>
      <c r="Y134" s="12"/>
      <c r="Z134" s="12"/>
    </row>
    <row r="135">
      <c r="A135" s="93">
        <v>134.0</v>
      </c>
      <c r="B135" s="93">
        <v>3.24</v>
      </c>
      <c r="C135" s="93">
        <f t="shared" si="1"/>
        <v>0.81</v>
      </c>
      <c r="D135" s="93">
        <f t="shared" si="2"/>
        <v>4.05</v>
      </c>
      <c r="E135" s="93">
        <v>0.27</v>
      </c>
      <c r="F135" s="93"/>
      <c r="G135" s="93"/>
      <c r="H135" s="93"/>
      <c r="I135" s="93"/>
      <c r="J135" s="93"/>
      <c r="K135" s="93"/>
      <c r="L135" s="190">
        <f>E135*Prices!B$3</f>
        <v>29700</v>
      </c>
      <c r="M135" s="190">
        <f>F135*Prices!C$3</f>
        <v>0</v>
      </c>
      <c r="N135" s="190">
        <f>G135*Prices!D$3</f>
        <v>0</v>
      </c>
      <c r="O135" s="190">
        <f>H135*Prices!E$3</f>
        <v>0</v>
      </c>
      <c r="P135" s="190">
        <f t="shared" si="6"/>
        <v>0</v>
      </c>
      <c r="Q135" s="190">
        <f>D135*Prices!A$2</f>
        <v>72292.5</v>
      </c>
      <c r="R135" s="191">
        <f t="shared" si="4"/>
        <v>29700</v>
      </c>
      <c r="S135" s="190">
        <f t="shared" si="5"/>
        <v>101992.5</v>
      </c>
      <c r="T135" s="93">
        <v>134.0</v>
      </c>
      <c r="U135" s="93" t="s">
        <v>80</v>
      </c>
      <c r="V135" s="12" t="s">
        <v>81</v>
      </c>
      <c r="W135" s="12"/>
      <c r="X135" s="12"/>
      <c r="Y135" s="12"/>
      <c r="Z135" s="12"/>
    </row>
    <row r="136">
      <c r="A136" s="93">
        <v>135.0</v>
      </c>
      <c r="B136" s="93">
        <v>2.75</v>
      </c>
      <c r="C136" s="93">
        <f t="shared" si="1"/>
        <v>0.6875</v>
      </c>
      <c r="D136" s="93">
        <f t="shared" si="2"/>
        <v>3.4375</v>
      </c>
      <c r="E136" s="93">
        <v>0.26</v>
      </c>
      <c r="F136" s="93"/>
      <c r="G136" s="93"/>
      <c r="H136" s="93"/>
      <c r="I136" s="93"/>
      <c r="J136" s="93"/>
      <c r="K136" s="93"/>
      <c r="L136" s="190">
        <f>E136*Prices!B$3</f>
        <v>28600</v>
      </c>
      <c r="M136" s="190">
        <f>F136*Prices!C$3</f>
        <v>0</v>
      </c>
      <c r="N136" s="190">
        <f>G136*Prices!D$3</f>
        <v>0</v>
      </c>
      <c r="O136" s="190">
        <f>H136*Prices!E$3</f>
        <v>0</v>
      </c>
      <c r="P136" s="190">
        <f t="shared" si="6"/>
        <v>0</v>
      </c>
      <c r="Q136" s="190">
        <f>D136*Prices!A$2</f>
        <v>61359.375</v>
      </c>
      <c r="R136" s="191">
        <f t="shared" si="4"/>
        <v>28600</v>
      </c>
      <c r="S136" s="190">
        <f t="shared" si="5"/>
        <v>89959.375</v>
      </c>
      <c r="T136" s="93">
        <v>135.0</v>
      </c>
      <c r="U136" s="93" t="s">
        <v>80</v>
      </c>
      <c r="V136" s="12" t="s">
        <v>81</v>
      </c>
      <c r="W136" s="12"/>
      <c r="X136" s="12"/>
      <c r="Y136" s="12"/>
      <c r="Z136" s="12"/>
    </row>
    <row r="137">
      <c r="A137" s="93">
        <v>136.0</v>
      </c>
      <c r="B137" s="93">
        <v>3.34</v>
      </c>
      <c r="C137" s="93">
        <f t="shared" si="1"/>
        <v>0.835</v>
      </c>
      <c r="D137" s="93">
        <f t="shared" si="2"/>
        <v>4.175</v>
      </c>
      <c r="E137" s="93">
        <v>0.26</v>
      </c>
      <c r="F137" s="93"/>
      <c r="G137" s="93"/>
      <c r="H137" s="93"/>
      <c r="I137" s="93"/>
      <c r="J137" s="93"/>
      <c r="K137" s="93"/>
      <c r="L137" s="190">
        <f>E137*Prices!B$3</f>
        <v>28600</v>
      </c>
      <c r="M137" s="190">
        <f>F137*Prices!C$3</f>
        <v>0</v>
      </c>
      <c r="N137" s="190">
        <f>G137*Prices!D$3</f>
        <v>0</v>
      </c>
      <c r="O137" s="190">
        <f>H137*Prices!E$3</f>
        <v>0</v>
      </c>
      <c r="P137" s="190">
        <f t="shared" si="6"/>
        <v>0</v>
      </c>
      <c r="Q137" s="190">
        <f>D137*Prices!A$2</f>
        <v>74523.75</v>
      </c>
      <c r="R137" s="191">
        <f t="shared" si="4"/>
        <v>28600</v>
      </c>
      <c r="S137" s="190">
        <f t="shared" si="5"/>
        <v>103123.75</v>
      </c>
      <c r="T137" s="93">
        <v>136.0</v>
      </c>
      <c r="U137" s="93" t="s">
        <v>80</v>
      </c>
      <c r="V137" s="12" t="s">
        <v>81</v>
      </c>
      <c r="W137" s="12"/>
      <c r="X137" s="12"/>
      <c r="Y137" s="12"/>
      <c r="Z137" s="12"/>
    </row>
    <row r="138">
      <c r="A138" s="93">
        <v>137.0</v>
      </c>
      <c r="B138" s="93">
        <v>3.18</v>
      </c>
      <c r="C138" s="93">
        <f t="shared" si="1"/>
        <v>0.795</v>
      </c>
      <c r="D138" s="93">
        <f t="shared" si="2"/>
        <v>3.975</v>
      </c>
      <c r="E138" s="93">
        <v>0.505</v>
      </c>
      <c r="F138" s="93"/>
      <c r="G138" s="93"/>
      <c r="H138" s="93"/>
      <c r="I138" s="93"/>
      <c r="J138" s="93"/>
      <c r="K138" s="93"/>
      <c r="L138" s="190">
        <f>E138*Prices!B$3</f>
        <v>55550</v>
      </c>
      <c r="M138" s="190">
        <f>F138*Prices!C$3</f>
        <v>0</v>
      </c>
      <c r="N138" s="190">
        <f>G138*Prices!D$3</f>
        <v>0</v>
      </c>
      <c r="O138" s="190">
        <f>H138*Prices!E$3</f>
        <v>0</v>
      </c>
      <c r="P138" s="190">
        <f t="shared" si="6"/>
        <v>0</v>
      </c>
      <c r="Q138" s="190">
        <f>D138*Prices!A$2</f>
        <v>70953.75</v>
      </c>
      <c r="R138" s="191">
        <f t="shared" si="4"/>
        <v>55550</v>
      </c>
      <c r="S138" s="190">
        <f t="shared" si="5"/>
        <v>126503.75</v>
      </c>
      <c r="T138" s="93">
        <v>137.0</v>
      </c>
      <c r="U138" s="93" t="s">
        <v>80</v>
      </c>
      <c r="V138" s="12" t="s">
        <v>81</v>
      </c>
      <c r="W138" s="12"/>
      <c r="X138" s="12"/>
      <c r="Y138" s="12"/>
      <c r="Z138" s="12"/>
    </row>
    <row r="139">
      <c r="A139" s="93">
        <v>138.0</v>
      </c>
      <c r="B139" s="93">
        <v>1.68</v>
      </c>
      <c r="C139" s="93">
        <f t="shared" si="1"/>
        <v>0.42</v>
      </c>
      <c r="D139" s="93">
        <f t="shared" si="2"/>
        <v>2.1</v>
      </c>
      <c r="E139" s="93">
        <v>0.19</v>
      </c>
      <c r="F139" s="93"/>
      <c r="G139" s="93"/>
      <c r="H139" s="93"/>
      <c r="I139" s="93"/>
      <c r="J139" s="93"/>
      <c r="K139" s="93"/>
      <c r="L139" s="190">
        <f>E139*Prices!B$3</f>
        <v>20900</v>
      </c>
      <c r="M139" s="190">
        <f>F139*Prices!C$3</f>
        <v>0</v>
      </c>
      <c r="N139" s="190">
        <f>G139*Prices!D$3</f>
        <v>0</v>
      </c>
      <c r="O139" s="190">
        <f>H139*Prices!E$3</f>
        <v>0</v>
      </c>
      <c r="P139" s="190">
        <f t="shared" si="6"/>
        <v>0</v>
      </c>
      <c r="Q139" s="190">
        <f>D139*Prices!A$2</f>
        <v>37485</v>
      </c>
      <c r="R139" s="191">
        <f t="shared" si="4"/>
        <v>20900</v>
      </c>
      <c r="S139" s="190">
        <f t="shared" si="5"/>
        <v>58385</v>
      </c>
      <c r="T139" s="93">
        <v>138.0</v>
      </c>
      <c r="U139" s="93" t="s">
        <v>82</v>
      </c>
      <c r="V139" s="12"/>
      <c r="W139" s="12"/>
      <c r="X139" s="12"/>
      <c r="Y139" s="12"/>
      <c r="Z139" s="12"/>
    </row>
    <row r="140">
      <c r="A140" s="93">
        <v>139.0</v>
      </c>
      <c r="B140" s="93">
        <v>3.12</v>
      </c>
      <c r="C140" s="93">
        <f t="shared" si="1"/>
        <v>0.78</v>
      </c>
      <c r="D140" s="93">
        <f t="shared" si="2"/>
        <v>3.9</v>
      </c>
      <c r="E140" s="93">
        <v>0.04</v>
      </c>
      <c r="F140" s="93"/>
      <c r="G140" s="93"/>
      <c r="H140" s="93"/>
      <c r="I140" s="93"/>
      <c r="J140" s="93"/>
      <c r="K140" s="93"/>
      <c r="L140" s="190">
        <f>E140*Prices!B$3</f>
        <v>4400</v>
      </c>
      <c r="M140" s="190">
        <f>F140*Prices!C$3</f>
        <v>0</v>
      </c>
      <c r="N140" s="190">
        <f>G140*Prices!D$3</f>
        <v>0</v>
      </c>
      <c r="O140" s="190">
        <f>H140*Prices!E$3</f>
        <v>0</v>
      </c>
      <c r="P140" s="190">
        <f t="shared" si="6"/>
        <v>0</v>
      </c>
      <c r="Q140" s="190">
        <f>D140*Prices!A$2</f>
        <v>69615</v>
      </c>
      <c r="R140" s="191">
        <f t="shared" si="4"/>
        <v>4400</v>
      </c>
      <c r="S140" s="190">
        <f t="shared" si="5"/>
        <v>74015</v>
      </c>
      <c r="T140" s="93">
        <v>139.0</v>
      </c>
      <c r="U140" s="93" t="s">
        <v>80</v>
      </c>
      <c r="V140" s="12" t="s">
        <v>81</v>
      </c>
      <c r="W140" s="12"/>
      <c r="X140" s="12"/>
      <c r="Y140" s="12"/>
      <c r="Z140" s="12"/>
    </row>
    <row r="141">
      <c r="A141" s="93">
        <v>140.0</v>
      </c>
      <c r="B141" s="93">
        <v>3.37</v>
      </c>
      <c r="C141" s="93">
        <f t="shared" si="1"/>
        <v>0.8425</v>
      </c>
      <c r="D141" s="93">
        <f t="shared" si="2"/>
        <v>4.2125</v>
      </c>
      <c r="E141" s="93">
        <v>0.33</v>
      </c>
      <c r="F141" s="93"/>
      <c r="G141" s="93"/>
      <c r="H141" s="93"/>
      <c r="I141" s="93"/>
      <c r="J141" s="93"/>
      <c r="K141" s="93"/>
      <c r="L141" s="190">
        <f>E141*Prices!B$3</f>
        <v>36300</v>
      </c>
      <c r="M141" s="190">
        <f>F141*Prices!C$3</f>
        <v>0</v>
      </c>
      <c r="N141" s="190">
        <f>G141*Prices!D$3</f>
        <v>0</v>
      </c>
      <c r="O141" s="190">
        <f>H141*Prices!E$3</f>
        <v>0</v>
      </c>
      <c r="P141" s="190">
        <f t="shared" si="6"/>
        <v>0</v>
      </c>
      <c r="Q141" s="190">
        <f>D141*Prices!A$2</f>
        <v>75193.125</v>
      </c>
      <c r="R141" s="191">
        <f t="shared" si="4"/>
        <v>36300</v>
      </c>
      <c r="S141" s="190">
        <f t="shared" si="5"/>
        <v>111493.125</v>
      </c>
      <c r="T141" s="93">
        <v>140.0</v>
      </c>
      <c r="U141" s="93" t="s">
        <v>80</v>
      </c>
      <c r="V141" s="12" t="s">
        <v>81</v>
      </c>
      <c r="W141" s="12"/>
      <c r="X141" s="12"/>
      <c r="Y141" s="12"/>
      <c r="Z141" s="12"/>
    </row>
    <row r="142">
      <c r="A142" s="93">
        <v>141.0</v>
      </c>
      <c r="B142" s="93">
        <v>3.44</v>
      </c>
      <c r="C142" s="93">
        <f t="shared" si="1"/>
        <v>0.86</v>
      </c>
      <c r="D142" s="93">
        <f t="shared" si="2"/>
        <v>4.3</v>
      </c>
      <c r="E142" s="93">
        <v>0.71</v>
      </c>
      <c r="F142" s="93"/>
      <c r="G142" s="93"/>
      <c r="H142" s="93"/>
      <c r="I142" s="93"/>
      <c r="J142" s="93"/>
      <c r="K142" s="93"/>
      <c r="L142" s="190">
        <f>E142*Prices!B$3</f>
        <v>78100</v>
      </c>
      <c r="M142" s="190">
        <f>F142*Prices!C$3</f>
        <v>0</v>
      </c>
      <c r="N142" s="190">
        <f>G142*Prices!D$3</f>
        <v>0</v>
      </c>
      <c r="O142" s="190">
        <f>H142*Prices!E$3</f>
        <v>0</v>
      </c>
      <c r="P142" s="190">
        <f t="shared" si="6"/>
        <v>0</v>
      </c>
      <c r="Q142" s="190">
        <f>D142*Prices!A$2</f>
        <v>76755</v>
      </c>
      <c r="R142" s="191">
        <f t="shared" si="4"/>
        <v>78100</v>
      </c>
      <c r="S142" s="190">
        <f t="shared" si="5"/>
        <v>154855</v>
      </c>
      <c r="T142" s="93">
        <v>141.0</v>
      </c>
      <c r="U142" s="93" t="s">
        <v>82</v>
      </c>
      <c r="V142" s="12"/>
      <c r="W142" s="12"/>
      <c r="X142" s="12"/>
      <c r="Y142" s="12"/>
      <c r="Z142" s="12"/>
    </row>
    <row r="143">
      <c r="A143" s="93">
        <v>142.0</v>
      </c>
      <c r="B143" s="93">
        <v>2.66</v>
      </c>
      <c r="C143" s="93">
        <f t="shared" si="1"/>
        <v>0.665</v>
      </c>
      <c r="D143" s="93">
        <f t="shared" si="2"/>
        <v>3.325</v>
      </c>
      <c r="E143" s="93">
        <v>0.07</v>
      </c>
      <c r="F143" s="93"/>
      <c r="G143" s="93"/>
      <c r="H143" s="93"/>
      <c r="I143" s="93"/>
      <c r="J143" s="93"/>
      <c r="K143" s="93"/>
      <c r="L143" s="190">
        <f>E143*Prices!B$3</f>
        <v>7700</v>
      </c>
      <c r="M143" s="190">
        <f>F143*Prices!C$3</f>
        <v>0</v>
      </c>
      <c r="N143" s="190">
        <f>G143*Prices!D$3</f>
        <v>0</v>
      </c>
      <c r="O143" s="190">
        <f>H143*Prices!E$3</f>
        <v>0</v>
      </c>
      <c r="P143" s="190">
        <f t="shared" si="6"/>
        <v>0</v>
      </c>
      <c r="Q143" s="190">
        <f>D143*Prices!A$2</f>
        <v>59351.25</v>
      </c>
      <c r="R143" s="191">
        <f t="shared" si="4"/>
        <v>7700</v>
      </c>
      <c r="S143" s="190">
        <f t="shared" si="5"/>
        <v>67051.25</v>
      </c>
      <c r="T143" s="93">
        <v>142.0</v>
      </c>
      <c r="U143" s="26" t="s">
        <v>82</v>
      </c>
      <c r="V143" s="12"/>
      <c r="W143" s="12"/>
      <c r="X143" s="12"/>
      <c r="Y143" s="12"/>
      <c r="Z143" s="12"/>
    </row>
    <row r="144">
      <c r="A144" s="93">
        <v>143.0</v>
      </c>
      <c r="B144" s="93">
        <v>2.36</v>
      </c>
      <c r="C144" s="93">
        <f t="shared" si="1"/>
        <v>0.59</v>
      </c>
      <c r="D144" s="93">
        <f t="shared" si="2"/>
        <v>2.95</v>
      </c>
      <c r="E144" s="93">
        <v>0.08</v>
      </c>
      <c r="F144" s="93"/>
      <c r="G144" s="93"/>
      <c r="H144" s="93"/>
      <c r="I144" s="93"/>
      <c r="J144" s="93"/>
      <c r="K144" s="93"/>
      <c r="L144" s="190">
        <f>E144*Prices!B$3</f>
        <v>8800</v>
      </c>
      <c r="M144" s="190">
        <f>F144*Prices!C$3</f>
        <v>0</v>
      </c>
      <c r="N144" s="190">
        <f>G144*Prices!D$3</f>
        <v>0</v>
      </c>
      <c r="O144" s="190">
        <f>H144*Prices!E$3</f>
        <v>0</v>
      </c>
      <c r="P144" s="190">
        <f t="shared" si="6"/>
        <v>0</v>
      </c>
      <c r="Q144" s="190">
        <f>D144*Prices!A$2</f>
        <v>52657.5</v>
      </c>
      <c r="R144" s="191">
        <f t="shared" si="4"/>
        <v>8800</v>
      </c>
      <c r="S144" s="190">
        <f t="shared" si="5"/>
        <v>61457.5</v>
      </c>
      <c r="T144" s="93">
        <v>143.0</v>
      </c>
      <c r="U144" s="93" t="s">
        <v>80</v>
      </c>
      <c r="V144" s="12" t="s">
        <v>81</v>
      </c>
      <c r="W144" s="12"/>
      <c r="X144" s="12"/>
      <c r="Y144" s="12"/>
      <c r="Z144" s="12"/>
    </row>
    <row r="145">
      <c r="A145" s="93">
        <v>144.0</v>
      </c>
      <c r="B145" s="93">
        <v>2.06</v>
      </c>
      <c r="C145" s="93">
        <f t="shared" si="1"/>
        <v>0.515</v>
      </c>
      <c r="D145" s="93">
        <f t="shared" si="2"/>
        <v>2.575</v>
      </c>
      <c r="E145" s="93">
        <v>0.15</v>
      </c>
      <c r="F145" s="93"/>
      <c r="G145" s="93"/>
      <c r="H145" s="93"/>
      <c r="I145" s="93"/>
      <c r="J145" s="93"/>
      <c r="K145" s="93"/>
      <c r="L145" s="190">
        <f>E145*Prices!B$3</f>
        <v>16500</v>
      </c>
      <c r="M145" s="190">
        <f>F145*Prices!C$3</f>
        <v>0</v>
      </c>
      <c r="N145" s="190">
        <f>G145*Prices!D$3</f>
        <v>0</v>
      </c>
      <c r="O145" s="190">
        <f>H145*Prices!E$3</f>
        <v>0</v>
      </c>
      <c r="P145" s="190">
        <f t="shared" si="6"/>
        <v>0</v>
      </c>
      <c r="Q145" s="190">
        <f>D145*Prices!A$2</f>
        <v>45963.75</v>
      </c>
      <c r="R145" s="191">
        <f t="shared" si="4"/>
        <v>16500</v>
      </c>
      <c r="S145" s="190">
        <f t="shared" si="5"/>
        <v>62463.75</v>
      </c>
      <c r="T145" s="93">
        <v>144.0</v>
      </c>
      <c r="U145" s="93" t="s">
        <v>80</v>
      </c>
      <c r="V145" s="12" t="s">
        <v>81</v>
      </c>
      <c r="W145" s="12"/>
      <c r="X145" s="12"/>
      <c r="Y145" s="12"/>
      <c r="Z145" s="12"/>
    </row>
    <row r="146">
      <c r="A146" s="93">
        <v>145.0</v>
      </c>
      <c r="B146" s="93">
        <v>3.56</v>
      </c>
      <c r="C146" s="93">
        <f t="shared" si="1"/>
        <v>0.89</v>
      </c>
      <c r="D146" s="93">
        <f t="shared" si="2"/>
        <v>4.45</v>
      </c>
      <c r="E146" s="93">
        <v>0.8</v>
      </c>
      <c r="F146" s="93"/>
      <c r="G146" s="93"/>
      <c r="H146" s="93"/>
      <c r="I146" s="93"/>
      <c r="J146" s="93"/>
      <c r="K146" s="93"/>
      <c r="L146" s="190">
        <f>E146*Prices!B$3</f>
        <v>88000</v>
      </c>
      <c r="M146" s="190">
        <f>F146*Prices!C$3</f>
        <v>0</v>
      </c>
      <c r="N146" s="190">
        <f>G146*Prices!D$3</f>
        <v>0</v>
      </c>
      <c r="O146" s="190">
        <f>H146*Prices!E$3</f>
        <v>0</v>
      </c>
      <c r="P146" s="190">
        <f t="shared" si="6"/>
        <v>0</v>
      </c>
      <c r="Q146" s="190">
        <f>D146*Prices!A$2</f>
        <v>79432.5</v>
      </c>
      <c r="R146" s="191">
        <f t="shared" si="4"/>
        <v>88000</v>
      </c>
      <c r="S146" s="190">
        <f t="shared" si="5"/>
        <v>167432.5</v>
      </c>
      <c r="T146" s="93">
        <v>145.0</v>
      </c>
      <c r="U146" s="93" t="s">
        <v>80</v>
      </c>
      <c r="V146" s="12" t="s">
        <v>81</v>
      </c>
      <c r="W146" s="12"/>
      <c r="X146" s="12"/>
      <c r="Y146" s="12"/>
      <c r="Z146" s="12"/>
    </row>
    <row r="147">
      <c r="A147" s="93">
        <v>146.0</v>
      </c>
      <c r="B147" s="93">
        <v>2.81</v>
      </c>
      <c r="C147" s="93">
        <f t="shared" si="1"/>
        <v>0.7025</v>
      </c>
      <c r="D147" s="93">
        <f t="shared" si="2"/>
        <v>3.5125</v>
      </c>
      <c r="E147" s="93">
        <v>0.6</v>
      </c>
      <c r="F147" s="93"/>
      <c r="G147" s="93"/>
      <c r="H147" s="93"/>
      <c r="I147" s="93"/>
      <c r="J147" s="93"/>
      <c r="K147" s="93"/>
      <c r="L147" s="190">
        <f>E147*Prices!B$3</f>
        <v>66000</v>
      </c>
      <c r="M147" s="190">
        <f>F147*Prices!C$3</f>
        <v>0</v>
      </c>
      <c r="N147" s="190">
        <f>G147*Prices!D$3</f>
        <v>0</v>
      </c>
      <c r="O147" s="190">
        <f>H147*Prices!E$3</f>
        <v>0</v>
      </c>
      <c r="P147" s="190">
        <f t="shared" si="6"/>
        <v>0</v>
      </c>
      <c r="Q147" s="190">
        <f>D147*Prices!A$2</f>
        <v>62698.125</v>
      </c>
      <c r="R147" s="191">
        <f t="shared" si="4"/>
        <v>66000</v>
      </c>
      <c r="S147" s="190">
        <f t="shared" si="5"/>
        <v>128698.125</v>
      </c>
      <c r="T147" s="93">
        <v>146.0</v>
      </c>
      <c r="U147" s="93" t="s">
        <v>80</v>
      </c>
      <c r="V147" s="12" t="s">
        <v>81</v>
      </c>
      <c r="W147" s="12"/>
      <c r="X147" s="12"/>
      <c r="Y147" s="12"/>
      <c r="Z147" s="12"/>
    </row>
    <row r="148">
      <c r="A148" s="93">
        <v>147.0</v>
      </c>
      <c r="B148" s="93">
        <v>2.72</v>
      </c>
      <c r="C148" s="93">
        <f t="shared" si="1"/>
        <v>0.68</v>
      </c>
      <c r="D148" s="93">
        <f t="shared" si="2"/>
        <v>3.4</v>
      </c>
      <c r="E148" s="93">
        <v>0.27</v>
      </c>
      <c r="F148" s="93"/>
      <c r="G148" s="93"/>
      <c r="H148" s="93"/>
      <c r="I148" s="93"/>
      <c r="J148" s="93"/>
      <c r="K148" s="93"/>
      <c r="L148" s="190">
        <f>E148*Prices!B$3</f>
        <v>29700</v>
      </c>
      <c r="M148" s="190">
        <f>F148*Prices!C$3</f>
        <v>0</v>
      </c>
      <c r="N148" s="190">
        <f>G148*Prices!D$3</f>
        <v>0</v>
      </c>
      <c r="O148" s="190">
        <f>H148*Prices!E$3</f>
        <v>0</v>
      </c>
      <c r="P148" s="190">
        <f t="shared" si="6"/>
        <v>0</v>
      </c>
      <c r="Q148" s="190">
        <f>D148*Prices!A$2</f>
        <v>60690</v>
      </c>
      <c r="R148" s="191">
        <f t="shared" si="4"/>
        <v>29700</v>
      </c>
      <c r="S148" s="190">
        <f t="shared" si="5"/>
        <v>90390</v>
      </c>
      <c r="T148" s="93">
        <v>147.0</v>
      </c>
      <c r="U148" s="93" t="s">
        <v>80</v>
      </c>
      <c r="V148" s="12" t="s">
        <v>81</v>
      </c>
      <c r="W148" s="12"/>
      <c r="X148" s="12"/>
      <c r="Y148" s="12"/>
      <c r="Z148" s="12"/>
    </row>
    <row r="149">
      <c r="A149" s="93">
        <v>148.0</v>
      </c>
      <c r="B149" s="93">
        <v>7.19</v>
      </c>
      <c r="C149" s="93">
        <f t="shared" si="1"/>
        <v>1.7975</v>
      </c>
      <c r="D149" s="93">
        <f t="shared" si="2"/>
        <v>8.9875</v>
      </c>
      <c r="E149" s="93"/>
      <c r="F149" s="93">
        <v>1.63</v>
      </c>
      <c r="G149" s="93"/>
      <c r="H149" s="93"/>
      <c r="I149" s="93"/>
      <c r="J149" s="93"/>
      <c r="K149" s="93"/>
      <c r="L149" s="190">
        <f>E149*Prices!B$3</f>
        <v>0</v>
      </c>
      <c r="M149" s="190">
        <f>F149*Prices!C$3</f>
        <v>260800</v>
      </c>
      <c r="N149" s="190">
        <f>G149*Prices!D$3</f>
        <v>0</v>
      </c>
      <c r="O149" s="190">
        <f>H149*Prices!E$3</f>
        <v>0</v>
      </c>
      <c r="P149" s="190">
        <f t="shared" si="6"/>
        <v>0</v>
      </c>
      <c r="Q149" s="190">
        <f>D149*Prices!A$2</f>
        <v>160426.875</v>
      </c>
      <c r="R149" s="191">
        <f t="shared" si="4"/>
        <v>260800</v>
      </c>
      <c r="S149" s="190">
        <f t="shared" si="5"/>
        <v>421226.875</v>
      </c>
      <c r="T149" s="93">
        <v>148.0</v>
      </c>
      <c r="U149" s="93" t="s">
        <v>80</v>
      </c>
      <c r="V149" s="12" t="s">
        <v>81</v>
      </c>
      <c r="W149" s="12"/>
      <c r="X149" s="12"/>
      <c r="Y149" s="12"/>
      <c r="Z149" s="12"/>
    </row>
    <row r="150">
      <c r="A150" s="93">
        <v>149.0</v>
      </c>
      <c r="B150" s="93">
        <v>2.126</v>
      </c>
      <c r="C150" s="93">
        <f t="shared" si="1"/>
        <v>0.5315</v>
      </c>
      <c r="D150" s="93">
        <f t="shared" si="2"/>
        <v>2.6575</v>
      </c>
      <c r="E150" s="93">
        <v>0.4</v>
      </c>
      <c r="F150" s="93">
        <v>0.07</v>
      </c>
      <c r="G150" s="93"/>
      <c r="H150" s="93"/>
      <c r="I150" s="93"/>
      <c r="J150" s="93"/>
      <c r="K150" s="93"/>
      <c r="L150" s="190">
        <f>E150*Prices!B$2</f>
        <v>44000</v>
      </c>
      <c r="M150" s="190">
        <f>F150*Prices!C$2</f>
        <v>11200</v>
      </c>
      <c r="N150" s="190">
        <f>G150*Prices!D$2</f>
        <v>0</v>
      </c>
      <c r="O150" s="190">
        <f>H150*Prices!E$2</f>
        <v>0</v>
      </c>
      <c r="P150" s="190">
        <f t="shared" si="6"/>
        <v>0</v>
      </c>
      <c r="Q150" s="190">
        <f>D150*Prices!A$2</f>
        <v>47436.375</v>
      </c>
      <c r="R150" s="191">
        <f t="shared" si="4"/>
        <v>55200</v>
      </c>
      <c r="S150" s="190">
        <f t="shared" si="5"/>
        <v>102636.375</v>
      </c>
      <c r="T150" s="93">
        <v>149.0</v>
      </c>
      <c r="U150" s="93" t="s">
        <v>82</v>
      </c>
      <c r="V150" s="12"/>
      <c r="W150" s="12"/>
      <c r="X150" s="12"/>
      <c r="Y150" s="12"/>
      <c r="Z150" s="12"/>
    </row>
    <row r="151">
      <c r="A151" s="93">
        <v>150.0</v>
      </c>
      <c r="B151" s="93">
        <v>6.882</v>
      </c>
      <c r="C151" s="93">
        <f t="shared" si="1"/>
        <v>1.7205</v>
      </c>
      <c r="D151" s="93">
        <f t="shared" si="2"/>
        <v>8.6025</v>
      </c>
      <c r="E151" s="93">
        <v>1.15</v>
      </c>
      <c r="F151" s="93"/>
      <c r="G151" s="93"/>
      <c r="H151" s="93"/>
      <c r="I151" s="93"/>
      <c r="J151" s="93"/>
      <c r="K151" s="93">
        <v>2.39</v>
      </c>
      <c r="L151" s="190">
        <f>E151*Prices!B$2</f>
        <v>126500</v>
      </c>
      <c r="M151" s="190">
        <f>F151*Prices!C$2</f>
        <v>0</v>
      </c>
      <c r="N151" s="190">
        <f>G151*Prices!D$2</f>
        <v>0</v>
      </c>
      <c r="O151" s="190">
        <f>H151*Prices!E$2</f>
        <v>0</v>
      </c>
      <c r="P151" s="190">
        <f t="shared" si="6"/>
        <v>4302</v>
      </c>
      <c r="Q151" s="190">
        <f>D151*Prices!A$2</f>
        <v>153554.625</v>
      </c>
      <c r="R151" s="191">
        <f t="shared" si="4"/>
        <v>126500</v>
      </c>
      <c r="S151" s="190">
        <f t="shared" si="5"/>
        <v>284356.625</v>
      </c>
      <c r="T151" s="93">
        <v>150.0</v>
      </c>
      <c r="U151" s="93" t="s">
        <v>80</v>
      </c>
      <c r="V151" s="12" t="s">
        <v>81</v>
      </c>
      <c r="W151" s="12"/>
      <c r="X151" s="12"/>
      <c r="Y151" s="12"/>
      <c r="Z151" s="12"/>
    </row>
    <row r="152">
      <c r="A152" s="93">
        <v>151.0</v>
      </c>
      <c r="B152" s="93">
        <v>4.832</v>
      </c>
      <c r="C152" s="93">
        <f t="shared" si="1"/>
        <v>1.208</v>
      </c>
      <c r="D152" s="93">
        <f t="shared" si="2"/>
        <v>6.04</v>
      </c>
      <c r="E152" s="93">
        <f>0.46+0.23</f>
        <v>0.69</v>
      </c>
      <c r="F152" s="93"/>
      <c r="G152" s="93"/>
      <c r="H152" s="93"/>
      <c r="I152" s="93"/>
      <c r="J152" s="93"/>
      <c r="K152" s="93"/>
      <c r="L152" s="190">
        <f>E152*Prices!B$2</f>
        <v>75900</v>
      </c>
      <c r="M152" s="190">
        <f>F152*Prices!C$2</f>
        <v>0</v>
      </c>
      <c r="N152" s="190">
        <f>G152*Prices!D$2</f>
        <v>0</v>
      </c>
      <c r="O152" s="190">
        <f>H152*Prices!E$2</f>
        <v>0</v>
      </c>
      <c r="P152" s="190">
        <f t="shared" si="6"/>
        <v>0</v>
      </c>
      <c r="Q152" s="190">
        <f>D152*Prices!A$2</f>
        <v>107814</v>
      </c>
      <c r="R152" s="191">
        <f t="shared" si="4"/>
        <v>75900</v>
      </c>
      <c r="S152" s="190">
        <f t="shared" si="5"/>
        <v>183714</v>
      </c>
      <c r="T152" s="93">
        <v>151.0</v>
      </c>
      <c r="U152" s="93" t="s">
        <v>80</v>
      </c>
      <c r="V152" s="12" t="s">
        <v>81</v>
      </c>
      <c r="W152" s="12"/>
      <c r="X152" s="12"/>
      <c r="Y152" s="12"/>
      <c r="Z152" s="12"/>
    </row>
    <row r="153">
      <c r="A153" s="93">
        <v>152.0</v>
      </c>
      <c r="B153" s="93">
        <v>6.774</v>
      </c>
      <c r="C153" s="93">
        <f t="shared" si="1"/>
        <v>1.6935</v>
      </c>
      <c r="D153" s="93">
        <f t="shared" si="2"/>
        <v>8.4675</v>
      </c>
      <c r="E153" s="93">
        <v>1.31</v>
      </c>
      <c r="F153" s="93"/>
      <c r="G153" s="93"/>
      <c r="H153" s="93">
        <v>0.22</v>
      </c>
      <c r="I153" s="93"/>
      <c r="J153" s="93"/>
      <c r="K153" s="93"/>
      <c r="L153" s="190">
        <f>E153*Prices!B$2</f>
        <v>144100</v>
      </c>
      <c r="M153" s="190">
        <f>F153*Prices!C$2</f>
        <v>0</v>
      </c>
      <c r="N153" s="190">
        <f>G153*Prices!D$2</f>
        <v>0</v>
      </c>
      <c r="O153" s="190">
        <f>H153*Prices!E$2</f>
        <v>77000</v>
      </c>
      <c r="P153" s="190">
        <f t="shared" si="6"/>
        <v>0</v>
      </c>
      <c r="Q153" s="190">
        <f>D153*Prices!A$2</f>
        <v>151144.875</v>
      </c>
      <c r="R153" s="191">
        <f t="shared" si="4"/>
        <v>221100</v>
      </c>
      <c r="S153" s="190">
        <f t="shared" si="5"/>
        <v>372244.875</v>
      </c>
      <c r="T153" s="93">
        <v>152.0</v>
      </c>
      <c r="U153" s="93" t="s">
        <v>80</v>
      </c>
      <c r="V153" s="12" t="s">
        <v>81</v>
      </c>
      <c r="W153" s="12"/>
      <c r="X153" s="12"/>
      <c r="Y153" s="12"/>
      <c r="Z153" s="12"/>
    </row>
    <row r="154">
      <c r="A154" s="93">
        <v>153.0</v>
      </c>
      <c r="B154" s="93">
        <v>1.896</v>
      </c>
      <c r="C154" s="93">
        <f t="shared" si="1"/>
        <v>0.474</v>
      </c>
      <c r="D154" s="93">
        <f t="shared" si="2"/>
        <v>2.37</v>
      </c>
      <c r="E154" s="93">
        <v>0.62</v>
      </c>
      <c r="F154" s="93"/>
      <c r="G154" s="93"/>
      <c r="H154" s="93"/>
      <c r="I154" s="93"/>
      <c r="J154" s="93"/>
      <c r="K154" s="93"/>
      <c r="L154" s="190">
        <f>E154*Prices!B$2</f>
        <v>68200</v>
      </c>
      <c r="M154" s="190">
        <f>F154*Prices!C$2</f>
        <v>0</v>
      </c>
      <c r="N154" s="190">
        <f>G154*Prices!D$2</f>
        <v>0</v>
      </c>
      <c r="O154" s="190">
        <f>H154*Prices!E$2</f>
        <v>0</v>
      </c>
      <c r="P154" s="190">
        <f t="shared" si="6"/>
        <v>0</v>
      </c>
      <c r="Q154" s="190">
        <f>D154*Prices!A$2</f>
        <v>42304.5</v>
      </c>
      <c r="R154" s="191">
        <f t="shared" si="4"/>
        <v>68200</v>
      </c>
      <c r="S154" s="190">
        <f t="shared" si="5"/>
        <v>110504.5</v>
      </c>
      <c r="T154" s="93">
        <v>153.0</v>
      </c>
      <c r="U154" s="93" t="s">
        <v>80</v>
      </c>
      <c r="V154" s="12" t="s">
        <v>81</v>
      </c>
      <c r="W154" s="12"/>
      <c r="X154" s="12"/>
      <c r="Y154" s="12"/>
      <c r="Z154" s="12"/>
    </row>
    <row r="155">
      <c r="A155" s="93">
        <v>154.0</v>
      </c>
      <c r="B155" s="93">
        <v>4.87</v>
      </c>
      <c r="C155" s="93">
        <f t="shared" si="1"/>
        <v>1.2175</v>
      </c>
      <c r="D155" s="93">
        <f t="shared" si="2"/>
        <v>6.0875</v>
      </c>
      <c r="E155" s="93"/>
      <c r="F155" s="93">
        <v>1.25</v>
      </c>
      <c r="G155" s="93"/>
      <c r="H155" s="93"/>
      <c r="I155" s="93"/>
      <c r="J155" s="93"/>
      <c r="K155" s="93"/>
      <c r="L155" s="190">
        <f>E155*Prices!B$2</f>
        <v>0</v>
      </c>
      <c r="M155" s="190">
        <f>F155*Prices!C$2</f>
        <v>200000</v>
      </c>
      <c r="N155" s="190">
        <f>G155*Prices!D$2</f>
        <v>0</v>
      </c>
      <c r="O155" s="190">
        <f>H155*Prices!E$2</f>
        <v>0</v>
      </c>
      <c r="P155" s="190">
        <f t="shared" si="6"/>
        <v>0</v>
      </c>
      <c r="Q155" s="190">
        <f>D155*Prices!A$2</f>
        <v>108661.875</v>
      </c>
      <c r="R155" s="191">
        <f t="shared" si="4"/>
        <v>200000</v>
      </c>
      <c r="S155" s="190">
        <f t="shared" si="5"/>
        <v>308661.875</v>
      </c>
      <c r="T155" s="93">
        <v>154.0</v>
      </c>
      <c r="U155" s="93" t="s">
        <v>80</v>
      </c>
      <c r="V155" s="12" t="s">
        <v>81</v>
      </c>
      <c r="W155" s="12"/>
      <c r="X155" s="12"/>
      <c r="Y155" s="12"/>
      <c r="Z155" s="12"/>
    </row>
    <row r="156">
      <c r="A156" s="93">
        <v>155.0</v>
      </c>
      <c r="B156" s="93">
        <v>7.258</v>
      </c>
      <c r="C156" s="93">
        <f t="shared" si="1"/>
        <v>1.8145</v>
      </c>
      <c r="D156" s="93">
        <f t="shared" si="2"/>
        <v>9.0725</v>
      </c>
      <c r="E156" s="93">
        <v>1.61</v>
      </c>
      <c r="F156" s="93"/>
      <c r="G156" s="93"/>
      <c r="H156" s="93"/>
      <c r="I156" s="93"/>
      <c r="J156" s="93"/>
      <c r="K156" s="93">
        <v>2.4</v>
      </c>
      <c r="L156" s="190">
        <f>E156*Prices!B$2</f>
        <v>177100</v>
      </c>
      <c r="M156" s="190">
        <f>F156*Prices!C$2</f>
        <v>0</v>
      </c>
      <c r="N156" s="190">
        <f>G156*Prices!D$2</f>
        <v>0</v>
      </c>
      <c r="O156" s="190">
        <f>H156*Prices!E$2</f>
        <v>0</v>
      </c>
      <c r="P156" s="190">
        <f t="shared" si="6"/>
        <v>4320</v>
      </c>
      <c r="Q156" s="190">
        <f>D156*Prices!A$2</f>
        <v>161944.125</v>
      </c>
      <c r="R156" s="191">
        <f t="shared" si="4"/>
        <v>177100</v>
      </c>
      <c r="S156" s="190">
        <f t="shared" si="5"/>
        <v>343364.125</v>
      </c>
      <c r="T156" s="93">
        <v>155.0</v>
      </c>
      <c r="U156" s="93" t="s">
        <v>80</v>
      </c>
      <c r="V156" s="12" t="s">
        <v>81</v>
      </c>
      <c r="W156" s="12"/>
      <c r="X156" s="12"/>
      <c r="Y156" s="12"/>
      <c r="Z156" s="12"/>
    </row>
    <row r="157">
      <c r="A157" s="93">
        <v>156.0</v>
      </c>
      <c r="B157" s="93">
        <v>4.038</v>
      </c>
      <c r="C157" s="93">
        <f t="shared" si="1"/>
        <v>1.0095</v>
      </c>
      <c r="D157" s="93">
        <f t="shared" si="2"/>
        <v>5.0475</v>
      </c>
      <c r="E157" s="93">
        <v>1.31</v>
      </c>
      <c r="F157" s="93"/>
      <c r="G157" s="93"/>
      <c r="H157" s="93"/>
      <c r="I157" s="93"/>
      <c r="J157" s="93"/>
      <c r="K157" s="93"/>
      <c r="L157" s="190">
        <f>E157*Prices!B$2</f>
        <v>144100</v>
      </c>
      <c r="M157" s="190">
        <f>F157*Prices!C$2</f>
        <v>0</v>
      </c>
      <c r="N157" s="190">
        <f>G157*Prices!D$2</f>
        <v>0</v>
      </c>
      <c r="O157" s="190">
        <f>H157*Prices!E$2</f>
        <v>0</v>
      </c>
      <c r="P157" s="190">
        <f t="shared" si="6"/>
        <v>0</v>
      </c>
      <c r="Q157" s="190">
        <f>D157*Prices!A$2</f>
        <v>90097.875</v>
      </c>
      <c r="R157" s="191">
        <f t="shared" si="4"/>
        <v>144100</v>
      </c>
      <c r="S157" s="190">
        <f t="shared" si="5"/>
        <v>234197.875</v>
      </c>
      <c r="T157" s="93">
        <v>156.0</v>
      </c>
      <c r="U157" s="93" t="s">
        <v>82</v>
      </c>
      <c r="V157" s="12"/>
      <c r="W157" s="12"/>
      <c r="X157" s="12"/>
      <c r="Y157" s="12"/>
      <c r="Z157" s="12"/>
    </row>
    <row r="158">
      <c r="A158" s="93">
        <v>157.0</v>
      </c>
      <c r="B158" s="93">
        <v>4.814</v>
      </c>
      <c r="C158" s="93">
        <f t="shared" si="1"/>
        <v>1.2035</v>
      </c>
      <c r="D158" s="93">
        <f t="shared" si="2"/>
        <v>6.0175</v>
      </c>
      <c r="E158" s="93">
        <v>0.98</v>
      </c>
      <c r="F158" s="93"/>
      <c r="G158" s="93"/>
      <c r="H158" s="93"/>
      <c r="I158" s="93"/>
      <c r="J158" s="93"/>
      <c r="K158" s="93"/>
      <c r="L158" s="190">
        <f>E158*Prices!B$2</f>
        <v>107800</v>
      </c>
      <c r="M158" s="190">
        <f>F158*Prices!C$2</f>
        <v>0</v>
      </c>
      <c r="N158" s="190">
        <f>G158*Prices!D$2</f>
        <v>0</v>
      </c>
      <c r="O158" s="190">
        <f>H158*Prices!E$2</f>
        <v>0</v>
      </c>
      <c r="P158" s="190">
        <f t="shared" si="6"/>
        <v>0</v>
      </c>
      <c r="Q158" s="190">
        <f>D158*Prices!A$2</f>
        <v>107412.375</v>
      </c>
      <c r="R158" s="191">
        <f t="shared" si="4"/>
        <v>107800</v>
      </c>
      <c r="S158" s="190">
        <f t="shared" si="5"/>
        <v>215212.375</v>
      </c>
      <c r="T158" s="93">
        <v>157.0</v>
      </c>
      <c r="U158" s="93" t="s">
        <v>80</v>
      </c>
      <c r="V158" s="12" t="s">
        <v>81</v>
      </c>
      <c r="W158" s="12"/>
      <c r="X158" s="12"/>
      <c r="Y158" s="12"/>
      <c r="Z158" s="12"/>
    </row>
    <row r="159">
      <c r="A159" s="93">
        <v>158.0</v>
      </c>
      <c r="B159" s="93">
        <v>6.03</v>
      </c>
      <c r="C159" s="93">
        <f t="shared" si="1"/>
        <v>1.5075</v>
      </c>
      <c r="D159" s="93">
        <f t="shared" si="2"/>
        <v>7.5375</v>
      </c>
      <c r="E159" s="93">
        <v>0.5</v>
      </c>
      <c r="F159" s="93"/>
      <c r="G159" s="93"/>
      <c r="H159" s="93"/>
      <c r="I159" s="93"/>
      <c r="J159" s="93"/>
      <c r="K159" s="93">
        <v>2.34</v>
      </c>
      <c r="L159" s="190">
        <f>E159*Prices!B$2</f>
        <v>55000</v>
      </c>
      <c r="M159" s="190">
        <f>F159*Prices!C$2</f>
        <v>0</v>
      </c>
      <c r="N159" s="190">
        <f>G159*Prices!D$2</f>
        <v>0</v>
      </c>
      <c r="O159" s="190">
        <f>H159*Prices!E$2</f>
        <v>0</v>
      </c>
      <c r="P159" s="190">
        <f t="shared" si="6"/>
        <v>4212</v>
      </c>
      <c r="Q159" s="190">
        <f>D159*Prices!A$2</f>
        <v>134544.375</v>
      </c>
      <c r="R159" s="191">
        <f t="shared" si="4"/>
        <v>55000</v>
      </c>
      <c r="S159" s="190">
        <f t="shared" si="5"/>
        <v>193756.375</v>
      </c>
      <c r="T159" s="93">
        <v>158.0</v>
      </c>
      <c r="U159" s="93" t="s">
        <v>82</v>
      </c>
      <c r="V159" s="12"/>
      <c r="W159" s="12"/>
      <c r="X159" s="12"/>
      <c r="Y159" s="12"/>
      <c r="Z159" s="12"/>
    </row>
    <row r="160">
      <c r="A160" s="93">
        <v>159.0</v>
      </c>
      <c r="B160" s="93">
        <v>4.64</v>
      </c>
      <c r="C160" s="93">
        <f t="shared" si="1"/>
        <v>1.16</v>
      </c>
      <c r="D160" s="93">
        <f t="shared" si="2"/>
        <v>5.8</v>
      </c>
      <c r="E160" s="93">
        <v>0.45</v>
      </c>
      <c r="F160" s="93"/>
      <c r="G160" s="93"/>
      <c r="H160" s="93"/>
      <c r="I160" s="93"/>
      <c r="J160" s="93"/>
      <c r="K160" s="93"/>
      <c r="L160" s="190">
        <f>E160*Prices!B$2</f>
        <v>49500</v>
      </c>
      <c r="M160" s="190">
        <f>F160*Prices!C$2</f>
        <v>0</v>
      </c>
      <c r="N160" s="190">
        <f>G160*Prices!D$2</f>
        <v>0</v>
      </c>
      <c r="O160" s="190">
        <f>H160*Prices!E$2</f>
        <v>0</v>
      </c>
      <c r="P160" s="190">
        <f t="shared" si="6"/>
        <v>0</v>
      </c>
      <c r="Q160" s="190">
        <f>D160*Prices!A$2</f>
        <v>103530</v>
      </c>
      <c r="R160" s="191">
        <f t="shared" si="4"/>
        <v>49500</v>
      </c>
      <c r="S160" s="190">
        <f t="shared" si="5"/>
        <v>153030</v>
      </c>
      <c r="T160" s="93">
        <v>159.0</v>
      </c>
      <c r="U160" s="93" t="s">
        <v>82</v>
      </c>
      <c r="V160" s="12"/>
      <c r="W160" s="12"/>
      <c r="X160" s="12"/>
      <c r="Y160" s="12"/>
      <c r="Z160" s="12"/>
    </row>
    <row r="161">
      <c r="A161" s="93">
        <v>160.0</v>
      </c>
      <c r="B161" s="93">
        <v>7.54</v>
      </c>
      <c r="C161" s="93">
        <f t="shared" si="1"/>
        <v>1.885</v>
      </c>
      <c r="D161" s="93">
        <f t="shared" si="2"/>
        <v>9.425</v>
      </c>
      <c r="E161" s="93">
        <v>1.66</v>
      </c>
      <c r="F161" s="93"/>
      <c r="G161" s="93"/>
      <c r="H161" s="93"/>
      <c r="I161" s="93"/>
      <c r="J161" s="93"/>
      <c r="K161" s="93">
        <v>4.24</v>
      </c>
      <c r="L161" s="190">
        <f>E161*Prices!B$2</f>
        <v>182600</v>
      </c>
      <c r="M161" s="190">
        <f>F161*Prices!C$2</f>
        <v>0</v>
      </c>
      <c r="N161" s="190">
        <f>G161*Prices!D$2</f>
        <v>0</v>
      </c>
      <c r="O161" s="190">
        <f>H161*Prices!E$2</f>
        <v>0</v>
      </c>
      <c r="P161" s="190">
        <f t="shared" si="6"/>
        <v>7632</v>
      </c>
      <c r="Q161" s="190">
        <f>D161*Prices!A$2</f>
        <v>168236.25</v>
      </c>
      <c r="R161" s="191">
        <f t="shared" si="4"/>
        <v>182600</v>
      </c>
      <c r="S161" s="190">
        <f t="shared" si="5"/>
        <v>358468.25</v>
      </c>
      <c r="T161" s="93">
        <v>160.0</v>
      </c>
      <c r="U161" s="93" t="s">
        <v>80</v>
      </c>
      <c r="V161" s="12" t="s">
        <v>81</v>
      </c>
      <c r="W161" s="12"/>
      <c r="X161" s="12"/>
      <c r="Y161" s="12"/>
      <c r="Z161" s="12"/>
    </row>
    <row r="162">
      <c r="A162" s="93">
        <v>161.0</v>
      </c>
      <c r="B162" s="93">
        <v>4.13</v>
      </c>
      <c r="C162" s="93">
        <f t="shared" si="1"/>
        <v>1.0325</v>
      </c>
      <c r="D162" s="93">
        <f t="shared" si="2"/>
        <v>5.1625</v>
      </c>
      <c r="E162" s="93">
        <v>0.65</v>
      </c>
      <c r="F162" s="93"/>
      <c r="G162" s="93"/>
      <c r="H162" s="93"/>
      <c r="I162" s="93"/>
      <c r="J162" s="93"/>
      <c r="K162" s="93"/>
      <c r="L162" s="190">
        <f>E162*Prices!B$2</f>
        <v>71500</v>
      </c>
      <c r="M162" s="190">
        <f>F162*Prices!C$2</f>
        <v>0</v>
      </c>
      <c r="N162" s="190">
        <f>G162*Prices!D$2</f>
        <v>0</v>
      </c>
      <c r="O162" s="190">
        <f>H162*Prices!E$2</f>
        <v>0</v>
      </c>
      <c r="P162" s="190">
        <f t="shared" si="6"/>
        <v>0</v>
      </c>
      <c r="Q162" s="190">
        <f>D162*Prices!A$2</f>
        <v>92150.625</v>
      </c>
      <c r="R162" s="191">
        <f t="shared" si="4"/>
        <v>71500</v>
      </c>
      <c r="S162" s="190">
        <f t="shared" si="5"/>
        <v>163650.625</v>
      </c>
      <c r="T162" s="93">
        <v>161.0</v>
      </c>
      <c r="U162" s="93" t="s">
        <v>82</v>
      </c>
      <c r="V162" s="12"/>
      <c r="W162" s="12"/>
      <c r="X162" s="12"/>
      <c r="Y162" s="12"/>
      <c r="Z162" s="12"/>
    </row>
    <row r="163">
      <c r="A163" s="93">
        <v>162.0</v>
      </c>
      <c r="B163" s="93">
        <v>3.674</v>
      </c>
      <c r="C163" s="93">
        <f t="shared" si="1"/>
        <v>0.9185</v>
      </c>
      <c r="D163" s="93">
        <f t="shared" si="2"/>
        <v>4.5925</v>
      </c>
      <c r="E163" s="93">
        <v>0.46</v>
      </c>
      <c r="F163" s="93"/>
      <c r="G163" s="93"/>
      <c r="H163" s="93">
        <v>0.22</v>
      </c>
      <c r="I163" s="93"/>
      <c r="J163" s="93"/>
      <c r="K163" s="93"/>
      <c r="L163" s="190">
        <f>E163*Prices!B$2</f>
        <v>50600</v>
      </c>
      <c r="M163" s="190">
        <f>F163*Prices!C$2</f>
        <v>0</v>
      </c>
      <c r="N163" s="190">
        <f>G163*Prices!D$2</f>
        <v>0</v>
      </c>
      <c r="O163" s="190">
        <f>H163*Prices!E$2</f>
        <v>77000</v>
      </c>
      <c r="P163" s="190">
        <f t="shared" si="6"/>
        <v>0</v>
      </c>
      <c r="Q163" s="190">
        <f>D163*Prices!A$2</f>
        <v>81976.125</v>
      </c>
      <c r="R163" s="191">
        <f t="shared" si="4"/>
        <v>127600</v>
      </c>
      <c r="S163" s="190">
        <f t="shared" si="5"/>
        <v>209576.125</v>
      </c>
      <c r="T163" s="93">
        <v>162.0</v>
      </c>
      <c r="U163" s="93" t="s">
        <v>80</v>
      </c>
      <c r="V163" s="12" t="s">
        <v>81</v>
      </c>
      <c r="W163" s="12"/>
      <c r="X163" s="12"/>
      <c r="Y163" s="12"/>
      <c r="Z163" s="12"/>
    </row>
    <row r="164">
      <c r="A164" s="93">
        <v>163.0</v>
      </c>
      <c r="B164" s="93">
        <v>3.82</v>
      </c>
      <c r="C164" s="93">
        <f t="shared" si="1"/>
        <v>0.955</v>
      </c>
      <c r="D164" s="93">
        <f t="shared" si="2"/>
        <v>4.775</v>
      </c>
      <c r="E164" s="93">
        <v>0.2</v>
      </c>
      <c r="F164" s="93"/>
      <c r="G164" s="93"/>
      <c r="H164" s="93"/>
      <c r="I164" s="93"/>
      <c r="J164" s="93"/>
      <c r="K164" s="93"/>
      <c r="L164" s="190">
        <f>E164*Prices!B$2</f>
        <v>22000</v>
      </c>
      <c r="M164" s="190">
        <f>F164*Prices!C$2</f>
        <v>0</v>
      </c>
      <c r="N164" s="190">
        <f>G164*Prices!D$2</f>
        <v>0</v>
      </c>
      <c r="O164" s="190">
        <f>H164*Prices!E$2</f>
        <v>0</v>
      </c>
      <c r="P164" s="190">
        <f t="shared" si="6"/>
        <v>0</v>
      </c>
      <c r="Q164" s="190">
        <f>D164*Prices!A$2</f>
        <v>85233.75</v>
      </c>
      <c r="R164" s="191">
        <f t="shared" si="4"/>
        <v>22000</v>
      </c>
      <c r="S164" s="190">
        <f t="shared" si="5"/>
        <v>107233.75</v>
      </c>
      <c r="T164" s="93">
        <v>163.0</v>
      </c>
      <c r="U164" s="93" t="s">
        <v>80</v>
      </c>
      <c r="V164" s="12" t="s">
        <v>81</v>
      </c>
      <c r="W164" s="12"/>
      <c r="X164" s="12"/>
      <c r="Y164" s="12"/>
      <c r="Z164" s="12"/>
    </row>
    <row r="165">
      <c r="A165" s="192">
        <v>164.0</v>
      </c>
      <c r="B165" s="192">
        <v>3.376</v>
      </c>
      <c r="C165" s="192">
        <f t="shared" si="1"/>
        <v>0.844</v>
      </c>
      <c r="D165" s="192">
        <f t="shared" si="2"/>
        <v>4.22</v>
      </c>
      <c r="E165" s="192">
        <v>0.42</v>
      </c>
      <c r="F165" s="192"/>
      <c r="G165" s="192"/>
      <c r="H165" s="192"/>
      <c r="I165" s="192"/>
      <c r="J165" s="192"/>
      <c r="K165" s="192">
        <v>0.9</v>
      </c>
      <c r="L165" s="193">
        <f>E165*Prices!B$2</f>
        <v>46200</v>
      </c>
      <c r="M165" s="193">
        <f>F165*Prices!C$2</f>
        <v>0</v>
      </c>
      <c r="N165" s="193">
        <f>G165*Prices!D$2</f>
        <v>0</v>
      </c>
      <c r="O165" s="193">
        <f>H165*Prices!E$2</f>
        <v>0</v>
      </c>
      <c r="P165" s="193">
        <f t="shared" si="6"/>
        <v>1620</v>
      </c>
      <c r="Q165" s="193">
        <f>D165*Prices!A$2</f>
        <v>75327</v>
      </c>
      <c r="R165" s="194">
        <f t="shared" si="4"/>
        <v>46200</v>
      </c>
      <c r="S165" s="193">
        <f t="shared" si="5"/>
        <v>123147</v>
      </c>
      <c r="T165" s="192">
        <v>164.0</v>
      </c>
      <c r="U165" s="93" t="s">
        <v>83</v>
      </c>
      <c r="V165" s="12"/>
      <c r="W165" s="12"/>
      <c r="X165" s="12"/>
      <c r="Y165" s="12"/>
      <c r="Z165" s="12"/>
    </row>
    <row r="166">
      <c r="A166" s="93">
        <v>165.0</v>
      </c>
      <c r="B166" s="93">
        <v>1.562</v>
      </c>
      <c r="C166" s="93">
        <f t="shared" si="1"/>
        <v>0.3905</v>
      </c>
      <c r="D166" s="93">
        <f t="shared" si="2"/>
        <v>1.9525</v>
      </c>
      <c r="E166" s="93">
        <v>0.49</v>
      </c>
      <c r="F166" s="93"/>
      <c r="G166" s="93"/>
      <c r="H166" s="93"/>
      <c r="I166" s="93"/>
      <c r="J166" s="93"/>
      <c r="K166" s="93"/>
      <c r="L166" s="190">
        <f>E166*Prices!B$2</f>
        <v>53900</v>
      </c>
      <c r="M166" s="190">
        <f>F166*Prices!C$2</f>
        <v>0</v>
      </c>
      <c r="N166" s="190">
        <f>G166*Prices!D$2</f>
        <v>0</v>
      </c>
      <c r="O166" s="190">
        <f>H166*Prices!E$2</f>
        <v>0</v>
      </c>
      <c r="P166" s="190">
        <f t="shared" si="6"/>
        <v>0</v>
      </c>
      <c r="Q166" s="190">
        <f>D166*Prices!A$2</f>
        <v>34852.125</v>
      </c>
      <c r="R166" s="191">
        <f t="shared" si="4"/>
        <v>53900</v>
      </c>
      <c r="S166" s="190">
        <f t="shared" si="5"/>
        <v>88752.125</v>
      </c>
      <c r="T166" s="93">
        <v>165.0</v>
      </c>
      <c r="U166" s="93" t="s">
        <v>80</v>
      </c>
      <c r="V166" s="12" t="s">
        <v>81</v>
      </c>
      <c r="W166" s="12"/>
      <c r="X166" s="12"/>
      <c r="Y166" s="12"/>
      <c r="Z166" s="12"/>
    </row>
    <row r="167">
      <c r="A167" s="93">
        <v>166.0</v>
      </c>
      <c r="B167" s="93">
        <v>3.422</v>
      </c>
      <c r="C167" s="93">
        <f t="shared" si="1"/>
        <v>0.8555</v>
      </c>
      <c r="D167" s="93">
        <f t="shared" si="2"/>
        <v>4.2775</v>
      </c>
      <c r="E167" s="93">
        <v>0.25</v>
      </c>
      <c r="F167" s="93"/>
      <c r="G167" s="93"/>
      <c r="H167" s="93"/>
      <c r="I167" s="93"/>
      <c r="J167" s="93">
        <v>0.89</v>
      </c>
      <c r="K167" s="93"/>
      <c r="L167" s="190">
        <f>E167*Prices!B$2</f>
        <v>27500</v>
      </c>
      <c r="M167" s="190">
        <f>F167*Prices!C$2</f>
        <v>0</v>
      </c>
      <c r="N167" s="190">
        <f>G167*Prices!D$2</f>
        <v>0</v>
      </c>
      <c r="O167" s="190">
        <f>H167*Prices!E$2</f>
        <v>0</v>
      </c>
      <c r="P167" s="190">
        <f t="shared" si="6"/>
        <v>8900</v>
      </c>
      <c r="Q167" s="190">
        <f>D167*Prices!A$2</f>
        <v>76353.375</v>
      </c>
      <c r="R167" s="191">
        <f t="shared" si="4"/>
        <v>27500</v>
      </c>
      <c r="S167" s="190">
        <f t="shared" si="5"/>
        <v>112753.375</v>
      </c>
      <c r="T167" s="93">
        <v>166.0</v>
      </c>
      <c r="U167" s="93" t="s">
        <v>80</v>
      </c>
      <c r="V167" s="12" t="s">
        <v>81</v>
      </c>
      <c r="W167" s="12"/>
      <c r="X167" s="12"/>
      <c r="Y167" s="12"/>
      <c r="Z167" s="12"/>
    </row>
    <row r="168">
      <c r="A168" s="93">
        <v>167.0</v>
      </c>
      <c r="B168" s="93">
        <v>2.176</v>
      </c>
      <c r="C168" s="93">
        <f t="shared" si="1"/>
        <v>0.544</v>
      </c>
      <c r="D168" s="93">
        <f t="shared" si="2"/>
        <v>2.72</v>
      </c>
      <c r="E168" s="93">
        <v>0.62</v>
      </c>
      <c r="F168" s="93"/>
      <c r="G168" s="93"/>
      <c r="H168" s="93"/>
      <c r="I168" s="93"/>
      <c r="J168" s="93"/>
      <c r="K168" s="93"/>
      <c r="L168" s="190">
        <f>E168*Prices!B$2</f>
        <v>68200</v>
      </c>
      <c r="M168" s="190">
        <f>F168*Prices!C$2</f>
        <v>0</v>
      </c>
      <c r="N168" s="190">
        <f>G168*Prices!D$2</f>
        <v>0</v>
      </c>
      <c r="O168" s="190">
        <f>H168*Prices!E$2</f>
        <v>0</v>
      </c>
      <c r="P168" s="190">
        <f t="shared" si="6"/>
        <v>0</v>
      </c>
      <c r="Q168" s="190">
        <f>D168*Prices!A$2</f>
        <v>48552</v>
      </c>
      <c r="R168" s="191">
        <f t="shared" si="4"/>
        <v>68200</v>
      </c>
      <c r="S168" s="190">
        <f t="shared" si="5"/>
        <v>116752</v>
      </c>
      <c r="T168" s="93">
        <v>167.0</v>
      </c>
      <c r="U168" s="93" t="s">
        <v>82</v>
      </c>
      <c r="V168" s="12"/>
      <c r="W168" s="12"/>
      <c r="X168" s="12"/>
      <c r="Y168" s="12"/>
      <c r="Z168" s="12"/>
    </row>
    <row r="169">
      <c r="A169" s="93">
        <v>168.0</v>
      </c>
      <c r="B169" s="93">
        <v>1.814</v>
      </c>
      <c r="C169" s="93">
        <f t="shared" si="1"/>
        <v>0.4535</v>
      </c>
      <c r="D169" s="93">
        <f t="shared" si="2"/>
        <v>2.2675</v>
      </c>
      <c r="E169" s="93">
        <v>0.13</v>
      </c>
      <c r="F169" s="93"/>
      <c r="G169" s="93"/>
      <c r="H169" s="93"/>
      <c r="I169" s="93"/>
      <c r="J169" s="93"/>
      <c r="K169" s="93"/>
      <c r="L169" s="190">
        <f>E169*Prices!B$2</f>
        <v>14300</v>
      </c>
      <c r="M169" s="190">
        <f>F169*Prices!C$2</f>
        <v>0</v>
      </c>
      <c r="N169" s="190">
        <f>G169*Prices!D$2</f>
        <v>0</v>
      </c>
      <c r="O169" s="190">
        <f>H169*Prices!E$2</f>
        <v>0</v>
      </c>
      <c r="P169" s="190">
        <f t="shared" si="6"/>
        <v>0</v>
      </c>
      <c r="Q169" s="190">
        <f>D169*Prices!A$2</f>
        <v>40474.875</v>
      </c>
      <c r="R169" s="191">
        <f t="shared" si="4"/>
        <v>14300</v>
      </c>
      <c r="S169" s="190">
        <f t="shared" si="5"/>
        <v>54774.875</v>
      </c>
      <c r="T169" s="93">
        <v>168.0</v>
      </c>
      <c r="U169" s="93" t="s">
        <v>80</v>
      </c>
      <c r="V169" s="12" t="s">
        <v>81</v>
      </c>
      <c r="W169" s="12"/>
      <c r="X169" s="12"/>
      <c r="Y169" s="12"/>
      <c r="Z169" s="12"/>
    </row>
    <row r="170">
      <c r="A170" s="93">
        <v>169.0</v>
      </c>
      <c r="B170" s="93">
        <v>2.63</v>
      </c>
      <c r="C170" s="93">
        <f t="shared" si="1"/>
        <v>0.6575</v>
      </c>
      <c r="D170" s="93">
        <f t="shared" si="2"/>
        <v>3.2875</v>
      </c>
      <c r="E170" s="93">
        <v>0.55</v>
      </c>
      <c r="F170" s="93"/>
      <c r="G170" s="93"/>
      <c r="H170" s="93"/>
      <c r="I170" s="93"/>
      <c r="J170" s="93"/>
      <c r="K170" s="93"/>
      <c r="L170" s="190">
        <f>E170*Prices!B$2</f>
        <v>60500</v>
      </c>
      <c r="M170" s="190">
        <f>F170*Prices!C$2</f>
        <v>0</v>
      </c>
      <c r="N170" s="190">
        <f>G170*Prices!D$2</f>
        <v>0</v>
      </c>
      <c r="O170" s="190">
        <f>H170*Prices!E$2</f>
        <v>0</v>
      </c>
      <c r="P170" s="190">
        <f t="shared" si="6"/>
        <v>0</v>
      </c>
      <c r="Q170" s="190">
        <f>D170*Prices!A$2</f>
        <v>58681.875</v>
      </c>
      <c r="R170" s="191">
        <f t="shared" si="4"/>
        <v>60500</v>
      </c>
      <c r="S170" s="190">
        <f t="shared" si="5"/>
        <v>119181.875</v>
      </c>
      <c r="T170" s="93">
        <v>169.0</v>
      </c>
      <c r="U170" s="93" t="s">
        <v>82</v>
      </c>
      <c r="V170" s="12"/>
      <c r="W170" s="12"/>
      <c r="X170" s="12"/>
      <c r="Y170" s="12"/>
      <c r="Z170" s="12"/>
    </row>
    <row r="171">
      <c r="A171" s="93">
        <v>170.0</v>
      </c>
      <c r="B171" s="93">
        <v>1.488</v>
      </c>
      <c r="C171" s="93">
        <f t="shared" si="1"/>
        <v>0.372</v>
      </c>
      <c r="D171" s="93">
        <f t="shared" si="2"/>
        <v>1.86</v>
      </c>
      <c r="E171" s="93">
        <v>0.16</v>
      </c>
      <c r="F171" s="93"/>
      <c r="G171" s="93"/>
      <c r="H171" s="93"/>
      <c r="I171" s="93"/>
      <c r="J171" s="93"/>
      <c r="K171" s="93"/>
      <c r="L171" s="190">
        <f>E171*Prices!B$2</f>
        <v>17600</v>
      </c>
      <c r="M171" s="190">
        <f>F171*Prices!C$2</f>
        <v>0</v>
      </c>
      <c r="N171" s="190">
        <f>G171*Prices!D$2</f>
        <v>0</v>
      </c>
      <c r="O171" s="190">
        <f>H171*Prices!E$2</f>
        <v>0</v>
      </c>
      <c r="P171" s="190">
        <f t="shared" si="6"/>
        <v>0</v>
      </c>
      <c r="Q171" s="190">
        <f>D171*Prices!A$2</f>
        <v>33201</v>
      </c>
      <c r="R171" s="191">
        <f t="shared" si="4"/>
        <v>17600</v>
      </c>
      <c r="S171" s="190">
        <f t="shared" si="5"/>
        <v>50801</v>
      </c>
      <c r="T171" s="93">
        <v>170.0</v>
      </c>
      <c r="U171" s="93" t="s">
        <v>82</v>
      </c>
      <c r="V171" s="12"/>
      <c r="W171" s="12"/>
      <c r="X171" s="12"/>
      <c r="Y171" s="12"/>
      <c r="Z171" s="12"/>
    </row>
    <row r="172">
      <c r="A172" s="93">
        <v>171.0</v>
      </c>
      <c r="B172" s="93">
        <v>3.064</v>
      </c>
      <c r="C172" s="93">
        <f t="shared" si="1"/>
        <v>0.766</v>
      </c>
      <c r="D172" s="93">
        <f t="shared" si="2"/>
        <v>3.83</v>
      </c>
      <c r="E172" s="93">
        <v>0.53</v>
      </c>
      <c r="F172" s="93"/>
      <c r="G172" s="93"/>
      <c r="H172" s="93"/>
      <c r="I172" s="93"/>
      <c r="J172" s="93"/>
      <c r="K172" s="93"/>
      <c r="L172" s="190">
        <f>E172*Prices!B$2</f>
        <v>58300</v>
      </c>
      <c r="M172" s="190">
        <f>F172*Prices!C$2</f>
        <v>0</v>
      </c>
      <c r="N172" s="190">
        <f>G172*Prices!D$2</f>
        <v>0</v>
      </c>
      <c r="O172" s="190">
        <f>H172*Prices!E$2</f>
        <v>0</v>
      </c>
      <c r="P172" s="190">
        <f t="shared" si="6"/>
        <v>0</v>
      </c>
      <c r="Q172" s="190">
        <f>D172*Prices!A$2</f>
        <v>68365.5</v>
      </c>
      <c r="R172" s="191">
        <f t="shared" si="4"/>
        <v>58300</v>
      </c>
      <c r="S172" s="190">
        <f t="shared" si="5"/>
        <v>126665.5</v>
      </c>
      <c r="T172" s="93">
        <v>171.0</v>
      </c>
      <c r="U172" s="93" t="s">
        <v>82</v>
      </c>
      <c r="V172" s="12"/>
      <c r="W172" s="12"/>
      <c r="X172" s="12"/>
      <c r="Y172" s="12"/>
      <c r="Z172" s="12"/>
    </row>
    <row r="173">
      <c r="A173" s="93">
        <v>172.0</v>
      </c>
      <c r="B173" s="93">
        <v>2.47</v>
      </c>
      <c r="C173" s="93">
        <f t="shared" si="1"/>
        <v>0.6175</v>
      </c>
      <c r="D173" s="93">
        <f t="shared" si="2"/>
        <v>3.0875</v>
      </c>
      <c r="E173" s="93">
        <v>0.27</v>
      </c>
      <c r="F173" s="93"/>
      <c r="G173" s="93"/>
      <c r="H173" s="93"/>
      <c r="I173" s="93"/>
      <c r="J173" s="93"/>
      <c r="K173" s="93"/>
      <c r="L173" s="190">
        <f>E173*Prices!B$2</f>
        <v>29700</v>
      </c>
      <c r="M173" s="190">
        <f>F173*Prices!C$2</f>
        <v>0</v>
      </c>
      <c r="N173" s="190">
        <f>G173*Prices!D$2</f>
        <v>0</v>
      </c>
      <c r="O173" s="190">
        <f>H173*Prices!E$2</f>
        <v>0</v>
      </c>
      <c r="P173" s="190">
        <f t="shared" si="6"/>
        <v>0</v>
      </c>
      <c r="Q173" s="190">
        <f>D173*Prices!A$2</f>
        <v>55111.875</v>
      </c>
      <c r="R173" s="191">
        <f t="shared" si="4"/>
        <v>29700</v>
      </c>
      <c r="S173" s="190">
        <f t="shared" si="5"/>
        <v>84811.875</v>
      </c>
      <c r="T173" s="93">
        <v>172.0</v>
      </c>
      <c r="U173" s="93" t="s">
        <v>82</v>
      </c>
      <c r="V173" s="12"/>
      <c r="W173" s="12"/>
      <c r="X173" s="12"/>
      <c r="Y173" s="12"/>
      <c r="Z173" s="12"/>
    </row>
    <row r="174">
      <c r="A174" s="93">
        <v>173.0</v>
      </c>
      <c r="B174" s="93">
        <v>1.622</v>
      </c>
      <c r="C174" s="93">
        <f t="shared" si="1"/>
        <v>0.4055</v>
      </c>
      <c r="D174" s="93">
        <f t="shared" si="2"/>
        <v>2.0275</v>
      </c>
      <c r="E174" s="93">
        <v>0.29</v>
      </c>
      <c r="F174" s="93"/>
      <c r="G174" s="93"/>
      <c r="H174" s="93"/>
      <c r="I174" s="93"/>
      <c r="J174" s="93"/>
      <c r="K174" s="93"/>
      <c r="L174" s="190">
        <f>E174*Prices!B$2</f>
        <v>31900</v>
      </c>
      <c r="M174" s="190">
        <f>F174*Prices!C$2</f>
        <v>0</v>
      </c>
      <c r="N174" s="190">
        <f>G174*Prices!D$2</f>
        <v>0</v>
      </c>
      <c r="O174" s="190">
        <f>H174*Prices!E$2</f>
        <v>0</v>
      </c>
      <c r="P174" s="190">
        <f t="shared" si="6"/>
        <v>0</v>
      </c>
      <c r="Q174" s="190">
        <f>D174*Prices!A$2</f>
        <v>36190.875</v>
      </c>
      <c r="R174" s="191">
        <f t="shared" si="4"/>
        <v>31900</v>
      </c>
      <c r="S174" s="190">
        <f t="shared" si="5"/>
        <v>68090.875</v>
      </c>
      <c r="T174" s="93">
        <v>173.0</v>
      </c>
      <c r="U174" s="93" t="s">
        <v>82</v>
      </c>
      <c r="V174" s="12"/>
      <c r="W174" s="12"/>
      <c r="X174" s="12"/>
      <c r="Y174" s="12"/>
      <c r="Z174" s="12"/>
    </row>
    <row r="175">
      <c r="A175" s="93">
        <v>174.0</v>
      </c>
      <c r="B175" s="93">
        <v>10.234</v>
      </c>
      <c r="C175" s="93">
        <f t="shared" si="1"/>
        <v>2.5585</v>
      </c>
      <c r="D175" s="93">
        <f t="shared" si="2"/>
        <v>12.7925</v>
      </c>
      <c r="E175" s="93">
        <v>1.69</v>
      </c>
      <c r="F175" s="93"/>
      <c r="G175" s="93"/>
      <c r="H175" s="93"/>
      <c r="I175" s="93"/>
      <c r="J175" s="93"/>
      <c r="K175" s="93"/>
      <c r="L175" s="190">
        <f>E175*Prices!B$2</f>
        <v>185900</v>
      </c>
      <c r="M175" s="190">
        <f>F175*Prices!C$2</f>
        <v>0</v>
      </c>
      <c r="N175" s="190">
        <f>G175*Prices!D$2</f>
        <v>0</v>
      </c>
      <c r="O175" s="190">
        <f>H175*Prices!E$2</f>
        <v>0</v>
      </c>
      <c r="P175" s="190">
        <f t="shared" si="6"/>
        <v>0</v>
      </c>
      <c r="Q175" s="190">
        <f>D175*Prices!A$2</f>
        <v>228346.125</v>
      </c>
      <c r="R175" s="191">
        <f t="shared" si="4"/>
        <v>185900</v>
      </c>
      <c r="S175" s="190">
        <f t="shared" si="5"/>
        <v>414246.125</v>
      </c>
      <c r="T175" s="93">
        <v>174.0</v>
      </c>
      <c r="U175" s="93" t="s">
        <v>82</v>
      </c>
      <c r="V175" s="12"/>
      <c r="W175" s="12"/>
      <c r="X175" s="12"/>
      <c r="Y175" s="12"/>
      <c r="Z175" s="12"/>
    </row>
    <row r="176">
      <c r="A176" s="93">
        <v>175.0</v>
      </c>
      <c r="B176" s="93">
        <v>7.776</v>
      </c>
      <c r="C176" s="93">
        <f t="shared" si="1"/>
        <v>1.944</v>
      </c>
      <c r="D176" s="93">
        <f t="shared" si="2"/>
        <v>9.72</v>
      </c>
      <c r="E176" s="93">
        <v>1.77</v>
      </c>
      <c r="F176" s="93"/>
      <c r="G176" s="93"/>
      <c r="H176" s="93"/>
      <c r="I176" s="93"/>
      <c r="J176" s="93"/>
      <c r="K176" s="93"/>
      <c r="L176" s="190">
        <f>E176*Prices!B$2</f>
        <v>194700</v>
      </c>
      <c r="M176" s="190">
        <f>F176*Prices!C$2</f>
        <v>0</v>
      </c>
      <c r="N176" s="190">
        <f>G176*Prices!D$2</f>
        <v>0</v>
      </c>
      <c r="O176" s="190">
        <f>H176*Prices!E$2</f>
        <v>0</v>
      </c>
      <c r="P176" s="190">
        <f t="shared" si="6"/>
        <v>0</v>
      </c>
      <c r="Q176" s="190">
        <f>D176*Prices!A$2</f>
        <v>173502</v>
      </c>
      <c r="R176" s="191">
        <f t="shared" si="4"/>
        <v>194700</v>
      </c>
      <c r="S176" s="190">
        <f t="shared" si="5"/>
        <v>368202</v>
      </c>
      <c r="T176" s="93">
        <v>175.0</v>
      </c>
      <c r="U176" s="93" t="s">
        <v>82</v>
      </c>
      <c r="V176" s="12"/>
      <c r="W176" s="12"/>
      <c r="X176" s="12"/>
      <c r="Y176" s="12"/>
      <c r="Z176" s="12"/>
    </row>
    <row r="177">
      <c r="A177" s="93">
        <v>176.0</v>
      </c>
      <c r="B177" s="93">
        <v>2.082</v>
      </c>
      <c r="C177" s="93">
        <f t="shared" si="1"/>
        <v>0.5205</v>
      </c>
      <c r="D177" s="93">
        <f t="shared" si="2"/>
        <v>2.6025</v>
      </c>
      <c r="E177" s="93">
        <v>0.34</v>
      </c>
      <c r="F177" s="93"/>
      <c r="G177" s="93"/>
      <c r="H177" s="93"/>
      <c r="I177" s="93"/>
      <c r="J177" s="93"/>
      <c r="K177" s="93"/>
      <c r="L177" s="190">
        <f>E177*Prices!B$2</f>
        <v>37400</v>
      </c>
      <c r="M177" s="190">
        <f>F177*Prices!C$2</f>
        <v>0</v>
      </c>
      <c r="N177" s="190">
        <f>G177*Prices!D$2</f>
        <v>0</v>
      </c>
      <c r="O177" s="190">
        <f>H177*Prices!E$2</f>
        <v>0</v>
      </c>
      <c r="P177" s="190">
        <f t="shared" si="6"/>
        <v>0</v>
      </c>
      <c r="Q177" s="190">
        <f>D177*Prices!A$2</f>
        <v>46454.625</v>
      </c>
      <c r="R177" s="191">
        <f t="shared" si="4"/>
        <v>37400</v>
      </c>
      <c r="S177" s="190">
        <f t="shared" si="5"/>
        <v>83854.625</v>
      </c>
      <c r="T177" s="93">
        <v>176.0</v>
      </c>
      <c r="U177" s="93" t="s">
        <v>82</v>
      </c>
      <c r="V177" s="12"/>
      <c r="W177" s="12"/>
      <c r="X177" s="12"/>
      <c r="Y177" s="12"/>
      <c r="Z177" s="12"/>
    </row>
    <row r="178">
      <c r="A178" s="93">
        <v>177.0</v>
      </c>
      <c r="B178" s="93">
        <v>2.836</v>
      </c>
      <c r="C178" s="93">
        <f t="shared" si="1"/>
        <v>0.709</v>
      </c>
      <c r="D178" s="93">
        <f t="shared" si="2"/>
        <v>3.545</v>
      </c>
      <c r="E178" s="93">
        <v>0.57</v>
      </c>
      <c r="F178" s="93"/>
      <c r="G178" s="93"/>
      <c r="H178" s="93"/>
      <c r="I178" s="93"/>
      <c r="J178" s="93"/>
      <c r="K178" s="93"/>
      <c r="L178" s="190">
        <f>E178*Prices!B$2</f>
        <v>62700</v>
      </c>
      <c r="M178" s="190">
        <f>F178*Prices!C$2</f>
        <v>0</v>
      </c>
      <c r="N178" s="190">
        <f>G178*Prices!D$2</f>
        <v>0</v>
      </c>
      <c r="O178" s="190">
        <f>H178*Prices!E$2</f>
        <v>0</v>
      </c>
      <c r="P178" s="190">
        <f t="shared" si="6"/>
        <v>0</v>
      </c>
      <c r="Q178" s="190">
        <f>D178*Prices!A$2</f>
        <v>63278.25</v>
      </c>
      <c r="R178" s="191">
        <f t="shared" si="4"/>
        <v>62700</v>
      </c>
      <c r="S178" s="190">
        <f t="shared" si="5"/>
        <v>125978.25</v>
      </c>
      <c r="T178" s="93">
        <v>177.0</v>
      </c>
      <c r="U178" s="93" t="s">
        <v>82</v>
      </c>
      <c r="V178" s="12"/>
      <c r="W178" s="12"/>
      <c r="X178" s="12"/>
      <c r="Y178" s="12"/>
      <c r="Z178" s="12"/>
    </row>
    <row r="179">
      <c r="A179" s="93">
        <v>178.0</v>
      </c>
      <c r="B179" s="93">
        <v>3.226</v>
      </c>
      <c r="C179" s="93">
        <f t="shared" si="1"/>
        <v>0.8065</v>
      </c>
      <c r="D179" s="93">
        <f t="shared" si="2"/>
        <v>4.0325</v>
      </c>
      <c r="E179" s="93">
        <v>0.52</v>
      </c>
      <c r="F179" s="93"/>
      <c r="G179" s="93"/>
      <c r="H179" s="93"/>
      <c r="I179" s="93"/>
      <c r="J179" s="93"/>
      <c r="K179" s="93"/>
      <c r="L179" s="190">
        <f>E179*Prices!B$2</f>
        <v>57200</v>
      </c>
      <c r="M179" s="190">
        <f>F179*Prices!C$2</f>
        <v>0</v>
      </c>
      <c r="N179" s="190">
        <f>G179*Prices!D$2</f>
        <v>0</v>
      </c>
      <c r="O179" s="190">
        <f>H179*Prices!E$2</f>
        <v>0</v>
      </c>
      <c r="P179" s="190">
        <f t="shared" si="6"/>
        <v>0</v>
      </c>
      <c r="Q179" s="190">
        <f>D179*Prices!A$2</f>
        <v>71980.125</v>
      </c>
      <c r="R179" s="191">
        <f t="shared" si="4"/>
        <v>57200</v>
      </c>
      <c r="S179" s="190">
        <f t="shared" si="5"/>
        <v>129180.125</v>
      </c>
      <c r="T179" s="93">
        <v>178.0</v>
      </c>
      <c r="U179" s="26" t="s">
        <v>82</v>
      </c>
      <c r="V179" s="12"/>
      <c r="W179" s="12"/>
      <c r="X179" s="12"/>
      <c r="Y179" s="12"/>
      <c r="Z179" s="12"/>
    </row>
    <row r="180">
      <c r="A180" s="93">
        <v>179.0</v>
      </c>
      <c r="B180" s="93">
        <v>2.874</v>
      </c>
      <c r="C180" s="93">
        <f t="shared" si="1"/>
        <v>0.7185</v>
      </c>
      <c r="D180" s="93">
        <f t="shared" si="2"/>
        <v>3.5925</v>
      </c>
      <c r="E180" s="93">
        <v>0.53</v>
      </c>
      <c r="F180" s="93"/>
      <c r="G180" s="93"/>
      <c r="H180" s="93"/>
      <c r="I180" s="93"/>
      <c r="J180" s="93"/>
      <c r="K180" s="93"/>
      <c r="L180" s="190">
        <f>E180*Prices!B$2</f>
        <v>58300</v>
      </c>
      <c r="M180" s="190">
        <f>F180*Prices!C$2</f>
        <v>0</v>
      </c>
      <c r="N180" s="190">
        <f>G180*Prices!D$2</f>
        <v>0</v>
      </c>
      <c r="O180" s="190">
        <f>H180*Prices!E$2</f>
        <v>0</v>
      </c>
      <c r="P180" s="190">
        <f t="shared" si="6"/>
        <v>0</v>
      </c>
      <c r="Q180" s="190">
        <f>D180*Prices!A$2</f>
        <v>64126.125</v>
      </c>
      <c r="R180" s="191">
        <f t="shared" si="4"/>
        <v>58300</v>
      </c>
      <c r="S180" s="190">
        <f t="shared" si="5"/>
        <v>122426.125</v>
      </c>
      <c r="T180" s="93">
        <v>179.0</v>
      </c>
      <c r="U180" s="93" t="s">
        <v>82</v>
      </c>
      <c r="V180" s="12"/>
      <c r="W180" s="12"/>
      <c r="X180" s="12"/>
      <c r="Y180" s="12"/>
      <c r="Z180" s="12"/>
    </row>
    <row r="181">
      <c r="A181" s="93">
        <v>180.0</v>
      </c>
      <c r="B181" s="93">
        <v>4.134</v>
      </c>
      <c r="C181" s="93">
        <f t="shared" si="1"/>
        <v>1.0335</v>
      </c>
      <c r="D181" s="93">
        <f t="shared" si="2"/>
        <v>5.1675</v>
      </c>
      <c r="E181" s="93">
        <v>0.48</v>
      </c>
      <c r="F181" s="93"/>
      <c r="G181" s="93"/>
      <c r="H181" s="93"/>
      <c r="I181" s="93"/>
      <c r="J181" s="93"/>
      <c r="K181" s="93">
        <v>8.25</v>
      </c>
      <c r="L181" s="190">
        <f>E181*Prices!B$2</f>
        <v>52800</v>
      </c>
      <c r="M181" s="190">
        <f>F181*Prices!C$2</f>
        <v>0</v>
      </c>
      <c r="N181" s="190">
        <f>G181*Prices!D$2</f>
        <v>0</v>
      </c>
      <c r="O181" s="190">
        <f>H181*Prices!E$2</f>
        <v>0</v>
      </c>
      <c r="P181" s="190">
        <f t="shared" si="6"/>
        <v>14850</v>
      </c>
      <c r="Q181" s="190">
        <f>D181*Prices!A$2</f>
        <v>92239.875</v>
      </c>
      <c r="R181" s="191">
        <f t="shared" si="4"/>
        <v>52800</v>
      </c>
      <c r="S181" s="190">
        <f t="shared" si="5"/>
        <v>159889.875</v>
      </c>
      <c r="T181" s="93">
        <v>180.0</v>
      </c>
      <c r="U181" s="93" t="s">
        <v>80</v>
      </c>
      <c r="V181" s="12" t="s">
        <v>81</v>
      </c>
      <c r="W181" s="12"/>
      <c r="X181" s="12"/>
      <c r="Y181" s="12"/>
      <c r="Z181" s="12"/>
    </row>
    <row r="182">
      <c r="A182" s="93">
        <v>181.0</v>
      </c>
      <c r="B182" s="93">
        <v>4.884</v>
      </c>
      <c r="C182" s="93">
        <f t="shared" si="1"/>
        <v>1.221</v>
      </c>
      <c r="D182" s="93">
        <f t="shared" si="2"/>
        <v>6.105</v>
      </c>
      <c r="E182" s="93">
        <v>0.58</v>
      </c>
      <c r="F182" s="93"/>
      <c r="G182" s="93"/>
      <c r="H182" s="93"/>
      <c r="I182" s="93"/>
      <c r="J182" s="93"/>
      <c r="K182" s="93">
        <v>8.25</v>
      </c>
      <c r="L182" s="190">
        <f>E182*Prices!B$2</f>
        <v>63800</v>
      </c>
      <c r="M182" s="190">
        <f>F182*Prices!C$2</f>
        <v>0</v>
      </c>
      <c r="N182" s="190">
        <f>G182*Prices!D$2</f>
        <v>0</v>
      </c>
      <c r="O182" s="190">
        <f>H182*Prices!E$2</f>
        <v>0</v>
      </c>
      <c r="P182" s="190">
        <f t="shared" si="6"/>
        <v>14850</v>
      </c>
      <c r="Q182" s="190">
        <f>D182*Prices!A$2</f>
        <v>108974.25</v>
      </c>
      <c r="R182" s="191">
        <f t="shared" si="4"/>
        <v>63800</v>
      </c>
      <c r="S182" s="190">
        <f t="shared" si="5"/>
        <v>187624.25</v>
      </c>
      <c r="T182" s="93">
        <v>181.0</v>
      </c>
      <c r="U182" s="93" t="s">
        <v>82</v>
      </c>
      <c r="V182" s="12"/>
      <c r="W182" s="12"/>
      <c r="X182" s="12"/>
      <c r="Y182" s="12"/>
      <c r="Z182" s="12"/>
    </row>
    <row r="183">
      <c r="A183" s="93">
        <v>182.0</v>
      </c>
      <c r="B183" s="93">
        <v>4.214</v>
      </c>
      <c r="C183" s="93">
        <f t="shared" si="1"/>
        <v>1.0535</v>
      </c>
      <c r="D183" s="93">
        <f t="shared" si="2"/>
        <v>5.2675</v>
      </c>
      <c r="E183" s="93">
        <v>0.4</v>
      </c>
      <c r="F183" s="93"/>
      <c r="G183" s="93"/>
      <c r="H183" s="93"/>
      <c r="I183" s="93"/>
      <c r="J183" s="93"/>
      <c r="K183" s="93">
        <v>6.53</v>
      </c>
      <c r="L183" s="190">
        <f>E183*Prices!B$2</f>
        <v>44000</v>
      </c>
      <c r="M183" s="190">
        <f>F183*Prices!C$2</f>
        <v>0</v>
      </c>
      <c r="N183" s="190">
        <f>G183*Prices!D$2</f>
        <v>0</v>
      </c>
      <c r="O183" s="190">
        <f>H183*Prices!E$2</f>
        <v>0</v>
      </c>
      <c r="P183" s="190">
        <f t="shared" si="6"/>
        <v>11754</v>
      </c>
      <c r="Q183" s="190">
        <f>D183*Prices!A$2</f>
        <v>94024.875</v>
      </c>
      <c r="R183" s="191">
        <f t="shared" si="4"/>
        <v>44000</v>
      </c>
      <c r="S183" s="190">
        <f t="shared" si="5"/>
        <v>149778.875</v>
      </c>
      <c r="T183" s="93">
        <v>182.0</v>
      </c>
      <c r="U183" s="93" t="s">
        <v>80</v>
      </c>
      <c r="V183" s="12" t="s">
        <v>81</v>
      </c>
      <c r="W183" s="12"/>
      <c r="X183" s="12"/>
      <c r="Y183" s="12"/>
      <c r="Z183" s="12"/>
    </row>
    <row r="184">
      <c r="A184" s="93">
        <v>183.0</v>
      </c>
      <c r="B184" s="93">
        <v>7.32</v>
      </c>
      <c r="C184" s="93">
        <f t="shared" si="1"/>
        <v>1.83</v>
      </c>
      <c r="D184" s="93">
        <f t="shared" si="2"/>
        <v>9.15</v>
      </c>
      <c r="E184" s="93">
        <v>1.265</v>
      </c>
      <c r="F184" s="93"/>
      <c r="G184" s="93"/>
      <c r="H184" s="93"/>
      <c r="I184" s="93"/>
      <c r="J184" s="93"/>
      <c r="K184" s="93"/>
      <c r="L184" s="190">
        <f>E184*Prices!B$2</f>
        <v>139150</v>
      </c>
      <c r="M184" s="190">
        <f>F184*Prices!C$2</f>
        <v>0</v>
      </c>
      <c r="N184" s="190">
        <f>G184*Prices!D$2</f>
        <v>0</v>
      </c>
      <c r="O184" s="190">
        <f>H184*Prices!E$2</f>
        <v>0</v>
      </c>
      <c r="P184" s="190">
        <f t="shared" si="6"/>
        <v>0</v>
      </c>
      <c r="Q184" s="190">
        <f>D184*Prices!A$2</f>
        <v>163327.5</v>
      </c>
      <c r="R184" s="191">
        <f t="shared" si="4"/>
        <v>139150</v>
      </c>
      <c r="S184" s="190">
        <f t="shared" si="5"/>
        <v>302477.5</v>
      </c>
      <c r="T184" s="93">
        <v>183.0</v>
      </c>
      <c r="U184" s="93" t="s">
        <v>80</v>
      </c>
      <c r="V184" s="12" t="s">
        <v>81</v>
      </c>
      <c r="W184" s="12"/>
      <c r="X184" s="12"/>
      <c r="Y184" s="12"/>
      <c r="Z184" s="12"/>
    </row>
    <row r="185">
      <c r="A185" s="93">
        <v>184.0</v>
      </c>
      <c r="B185" s="93">
        <v>4.882</v>
      </c>
      <c r="C185" s="93">
        <f t="shared" si="1"/>
        <v>1.2205</v>
      </c>
      <c r="D185" s="93">
        <f t="shared" si="2"/>
        <v>6.1025</v>
      </c>
      <c r="E185" s="93">
        <v>0.34</v>
      </c>
      <c r="F185" s="93"/>
      <c r="G185" s="93"/>
      <c r="H185" s="93"/>
      <c r="I185" s="93"/>
      <c r="J185" s="93"/>
      <c r="K185" s="93">
        <v>4.35</v>
      </c>
      <c r="L185" s="190">
        <f>E185*Prices!B$2</f>
        <v>37400</v>
      </c>
      <c r="M185" s="190">
        <f>F185*Prices!C$2</f>
        <v>0</v>
      </c>
      <c r="N185" s="190">
        <f>G185*Prices!D$2</f>
        <v>0</v>
      </c>
      <c r="O185" s="190">
        <f>H185*Prices!E$2</f>
        <v>0</v>
      </c>
      <c r="P185" s="190">
        <f t="shared" si="6"/>
        <v>7830</v>
      </c>
      <c r="Q185" s="190">
        <f>D185*Prices!A$2</f>
        <v>108929.625</v>
      </c>
      <c r="R185" s="191">
        <f t="shared" si="4"/>
        <v>37400</v>
      </c>
      <c r="S185" s="190">
        <f t="shared" si="5"/>
        <v>154159.625</v>
      </c>
      <c r="T185" s="93">
        <v>184.0</v>
      </c>
      <c r="U185" s="93" t="s">
        <v>82</v>
      </c>
      <c r="V185" s="12"/>
      <c r="W185" s="12"/>
      <c r="X185" s="12"/>
      <c r="Y185" s="12"/>
      <c r="Z185" s="12"/>
    </row>
    <row r="186">
      <c r="A186" s="93">
        <v>185.0</v>
      </c>
      <c r="B186" s="93">
        <v>8.17</v>
      </c>
      <c r="C186" s="93">
        <f t="shared" si="1"/>
        <v>2.0425</v>
      </c>
      <c r="D186" s="93">
        <f t="shared" si="2"/>
        <v>10.2125</v>
      </c>
      <c r="E186" s="93">
        <v>1.84</v>
      </c>
      <c r="F186" s="93"/>
      <c r="G186" s="93"/>
      <c r="H186" s="93"/>
      <c r="I186" s="93"/>
      <c r="J186" s="93">
        <v>3.61</v>
      </c>
      <c r="K186" s="93"/>
      <c r="L186" s="190">
        <f>E186*Prices!B$2</f>
        <v>202400</v>
      </c>
      <c r="M186" s="190">
        <f>F186*Prices!C$2</f>
        <v>0</v>
      </c>
      <c r="N186" s="190">
        <f>G186*Prices!D$2</f>
        <v>0</v>
      </c>
      <c r="O186" s="190">
        <f>H186*Prices!E$2</f>
        <v>0</v>
      </c>
      <c r="P186" s="190">
        <f t="shared" si="6"/>
        <v>36100</v>
      </c>
      <c r="Q186" s="190">
        <f>D186*Prices!A$2</f>
        <v>182293.125</v>
      </c>
      <c r="R186" s="191">
        <f t="shared" si="4"/>
        <v>202400</v>
      </c>
      <c r="S186" s="190">
        <f t="shared" si="5"/>
        <v>420793.125</v>
      </c>
      <c r="T186" s="93">
        <v>185.0</v>
      </c>
      <c r="U186" s="26" t="s">
        <v>82</v>
      </c>
      <c r="V186" s="12"/>
      <c r="W186" s="12"/>
      <c r="X186" s="12"/>
      <c r="Y186" s="12"/>
      <c r="Z186" s="12"/>
    </row>
    <row r="187">
      <c r="A187" s="192">
        <v>186.0</v>
      </c>
      <c r="B187" s="192">
        <v>6.108</v>
      </c>
      <c r="C187" s="192">
        <f t="shared" si="1"/>
        <v>1.527</v>
      </c>
      <c r="D187" s="192">
        <f t="shared" si="2"/>
        <v>7.635</v>
      </c>
      <c r="E187" s="192">
        <v>1.16</v>
      </c>
      <c r="F187" s="192"/>
      <c r="G187" s="192"/>
      <c r="H187" s="192"/>
      <c r="I187" s="192">
        <v>4.05</v>
      </c>
      <c r="J187" s="192"/>
      <c r="K187" s="192"/>
      <c r="L187" s="193">
        <f>E187*Prices!B$2</f>
        <v>127600</v>
      </c>
      <c r="M187" s="193">
        <f>F187*Prices!C$2</f>
        <v>0</v>
      </c>
      <c r="N187" s="193">
        <f>G187*Prices!D$2</f>
        <v>0</v>
      </c>
      <c r="O187" s="193">
        <f>H187*Prices!E$2</f>
        <v>0</v>
      </c>
      <c r="P187" s="193">
        <f t="shared" si="6"/>
        <v>8100</v>
      </c>
      <c r="Q187" s="193">
        <f>D187*Prices!A$2</f>
        <v>136284.75</v>
      </c>
      <c r="R187" s="194">
        <f t="shared" si="4"/>
        <v>127600</v>
      </c>
      <c r="S187" s="193">
        <f t="shared" si="5"/>
        <v>271984.75</v>
      </c>
      <c r="T187" s="192">
        <v>186.0</v>
      </c>
      <c r="U187" s="192" t="s">
        <v>83</v>
      </c>
      <c r="V187" s="12"/>
      <c r="W187" s="12"/>
      <c r="X187" s="12"/>
      <c r="Y187" s="12"/>
      <c r="Z187" s="12"/>
    </row>
    <row r="188">
      <c r="A188" s="93">
        <v>187.0</v>
      </c>
      <c r="B188" s="93">
        <v>5.242</v>
      </c>
      <c r="C188" s="93">
        <f t="shared" si="1"/>
        <v>1.3105</v>
      </c>
      <c r="D188" s="93">
        <f t="shared" si="2"/>
        <v>6.5525</v>
      </c>
      <c r="E188" s="93">
        <v>0.39</v>
      </c>
      <c r="F188" s="93"/>
      <c r="G188" s="93"/>
      <c r="H188" s="93"/>
      <c r="I188" s="93"/>
      <c r="J188" s="93">
        <v>3.0</v>
      </c>
      <c r="K188" s="93"/>
      <c r="L188" s="190">
        <f>E188*Prices!B$2</f>
        <v>42900</v>
      </c>
      <c r="M188" s="190">
        <f>F188*Prices!C$2</f>
        <v>0</v>
      </c>
      <c r="N188" s="190">
        <f>G188*Prices!D$2</f>
        <v>0</v>
      </c>
      <c r="O188" s="190">
        <f>H188*Prices!E$2</f>
        <v>0</v>
      </c>
      <c r="P188" s="190">
        <f t="shared" si="6"/>
        <v>30000</v>
      </c>
      <c r="Q188" s="190">
        <f>D188*Prices!A$2</f>
        <v>116962.125</v>
      </c>
      <c r="R188" s="191">
        <f t="shared" si="4"/>
        <v>42900</v>
      </c>
      <c r="S188" s="190">
        <f t="shared" si="5"/>
        <v>189862.125</v>
      </c>
      <c r="T188" s="93">
        <v>187.0</v>
      </c>
      <c r="U188" s="93" t="s">
        <v>82</v>
      </c>
      <c r="V188" s="12"/>
      <c r="W188" s="12"/>
      <c r="X188" s="12"/>
      <c r="Y188" s="12"/>
      <c r="Z188" s="12"/>
    </row>
    <row r="189">
      <c r="A189" s="93">
        <v>188.0</v>
      </c>
      <c r="B189" s="93">
        <v>3.734</v>
      </c>
      <c r="C189" s="93">
        <f t="shared" si="1"/>
        <v>0.9335</v>
      </c>
      <c r="D189" s="93">
        <f t="shared" si="2"/>
        <v>4.6675</v>
      </c>
      <c r="E189" s="93"/>
      <c r="F189" s="93"/>
      <c r="G189" s="93">
        <v>1.72</v>
      </c>
      <c r="H189" s="93"/>
      <c r="I189" s="93"/>
      <c r="J189" s="93">
        <v>1.66</v>
      </c>
      <c r="K189" s="93"/>
      <c r="L189" s="190">
        <f>E189*Prices!B$2</f>
        <v>0</v>
      </c>
      <c r="M189" s="190">
        <f>F189*Prices!C$2</f>
        <v>0</v>
      </c>
      <c r="N189" s="190">
        <f>G189*Prices!D$2</f>
        <v>335400</v>
      </c>
      <c r="O189" s="190">
        <f>H189*Prices!E$2</f>
        <v>0</v>
      </c>
      <c r="P189" s="190">
        <f t="shared" si="6"/>
        <v>16600</v>
      </c>
      <c r="Q189" s="190">
        <f>D189*Prices!A$2</f>
        <v>83314.875</v>
      </c>
      <c r="R189" s="191">
        <f t="shared" si="4"/>
        <v>335400</v>
      </c>
      <c r="S189" s="190">
        <f t="shared" si="5"/>
        <v>435314.875</v>
      </c>
      <c r="T189" s="93">
        <v>188.0</v>
      </c>
      <c r="U189" s="93" t="s">
        <v>82</v>
      </c>
      <c r="V189" s="12"/>
      <c r="W189" s="12"/>
      <c r="X189" s="12"/>
      <c r="Y189" s="12"/>
      <c r="Z189" s="12"/>
    </row>
    <row r="190">
      <c r="A190" s="93">
        <v>189.0</v>
      </c>
      <c r="B190" s="93">
        <v>4.086</v>
      </c>
      <c r="C190" s="93">
        <f t="shared" si="1"/>
        <v>1.0215</v>
      </c>
      <c r="D190" s="93">
        <f t="shared" si="2"/>
        <v>5.1075</v>
      </c>
      <c r="E190" s="93">
        <v>0.47</v>
      </c>
      <c r="F190" s="93"/>
      <c r="G190" s="93"/>
      <c r="H190" s="93"/>
      <c r="I190" s="93"/>
      <c r="J190" s="93"/>
      <c r="K190" s="93">
        <v>5.35</v>
      </c>
      <c r="L190" s="190">
        <f>E190*Prices!B$2</f>
        <v>51700</v>
      </c>
      <c r="M190" s="190">
        <f>F190*Prices!C$2</f>
        <v>0</v>
      </c>
      <c r="N190" s="190">
        <f>G190*Prices!D$2</f>
        <v>0</v>
      </c>
      <c r="O190" s="190">
        <f>H190*Prices!E$2</f>
        <v>0</v>
      </c>
      <c r="P190" s="190">
        <f t="shared" si="6"/>
        <v>9630</v>
      </c>
      <c r="Q190" s="190">
        <f>D190*Prices!A$2</f>
        <v>91168.875</v>
      </c>
      <c r="R190" s="191">
        <f t="shared" si="4"/>
        <v>51700</v>
      </c>
      <c r="S190" s="190">
        <f t="shared" si="5"/>
        <v>152498.875</v>
      </c>
      <c r="T190" s="93">
        <v>189.0</v>
      </c>
      <c r="U190" s="93" t="s">
        <v>82</v>
      </c>
      <c r="V190" s="12"/>
      <c r="W190" s="12"/>
      <c r="X190" s="12"/>
      <c r="Y190" s="12"/>
      <c r="Z190" s="12"/>
    </row>
    <row r="191">
      <c r="A191" s="93">
        <v>190.0</v>
      </c>
      <c r="B191" s="93">
        <v>4.144</v>
      </c>
      <c r="C191" s="93">
        <f t="shared" si="1"/>
        <v>1.036</v>
      </c>
      <c r="D191" s="93">
        <f t="shared" si="2"/>
        <v>5.18</v>
      </c>
      <c r="E191" s="93">
        <v>0.53</v>
      </c>
      <c r="F191" s="93"/>
      <c r="G191" s="93"/>
      <c r="H191" s="93"/>
      <c r="I191" s="93"/>
      <c r="J191" s="93"/>
      <c r="K191" s="93">
        <v>6.75</v>
      </c>
      <c r="L191" s="190">
        <f>E191*Prices!B$2</f>
        <v>58300</v>
      </c>
      <c r="M191" s="190">
        <f>F191*Prices!C$2</f>
        <v>0</v>
      </c>
      <c r="N191" s="190">
        <f>G191*Prices!D$2</f>
        <v>0</v>
      </c>
      <c r="O191" s="190">
        <f>H191*Prices!E$2</f>
        <v>0</v>
      </c>
      <c r="P191" s="190">
        <f t="shared" si="6"/>
        <v>12150</v>
      </c>
      <c r="Q191" s="190">
        <f>D191*Prices!A$2</f>
        <v>92463</v>
      </c>
      <c r="R191" s="191">
        <f t="shared" si="4"/>
        <v>58300</v>
      </c>
      <c r="S191" s="190">
        <f t="shared" si="5"/>
        <v>162913</v>
      </c>
      <c r="T191" s="93">
        <v>190.0</v>
      </c>
      <c r="U191" s="93" t="s">
        <v>82</v>
      </c>
      <c r="V191" s="12"/>
      <c r="W191" s="12"/>
      <c r="X191" s="12"/>
      <c r="Y191" s="12"/>
      <c r="Z191" s="12"/>
    </row>
    <row r="192">
      <c r="A192" s="93">
        <v>191.0</v>
      </c>
      <c r="B192" s="93">
        <v>4.202</v>
      </c>
      <c r="C192" s="93">
        <f t="shared" si="1"/>
        <v>1.0505</v>
      </c>
      <c r="D192" s="93">
        <f t="shared" si="2"/>
        <v>5.2525</v>
      </c>
      <c r="E192" s="93">
        <v>0.47</v>
      </c>
      <c r="F192" s="93"/>
      <c r="G192" s="93">
        <v>0.37</v>
      </c>
      <c r="H192" s="93"/>
      <c r="I192" s="93"/>
      <c r="J192" s="93"/>
      <c r="K192" s="93"/>
      <c r="L192" s="190">
        <f>E192*Prices!B$2</f>
        <v>51700</v>
      </c>
      <c r="M192" s="190">
        <f>F192*Prices!C$2</f>
        <v>0</v>
      </c>
      <c r="N192" s="190">
        <f>G192*Prices!D$2</f>
        <v>72150</v>
      </c>
      <c r="O192" s="190">
        <f>H192*Prices!E$2</f>
        <v>0</v>
      </c>
      <c r="P192" s="190">
        <f t="shared" si="6"/>
        <v>0</v>
      </c>
      <c r="Q192" s="190">
        <f>D192*Prices!A$2</f>
        <v>93757.125</v>
      </c>
      <c r="R192" s="191">
        <f t="shared" si="4"/>
        <v>123850</v>
      </c>
      <c r="S192" s="190">
        <f t="shared" si="5"/>
        <v>217607.125</v>
      </c>
      <c r="T192" s="93">
        <v>191.0</v>
      </c>
      <c r="U192" s="93" t="s">
        <v>82</v>
      </c>
      <c r="V192" s="12"/>
      <c r="W192" s="12"/>
      <c r="X192" s="12"/>
      <c r="Y192" s="12"/>
      <c r="Z192" s="12"/>
    </row>
    <row r="193">
      <c r="A193" s="93">
        <v>192.0</v>
      </c>
      <c r="B193" s="93">
        <v>3.438</v>
      </c>
      <c r="C193" s="93">
        <f t="shared" si="1"/>
        <v>0.8595</v>
      </c>
      <c r="D193" s="93">
        <f t="shared" si="2"/>
        <v>4.2975</v>
      </c>
      <c r="E193" s="93">
        <v>0.26</v>
      </c>
      <c r="F193" s="93"/>
      <c r="G193" s="93"/>
      <c r="H193" s="93"/>
      <c r="I193" s="93"/>
      <c r="J193" s="93"/>
      <c r="K193" s="93"/>
      <c r="L193" s="190">
        <f>E193*Prices!B$2</f>
        <v>28600</v>
      </c>
      <c r="M193" s="190">
        <f>F193*Prices!C$2</f>
        <v>0</v>
      </c>
      <c r="N193" s="190">
        <f>G193*Prices!D$2</f>
        <v>0</v>
      </c>
      <c r="O193" s="190">
        <f>H193*Prices!E$2</f>
        <v>0</v>
      </c>
      <c r="P193" s="190">
        <f t="shared" si="6"/>
        <v>0</v>
      </c>
      <c r="Q193" s="190">
        <f>D193*Prices!A$2</f>
        <v>76710.375</v>
      </c>
      <c r="R193" s="191">
        <f t="shared" si="4"/>
        <v>28600</v>
      </c>
      <c r="S193" s="190">
        <f t="shared" si="5"/>
        <v>105310.375</v>
      </c>
      <c r="T193" s="93">
        <v>192.0</v>
      </c>
      <c r="U193" s="93" t="s">
        <v>80</v>
      </c>
      <c r="V193" s="12" t="s">
        <v>81</v>
      </c>
      <c r="W193" s="12"/>
      <c r="X193" s="12"/>
      <c r="Y193" s="12"/>
      <c r="Z193" s="12"/>
    </row>
    <row r="194">
      <c r="A194" s="93">
        <v>193.0</v>
      </c>
      <c r="B194" s="93">
        <v>3.05</v>
      </c>
      <c r="C194" s="93">
        <f t="shared" si="1"/>
        <v>0.7625</v>
      </c>
      <c r="D194" s="93">
        <f t="shared" si="2"/>
        <v>3.8125</v>
      </c>
      <c r="E194" s="93">
        <v>0.25</v>
      </c>
      <c r="F194" s="93"/>
      <c r="G194" s="93"/>
      <c r="H194" s="93"/>
      <c r="I194" s="93"/>
      <c r="J194" s="93"/>
      <c r="K194" s="93"/>
      <c r="L194" s="190">
        <f>E194*Prices!B$2</f>
        <v>27500</v>
      </c>
      <c r="M194" s="190">
        <f>F194*Prices!C$2</f>
        <v>0</v>
      </c>
      <c r="N194" s="190">
        <f>G194*Prices!D$2</f>
        <v>0</v>
      </c>
      <c r="O194" s="190">
        <f>H194*Prices!E$2</f>
        <v>0</v>
      </c>
      <c r="P194" s="190">
        <f t="shared" si="6"/>
        <v>0</v>
      </c>
      <c r="Q194" s="190">
        <f>D194*Prices!A$2</f>
        <v>68053.125</v>
      </c>
      <c r="R194" s="191">
        <f t="shared" si="4"/>
        <v>27500</v>
      </c>
      <c r="S194" s="190">
        <f t="shared" si="5"/>
        <v>95553.125</v>
      </c>
      <c r="T194" s="93">
        <v>193.0</v>
      </c>
      <c r="U194" s="93" t="s">
        <v>80</v>
      </c>
      <c r="V194" s="12" t="s">
        <v>81</v>
      </c>
      <c r="W194" s="12"/>
      <c r="X194" s="12"/>
      <c r="Y194" s="12"/>
      <c r="Z194" s="12"/>
    </row>
    <row r="195">
      <c r="A195" s="93">
        <v>194.0</v>
      </c>
      <c r="B195" s="93">
        <v>2.244</v>
      </c>
      <c r="C195" s="93">
        <f t="shared" si="1"/>
        <v>0.561</v>
      </c>
      <c r="D195" s="93">
        <f t="shared" si="2"/>
        <v>2.805</v>
      </c>
      <c r="E195" s="93">
        <v>0.17</v>
      </c>
      <c r="F195" s="93"/>
      <c r="G195" s="93"/>
      <c r="H195" s="93"/>
      <c r="I195" s="93"/>
      <c r="J195" s="93"/>
      <c r="K195" s="93">
        <v>0.41</v>
      </c>
      <c r="L195" s="190">
        <f>E195*Prices!B$2</f>
        <v>18700</v>
      </c>
      <c r="M195" s="190">
        <f>F195*Prices!C$2</f>
        <v>0</v>
      </c>
      <c r="N195" s="190">
        <f>G195*Prices!D$2</f>
        <v>0</v>
      </c>
      <c r="O195" s="190">
        <f>H195*Prices!E$2</f>
        <v>0</v>
      </c>
      <c r="P195" s="190">
        <f t="shared" si="6"/>
        <v>738</v>
      </c>
      <c r="Q195" s="190">
        <f>D195*Prices!A$2</f>
        <v>50069.25</v>
      </c>
      <c r="R195" s="191">
        <f t="shared" si="4"/>
        <v>18700</v>
      </c>
      <c r="S195" s="190">
        <f t="shared" si="5"/>
        <v>69507.25</v>
      </c>
      <c r="T195" s="93">
        <v>194.0</v>
      </c>
      <c r="U195" s="93" t="s">
        <v>80</v>
      </c>
      <c r="V195" s="12" t="s">
        <v>81</v>
      </c>
      <c r="W195" s="12"/>
      <c r="X195" s="12"/>
      <c r="Y195" s="12"/>
      <c r="Z195" s="12"/>
    </row>
    <row r="196">
      <c r="A196" s="93">
        <v>195.0</v>
      </c>
      <c r="B196" s="93">
        <v>2.248</v>
      </c>
      <c r="C196" s="93">
        <f t="shared" si="1"/>
        <v>0.562</v>
      </c>
      <c r="D196" s="93">
        <f t="shared" si="2"/>
        <v>2.81</v>
      </c>
      <c r="E196" s="93">
        <v>0.31</v>
      </c>
      <c r="F196" s="93"/>
      <c r="G196" s="93"/>
      <c r="H196" s="93"/>
      <c r="I196" s="93"/>
      <c r="J196" s="93"/>
      <c r="K196" s="93"/>
      <c r="L196" s="190">
        <f>E196*Prices!B$2</f>
        <v>34100</v>
      </c>
      <c r="M196" s="190">
        <f>F196*Prices!C$2</f>
        <v>0</v>
      </c>
      <c r="N196" s="190">
        <f>G196*Prices!D$2</f>
        <v>0</v>
      </c>
      <c r="O196" s="190">
        <f>H196*Prices!E$2</f>
        <v>0</v>
      </c>
      <c r="P196" s="190">
        <f t="shared" si="6"/>
        <v>0</v>
      </c>
      <c r="Q196" s="190">
        <f>D196*Prices!A$2</f>
        <v>50158.5</v>
      </c>
      <c r="R196" s="191">
        <f t="shared" si="4"/>
        <v>34100</v>
      </c>
      <c r="S196" s="190">
        <f t="shared" si="5"/>
        <v>84258.5</v>
      </c>
      <c r="T196" s="93">
        <v>195.0</v>
      </c>
      <c r="U196" s="93" t="s">
        <v>80</v>
      </c>
      <c r="V196" s="12" t="s">
        <v>81</v>
      </c>
      <c r="W196" s="12"/>
      <c r="X196" s="12"/>
      <c r="Y196" s="12"/>
      <c r="Z196" s="12"/>
    </row>
    <row r="197">
      <c r="A197" s="93">
        <v>196.0</v>
      </c>
      <c r="B197" s="93">
        <v>3.032</v>
      </c>
      <c r="C197" s="93">
        <f t="shared" si="1"/>
        <v>0.758</v>
      </c>
      <c r="D197" s="93">
        <f t="shared" si="2"/>
        <v>3.79</v>
      </c>
      <c r="E197" s="93">
        <v>0.24</v>
      </c>
      <c r="F197" s="93"/>
      <c r="G197" s="93"/>
      <c r="H197" s="93"/>
      <c r="I197" s="93"/>
      <c r="J197" s="93"/>
      <c r="K197" s="93"/>
      <c r="L197" s="190">
        <f>E197*Prices!B$2</f>
        <v>26400</v>
      </c>
      <c r="M197" s="190">
        <f>F197*Prices!C$2</f>
        <v>0</v>
      </c>
      <c r="N197" s="190">
        <f>G197*Prices!D$2</f>
        <v>0</v>
      </c>
      <c r="O197" s="190">
        <f>H197*Prices!E$2</f>
        <v>0</v>
      </c>
      <c r="P197" s="190">
        <f t="shared" si="6"/>
        <v>0</v>
      </c>
      <c r="Q197" s="190">
        <f>D197*Prices!A$2</f>
        <v>67651.5</v>
      </c>
      <c r="R197" s="191">
        <f t="shared" si="4"/>
        <v>26400</v>
      </c>
      <c r="S197" s="190">
        <f t="shared" si="5"/>
        <v>94051.5</v>
      </c>
      <c r="T197" s="93">
        <v>196.0</v>
      </c>
      <c r="U197" s="93" t="s">
        <v>80</v>
      </c>
      <c r="V197" s="12" t="s">
        <v>81</v>
      </c>
      <c r="W197" s="12"/>
      <c r="X197" s="12"/>
      <c r="Y197" s="12"/>
      <c r="Z197" s="12"/>
    </row>
    <row r="198">
      <c r="A198" s="93">
        <v>197.0</v>
      </c>
      <c r="B198" s="93">
        <v>3.644</v>
      </c>
      <c r="C198" s="93">
        <f t="shared" si="1"/>
        <v>0.911</v>
      </c>
      <c r="D198" s="93">
        <f t="shared" si="2"/>
        <v>4.555</v>
      </c>
      <c r="E198" s="93">
        <v>1.0</v>
      </c>
      <c r="F198" s="93">
        <v>0.08</v>
      </c>
      <c r="G198" s="93"/>
      <c r="H198" s="93"/>
      <c r="I198" s="93"/>
      <c r="J198" s="93"/>
      <c r="K198" s="93"/>
      <c r="L198" s="190">
        <f>E198*Prices!B$2</f>
        <v>110000</v>
      </c>
      <c r="M198" s="190">
        <f>F198*Prices!C$2</f>
        <v>12800</v>
      </c>
      <c r="N198" s="190">
        <f>G198*Prices!D$2</f>
        <v>0</v>
      </c>
      <c r="O198" s="190">
        <f>H198*Prices!E$2</f>
        <v>0</v>
      </c>
      <c r="P198" s="190">
        <f t="shared" si="6"/>
        <v>0</v>
      </c>
      <c r="Q198" s="190">
        <f>D198*Prices!A$2</f>
        <v>81306.75</v>
      </c>
      <c r="R198" s="191">
        <f t="shared" si="4"/>
        <v>122800</v>
      </c>
      <c r="S198" s="190">
        <f t="shared" si="5"/>
        <v>204106.75</v>
      </c>
      <c r="T198" s="93">
        <v>197.0</v>
      </c>
      <c r="U198" s="93" t="s">
        <v>80</v>
      </c>
      <c r="V198" s="12" t="s">
        <v>81</v>
      </c>
      <c r="W198" s="12"/>
      <c r="X198" s="12"/>
      <c r="Y198" s="12"/>
      <c r="Z198" s="12"/>
    </row>
    <row r="199">
      <c r="A199" s="93">
        <v>198.0</v>
      </c>
      <c r="B199" s="93">
        <v>3.21</v>
      </c>
      <c r="C199" s="93">
        <f t="shared" si="1"/>
        <v>0.8025</v>
      </c>
      <c r="D199" s="93">
        <f t="shared" si="2"/>
        <v>4.0125</v>
      </c>
      <c r="E199" s="93">
        <v>0.84</v>
      </c>
      <c r="F199" s="93"/>
      <c r="G199" s="93"/>
      <c r="H199" s="93"/>
      <c r="I199" s="93"/>
      <c r="J199" s="93"/>
      <c r="K199" s="93"/>
      <c r="L199" s="190">
        <f>E199*Prices!B$2</f>
        <v>92400</v>
      </c>
      <c r="M199" s="190">
        <f>F199*Prices!C$2</f>
        <v>0</v>
      </c>
      <c r="N199" s="190">
        <f>G199*Prices!D$2</f>
        <v>0</v>
      </c>
      <c r="O199" s="190">
        <f>H199*Prices!E$2</f>
        <v>0</v>
      </c>
      <c r="P199" s="190">
        <f t="shared" si="6"/>
        <v>0</v>
      </c>
      <c r="Q199" s="190">
        <f>D199*Prices!A$2</f>
        <v>71623.125</v>
      </c>
      <c r="R199" s="191">
        <f t="shared" si="4"/>
        <v>92400</v>
      </c>
      <c r="S199" s="190">
        <f t="shared" si="5"/>
        <v>164023.125</v>
      </c>
      <c r="T199" s="93">
        <v>198.0</v>
      </c>
      <c r="U199" s="93" t="s">
        <v>82</v>
      </c>
      <c r="V199" s="12"/>
      <c r="W199" s="12"/>
      <c r="X199" s="12"/>
      <c r="Y199" s="12"/>
      <c r="Z199" s="12"/>
    </row>
    <row r="200">
      <c r="A200" s="93">
        <v>199.0</v>
      </c>
      <c r="B200" s="93">
        <v>3.166</v>
      </c>
      <c r="C200" s="93">
        <f t="shared" si="1"/>
        <v>0.7915</v>
      </c>
      <c r="D200" s="93">
        <f t="shared" si="2"/>
        <v>3.9575</v>
      </c>
      <c r="E200" s="93">
        <v>0.89</v>
      </c>
      <c r="F200" s="93">
        <v>0.08</v>
      </c>
      <c r="G200" s="93"/>
      <c r="H200" s="93"/>
      <c r="I200" s="93"/>
      <c r="J200" s="93"/>
      <c r="K200" s="93"/>
      <c r="L200" s="190">
        <f>E200*Prices!B$2</f>
        <v>97900</v>
      </c>
      <c r="M200" s="190">
        <f>F200*Prices!C$2</f>
        <v>12800</v>
      </c>
      <c r="N200" s="190">
        <f>G200*Prices!D$2</f>
        <v>0</v>
      </c>
      <c r="O200" s="190">
        <f>H200*Prices!E$2</f>
        <v>0</v>
      </c>
      <c r="P200" s="190">
        <f t="shared" si="6"/>
        <v>0</v>
      </c>
      <c r="Q200" s="190">
        <f>D200*Prices!A$2</f>
        <v>70641.375</v>
      </c>
      <c r="R200" s="191">
        <f t="shared" si="4"/>
        <v>110700</v>
      </c>
      <c r="S200" s="190">
        <f t="shared" si="5"/>
        <v>181341.375</v>
      </c>
      <c r="T200" s="93">
        <v>199.0</v>
      </c>
      <c r="U200" s="93" t="s">
        <v>80</v>
      </c>
      <c r="V200" s="12" t="s">
        <v>81</v>
      </c>
      <c r="W200" s="12"/>
      <c r="X200" s="12"/>
      <c r="Y200" s="12"/>
      <c r="Z200" s="12"/>
    </row>
    <row r="201">
      <c r="A201" s="93">
        <v>200.0</v>
      </c>
      <c r="B201" s="93">
        <v>2.564</v>
      </c>
      <c r="C201" s="93">
        <f t="shared" si="1"/>
        <v>0.641</v>
      </c>
      <c r="D201" s="93">
        <f t="shared" si="2"/>
        <v>3.205</v>
      </c>
      <c r="E201" s="93">
        <v>0.23</v>
      </c>
      <c r="F201" s="93"/>
      <c r="G201" s="93"/>
      <c r="H201" s="93"/>
      <c r="I201" s="93"/>
      <c r="J201" s="93"/>
      <c r="K201" s="93"/>
      <c r="L201" s="190">
        <f>E201*Prices!B$2</f>
        <v>25300</v>
      </c>
      <c r="M201" s="190">
        <f>F201*Prices!C$2</f>
        <v>0</v>
      </c>
      <c r="N201" s="190">
        <f>G201*Prices!D$2</f>
        <v>0</v>
      </c>
      <c r="O201" s="190">
        <f>H201*Prices!E$2</f>
        <v>0</v>
      </c>
      <c r="P201" s="190">
        <f t="shared" si="6"/>
        <v>0</v>
      </c>
      <c r="Q201" s="190">
        <f>D201*Prices!A$2</f>
        <v>57209.25</v>
      </c>
      <c r="R201" s="191">
        <f t="shared" si="4"/>
        <v>25300</v>
      </c>
      <c r="S201" s="190">
        <f t="shared" si="5"/>
        <v>82509.25</v>
      </c>
      <c r="T201" s="93">
        <v>200.0</v>
      </c>
      <c r="U201" s="93" t="s">
        <v>82</v>
      </c>
      <c r="V201" s="12"/>
      <c r="W201" s="12"/>
      <c r="X201" s="12"/>
      <c r="Y201" s="12"/>
      <c r="Z201" s="12"/>
    </row>
    <row r="202">
      <c r="A202" s="93">
        <v>201.0</v>
      </c>
      <c r="B202" s="93">
        <v>2.322</v>
      </c>
      <c r="C202" s="93">
        <f t="shared" si="1"/>
        <v>0.5805</v>
      </c>
      <c r="D202" s="93">
        <f t="shared" si="2"/>
        <v>2.9025</v>
      </c>
      <c r="E202" s="93">
        <v>0.34</v>
      </c>
      <c r="F202" s="93"/>
      <c r="G202" s="93"/>
      <c r="H202" s="93"/>
      <c r="I202" s="93"/>
      <c r="J202" s="93"/>
      <c r="K202" s="93"/>
      <c r="L202" s="190">
        <f>E202*Prices!B$2</f>
        <v>37400</v>
      </c>
      <c r="M202" s="190">
        <f>F202*Prices!C$2</f>
        <v>0</v>
      </c>
      <c r="N202" s="190">
        <f>G202*Prices!D$2</f>
        <v>0</v>
      </c>
      <c r="O202" s="190">
        <f>H202*Prices!E$2</f>
        <v>0</v>
      </c>
      <c r="P202" s="190">
        <f t="shared" si="6"/>
        <v>0</v>
      </c>
      <c r="Q202" s="190">
        <f>D202*Prices!A$2</f>
        <v>51809.625</v>
      </c>
      <c r="R202" s="191">
        <f t="shared" si="4"/>
        <v>37400</v>
      </c>
      <c r="S202" s="190">
        <f t="shared" si="5"/>
        <v>89209.625</v>
      </c>
      <c r="T202" s="93">
        <v>201.0</v>
      </c>
      <c r="U202" s="93" t="s">
        <v>80</v>
      </c>
      <c r="V202" s="12" t="s">
        <v>81</v>
      </c>
      <c r="W202" s="12"/>
      <c r="X202" s="12"/>
      <c r="Y202" s="12"/>
      <c r="Z202" s="12"/>
    </row>
    <row r="203">
      <c r="A203" s="93">
        <v>202.0</v>
      </c>
      <c r="B203" s="93">
        <v>7.434</v>
      </c>
      <c r="C203" s="93">
        <f t="shared" si="1"/>
        <v>1.8585</v>
      </c>
      <c r="D203" s="93">
        <f t="shared" si="2"/>
        <v>9.2925</v>
      </c>
      <c r="E203" s="93">
        <v>1.58</v>
      </c>
      <c r="F203" s="93"/>
      <c r="G203" s="93"/>
      <c r="H203" s="93"/>
      <c r="I203" s="93"/>
      <c r="J203" s="93"/>
      <c r="K203" s="93"/>
      <c r="L203" s="190">
        <f>E203*Prices!B$2</f>
        <v>173800</v>
      </c>
      <c r="M203" s="190">
        <f>F203*Prices!C$2</f>
        <v>0</v>
      </c>
      <c r="N203" s="190">
        <f>G203*Prices!D$2</f>
        <v>0</v>
      </c>
      <c r="O203" s="190">
        <f>H203*Prices!E$2</f>
        <v>0</v>
      </c>
      <c r="P203" s="190">
        <f t="shared" si="6"/>
        <v>0</v>
      </c>
      <c r="Q203" s="190">
        <f>D203*Prices!A$2</f>
        <v>165871.125</v>
      </c>
      <c r="R203" s="191">
        <f t="shared" si="4"/>
        <v>173800</v>
      </c>
      <c r="S203" s="190">
        <f t="shared" si="5"/>
        <v>339671.125</v>
      </c>
      <c r="T203" s="93">
        <v>202.0</v>
      </c>
      <c r="U203" s="93" t="s">
        <v>80</v>
      </c>
      <c r="V203" s="12" t="s">
        <v>81</v>
      </c>
      <c r="W203" s="12"/>
      <c r="X203" s="12"/>
      <c r="Y203" s="12"/>
      <c r="Z203" s="12"/>
    </row>
    <row r="204">
      <c r="A204" s="93">
        <v>203.0</v>
      </c>
      <c r="B204" s="93">
        <v>3.588</v>
      </c>
      <c r="C204" s="93">
        <f t="shared" si="1"/>
        <v>0.897</v>
      </c>
      <c r="D204" s="93">
        <f t="shared" si="2"/>
        <v>4.485</v>
      </c>
      <c r="E204" s="93">
        <v>0.41</v>
      </c>
      <c r="F204" s="93"/>
      <c r="G204" s="93"/>
      <c r="H204" s="93"/>
      <c r="I204" s="93"/>
      <c r="J204" s="93"/>
      <c r="K204" s="93"/>
      <c r="L204" s="190">
        <f>E204*Prices!B$2</f>
        <v>45100</v>
      </c>
      <c r="M204" s="190">
        <f>F204*Prices!C$2</f>
        <v>0</v>
      </c>
      <c r="N204" s="190">
        <f>G204*Prices!D$2</f>
        <v>0</v>
      </c>
      <c r="O204" s="190">
        <f>H204*Prices!E$2</f>
        <v>0</v>
      </c>
      <c r="P204" s="190">
        <f t="shared" si="6"/>
        <v>0</v>
      </c>
      <c r="Q204" s="190">
        <f>D204*Prices!A$2</f>
        <v>80057.25</v>
      </c>
      <c r="R204" s="191">
        <f t="shared" si="4"/>
        <v>45100</v>
      </c>
      <c r="S204" s="190">
        <f t="shared" si="5"/>
        <v>125157.25</v>
      </c>
      <c r="T204" s="93">
        <v>203.0</v>
      </c>
      <c r="U204" s="93" t="s">
        <v>82</v>
      </c>
      <c r="V204" s="12"/>
      <c r="W204" s="12"/>
      <c r="X204" s="12"/>
      <c r="Y204" s="12"/>
      <c r="Z204" s="12"/>
    </row>
    <row r="205">
      <c r="A205" s="93">
        <v>204.0</v>
      </c>
      <c r="B205" s="93">
        <v>4.61</v>
      </c>
      <c r="C205" s="93">
        <f t="shared" si="1"/>
        <v>1.1525</v>
      </c>
      <c r="D205" s="93">
        <f t="shared" si="2"/>
        <v>5.7625</v>
      </c>
      <c r="E205" s="93">
        <v>1.1</v>
      </c>
      <c r="F205" s="93"/>
      <c r="G205" s="93"/>
      <c r="H205" s="93"/>
      <c r="I205" s="93"/>
      <c r="J205" s="93"/>
      <c r="K205" s="93"/>
      <c r="L205" s="190">
        <f>E205*Prices!B$2</f>
        <v>121000</v>
      </c>
      <c r="M205" s="190">
        <f>F205*Prices!C$2</f>
        <v>0</v>
      </c>
      <c r="N205" s="190">
        <f>G205*Prices!D$2</f>
        <v>0</v>
      </c>
      <c r="O205" s="190">
        <f>H205*Prices!E$2</f>
        <v>0</v>
      </c>
      <c r="P205" s="190">
        <f t="shared" si="6"/>
        <v>0</v>
      </c>
      <c r="Q205" s="190">
        <f>D205*Prices!A$2</f>
        <v>102860.625</v>
      </c>
      <c r="R205" s="191">
        <f t="shared" si="4"/>
        <v>121000</v>
      </c>
      <c r="S205" s="190">
        <f t="shared" si="5"/>
        <v>223860.625</v>
      </c>
      <c r="T205" s="93">
        <v>204.0</v>
      </c>
      <c r="U205" s="93" t="s">
        <v>82</v>
      </c>
      <c r="V205" s="12"/>
      <c r="W205" s="12"/>
      <c r="X205" s="12"/>
      <c r="Y205" s="12"/>
      <c r="Z205" s="12"/>
    </row>
    <row r="206">
      <c r="A206" s="93">
        <v>205.0</v>
      </c>
      <c r="B206" s="93">
        <v>2.03</v>
      </c>
      <c r="C206" s="93">
        <f t="shared" si="1"/>
        <v>0.5075</v>
      </c>
      <c r="D206" s="93">
        <f t="shared" si="2"/>
        <v>2.5375</v>
      </c>
      <c r="E206" s="93"/>
      <c r="F206" s="93"/>
      <c r="G206" s="93"/>
      <c r="H206" s="93">
        <v>0.2</v>
      </c>
      <c r="I206" s="93"/>
      <c r="J206" s="93"/>
      <c r="K206" s="93"/>
      <c r="L206" s="190">
        <f>E206*Prices!B$2</f>
        <v>0</v>
      </c>
      <c r="M206" s="190">
        <f>F206*Prices!C$2</f>
        <v>0</v>
      </c>
      <c r="N206" s="190">
        <f>G206*Prices!D$2</f>
        <v>0</v>
      </c>
      <c r="O206" s="190">
        <f>H206*150000</f>
        <v>30000</v>
      </c>
      <c r="P206" s="190">
        <f t="shared" si="6"/>
        <v>0</v>
      </c>
      <c r="Q206" s="190">
        <f>D206*Prices!A$2</f>
        <v>45294.375</v>
      </c>
      <c r="R206" s="191">
        <f t="shared" si="4"/>
        <v>30000</v>
      </c>
      <c r="S206" s="190">
        <f t="shared" si="5"/>
        <v>75294.375</v>
      </c>
      <c r="T206" s="93">
        <v>205.0</v>
      </c>
      <c r="U206" s="93" t="s">
        <v>80</v>
      </c>
      <c r="V206" s="12" t="s">
        <v>81</v>
      </c>
      <c r="W206" s="12"/>
      <c r="X206" s="12"/>
      <c r="Y206" s="12"/>
      <c r="Z206" s="12"/>
    </row>
    <row r="207">
      <c r="A207" s="93">
        <v>206.0</v>
      </c>
      <c r="B207" s="93">
        <v>2.558</v>
      </c>
      <c r="C207" s="93">
        <f t="shared" si="1"/>
        <v>0.6395</v>
      </c>
      <c r="D207" s="93">
        <f t="shared" si="2"/>
        <v>3.1975</v>
      </c>
      <c r="E207" s="93">
        <v>0.61</v>
      </c>
      <c r="F207" s="93"/>
      <c r="G207" s="93"/>
      <c r="H207" s="93"/>
      <c r="I207" s="93"/>
      <c r="J207" s="93"/>
      <c r="K207" s="93"/>
      <c r="L207" s="190">
        <f>E207*Prices!B$2</f>
        <v>67100</v>
      </c>
      <c r="M207" s="190">
        <f>F207*Prices!C$2</f>
        <v>0</v>
      </c>
      <c r="N207" s="190">
        <f>G207*Prices!D$2</f>
        <v>0</v>
      </c>
      <c r="O207" s="190">
        <f>H207*Prices!E$2</f>
        <v>0</v>
      </c>
      <c r="P207" s="190">
        <f t="shared" si="6"/>
        <v>0</v>
      </c>
      <c r="Q207" s="190">
        <f>D207*Prices!A$2</f>
        <v>57075.375</v>
      </c>
      <c r="R207" s="191">
        <f t="shared" si="4"/>
        <v>67100</v>
      </c>
      <c r="S207" s="190">
        <f t="shared" si="5"/>
        <v>124175.375</v>
      </c>
      <c r="T207" s="93">
        <v>206.0</v>
      </c>
      <c r="U207" s="93" t="s">
        <v>82</v>
      </c>
      <c r="V207" s="12"/>
      <c r="W207" s="12"/>
      <c r="X207" s="12"/>
      <c r="Y207" s="12"/>
      <c r="Z207" s="12"/>
    </row>
    <row r="208">
      <c r="A208" s="93">
        <v>207.0</v>
      </c>
      <c r="B208" s="93">
        <v>3.332</v>
      </c>
      <c r="C208" s="93">
        <f t="shared" si="1"/>
        <v>0.833</v>
      </c>
      <c r="D208" s="93">
        <f t="shared" si="2"/>
        <v>4.165</v>
      </c>
      <c r="E208" s="93">
        <v>0.89</v>
      </c>
      <c r="F208" s="93"/>
      <c r="G208" s="93"/>
      <c r="H208" s="93"/>
      <c r="I208" s="93"/>
      <c r="J208" s="93"/>
      <c r="K208" s="93"/>
      <c r="L208" s="190">
        <f>E208*Prices!B$2</f>
        <v>97900</v>
      </c>
      <c r="M208" s="190">
        <f>F208*Prices!C$2</f>
        <v>0</v>
      </c>
      <c r="N208" s="190">
        <f>G208*Prices!D$2</f>
        <v>0</v>
      </c>
      <c r="O208" s="190">
        <f>H208*Prices!E$2</f>
        <v>0</v>
      </c>
      <c r="P208" s="190">
        <f t="shared" si="6"/>
        <v>0</v>
      </c>
      <c r="Q208" s="190">
        <f>D208*Prices!A$2</f>
        <v>74345.25</v>
      </c>
      <c r="R208" s="191">
        <f t="shared" si="4"/>
        <v>97900</v>
      </c>
      <c r="S208" s="190">
        <f t="shared" si="5"/>
        <v>172245.25</v>
      </c>
      <c r="T208" s="93">
        <v>207.0</v>
      </c>
      <c r="U208" s="93" t="s">
        <v>80</v>
      </c>
      <c r="V208" s="12" t="s">
        <v>81</v>
      </c>
      <c r="W208" s="12"/>
      <c r="X208" s="12"/>
      <c r="Y208" s="12"/>
      <c r="Z208" s="12"/>
    </row>
    <row r="209">
      <c r="A209" s="93">
        <v>208.0</v>
      </c>
      <c r="B209" s="93">
        <v>3.3</v>
      </c>
      <c r="C209" s="93">
        <f t="shared" si="1"/>
        <v>0.825</v>
      </c>
      <c r="D209" s="93">
        <f t="shared" si="2"/>
        <v>4.125</v>
      </c>
      <c r="E209" s="93">
        <v>0.96</v>
      </c>
      <c r="F209" s="93"/>
      <c r="G209" s="93"/>
      <c r="H209" s="93"/>
      <c r="I209" s="93"/>
      <c r="J209" s="93"/>
      <c r="K209" s="93"/>
      <c r="L209" s="190">
        <f>E209*Prices!B$2</f>
        <v>105600</v>
      </c>
      <c r="M209" s="190">
        <f>F209*Prices!C$2</f>
        <v>0</v>
      </c>
      <c r="N209" s="190">
        <f>G209*Prices!D$2</f>
        <v>0</v>
      </c>
      <c r="O209" s="190">
        <f>H209*Prices!E$2</f>
        <v>0</v>
      </c>
      <c r="P209" s="190">
        <f t="shared" si="6"/>
        <v>0</v>
      </c>
      <c r="Q209" s="190">
        <f>D209*Prices!A$2</f>
        <v>73631.25</v>
      </c>
      <c r="R209" s="191">
        <f t="shared" si="4"/>
        <v>105600</v>
      </c>
      <c r="S209" s="190">
        <f t="shared" si="5"/>
        <v>179231.25</v>
      </c>
      <c r="T209" s="93">
        <v>208.0</v>
      </c>
      <c r="U209" s="93" t="s">
        <v>80</v>
      </c>
      <c r="V209" s="12" t="s">
        <v>81</v>
      </c>
      <c r="W209" s="12"/>
      <c r="X209" s="12"/>
      <c r="Y209" s="12"/>
      <c r="Z209" s="12"/>
    </row>
    <row r="210">
      <c r="A210" s="93">
        <v>209.0</v>
      </c>
      <c r="B210" s="93">
        <v>3.292</v>
      </c>
      <c r="C210" s="93">
        <f t="shared" si="1"/>
        <v>0.823</v>
      </c>
      <c r="D210" s="93">
        <f t="shared" si="2"/>
        <v>4.115</v>
      </c>
      <c r="E210" s="93">
        <v>0.39</v>
      </c>
      <c r="F210" s="93"/>
      <c r="G210" s="93"/>
      <c r="H210" s="93"/>
      <c r="I210" s="93"/>
      <c r="J210" s="93"/>
      <c r="K210" s="93"/>
      <c r="L210" s="190">
        <f>E210*Prices!B$2</f>
        <v>42900</v>
      </c>
      <c r="M210" s="190">
        <f>F210*Prices!C$2</f>
        <v>0</v>
      </c>
      <c r="N210" s="190">
        <f>G210*Prices!D$2</f>
        <v>0</v>
      </c>
      <c r="O210" s="190">
        <f>H210*Prices!E$2</f>
        <v>0</v>
      </c>
      <c r="P210" s="190">
        <f t="shared" si="6"/>
        <v>0</v>
      </c>
      <c r="Q210" s="190">
        <f>D210*Prices!A$2</f>
        <v>73452.75</v>
      </c>
      <c r="R210" s="191">
        <f t="shared" si="4"/>
        <v>42900</v>
      </c>
      <c r="S210" s="190">
        <f t="shared" si="5"/>
        <v>116352.75</v>
      </c>
      <c r="T210" s="93">
        <v>209.0</v>
      </c>
      <c r="U210" s="93" t="s">
        <v>80</v>
      </c>
      <c r="V210" s="12" t="s">
        <v>81</v>
      </c>
      <c r="W210" s="12"/>
      <c r="X210" s="12"/>
      <c r="Y210" s="12"/>
      <c r="Z210" s="12"/>
    </row>
    <row r="211">
      <c r="A211" s="93">
        <v>210.0</v>
      </c>
      <c r="B211" s="93">
        <v>2.94</v>
      </c>
      <c r="C211" s="93">
        <f t="shared" si="1"/>
        <v>0.735</v>
      </c>
      <c r="D211" s="93">
        <f t="shared" si="2"/>
        <v>3.675</v>
      </c>
      <c r="E211" s="93">
        <v>0.35</v>
      </c>
      <c r="F211" s="93"/>
      <c r="G211" s="93"/>
      <c r="H211" s="93"/>
      <c r="I211" s="93"/>
      <c r="J211" s="93"/>
      <c r="K211" s="93"/>
      <c r="L211" s="190">
        <f>E211*Prices!B$2</f>
        <v>38500</v>
      </c>
      <c r="M211" s="190">
        <f>F211*Prices!C$2</f>
        <v>0</v>
      </c>
      <c r="N211" s="190">
        <f>G211*Prices!D$2</f>
        <v>0</v>
      </c>
      <c r="O211" s="190">
        <f>H211*Prices!E$2</f>
        <v>0</v>
      </c>
      <c r="P211" s="190">
        <f t="shared" si="6"/>
        <v>0</v>
      </c>
      <c r="Q211" s="190">
        <f>D211*Prices!A$2</f>
        <v>65598.75</v>
      </c>
      <c r="R211" s="191">
        <f t="shared" si="4"/>
        <v>38500</v>
      </c>
      <c r="S211" s="190">
        <f t="shared" si="5"/>
        <v>104098.75</v>
      </c>
      <c r="T211" s="93">
        <v>210.0</v>
      </c>
      <c r="U211" s="93" t="s">
        <v>82</v>
      </c>
      <c r="V211" s="12"/>
      <c r="W211" s="12"/>
      <c r="X211" s="12"/>
      <c r="Y211" s="12"/>
      <c r="Z211" s="12"/>
    </row>
    <row r="212">
      <c r="A212" s="93">
        <v>211.0</v>
      </c>
      <c r="B212" s="93">
        <v>2.71</v>
      </c>
      <c r="C212" s="93">
        <f t="shared" si="1"/>
        <v>0.6775</v>
      </c>
      <c r="D212" s="93">
        <f t="shared" si="2"/>
        <v>3.3875</v>
      </c>
      <c r="E212" s="93">
        <v>0.35</v>
      </c>
      <c r="F212" s="93"/>
      <c r="G212" s="93"/>
      <c r="H212" s="93"/>
      <c r="I212" s="93"/>
      <c r="J212" s="93"/>
      <c r="K212" s="93"/>
      <c r="L212" s="190">
        <f>E212*Prices!B$2</f>
        <v>38500</v>
      </c>
      <c r="M212" s="190">
        <f>F212*Prices!C$2</f>
        <v>0</v>
      </c>
      <c r="N212" s="190">
        <f>G212*Prices!D$2</f>
        <v>0</v>
      </c>
      <c r="O212" s="190">
        <f>H212*Prices!E$2</f>
        <v>0</v>
      </c>
      <c r="P212" s="190">
        <f t="shared" si="6"/>
        <v>0</v>
      </c>
      <c r="Q212" s="190">
        <f>D212*Prices!A$2</f>
        <v>60466.875</v>
      </c>
      <c r="R212" s="191">
        <f t="shared" si="4"/>
        <v>38500</v>
      </c>
      <c r="S212" s="190">
        <f t="shared" si="5"/>
        <v>98966.875</v>
      </c>
      <c r="T212" s="93">
        <v>211.0</v>
      </c>
      <c r="U212" s="93" t="s">
        <v>82</v>
      </c>
      <c r="V212" s="12"/>
      <c r="W212" s="12"/>
      <c r="X212" s="12"/>
      <c r="Y212" s="12"/>
      <c r="Z212" s="12"/>
    </row>
    <row r="213">
      <c r="A213" s="93">
        <v>212.0</v>
      </c>
      <c r="B213" s="93">
        <v>1.42</v>
      </c>
      <c r="C213" s="93">
        <f t="shared" si="1"/>
        <v>0.355</v>
      </c>
      <c r="D213" s="93">
        <f t="shared" si="2"/>
        <v>1.775</v>
      </c>
      <c r="E213" s="93"/>
      <c r="F213" s="93"/>
      <c r="G213" s="93"/>
      <c r="H213" s="93">
        <v>0.2</v>
      </c>
      <c r="I213" s="93"/>
      <c r="J213" s="93"/>
      <c r="K213" s="93"/>
      <c r="L213" s="190">
        <f>E213*Prices!B$2</f>
        <v>0</v>
      </c>
      <c r="M213" s="190">
        <f>F213*Prices!C$2</f>
        <v>0</v>
      </c>
      <c r="N213" s="190">
        <f>G213*Prices!D$2</f>
        <v>0</v>
      </c>
      <c r="O213" s="190">
        <f>H213*160000</f>
        <v>32000</v>
      </c>
      <c r="P213" s="190">
        <f t="shared" si="6"/>
        <v>0</v>
      </c>
      <c r="Q213" s="190">
        <f>D213*Prices!A$2</f>
        <v>31683.75</v>
      </c>
      <c r="R213" s="191">
        <f t="shared" si="4"/>
        <v>32000</v>
      </c>
      <c r="S213" s="190">
        <f t="shared" si="5"/>
        <v>63683.75</v>
      </c>
      <c r="T213" s="93">
        <v>212.0</v>
      </c>
      <c r="U213" s="93" t="s">
        <v>80</v>
      </c>
      <c r="V213" s="12" t="s">
        <v>81</v>
      </c>
      <c r="W213" s="12"/>
      <c r="X213" s="12"/>
      <c r="Y213" s="12"/>
      <c r="Z213" s="12"/>
    </row>
    <row r="214">
      <c r="A214" s="93">
        <v>213.0</v>
      </c>
      <c r="B214" s="93">
        <v>1.872</v>
      </c>
      <c r="C214" s="93">
        <f t="shared" si="1"/>
        <v>0.468</v>
      </c>
      <c r="D214" s="93">
        <f t="shared" si="2"/>
        <v>2.34</v>
      </c>
      <c r="E214" s="93"/>
      <c r="F214" s="93">
        <v>0.44</v>
      </c>
      <c r="G214" s="93"/>
      <c r="H214" s="93"/>
      <c r="I214" s="93"/>
      <c r="J214" s="93"/>
      <c r="K214" s="93"/>
      <c r="L214" s="190">
        <f>E214*Prices!B$2</f>
        <v>0</v>
      </c>
      <c r="M214" s="190">
        <f>F214*Prices!C$2</f>
        <v>70400</v>
      </c>
      <c r="N214" s="190">
        <f>G214*Prices!D$2</f>
        <v>0</v>
      </c>
      <c r="O214" s="190">
        <f>H214*Prices!E$2</f>
        <v>0</v>
      </c>
      <c r="P214" s="190">
        <f t="shared" si="6"/>
        <v>0</v>
      </c>
      <c r="Q214" s="190">
        <f>D214*Prices!A$2</f>
        <v>41769</v>
      </c>
      <c r="R214" s="191">
        <f t="shared" si="4"/>
        <v>70400</v>
      </c>
      <c r="S214" s="190">
        <f t="shared" si="5"/>
        <v>112169</v>
      </c>
      <c r="T214" s="93">
        <v>213.0</v>
      </c>
      <c r="U214" s="93" t="s">
        <v>80</v>
      </c>
      <c r="V214" s="12" t="s">
        <v>81</v>
      </c>
      <c r="W214" s="12"/>
      <c r="X214" s="12"/>
      <c r="Y214" s="12"/>
      <c r="Z214" s="12"/>
    </row>
    <row r="215">
      <c r="A215" s="93">
        <v>214.0</v>
      </c>
      <c r="B215" s="93">
        <v>2.52</v>
      </c>
      <c r="C215" s="93">
        <f t="shared" si="1"/>
        <v>0.63</v>
      </c>
      <c r="D215" s="93">
        <f t="shared" si="2"/>
        <v>3.15</v>
      </c>
      <c r="E215" s="93">
        <v>0.35</v>
      </c>
      <c r="F215" s="93"/>
      <c r="G215" s="93"/>
      <c r="H215" s="93"/>
      <c r="I215" s="93"/>
      <c r="J215" s="93"/>
      <c r="K215" s="93"/>
      <c r="L215" s="190">
        <f>E215*Prices!B$2</f>
        <v>38500</v>
      </c>
      <c r="M215" s="190">
        <f>F215*Prices!C$2</f>
        <v>0</v>
      </c>
      <c r="N215" s="190">
        <f>G215*Prices!D$2</f>
        <v>0</v>
      </c>
      <c r="O215" s="190">
        <f>H215*Prices!E$2</f>
        <v>0</v>
      </c>
      <c r="P215" s="190">
        <f t="shared" si="6"/>
        <v>0</v>
      </c>
      <c r="Q215" s="190">
        <f>D215*Prices!A$2</f>
        <v>56227.5</v>
      </c>
      <c r="R215" s="191">
        <f t="shared" si="4"/>
        <v>38500</v>
      </c>
      <c r="S215" s="190">
        <f t="shared" si="5"/>
        <v>94727.5</v>
      </c>
      <c r="T215" s="93">
        <v>214.0</v>
      </c>
      <c r="U215" s="93" t="s">
        <v>82</v>
      </c>
      <c r="V215" s="12"/>
      <c r="W215" s="12"/>
      <c r="X215" s="12"/>
      <c r="Y215" s="12"/>
      <c r="Z215" s="12"/>
    </row>
    <row r="216">
      <c r="A216" s="93">
        <v>215.0</v>
      </c>
      <c r="B216" s="93">
        <v>4.22</v>
      </c>
      <c r="C216" s="93">
        <f t="shared" si="1"/>
        <v>1.055</v>
      </c>
      <c r="D216" s="93">
        <f t="shared" si="2"/>
        <v>5.275</v>
      </c>
      <c r="E216" s="93">
        <v>1.06</v>
      </c>
      <c r="F216" s="93"/>
      <c r="G216" s="93"/>
      <c r="H216" s="93"/>
      <c r="I216" s="93"/>
      <c r="J216" s="93"/>
      <c r="K216" s="93"/>
      <c r="L216" s="190">
        <f>E216*Prices!B$2</f>
        <v>116600</v>
      </c>
      <c r="M216" s="190">
        <f>F216*Prices!C$2</f>
        <v>0</v>
      </c>
      <c r="N216" s="190">
        <f>G216*Prices!D$2</f>
        <v>0</v>
      </c>
      <c r="O216" s="190">
        <f>H216*Prices!E$2</f>
        <v>0</v>
      </c>
      <c r="P216" s="190">
        <f t="shared" si="6"/>
        <v>0</v>
      </c>
      <c r="Q216" s="190">
        <f>D216*Prices!A$2</f>
        <v>94158.75</v>
      </c>
      <c r="R216" s="191">
        <f t="shared" si="4"/>
        <v>116600</v>
      </c>
      <c r="S216" s="190">
        <f t="shared" si="5"/>
        <v>210758.75</v>
      </c>
      <c r="T216" s="93">
        <v>215.0</v>
      </c>
      <c r="U216" s="93" t="s">
        <v>82</v>
      </c>
      <c r="V216" s="12"/>
      <c r="W216" s="12"/>
      <c r="X216" s="12"/>
      <c r="Y216" s="12"/>
      <c r="Z216" s="12"/>
    </row>
    <row r="217">
      <c r="A217" s="93">
        <v>216.0</v>
      </c>
      <c r="B217" s="93">
        <v>10.93</v>
      </c>
      <c r="C217" s="93">
        <f t="shared" si="1"/>
        <v>2.7325</v>
      </c>
      <c r="D217" s="93">
        <f t="shared" si="2"/>
        <v>13.6625</v>
      </c>
      <c r="E217" s="93">
        <v>2.6</v>
      </c>
      <c r="F217" s="93"/>
      <c r="G217" s="93"/>
      <c r="H217" s="93"/>
      <c r="I217" s="93"/>
      <c r="J217" s="93"/>
      <c r="K217" s="93"/>
      <c r="L217" s="190">
        <f>E217*Prices!B$2</f>
        <v>286000</v>
      </c>
      <c r="M217" s="190">
        <f>F217*Prices!C$2</f>
        <v>0</v>
      </c>
      <c r="N217" s="190">
        <f>G217*Prices!D$2</f>
        <v>0</v>
      </c>
      <c r="O217" s="190">
        <f>H217*Prices!E$2</f>
        <v>0</v>
      </c>
      <c r="P217" s="190">
        <f t="shared" si="6"/>
        <v>0</v>
      </c>
      <c r="Q217" s="190">
        <f>D217*Prices!A$2</f>
        <v>243875.625</v>
      </c>
      <c r="R217" s="191">
        <f t="shared" si="4"/>
        <v>286000</v>
      </c>
      <c r="S217" s="190">
        <f t="shared" si="5"/>
        <v>529875.625</v>
      </c>
      <c r="T217" s="93">
        <v>216.0</v>
      </c>
      <c r="U217" s="93" t="s">
        <v>80</v>
      </c>
      <c r="V217" s="12" t="s">
        <v>81</v>
      </c>
      <c r="W217" s="12"/>
      <c r="X217" s="12"/>
      <c r="Y217" s="12"/>
      <c r="Z217" s="12"/>
    </row>
    <row r="218">
      <c r="A218" s="93">
        <v>217.0</v>
      </c>
      <c r="B218" s="93">
        <v>4.14</v>
      </c>
      <c r="C218" s="93">
        <f t="shared" si="1"/>
        <v>1.035</v>
      </c>
      <c r="D218" s="93">
        <f t="shared" si="2"/>
        <v>5.175</v>
      </c>
      <c r="E218" s="93">
        <v>0.6</v>
      </c>
      <c r="F218" s="93"/>
      <c r="G218" s="93"/>
      <c r="H218" s="93"/>
      <c r="I218" s="93"/>
      <c r="J218" s="93"/>
      <c r="K218" s="93"/>
      <c r="L218" s="190">
        <f>E218*Prices!B$2</f>
        <v>66000</v>
      </c>
      <c r="M218" s="190">
        <f>F218*Prices!C$2</f>
        <v>0</v>
      </c>
      <c r="N218" s="190">
        <f>G218*Prices!D$2</f>
        <v>0</v>
      </c>
      <c r="O218" s="190">
        <f>H218*Prices!E$2</f>
        <v>0</v>
      </c>
      <c r="P218" s="190">
        <f t="shared" si="6"/>
        <v>0</v>
      </c>
      <c r="Q218" s="190">
        <f>D218*Prices!A$2</f>
        <v>92373.75</v>
      </c>
      <c r="R218" s="191">
        <f t="shared" si="4"/>
        <v>66000</v>
      </c>
      <c r="S218" s="190">
        <f t="shared" si="5"/>
        <v>158373.75</v>
      </c>
      <c r="T218" s="93">
        <v>217.0</v>
      </c>
      <c r="U218" s="93" t="s">
        <v>80</v>
      </c>
      <c r="V218" s="12" t="s">
        <v>81</v>
      </c>
      <c r="W218" s="12"/>
      <c r="X218" s="12"/>
      <c r="Y218" s="12"/>
      <c r="Z218" s="12"/>
    </row>
    <row r="219">
      <c r="A219" s="93">
        <v>218.0</v>
      </c>
      <c r="B219" s="93">
        <v>8.164</v>
      </c>
      <c r="C219" s="93">
        <f t="shared" si="1"/>
        <v>2.041</v>
      </c>
      <c r="D219" s="93">
        <f t="shared" si="2"/>
        <v>10.205</v>
      </c>
      <c r="E219" s="93"/>
      <c r="F219" s="93">
        <v>2.14</v>
      </c>
      <c r="G219" s="93"/>
      <c r="H219" s="93"/>
      <c r="I219" s="93"/>
      <c r="J219" s="93"/>
      <c r="K219" s="93">
        <v>11.14</v>
      </c>
      <c r="L219" s="190">
        <f>E219*Prices!B$2</f>
        <v>0</v>
      </c>
      <c r="M219" s="190">
        <f>F219*Prices!C$2</f>
        <v>342400</v>
      </c>
      <c r="N219" s="190">
        <f>G219*Prices!D$2</f>
        <v>0</v>
      </c>
      <c r="O219" s="190">
        <f>H219*Prices!E$2</f>
        <v>0</v>
      </c>
      <c r="P219" s="190">
        <f t="shared" si="6"/>
        <v>20052</v>
      </c>
      <c r="Q219" s="190">
        <f>D219*Prices!A$2</f>
        <v>182159.25</v>
      </c>
      <c r="R219" s="191">
        <f t="shared" si="4"/>
        <v>342400</v>
      </c>
      <c r="S219" s="190">
        <f t="shared" si="5"/>
        <v>544611.25</v>
      </c>
      <c r="T219" s="93">
        <v>218.0</v>
      </c>
      <c r="U219" s="93" t="s">
        <v>82</v>
      </c>
      <c r="V219" s="12"/>
      <c r="W219" s="12"/>
      <c r="X219" s="12"/>
      <c r="Y219" s="12"/>
      <c r="Z219" s="12"/>
    </row>
    <row r="220">
      <c r="A220" s="93">
        <v>219.0</v>
      </c>
      <c r="B220" s="93">
        <v>4.302</v>
      </c>
      <c r="C220" s="93">
        <f t="shared" si="1"/>
        <v>1.0755</v>
      </c>
      <c r="D220" s="93">
        <f t="shared" si="2"/>
        <v>5.3775</v>
      </c>
      <c r="E220" s="93">
        <v>0.62</v>
      </c>
      <c r="F220" s="93"/>
      <c r="G220" s="93"/>
      <c r="H220" s="93"/>
      <c r="I220" s="93"/>
      <c r="J220" s="93">
        <v>0.97</v>
      </c>
      <c r="K220" s="93"/>
      <c r="L220" s="190">
        <f>E220*Prices!B$2</f>
        <v>68200</v>
      </c>
      <c r="M220" s="190">
        <f>F220*Prices!C$2</f>
        <v>0</v>
      </c>
      <c r="N220" s="190">
        <f>G220*Prices!D$2</f>
        <v>0</v>
      </c>
      <c r="O220" s="190">
        <f>H220*Prices!E$2</f>
        <v>0</v>
      </c>
      <c r="P220" s="190">
        <f t="shared" si="6"/>
        <v>9700</v>
      </c>
      <c r="Q220" s="190">
        <f>D220*Prices!A$2</f>
        <v>95988.375</v>
      </c>
      <c r="R220" s="191">
        <f t="shared" si="4"/>
        <v>68200</v>
      </c>
      <c r="S220" s="190">
        <f t="shared" si="5"/>
        <v>173888.375</v>
      </c>
      <c r="T220" s="93">
        <v>219.0</v>
      </c>
      <c r="U220" s="93" t="s">
        <v>82</v>
      </c>
      <c r="V220" s="12"/>
      <c r="W220" s="12"/>
      <c r="X220" s="12"/>
      <c r="Y220" s="12"/>
      <c r="Z220" s="12"/>
    </row>
    <row r="221">
      <c r="A221" s="93">
        <v>220.0</v>
      </c>
      <c r="B221" s="93">
        <v>8.996</v>
      </c>
      <c r="C221" s="93">
        <f t="shared" si="1"/>
        <v>2.249</v>
      </c>
      <c r="D221" s="93">
        <f t="shared" si="2"/>
        <v>11.245</v>
      </c>
      <c r="E221" s="93">
        <v>1.42</v>
      </c>
      <c r="F221" s="93"/>
      <c r="G221" s="93"/>
      <c r="H221" s="93"/>
      <c r="I221" s="93"/>
      <c r="J221" s="93"/>
      <c r="K221" s="93"/>
      <c r="L221" s="190">
        <f>E221*Prices!B$2</f>
        <v>156200</v>
      </c>
      <c r="M221" s="190">
        <f>F221*Prices!C$2</f>
        <v>0</v>
      </c>
      <c r="N221" s="190">
        <f>G221*Prices!D$2</f>
        <v>0</v>
      </c>
      <c r="O221" s="190">
        <f>H221*Prices!E$2</f>
        <v>0</v>
      </c>
      <c r="P221" s="190">
        <f t="shared" si="6"/>
        <v>0</v>
      </c>
      <c r="Q221" s="190">
        <f>D221*Prices!A$2</f>
        <v>200723.25</v>
      </c>
      <c r="R221" s="191">
        <f t="shared" si="4"/>
        <v>156200</v>
      </c>
      <c r="S221" s="190">
        <f t="shared" si="5"/>
        <v>356923.25</v>
      </c>
      <c r="T221" s="93">
        <v>220.0</v>
      </c>
      <c r="U221" s="93" t="s">
        <v>80</v>
      </c>
      <c r="V221" s="12" t="s">
        <v>81</v>
      </c>
      <c r="W221" s="12"/>
      <c r="X221" s="12"/>
      <c r="Y221" s="12"/>
      <c r="Z221" s="12"/>
    </row>
    <row r="222">
      <c r="A222" s="93">
        <v>221.0</v>
      </c>
      <c r="B222" s="93">
        <v>6.08</v>
      </c>
      <c r="C222" s="93">
        <f t="shared" si="1"/>
        <v>1.52</v>
      </c>
      <c r="D222" s="93">
        <f t="shared" si="2"/>
        <v>7.6</v>
      </c>
      <c r="E222" s="93">
        <v>2.15</v>
      </c>
      <c r="F222" s="93"/>
      <c r="G222" s="93"/>
      <c r="H222" s="93"/>
      <c r="I222" s="93"/>
      <c r="J222" s="93"/>
      <c r="K222" s="93"/>
      <c r="L222" s="190">
        <f>E222*Prices!B$2</f>
        <v>236500</v>
      </c>
      <c r="M222" s="190">
        <f>F222*Prices!C$2</f>
        <v>0</v>
      </c>
      <c r="N222" s="190">
        <f>G222*Prices!D$2</f>
        <v>0</v>
      </c>
      <c r="O222" s="190">
        <f>H222*Prices!E$2</f>
        <v>0</v>
      </c>
      <c r="P222" s="190">
        <f t="shared" si="6"/>
        <v>0</v>
      </c>
      <c r="Q222" s="190">
        <f>D222*Prices!A$2</f>
        <v>135660</v>
      </c>
      <c r="R222" s="191">
        <f t="shared" si="4"/>
        <v>236500</v>
      </c>
      <c r="S222" s="190">
        <f t="shared" si="5"/>
        <v>372160</v>
      </c>
      <c r="T222" s="93">
        <v>221.0</v>
      </c>
      <c r="U222" s="93" t="s">
        <v>80</v>
      </c>
      <c r="V222" s="12" t="s">
        <v>81</v>
      </c>
      <c r="W222" s="12"/>
      <c r="X222" s="12"/>
      <c r="Y222" s="12"/>
      <c r="Z222" s="12"/>
    </row>
    <row r="223">
      <c r="A223" s="93">
        <v>222.0</v>
      </c>
      <c r="B223" s="93">
        <v>4.62</v>
      </c>
      <c r="C223" s="93">
        <f t="shared" si="1"/>
        <v>1.155</v>
      </c>
      <c r="D223" s="93">
        <f t="shared" si="2"/>
        <v>5.775</v>
      </c>
      <c r="E223" s="93">
        <v>0.86</v>
      </c>
      <c r="F223" s="93"/>
      <c r="G223" s="93"/>
      <c r="H223" s="93"/>
      <c r="I223" s="93"/>
      <c r="J223" s="93"/>
      <c r="K223" s="93"/>
      <c r="L223" s="190">
        <f>E223*Prices!B$2</f>
        <v>94600</v>
      </c>
      <c r="M223" s="190">
        <f>F223*Prices!C$2</f>
        <v>0</v>
      </c>
      <c r="N223" s="190">
        <f>G223*Prices!D$2</f>
        <v>0</v>
      </c>
      <c r="O223" s="190">
        <f>H223*Prices!E$2</f>
        <v>0</v>
      </c>
      <c r="P223" s="190">
        <f t="shared" si="6"/>
        <v>0</v>
      </c>
      <c r="Q223" s="190">
        <f>D223*Prices!A$2</f>
        <v>103083.75</v>
      </c>
      <c r="R223" s="191">
        <f t="shared" si="4"/>
        <v>94600</v>
      </c>
      <c r="S223" s="190">
        <f t="shared" si="5"/>
        <v>197683.75</v>
      </c>
      <c r="T223" s="93">
        <v>222.0</v>
      </c>
      <c r="U223" s="93" t="s">
        <v>82</v>
      </c>
      <c r="V223" s="12"/>
      <c r="W223" s="12"/>
      <c r="X223" s="12"/>
      <c r="Y223" s="12"/>
      <c r="Z223" s="12"/>
    </row>
    <row r="224">
      <c r="A224" s="93">
        <v>223.0</v>
      </c>
      <c r="B224" s="93">
        <v>8.084</v>
      </c>
      <c r="C224" s="93">
        <f t="shared" si="1"/>
        <v>2.021</v>
      </c>
      <c r="D224" s="93">
        <f t="shared" si="2"/>
        <v>10.105</v>
      </c>
      <c r="E224" s="93">
        <v>1.16</v>
      </c>
      <c r="F224" s="93"/>
      <c r="G224" s="93"/>
      <c r="H224" s="93"/>
      <c r="I224" s="93"/>
      <c r="J224" s="93"/>
      <c r="K224" s="93">
        <v>6.97</v>
      </c>
      <c r="L224" s="190">
        <f>E224*Prices!B$2</f>
        <v>127600</v>
      </c>
      <c r="M224" s="190">
        <f>F224*Prices!C$2</f>
        <v>0</v>
      </c>
      <c r="N224" s="190">
        <f>G224*Prices!D$2</f>
        <v>0</v>
      </c>
      <c r="O224" s="190">
        <f>H224*Prices!E$2</f>
        <v>0</v>
      </c>
      <c r="P224" s="190">
        <f t="shared" si="6"/>
        <v>12546</v>
      </c>
      <c r="Q224" s="190">
        <f>D224*Prices!A$2</f>
        <v>180374.25</v>
      </c>
      <c r="R224" s="191">
        <f t="shared" si="4"/>
        <v>127600</v>
      </c>
      <c r="S224" s="190">
        <f t="shared" si="5"/>
        <v>320520.25</v>
      </c>
      <c r="T224" s="93">
        <v>223.0</v>
      </c>
      <c r="U224" s="93" t="s">
        <v>82</v>
      </c>
      <c r="V224" s="12"/>
      <c r="W224" s="12"/>
      <c r="X224" s="12"/>
      <c r="Y224" s="12"/>
      <c r="Z224" s="12"/>
    </row>
    <row r="225">
      <c r="A225" s="93">
        <v>224.0</v>
      </c>
      <c r="B225" s="93">
        <v>3.588</v>
      </c>
      <c r="C225" s="93">
        <f t="shared" si="1"/>
        <v>0.897</v>
      </c>
      <c r="D225" s="93">
        <f t="shared" si="2"/>
        <v>4.485</v>
      </c>
      <c r="E225" s="93">
        <v>0.38</v>
      </c>
      <c r="F225" s="93"/>
      <c r="G225" s="93"/>
      <c r="H225" s="93"/>
      <c r="I225" s="93"/>
      <c r="J225" s="93"/>
      <c r="K225" s="93"/>
      <c r="L225" s="190">
        <f>E225*Prices!B$2</f>
        <v>41800</v>
      </c>
      <c r="M225" s="190">
        <f>F225*Prices!C$2</f>
        <v>0</v>
      </c>
      <c r="N225" s="190">
        <f>G225*Prices!D$2</f>
        <v>0</v>
      </c>
      <c r="O225" s="190">
        <f>H225*Prices!E$2</f>
        <v>0</v>
      </c>
      <c r="P225" s="190">
        <f t="shared" si="6"/>
        <v>0</v>
      </c>
      <c r="Q225" s="190">
        <f>D225*Prices!A$2</f>
        <v>80057.25</v>
      </c>
      <c r="R225" s="191">
        <f t="shared" si="4"/>
        <v>41800</v>
      </c>
      <c r="S225" s="190">
        <f t="shared" si="5"/>
        <v>121857.25</v>
      </c>
      <c r="T225" s="93">
        <v>224.0</v>
      </c>
      <c r="U225" s="93" t="s">
        <v>82</v>
      </c>
      <c r="V225" s="12"/>
      <c r="W225" s="12"/>
      <c r="X225" s="12"/>
      <c r="Y225" s="12"/>
      <c r="Z225" s="12"/>
    </row>
    <row r="226">
      <c r="A226" s="93">
        <v>225.0</v>
      </c>
      <c r="B226" s="93">
        <v>3.48</v>
      </c>
      <c r="C226" s="93">
        <f t="shared" si="1"/>
        <v>0.87</v>
      </c>
      <c r="D226" s="93">
        <f t="shared" si="2"/>
        <v>4.35</v>
      </c>
      <c r="E226" s="93">
        <v>0.51</v>
      </c>
      <c r="F226" s="93"/>
      <c r="G226" s="93"/>
      <c r="H226" s="93"/>
      <c r="I226" s="93"/>
      <c r="J226" s="93"/>
      <c r="K226" s="93"/>
      <c r="L226" s="190">
        <f>E226*Prices!B$2</f>
        <v>56100</v>
      </c>
      <c r="M226" s="190">
        <f>F226*Prices!C$2</f>
        <v>0</v>
      </c>
      <c r="N226" s="190">
        <f>G226*Prices!D$2</f>
        <v>0</v>
      </c>
      <c r="O226" s="190">
        <f>H226*Prices!E$2</f>
        <v>0</v>
      </c>
      <c r="P226" s="190">
        <f t="shared" si="6"/>
        <v>0</v>
      </c>
      <c r="Q226" s="190">
        <f>D226*Prices!A$2</f>
        <v>77647.5</v>
      </c>
      <c r="R226" s="191">
        <f t="shared" si="4"/>
        <v>56100</v>
      </c>
      <c r="S226" s="190">
        <f t="shared" si="5"/>
        <v>133747.5</v>
      </c>
      <c r="T226" s="93">
        <v>225.0</v>
      </c>
      <c r="U226" s="93" t="s">
        <v>80</v>
      </c>
      <c r="V226" s="12" t="s">
        <v>81</v>
      </c>
      <c r="W226" s="12"/>
      <c r="X226" s="12"/>
      <c r="Y226" s="12"/>
      <c r="Z226" s="12"/>
    </row>
    <row r="227">
      <c r="A227" s="192">
        <v>226.0</v>
      </c>
      <c r="B227" s="192">
        <v>5.2</v>
      </c>
      <c r="C227" s="192">
        <f t="shared" si="1"/>
        <v>1.3</v>
      </c>
      <c r="D227" s="192">
        <f t="shared" si="2"/>
        <v>6.5</v>
      </c>
      <c r="E227" s="192">
        <v>1.5</v>
      </c>
      <c r="F227" s="192"/>
      <c r="G227" s="192"/>
      <c r="H227" s="192"/>
      <c r="I227" s="192"/>
      <c r="J227" s="192"/>
      <c r="K227" s="192"/>
      <c r="L227" s="193">
        <f>E227*Prices!B$2</f>
        <v>165000</v>
      </c>
      <c r="M227" s="193">
        <f>F227*Prices!C$2</f>
        <v>0</v>
      </c>
      <c r="N227" s="193">
        <f>G227*Prices!D$2</f>
        <v>0</v>
      </c>
      <c r="O227" s="193">
        <f>H227*Prices!E$2</f>
        <v>0</v>
      </c>
      <c r="P227" s="193">
        <f t="shared" si="6"/>
        <v>0</v>
      </c>
      <c r="Q227" s="193">
        <f>D227*Prices!A$2</f>
        <v>116025</v>
      </c>
      <c r="R227" s="194">
        <f t="shared" si="4"/>
        <v>165000</v>
      </c>
      <c r="S227" s="193">
        <f t="shared" si="5"/>
        <v>281025</v>
      </c>
      <c r="T227" s="192">
        <v>226.0</v>
      </c>
      <c r="U227" s="192" t="s">
        <v>83</v>
      </c>
      <c r="V227" s="12"/>
      <c r="W227" s="12"/>
      <c r="X227" s="12"/>
      <c r="Y227" s="12"/>
      <c r="Z227" s="12"/>
    </row>
    <row r="228">
      <c r="A228" s="93">
        <v>227.0</v>
      </c>
      <c r="B228" s="93">
        <v>2.47</v>
      </c>
      <c r="C228" s="93">
        <f t="shared" si="1"/>
        <v>0.6175</v>
      </c>
      <c r="D228" s="93">
        <f t="shared" si="2"/>
        <v>3.0875</v>
      </c>
      <c r="E228" s="93">
        <v>0.54</v>
      </c>
      <c r="F228" s="93"/>
      <c r="G228" s="93"/>
      <c r="H228" s="93"/>
      <c r="I228" s="93"/>
      <c r="J228" s="93"/>
      <c r="K228" s="93"/>
      <c r="L228" s="190">
        <f>E228*Prices!B$2</f>
        <v>59400</v>
      </c>
      <c r="M228" s="190">
        <f>F228*Prices!C$2</f>
        <v>0</v>
      </c>
      <c r="N228" s="190">
        <f>G228*Prices!D$2</f>
        <v>0</v>
      </c>
      <c r="O228" s="190">
        <f>H228*Prices!E$2</f>
        <v>0</v>
      </c>
      <c r="P228" s="190">
        <f t="shared" si="6"/>
        <v>0</v>
      </c>
      <c r="Q228" s="190">
        <f>D228*Prices!A$2</f>
        <v>55111.875</v>
      </c>
      <c r="R228" s="191">
        <f t="shared" si="4"/>
        <v>59400</v>
      </c>
      <c r="S228" s="190">
        <f t="shared" si="5"/>
        <v>114511.875</v>
      </c>
      <c r="T228" s="93">
        <v>227.0</v>
      </c>
      <c r="U228" s="93" t="s">
        <v>80</v>
      </c>
      <c r="V228" s="12" t="s">
        <v>81</v>
      </c>
      <c r="W228" s="12"/>
      <c r="X228" s="12"/>
      <c r="Y228" s="12"/>
      <c r="Z228" s="12"/>
    </row>
    <row r="229">
      <c r="A229" s="93">
        <v>228.0</v>
      </c>
      <c r="B229" s="93">
        <v>5.27</v>
      </c>
      <c r="C229" s="93">
        <f t="shared" si="1"/>
        <v>1.3175</v>
      </c>
      <c r="D229" s="93">
        <f t="shared" si="2"/>
        <v>6.5875</v>
      </c>
      <c r="E229" s="93">
        <v>0.71</v>
      </c>
      <c r="F229" s="93"/>
      <c r="G229" s="93"/>
      <c r="H229" s="93"/>
      <c r="I229" s="93"/>
      <c r="J229" s="93"/>
      <c r="K229" s="93"/>
      <c r="L229" s="190">
        <f>E229*Prices!B$2</f>
        <v>78100</v>
      </c>
      <c r="M229" s="190">
        <f>F229*Prices!C$2</f>
        <v>0</v>
      </c>
      <c r="N229" s="190">
        <f>G229*Prices!D$2</f>
        <v>0</v>
      </c>
      <c r="O229" s="190">
        <f>H229*Prices!E$2</f>
        <v>0</v>
      </c>
      <c r="P229" s="190">
        <f t="shared" si="6"/>
        <v>0</v>
      </c>
      <c r="Q229" s="190">
        <f>D229*Prices!A$2</f>
        <v>117586.875</v>
      </c>
      <c r="R229" s="191">
        <f t="shared" si="4"/>
        <v>78100</v>
      </c>
      <c r="S229" s="190">
        <f t="shared" si="5"/>
        <v>195686.875</v>
      </c>
      <c r="T229" s="93">
        <v>228.0</v>
      </c>
      <c r="U229" s="93" t="s">
        <v>80</v>
      </c>
      <c r="V229" s="12" t="s">
        <v>81</v>
      </c>
      <c r="W229" s="12"/>
      <c r="X229" s="12"/>
      <c r="Y229" s="12"/>
      <c r="Z229" s="12"/>
    </row>
    <row r="230">
      <c r="A230" s="93">
        <v>229.0</v>
      </c>
      <c r="B230" s="93">
        <v>2.134</v>
      </c>
      <c r="C230" s="93">
        <f t="shared" si="1"/>
        <v>0.5335</v>
      </c>
      <c r="D230" s="93">
        <f t="shared" si="2"/>
        <v>2.6675</v>
      </c>
      <c r="E230" s="93">
        <v>0.38</v>
      </c>
      <c r="F230" s="93"/>
      <c r="G230" s="93"/>
      <c r="H230" s="93"/>
      <c r="I230" s="93"/>
      <c r="J230" s="93"/>
      <c r="K230" s="93"/>
      <c r="L230" s="190">
        <f>E230*Prices!B$2</f>
        <v>41800</v>
      </c>
      <c r="M230" s="190">
        <f>F230*Prices!C$2</f>
        <v>0</v>
      </c>
      <c r="N230" s="190">
        <f>G230*Prices!D$2</f>
        <v>0</v>
      </c>
      <c r="O230" s="190">
        <f>H230*Prices!E$2</f>
        <v>0</v>
      </c>
      <c r="P230" s="190">
        <f t="shared" si="6"/>
        <v>0</v>
      </c>
      <c r="Q230" s="190">
        <f>D230*Prices!A$2</f>
        <v>47614.875</v>
      </c>
      <c r="R230" s="191">
        <f t="shared" si="4"/>
        <v>41800</v>
      </c>
      <c r="S230" s="190">
        <f t="shared" si="5"/>
        <v>89414.875</v>
      </c>
      <c r="T230" s="93">
        <v>229.0</v>
      </c>
      <c r="U230" s="93" t="s">
        <v>80</v>
      </c>
      <c r="V230" s="12" t="s">
        <v>81</v>
      </c>
      <c r="W230" s="12"/>
      <c r="X230" s="12"/>
      <c r="Y230" s="12"/>
      <c r="Z230" s="12"/>
    </row>
    <row r="231">
      <c r="A231" s="93">
        <v>230.0</v>
      </c>
      <c r="B231" s="93">
        <v>2.96</v>
      </c>
      <c r="C231" s="93">
        <f t="shared" si="1"/>
        <v>0.74</v>
      </c>
      <c r="D231" s="93">
        <f t="shared" si="2"/>
        <v>3.7</v>
      </c>
      <c r="E231" s="93">
        <v>0.25</v>
      </c>
      <c r="F231" s="93"/>
      <c r="G231" s="93"/>
      <c r="H231" s="93"/>
      <c r="I231" s="93"/>
      <c r="J231" s="93"/>
      <c r="K231" s="93"/>
      <c r="L231" s="190">
        <f>E231*Prices!B$2</f>
        <v>27500</v>
      </c>
      <c r="M231" s="190">
        <f>F231*Prices!C$2</f>
        <v>0</v>
      </c>
      <c r="N231" s="190">
        <f>G231*Prices!D$2</f>
        <v>0</v>
      </c>
      <c r="O231" s="190">
        <f>H231*Prices!E$2</f>
        <v>0</v>
      </c>
      <c r="P231" s="190">
        <f t="shared" si="6"/>
        <v>0</v>
      </c>
      <c r="Q231" s="190">
        <f>D231*Prices!A$2</f>
        <v>66045</v>
      </c>
      <c r="R231" s="191">
        <f t="shared" si="4"/>
        <v>27500</v>
      </c>
      <c r="S231" s="190">
        <f t="shared" si="5"/>
        <v>93545</v>
      </c>
      <c r="T231" s="93">
        <v>230.0</v>
      </c>
      <c r="U231" s="93" t="s">
        <v>82</v>
      </c>
      <c r="V231" s="12"/>
      <c r="W231" s="12"/>
      <c r="X231" s="12"/>
      <c r="Y231" s="12"/>
      <c r="Z231" s="12"/>
    </row>
    <row r="232">
      <c r="A232" s="93">
        <v>231.0</v>
      </c>
      <c r="B232" s="93">
        <v>2.718</v>
      </c>
      <c r="C232" s="93">
        <f t="shared" si="1"/>
        <v>0.6795</v>
      </c>
      <c r="D232" s="93">
        <f t="shared" si="2"/>
        <v>3.3975</v>
      </c>
      <c r="E232" s="93">
        <v>0.36</v>
      </c>
      <c r="F232" s="93"/>
      <c r="G232" s="93"/>
      <c r="H232" s="93"/>
      <c r="I232" s="93"/>
      <c r="J232" s="93"/>
      <c r="K232" s="93"/>
      <c r="L232" s="190">
        <f>E232*Prices!B$2</f>
        <v>39600</v>
      </c>
      <c r="M232" s="190">
        <f>F232*Prices!C$2</f>
        <v>0</v>
      </c>
      <c r="N232" s="190">
        <f>G232*Prices!D$2</f>
        <v>0</v>
      </c>
      <c r="O232" s="190">
        <f>H232*Prices!E$2</f>
        <v>0</v>
      </c>
      <c r="P232" s="190">
        <f t="shared" si="6"/>
        <v>0</v>
      </c>
      <c r="Q232" s="190">
        <f>D232*Prices!A$2</f>
        <v>60645.375</v>
      </c>
      <c r="R232" s="191">
        <f t="shared" si="4"/>
        <v>39600</v>
      </c>
      <c r="S232" s="190">
        <f t="shared" si="5"/>
        <v>100245.375</v>
      </c>
      <c r="T232" s="93">
        <v>231.0</v>
      </c>
      <c r="U232" s="93" t="s">
        <v>82</v>
      </c>
      <c r="V232" s="12"/>
      <c r="W232" s="12"/>
      <c r="X232" s="12"/>
      <c r="Y232" s="12"/>
      <c r="Z232" s="12"/>
    </row>
    <row r="233">
      <c r="A233" s="93">
        <v>232.0</v>
      </c>
      <c r="B233" s="93">
        <v>9.382</v>
      </c>
      <c r="C233" s="93">
        <f t="shared" si="1"/>
        <v>2.3455</v>
      </c>
      <c r="D233" s="93">
        <f t="shared" si="2"/>
        <v>11.7275</v>
      </c>
      <c r="E233" s="93">
        <v>1.59</v>
      </c>
      <c r="F233" s="93"/>
      <c r="G233" s="93"/>
      <c r="H233" s="93"/>
      <c r="I233" s="93"/>
      <c r="J233" s="93"/>
      <c r="K233" s="93">
        <v>7.1</v>
      </c>
      <c r="L233" s="190">
        <f>E233*Prices!B$2</f>
        <v>174900</v>
      </c>
      <c r="M233" s="190">
        <f>F233*Prices!C$2</f>
        <v>0</v>
      </c>
      <c r="N233" s="190">
        <f>G233*Prices!D$2</f>
        <v>0</v>
      </c>
      <c r="O233" s="190">
        <f>H233*Prices!E$2</f>
        <v>0</v>
      </c>
      <c r="P233" s="190">
        <f t="shared" si="6"/>
        <v>12780</v>
      </c>
      <c r="Q233" s="190">
        <f>D233*Prices!A$2</f>
        <v>209335.875</v>
      </c>
      <c r="R233" s="191">
        <f t="shared" si="4"/>
        <v>174900</v>
      </c>
      <c r="S233" s="190">
        <f t="shared" si="5"/>
        <v>397015.875</v>
      </c>
      <c r="T233" s="93">
        <v>232.0</v>
      </c>
      <c r="U233" s="93" t="s">
        <v>80</v>
      </c>
      <c r="V233" s="12" t="s">
        <v>81</v>
      </c>
      <c r="W233" s="12"/>
      <c r="X233" s="12"/>
      <c r="Y233" s="12"/>
      <c r="Z233" s="12"/>
    </row>
    <row r="234">
      <c r="A234" s="93">
        <v>233.0</v>
      </c>
      <c r="B234" s="93">
        <v>6.92</v>
      </c>
      <c r="C234" s="93">
        <f t="shared" si="1"/>
        <v>1.73</v>
      </c>
      <c r="D234" s="93">
        <f t="shared" si="2"/>
        <v>8.65</v>
      </c>
      <c r="E234" s="93">
        <v>1.53</v>
      </c>
      <c r="F234" s="93"/>
      <c r="G234" s="93"/>
      <c r="H234" s="93"/>
      <c r="I234" s="93"/>
      <c r="J234" s="93"/>
      <c r="K234" s="93">
        <v>16.62</v>
      </c>
      <c r="L234" s="190">
        <f>E234*Prices!B$2</f>
        <v>168300</v>
      </c>
      <c r="M234" s="190">
        <f>F234*Prices!C$2</f>
        <v>0</v>
      </c>
      <c r="N234" s="190">
        <f>G234*Prices!D$2</f>
        <v>0</v>
      </c>
      <c r="O234" s="190">
        <f>H234*Prices!E$2</f>
        <v>0</v>
      </c>
      <c r="P234" s="190">
        <f t="shared" si="6"/>
        <v>29916</v>
      </c>
      <c r="Q234" s="190">
        <f>D234*Prices!A$2</f>
        <v>154402.5</v>
      </c>
      <c r="R234" s="191">
        <f t="shared" si="4"/>
        <v>168300</v>
      </c>
      <c r="S234" s="190">
        <f t="shared" si="5"/>
        <v>352618.5</v>
      </c>
      <c r="T234" s="93">
        <v>233.0</v>
      </c>
      <c r="U234" s="26" t="s">
        <v>82</v>
      </c>
      <c r="V234" s="12"/>
      <c r="W234" s="12"/>
      <c r="X234" s="12"/>
      <c r="Y234" s="12"/>
      <c r="Z234" s="12"/>
    </row>
    <row r="235">
      <c r="A235" s="93">
        <v>234.0</v>
      </c>
      <c r="B235" s="93">
        <v>5.252</v>
      </c>
      <c r="C235" s="93">
        <f t="shared" si="1"/>
        <v>1.313</v>
      </c>
      <c r="D235" s="93">
        <f t="shared" si="2"/>
        <v>6.565</v>
      </c>
      <c r="E235" s="93">
        <f>0.56+0.5</f>
        <v>1.06</v>
      </c>
      <c r="F235" s="93"/>
      <c r="G235" s="93"/>
      <c r="H235" s="93"/>
      <c r="I235" s="93"/>
      <c r="J235" s="93"/>
      <c r="K235" s="93">
        <v>5.3</v>
      </c>
      <c r="L235" s="190">
        <f>E235*Prices!B$2</f>
        <v>116600</v>
      </c>
      <c r="M235" s="190">
        <f>F235*Prices!C$2</f>
        <v>0</v>
      </c>
      <c r="N235" s="190">
        <f>G235*Prices!D$2</f>
        <v>0</v>
      </c>
      <c r="O235" s="190">
        <f>H235*Prices!E$2</f>
        <v>0</v>
      </c>
      <c r="P235" s="190">
        <f t="shared" si="6"/>
        <v>9540</v>
      </c>
      <c r="Q235" s="190">
        <f>D235*Prices!A$2</f>
        <v>117185.25</v>
      </c>
      <c r="R235" s="191">
        <f t="shared" si="4"/>
        <v>116600</v>
      </c>
      <c r="S235" s="190">
        <f t="shared" si="5"/>
        <v>243325.25</v>
      </c>
      <c r="T235" s="93">
        <v>234.0</v>
      </c>
      <c r="U235" s="93" t="s">
        <v>80</v>
      </c>
      <c r="V235" s="12" t="s">
        <v>81</v>
      </c>
      <c r="W235" s="12"/>
      <c r="X235" s="12"/>
      <c r="Y235" s="12"/>
      <c r="Z235" s="12"/>
    </row>
    <row r="236">
      <c r="A236" s="93">
        <v>235.0</v>
      </c>
      <c r="B236" s="93">
        <v>8.08</v>
      </c>
      <c r="C236" s="93">
        <f t="shared" si="1"/>
        <v>2.02</v>
      </c>
      <c r="D236" s="93">
        <f t="shared" si="2"/>
        <v>10.1</v>
      </c>
      <c r="E236" s="93">
        <v>0.95</v>
      </c>
      <c r="F236" s="93"/>
      <c r="G236" s="93"/>
      <c r="H236" s="93"/>
      <c r="I236" s="93"/>
      <c r="J236" s="93"/>
      <c r="K236" s="93">
        <v>6.8</v>
      </c>
      <c r="L236" s="190">
        <f>E236*Prices!B$2</f>
        <v>104500</v>
      </c>
      <c r="M236" s="190">
        <f>F236*Prices!C$2</f>
        <v>0</v>
      </c>
      <c r="N236" s="190">
        <f>G236*Prices!D$2</f>
        <v>0</v>
      </c>
      <c r="O236" s="190">
        <f>H236*Prices!E$2</f>
        <v>0</v>
      </c>
      <c r="P236" s="190">
        <f t="shared" si="6"/>
        <v>12240</v>
      </c>
      <c r="Q236" s="190">
        <f>D236*Prices!A$2</f>
        <v>180285</v>
      </c>
      <c r="R236" s="191">
        <f t="shared" si="4"/>
        <v>104500</v>
      </c>
      <c r="S236" s="190">
        <f t="shared" si="5"/>
        <v>297025</v>
      </c>
      <c r="T236" s="93">
        <v>235.0</v>
      </c>
      <c r="U236" s="93" t="s">
        <v>82</v>
      </c>
      <c r="V236" s="12"/>
      <c r="W236" s="12"/>
      <c r="X236" s="12"/>
      <c r="Y236" s="12"/>
      <c r="Z236" s="12"/>
    </row>
    <row r="237">
      <c r="A237" s="93">
        <v>236.0</v>
      </c>
      <c r="B237" s="93">
        <v>2.946</v>
      </c>
      <c r="C237" s="93">
        <f t="shared" si="1"/>
        <v>0.7365</v>
      </c>
      <c r="D237" s="93">
        <f t="shared" si="2"/>
        <v>3.6825</v>
      </c>
      <c r="E237" s="93">
        <v>0.21</v>
      </c>
      <c r="F237" s="93">
        <v>0.31</v>
      </c>
      <c r="G237" s="93"/>
      <c r="H237" s="93"/>
      <c r="I237" s="93"/>
      <c r="J237" s="93"/>
      <c r="K237" s="93"/>
      <c r="L237" s="190">
        <f>E237*Prices!B$2</f>
        <v>23100</v>
      </c>
      <c r="M237" s="190">
        <f>F237*Prices!C$2</f>
        <v>49600</v>
      </c>
      <c r="N237" s="190">
        <f>G237*Prices!D$2</f>
        <v>0</v>
      </c>
      <c r="O237" s="190">
        <f>H237*Prices!E$2</f>
        <v>0</v>
      </c>
      <c r="P237" s="190">
        <f t="shared" si="6"/>
        <v>0</v>
      </c>
      <c r="Q237" s="190">
        <f>D237*Prices!A$2</f>
        <v>65732.625</v>
      </c>
      <c r="R237" s="191">
        <f t="shared" si="4"/>
        <v>72700</v>
      </c>
      <c r="S237" s="190">
        <f t="shared" si="5"/>
        <v>138432.625</v>
      </c>
      <c r="T237" s="93">
        <v>236.0</v>
      </c>
      <c r="U237" s="93" t="s">
        <v>82</v>
      </c>
      <c r="V237" s="12"/>
      <c r="W237" s="12"/>
      <c r="X237" s="12"/>
      <c r="Y237" s="12"/>
      <c r="Z237" s="12"/>
    </row>
    <row r="238">
      <c r="A238" s="93">
        <v>237.0</v>
      </c>
      <c r="B238" s="93">
        <v>4.172</v>
      </c>
      <c r="C238" s="93">
        <f t="shared" si="1"/>
        <v>1.043</v>
      </c>
      <c r="D238" s="93">
        <f t="shared" si="2"/>
        <v>5.215</v>
      </c>
      <c r="E238" s="93">
        <v>0.02</v>
      </c>
      <c r="F238" s="93"/>
      <c r="G238" s="93">
        <v>0.62</v>
      </c>
      <c r="H238" s="93"/>
      <c r="I238" s="93"/>
      <c r="J238" s="93"/>
      <c r="K238" s="93"/>
      <c r="L238" s="190">
        <f>E238*Prices!B$2</f>
        <v>2200</v>
      </c>
      <c r="M238" s="190">
        <f>F238*Prices!C$2</f>
        <v>0</v>
      </c>
      <c r="N238" s="190">
        <f>G238*Prices!D$2</f>
        <v>120900</v>
      </c>
      <c r="O238" s="190">
        <f>H238*Prices!E$2</f>
        <v>0</v>
      </c>
      <c r="P238" s="190">
        <f t="shared" si="6"/>
        <v>0</v>
      </c>
      <c r="Q238" s="190">
        <f>D238*Prices!A$2</f>
        <v>93087.75</v>
      </c>
      <c r="R238" s="191">
        <f t="shared" si="4"/>
        <v>123100</v>
      </c>
      <c r="S238" s="190">
        <f t="shared" si="5"/>
        <v>216187.75</v>
      </c>
      <c r="T238" s="93">
        <v>237.0</v>
      </c>
      <c r="U238" s="93" t="s">
        <v>80</v>
      </c>
      <c r="V238" s="12" t="s">
        <v>81</v>
      </c>
      <c r="W238" s="12"/>
      <c r="X238" s="12"/>
      <c r="Y238" s="12"/>
      <c r="Z238" s="12"/>
    </row>
    <row r="239">
      <c r="A239" s="93">
        <v>238.0</v>
      </c>
      <c r="B239" s="93">
        <v>4.124</v>
      </c>
      <c r="C239" s="93">
        <f t="shared" si="1"/>
        <v>1.031</v>
      </c>
      <c r="D239" s="93">
        <f t="shared" si="2"/>
        <v>5.155</v>
      </c>
      <c r="E239" s="93">
        <v>0.53</v>
      </c>
      <c r="F239" s="93"/>
      <c r="G239" s="93"/>
      <c r="H239" s="93"/>
      <c r="I239" s="93"/>
      <c r="J239" s="93"/>
      <c r="K239" s="93"/>
      <c r="L239" s="190">
        <f>E239*Prices!B$2</f>
        <v>58300</v>
      </c>
      <c r="M239" s="190">
        <f>F239*Prices!C$2</f>
        <v>0</v>
      </c>
      <c r="N239" s="190">
        <f>G239*Prices!D$2</f>
        <v>0</v>
      </c>
      <c r="O239" s="190">
        <f>H239*Prices!E$2</f>
        <v>0</v>
      </c>
      <c r="P239" s="190">
        <f t="shared" si="6"/>
        <v>0</v>
      </c>
      <c r="Q239" s="190">
        <f>D239*Prices!A$2</f>
        <v>92016.75</v>
      </c>
      <c r="R239" s="191">
        <f t="shared" si="4"/>
        <v>58300</v>
      </c>
      <c r="S239" s="190">
        <f t="shared" si="5"/>
        <v>150316.75</v>
      </c>
      <c r="T239" s="93">
        <v>238.0</v>
      </c>
      <c r="U239" s="93" t="s">
        <v>82</v>
      </c>
      <c r="V239" s="12"/>
      <c r="W239" s="12"/>
      <c r="X239" s="12"/>
      <c r="Y239" s="12"/>
      <c r="Z239" s="12"/>
    </row>
    <row r="240">
      <c r="A240" s="93">
        <v>239.0</v>
      </c>
      <c r="B240" s="93">
        <v>3.338</v>
      </c>
      <c r="C240" s="93">
        <f t="shared" si="1"/>
        <v>0.8345</v>
      </c>
      <c r="D240" s="93">
        <f t="shared" si="2"/>
        <v>4.1725</v>
      </c>
      <c r="E240" s="93">
        <v>0.41</v>
      </c>
      <c r="F240" s="93"/>
      <c r="G240" s="93"/>
      <c r="H240" s="93"/>
      <c r="I240" s="93"/>
      <c r="J240" s="93"/>
      <c r="K240" s="93"/>
      <c r="L240" s="190">
        <f>E240*Prices!B$2</f>
        <v>45100</v>
      </c>
      <c r="M240" s="190">
        <f>F240*Prices!C$2</f>
        <v>0</v>
      </c>
      <c r="N240" s="190">
        <f>G240*Prices!D$2</f>
        <v>0</v>
      </c>
      <c r="O240" s="190">
        <f>H240*Prices!E$2</f>
        <v>0</v>
      </c>
      <c r="P240" s="190">
        <f t="shared" si="6"/>
        <v>0</v>
      </c>
      <c r="Q240" s="190">
        <f>D240*Prices!A$2</f>
        <v>74479.125</v>
      </c>
      <c r="R240" s="191">
        <f t="shared" si="4"/>
        <v>45100</v>
      </c>
      <c r="S240" s="190">
        <f t="shared" si="5"/>
        <v>119579.125</v>
      </c>
      <c r="T240" s="93">
        <v>239.0</v>
      </c>
      <c r="U240" s="93" t="s">
        <v>82</v>
      </c>
      <c r="V240" s="12"/>
      <c r="W240" s="12"/>
      <c r="X240" s="12"/>
      <c r="Y240" s="12"/>
      <c r="Z240" s="12"/>
    </row>
    <row r="241">
      <c r="A241" s="93">
        <v>240.0</v>
      </c>
      <c r="B241" s="93">
        <v>5.238</v>
      </c>
      <c r="C241" s="93">
        <f t="shared" si="1"/>
        <v>1.3095</v>
      </c>
      <c r="D241" s="93">
        <f t="shared" si="2"/>
        <v>6.5475</v>
      </c>
      <c r="E241" s="93">
        <v>0.86</v>
      </c>
      <c r="F241" s="93"/>
      <c r="G241" s="93"/>
      <c r="H241" s="93"/>
      <c r="I241" s="93"/>
      <c r="J241" s="93"/>
      <c r="K241" s="93">
        <v>4.25</v>
      </c>
      <c r="L241" s="190">
        <f>E241*Prices!B$2</f>
        <v>94600</v>
      </c>
      <c r="M241" s="190">
        <f>F241*Prices!C$2</f>
        <v>0</v>
      </c>
      <c r="N241" s="190">
        <f>G241*Prices!D$2</f>
        <v>0</v>
      </c>
      <c r="O241" s="190">
        <f>H241*Prices!E$2</f>
        <v>0</v>
      </c>
      <c r="P241" s="190">
        <f t="shared" si="6"/>
        <v>7650</v>
      </c>
      <c r="Q241" s="190">
        <f>D241*Prices!A$2</f>
        <v>116872.875</v>
      </c>
      <c r="R241" s="191">
        <f t="shared" si="4"/>
        <v>94600</v>
      </c>
      <c r="S241" s="190">
        <f t="shared" si="5"/>
        <v>219122.875</v>
      </c>
      <c r="T241" s="93">
        <v>240.0</v>
      </c>
      <c r="U241" s="93" t="s">
        <v>80</v>
      </c>
      <c r="V241" s="12" t="s">
        <v>81</v>
      </c>
      <c r="W241" s="12"/>
      <c r="X241" s="12"/>
      <c r="Y241" s="12"/>
      <c r="Z241" s="12"/>
    </row>
    <row r="242">
      <c r="A242" s="93">
        <v>241.0</v>
      </c>
      <c r="B242" s="93">
        <v>4.28</v>
      </c>
      <c r="C242" s="93">
        <f t="shared" si="1"/>
        <v>1.07</v>
      </c>
      <c r="D242" s="93">
        <f t="shared" si="2"/>
        <v>5.35</v>
      </c>
      <c r="E242" s="93">
        <v>0.45</v>
      </c>
      <c r="F242" s="93"/>
      <c r="G242" s="93"/>
      <c r="H242" s="93"/>
      <c r="I242" s="93"/>
      <c r="J242" s="93"/>
      <c r="K242" s="93">
        <v>3.7</v>
      </c>
      <c r="L242" s="190">
        <f>E242*Prices!B$2</f>
        <v>49500</v>
      </c>
      <c r="M242" s="190">
        <f>F242*Prices!C$2</f>
        <v>0</v>
      </c>
      <c r="N242" s="190">
        <f>G242*Prices!D$2</f>
        <v>0</v>
      </c>
      <c r="O242" s="190">
        <f>H242*Prices!E$2</f>
        <v>0</v>
      </c>
      <c r="P242" s="190">
        <f t="shared" si="6"/>
        <v>6660</v>
      </c>
      <c r="Q242" s="190">
        <f>D242*Prices!A$2</f>
        <v>95497.5</v>
      </c>
      <c r="R242" s="191">
        <f t="shared" si="4"/>
        <v>49500</v>
      </c>
      <c r="S242" s="190">
        <f t="shared" si="5"/>
        <v>151657.5</v>
      </c>
      <c r="T242" s="93">
        <v>241.0</v>
      </c>
      <c r="U242" s="93" t="s">
        <v>80</v>
      </c>
      <c r="V242" s="12" t="s">
        <v>81</v>
      </c>
      <c r="W242" s="12"/>
      <c r="X242" s="12"/>
      <c r="Y242" s="12"/>
      <c r="Z242" s="12"/>
    </row>
    <row r="243">
      <c r="A243" s="93">
        <v>242.0</v>
      </c>
      <c r="B243" s="93">
        <v>4.114</v>
      </c>
      <c r="C243" s="93">
        <f t="shared" si="1"/>
        <v>1.0285</v>
      </c>
      <c r="D243" s="93">
        <f t="shared" si="2"/>
        <v>5.1425</v>
      </c>
      <c r="E243" s="93"/>
      <c r="F243" s="93">
        <v>0.93</v>
      </c>
      <c r="G243" s="93"/>
      <c r="H243" s="93"/>
      <c r="I243" s="93"/>
      <c r="J243" s="93"/>
      <c r="K243" s="93"/>
      <c r="L243" s="190">
        <f>E243*Prices!B$2</f>
        <v>0</v>
      </c>
      <c r="M243" s="190">
        <f>F243*Prices!C$2</f>
        <v>148800</v>
      </c>
      <c r="N243" s="190">
        <f>G243*Prices!D$2</f>
        <v>0</v>
      </c>
      <c r="O243" s="190">
        <f>H243*Prices!E$2</f>
        <v>0</v>
      </c>
      <c r="P243" s="190">
        <f t="shared" si="6"/>
        <v>0</v>
      </c>
      <c r="Q243" s="190">
        <f>D243*Prices!A$2</f>
        <v>91793.625</v>
      </c>
      <c r="R243" s="191">
        <f t="shared" si="4"/>
        <v>148800</v>
      </c>
      <c r="S243" s="190">
        <f t="shared" si="5"/>
        <v>240593.625</v>
      </c>
      <c r="T243" s="93">
        <v>242.0</v>
      </c>
      <c r="U243" s="93" t="s">
        <v>80</v>
      </c>
      <c r="V243" s="12" t="s">
        <v>81</v>
      </c>
      <c r="W243" s="12"/>
      <c r="X243" s="12"/>
      <c r="Y243" s="12"/>
      <c r="Z243" s="12"/>
    </row>
    <row r="244">
      <c r="A244" s="93">
        <v>243.0</v>
      </c>
      <c r="B244" s="93">
        <v>2.858</v>
      </c>
      <c r="C244" s="93">
        <f t="shared" si="1"/>
        <v>0.7145</v>
      </c>
      <c r="D244" s="93">
        <f t="shared" si="2"/>
        <v>3.5725</v>
      </c>
      <c r="E244" s="93">
        <v>0.91</v>
      </c>
      <c r="F244" s="93"/>
      <c r="G244" s="93"/>
      <c r="H244" s="93"/>
      <c r="I244" s="93"/>
      <c r="J244" s="93"/>
      <c r="K244" s="93"/>
      <c r="L244" s="190">
        <f>E244*Prices!B$2</f>
        <v>100100</v>
      </c>
      <c r="M244" s="190">
        <f>F244*Prices!C$2</f>
        <v>0</v>
      </c>
      <c r="N244" s="190">
        <f>G244*Prices!D$2</f>
        <v>0</v>
      </c>
      <c r="O244" s="190">
        <f>H244*Prices!E$2</f>
        <v>0</v>
      </c>
      <c r="P244" s="190">
        <f t="shared" si="6"/>
        <v>0</v>
      </c>
      <c r="Q244" s="190">
        <f>D244*Prices!A$2</f>
        <v>63769.125</v>
      </c>
      <c r="R244" s="191">
        <f t="shared" si="4"/>
        <v>100100</v>
      </c>
      <c r="S244" s="190">
        <f t="shared" si="5"/>
        <v>163869.125</v>
      </c>
      <c r="T244" s="93">
        <v>243.0</v>
      </c>
      <c r="U244" s="93" t="s">
        <v>82</v>
      </c>
      <c r="V244" s="12"/>
      <c r="W244" s="12"/>
      <c r="X244" s="12"/>
      <c r="Y244" s="12"/>
      <c r="Z244" s="12"/>
    </row>
    <row r="245">
      <c r="A245" s="93">
        <v>244.0</v>
      </c>
      <c r="B245" s="93">
        <v>2.54</v>
      </c>
      <c r="C245" s="93">
        <f t="shared" si="1"/>
        <v>0.635</v>
      </c>
      <c r="D245" s="93">
        <f t="shared" si="2"/>
        <v>3.175</v>
      </c>
      <c r="E245" s="93">
        <v>0.4</v>
      </c>
      <c r="F245" s="93"/>
      <c r="G245" s="93"/>
      <c r="H245" s="93"/>
      <c r="I245" s="93"/>
      <c r="J245" s="93"/>
      <c r="K245" s="93"/>
      <c r="L245" s="190">
        <f>E245*Prices!B$2</f>
        <v>44000</v>
      </c>
      <c r="M245" s="190">
        <f>F245*Prices!C$2</f>
        <v>0</v>
      </c>
      <c r="N245" s="190">
        <f>G245*Prices!D$2</f>
        <v>0</v>
      </c>
      <c r="O245" s="190">
        <f>H245*Prices!E$2</f>
        <v>0</v>
      </c>
      <c r="P245" s="190">
        <f t="shared" si="6"/>
        <v>0</v>
      </c>
      <c r="Q245" s="190">
        <f>D245*Prices!A$2</f>
        <v>56673.75</v>
      </c>
      <c r="R245" s="191">
        <f t="shared" si="4"/>
        <v>44000</v>
      </c>
      <c r="S245" s="190">
        <f t="shared" si="5"/>
        <v>100673.75</v>
      </c>
      <c r="T245" s="93">
        <v>244.0</v>
      </c>
      <c r="U245" s="26" t="s">
        <v>82</v>
      </c>
      <c r="V245" s="12"/>
      <c r="W245" s="12"/>
      <c r="X245" s="12"/>
      <c r="Y245" s="12"/>
      <c r="Z245" s="12"/>
    </row>
    <row r="246">
      <c r="A246" s="93">
        <v>245.0</v>
      </c>
      <c r="B246" s="93">
        <v>5.64</v>
      </c>
      <c r="C246" s="93">
        <f t="shared" si="1"/>
        <v>1.41</v>
      </c>
      <c r="D246" s="93">
        <f t="shared" si="2"/>
        <v>7.05</v>
      </c>
      <c r="E246" s="93">
        <v>0.76</v>
      </c>
      <c r="F246" s="93"/>
      <c r="G246" s="93"/>
      <c r="H246" s="93"/>
      <c r="I246" s="93"/>
      <c r="J246" s="93"/>
      <c r="K246" s="93"/>
      <c r="L246" s="190">
        <f>E246*Prices!B$2</f>
        <v>83600</v>
      </c>
      <c r="M246" s="190">
        <f>F246*Prices!C$2</f>
        <v>0</v>
      </c>
      <c r="N246" s="190">
        <f>G246*Prices!D$2</f>
        <v>0</v>
      </c>
      <c r="O246" s="190">
        <f>H246*Prices!E$2</f>
        <v>0</v>
      </c>
      <c r="P246" s="190">
        <f t="shared" si="6"/>
        <v>0</v>
      </c>
      <c r="Q246" s="190">
        <f>D246*Prices!A$2</f>
        <v>125842.5</v>
      </c>
      <c r="R246" s="191">
        <f t="shared" si="4"/>
        <v>83600</v>
      </c>
      <c r="S246" s="190">
        <f t="shared" si="5"/>
        <v>209442.5</v>
      </c>
      <c r="T246" s="93">
        <v>245.0</v>
      </c>
      <c r="U246" s="93" t="s">
        <v>80</v>
      </c>
      <c r="V246" s="12" t="s">
        <v>81</v>
      </c>
      <c r="W246" s="12"/>
      <c r="X246" s="12"/>
      <c r="Y246" s="12"/>
      <c r="Z246" s="12"/>
    </row>
    <row r="247">
      <c r="A247" s="93">
        <v>246.0</v>
      </c>
      <c r="B247" s="93">
        <v>5.7</v>
      </c>
      <c r="C247" s="93">
        <f t="shared" si="1"/>
        <v>1.425</v>
      </c>
      <c r="D247" s="93">
        <f t="shared" si="2"/>
        <v>7.125</v>
      </c>
      <c r="E247" s="93">
        <v>1.2</v>
      </c>
      <c r="F247" s="93"/>
      <c r="G247" s="93"/>
      <c r="H247" s="93"/>
      <c r="I247" s="93"/>
      <c r="J247" s="93"/>
      <c r="K247" s="93"/>
      <c r="L247" s="190">
        <f>E247*Prices!B$2</f>
        <v>132000</v>
      </c>
      <c r="M247" s="190">
        <f>F247*Prices!C$2</f>
        <v>0</v>
      </c>
      <c r="N247" s="190">
        <f>G247*Prices!D$2</f>
        <v>0</v>
      </c>
      <c r="O247" s="190">
        <f>H247*Prices!E$2</f>
        <v>0</v>
      </c>
      <c r="P247" s="190">
        <f t="shared" si="6"/>
        <v>0</v>
      </c>
      <c r="Q247" s="190">
        <f>D247*Prices!A$2</f>
        <v>127181.25</v>
      </c>
      <c r="R247" s="191">
        <f t="shared" si="4"/>
        <v>132000</v>
      </c>
      <c r="S247" s="190">
        <f t="shared" si="5"/>
        <v>259181.25</v>
      </c>
      <c r="T247" s="93">
        <v>246.0</v>
      </c>
      <c r="U247" s="26" t="s">
        <v>82</v>
      </c>
      <c r="V247" s="12"/>
      <c r="W247" s="12"/>
      <c r="X247" s="12"/>
      <c r="Y247" s="12"/>
      <c r="Z247" s="12"/>
    </row>
    <row r="248">
      <c r="A248" s="93">
        <v>247.0</v>
      </c>
      <c r="B248" s="93">
        <v>4.79</v>
      </c>
      <c r="C248" s="93">
        <f t="shared" si="1"/>
        <v>1.1975</v>
      </c>
      <c r="D248" s="93">
        <f t="shared" si="2"/>
        <v>5.9875</v>
      </c>
      <c r="E248" s="93">
        <v>1.94</v>
      </c>
      <c r="F248" s="93"/>
      <c r="G248" s="93"/>
      <c r="H248" s="93"/>
      <c r="I248" s="93"/>
      <c r="J248" s="93"/>
      <c r="K248" s="93"/>
      <c r="L248" s="190">
        <f>E248*Prices!B$2</f>
        <v>213400</v>
      </c>
      <c r="M248" s="190">
        <f>F248*Prices!C$2</f>
        <v>0</v>
      </c>
      <c r="N248" s="190">
        <f>G248*Prices!D$2</f>
        <v>0</v>
      </c>
      <c r="O248" s="190">
        <f>H248*Prices!E$2</f>
        <v>0</v>
      </c>
      <c r="P248" s="190">
        <f t="shared" si="6"/>
        <v>0</v>
      </c>
      <c r="Q248" s="190">
        <f>D248*Prices!A$2</f>
        <v>106876.875</v>
      </c>
      <c r="R248" s="191">
        <f t="shared" si="4"/>
        <v>213400</v>
      </c>
      <c r="S248" s="190">
        <f t="shared" si="5"/>
        <v>320276.875</v>
      </c>
      <c r="T248" s="93">
        <v>247.0</v>
      </c>
      <c r="U248" s="93" t="s">
        <v>82</v>
      </c>
      <c r="V248" s="12"/>
      <c r="W248" s="12"/>
      <c r="X248" s="12"/>
      <c r="Y248" s="12"/>
      <c r="Z248" s="12"/>
    </row>
    <row r="249">
      <c r="A249" s="93">
        <v>248.0</v>
      </c>
      <c r="B249" s="93">
        <v>2.296</v>
      </c>
      <c r="C249" s="93">
        <f t="shared" si="1"/>
        <v>0.574</v>
      </c>
      <c r="D249" s="93">
        <f t="shared" si="2"/>
        <v>2.87</v>
      </c>
      <c r="E249" s="93">
        <v>0.22</v>
      </c>
      <c r="F249" s="93"/>
      <c r="G249" s="93"/>
      <c r="H249" s="93"/>
      <c r="I249" s="93"/>
      <c r="J249" s="93"/>
      <c r="K249" s="93"/>
      <c r="L249" s="190">
        <f>E249*Prices!B$2</f>
        <v>24200</v>
      </c>
      <c r="M249" s="190">
        <f>F249*Prices!C$2</f>
        <v>0</v>
      </c>
      <c r="N249" s="190">
        <f>G249*Prices!D$2</f>
        <v>0</v>
      </c>
      <c r="O249" s="190">
        <f>H249*Prices!E$2</f>
        <v>0</v>
      </c>
      <c r="P249" s="190">
        <f t="shared" si="6"/>
        <v>0</v>
      </c>
      <c r="Q249" s="190">
        <f>D249*Prices!A$2</f>
        <v>51229.5</v>
      </c>
      <c r="R249" s="191">
        <f t="shared" si="4"/>
        <v>24200</v>
      </c>
      <c r="S249" s="190">
        <f t="shared" si="5"/>
        <v>75429.5</v>
      </c>
      <c r="T249" s="93">
        <v>248.0</v>
      </c>
      <c r="U249" s="93" t="s">
        <v>80</v>
      </c>
      <c r="V249" s="12" t="s">
        <v>81</v>
      </c>
      <c r="W249" s="12"/>
      <c r="X249" s="12"/>
      <c r="Y249" s="12"/>
      <c r="Z249" s="12"/>
    </row>
    <row r="250">
      <c r="A250" s="93">
        <v>249.0</v>
      </c>
      <c r="B250" s="93">
        <v>3.12</v>
      </c>
      <c r="C250" s="93">
        <f t="shared" si="1"/>
        <v>0.78</v>
      </c>
      <c r="D250" s="93">
        <f t="shared" si="2"/>
        <v>3.9</v>
      </c>
      <c r="E250" s="93">
        <v>0.31</v>
      </c>
      <c r="F250" s="93"/>
      <c r="G250" s="93"/>
      <c r="H250" s="93"/>
      <c r="I250" s="93"/>
      <c r="J250" s="93"/>
      <c r="K250" s="93">
        <v>4.99</v>
      </c>
      <c r="L250" s="190">
        <f>E250*Prices!B$2</f>
        <v>34100</v>
      </c>
      <c r="M250" s="190">
        <f>F250*Prices!C$2</f>
        <v>0</v>
      </c>
      <c r="N250" s="190">
        <f>G250*Prices!D$2</f>
        <v>0</v>
      </c>
      <c r="O250" s="190">
        <f>H250*Prices!E$2</f>
        <v>0</v>
      </c>
      <c r="P250" s="190">
        <f t="shared" si="6"/>
        <v>8982</v>
      </c>
      <c r="Q250" s="190">
        <f>D250*Prices!A$2</f>
        <v>69615</v>
      </c>
      <c r="R250" s="191">
        <f t="shared" si="4"/>
        <v>34100</v>
      </c>
      <c r="S250" s="190">
        <f t="shared" si="5"/>
        <v>112697</v>
      </c>
      <c r="T250" s="93">
        <v>249.0</v>
      </c>
      <c r="U250" s="93" t="s">
        <v>80</v>
      </c>
      <c r="V250" s="12" t="s">
        <v>81</v>
      </c>
      <c r="W250" s="12"/>
      <c r="X250" s="12"/>
      <c r="Y250" s="12"/>
      <c r="Z250" s="12"/>
    </row>
    <row r="251">
      <c r="A251" s="93">
        <v>250.0</v>
      </c>
      <c r="B251" s="93">
        <v>3.99</v>
      </c>
      <c r="C251" s="93">
        <f t="shared" si="1"/>
        <v>0.9975</v>
      </c>
      <c r="D251" s="93">
        <f t="shared" si="2"/>
        <v>4.9875</v>
      </c>
      <c r="E251" s="93">
        <v>0.5</v>
      </c>
      <c r="F251" s="93"/>
      <c r="G251" s="93"/>
      <c r="H251" s="93"/>
      <c r="I251" s="93"/>
      <c r="J251" s="93"/>
      <c r="K251" s="93"/>
      <c r="L251" s="190">
        <f>E251*Prices!B$2</f>
        <v>55000</v>
      </c>
      <c r="M251" s="190">
        <f>F251*Prices!C$2</f>
        <v>0</v>
      </c>
      <c r="N251" s="190">
        <f>G251*Prices!D$2</f>
        <v>0</v>
      </c>
      <c r="O251" s="190">
        <f>H251*Prices!E$2</f>
        <v>0</v>
      </c>
      <c r="P251" s="190">
        <f t="shared" si="6"/>
        <v>0</v>
      </c>
      <c r="Q251" s="190">
        <f>D251*Prices!A$2</f>
        <v>89026.875</v>
      </c>
      <c r="R251" s="191">
        <f t="shared" si="4"/>
        <v>55000</v>
      </c>
      <c r="S251" s="190">
        <f t="shared" si="5"/>
        <v>144026.875</v>
      </c>
      <c r="T251" s="93">
        <v>250.0</v>
      </c>
      <c r="U251" s="93" t="s">
        <v>80</v>
      </c>
      <c r="V251" s="12" t="s">
        <v>81</v>
      </c>
      <c r="W251" s="12"/>
      <c r="X251" s="12"/>
      <c r="Y251" s="12"/>
      <c r="Z251" s="12"/>
    </row>
    <row r="252">
      <c r="A252" s="93">
        <v>251.0</v>
      </c>
      <c r="B252" s="93">
        <v>2.532</v>
      </c>
      <c r="C252" s="93">
        <f t="shared" si="1"/>
        <v>0.633</v>
      </c>
      <c r="D252" s="93">
        <f t="shared" si="2"/>
        <v>3.165</v>
      </c>
      <c r="E252" s="93">
        <v>0.46</v>
      </c>
      <c r="F252" s="93"/>
      <c r="G252" s="93"/>
      <c r="H252" s="93"/>
      <c r="I252" s="93"/>
      <c r="J252" s="93">
        <v>0.63</v>
      </c>
      <c r="K252" s="93"/>
      <c r="L252" s="190">
        <f>E252*Prices!B$2</f>
        <v>50600</v>
      </c>
      <c r="M252" s="190">
        <f>F252*Prices!C$2</f>
        <v>0</v>
      </c>
      <c r="N252" s="190">
        <f>G252*Prices!D$2</f>
        <v>0</v>
      </c>
      <c r="O252" s="190">
        <f>H252*Prices!E$2</f>
        <v>0</v>
      </c>
      <c r="P252" s="190">
        <f t="shared" si="6"/>
        <v>6300</v>
      </c>
      <c r="Q252" s="190">
        <f>D252*Prices!A$2</f>
        <v>56495.25</v>
      </c>
      <c r="R252" s="191">
        <f t="shared" si="4"/>
        <v>50600</v>
      </c>
      <c r="S252" s="190">
        <f t="shared" si="5"/>
        <v>113395.25</v>
      </c>
      <c r="T252" s="93">
        <v>251.0</v>
      </c>
      <c r="U252" s="93" t="s">
        <v>80</v>
      </c>
      <c r="V252" s="12" t="s">
        <v>81</v>
      </c>
      <c r="W252" s="12"/>
      <c r="X252" s="12"/>
      <c r="Y252" s="12"/>
      <c r="Z252" s="12"/>
    </row>
    <row r="253">
      <c r="A253" s="93">
        <v>252.0</v>
      </c>
      <c r="B253" s="93">
        <v>2.486</v>
      </c>
      <c r="C253" s="93">
        <f t="shared" si="1"/>
        <v>0.6215</v>
      </c>
      <c r="D253" s="93">
        <f t="shared" si="2"/>
        <v>3.1075</v>
      </c>
      <c r="E253" s="93">
        <v>0.22</v>
      </c>
      <c r="F253" s="93"/>
      <c r="G253" s="93"/>
      <c r="H253" s="93"/>
      <c r="I253" s="93"/>
      <c r="J253" s="93">
        <v>0.55</v>
      </c>
      <c r="K253" s="93"/>
      <c r="L253" s="190">
        <f>E253*Prices!B$2</f>
        <v>24200</v>
      </c>
      <c r="M253" s="190">
        <f>F253*Prices!C$2</f>
        <v>0</v>
      </c>
      <c r="N253" s="190">
        <f>G253*Prices!D$2</f>
        <v>0</v>
      </c>
      <c r="O253" s="190">
        <f>H253*Prices!E$2</f>
        <v>0</v>
      </c>
      <c r="P253" s="190">
        <f t="shared" si="6"/>
        <v>5500</v>
      </c>
      <c r="Q253" s="190">
        <f>D253*Prices!A$2</f>
        <v>55468.875</v>
      </c>
      <c r="R253" s="191">
        <f t="shared" si="4"/>
        <v>24200</v>
      </c>
      <c r="S253" s="190">
        <f t="shared" si="5"/>
        <v>85168.875</v>
      </c>
      <c r="T253" s="93">
        <v>252.0</v>
      </c>
      <c r="U253" s="93" t="s">
        <v>82</v>
      </c>
      <c r="V253" s="12"/>
      <c r="W253" s="12"/>
      <c r="X253" s="12"/>
      <c r="Y253" s="12"/>
      <c r="Z253" s="12"/>
    </row>
    <row r="254">
      <c r="A254" s="93">
        <v>253.0</v>
      </c>
      <c r="B254" s="93">
        <v>2.924</v>
      </c>
      <c r="C254" s="93">
        <f t="shared" si="1"/>
        <v>0.731</v>
      </c>
      <c r="D254" s="93">
        <f t="shared" si="2"/>
        <v>3.655</v>
      </c>
      <c r="E254" s="93">
        <v>0.31</v>
      </c>
      <c r="F254" s="93"/>
      <c r="G254" s="93"/>
      <c r="H254" s="93"/>
      <c r="I254" s="93"/>
      <c r="J254" s="93"/>
      <c r="K254" s="93">
        <v>2.07</v>
      </c>
      <c r="L254" s="190">
        <f>E254*Prices!B$2</f>
        <v>34100</v>
      </c>
      <c r="M254" s="190">
        <f>F254*Prices!C$2</f>
        <v>0</v>
      </c>
      <c r="N254" s="190">
        <f>G254*Prices!D$2</f>
        <v>0</v>
      </c>
      <c r="O254" s="190">
        <f>H254*Prices!E$2</f>
        <v>0</v>
      </c>
      <c r="P254" s="190">
        <f t="shared" si="6"/>
        <v>3726</v>
      </c>
      <c r="Q254" s="190">
        <f>D254*Prices!A$2</f>
        <v>65241.75</v>
      </c>
      <c r="R254" s="191">
        <f t="shared" si="4"/>
        <v>34100</v>
      </c>
      <c r="S254" s="190">
        <f t="shared" si="5"/>
        <v>103067.75</v>
      </c>
      <c r="T254" s="93">
        <v>253.0</v>
      </c>
      <c r="U254" s="93" t="s">
        <v>80</v>
      </c>
      <c r="V254" s="12" t="s">
        <v>81</v>
      </c>
      <c r="W254" s="12"/>
      <c r="X254" s="12"/>
      <c r="Y254" s="12"/>
      <c r="Z254" s="12"/>
    </row>
    <row r="255">
      <c r="A255" s="93">
        <v>254.0</v>
      </c>
      <c r="B255" s="93">
        <v>2.904</v>
      </c>
      <c r="C255" s="93">
        <f t="shared" si="1"/>
        <v>0.726</v>
      </c>
      <c r="D255" s="93">
        <f t="shared" si="2"/>
        <v>3.63</v>
      </c>
      <c r="E255" s="93">
        <v>0.48</v>
      </c>
      <c r="F255" s="93"/>
      <c r="G255" s="93"/>
      <c r="H255" s="93"/>
      <c r="I255" s="93"/>
      <c r="J255" s="93">
        <v>0.55</v>
      </c>
      <c r="K255" s="93"/>
      <c r="L255" s="190">
        <f>E255*Prices!B$2</f>
        <v>52800</v>
      </c>
      <c r="M255" s="190">
        <f>F255*Prices!C$2</f>
        <v>0</v>
      </c>
      <c r="N255" s="190">
        <f>G255*Prices!D$2</f>
        <v>0</v>
      </c>
      <c r="O255" s="190">
        <f>H255*Prices!E$2</f>
        <v>0</v>
      </c>
      <c r="P255" s="190">
        <f t="shared" si="6"/>
        <v>5500</v>
      </c>
      <c r="Q255" s="190">
        <f>D255*Prices!A$2</f>
        <v>64795.5</v>
      </c>
      <c r="R255" s="191">
        <f t="shared" si="4"/>
        <v>52800</v>
      </c>
      <c r="S255" s="190">
        <f t="shared" si="5"/>
        <v>123095.5</v>
      </c>
      <c r="T255" s="93">
        <v>254.0</v>
      </c>
      <c r="U255" s="93" t="s">
        <v>82</v>
      </c>
      <c r="V255" s="12"/>
      <c r="W255" s="12"/>
      <c r="X255" s="12"/>
      <c r="Y255" s="12"/>
      <c r="Z255" s="12"/>
    </row>
    <row r="256">
      <c r="A256" s="93">
        <v>255.0</v>
      </c>
      <c r="B256" s="93">
        <v>3.85</v>
      </c>
      <c r="C256" s="93">
        <f t="shared" si="1"/>
        <v>0.9625</v>
      </c>
      <c r="D256" s="93">
        <f t="shared" si="2"/>
        <v>4.8125</v>
      </c>
      <c r="E256" s="93">
        <v>0.78</v>
      </c>
      <c r="F256" s="93"/>
      <c r="G256" s="93"/>
      <c r="H256" s="93"/>
      <c r="I256" s="93"/>
      <c r="J256" s="93"/>
      <c r="K256" s="93"/>
      <c r="L256" s="190">
        <f>E256*Prices!B$2</f>
        <v>85800</v>
      </c>
      <c r="M256" s="190">
        <f>F256*Prices!C$2</f>
        <v>0</v>
      </c>
      <c r="N256" s="190">
        <f>G256*Prices!D$2</f>
        <v>0</v>
      </c>
      <c r="O256" s="190">
        <f>H256*Prices!E$2</f>
        <v>0</v>
      </c>
      <c r="P256" s="190">
        <f t="shared" si="6"/>
        <v>0</v>
      </c>
      <c r="Q256" s="190">
        <f>D256*Prices!A$2</f>
        <v>85903.125</v>
      </c>
      <c r="R256" s="191">
        <f t="shared" si="4"/>
        <v>85800</v>
      </c>
      <c r="S256" s="190">
        <f t="shared" si="5"/>
        <v>171703.125</v>
      </c>
      <c r="T256" s="93">
        <v>255.0</v>
      </c>
      <c r="U256" s="93" t="s">
        <v>80</v>
      </c>
      <c r="V256" s="12" t="s">
        <v>81</v>
      </c>
      <c r="W256" s="12"/>
      <c r="X256" s="12"/>
      <c r="Y256" s="12"/>
      <c r="Z256" s="12"/>
    </row>
    <row r="257">
      <c r="A257" s="93">
        <v>256.0</v>
      </c>
      <c r="B257" s="93">
        <v>3.905</v>
      </c>
      <c r="C257" s="93">
        <f t="shared" si="1"/>
        <v>0.97625</v>
      </c>
      <c r="D257" s="93">
        <f t="shared" si="2"/>
        <v>4.88125</v>
      </c>
      <c r="E257" s="93">
        <v>0.34</v>
      </c>
      <c r="F257" s="93">
        <v>0.12</v>
      </c>
      <c r="G257" s="93"/>
      <c r="H257" s="93"/>
      <c r="I257" s="93"/>
      <c r="J257" s="93"/>
      <c r="K257" s="93"/>
      <c r="L257" s="190">
        <f>E257*Prices!B$2</f>
        <v>37400</v>
      </c>
      <c r="M257" s="190">
        <f>F257*Prices!C$2</f>
        <v>19200</v>
      </c>
      <c r="N257" s="190">
        <f>G257*Prices!D$2</f>
        <v>0</v>
      </c>
      <c r="O257" s="190">
        <f>H257*Prices!E$2</f>
        <v>0</v>
      </c>
      <c r="P257" s="190">
        <f t="shared" si="6"/>
        <v>0</v>
      </c>
      <c r="Q257" s="190">
        <f>D257*Prices!A$2</f>
        <v>87130.3125</v>
      </c>
      <c r="R257" s="191">
        <f t="shared" si="4"/>
        <v>56600</v>
      </c>
      <c r="S257" s="190">
        <f t="shared" si="5"/>
        <v>143730.3125</v>
      </c>
      <c r="T257" s="93">
        <v>256.0</v>
      </c>
      <c r="U257" s="93" t="s">
        <v>80</v>
      </c>
      <c r="V257" s="12" t="s">
        <v>81</v>
      </c>
      <c r="W257" s="12"/>
      <c r="X257" s="12"/>
      <c r="Y257" s="12"/>
      <c r="Z257" s="12"/>
    </row>
    <row r="258">
      <c r="A258" s="93">
        <v>257.0</v>
      </c>
      <c r="B258" s="93">
        <v>7.404</v>
      </c>
      <c r="C258" s="93">
        <f t="shared" si="1"/>
        <v>1.851</v>
      </c>
      <c r="D258" s="93">
        <f t="shared" si="2"/>
        <v>9.255</v>
      </c>
      <c r="E258" s="93">
        <v>1.46</v>
      </c>
      <c r="F258" s="93"/>
      <c r="G258" s="93"/>
      <c r="H258" s="93"/>
      <c r="I258" s="93">
        <v>0.27</v>
      </c>
      <c r="J258" s="93"/>
      <c r="K258" s="93"/>
      <c r="L258" s="190">
        <f>E258*Prices!B$2</f>
        <v>160600</v>
      </c>
      <c r="M258" s="190">
        <f>F258*Prices!C$2</f>
        <v>0</v>
      </c>
      <c r="N258" s="190">
        <f>G258*Prices!D$2</f>
        <v>0</v>
      </c>
      <c r="O258" s="190">
        <f>H258*Prices!E$2</f>
        <v>0</v>
      </c>
      <c r="P258" s="190">
        <f t="shared" si="6"/>
        <v>540</v>
      </c>
      <c r="Q258" s="190">
        <f>D258*Prices!A$2</f>
        <v>165201.75</v>
      </c>
      <c r="R258" s="191">
        <f t="shared" si="4"/>
        <v>160600</v>
      </c>
      <c r="S258" s="190">
        <f t="shared" si="5"/>
        <v>326341.75</v>
      </c>
      <c r="T258" s="93">
        <v>257.0</v>
      </c>
      <c r="U258" s="26" t="s">
        <v>82</v>
      </c>
      <c r="V258" s="12"/>
      <c r="W258" s="12"/>
      <c r="X258" s="12"/>
      <c r="Y258" s="12"/>
      <c r="Z258" s="12"/>
    </row>
    <row r="259">
      <c r="A259" s="93">
        <v>258.0</v>
      </c>
      <c r="B259" s="93">
        <v>2.218</v>
      </c>
      <c r="C259" s="93">
        <f t="shared" si="1"/>
        <v>0.5545</v>
      </c>
      <c r="D259" s="93">
        <f t="shared" si="2"/>
        <v>2.7725</v>
      </c>
      <c r="E259" s="93"/>
      <c r="F259" s="93"/>
      <c r="G259" s="93">
        <v>0.76</v>
      </c>
      <c r="H259" s="93"/>
      <c r="I259" s="93"/>
      <c r="J259" s="93"/>
      <c r="K259" s="93"/>
      <c r="L259" s="190">
        <f>E259*Prices!B$2</f>
        <v>0</v>
      </c>
      <c r="M259" s="190">
        <f>F259*Prices!C$2</f>
        <v>0</v>
      </c>
      <c r="N259" s="190">
        <f>G259*Prices!D$2</f>
        <v>148200</v>
      </c>
      <c r="O259" s="190">
        <f>H259*Prices!E$2</f>
        <v>0</v>
      </c>
      <c r="P259" s="190">
        <f t="shared" si="6"/>
        <v>0</v>
      </c>
      <c r="Q259" s="190">
        <f>D259*Prices!A$2</f>
        <v>49489.125</v>
      </c>
      <c r="R259" s="191">
        <f t="shared" si="4"/>
        <v>148200</v>
      </c>
      <c r="S259" s="190">
        <f t="shared" si="5"/>
        <v>197689.125</v>
      </c>
      <c r="T259" s="93">
        <v>258.0</v>
      </c>
      <c r="U259" s="93" t="s">
        <v>82</v>
      </c>
      <c r="V259" s="12"/>
      <c r="W259" s="12"/>
      <c r="X259" s="12"/>
      <c r="Y259" s="12"/>
      <c r="Z259" s="12"/>
    </row>
    <row r="260">
      <c r="A260" s="93">
        <v>259.0</v>
      </c>
      <c r="B260" s="93">
        <v>6.002</v>
      </c>
      <c r="C260" s="93">
        <f t="shared" si="1"/>
        <v>1.5005</v>
      </c>
      <c r="D260" s="93">
        <f t="shared" si="2"/>
        <v>7.5025</v>
      </c>
      <c r="E260" s="93">
        <v>1.44</v>
      </c>
      <c r="F260" s="93"/>
      <c r="G260" s="93"/>
      <c r="H260" s="93"/>
      <c r="I260" s="93"/>
      <c r="J260" s="93"/>
      <c r="K260" s="93"/>
      <c r="L260" s="190">
        <f>E260*Prices!B$2</f>
        <v>158400</v>
      </c>
      <c r="M260" s="190">
        <f>F260*Prices!C$2</f>
        <v>0</v>
      </c>
      <c r="N260" s="190">
        <f>G260*Prices!D$2</f>
        <v>0</v>
      </c>
      <c r="O260" s="190">
        <f>H260*Prices!E$2</f>
        <v>0</v>
      </c>
      <c r="P260" s="190">
        <f t="shared" si="6"/>
        <v>0</v>
      </c>
      <c r="Q260" s="190">
        <f>D260*Prices!A$2</f>
        <v>133919.625</v>
      </c>
      <c r="R260" s="191">
        <f t="shared" si="4"/>
        <v>158400</v>
      </c>
      <c r="S260" s="190">
        <f t="shared" si="5"/>
        <v>292319.625</v>
      </c>
      <c r="T260" s="93">
        <v>259.0</v>
      </c>
      <c r="U260" s="93" t="s">
        <v>80</v>
      </c>
      <c r="V260" s="12"/>
      <c r="W260" s="12"/>
      <c r="X260" s="12"/>
      <c r="Y260" s="12"/>
      <c r="Z260" s="12"/>
    </row>
    <row r="261">
      <c r="A261" s="93">
        <v>260.0</v>
      </c>
      <c r="B261" s="93">
        <v>1.82</v>
      </c>
      <c r="C261" s="93">
        <f t="shared" si="1"/>
        <v>0.455</v>
      </c>
      <c r="D261" s="93">
        <f t="shared" si="2"/>
        <v>2.275</v>
      </c>
      <c r="E261" s="93">
        <v>0.33</v>
      </c>
      <c r="F261" s="93"/>
      <c r="G261" s="93"/>
      <c r="H261" s="93"/>
      <c r="I261" s="93"/>
      <c r="J261" s="93"/>
      <c r="K261" s="93"/>
      <c r="L261" s="190">
        <f>E261*Prices!B$2</f>
        <v>36300</v>
      </c>
      <c r="M261" s="190">
        <f>F261*Prices!C$2</f>
        <v>0</v>
      </c>
      <c r="N261" s="190">
        <f>G261*Prices!D$2</f>
        <v>0</v>
      </c>
      <c r="O261" s="190">
        <f>H261*Prices!E$2</f>
        <v>0</v>
      </c>
      <c r="P261" s="190">
        <f t="shared" si="6"/>
        <v>0</v>
      </c>
      <c r="Q261" s="190">
        <f>D261*Prices!A$2</f>
        <v>40608.75</v>
      </c>
      <c r="R261" s="191">
        <f t="shared" si="4"/>
        <v>36300</v>
      </c>
      <c r="S261" s="190">
        <f t="shared" si="5"/>
        <v>76908.75</v>
      </c>
      <c r="T261" s="93">
        <v>260.0</v>
      </c>
      <c r="U261" s="93" t="s">
        <v>80</v>
      </c>
      <c r="V261" s="12" t="s">
        <v>81</v>
      </c>
      <c r="W261" s="12"/>
      <c r="X261" s="12"/>
      <c r="Y261" s="12"/>
      <c r="Z261" s="12"/>
    </row>
    <row r="262">
      <c r="A262" s="93">
        <v>261.0</v>
      </c>
      <c r="B262" s="93">
        <v>1.82</v>
      </c>
      <c r="C262" s="93">
        <f t="shared" si="1"/>
        <v>0.455</v>
      </c>
      <c r="D262" s="93">
        <f t="shared" si="2"/>
        <v>2.275</v>
      </c>
      <c r="E262" s="93">
        <v>0.25</v>
      </c>
      <c r="F262" s="93"/>
      <c r="G262" s="93"/>
      <c r="H262" s="93"/>
      <c r="I262" s="93"/>
      <c r="J262" s="93"/>
      <c r="K262" s="93"/>
      <c r="L262" s="190">
        <f>E262*Prices!B$2</f>
        <v>27500</v>
      </c>
      <c r="M262" s="190">
        <f>F262*Prices!C$2</f>
        <v>0</v>
      </c>
      <c r="N262" s="190">
        <f>G262*Prices!D$2</f>
        <v>0</v>
      </c>
      <c r="O262" s="190">
        <f>H262*Prices!E$2</f>
        <v>0</v>
      </c>
      <c r="P262" s="190">
        <f t="shared" si="6"/>
        <v>0</v>
      </c>
      <c r="Q262" s="190">
        <f>D262*Prices!A$2</f>
        <v>40608.75</v>
      </c>
      <c r="R262" s="191">
        <f t="shared" si="4"/>
        <v>27500</v>
      </c>
      <c r="S262" s="190">
        <f t="shared" si="5"/>
        <v>68108.75</v>
      </c>
      <c r="T262" s="93">
        <v>261.0</v>
      </c>
      <c r="U262" s="93" t="s">
        <v>80</v>
      </c>
      <c r="V262" s="12" t="s">
        <v>81</v>
      </c>
      <c r="W262" s="12"/>
      <c r="X262" s="12"/>
      <c r="Y262" s="12"/>
      <c r="Z262" s="12"/>
    </row>
    <row r="263">
      <c r="A263" s="93">
        <v>262.0</v>
      </c>
      <c r="B263" s="93">
        <v>4.556</v>
      </c>
      <c r="C263" s="93">
        <f t="shared" si="1"/>
        <v>1.139</v>
      </c>
      <c r="D263" s="93">
        <f t="shared" si="2"/>
        <v>5.695</v>
      </c>
      <c r="E263" s="93">
        <v>0.87</v>
      </c>
      <c r="F263" s="93"/>
      <c r="G263" s="93"/>
      <c r="H263" s="93"/>
      <c r="I263" s="93"/>
      <c r="J263" s="93"/>
      <c r="K263" s="93"/>
      <c r="L263" s="190">
        <f>E263*Prices!B$2</f>
        <v>95700</v>
      </c>
      <c r="M263" s="190">
        <f>F263*Prices!C$2</f>
        <v>0</v>
      </c>
      <c r="N263" s="190">
        <f>G263*Prices!D$2</f>
        <v>0</v>
      </c>
      <c r="O263" s="190">
        <f>H263*Prices!E$2</f>
        <v>0</v>
      </c>
      <c r="P263" s="190">
        <f t="shared" si="6"/>
        <v>0</v>
      </c>
      <c r="Q263" s="190">
        <f>D263*Prices!A$2</f>
        <v>101655.75</v>
      </c>
      <c r="R263" s="191">
        <f t="shared" si="4"/>
        <v>95700</v>
      </c>
      <c r="S263" s="190">
        <f t="shared" si="5"/>
        <v>197355.75</v>
      </c>
      <c r="T263" s="93">
        <v>262.0</v>
      </c>
      <c r="U263" s="93" t="s">
        <v>82</v>
      </c>
      <c r="V263" s="12"/>
      <c r="W263" s="12"/>
      <c r="X263" s="12"/>
      <c r="Y263" s="12"/>
      <c r="Z263" s="12"/>
    </row>
    <row r="264">
      <c r="A264" s="93">
        <v>263.0</v>
      </c>
      <c r="B264" s="93">
        <v>3.474</v>
      </c>
      <c r="C264" s="93">
        <f t="shared" si="1"/>
        <v>0.8685</v>
      </c>
      <c r="D264" s="93">
        <f t="shared" si="2"/>
        <v>4.3425</v>
      </c>
      <c r="E264" s="93">
        <v>0.88</v>
      </c>
      <c r="F264" s="93"/>
      <c r="G264" s="93"/>
      <c r="H264" s="93"/>
      <c r="I264" s="93"/>
      <c r="J264" s="93"/>
      <c r="K264" s="93"/>
      <c r="L264" s="190">
        <f>E264*Prices!B$2</f>
        <v>96800</v>
      </c>
      <c r="M264" s="190">
        <f>F264*Prices!C$2</f>
        <v>0</v>
      </c>
      <c r="N264" s="190">
        <f>G264*Prices!D$2</f>
        <v>0</v>
      </c>
      <c r="O264" s="190">
        <f>H264*Prices!E$2</f>
        <v>0</v>
      </c>
      <c r="P264" s="190">
        <f t="shared" si="6"/>
        <v>0</v>
      </c>
      <c r="Q264" s="190">
        <f>D264*Prices!A$2</f>
        <v>77513.625</v>
      </c>
      <c r="R264" s="191">
        <f t="shared" si="4"/>
        <v>96800</v>
      </c>
      <c r="S264" s="190">
        <f t="shared" si="5"/>
        <v>174313.625</v>
      </c>
      <c r="T264" s="93">
        <v>263.0</v>
      </c>
      <c r="U264" s="93" t="s">
        <v>82</v>
      </c>
      <c r="V264" s="12"/>
      <c r="W264" s="12"/>
      <c r="X264" s="12"/>
      <c r="Y264" s="12"/>
      <c r="Z264" s="12"/>
    </row>
    <row r="265">
      <c r="A265" s="93">
        <v>264.0</v>
      </c>
      <c r="B265" s="93">
        <v>1.554</v>
      </c>
      <c r="C265" s="93">
        <f t="shared" si="1"/>
        <v>0.3885</v>
      </c>
      <c r="D265" s="93">
        <f t="shared" si="2"/>
        <v>1.9425</v>
      </c>
      <c r="E265" s="93">
        <v>0.28</v>
      </c>
      <c r="F265" s="93"/>
      <c r="G265" s="93"/>
      <c r="H265" s="93"/>
      <c r="I265" s="93"/>
      <c r="J265" s="93"/>
      <c r="K265" s="93"/>
      <c r="L265" s="190">
        <f>E265*Prices!B$2</f>
        <v>30800</v>
      </c>
      <c r="M265" s="190">
        <f>F265*Prices!C$2</f>
        <v>0</v>
      </c>
      <c r="N265" s="190">
        <f>G265*Prices!D$2</f>
        <v>0</v>
      </c>
      <c r="O265" s="190">
        <f>H265*Prices!E$2</f>
        <v>0</v>
      </c>
      <c r="P265" s="190">
        <f t="shared" si="6"/>
        <v>0</v>
      </c>
      <c r="Q265" s="190">
        <f>D265*Prices!A$2</f>
        <v>34673.625</v>
      </c>
      <c r="R265" s="191">
        <f t="shared" si="4"/>
        <v>30800</v>
      </c>
      <c r="S265" s="190">
        <f t="shared" si="5"/>
        <v>65473.625</v>
      </c>
      <c r="T265" s="93">
        <v>264.0</v>
      </c>
      <c r="U265" s="26" t="s">
        <v>82</v>
      </c>
      <c r="V265" s="12"/>
      <c r="W265" s="12"/>
      <c r="X265" s="12"/>
      <c r="Y265" s="12"/>
      <c r="Z265" s="12"/>
    </row>
    <row r="266">
      <c r="A266" s="93">
        <v>265.0</v>
      </c>
      <c r="B266" s="93">
        <v>1.802</v>
      </c>
      <c r="C266" s="93">
        <f t="shared" si="1"/>
        <v>0.4505</v>
      </c>
      <c r="D266" s="93">
        <f t="shared" si="2"/>
        <v>2.2525</v>
      </c>
      <c r="E266" s="93">
        <v>0.44</v>
      </c>
      <c r="F266" s="93"/>
      <c r="G266" s="93"/>
      <c r="H266" s="93"/>
      <c r="I266" s="93"/>
      <c r="J266" s="93"/>
      <c r="K266" s="93"/>
      <c r="L266" s="190">
        <f>E266*Prices!B$2</f>
        <v>48400</v>
      </c>
      <c r="M266" s="190">
        <f>F266*Prices!C$2</f>
        <v>0</v>
      </c>
      <c r="N266" s="190">
        <f>G266*Prices!D$2</f>
        <v>0</v>
      </c>
      <c r="O266" s="190">
        <f>H266*Prices!E$2</f>
        <v>0</v>
      </c>
      <c r="P266" s="190">
        <f t="shared" si="6"/>
        <v>0</v>
      </c>
      <c r="Q266" s="190">
        <f>D266*Prices!A$2</f>
        <v>40207.125</v>
      </c>
      <c r="R266" s="191">
        <f t="shared" si="4"/>
        <v>48400</v>
      </c>
      <c r="S266" s="190">
        <f t="shared" si="5"/>
        <v>88607.125</v>
      </c>
      <c r="T266" s="93">
        <v>265.0</v>
      </c>
      <c r="U266" s="26" t="s">
        <v>82</v>
      </c>
      <c r="V266" s="12"/>
      <c r="W266" s="12"/>
      <c r="X266" s="12"/>
      <c r="Y266" s="12"/>
      <c r="Z266" s="12"/>
    </row>
    <row r="267">
      <c r="A267" s="93">
        <v>266.0</v>
      </c>
      <c r="B267" s="93">
        <v>2.412</v>
      </c>
      <c r="C267" s="93">
        <f t="shared" si="1"/>
        <v>0.603</v>
      </c>
      <c r="D267" s="93">
        <f t="shared" si="2"/>
        <v>3.015</v>
      </c>
      <c r="E267" s="93">
        <v>0.29</v>
      </c>
      <c r="F267" s="93"/>
      <c r="G267" s="93"/>
      <c r="H267" s="93"/>
      <c r="I267" s="93"/>
      <c r="J267" s="93"/>
      <c r="K267" s="93"/>
      <c r="L267" s="190">
        <f>E267*Prices!B$2</f>
        <v>31900</v>
      </c>
      <c r="M267" s="190">
        <f>F267*Prices!C$2</f>
        <v>0</v>
      </c>
      <c r="N267" s="190">
        <f>G267*Prices!D$2</f>
        <v>0</v>
      </c>
      <c r="O267" s="190">
        <f>H267*Prices!E$2</f>
        <v>0</v>
      </c>
      <c r="P267" s="190">
        <f t="shared" si="6"/>
        <v>0</v>
      </c>
      <c r="Q267" s="190">
        <f>D267*Prices!A$2</f>
        <v>53817.75</v>
      </c>
      <c r="R267" s="191">
        <f t="shared" si="4"/>
        <v>31900</v>
      </c>
      <c r="S267" s="190">
        <f t="shared" si="5"/>
        <v>85717.75</v>
      </c>
      <c r="T267" s="93">
        <v>266.0</v>
      </c>
      <c r="U267" s="93" t="s">
        <v>82</v>
      </c>
      <c r="V267" s="12"/>
      <c r="W267" s="12"/>
      <c r="X267" s="12"/>
      <c r="Y267" s="12"/>
      <c r="Z267" s="12"/>
    </row>
    <row r="268">
      <c r="A268" s="93">
        <v>267.0</v>
      </c>
      <c r="B268" s="93">
        <v>3.45</v>
      </c>
      <c r="C268" s="93">
        <f t="shared" si="1"/>
        <v>0.8625</v>
      </c>
      <c r="D268" s="93">
        <f t="shared" si="2"/>
        <v>4.3125</v>
      </c>
      <c r="E268" s="93">
        <v>0.79</v>
      </c>
      <c r="F268" s="93"/>
      <c r="G268" s="93"/>
      <c r="H268" s="93"/>
      <c r="I268" s="93"/>
      <c r="J268" s="93"/>
      <c r="K268" s="93"/>
      <c r="L268" s="190">
        <f>E268*Prices!B$2</f>
        <v>86900</v>
      </c>
      <c r="M268" s="190">
        <f>F268*Prices!C$2</f>
        <v>0</v>
      </c>
      <c r="N268" s="190">
        <f>G268*Prices!D$2</f>
        <v>0</v>
      </c>
      <c r="O268" s="190">
        <f>H268*Prices!E$2</f>
        <v>0</v>
      </c>
      <c r="P268" s="190">
        <f t="shared" si="6"/>
        <v>0</v>
      </c>
      <c r="Q268" s="190">
        <f>D268*Prices!A$2</f>
        <v>76978.125</v>
      </c>
      <c r="R268" s="191">
        <f t="shared" si="4"/>
        <v>86900</v>
      </c>
      <c r="S268" s="190">
        <f t="shared" si="5"/>
        <v>163878.125</v>
      </c>
      <c r="T268" s="93">
        <v>267.0</v>
      </c>
      <c r="U268" s="93" t="s">
        <v>80</v>
      </c>
      <c r="V268" s="12" t="s">
        <v>81</v>
      </c>
      <c r="W268" s="12"/>
      <c r="X268" s="12"/>
      <c r="Y268" s="12"/>
      <c r="Z268" s="12"/>
    </row>
    <row r="269">
      <c r="A269" s="93">
        <v>268.0</v>
      </c>
      <c r="B269" s="93">
        <v>1.512</v>
      </c>
      <c r="C269" s="93">
        <f t="shared" si="1"/>
        <v>0.378</v>
      </c>
      <c r="D269" s="93">
        <f t="shared" si="2"/>
        <v>1.89</v>
      </c>
      <c r="E269" s="93">
        <v>0.19</v>
      </c>
      <c r="F269" s="93"/>
      <c r="G269" s="93"/>
      <c r="H269" s="93"/>
      <c r="I269" s="93"/>
      <c r="J269" s="93"/>
      <c r="K269" s="93"/>
      <c r="L269" s="190">
        <f>E269*Prices!B$2</f>
        <v>20900</v>
      </c>
      <c r="M269" s="190">
        <f>F269*Prices!C$2</f>
        <v>0</v>
      </c>
      <c r="N269" s="190">
        <f>G269*Prices!D$2</f>
        <v>0</v>
      </c>
      <c r="O269" s="190">
        <f>H269*Prices!E$2</f>
        <v>0</v>
      </c>
      <c r="P269" s="190">
        <f t="shared" si="6"/>
        <v>0</v>
      </c>
      <c r="Q269" s="190">
        <f>D269*Prices!A$2</f>
        <v>33736.5</v>
      </c>
      <c r="R269" s="191">
        <f t="shared" si="4"/>
        <v>20900</v>
      </c>
      <c r="S269" s="190">
        <f t="shared" si="5"/>
        <v>54636.5</v>
      </c>
      <c r="T269" s="93">
        <v>268.0</v>
      </c>
      <c r="U269" s="93" t="s">
        <v>80</v>
      </c>
      <c r="V269" s="12" t="s">
        <v>81</v>
      </c>
      <c r="W269" s="12"/>
      <c r="X269" s="12"/>
      <c r="Y269" s="12"/>
      <c r="Z269" s="12"/>
    </row>
    <row r="270">
      <c r="A270" s="93">
        <v>269.0</v>
      </c>
      <c r="B270" s="93">
        <v>2.86</v>
      </c>
      <c r="C270" s="93">
        <f t="shared" si="1"/>
        <v>0.715</v>
      </c>
      <c r="D270" s="93">
        <f t="shared" si="2"/>
        <v>3.575</v>
      </c>
      <c r="E270" s="93">
        <v>0.35</v>
      </c>
      <c r="F270" s="93"/>
      <c r="G270" s="93"/>
      <c r="H270" s="93"/>
      <c r="I270" s="93"/>
      <c r="J270" s="93"/>
      <c r="K270" s="93"/>
      <c r="L270" s="190">
        <f>E270*Prices!B$2</f>
        <v>38500</v>
      </c>
      <c r="M270" s="190">
        <f>F270*Prices!C$2</f>
        <v>0</v>
      </c>
      <c r="N270" s="190">
        <f>G270*Prices!D$2</f>
        <v>0</v>
      </c>
      <c r="O270" s="190">
        <f>H270*Prices!E$2</f>
        <v>0</v>
      </c>
      <c r="P270" s="190">
        <f t="shared" si="6"/>
        <v>0</v>
      </c>
      <c r="Q270" s="190">
        <f>D270*Prices!A$2</f>
        <v>63813.75</v>
      </c>
      <c r="R270" s="191">
        <f t="shared" si="4"/>
        <v>38500</v>
      </c>
      <c r="S270" s="190">
        <f t="shared" si="5"/>
        <v>102313.75</v>
      </c>
      <c r="T270" s="93">
        <v>269.0</v>
      </c>
      <c r="U270" s="93" t="s">
        <v>80</v>
      </c>
      <c r="V270" s="12" t="s">
        <v>81</v>
      </c>
      <c r="W270" s="12"/>
      <c r="X270" s="12"/>
      <c r="Y270" s="12"/>
      <c r="Z270" s="12"/>
    </row>
    <row r="271">
      <c r="A271" s="93">
        <v>270.0</v>
      </c>
      <c r="B271" s="93">
        <v>1.512</v>
      </c>
      <c r="C271" s="93">
        <f t="shared" si="1"/>
        <v>0.378</v>
      </c>
      <c r="D271" s="93">
        <f t="shared" si="2"/>
        <v>1.89</v>
      </c>
      <c r="E271" s="93">
        <v>0.19</v>
      </c>
      <c r="F271" s="93"/>
      <c r="G271" s="93"/>
      <c r="H271" s="93"/>
      <c r="I271" s="93"/>
      <c r="J271" s="93"/>
      <c r="K271" s="93"/>
      <c r="L271" s="190">
        <f>E271*Prices!B$2</f>
        <v>20900</v>
      </c>
      <c r="M271" s="190">
        <f>F271*Prices!C$2</f>
        <v>0</v>
      </c>
      <c r="N271" s="190">
        <f>G271*Prices!D$2</f>
        <v>0</v>
      </c>
      <c r="O271" s="190">
        <f>H271*Prices!E$2</f>
        <v>0</v>
      </c>
      <c r="P271" s="190">
        <f t="shared" si="6"/>
        <v>0</v>
      </c>
      <c r="Q271" s="190">
        <f>D271*Prices!A$2</f>
        <v>33736.5</v>
      </c>
      <c r="R271" s="191">
        <f t="shared" si="4"/>
        <v>20900</v>
      </c>
      <c r="S271" s="190">
        <f t="shared" si="5"/>
        <v>54636.5</v>
      </c>
      <c r="T271" s="93">
        <v>270.0</v>
      </c>
      <c r="U271" s="93" t="s">
        <v>80</v>
      </c>
      <c r="V271" s="12" t="s">
        <v>81</v>
      </c>
      <c r="W271" s="12"/>
      <c r="X271" s="12"/>
      <c r="Y271" s="12"/>
      <c r="Z271" s="12"/>
    </row>
    <row r="272">
      <c r="A272" s="93">
        <v>271.0</v>
      </c>
      <c r="B272" s="93">
        <v>2.6</v>
      </c>
      <c r="C272" s="93">
        <f t="shared" si="1"/>
        <v>0.65</v>
      </c>
      <c r="D272" s="93">
        <f t="shared" si="2"/>
        <v>3.25</v>
      </c>
      <c r="E272" s="93">
        <v>0.6</v>
      </c>
      <c r="F272" s="93"/>
      <c r="G272" s="93"/>
      <c r="H272" s="93"/>
      <c r="I272" s="93"/>
      <c r="J272" s="93"/>
      <c r="K272" s="93"/>
      <c r="L272" s="190">
        <f>E272*Prices!B$2</f>
        <v>66000</v>
      </c>
      <c r="M272" s="190">
        <f>F272*Prices!C$2</f>
        <v>0</v>
      </c>
      <c r="N272" s="190">
        <f>G272*Prices!D$2</f>
        <v>0</v>
      </c>
      <c r="O272" s="190">
        <f>H272*Prices!E$2</f>
        <v>0</v>
      </c>
      <c r="P272" s="190">
        <f t="shared" si="6"/>
        <v>0</v>
      </c>
      <c r="Q272" s="190">
        <f>D272*Prices!A$2</f>
        <v>58012.5</v>
      </c>
      <c r="R272" s="191">
        <f t="shared" si="4"/>
        <v>66000</v>
      </c>
      <c r="S272" s="190">
        <f t="shared" si="5"/>
        <v>124012.5</v>
      </c>
      <c r="T272" s="93">
        <v>271.0</v>
      </c>
      <c r="U272" s="93" t="s">
        <v>82</v>
      </c>
      <c r="V272" s="12"/>
      <c r="W272" s="12"/>
      <c r="X272" s="12"/>
      <c r="Y272" s="12"/>
      <c r="Z272" s="12"/>
    </row>
    <row r="273">
      <c r="A273" s="93">
        <v>272.0</v>
      </c>
      <c r="B273" s="93">
        <v>3.268</v>
      </c>
      <c r="C273" s="93">
        <f t="shared" si="1"/>
        <v>0.817</v>
      </c>
      <c r="D273" s="93">
        <f t="shared" si="2"/>
        <v>4.085</v>
      </c>
      <c r="E273" s="93">
        <v>0.41</v>
      </c>
      <c r="F273" s="93"/>
      <c r="G273" s="93"/>
      <c r="H273" s="93"/>
      <c r="I273" s="93"/>
      <c r="J273" s="93"/>
      <c r="K273" s="93"/>
      <c r="L273" s="190">
        <f>E273*Prices!B$2</f>
        <v>45100</v>
      </c>
      <c r="M273" s="190">
        <f>F273*Prices!C$2</f>
        <v>0</v>
      </c>
      <c r="N273" s="190">
        <f>G273*Prices!D$2</f>
        <v>0</v>
      </c>
      <c r="O273" s="190">
        <f>H273*Prices!E$2</f>
        <v>0</v>
      </c>
      <c r="P273" s="190">
        <f t="shared" si="6"/>
        <v>0</v>
      </c>
      <c r="Q273" s="190">
        <f>D273*Prices!A$2</f>
        <v>72917.25</v>
      </c>
      <c r="R273" s="191">
        <f t="shared" si="4"/>
        <v>45100</v>
      </c>
      <c r="S273" s="190">
        <f t="shared" si="5"/>
        <v>118017.25</v>
      </c>
      <c r="T273" s="93">
        <v>272.0</v>
      </c>
      <c r="U273" s="93" t="s">
        <v>80</v>
      </c>
      <c r="V273" s="12" t="s">
        <v>81</v>
      </c>
      <c r="W273" s="12"/>
      <c r="X273" s="12"/>
      <c r="Y273" s="12"/>
      <c r="Z273" s="12"/>
    </row>
    <row r="274">
      <c r="A274" s="93">
        <v>273.0</v>
      </c>
      <c r="B274" s="93">
        <v>2.474</v>
      </c>
      <c r="C274" s="93">
        <f t="shared" si="1"/>
        <v>0.6185</v>
      </c>
      <c r="D274" s="93">
        <f t="shared" si="2"/>
        <v>3.0925</v>
      </c>
      <c r="E274" s="93">
        <v>0.18</v>
      </c>
      <c r="F274" s="93">
        <v>0.49</v>
      </c>
      <c r="G274" s="93">
        <v>0.16</v>
      </c>
      <c r="H274" s="93"/>
      <c r="I274" s="93"/>
      <c r="J274" s="93"/>
      <c r="K274" s="93"/>
      <c r="L274" s="190">
        <f>E274*Prices!B$2</f>
        <v>19800</v>
      </c>
      <c r="M274" s="190">
        <f>F274*Prices!C$2</f>
        <v>78400</v>
      </c>
      <c r="N274" s="190">
        <f>G274*Prices!D$2</f>
        <v>31200</v>
      </c>
      <c r="O274" s="190">
        <f>H274*Prices!E$2</f>
        <v>0</v>
      </c>
      <c r="P274" s="190">
        <f t="shared" si="6"/>
        <v>0</v>
      </c>
      <c r="Q274" s="190">
        <f>D274*Prices!A$2</f>
        <v>55201.125</v>
      </c>
      <c r="R274" s="191">
        <f t="shared" si="4"/>
        <v>129400</v>
      </c>
      <c r="S274" s="190">
        <f t="shared" si="5"/>
        <v>184601.125</v>
      </c>
      <c r="T274" s="93">
        <v>273.0</v>
      </c>
      <c r="U274" s="93" t="s">
        <v>80</v>
      </c>
      <c r="V274" s="12" t="s">
        <v>81</v>
      </c>
      <c r="W274" s="12"/>
      <c r="X274" s="12"/>
      <c r="Y274" s="12"/>
      <c r="Z274" s="12"/>
    </row>
    <row r="275">
      <c r="A275" s="93">
        <v>274.0</v>
      </c>
      <c r="B275" s="93">
        <v>3.262</v>
      </c>
      <c r="C275" s="93">
        <f t="shared" si="1"/>
        <v>0.8155</v>
      </c>
      <c r="D275" s="93">
        <f t="shared" si="2"/>
        <v>4.0775</v>
      </c>
      <c r="E275" s="93">
        <v>0.39</v>
      </c>
      <c r="F275" s="93"/>
      <c r="G275" s="93"/>
      <c r="H275" s="93"/>
      <c r="I275" s="93"/>
      <c r="J275" s="93"/>
      <c r="K275" s="93"/>
      <c r="L275" s="190">
        <f>E275*Prices!B$2</f>
        <v>42900</v>
      </c>
      <c r="M275" s="190">
        <f>F275*Prices!C$2</f>
        <v>0</v>
      </c>
      <c r="N275" s="190">
        <f>G275*Prices!D$2</f>
        <v>0</v>
      </c>
      <c r="O275" s="190">
        <f>H275*Prices!E$2</f>
        <v>0</v>
      </c>
      <c r="P275" s="190">
        <f t="shared" si="6"/>
        <v>0</v>
      </c>
      <c r="Q275" s="190">
        <f>D275*Prices!A$2</f>
        <v>72783.375</v>
      </c>
      <c r="R275" s="191">
        <f t="shared" si="4"/>
        <v>42900</v>
      </c>
      <c r="S275" s="190">
        <f t="shared" si="5"/>
        <v>115683.375</v>
      </c>
      <c r="T275" s="93">
        <v>274.0</v>
      </c>
      <c r="U275" s="93" t="s">
        <v>82</v>
      </c>
      <c r="V275" s="12"/>
      <c r="W275" s="12"/>
      <c r="X275" s="12"/>
      <c r="Y275" s="12"/>
      <c r="Z275" s="12"/>
    </row>
    <row r="276">
      <c r="A276" s="93">
        <v>275.0</v>
      </c>
      <c r="B276" s="93">
        <v>1.96</v>
      </c>
      <c r="C276" s="93">
        <f t="shared" si="1"/>
        <v>0.49</v>
      </c>
      <c r="D276" s="93">
        <f t="shared" si="2"/>
        <v>2.45</v>
      </c>
      <c r="E276" s="93">
        <v>0.19</v>
      </c>
      <c r="F276" s="93"/>
      <c r="G276" s="93"/>
      <c r="H276" s="93"/>
      <c r="I276" s="93"/>
      <c r="J276" s="93"/>
      <c r="K276" s="93"/>
      <c r="L276" s="190">
        <f>E276*Prices!B$2</f>
        <v>20900</v>
      </c>
      <c r="M276" s="190">
        <f>F276*Prices!C$2</f>
        <v>0</v>
      </c>
      <c r="N276" s="190">
        <f>G276*Prices!D$2</f>
        <v>0</v>
      </c>
      <c r="O276" s="190">
        <f>H276*Prices!E$2</f>
        <v>0</v>
      </c>
      <c r="P276" s="190">
        <f t="shared" si="6"/>
        <v>0</v>
      </c>
      <c r="Q276" s="190">
        <f>D276*Prices!A$2</f>
        <v>43732.5</v>
      </c>
      <c r="R276" s="191">
        <f t="shared" si="4"/>
        <v>20900</v>
      </c>
      <c r="S276" s="190">
        <f t="shared" si="5"/>
        <v>64632.5</v>
      </c>
      <c r="T276" s="93">
        <v>275.0</v>
      </c>
      <c r="U276" s="93" t="s">
        <v>80</v>
      </c>
      <c r="V276" s="12" t="s">
        <v>81</v>
      </c>
      <c r="W276" s="12"/>
      <c r="X276" s="12"/>
      <c r="Y276" s="12"/>
      <c r="Z276" s="12"/>
    </row>
    <row r="277">
      <c r="A277" s="93">
        <v>276.0</v>
      </c>
      <c r="B277" s="93">
        <v>2.758</v>
      </c>
      <c r="C277" s="93">
        <f t="shared" si="1"/>
        <v>0.6895</v>
      </c>
      <c r="D277" s="93">
        <f t="shared" si="2"/>
        <v>3.4475</v>
      </c>
      <c r="E277" s="93">
        <v>0.25</v>
      </c>
      <c r="F277" s="93"/>
      <c r="G277" s="93"/>
      <c r="H277" s="93"/>
      <c r="I277" s="93"/>
      <c r="J277" s="93"/>
      <c r="K277" s="93">
        <v>1.41</v>
      </c>
      <c r="L277" s="190">
        <f>E277*Prices!B$2</f>
        <v>27500</v>
      </c>
      <c r="M277" s="190">
        <f>F277*Prices!C$2</f>
        <v>0</v>
      </c>
      <c r="N277" s="190">
        <f>G277*Prices!D$2</f>
        <v>0</v>
      </c>
      <c r="O277" s="190">
        <f>H277*Prices!E$2</f>
        <v>0</v>
      </c>
      <c r="P277" s="190">
        <f t="shared" si="6"/>
        <v>2538</v>
      </c>
      <c r="Q277" s="190">
        <f>D277*Prices!A$2</f>
        <v>61537.875</v>
      </c>
      <c r="R277" s="191">
        <f t="shared" si="4"/>
        <v>27500</v>
      </c>
      <c r="S277" s="190">
        <f t="shared" si="5"/>
        <v>91575.875</v>
      </c>
      <c r="T277" s="93">
        <v>276.0</v>
      </c>
      <c r="U277" s="93" t="s">
        <v>80</v>
      </c>
      <c r="V277" s="12" t="s">
        <v>81</v>
      </c>
      <c r="W277" s="12"/>
      <c r="X277" s="12"/>
      <c r="Y277" s="12"/>
      <c r="Z277" s="12"/>
    </row>
    <row r="278">
      <c r="A278" s="93">
        <v>277.0</v>
      </c>
      <c r="B278" s="93">
        <v>6.756</v>
      </c>
      <c r="C278" s="93">
        <f t="shared" si="1"/>
        <v>1.689</v>
      </c>
      <c r="D278" s="93">
        <f t="shared" si="2"/>
        <v>8.445</v>
      </c>
      <c r="E278" s="93"/>
      <c r="F278" s="93"/>
      <c r="G278" s="93">
        <v>1.81</v>
      </c>
      <c r="H278" s="93"/>
      <c r="I278" s="93"/>
      <c r="J278" s="93"/>
      <c r="K278" s="93"/>
      <c r="L278" s="190">
        <f>E278*Prices!B$2</f>
        <v>0</v>
      </c>
      <c r="M278" s="190">
        <f>F278*Prices!C$2</f>
        <v>0</v>
      </c>
      <c r="N278" s="190">
        <f>G278*Prices!D$2</f>
        <v>352950</v>
      </c>
      <c r="O278" s="190">
        <f>H278*Prices!E$2</f>
        <v>0</v>
      </c>
      <c r="P278" s="190">
        <f t="shared" si="6"/>
        <v>0</v>
      </c>
      <c r="Q278" s="190">
        <f>D278*Prices!A$2</f>
        <v>150743.25</v>
      </c>
      <c r="R278" s="191">
        <f t="shared" si="4"/>
        <v>352950</v>
      </c>
      <c r="S278" s="190">
        <f t="shared" si="5"/>
        <v>503693.25</v>
      </c>
      <c r="T278" s="93">
        <v>277.0</v>
      </c>
      <c r="U278" s="93" t="s">
        <v>82</v>
      </c>
      <c r="V278" s="12"/>
      <c r="W278" s="12"/>
      <c r="X278" s="12"/>
      <c r="Y278" s="12"/>
      <c r="Z278" s="12"/>
    </row>
    <row r="279">
      <c r="A279" s="93">
        <v>278.0</v>
      </c>
      <c r="B279" s="93">
        <v>4.716</v>
      </c>
      <c r="C279" s="93">
        <f t="shared" si="1"/>
        <v>1.179</v>
      </c>
      <c r="D279" s="93">
        <f t="shared" si="2"/>
        <v>5.895</v>
      </c>
      <c r="E279" s="93">
        <v>0.57</v>
      </c>
      <c r="F279" s="93"/>
      <c r="G279" s="93"/>
      <c r="H279" s="93"/>
      <c r="I279" s="93"/>
      <c r="J279" s="93"/>
      <c r="K279" s="93">
        <v>7.6</v>
      </c>
      <c r="L279" s="190">
        <f>E279*Prices!B$2</f>
        <v>62700</v>
      </c>
      <c r="M279" s="190">
        <f>F279*Prices!C$2</f>
        <v>0</v>
      </c>
      <c r="N279" s="190">
        <f>G279*Prices!D$2</f>
        <v>0</v>
      </c>
      <c r="O279" s="190">
        <f>H279*Prices!E$2</f>
        <v>0</v>
      </c>
      <c r="P279" s="190">
        <f t="shared" ref="P279:P304" si="7">I279*2000+J279*10000+K279*850</f>
        <v>6460</v>
      </c>
      <c r="Q279" s="190">
        <f>D279*Prices!A$2</f>
        <v>105225.75</v>
      </c>
      <c r="R279" s="191">
        <f t="shared" si="4"/>
        <v>62700</v>
      </c>
      <c r="S279" s="190">
        <f t="shared" si="5"/>
        <v>174385.75</v>
      </c>
      <c r="T279" s="93">
        <v>278.0</v>
      </c>
      <c r="U279" s="93" t="s">
        <v>80</v>
      </c>
      <c r="V279" s="12" t="s">
        <v>81</v>
      </c>
      <c r="W279" s="12"/>
      <c r="X279" s="12"/>
      <c r="Y279" s="12"/>
      <c r="Z279" s="12"/>
    </row>
    <row r="280">
      <c r="A280" s="93">
        <v>279.0</v>
      </c>
      <c r="B280" s="93">
        <v>4.346</v>
      </c>
      <c r="C280" s="93">
        <f t="shared" si="1"/>
        <v>1.0865</v>
      </c>
      <c r="D280" s="93">
        <f t="shared" si="2"/>
        <v>5.4325</v>
      </c>
      <c r="E280" s="93">
        <v>0.57</v>
      </c>
      <c r="F280" s="93"/>
      <c r="G280" s="93"/>
      <c r="H280" s="93"/>
      <c r="I280" s="93"/>
      <c r="J280" s="93"/>
      <c r="K280" s="93">
        <v>6.35</v>
      </c>
      <c r="L280" s="190">
        <f>E280*Prices!B$2</f>
        <v>62700</v>
      </c>
      <c r="M280" s="190">
        <f>F280*Prices!C$2</f>
        <v>0</v>
      </c>
      <c r="N280" s="190">
        <f>G280*Prices!D$2</f>
        <v>0</v>
      </c>
      <c r="O280" s="190">
        <f>H280*Prices!E$2</f>
        <v>0</v>
      </c>
      <c r="P280" s="190">
        <f t="shared" si="7"/>
        <v>5397.5</v>
      </c>
      <c r="Q280" s="190">
        <f>D280*Prices!A$2</f>
        <v>96970.125</v>
      </c>
      <c r="R280" s="191">
        <f t="shared" si="4"/>
        <v>62700</v>
      </c>
      <c r="S280" s="190">
        <f t="shared" si="5"/>
        <v>165067.625</v>
      </c>
      <c r="T280" s="93">
        <v>279.0</v>
      </c>
      <c r="U280" s="93" t="s">
        <v>82</v>
      </c>
      <c r="V280" s="12"/>
      <c r="W280" s="12"/>
      <c r="X280" s="12"/>
      <c r="Y280" s="12"/>
      <c r="Z280" s="12"/>
    </row>
    <row r="281">
      <c r="A281" s="93">
        <v>280.0</v>
      </c>
      <c r="B281" s="93">
        <v>4.498</v>
      </c>
      <c r="C281" s="93">
        <f t="shared" si="1"/>
        <v>1.1245</v>
      </c>
      <c r="D281" s="93">
        <f t="shared" si="2"/>
        <v>5.6225</v>
      </c>
      <c r="E281" s="93">
        <v>0.56</v>
      </c>
      <c r="F281" s="93"/>
      <c r="G281" s="93"/>
      <c r="H281" s="93"/>
      <c r="I281" s="93"/>
      <c r="J281" s="93"/>
      <c r="K281" s="93">
        <v>8.1</v>
      </c>
      <c r="L281" s="190">
        <f>E281*Prices!B$2</f>
        <v>61600</v>
      </c>
      <c r="M281" s="190">
        <f>F281*Prices!C$2</f>
        <v>0</v>
      </c>
      <c r="N281" s="190">
        <f>G281*Prices!D$2</f>
        <v>0</v>
      </c>
      <c r="O281" s="190">
        <f>H281*Prices!E$2</f>
        <v>0</v>
      </c>
      <c r="P281" s="190">
        <f t="shared" si="7"/>
        <v>6885</v>
      </c>
      <c r="Q281" s="190">
        <f>D281*Prices!A$2</f>
        <v>100361.625</v>
      </c>
      <c r="R281" s="191">
        <f t="shared" si="4"/>
        <v>61600</v>
      </c>
      <c r="S281" s="190">
        <f t="shared" si="5"/>
        <v>168846.625</v>
      </c>
      <c r="T281" s="93">
        <v>280.0</v>
      </c>
      <c r="U281" s="26" t="s">
        <v>82</v>
      </c>
      <c r="V281" s="12"/>
      <c r="W281" s="12"/>
      <c r="X281" s="12"/>
      <c r="Y281" s="12"/>
      <c r="Z281" s="12"/>
    </row>
    <row r="282">
      <c r="A282" s="93">
        <v>281.0</v>
      </c>
      <c r="B282" s="93">
        <v>4.546</v>
      </c>
      <c r="C282" s="93">
        <f t="shared" si="1"/>
        <v>1.1365</v>
      </c>
      <c r="D282" s="93">
        <f t="shared" si="2"/>
        <v>5.6825</v>
      </c>
      <c r="E282" s="93">
        <v>0.57</v>
      </c>
      <c r="F282" s="93"/>
      <c r="G282" s="93"/>
      <c r="H282" s="93"/>
      <c r="I282" s="93"/>
      <c r="J282" s="93"/>
      <c r="K282" s="93">
        <v>7.15</v>
      </c>
      <c r="L282" s="190">
        <f>E282*Prices!B$2</f>
        <v>62700</v>
      </c>
      <c r="M282" s="190">
        <f>F282*Prices!C$2</f>
        <v>0</v>
      </c>
      <c r="N282" s="190">
        <f>G282*Prices!D$2</f>
        <v>0</v>
      </c>
      <c r="O282" s="190">
        <f>H282*Prices!E$2</f>
        <v>0</v>
      </c>
      <c r="P282" s="190">
        <f t="shared" si="7"/>
        <v>6077.5</v>
      </c>
      <c r="Q282" s="190">
        <f>D282*Prices!A$2</f>
        <v>101432.625</v>
      </c>
      <c r="R282" s="191">
        <f t="shared" si="4"/>
        <v>62700</v>
      </c>
      <c r="S282" s="190">
        <f t="shared" si="5"/>
        <v>170210.125</v>
      </c>
      <c r="T282" s="93">
        <v>281.0</v>
      </c>
      <c r="U282" s="93" t="s">
        <v>80</v>
      </c>
      <c r="V282" s="12" t="s">
        <v>81</v>
      </c>
      <c r="W282" s="12"/>
      <c r="X282" s="12"/>
      <c r="Y282" s="12"/>
      <c r="Z282" s="12"/>
    </row>
    <row r="283">
      <c r="A283" s="93">
        <v>282.0</v>
      </c>
      <c r="B283" s="93">
        <v>5.254</v>
      </c>
      <c r="C283" s="93">
        <f t="shared" si="1"/>
        <v>1.3135</v>
      </c>
      <c r="D283" s="93">
        <f t="shared" si="2"/>
        <v>6.5675</v>
      </c>
      <c r="E283" s="93">
        <v>0.9</v>
      </c>
      <c r="F283" s="93">
        <v>0.18</v>
      </c>
      <c r="G283" s="93"/>
      <c r="H283" s="93"/>
      <c r="I283" s="93"/>
      <c r="J283" s="93"/>
      <c r="K283" s="93"/>
      <c r="L283" s="190">
        <f>E283*Prices!B$2</f>
        <v>99000</v>
      </c>
      <c r="M283" s="190">
        <f>F283*Prices!C$2</f>
        <v>28800</v>
      </c>
      <c r="N283" s="190">
        <f>G283*Prices!D$2</f>
        <v>0</v>
      </c>
      <c r="O283" s="190">
        <f>H283*Prices!E$2</f>
        <v>0</v>
      </c>
      <c r="P283" s="190">
        <f t="shared" si="7"/>
        <v>0</v>
      </c>
      <c r="Q283" s="190">
        <f>D283*Prices!A$2</f>
        <v>117229.875</v>
      </c>
      <c r="R283" s="191">
        <f t="shared" si="4"/>
        <v>127800</v>
      </c>
      <c r="S283" s="190">
        <f t="shared" si="5"/>
        <v>245029.875</v>
      </c>
      <c r="T283" s="93">
        <v>282.0</v>
      </c>
      <c r="U283" s="93" t="s">
        <v>82</v>
      </c>
      <c r="V283" s="12"/>
      <c r="W283" s="12"/>
      <c r="X283" s="12"/>
      <c r="Y283" s="12"/>
      <c r="Z283" s="12"/>
    </row>
    <row r="284">
      <c r="A284" s="93">
        <v>283.0</v>
      </c>
      <c r="B284" s="93">
        <v>6.588</v>
      </c>
      <c r="C284" s="93">
        <f t="shared" si="1"/>
        <v>1.647</v>
      </c>
      <c r="D284" s="93">
        <f t="shared" si="2"/>
        <v>8.235</v>
      </c>
      <c r="E284" s="93">
        <v>1.06</v>
      </c>
      <c r="F284" s="93"/>
      <c r="G284" s="93"/>
      <c r="H284" s="93"/>
      <c r="I284" s="93"/>
      <c r="J284" s="93"/>
      <c r="K284" s="93">
        <v>5.5</v>
      </c>
      <c r="L284" s="190">
        <f>E284*Prices!B$2</f>
        <v>116600</v>
      </c>
      <c r="M284" s="190">
        <f>F284*Prices!C$2</f>
        <v>0</v>
      </c>
      <c r="N284" s="190">
        <f>G284*Prices!D$2</f>
        <v>0</v>
      </c>
      <c r="O284" s="190">
        <f>H284*Prices!E$2</f>
        <v>0</v>
      </c>
      <c r="P284" s="190">
        <f t="shared" si="7"/>
        <v>4675</v>
      </c>
      <c r="Q284" s="190">
        <f>D284*Prices!A$2</f>
        <v>146994.75</v>
      </c>
      <c r="R284" s="191">
        <f t="shared" si="4"/>
        <v>116600</v>
      </c>
      <c r="S284" s="190">
        <f t="shared" si="5"/>
        <v>268269.75</v>
      </c>
      <c r="T284" s="93">
        <v>283.0</v>
      </c>
      <c r="U284" s="93" t="s">
        <v>80</v>
      </c>
      <c r="V284" s="12" t="s">
        <v>81</v>
      </c>
      <c r="W284" s="12"/>
      <c r="X284" s="12"/>
      <c r="Y284" s="12"/>
      <c r="Z284" s="12"/>
    </row>
    <row r="285">
      <c r="A285" s="93">
        <v>284.0</v>
      </c>
      <c r="B285" s="93">
        <v>9.76</v>
      </c>
      <c r="C285" s="93">
        <f t="shared" si="1"/>
        <v>2.44</v>
      </c>
      <c r="D285" s="93">
        <f t="shared" si="2"/>
        <v>12.2</v>
      </c>
      <c r="E285" s="93">
        <v>1.7</v>
      </c>
      <c r="F285" s="93"/>
      <c r="G285" s="93"/>
      <c r="H285" s="93"/>
      <c r="I285" s="93"/>
      <c r="J285" s="93"/>
      <c r="K285" s="93">
        <v>8.4</v>
      </c>
      <c r="L285" s="190">
        <f>E285*Prices!B$2</f>
        <v>187000</v>
      </c>
      <c r="M285" s="190">
        <f>F285*Prices!C$2</f>
        <v>0</v>
      </c>
      <c r="N285" s="190">
        <f>G285*Prices!D$2</f>
        <v>0</v>
      </c>
      <c r="O285" s="190">
        <f>H285*Prices!E$2</f>
        <v>0</v>
      </c>
      <c r="P285" s="190">
        <f t="shared" si="7"/>
        <v>7140</v>
      </c>
      <c r="Q285" s="190">
        <f>D285*Prices!A$2</f>
        <v>217770</v>
      </c>
      <c r="R285" s="191">
        <f t="shared" si="4"/>
        <v>187000</v>
      </c>
      <c r="S285" s="190">
        <f t="shared" si="5"/>
        <v>411910</v>
      </c>
      <c r="T285" s="93">
        <v>284.0</v>
      </c>
      <c r="U285" s="93" t="s">
        <v>82</v>
      </c>
      <c r="V285" s="12"/>
      <c r="W285" s="12"/>
      <c r="X285" s="12"/>
      <c r="Y285" s="12"/>
      <c r="Z285" s="12"/>
    </row>
    <row r="286">
      <c r="A286" s="93">
        <v>285.0</v>
      </c>
      <c r="B286" s="93">
        <v>3.556</v>
      </c>
      <c r="C286" s="93">
        <f t="shared" si="1"/>
        <v>0.889</v>
      </c>
      <c r="D286" s="93">
        <f t="shared" si="2"/>
        <v>4.445</v>
      </c>
      <c r="E286" s="93">
        <v>0.57</v>
      </c>
      <c r="F286" s="93"/>
      <c r="G286" s="93"/>
      <c r="H286" s="93"/>
      <c r="I286" s="93"/>
      <c r="J286" s="93"/>
      <c r="K286" s="93"/>
      <c r="L286" s="190">
        <f>E286*Prices!B$2</f>
        <v>62700</v>
      </c>
      <c r="M286" s="190">
        <f>F286*Prices!C$2</f>
        <v>0</v>
      </c>
      <c r="N286" s="190">
        <f>G286*Prices!D$2</f>
        <v>0</v>
      </c>
      <c r="O286" s="190">
        <f>H286*Prices!E$2</f>
        <v>0</v>
      </c>
      <c r="P286" s="190">
        <f t="shared" si="7"/>
        <v>0</v>
      </c>
      <c r="Q286" s="190">
        <f>D286*Prices!A$2</f>
        <v>79343.25</v>
      </c>
      <c r="R286" s="191">
        <f t="shared" si="4"/>
        <v>62700</v>
      </c>
      <c r="S286" s="190">
        <f t="shared" si="5"/>
        <v>142043.25</v>
      </c>
      <c r="T286" s="93">
        <v>285.0</v>
      </c>
      <c r="U286" s="93" t="s">
        <v>82</v>
      </c>
      <c r="V286" s="12"/>
      <c r="W286" s="12"/>
      <c r="X286" s="12"/>
      <c r="Y286" s="12"/>
      <c r="Z286" s="12"/>
    </row>
    <row r="287">
      <c r="A287" s="93">
        <v>286.0</v>
      </c>
      <c r="B287" s="93">
        <v>2.34</v>
      </c>
      <c r="C287" s="93">
        <f t="shared" si="1"/>
        <v>0.585</v>
      </c>
      <c r="D287" s="93">
        <f t="shared" si="2"/>
        <v>2.925</v>
      </c>
      <c r="E287" s="93"/>
      <c r="F287" s="93"/>
      <c r="G287" s="93"/>
      <c r="H287" s="93">
        <v>0.22</v>
      </c>
      <c r="I287" s="93"/>
      <c r="J287" s="93"/>
      <c r="K287" s="93"/>
      <c r="L287" s="190">
        <f>E287*Prices!B$2</f>
        <v>0</v>
      </c>
      <c r="M287" s="190">
        <f>F287*Prices!C$2</f>
        <v>0</v>
      </c>
      <c r="N287" s="190">
        <f>G287*Prices!D$2</f>
        <v>0</v>
      </c>
      <c r="O287" s="190">
        <f t="shared" ref="O287:O365" si="8">H287*160000</f>
        <v>35200</v>
      </c>
      <c r="P287" s="190">
        <f t="shared" si="7"/>
        <v>0</v>
      </c>
      <c r="Q287" s="190">
        <f>D287*Prices!A$2</f>
        <v>52211.25</v>
      </c>
      <c r="R287" s="191">
        <f t="shared" si="4"/>
        <v>35200</v>
      </c>
      <c r="S287" s="190">
        <f t="shared" si="5"/>
        <v>87411.25</v>
      </c>
      <c r="T287" s="93">
        <v>286.0</v>
      </c>
      <c r="U287" s="93" t="s">
        <v>80</v>
      </c>
      <c r="V287" s="12" t="s">
        <v>81</v>
      </c>
      <c r="W287" s="12"/>
      <c r="X287" s="12"/>
      <c r="Y287" s="12"/>
      <c r="Z287" s="12"/>
    </row>
    <row r="288">
      <c r="A288" s="93">
        <v>287.0</v>
      </c>
      <c r="B288" s="93">
        <v>4.154</v>
      </c>
      <c r="C288" s="93">
        <f t="shared" si="1"/>
        <v>1.0385</v>
      </c>
      <c r="D288" s="93">
        <f t="shared" si="2"/>
        <v>5.1925</v>
      </c>
      <c r="E288" s="93">
        <v>0.93</v>
      </c>
      <c r="F288" s="93"/>
      <c r="G288" s="93"/>
      <c r="H288" s="93"/>
      <c r="I288" s="93"/>
      <c r="J288" s="93"/>
      <c r="K288" s="93"/>
      <c r="L288" s="190">
        <f>E288*Prices!B$2</f>
        <v>102300</v>
      </c>
      <c r="M288" s="190">
        <f>F288*Prices!C$2</f>
        <v>0</v>
      </c>
      <c r="N288" s="190">
        <f>G288*Prices!D$2</f>
        <v>0</v>
      </c>
      <c r="O288" s="190">
        <f t="shared" si="8"/>
        <v>0</v>
      </c>
      <c r="P288" s="190">
        <f t="shared" si="7"/>
        <v>0</v>
      </c>
      <c r="Q288" s="190">
        <f>D288*Prices!A$2</f>
        <v>92686.125</v>
      </c>
      <c r="R288" s="191">
        <f t="shared" si="4"/>
        <v>102300</v>
      </c>
      <c r="S288" s="190">
        <f t="shared" si="5"/>
        <v>194986.125</v>
      </c>
      <c r="T288" s="93">
        <v>287.0</v>
      </c>
      <c r="U288" s="93" t="s">
        <v>82</v>
      </c>
      <c r="V288" s="12"/>
      <c r="W288" s="12"/>
      <c r="X288" s="12"/>
      <c r="Y288" s="12"/>
      <c r="Z288" s="12"/>
    </row>
    <row r="289">
      <c r="A289" s="93">
        <v>288.0</v>
      </c>
      <c r="B289" s="93">
        <v>2.416</v>
      </c>
      <c r="C289" s="93">
        <f t="shared" si="1"/>
        <v>0.604</v>
      </c>
      <c r="D289" s="93">
        <f t="shared" si="2"/>
        <v>3.02</v>
      </c>
      <c r="E289" s="93">
        <v>0.18</v>
      </c>
      <c r="F289" s="93">
        <v>0.29</v>
      </c>
      <c r="G289" s="93"/>
      <c r="H289" s="93"/>
      <c r="I289" s="93"/>
      <c r="J289" s="93"/>
      <c r="K289" s="93"/>
      <c r="L289" s="190">
        <f>E289*Prices!B$2</f>
        <v>19800</v>
      </c>
      <c r="M289" s="190">
        <f>F289*Prices!C$2</f>
        <v>46400</v>
      </c>
      <c r="N289" s="190">
        <f>G289*Prices!D$2</f>
        <v>0</v>
      </c>
      <c r="O289" s="190">
        <f t="shared" si="8"/>
        <v>0</v>
      </c>
      <c r="P289" s="190">
        <f t="shared" si="7"/>
        <v>0</v>
      </c>
      <c r="Q289" s="190">
        <f>D289*Prices!A$2</f>
        <v>53907</v>
      </c>
      <c r="R289" s="191">
        <f t="shared" si="4"/>
        <v>66200</v>
      </c>
      <c r="S289" s="190">
        <f t="shared" si="5"/>
        <v>120107</v>
      </c>
      <c r="T289" s="93">
        <v>288.0</v>
      </c>
      <c r="U289" s="93" t="s">
        <v>82</v>
      </c>
      <c r="V289" s="12"/>
      <c r="W289" s="12"/>
      <c r="X289" s="12"/>
      <c r="Y289" s="12"/>
      <c r="Z289" s="12"/>
    </row>
    <row r="290">
      <c r="A290" s="93">
        <v>289.0</v>
      </c>
      <c r="B290" s="93">
        <v>2.386</v>
      </c>
      <c r="C290" s="93">
        <f t="shared" si="1"/>
        <v>0.5965</v>
      </c>
      <c r="D290" s="93">
        <f t="shared" si="2"/>
        <v>2.9825</v>
      </c>
      <c r="E290" s="93">
        <v>0.22</v>
      </c>
      <c r="F290" s="93"/>
      <c r="G290" s="93"/>
      <c r="H290" s="93"/>
      <c r="I290" s="93"/>
      <c r="J290" s="93"/>
      <c r="K290" s="93"/>
      <c r="L290" s="190">
        <f>E290*Prices!B$2</f>
        <v>24200</v>
      </c>
      <c r="M290" s="190">
        <f>F290*Prices!C$2</f>
        <v>0</v>
      </c>
      <c r="N290" s="190">
        <f>G290*Prices!D$2</f>
        <v>0</v>
      </c>
      <c r="O290" s="190">
        <f t="shared" si="8"/>
        <v>0</v>
      </c>
      <c r="P290" s="190">
        <f t="shared" si="7"/>
        <v>0</v>
      </c>
      <c r="Q290" s="190">
        <f>D290*Prices!A$2</f>
        <v>53237.625</v>
      </c>
      <c r="R290" s="191">
        <f t="shared" si="4"/>
        <v>24200</v>
      </c>
      <c r="S290" s="190">
        <f t="shared" si="5"/>
        <v>77437.625</v>
      </c>
      <c r="T290" s="93">
        <v>289.0</v>
      </c>
      <c r="U290" s="93" t="s">
        <v>80</v>
      </c>
      <c r="V290" s="12" t="s">
        <v>81</v>
      </c>
      <c r="W290" s="12"/>
      <c r="X290" s="12"/>
      <c r="Y290" s="12"/>
      <c r="Z290" s="12"/>
    </row>
    <row r="291">
      <c r="A291" s="93">
        <v>290.0</v>
      </c>
      <c r="B291" s="93">
        <v>1.896</v>
      </c>
      <c r="C291" s="93">
        <f t="shared" si="1"/>
        <v>0.474</v>
      </c>
      <c r="D291" s="93">
        <f t="shared" si="2"/>
        <v>2.37</v>
      </c>
      <c r="E291" s="93">
        <v>0.27</v>
      </c>
      <c r="F291" s="93"/>
      <c r="G291" s="93"/>
      <c r="H291" s="93"/>
      <c r="I291" s="93"/>
      <c r="J291" s="93"/>
      <c r="K291" s="93"/>
      <c r="L291" s="190">
        <f>E291*Prices!B$2</f>
        <v>29700</v>
      </c>
      <c r="M291" s="190">
        <f>F291*Prices!C$2</f>
        <v>0</v>
      </c>
      <c r="N291" s="190">
        <f>G291*Prices!D$2</f>
        <v>0</v>
      </c>
      <c r="O291" s="190">
        <f t="shared" si="8"/>
        <v>0</v>
      </c>
      <c r="P291" s="190">
        <f t="shared" si="7"/>
        <v>0</v>
      </c>
      <c r="Q291" s="190">
        <f>D291*Prices!A$2</f>
        <v>42304.5</v>
      </c>
      <c r="R291" s="191">
        <f t="shared" si="4"/>
        <v>29700</v>
      </c>
      <c r="S291" s="190">
        <f t="shared" si="5"/>
        <v>72004.5</v>
      </c>
      <c r="T291" s="93">
        <v>290.0</v>
      </c>
      <c r="U291" s="93" t="s">
        <v>82</v>
      </c>
      <c r="V291" s="12"/>
      <c r="W291" s="12"/>
      <c r="X291" s="12"/>
      <c r="Y291" s="12"/>
      <c r="Z291" s="12"/>
    </row>
    <row r="292">
      <c r="A292" s="93">
        <v>291.0</v>
      </c>
      <c r="B292" s="93">
        <v>3.04</v>
      </c>
      <c r="C292" s="93">
        <f t="shared" si="1"/>
        <v>0.76</v>
      </c>
      <c r="D292" s="93">
        <f t="shared" si="2"/>
        <v>3.8</v>
      </c>
      <c r="E292" s="93">
        <v>0.59</v>
      </c>
      <c r="F292" s="93"/>
      <c r="G292" s="93"/>
      <c r="H292" s="93"/>
      <c r="I292" s="93"/>
      <c r="J292" s="93"/>
      <c r="K292" s="93"/>
      <c r="L292" s="190">
        <f>E292*Prices!B$2</f>
        <v>64900</v>
      </c>
      <c r="M292" s="190">
        <f>F292*Prices!C$2</f>
        <v>0</v>
      </c>
      <c r="N292" s="190">
        <f>G292*Prices!D$2</f>
        <v>0</v>
      </c>
      <c r="O292" s="190">
        <f t="shared" si="8"/>
        <v>0</v>
      </c>
      <c r="P292" s="190">
        <f t="shared" si="7"/>
        <v>0</v>
      </c>
      <c r="Q292" s="190">
        <f>D292*Prices!A$2</f>
        <v>67830</v>
      </c>
      <c r="R292" s="191">
        <f t="shared" si="4"/>
        <v>64900</v>
      </c>
      <c r="S292" s="190">
        <f t="shared" si="5"/>
        <v>132730</v>
      </c>
      <c r="T292" s="93">
        <v>291.0</v>
      </c>
      <c r="U292" s="93" t="s">
        <v>80</v>
      </c>
      <c r="V292" s="12" t="s">
        <v>81</v>
      </c>
      <c r="W292" s="12"/>
      <c r="X292" s="12"/>
      <c r="Y292" s="12"/>
      <c r="Z292" s="12"/>
    </row>
    <row r="293">
      <c r="A293" s="93">
        <v>292.0</v>
      </c>
      <c r="B293" s="93">
        <v>3.826</v>
      </c>
      <c r="C293" s="93">
        <f t="shared" si="1"/>
        <v>0.9565</v>
      </c>
      <c r="D293" s="93">
        <f t="shared" si="2"/>
        <v>4.7825</v>
      </c>
      <c r="E293" s="93">
        <v>0.62</v>
      </c>
      <c r="F293" s="93"/>
      <c r="G293" s="93"/>
      <c r="H293" s="93"/>
      <c r="I293" s="93"/>
      <c r="J293" s="93"/>
      <c r="K293" s="93"/>
      <c r="L293" s="190">
        <f>E293*Prices!B$2</f>
        <v>68200</v>
      </c>
      <c r="M293" s="190">
        <f>F293*Prices!C$2</f>
        <v>0</v>
      </c>
      <c r="N293" s="190">
        <f>G293*Prices!D$2</f>
        <v>0</v>
      </c>
      <c r="O293" s="190">
        <f t="shared" si="8"/>
        <v>0</v>
      </c>
      <c r="P293" s="190">
        <f t="shared" si="7"/>
        <v>0</v>
      </c>
      <c r="Q293" s="190">
        <f>D293*Prices!A$2</f>
        <v>85367.625</v>
      </c>
      <c r="R293" s="191">
        <f t="shared" si="4"/>
        <v>68200</v>
      </c>
      <c r="S293" s="190">
        <f t="shared" si="5"/>
        <v>153567.625</v>
      </c>
      <c r="T293" s="93">
        <v>292.0</v>
      </c>
      <c r="U293" s="93" t="s">
        <v>82</v>
      </c>
      <c r="V293" s="12"/>
      <c r="W293" s="12"/>
      <c r="X293" s="12"/>
      <c r="Y293" s="12"/>
      <c r="Z293" s="12"/>
    </row>
    <row r="294">
      <c r="A294" s="93">
        <v>293.0</v>
      </c>
      <c r="B294" s="93">
        <v>3.486</v>
      </c>
      <c r="C294" s="93">
        <f t="shared" si="1"/>
        <v>0.8715</v>
      </c>
      <c r="D294" s="93">
        <f t="shared" si="2"/>
        <v>4.3575</v>
      </c>
      <c r="E294" s="93">
        <v>0.87</v>
      </c>
      <c r="F294" s="93"/>
      <c r="G294" s="93"/>
      <c r="H294" s="93"/>
      <c r="I294" s="93"/>
      <c r="J294" s="93"/>
      <c r="K294" s="93"/>
      <c r="L294" s="190">
        <f>E294*Prices!B$2</f>
        <v>95700</v>
      </c>
      <c r="M294" s="190">
        <f>F294*Prices!C$2</f>
        <v>0</v>
      </c>
      <c r="N294" s="190">
        <f>G294*Prices!D$2</f>
        <v>0</v>
      </c>
      <c r="O294" s="190">
        <f t="shared" si="8"/>
        <v>0</v>
      </c>
      <c r="P294" s="190">
        <f t="shared" si="7"/>
        <v>0</v>
      </c>
      <c r="Q294" s="190">
        <f>D294*Prices!A$2</f>
        <v>77781.375</v>
      </c>
      <c r="R294" s="191">
        <f t="shared" si="4"/>
        <v>95700</v>
      </c>
      <c r="S294" s="190">
        <f t="shared" si="5"/>
        <v>173481.375</v>
      </c>
      <c r="T294" s="93">
        <v>293.0</v>
      </c>
      <c r="U294" s="93" t="s">
        <v>80</v>
      </c>
      <c r="V294" s="12" t="s">
        <v>81</v>
      </c>
      <c r="W294" s="12"/>
      <c r="X294" s="12"/>
      <c r="Y294" s="12"/>
      <c r="Z294" s="12"/>
    </row>
    <row r="295">
      <c r="A295" s="93">
        <v>294.0</v>
      </c>
      <c r="B295" s="93">
        <v>6.332</v>
      </c>
      <c r="C295" s="93">
        <f t="shared" si="1"/>
        <v>1.583</v>
      </c>
      <c r="D295" s="93">
        <f t="shared" si="2"/>
        <v>7.915</v>
      </c>
      <c r="E295" s="93">
        <v>1.04</v>
      </c>
      <c r="F295" s="93"/>
      <c r="G295" s="93"/>
      <c r="H295" s="93"/>
      <c r="I295" s="93"/>
      <c r="J295" s="93"/>
      <c r="K295" s="93"/>
      <c r="L295" s="190">
        <f>E295*Prices!B$2</f>
        <v>114400</v>
      </c>
      <c r="M295" s="190">
        <f>F295*Prices!C$2</f>
        <v>0</v>
      </c>
      <c r="N295" s="190">
        <f>G295*Prices!D$2</f>
        <v>0</v>
      </c>
      <c r="O295" s="190">
        <f t="shared" si="8"/>
        <v>0</v>
      </c>
      <c r="P295" s="190">
        <f t="shared" si="7"/>
        <v>0</v>
      </c>
      <c r="Q295" s="190">
        <f>D295*Prices!A$2</f>
        <v>141282.75</v>
      </c>
      <c r="R295" s="191">
        <f t="shared" si="4"/>
        <v>114400</v>
      </c>
      <c r="S295" s="190">
        <f t="shared" si="5"/>
        <v>255682.75</v>
      </c>
      <c r="T295" s="93">
        <v>294.0</v>
      </c>
      <c r="U295" s="93" t="s">
        <v>80</v>
      </c>
      <c r="V295" s="12" t="s">
        <v>81</v>
      </c>
      <c r="W295" s="12"/>
      <c r="X295" s="12"/>
      <c r="Y295" s="12"/>
      <c r="Z295" s="12"/>
    </row>
    <row r="296">
      <c r="A296" s="93">
        <v>295.0</v>
      </c>
      <c r="B296" s="93">
        <v>3.764</v>
      </c>
      <c r="C296" s="93">
        <f t="shared" si="1"/>
        <v>0.941</v>
      </c>
      <c r="D296" s="93">
        <f t="shared" si="2"/>
        <v>4.705</v>
      </c>
      <c r="E296" s="93">
        <v>0.68</v>
      </c>
      <c r="F296" s="93"/>
      <c r="G296" s="93"/>
      <c r="H296" s="93"/>
      <c r="I296" s="93"/>
      <c r="J296" s="93"/>
      <c r="K296" s="93"/>
      <c r="L296" s="190">
        <f>E296*Prices!B$2</f>
        <v>74800</v>
      </c>
      <c r="M296" s="190">
        <f>F296*Prices!C$2</f>
        <v>0</v>
      </c>
      <c r="N296" s="190">
        <f>G296*Prices!D$2</f>
        <v>0</v>
      </c>
      <c r="O296" s="190">
        <f t="shared" si="8"/>
        <v>0</v>
      </c>
      <c r="P296" s="190">
        <f t="shared" si="7"/>
        <v>0</v>
      </c>
      <c r="Q296" s="190">
        <f>D296*Prices!A$2</f>
        <v>83984.25</v>
      </c>
      <c r="R296" s="191">
        <f t="shared" si="4"/>
        <v>74800</v>
      </c>
      <c r="S296" s="190">
        <f t="shared" si="5"/>
        <v>158784.25</v>
      </c>
      <c r="T296" s="93">
        <v>295.0</v>
      </c>
      <c r="U296" s="93" t="s">
        <v>82</v>
      </c>
      <c r="V296" s="12"/>
      <c r="W296" s="12"/>
      <c r="X296" s="12"/>
      <c r="Y296" s="12"/>
      <c r="Z296" s="12"/>
    </row>
    <row r="297">
      <c r="A297" s="93">
        <v>296.0</v>
      </c>
      <c r="B297" s="93">
        <v>3.976</v>
      </c>
      <c r="C297" s="93">
        <f t="shared" si="1"/>
        <v>0.994</v>
      </c>
      <c r="D297" s="93">
        <f t="shared" si="2"/>
        <v>4.97</v>
      </c>
      <c r="E297" s="93">
        <v>1.32</v>
      </c>
      <c r="F297" s="93"/>
      <c r="G297" s="93"/>
      <c r="H297" s="93"/>
      <c r="I297" s="93"/>
      <c r="J297" s="93"/>
      <c r="K297" s="93"/>
      <c r="L297" s="190">
        <f>E297*Prices!B$2</f>
        <v>145200</v>
      </c>
      <c r="M297" s="190">
        <f>F297*Prices!C$2</f>
        <v>0</v>
      </c>
      <c r="N297" s="190">
        <f>G297*Prices!D$2</f>
        <v>0</v>
      </c>
      <c r="O297" s="190">
        <f t="shared" si="8"/>
        <v>0</v>
      </c>
      <c r="P297" s="190">
        <f t="shared" si="7"/>
        <v>0</v>
      </c>
      <c r="Q297" s="190">
        <f>D297*Prices!A$2</f>
        <v>88714.5</v>
      </c>
      <c r="R297" s="191">
        <f t="shared" si="4"/>
        <v>145200</v>
      </c>
      <c r="S297" s="190">
        <f t="shared" si="5"/>
        <v>233914.5</v>
      </c>
      <c r="T297" s="93">
        <v>296.0</v>
      </c>
      <c r="U297" s="93" t="s">
        <v>82</v>
      </c>
      <c r="V297" s="12"/>
      <c r="W297" s="12"/>
      <c r="X297" s="12"/>
      <c r="Y297" s="12"/>
      <c r="Z297" s="12"/>
    </row>
    <row r="298">
      <c r="A298" s="93">
        <v>297.0</v>
      </c>
      <c r="B298" s="93">
        <v>4.55</v>
      </c>
      <c r="C298" s="93">
        <f t="shared" si="1"/>
        <v>1.1375</v>
      </c>
      <c r="D298" s="93">
        <f t="shared" si="2"/>
        <v>5.6875</v>
      </c>
      <c r="E298" s="93">
        <v>0.75</v>
      </c>
      <c r="F298" s="93"/>
      <c r="G298" s="93"/>
      <c r="H298" s="93"/>
      <c r="I298" s="93"/>
      <c r="J298" s="93"/>
      <c r="K298" s="93"/>
      <c r="L298" s="190">
        <f>E298*Prices!B$2</f>
        <v>82500</v>
      </c>
      <c r="M298" s="190">
        <f>F298*Prices!C$2</f>
        <v>0</v>
      </c>
      <c r="N298" s="190">
        <f>G298*Prices!D$2</f>
        <v>0</v>
      </c>
      <c r="O298" s="190">
        <f t="shared" si="8"/>
        <v>0</v>
      </c>
      <c r="P298" s="190">
        <f t="shared" si="7"/>
        <v>0</v>
      </c>
      <c r="Q298" s="190">
        <f>D298*Prices!A$2</f>
        <v>101521.875</v>
      </c>
      <c r="R298" s="191">
        <f t="shared" si="4"/>
        <v>82500</v>
      </c>
      <c r="S298" s="190">
        <f t="shared" si="5"/>
        <v>184021.875</v>
      </c>
      <c r="T298" s="93">
        <v>297.0</v>
      </c>
      <c r="U298" s="93" t="s">
        <v>82</v>
      </c>
      <c r="V298" s="12"/>
      <c r="W298" s="12"/>
      <c r="X298" s="12"/>
      <c r="Y298" s="12"/>
      <c r="Z298" s="12"/>
    </row>
    <row r="299">
      <c r="A299" s="93">
        <v>298.0</v>
      </c>
      <c r="B299" s="93">
        <v>2.368</v>
      </c>
      <c r="C299" s="93">
        <f t="shared" si="1"/>
        <v>0.592</v>
      </c>
      <c r="D299" s="93">
        <f t="shared" si="2"/>
        <v>2.96</v>
      </c>
      <c r="E299" s="93">
        <v>0.26</v>
      </c>
      <c r="F299" s="93"/>
      <c r="G299" s="93"/>
      <c r="H299" s="93"/>
      <c r="I299" s="93"/>
      <c r="J299" s="93"/>
      <c r="K299" s="93"/>
      <c r="L299" s="190">
        <f>E299*Prices!B$2</f>
        <v>28600</v>
      </c>
      <c r="M299" s="190">
        <f>F299*Prices!C$2</f>
        <v>0</v>
      </c>
      <c r="N299" s="190">
        <f>G299*Prices!D$2</f>
        <v>0</v>
      </c>
      <c r="O299" s="190">
        <f t="shared" si="8"/>
        <v>0</v>
      </c>
      <c r="P299" s="190">
        <f t="shared" si="7"/>
        <v>0</v>
      </c>
      <c r="Q299" s="190">
        <f>D299*Prices!A$2</f>
        <v>52836</v>
      </c>
      <c r="R299" s="191">
        <f t="shared" si="4"/>
        <v>28600</v>
      </c>
      <c r="S299" s="190">
        <f t="shared" si="5"/>
        <v>81436</v>
      </c>
      <c r="T299" s="93">
        <v>298.0</v>
      </c>
      <c r="U299" s="93" t="s">
        <v>80</v>
      </c>
      <c r="V299" s="12" t="s">
        <v>81</v>
      </c>
      <c r="W299" s="12"/>
      <c r="X299" s="12"/>
      <c r="Y299" s="12"/>
      <c r="Z299" s="12"/>
    </row>
    <row r="300">
      <c r="A300" s="93">
        <v>299.0</v>
      </c>
      <c r="B300" s="93">
        <v>2.984</v>
      </c>
      <c r="C300" s="93">
        <f t="shared" si="1"/>
        <v>0.746</v>
      </c>
      <c r="D300" s="93">
        <f t="shared" si="2"/>
        <v>3.73</v>
      </c>
      <c r="E300" s="93">
        <v>0.73</v>
      </c>
      <c r="F300" s="93"/>
      <c r="G300" s="93"/>
      <c r="H300" s="93"/>
      <c r="I300" s="93"/>
      <c r="J300" s="93"/>
      <c r="K300" s="93"/>
      <c r="L300" s="190">
        <f>E300*Prices!B$2</f>
        <v>80300</v>
      </c>
      <c r="M300" s="190">
        <f>F300*Prices!C$2</f>
        <v>0</v>
      </c>
      <c r="N300" s="190">
        <f>G300*Prices!D$2</f>
        <v>0</v>
      </c>
      <c r="O300" s="190">
        <f t="shared" si="8"/>
        <v>0</v>
      </c>
      <c r="P300" s="190">
        <f t="shared" si="7"/>
        <v>0</v>
      </c>
      <c r="Q300" s="190">
        <f>D300*Prices!A$2</f>
        <v>66580.5</v>
      </c>
      <c r="R300" s="191">
        <f t="shared" si="4"/>
        <v>80300</v>
      </c>
      <c r="S300" s="190">
        <f t="shared" si="5"/>
        <v>146880.5</v>
      </c>
      <c r="T300" s="93">
        <v>299.0</v>
      </c>
      <c r="U300" s="93" t="s">
        <v>80</v>
      </c>
      <c r="V300" s="12" t="s">
        <v>81</v>
      </c>
      <c r="W300" s="12"/>
      <c r="X300" s="12"/>
      <c r="Y300" s="12"/>
      <c r="Z300" s="12"/>
    </row>
    <row r="301">
      <c r="A301" s="93">
        <v>300.0</v>
      </c>
      <c r="B301" s="93">
        <v>1.894</v>
      </c>
      <c r="C301" s="93">
        <f t="shared" si="1"/>
        <v>0.4735</v>
      </c>
      <c r="D301" s="93">
        <f t="shared" si="2"/>
        <v>2.3675</v>
      </c>
      <c r="E301" s="93">
        <v>0.43</v>
      </c>
      <c r="F301" s="93"/>
      <c r="G301" s="93"/>
      <c r="H301" s="93"/>
      <c r="I301" s="93"/>
      <c r="J301" s="93"/>
      <c r="K301" s="93"/>
      <c r="L301" s="190">
        <f>E301*Prices!B$2</f>
        <v>47300</v>
      </c>
      <c r="M301" s="190">
        <f>F301*Prices!C$2</f>
        <v>0</v>
      </c>
      <c r="N301" s="190">
        <f>G301*Prices!D$2</f>
        <v>0</v>
      </c>
      <c r="O301" s="190">
        <f t="shared" si="8"/>
        <v>0</v>
      </c>
      <c r="P301" s="190">
        <f t="shared" si="7"/>
        <v>0</v>
      </c>
      <c r="Q301" s="190">
        <f>D301*Prices!A$2</f>
        <v>42259.875</v>
      </c>
      <c r="R301" s="191">
        <f t="shared" si="4"/>
        <v>47300</v>
      </c>
      <c r="S301" s="190">
        <f t="shared" si="5"/>
        <v>89559.875</v>
      </c>
      <c r="T301" s="93">
        <v>300.0</v>
      </c>
      <c r="U301" s="93" t="s">
        <v>80</v>
      </c>
      <c r="V301" s="12" t="s">
        <v>81</v>
      </c>
      <c r="W301" s="12"/>
      <c r="X301" s="12"/>
      <c r="Y301" s="12"/>
      <c r="Z301" s="12"/>
    </row>
    <row r="302">
      <c r="A302" s="93">
        <v>301.0</v>
      </c>
      <c r="B302" s="93">
        <v>3.358</v>
      </c>
      <c r="C302" s="93">
        <f t="shared" si="1"/>
        <v>0.8395</v>
      </c>
      <c r="D302" s="93">
        <f t="shared" si="2"/>
        <v>4.1975</v>
      </c>
      <c r="E302" s="93">
        <v>0.51</v>
      </c>
      <c r="F302" s="93"/>
      <c r="G302" s="93"/>
      <c r="H302" s="93"/>
      <c r="I302" s="93"/>
      <c r="J302" s="93"/>
      <c r="K302" s="93"/>
      <c r="L302" s="190">
        <f>E302*Prices!B$2</f>
        <v>56100</v>
      </c>
      <c r="M302" s="190">
        <f>F302*Prices!C$2</f>
        <v>0</v>
      </c>
      <c r="N302" s="190">
        <f>G302*Prices!D$2</f>
        <v>0</v>
      </c>
      <c r="O302" s="190">
        <f t="shared" si="8"/>
        <v>0</v>
      </c>
      <c r="P302" s="190">
        <f t="shared" si="7"/>
        <v>0</v>
      </c>
      <c r="Q302" s="190">
        <f>D302*Prices!A$2</f>
        <v>74925.375</v>
      </c>
      <c r="R302" s="191">
        <f t="shared" si="4"/>
        <v>56100</v>
      </c>
      <c r="S302" s="190">
        <f t="shared" si="5"/>
        <v>131025.375</v>
      </c>
      <c r="T302" s="93">
        <v>301.0</v>
      </c>
      <c r="U302" s="93" t="s">
        <v>80</v>
      </c>
      <c r="V302" s="12" t="s">
        <v>81</v>
      </c>
      <c r="W302" s="12"/>
      <c r="X302" s="12"/>
      <c r="Y302" s="12"/>
      <c r="Z302" s="12"/>
    </row>
    <row r="303">
      <c r="A303" s="93">
        <v>302.0</v>
      </c>
      <c r="B303" s="93">
        <v>2.58</v>
      </c>
      <c r="C303" s="93">
        <f t="shared" si="1"/>
        <v>0.645</v>
      </c>
      <c r="D303" s="93">
        <f t="shared" si="2"/>
        <v>3.225</v>
      </c>
      <c r="E303" s="93">
        <v>0.26</v>
      </c>
      <c r="F303" s="93">
        <v>0.09</v>
      </c>
      <c r="G303" s="93"/>
      <c r="H303" s="93"/>
      <c r="I303" s="93"/>
      <c r="J303" s="93"/>
      <c r="K303" s="93"/>
      <c r="L303" s="190">
        <f>E303*Prices!B$2</f>
        <v>28600</v>
      </c>
      <c r="M303" s="190">
        <f>F303*Prices!C$2</f>
        <v>14400</v>
      </c>
      <c r="N303" s="190">
        <f>G303*Prices!D$2</f>
        <v>0</v>
      </c>
      <c r="O303" s="190">
        <f t="shared" si="8"/>
        <v>0</v>
      </c>
      <c r="P303" s="190">
        <f t="shared" si="7"/>
        <v>0</v>
      </c>
      <c r="Q303" s="190">
        <f>D303*Prices!A$2</f>
        <v>57566.25</v>
      </c>
      <c r="R303" s="191">
        <f t="shared" si="4"/>
        <v>43000</v>
      </c>
      <c r="S303" s="190">
        <f t="shared" si="5"/>
        <v>100566.25</v>
      </c>
      <c r="T303" s="93">
        <v>302.0</v>
      </c>
      <c r="U303" s="93" t="s">
        <v>82</v>
      </c>
      <c r="V303" s="12"/>
      <c r="W303" s="12"/>
      <c r="X303" s="12"/>
      <c r="Y303" s="12"/>
      <c r="Z303" s="12"/>
    </row>
    <row r="304">
      <c r="A304" s="93">
        <v>303.0</v>
      </c>
      <c r="B304" s="93">
        <v>3.75</v>
      </c>
      <c r="C304" s="93">
        <f t="shared" si="1"/>
        <v>0.9375</v>
      </c>
      <c r="D304" s="93">
        <f t="shared" si="2"/>
        <v>4.6875</v>
      </c>
      <c r="E304" s="93">
        <v>0.1</v>
      </c>
      <c r="F304" s="93"/>
      <c r="G304" s="93"/>
      <c r="H304" s="93"/>
      <c r="I304" s="93"/>
      <c r="J304" s="93"/>
      <c r="K304" s="93"/>
      <c r="L304" s="190">
        <f>E304*Prices!B$2</f>
        <v>11000</v>
      </c>
      <c r="M304" s="190">
        <f>F304*Prices!C$2</f>
        <v>0</v>
      </c>
      <c r="N304" s="190">
        <f>G304*Prices!D$2</f>
        <v>0</v>
      </c>
      <c r="O304" s="190">
        <f t="shared" si="8"/>
        <v>0</v>
      </c>
      <c r="P304" s="190">
        <f t="shared" si="7"/>
        <v>0</v>
      </c>
      <c r="Q304" s="190">
        <f>D304*Prices!A$2</f>
        <v>83671.875</v>
      </c>
      <c r="R304" s="191">
        <f t="shared" si="4"/>
        <v>11000</v>
      </c>
      <c r="S304" s="190">
        <f t="shared" si="5"/>
        <v>94671.875</v>
      </c>
      <c r="T304" s="93">
        <v>303.0</v>
      </c>
      <c r="U304" s="93" t="s">
        <v>80</v>
      </c>
      <c r="V304" s="12" t="s">
        <v>81</v>
      </c>
      <c r="W304" s="12"/>
      <c r="X304" s="12"/>
      <c r="Y304" s="12"/>
      <c r="Z304" s="12"/>
    </row>
    <row r="305">
      <c r="A305" s="93">
        <v>304.0</v>
      </c>
      <c r="B305" s="93">
        <v>4.216</v>
      </c>
      <c r="C305" s="93">
        <f t="shared" si="1"/>
        <v>1.054</v>
      </c>
      <c r="D305" s="93">
        <f t="shared" si="2"/>
        <v>5.27</v>
      </c>
      <c r="E305" s="93">
        <v>0.5</v>
      </c>
      <c r="F305" s="93"/>
      <c r="G305" s="93"/>
      <c r="H305" s="93"/>
      <c r="I305" s="93"/>
      <c r="J305" s="93"/>
      <c r="K305" s="93"/>
      <c r="L305" s="190">
        <f>E305*Prices!B$2</f>
        <v>55000</v>
      </c>
      <c r="M305" s="190">
        <f>F305*Prices!C$2</f>
        <v>0</v>
      </c>
      <c r="N305" s="190">
        <f>G305*Prices!D$2</f>
        <v>0</v>
      </c>
      <c r="O305" s="190">
        <f t="shared" si="8"/>
        <v>0</v>
      </c>
      <c r="P305" s="190">
        <v>2500.0</v>
      </c>
      <c r="Q305" s="190">
        <f>D305*Prices!A$2</f>
        <v>94069.5</v>
      </c>
      <c r="R305" s="191">
        <f t="shared" si="4"/>
        <v>55000</v>
      </c>
      <c r="S305" s="190">
        <f t="shared" si="5"/>
        <v>151569.5</v>
      </c>
      <c r="T305" s="93">
        <v>304.0</v>
      </c>
      <c r="U305" s="93" t="s">
        <v>80</v>
      </c>
      <c r="V305" s="12" t="s">
        <v>81</v>
      </c>
      <c r="W305" s="12"/>
      <c r="X305" s="12"/>
      <c r="Y305" s="12"/>
      <c r="Z305" s="12"/>
    </row>
    <row r="306">
      <c r="A306" s="93">
        <v>305.0</v>
      </c>
      <c r="B306" s="93">
        <v>3.828</v>
      </c>
      <c r="C306" s="93">
        <f t="shared" si="1"/>
        <v>0.957</v>
      </c>
      <c r="D306" s="93">
        <f t="shared" si="2"/>
        <v>4.785</v>
      </c>
      <c r="E306" s="93">
        <v>0.95</v>
      </c>
      <c r="F306" s="93"/>
      <c r="G306" s="93"/>
      <c r="H306" s="93"/>
      <c r="I306" s="93"/>
      <c r="J306" s="93"/>
      <c r="K306" s="93">
        <v>12.16</v>
      </c>
      <c r="L306" s="190">
        <f>E306*Prices!B$2</f>
        <v>104500</v>
      </c>
      <c r="M306" s="190">
        <f>F306*Prices!C$2</f>
        <v>0</v>
      </c>
      <c r="N306" s="190">
        <f>G306*Prices!D$2</f>
        <v>0</v>
      </c>
      <c r="O306" s="190">
        <f t="shared" si="8"/>
        <v>0</v>
      </c>
      <c r="P306" s="190">
        <f>I306*2000+J306*10000+K306*850</f>
        <v>10336</v>
      </c>
      <c r="Q306" s="190">
        <f>D306*Prices!A$2</f>
        <v>85412.25</v>
      </c>
      <c r="R306" s="191">
        <f t="shared" si="4"/>
        <v>104500</v>
      </c>
      <c r="S306" s="190">
        <f t="shared" si="5"/>
        <v>200248.25</v>
      </c>
      <c r="T306" s="93">
        <v>305.0</v>
      </c>
      <c r="U306" s="93" t="s">
        <v>82</v>
      </c>
      <c r="V306" s="12"/>
      <c r="W306" s="12"/>
      <c r="X306" s="12"/>
      <c r="Y306" s="12"/>
      <c r="Z306" s="12"/>
    </row>
    <row r="307">
      <c r="A307" s="93">
        <v>306.0</v>
      </c>
      <c r="B307" s="93">
        <v>5.134</v>
      </c>
      <c r="C307" s="93">
        <f t="shared" si="1"/>
        <v>1.2835</v>
      </c>
      <c r="D307" s="93">
        <f t="shared" si="2"/>
        <v>6.4175</v>
      </c>
      <c r="E307" s="93">
        <f>0.65+0.29</f>
        <v>0.94</v>
      </c>
      <c r="F307" s="93"/>
      <c r="G307" s="93"/>
      <c r="H307" s="93"/>
      <c r="I307" s="93"/>
      <c r="J307" s="93"/>
      <c r="K307" s="93">
        <v>11.04</v>
      </c>
      <c r="L307" s="190">
        <f>E307*Prices!B$2</f>
        <v>103400</v>
      </c>
      <c r="M307" s="190">
        <f>F307*Prices!C$2</f>
        <v>0</v>
      </c>
      <c r="N307" s="190">
        <f>G307*Prices!D$2</f>
        <v>0</v>
      </c>
      <c r="O307" s="190">
        <f t="shared" si="8"/>
        <v>0</v>
      </c>
      <c r="P307" s="190">
        <f t="shared" ref="P307:P324" si="9">I307*2000+J307*10000+K307*1800</f>
        <v>19872</v>
      </c>
      <c r="Q307" s="190">
        <f>D307*Prices!A$2</f>
        <v>114552.375</v>
      </c>
      <c r="R307" s="191">
        <f t="shared" si="4"/>
        <v>103400</v>
      </c>
      <c r="S307" s="190">
        <f t="shared" si="5"/>
        <v>237824.375</v>
      </c>
      <c r="T307" s="93">
        <v>306.0</v>
      </c>
      <c r="U307" s="93" t="s">
        <v>82</v>
      </c>
      <c r="V307" s="12"/>
      <c r="W307" s="12"/>
      <c r="X307" s="12"/>
      <c r="Y307" s="12"/>
      <c r="Z307" s="12"/>
    </row>
    <row r="308">
      <c r="A308" s="93">
        <v>307.0</v>
      </c>
      <c r="B308" s="93">
        <v>3.91</v>
      </c>
      <c r="C308" s="93">
        <f t="shared" si="1"/>
        <v>0.9775</v>
      </c>
      <c r="D308" s="93">
        <f t="shared" si="2"/>
        <v>4.8875</v>
      </c>
      <c r="E308" s="93">
        <v>0.5</v>
      </c>
      <c r="F308" s="93"/>
      <c r="G308" s="93"/>
      <c r="H308" s="93"/>
      <c r="I308" s="93"/>
      <c r="J308" s="93"/>
      <c r="K308" s="93">
        <v>3.6</v>
      </c>
      <c r="L308" s="190">
        <f>E308*Prices!B$2</f>
        <v>55000</v>
      </c>
      <c r="M308" s="190">
        <f>F308*Prices!C$2</f>
        <v>0</v>
      </c>
      <c r="N308" s="190">
        <f>G308*Prices!D$2</f>
        <v>0</v>
      </c>
      <c r="O308" s="190">
        <f t="shared" si="8"/>
        <v>0</v>
      </c>
      <c r="P308" s="190">
        <f t="shared" si="9"/>
        <v>6480</v>
      </c>
      <c r="Q308" s="190">
        <f>D308*Prices!A$2</f>
        <v>87241.875</v>
      </c>
      <c r="R308" s="191">
        <f t="shared" si="4"/>
        <v>55000</v>
      </c>
      <c r="S308" s="190">
        <f t="shared" si="5"/>
        <v>148721.875</v>
      </c>
      <c r="T308" s="93">
        <v>307.0</v>
      </c>
      <c r="U308" s="93" t="s">
        <v>80</v>
      </c>
      <c r="V308" s="12" t="s">
        <v>81</v>
      </c>
      <c r="W308" s="12"/>
      <c r="X308" s="12"/>
      <c r="Y308" s="12"/>
      <c r="Z308" s="12"/>
    </row>
    <row r="309">
      <c r="A309" s="93">
        <v>308.0</v>
      </c>
      <c r="B309" s="93">
        <v>3.14</v>
      </c>
      <c r="C309" s="93">
        <f t="shared" si="1"/>
        <v>0.785</v>
      </c>
      <c r="D309" s="93">
        <f t="shared" si="2"/>
        <v>3.925</v>
      </c>
      <c r="E309" s="93">
        <v>0.32</v>
      </c>
      <c r="F309" s="93"/>
      <c r="G309" s="93"/>
      <c r="H309" s="93"/>
      <c r="I309" s="93"/>
      <c r="J309" s="93">
        <v>2.5</v>
      </c>
      <c r="K309" s="93"/>
      <c r="L309" s="190">
        <f>E309*Prices!B$2</f>
        <v>35200</v>
      </c>
      <c r="M309" s="190">
        <f>F309*Prices!C$2</f>
        <v>0</v>
      </c>
      <c r="N309" s="190">
        <f>G309*Prices!D$2</f>
        <v>0</v>
      </c>
      <c r="O309" s="190">
        <f t="shared" si="8"/>
        <v>0</v>
      </c>
      <c r="P309" s="190">
        <f t="shared" si="9"/>
        <v>25000</v>
      </c>
      <c r="Q309" s="190">
        <f>D309*Prices!A$2</f>
        <v>70061.25</v>
      </c>
      <c r="R309" s="191">
        <f t="shared" si="4"/>
        <v>35200</v>
      </c>
      <c r="S309" s="190">
        <f t="shared" si="5"/>
        <v>130261.25</v>
      </c>
      <c r="T309" s="93">
        <v>308.0</v>
      </c>
      <c r="U309" s="26" t="s">
        <v>82</v>
      </c>
      <c r="V309" s="12"/>
      <c r="W309" s="12"/>
      <c r="X309" s="12"/>
      <c r="Y309" s="12"/>
      <c r="Z309" s="12"/>
    </row>
    <row r="310">
      <c r="A310" s="93">
        <v>309.0</v>
      </c>
      <c r="B310" s="93">
        <v>4.386</v>
      </c>
      <c r="C310" s="93">
        <f t="shared" si="1"/>
        <v>1.0965</v>
      </c>
      <c r="D310" s="93">
        <f t="shared" si="2"/>
        <v>5.4825</v>
      </c>
      <c r="E310" s="93">
        <v>0.72</v>
      </c>
      <c r="F310" s="12"/>
      <c r="G310" s="12"/>
      <c r="H310" s="12"/>
      <c r="I310" s="12"/>
      <c r="J310" s="12"/>
      <c r="K310" s="12"/>
      <c r="L310" s="190">
        <f>E310*Prices!B$2</f>
        <v>79200</v>
      </c>
      <c r="M310" s="190">
        <f>F310*Prices!C$2</f>
        <v>0</v>
      </c>
      <c r="N310" s="190">
        <f>G310*Prices!D$2</f>
        <v>0</v>
      </c>
      <c r="O310" s="190">
        <f t="shared" si="8"/>
        <v>0</v>
      </c>
      <c r="P310" s="190">
        <f t="shared" si="9"/>
        <v>0</v>
      </c>
      <c r="Q310" s="190">
        <f>D310*Prices!A$2</f>
        <v>97862.625</v>
      </c>
      <c r="R310" s="191">
        <f t="shared" si="4"/>
        <v>79200</v>
      </c>
      <c r="S310" s="190">
        <f t="shared" si="5"/>
        <v>177062.625</v>
      </c>
      <c r="T310" s="93">
        <v>309.0</v>
      </c>
      <c r="U310" s="93" t="s">
        <v>80</v>
      </c>
      <c r="V310" s="12" t="s">
        <v>81</v>
      </c>
      <c r="W310" s="12"/>
      <c r="X310" s="12"/>
      <c r="Y310" s="12"/>
      <c r="Z310" s="12"/>
    </row>
    <row r="311">
      <c r="A311" s="93">
        <v>310.0</v>
      </c>
      <c r="B311" s="93">
        <v>2.292</v>
      </c>
      <c r="C311" s="93">
        <f t="shared" si="1"/>
        <v>0.573</v>
      </c>
      <c r="D311" s="93">
        <f t="shared" si="2"/>
        <v>2.865</v>
      </c>
      <c r="E311" s="93">
        <v>0.34</v>
      </c>
      <c r="F311" s="12"/>
      <c r="G311" s="12"/>
      <c r="H311" s="12"/>
      <c r="I311" s="12"/>
      <c r="J311" s="12"/>
      <c r="K311" s="12"/>
      <c r="L311" s="190">
        <f>E311*Prices!B$2</f>
        <v>37400</v>
      </c>
      <c r="M311" s="190">
        <f>F311*Prices!C$2</f>
        <v>0</v>
      </c>
      <c r="N311" s="190">
        <f>G311*Prices!D$2</f>
        <v>0</v>
      </c>
      <c r="O311" s="190">
        <f t="shared" si="8"/>
        <v>0</v>
      </c>
      <c r="P311" s="190">
        <f t="shared" si="9"/>
        <v>0</v>
      </c>
      <c r="Q311" s="190">
        <f>D311*Prices!A$2</f>
        <v>51140.25</v>
      </c>
      <c r="R311" s="191">
        <f t="shared" si="4"/>
        <v>37400</v>
      </c>
      <c r="S311" s="190">
        <f t="shared" si="5"/>
        <v>88540.25</v>
      </c>
      <c r="T311" s="93">
        <v>310.0</v>
      </c>
      <c r="U311" s="93" t="s">
        <v>82</v>
      </c>
      <c r="V311" s="12"/>
      <c r="W311" s="12"/>
      <c r="X311" s="12"/>
      <c r="Y311" s="12"/>
      <c r="Z311" s="12"/>
    </row>
    <row r="312">
      <c r="A312" s="93">
        <v>311.0</v>
      </c>
      <c r="B312" s="93">
        <v>2.516</v>
      </c>
      <c r="C312" s="93">
        <f t="shared" si="1"/>
        <v>0.629</v>
      </c>
      <c r="D312" s="93">
        <f t="shared" si="2"/>
        <v>3.145</v>
      </c>
      <c r="E312" s="93">
        <v>0.25</v>
      </c>
      <c r="F312" s="12"/>
      <c r="G312" s="12"/>
      <c r="H312" s="12"/>
      <c r="I312" s="12"/>
      <c r="J312" s="12"/>
      <c r="K312" s="12"/>
      <c r="L312" s="190">
        <f>E312*Prices!B$2</f>
        <v>27500</v>
      </c>
      <c r="M312" s="190">
        <f>F312*Prices!C$2</f>
        <v>0</v>
      </c>
      <c r="N312" s="190">
        <f>G312*Prices!D$2</f>
        <v>0</v>
      </c>
      <c r="O312" s="190">
        <f t="shared" si="8"/>
        <v>0</v>
      </c>
      <c r="P312" s="190">
        <f t="shared" si="9"/>
        <v>0</v>
      </c>
      <c r="Q312" s="190">
        <f>D312*Prices!A$2</f>
        <v>56138.25</v>
      </c>
      <c r="R312" s="191">
        <f t="shared" si="4"/>
        <v>27500</v>
      </c>
      <c r="S312" s="190">
        <f t="shared" si="5"/>
        <v>83638.25</v>
      </c>
      <c r="T312" s="93">
        <v>311.0</v>
      </c>
      <c r="U312" s="93" t="s">
        <v>80</v>
      </c>
      <c r="V312" s="12" t="s">
        <v>81</v>
      </c>
      <c r="W312" s="12"/>
      <c r="X312" s="12"/>
      <c r="Y312" s="12"/>
      <c r="Z312" s="12"/>
    </row>
    <row r="313">
      <c r="A313" s="93">
        <v>312.0</v>
      </c>
      <c r="B313" s="93">
        <v>2.414</v>
      </c>
      <c r="C313" s="93">
        <f t="shared" si="1"/>
        <v>0.6035</v>
      </c>
      <c r="D313" s="93">
        <f t="shared" si="2"/>
        <v>3.0175</v>
      </c>
      <c r="E313" s="93">
        <v>0.28</v>
      </c>
      <c r="F313" s="12"/>
      <c r="G313" s="12"/>
      <c r="H313" s="12"/>
      <c r="I313" s="12"/>
      <c r="J313" s="12"/>
      <c r="K313" s="12"/>
      <c r="L313" s="190">
        <f>E313*Prices!B$2</f>
        <v>30800</v>
      </c>
      <c r="M313" s="190">
        <f>F313*Prices!C$2</f>
        <v>0</v>
      </c>
      <c r="N313" s="190">
        <f>G313*Prices!D$2</f>
        <v>0</v>
      </c>
      <c r="O313" s="190">
        <f t="shared" si="8"/>
        <v>0</v>
      </c>
      <c r="P313" s="190">
        <f t="shared" si="9"/>
        <v>0</v>
      </c>
      <c r="Q313" s="190">
        <f>D313*Prices!A$2</f>
        <v>53862.375</v>
      </c>
      <c r="R313" s="191">
        <f t="shared" si="4"/>
        <v>30800</v>
      </c>
      <c r="S313" s="190">
        <f t="shared" si="5"/>
        <v>84662.375</v>
      </c>
      <c r="T313" s="93">
        <v>312.0</v>
      </c>
      <c r="U313" s="93" t="s">
        <v>80</v>
      </c>
      <c r="V313" s="12" t="s">
        <v>81</v>
      </c>
      <c r="W313" s="12"/>
      <c r="X313" s="12"/>
      <c r="Y313" s="12"/>
      <c r="Z313" s="12"/>
    </row>
    <row r="314">
      <c r="A314" s="93">
        <v>313.0</v>
      </c>
      <c r="B314" s="93">
        <v>3.744</v>
      </c>
      <c r="C314" s="93">
        <f t="shared" si="1"/>
        <v>0.936</v>
      </c>
      <c r="D314" s="93">
        <f t="shared" si="2"/>
        <v>4.68</v>
      </c>
      <c r="E314" s="93">
        <v>1.03</v>
      </c>
      <c r="F314" s="12"/>
      <c r="G314" s="12"/>
      <c r="H314" s="12"/>
      <c r="I314" s="12"/>
      <c r="J314" s="12"/>
      <c r="K314" s="12"/>
      <c r="L314" s="190">
        <f>E314*Prices!B$2</f>
        <v>113300</v>
      </c>
      <c r="M314" s="190">
        <f>F314*Prices!C$2</f>
        <v>0</v>
      </c>
      <c r="N314" s="190">
        <f>G314*Prices!D$2</f>
        <v>0</v>
      </c>
      <c r="O314" s="190">
        <f t="shared" si="8"/>
        <v>0</v>
      </c>
      <c r="P314" s="190">
        <f t="shared" si="9"/>
        <v>0</v>
      </c>
      <c r="Q314" s="190">
        <f>D314*Prices!A$2</f>
        <v>83538</v>
      </c>
      <c r="R314" s="191">
        <f t="shared" si="4"/>
        <v>113300</v>
      </c>
      <c r="S314" s="190">
        <f t="shared" si="5"/>
        <v>196838</v>
      </c>
      <c r="T314" s="93">
        <v>313.0</v>
      </c>
      <c r="U314" s="93" t="s">
        <v>80</v>
      </c>
      <c r="V314" s="12" t="s">
        <v>81</v>
      </c>
      <c r="W314" s="12"/>
      <c r="X314" s="12"/>
      <c r="Y314" s="12"/>
      <c r="Z314" s="12"/>
    </row>
    <row r="315">
      <c r="A315" s="93">
        <v>314.0</v>
      </c>
      <c r="B315" s="93">
        <v>3.212</v>
      </c>
      <c r="C315" s="93">
        <f t="shared" si="1"/>
        <v>0.803</v>
      </c>
      <c r="D315" s="93">
        <f t="shared" si="2"/>
        <v>4.015</v>
      </c>
      <c r="E315" s="93">
        <v>0.44</v>
      </c>
      <c r="F315" s="12"/>
      <c r="G315" s="12"/>
      <c r="H315" s="12"/>
      <c r="I315" s="12"/>
      <c r="J315" s="12"/>
      <c r="K315" s="12"/>
      <c r="L315" s="190">
        <f>E315*Prices!B$2</f>
        <v>48400</v>
      </c>
      <c r="M315" s="190">
        <f>F315*Prices!C$2</f>
        <v>0</v>
      </c>
      <c r="N315" s="190">
        <f>G315*Prices!D$2</f>
        <v>0</v>
      </c>
      <c r="O315" s="190">
        <f t="shared" si="8"/>
        <v>0</v>
      </c>
      <c r="P315" s="190">
        <f t="shared" si="9"/>
        <v>0</v>
      </c>
      <c r="Q315" s="190">
        <f>D315*Prices!A$2</f>
        <v>71667.75</v>
      </c>
      <c r="R315" s="191">
        <f t="shared" si="4"/>
        <v>48400</v>
      </c>
      <c r="S315" s="190">
        <f t="shared" si="5"/>
        <v>120067.75</v>
      </c>
      <c r="T315" s="93">
        <v>314.0</v>
      </c>
      <c r="U315" s="93" t="s">
        <v>82</v>
      </c>
      <c r="V315" s="12"/>
      <c r="W315" s="12"/>
      <c r="X315" s="12"/>
      <c r="Y315" s="12"/>
      <c r="Z315" s="12"/>
    </row>
    <row r="316">
      <c r="A316" s="93">
        <v>315.0</v>
      </c>
      <c r="B316" s="93">
        <v>2.538</v>
      </c>
      <c r="C316" s="93">
        <f t="shared" si="1"/>
        <v>0.6345</v>
      </c>
      <c r="D316" s="93">
        <f t="shared" si="2"/>
        <v>3.1725</v>
      </c>
      <c r="E316" s="93">
        <f>0.25+0.06</f>
        <v>0.31</v>
      </c>
      <c r="F316" s="12"/>
      <c r="G316" s="12"/>
      <c r="H316" s="12"/>
      <c r="I316" s="12"/>
      <c r="J316" s="12"/>
      <c r="K316" s="12"/>
      <c r="L316" s="190">
        <f>E316*Prices!B$2</f>
        <v>34100</v>
      </c>
      <c r="M316" s="190">
        <f>F316*Prices!C$2</f>
        <v>0</v>
      </c>
      <c r="N316" s="190">
        <f>G316*Prices!D$2</f>
        <v>0</v>
      </c>
      <c r="O316" s="190">
        <f t="shared" si="8"/>
        <v>0</v>
      </c>
      <c r="P316" s="190">
        <f t="shared" si="9"/>
        <v>0</v>
      </c>
      <c r="Q316" s="190">
        <f>D316*Prices!A$2</f>
        <v>56629.125</v>
      </c>
      <c r="R316" s="191">
        <f t="shared" si="4"/>
        <v>34100</v>
      </c>
      <c r="S316" s="190">
        <f t="shared" si="5"/>
        <v>90729.125</v>
      </c>
      <c r="T316" s="93">
        <v>315.0</v>
      </c>
      <c r="U316" s="93" t="s">
        <v>80</v>
      </c>
      <c r="V316" s="12" t="s">
        <v>81</v>
      </c>
      <c r="W316" s="12"/>
      <c r="X316" s="12"/>
      <c r="Y316" s="12"/>
      <c r="Z316" s="12"/>
    </row>
    <row r="317">
      <c r="A317" s="93">
        <v>316.0</v>
      </c>
      <c r="B317" s="93">
        <f>2.806+0.7</f>
        <v>3.506</v>
      </c>
      <c r="C317" s="93">
        <f t="shared" si="1"/>
        <v>0.8765</v>
      </c>
      <c r="D317" s="93">
        <f t="shared" si="2"/>
        <v>4.3825</v>
      </c>
      <c r="E317" s="93">
        <v>0.27</v>
      </c>
      <c r="F317" s="12"/>
      <c r="G317" s="12"/>
      <c r="H317" s="12"/>
      <c r="I317" s="12"/>
      <c r="J317" s="12"/>
      <c r="K317" s="12"/>
      <c r="L317" s="190">
        <f>E317*Prices!B$2</f>
        <v>29700</v>
      </c>
      <c r="M317" s="190">
        <f>F317*Prices!C$2</f>
        <v>0</v>
      </c>
      <c r="N317" s="190">
        <f>G317*Prices!D$2</f>
        <v>0</v>
      </c>
      <c r="O317" s="190">
        <f t="shared" si="8"/>
        <v>0</v>
      </c>
      <c r="P317" s="190">
        <f t="shared" si="9"/>
        <v>0</v>
      </c>
      <c r="Q317" s="190">
        <f>D317*Prices!A$2</f>
        <v>78227.625</v>
      </c>
      <c r="R317" s="191">
        <f t="shared" si="4"/>
        <v>29700</v>
      </c>
      <c r="S317" s="190">
        <f t="shared" si="5"/>
        <v>107927.625</v>
      </c>
      <c r="T317" s="93">
        <v>316.0</v>
      </c>
      <c r="U317" s="26" t="s">
        <v>82</v>
      </c>
      <c r="V317" s="12"/>
      <c r="W317" s="12"/>
      <c r="X317" s="12"/>
      <c r="Y317" s="12"/>
      <c r="Z317" s="12"/>
    </row>
    <row r="318">
      <c r="A318" s="93">
        <v>317.0</v>
      </c>
      <c r="B318" s="93">
        <v>2.182</v>
      </c>
      <c r="C318" s="93">
        <f t="shared" si="1"/>
        <v>0.5455</v>
      </c>
      <c r="D318" s="93">
        <f t="shared" si="2"/>
        <v>2.7275</v>
      </c>
      <c r="E318" s="93">
        <v>0.13</v>
      </c>
      <c r="F318" s="12"/>
      <c r="G318" s="12">
        <v>0.21</v>
      </c>
      <c r="H318" s="12"/>
      <c r="I318" s="12"/>
      <c r="J318" s="12"/>
      <c r="K318" s="12"/>
      <c r="L318" s="190">
        <f>E318*Prices!B$2</f>
        <v>14300</v>
      </c>
      <c r="M318" s="190">
        <f>F318*Prices!C$2</f>
        <v>0</v>
      </c>
      <c r="N318" s="190">
        <f>G318*Prices!D$2</f>
        <v>40950</v>
      </c>
      <c r="O318" s="190">
        <f t="shared" si="8"/>
        <v>0</v>
      </c>
      <c r="P318" s="190">
        <f t="shared" si="9"/>
        <v>0</v>
      </c>
      <c r="Q318" s="190">
        <f>D318*Prices!A$2</f>
        <v>48685.875</v>
      </c>
      <c r="R318" s="191">
        <f t="shared" si="4"/>
        <v>55250</v>
      </c>
      <c r="S318" s="190">
        <f t="shared" si="5"/>
        <v>103935.875</v>
      </c>
      <c r="T318" s="93">
        <v>317.0</v>
      </c>
      <c r="U318" s="93" t="s">
        <v>82</v>
      </c>
      <c r="V318" s="12"/>
      <c r="W318" s="12"/>
      <c r="X318" s="12"/>
      <c r="Y318" s="12"/>
      <c r="Z318" s="12"/>
    </row>
    <row r="319">
      <c r="A319" s="93">
        <v>318.0</v>
      </c>
      <c r="B319" s="93">
        <v>4.594</v>
      </c>
      <c r="C319" s="93">
        <f t="shared" si="1"/>
        <v>1.1485</v>
      </c>
      <c r="D319" s="93">
        <f t="shared" si="2"/>
        <v>5.7425</v>
      </c>
      <c r="E319" s="93">
        <v>1.05</v>
      </c>
      <c r="F319" s="93">
        <v>0.08</v>
      </c>
      <c r="G319" s="12"/>
      <c r="H319" s="12"/>
      <c r="I319" s="12"/>
      <c r="J319" s="12"/>
      <c r="K319" s="12"/>
      <c r="L319" s="190">
        <f>E319*Prices!B$2</f>
        <v>115500</v>
      </c>
      <c r="M319" s="190">
        <f>F319*Prices!C$2</f>
        <v>12800</v>
      </c>
      <c r="N319" s="190">
        <f>G319*Prices!D$2</f>
        <v>0</v>
      </c>
      <c r="O319" s="190">
        <f t="shared" si="8"/>
        <v>0</v>
      </c>
      <c r="P319" s="190">
        <f t="shared" si="9"/>
        <v>0</v>
      </c>
      <c r="Q319" s="190">
        <f>D319*Prices!A$2</f>
        <v>102503.625</v>
      </c>
      <c r="R319" s="191">
        <f t="shared" si="4"/>
        <v>128300</v>
      </c>
      <c r="S319" s="190">
        <f t="shared" si="5"/>
        <v>230803.625</v>
      </c>
      <c r="T319" s="93">
        <v>318.0</v>
      </c>
      <c r="U319" s="93" t="s">
        <v>82</v>
      </c>
      <c r="V319" s="12"/>
      <c r="W319" s="12"/>
      <c r="X319" s="12"/>
      <c r="Y319" s="12"/>
      <c r="Z319" s="12"/>
    </row>
    <row r="320">
      <c r="A320" s="93">
        <v>319.0</v>
      </c>
      <c r="B320" s="93">
        <v>3.954</v>
      </c>
      <c r="C320" s="93">
        <f t="shared" si="1"/>
        <v>0.9885</v>
      </c>
      <c r="D320" s="93">
        <f t="shared" si="2"/>
        <v>4.9425</v>
      </c>
      <c r="E320" s="93">
        <v>1.07</v>
      </c>
      <c r="F320" s="12"/>
      <c r="G320" s="12"/>
      <c r="H320" s="12"/>
      <c r="I320" s="12"/>
      <c r="J320" s="12"/>
      <c r="K320" s="12"/>
      <c r="L320" s="190">
        <f>E320*Prices!B$2</f>
        <v>117700</v>
      </c>
      <c r="M320" s="190">
        <f>F320*Prices!C$2</f>
        <v>0</v>
      </c>
      <c r="N320" s="190">
        <f>G320*Prices!D$2</f>
        <v>0</v>
      </c>
      <c r="O320" s="190">
        <f t="shared" si="8"/>
        <v>0</v>
      </c>
      <c r="P320" s="190">
        <f t="shared" si="9"/>
        <v>0</v>
      </c>
      <c r="Q320" s="190">
        <f>D320*Prices!A$2</f>
        <v>88223.625</v>
      </c>
      <c r="R320" s="191">
        <f t="shared" si="4"/>
        <v>117700</v>
      </c>
      <c r="S320" s="190">
        <f t="shared" si="5"/>
        <v>205923.625</v>
      </c>
      <c r="T320" s="93">
        <v>319.0</v>
      </c>
      <c r="U320" s="93" t="s">
        <v>82</v>
      </c>
      <c r="V320" s="12"/>
      <c r="W320" s="12"/>
      <c r="X320" s="12"/>
      <c r="Y320" s="12"/>
      <c r="Z320" s="12"/>
    </row>
    <row r="321">
      <c r="A321" s="93">
        <v>320.0</v>
      </c>
      <c r="B321" s="93">
        <v>2.332</v>
      </c>
      <c r="C321" s="93">
        <f t="shared" si="1"/>
        <v>0.583</v>
      </c>
      <c r="D321" s="93">
        <f t="shared" si="2"/>
        <v>2.915</v>
      </c>
      <c r="E321" s="93">
        <v>0.39</v>
      </c>
      <c r="F321" s="12"/>
      <c r="G321" s="12"/>
      <c r="H321" s="12"/>
      <c r="I321" s="12"/>
      <c r="J321" s="12"/>
      <c r="K321" s="12"/>
      <c r="L321" s="190">
        <f>E321*Prices!B$2</f>
        <v>42900</v>
      </c>
      <c r="M321" s="190">
        <f>F321*Prices!C$2</f>
        <v>0</v>
      </c>
      <c r="N321" s="190">
        <f>G321*Prices!D$2</f>
        <v>0</v>
      </c>
      <c r="O321" s="190">
        <f t="shared" si="8"/>
        <v>0</v>
      </c>
      <c r="P321" s="190">
        <f t="shared" si="9"/>
        <v>0</v>
      </c>
      <c r="Q321" s="190">
        <f>D321*Prices!A$2</f>
        <v>52032.75</v>
      </c>
      <c r="R321" s="191">
        <f t="shared" si="4"/>
        <v>42900</v>
      </c>
      <c r="S321" s="190">
        <f t="shared" si="5"/>
        <v>94932.75</v>
      </c>
      <c r="T321" s="93">
        <v>320.0</v>
      </c>
      <c r="U321" s="93" t="s">
        <v>82</v>
      </c>
      <c r="V321" s="12"/>
      <c r="W321" s="12"/>
      <c r="X321" s="12"/>
      <c r="Y321" s="12"/>
      <c r="Z321" s="12"/>
    </row>
    <row r="322">
      <c r="A322" s="93">
        <v>321.0</v>
      </c>
      <c r="B322" s="93">
        <v>3.176</v>
      </c>
      <c r="C322" s="93">
        <f t="shared" si="1"/>
        <v>0.794</v>
      </c>
      <c r="D322" s="93">
        <f t="shared" si="2"/>
        <v>3.97</v>
      </c>
      <c r="E322" s="93">
        <v>0.37</v>
      </c>
      <c r="F322" s="12"/>
      <c r="G322" s="12"/>
      <c r="H322" s="12"/>
      <c r="I322" s="12"/>
      <c r="J322" s="12"/>
      <c r="K322" s="12"/>
      <c r="L322" s="190">
        <f>E322*Prices!B$2</f>
        <v>40700</v>
      </c>
      <c r="M322" s="190">
        <f>F322*Prices!C$2</f>
        <v>0</v>
      </c>
      <c r="N322" s="190">
        <f>G322*Prices!D$2</f>
        <v>0</v>
      </c>
      <c r="O322" s="190">
        <f t="shared" si="8"/>
        <v>0</v>
      </c>
      <c r="P322" s="190">
        <f t="shared" si="9"/>
        <v>0</v>
      </c>
      <c r="Q322" s="190">
        <f>D322*Prices!A$2</f>
        <v>70864.5</v>
      </c>
      <c r="R322" s="191">
        <f t="shared" si="4"/>
        <v>40700</v>
      </c>
      <c r="S322" s="190">
        <f t="shared" si="5"/>
        <v>111564.5</v>
      </c>
      <c r="T322" s="93">
        <v>321.0</v>
      </c>
      <c r="U322" s="93" t="s">
        <v>82</v>
      </c>
      <c r="V322" s="12"/>
      <c r="W322" s="12"/>
      <c r="X322" s="12"/>
      <c r="Y322" s="12"/>
      <c r="Z322" s="12"/>
    </row>
    <row r="323">
      <c r="A323" s="93">
        <v>322.0</v>
      </c>
      <c r="B323" s="93">
        <v>5.49</v>
      </c>
      <c r="C323" s="93">
        <f t="shared" si="1"/>
        <v>1.3725</v>
      </c>
      <c r="D323" s="93">
        <f t="shared" si="2"/>
        <v>6.8625</v>
      </c>
      <c r="E323" s="93">
        <v>0.95</v>
      </c>
      <c r="F323" s="12"/>
      <c r="G323" s="12"/>
      <c r="H323" s="12"/>
      <c r="I323" s="12"/>
      <c r="J323" s="12"/>
      <c r="K323" s="12">
        <v>4.85</v>
      </c>
      <c r="L323" s="190">
        <f>E323*Prices!B$2</f>
        <v>104500</v>
      </c>
      <c r="M323" s="190">
        <f>F323*Prices!C$2</f>
        <v>0</v>
      </c>
      <c r="N323" s="190">
        <f>G323*Prices!D$2</f>
        <v>0</v>
      </c>
      <c r="O323" s="190">
        <f t="shared" si="8"/>
        <v>0</v>
      </c>
      <c r="P323" s="190">
        <f t="shared" si="9"/>
        <v>8730</v>
      </c>
      <c r="Q323" s="190">
        <f>D323*Prices!A$2</f>
        <v>122495.625</v>
      </c>
      <c r="R323" s="191">
        <f t="shared" si="4"/>
        <v>104500</v>
      </c>
      <c r="S323" s="190">
        <f t="shared" si="5"/>
        <v>235725.625</v>
      </c>
      <c r="T323" s="93">
        <v>322.0</v>
      </c>
      <c r="U323" s="93" t="s">
        <v>82</v>
      </c>
      <c r="V323" s="12"/>
      <c r="W323" s="12"/>
      <c r="X323" s="12"/>
      <c r="Y323" s="12"/>
      <c r="Z323" s="12"/>
    </row>
    <row r="324">
      <c r="A324" s="93">
        <v>323.0</v>
      </c>
      <c r="B324" s="93">
        <v>3.634</v>
      </c>
      <c r="C324" s="93">
        <f t="shared" si="1"/>
        <v>0.9085</v>
      </c>
      <c r="D324" s="93">
        <f t="shared" si="2"/>
        <v>4.5425</v>
      </c>
      <c r="E324" s="93">
        <v>0.47</v>
      </c>
      <c r="F324" s="12"/>
      <c r="G324" s="12"/>
      <c r="H324" s="12"/>
      <c r="I324" s="12"/>
      <c r="J324" s="12"/>
      <c r="K324" s="12">
        <v>6.51</v>
      </c>
      <c r="L324" s="190">
        <f>E324*Prices!B$2</f>
        <v>51700</v>
      </c>
      <c r="M324" s="190">
        <f>F324*Prices!C$2</f>
        <v>0</v>
      </c>
      <c r="N324" s="190">
        <f>G324*Prices!D$2</f>
        <v>0</v>
      </c>
      <c r="O324" s="190">
        <f t="shared" si="8"/>
        <v>0</v>
      </c>
      <c r="P324" s="190">
        <f t="shared" si="9"/>
        <v>11718</v>
      </c>
      <c r="Q324" s="190">
        <f>D324*Prices!A$2</f>
        <v>81083.625</v>
      </c>
      <c r="R324" s="191">
        <f t="shared" si="4"/>
        <v>51700</v>
      </c>
      <c r="S324" s="190">
        <f t="shared" si="5"/>
        <v>144501.625</v>
      </c>
      <c r="T324" s="93">
        <v>323.0</v>
      </c>
      <c r="U324" s="93" t="s">
        <v>82</v>
      </c>
      <c r="V324" s="12"/>
      <c r="W324" s="12"/>
      <c r="X324" s="12"/>
      <c r="Y324" s="12"/>
      <c r="Z324" s="12"/>
    </row>
    <row r="325">
      <c r="A325" s="93">
        <v>324.0</v>
      </c>
      <c r="B325" s="93">
        <v>3.128</v>
      </c>
      <c r="C325" s="93">
        <f t="shared" si="1"/>
        <v>0.782</v>
      </c>
      <c r="D325" s="93">
        <f t="shared" si="2"/>
        <v>3.91</v>
      </c>
      <c r="E325" s="93">
        <v>0.66</v>
      </c>
      <c r="F325" s="12"/>
      <c r="G325" s="12"/>
      <c r="H325" s="12"/>
      <c r="I325" s="12"/>
      <c r="J325" s="12"/>
      <c r="K325" s="12">
        <v>3.75</v>
      </c>
      <c r="L325" s="190">
        <f>E325*Prices!B$2</f>
        <v>72600</v>
      </c>
      <c r="M325" s="190">
        <f>F325*Prices!C$2</f>
        <v>0</v>
      </c>
      <c r="N325" s="190">
        <f>G325*Prices!D$2</f>
        <v>0</v>
      </c>
      <c r="O325" s="190">
        <f t="shared" si="8"/>
        <v>0</v>
      </c>
      <c r="P325" s="190">
        <f t="shared" ref="P325:P364" si="10">I325*2000+J325*10000+K325*3000</f>
        <v>11250</v>
      </c>
      <c r="Q325" s="190">
        <f>D325*Prices!A$2</f>
        <v>69793.5</v>
      </c>
      <c r="R325" s="191">
        <f t="shared" si="4"/>
        <v>72600</v>
      </c>
      <c r="S325" s="190">
        <f t="shared" si="5"/>
        <v>153643.5</v>
      </c>
      <c r="T325" s="93">
        <v>324.0</v>
      </c>
      <c r="U325" s="93" t="s">
        <v>82</v>
      </c>
      <c r="V325" s="12"/>
      <c r="W325" s="12"/>
      <c r="X325" s="12"/>
      <c r="Y325" s="12"/>
      <c r="Z325" s="12"/>
    </row>
    <row r="326">
      <c r="A326" s="93">
        <v>325.0</v>
      </c>
      <c r="B326" s="93">
        <v>4.434</v>
      </c>
      <c r="C326" s="93">
        <f t="shared" si="1"/>
        <v>1.1085</v>
      </c>
      <c r="D326" s="93">
        <f t="shared" si="2"/>
        <v>5.5425</v>
      </c>
      <c r="E326" s="93">
        <v>0.62</v>
      </c>
      <c r="F326" s="12"/>
      <c r="G326" s="12"/>
      <c r="H326" s="12"/>
      <c r="I326" s="12"/>
      <c r="J326" s="12"/>
      <c r="K326" s="12"/>
      <c r="L326" s="190">
        <f>E326*Prices!B$2</f>
        <v>68200</v>
      </c>
      <c r="M326" s="190">
        <f>F326*Prices!C$2</f>
        <v>0</v>
      </c>
      <c r="N326" s="190">
        <f>G326*Prices!D$2</f>
        <v>0</v>
      </c>
      <c r="O326" s="190">
        <f t="shared" si="8"/>
        <v>0</v>
      </c>
      <c r="P326" s="190">
        <f t="shared" si="10"/>
        <v>0</v>
      </c>
      <c r="Q326" s="190">
        <f>D326*Prices!A$2</f>
        <v>98933.625</v>
      </c>
      <c r="R326" s="191">
        <f t="shared" si="4"/>
        <v>68200</v>
      </c>
      <c r="S326" s="190">
        <f t="shared" si="5"/>
        <v>167133.625</v>
      </c>
      <c r="T326" s="93">
        <v>325.0</v>
      </c>
      <c r="U326" s="93" t="s">
        <v>82</v>
      </c>
      <c r="V326" s="12"/>
      <c r="W326" s="12"/>
      <c r="X326" s="12"/>
      <c r="Y326" s="12"/>
      <c r="Z326" s="12"/>
    </row>
    <row r="327">
      <c r="A327" s="93">
        <v>326.0</v>
      </c>
      <c r="B327" s="93">
        <v>3.332</v>
      </c>
      <c r="C327" s="93">
        <f t="shared" si="1"/>
        <v>0.833</v>
      </c>
      <c r="D327" s="93">
        <f t="shared" si="2"/>
        <v>4.165</v>
      </c>
      <c r="E327" s="93">
        <f>0.23+0.31</f>
        <v>0.54</v>
      </c>
      <c r="F327" s="12"/>
      <c r="G327" s="12"/>
      <c r="H327" s="12"/>
      <c r="I327" s="12"/>
      <c r="J327" s="12"/>
      <c r="K327" s="12"/>
      <c r="L327" s="190">
        <f>E327*Prices!B$2</f>
        <v>59400</v>
      </c>
      <c r="M327" s="190">
        <f>F327*Prices!C$2</f>
        <v>0</v>
      </c>
      <c r="N327" s="190">
        <f>G327*Prices!D$2</f>
        <v>0</v>
      </c>
      <c r="O327" s="190">
        <f t="shared" si="8"/>
        <v>0</v>
      </c>
      <c r="P327" s="190">
        <f t="shared" si="10"/>
        <v>0</v>
      </c>
      <c r="Q327" s="190">
        <f>D327*Prices!A$2</f>
        <v>74345.25</v>
      </c>
      <c r="R327" s="191">
        <f t="shared" si="4"/>
        <v>59400</v>
      </c>
      <c r="S327" s="190">
        <f t="shared" si="5"/>
        <v>133745.25</v>
      </c>
      <c r="T327" s="93">
        <v>326.0</v>
      </c>
      <c r="U327" s="93" t="s">
        <v>80</v>
      </c>
      <c r="V327" s="12" t="s">
        <v>81</v>
      </c>
      <c r="W327" s="12"/>
      <c r="X327" s="12"/>
      <c r="Y327" s="12"/>
      <c r="Z327" s="12"/>
    </row>
    <row r="328">
      <c r="A328" s="93">
        <v>327.0</v>
      </c>
      <c r="B328" s="93">
        <v>2.032</v>
      </c>
      <c r="C328" s="93">
        <f t="shared" si="1"/>
        <v>0.508</v>
      </c>
      <c r="D328" s="93">
        <f t="shared" si="2"/>
        <v>2.54</v>
      </c>
      <c r="E328" s="93">
        <f>0.13+0.26</f>
        <v>0.39</v>
      </c>
      <c r="F328" s="12"/>
      <c r="G328" s="12"/>
      <c r="H328" s="12"/>
      <c r="I328" s="12"/>
      <c r="J328" s="12"/>
      <c r="K328" s="12"/>
      <c r="L328" s="190">
        <f>E328*Prices!B$2</f>
        <v>42900</v>
      </c>
      <c r="M328" s="190">
        <f>F328*Prices!C$2</f>
        <v>0</v>
      </c>
      <c r="N328" s="190">
        <f>G328*Prices!D$2</f>
        <v>0</v>
      </c>
      <c r="O328" s="190">
        <f t="shared" si="8"/>
        <v>0</v>
      </c>
      <c r="P328" s="190">
        <f t="shared" si="10"/>
        <v>0</v>
      </c>
      <c r="Q328" s="190">
        <f>D328*Prices!A$2</f>
        <v>45339</v>
      </c>
      <c r="R328" s="191">
        <f t="shared" si="4"/>
        <v>42900</v>
      </c>
      <c r="S328" s="190">
        <f t="shared" si="5"/>
        <v>88239</v>
      </c>
      <c r="T328" s="93">
        <v>327.0</v>
      </c>
      <c r="U328" s="93" t="s">
        <v>82</v>
      </c>
      <c r="V328" s="12"/>
      <c r="W328" s="12"/>
      <c r="X328" s="12"/>
      <c r="Y328" s="12"/>
      <c r="Z328" s="12"/>
    </row>
    <row r="329">
      <c r="A329" s="93">
        <v>328.0</v>
      </c>
      <c r="B329" s="93">
        <v>4.484</v>
      </c>
      <c r="C329" s="93">
        <f t="shared" si="1"/>
        <v>1.121</v>
      </c>
      <c r="D329" s="93">
        <f t="shared" si="2"/>
        <v>5.605</v>
      </c>
      <c r="E329" s="93">
        <v>0.68</v>
      </c>
      <c r="F329" s="12"/>
      <c r="G329" s="12"/>
      <c r="H329" s="12"/>
      <c r="I329" s="12"/>
      <c r="J329" s="12"/>
      <c r="K329" s="12"/>
      <c r="L329" s="190">
        <f>E329*Prices!B$2</f>
        <v>74800</v>
      </c>
      <c r="M329" s="190">
        <f>F329*Prices!C$2</f>
        <v>0</v>
      </c>
      <c r="N329" s="190">
        <f>G329*Prices!D$2</f>
        <v>0</v>
      </c>
      <c r="O329" s="190">
        <f t="shared" si="8"/>
        <v>0</v>
      </c>
      <c r="P329" s="190">
        <f t="shared" si="10"/>
        <v>0</v>
      </c>
      <c r="Q329" s="190">
        <f>D329*Prices!A$2</f>
        <v>100049.25</v>
      </c>
      <c r="R329" s="191">
        <f t="shared" si="4"/>
        <v>74800</v>
      </c>
      <c r="S329" s="190">
        <f t="shared" si="5"/>
        <v>174849.25</v>
      </c>
      <c r="T329" s="93">
        <v>328.0</v>
      </c>
      <c r="U329" s="93" t="s">
        <v>82</v>
      </c>
      <c r="V329" s="12"/>
      <c r="W329" s="12"/>
      <c r="X329" s="12"/>
      <c r="Y329" s="12"/>
      <c r="Z329" s="12"/>
    </row>
    <row r="330">
      <c r="A330" s="93">
        <v>329.0</v>
      </c>
      <c r="B330" s="93">
        <v>4.447</v>
      </c>
      <c r="C330" s="93">
        <f t="shared" si="1"/>
        <v>1.11175</v>
      </c>
      <c r="D330" s="93">
        <f t="shared" si="2"/>
        <v>5.55875</v>
      </c>
      <c r="E330" s="93">
        <v>0.67</v>
      </c>
      <c r="F330" s="12"/>
      <c r="G330" s="12"/>
      <c r="H330" s="12"/>
      <c r="I330" s="12"/>
      <c r="J330" s="12"/>
      <c r="K330" s="12"/>
      <c r="L330" s="190">
        <f>E330*Prices!B$2</f>
        <v>73700</v>
      </c>
      <c r="M330" s="190">
        <f>F330*Prices!C$2</f>
        <v>0</v>
      </c>
      <c r="N330" s="190">
        <f>G330*Prices!D$2</f>
        <v>0</v>
      </c>
      <c r="O330" s="190">
        <f t="shared" si="8"/>
        <v>0</v>
      </c>
      <c r="P330" s="190">
        <f t="shared" si="10"/>
        <v>0</v>
      </c>
      <c r="Q330" s="190">
        <f>D330*Prices!A$2</f>
        <v>99223.6875</v>
      </c>
      <c r="R330" s="191">
        <f t="shared" si="4"/>
        <v>73700</v>
      </c>
      <c r="S330" s="190">
        <f t="shared" si="5"/>
        <v>172923.6875</v>
      </c>
      <c r="T330" s="93">
        <v>329.0</v>
      </c>
      <c r="U330" s="93" t="s">
        <v>80</v>
      </c>
      <c r="V330" s="12" t="s">
        <v>81</v>
      </c>
      <c r="W330" s="12"/>
      <c r="X330" s="12"/>
      <c r="Y330" s="12"/>
      <c r="Z330" s="12"/>
    </row>
    <row r="331">
      <c r="A331" s="93">
        <v>330.0</v>
      </c>
      <c r="B331" s="93">
        <v>3.234</v>
      </c>
      <c r="C331" s="93">
        <f t="shared" si="1"/>
        <v>0.8085</v>
      </c>
      <c r="D331" s="93">
        <f t="shared" si="2"/>
        <v>4.0425</v>
      </c>
      <c r="E331" s="93">
        <v>0.73</v>
      </c>
      <c r="F331" s="12"/>
      <c r="G331" s="12"/>
      <c r="H331" s="12"/>
      <c r="I331" s="12"/>
      <c r="J331" s="12"/>
      <c r="K331" s="12"/>
      <c r="L331" s="190">
        <f>E331*Prices!B$2</f>
        <v>80300</v>
      </c>
      <c r="M331" s="190">
        <f>F331*Prices!C$2</f>
        <v>0</v>
      </c>
      <c r="N331" s="190">
        <f>G331*Prices!D$2</f>
        <v>0</v>
      </c>
      <c r="O331" s="190">
        <f t="shared" si="8"/>
        <v>0</v>
      </c>
      <c r="P331" s="190">
        <f t="shared" si="10"/>
        <v>0</v>
      </c>
      <c r="Q331" s="190">
        <f>D331*Prices!A$2</f>
        <v>72158.625</v>
      </c>
      <c r="R331" s="191">
        <f t="shared" si="4"/>
        <v>80300</v>
      </c>
      <c r="S331" s="190">
        <f t="shared" si="5"/>
        <v>152458.625</v>
      </c>
      <c r="T331" s="93">
        <v>330.0</v>
      </c>
      <c r="U331" s="93" t="s">
        <v>80</v>
      </c>
      <c r="V331" s="12" t="s">
        <v>81</v>
      </c>
      <c r="W331" s="12"/>
      <c r="X331" s="12"/>
      <c r="Y331" s="12"/>
      <c r="Z331" s="12"/>
    </row>
    <row r="332">
      <c r="A332" s="93">
        <v>331.0</v>
      </c>
      <c r="B332" s="93">
        <v>4.64</v>
      </c>
      <c r="C332" s="93">
        <f t="shared" si="1"/>
        <v>1.16</v>
      </c>
      <c r="D332" s="93">
        <f t="shared" si="2"/>
        <v>5.8</v>
      </c>
      <c r="E332" s="93">
        <v>0.95</v>
      </c>
      <c r="F332" s="12"/>
      <c r="G332" s="12"/>
      <c r="H332" s="12"/>
      <c r="I332" s="12"/>
      <c r="J332" s="12"/>
      <c r="K332" s="12"/>
      <c r="L332" s="190">
        <f>E332*Prices!B$2</f>
        <v>104500</v>
      </c>
      <c r="M332" s="190">
        <f>F332*Prices!C$2</f>
        <v>0</v>
      </c>
      <c r="N332" s="190">
        <f>G332*Prices!D$2</f>
        <v>0</v>
      </c>
      <c r="O332" s="190">
        <f t="shared" si="8"/>
        <v>0</v>
      </c>
      <c r="P332" s="190">
        <f t="shared" si="10"/>
        <v>0</v>
      </c>
      <c r="Q332" s="190">
        <f>D332*Prices!A$2</f>
        <v>103530</v>
      </c>
      <c r="R332" s="191">
        <f t="shared" si="4"/>
        <v>104500</v>
      </c>
      <c r="S332" s="190">
        <f t="shared" si="5"/>
        <v>208030</v>
      </c>
      <c r="T332" s="93">
        <v>331.0</v>
      </c>
      <c r="U332" s="93" t="s">
        <v>80</v>
      </c>
      <c r="V332" s="12" t="s">
        <v>81</v>
      </c>
      <c r="W332" s="12"/>
      <c r="X332" s="12"/>
      <c r="Y332" s="12"/>
      <c r="Z332" s="12"/>
    </row>
    <row r="333">
      <c r="A333" s="93">
        <v>332.0</v>
      </c>
      <c r="B333" s="93">
        <v>2.522</v>
      </c>
      <c r="C333" s="93">
        <f t="shared" si="1"/>
        <v>0.6305</v>
      </c>
      <c r="D333" s="93">
        <f t="shared" si="2"/>
        <v>3.1525</v>
      </c>
      <c r="E333" s="93">
        <v>0.54</v>
      </c>
      <c r="F333" s="12"/>
      <c r="G333" s="12"/>
      <c r="H333" s="12"/>
      <c r="I333" s="12"/>
      <c r="J333" s="12"/>
      <c r="K333" s="12"/>
      <c r="L333" s="190">
        <f>E333*Prices!B$2</f>
        <v>59400</v>
      </c>
      <c r="M333" s="190">
        <f>F333*Prices!C$2</f>
        <v>0</v>
      </c>
      <c r="N333" s="190">
        <f>G333*Prices!D$2</f>
        <v>0</v>
      </c>
      <c r="O333" s="190">
        <f t="shared" si="8"/>
        <v>0</v>
      </c>
      <c r="P333" s="190">
        <f t="shared" si="10"/>
        <v>0</v>
      </c>
      <c r="Q333" s="190">
        <f>D333*Prices!A$2</f>
        <v>56272.125</v>
      </c>
      <c r="R333" s="191">
        <f t="shared" si="4"/>
        <v>59400</v>
      </c>
      <c r="S333" s="190">
        <f t="shared" si="5"/>
        <v>115672.125</v>
      </c>
      <c r="T333" s="93">
        <v>332.0</v>
      </c>
      <c r="U333" s="93" t="s">
        <v>80</v>
      </c>
      <c r="V333" s="12" t="s">
        <v>81</v>
      </c>
      <c r="W333" s="12"/>
      <c r="X333" s="12"/>
      <c r="Y333" s="12"/>
      <c r="Z333" s="12"/>
    </row>
    <row r="334">
      <c r="A334" s="93">
        <v>333.0</v>
      </c>
      <c r="B334" s="93">
        <v>2.004</v>
      </c>
      <c r="C334" s="93">
        <f t="shared" si="1"/>
        <v>0.501</v>
      </c>
      <c r="D334" s="93">
        <f t="shared" si="2"/>
        <v>2.505</v>
      </c>
      <c r="E334" s="93">
        <v>0.4</v>
      </c>
      <c r="F334" s="12"/>
      <c r="G334" s="12"/>
      <c r="H334" s="12"/>
      <c r="I334" s="12"/>
      <c r="J334" s="12"/>
      <c r="K334" s="12">
        <v>1.68</v>
      </c>
      <c r="L334" s="190">
        <f>E334*Prices!B$2</f>
        <v>44000</v>
      </c>
      <c r="M334" s="190">
        <f>F334*Prices!C$2</f>
        <v>0</v>
      </c>
      <c r="N334" s="190">
        <f>G334*Prices!D$2</f>
        <v>0</v>
      </c>
      <c r="O334" s="190">
        <f t="shared" si="8"/>
        <v>0</v>
      </c>
      <c r="P334" s="190">
        <f t="shared" si="10"/>
        <v>5040</v>
      </c>
      <c r="Q334" s="190">
        <f>D334*Prices!A$2</f>
        <v>44714.25</v>
      </c>
      <c r="R334" s="191">
        <f t="shared" si="4"/>
        <v>44000</v>
      </c>
      <c r="S334" s="190">
        <f t="shared" si="5"/>
        <v>93754.25</v>
      </c>
      <c r="T334" s="93">
        <v>333.0</v>
      </c>
      <c r="U334" s="93" t="s">
        <v>80</v>
      </c>
      <c r="V334" s="93" t="s">
        <v>81</v>
      </c>
      <c r="W334" s="12"/>
      <c r="X334" s="12"/>
      <c r="Y334" s="12"/>
      <c r="Z334" s="12"/>
    </row>
    <row r="335">
      <c r="A335" s="93">
        <v>334.0</v>
      </c>
      <c r="B335" s="93">
        <v>1.626</v>
      </c>
      <c r="C335" s="93">
        <f t="shared" si="1"/>
        <v>0.4065</v>
      </c>
      <c r="D335" s="93">
        <f t="shared" si="2"/>
        <v>2.0325</v>
      </c>
      <c r="E335" s="93">
        <v>0.27</v>
      </c>
      <c r="F335" s="12"/>
      <c r="G335" s="12"/>
      <c r="H335" s="12"/>
      <c r="I335" s="12"/>
      <c r="J335" s="12"/>
      <c r="K335" s="12"/>
      <c r="L335" s="190">
        <f>E335*Prices!B$2</f>
        <v>29700</v>
      </c>
      <c r="M335" s="190">
        <f>F335*Prices!C$2</f>
        <v>0</v>
      </c>
      <c r="N335" s="190">
        <f>G335*Prices!D$2</f>
        <v>0</v>
      </c>
      <c r="O335" s="190">
        <f t="shared" si="8"/>
        <v>0</v>
      </c>
      <c r="P335" s="190">
        <f t="shared" si="10"/>
        <v>0</v>
      </c>
      <c r="Q335" s="190">
        <f>D335*Prices!A$2</f>
        <v>36280.125</v>
      </c>
      <c r="R335" s="191">
        <f t="shared" si="4"/>
        <v>29700</v>
      </c>
      <c r="S335" s="190">
        <f t="shared" si="5"/>
        <v>65980.125</v>
      </c>
      <c r="T335" s="93">
        <v>334.0</v>
      </c>
      <c r="U335" s="93" t="s">
        <v>82</v>
      </c>
      <c r="V335" s="12"/>
      <c r="W335" s="12"/>
      <c r="X335" s="12"/>
      <c r="Y335" s="12"/>
      <c r="Z335" s="12"/>
    </row>
    <row r="336">
      <c r="A336" s="93">
        <v>335.0</v>
      </c>
      <c r="B336" s="93">
        <v>2.684</v>
      </c>
      <c r="C336" s="93">
        <f t="shared" si="1"/>
        <v>0.671</v>
      </c>
      <c r="D336" s="93">
        <f t="shared" si="2"/>
        <v>3.355</v>
      </c>
      <c r="E336" s="93">
        <v>0.43</v>
      </c>
      <c r="F336" s="12"/>
      <c r="G336" s="12"/>
      <c r="H336" s="12"/>
      <c r="I336" s="12"/>
      <c r="J336" s="12"/>
      <c r="K336" s="12"/>
      <c r="L336" s="190">
        <f>E336*Prices!B$2</f>
        <v>47300</v>
      </c>
      <c r="M336" s="190">
        <f>F336*Prices!C$2</f>
        <v>0</v>
      </c>
      <c r="N336" s="190">
        <f>G336*Prices!D$2</f>
        <v>0</v>
      </c>
      <c r="O336" s="190">
        <f t="shared" si="8"/>
        <v>0</v>
      </c>
      <c r="P336" s="190">
        <f t="shared" si="10"/>
        <v>0</v>
      </c>
      <c r="Q336" s="190">
        <f>D336*Prices!A$2</f>
        <v>59886.75</v>
      </c>
      <c r="R336" s="191">
        <f t="shared" si="4"/>
        <v>47300</v>
      </c>
      <c r="S336" s="190">
        <f t="shared" si="5"/>
        <v>107186.75</v>
      </c>
      <c r="T336" s="93">
        <v>335.0</v>
      </c>
      <c r="U336" s="93" t="s">
        <v>80</v>
      </c>
      <c r="V336" s="12" t="s">
        <v>81</v>
      </c>
      <c r="W336" s="12"/>
      <c r="X336" s="12"/>
      <c r="Y336" s="12"/>
      <c r="Z336" s="12"/>
    </row>
    <row r="337">
      <c r="A337" s="93">
        <v>336.0</v>
      </c>
      <c r="B337" s="93">
        <v>1.898</v>
      </c>
      <c r="C337" s="93">
        <f t="shared" si="1"/>
        <v>0.4745</v>
      </c>
      <c r="D337" s="93">
        <f t="shared" si="2"/>
        <v>2.3725</v>
      </c>
      <c r="E337" s="93"/>
      <c r="F337" s="12"/>
      <c r="G337" s="12">
        <v>0.31</v>
      </c>
      <c r="H337" s="12"/>
      <c r="I337" s="12"/>
      <c r="J337" s="12"/>
      <c r="K337" s="12"/>
      <c r="L337" s="190">
        <f>E337*Prices!B$2</f>
        <v>0</v>
      </c>
      <c r="M337" s="190">
        <f>F337*Prices!C$2</f>
        <v>0</v>
      </c>
      <c r="N337" s="190">
        <f>G337*Prices!D$2</f>
        <v>60450</v>
      </c>
      <c r="O337" s="190">
        <f t="shared" si="8"/>
        <v>0</v>
      </c>
      <c r="P337" s="190">
        <f t="shared" si="10"/>
        <v>0</v>
      </c>
      <c r="Q337" s="190">
        <f>D337*Prices!A$2</f>
        <v>42349.125</v>
      </c>
      <c r="R337" s="191">
        <f t="shared" si="4"/>
        <v>60450</v>
      </c>
      <c r="S337" s="190">
        <f t="shared" si="5"/>
        <v>102799.125</v>
      </c>
      <c r="T337" s="93">
        <v>336.0</v>
      </c>
      <c r="U337" s="93" t="s">
        <v>82</v>
      </c>
      <c r="W337" s="12"/>
      <c r="X337" s="12"/>
      <c r="Y337" s="12"/>
      <c r="Z337" s="12"/>
    </row>
    <row r="338">
      <c r="A338" s="93">
        <v>337.0</v>
      </c>
      <c r="B338" s="93">
        <v>3.442</v>
      </c>
      <c r="C338" s="93">
        <f t="shared" si="1"/>
        <v>0.8605</v>
      </c>
      <c r="D338" s="93">
        <f t="shared" si="2"/>
        <v>4.3025</v>
      </c>
      <c r="E338" s="93">
        <v>0.54</v>
      </c>
      <c r="F338" s="12"/>
      <c r="G338" s="12"/>
      <c r="H338" s="12"/>
      <c r="I338" s="12"/>
      <c r="J338" s="12"/>
      <c r="K338" s="12"/>
      <c r="L338" s="190">
        <f>E338*Prices!B$2</f>
        <v>59400</v>
      </c>
      <c r="M338" s="190">
        <f>F338*Prices!C$2</f>
        <v>0</v>
      </c>
      <c r="N338" s="190">
        <f>G338*Prices!D$2</f>
        <v>0</v>
      </c>
      <c r="O338" s="190">
        <f t="shared" si="8"/>
        <v>0</v>
      </c>
      <c r="P338" s="190">
        <f t="shared" si="10"/>
        <v>0</v>
      </c>
      <c r="Q338" s="190">
        <f>D338*Prices!A$2</f>
        <v>76799.625</v>
      </c>
      <c r="R338" s="191">
        <f t="shared" si="4"/>
        <v>59400</v>
      </c>
      <c r="S338" s="190">
        <f t="shared" si="5"/>
        <v>136199.625</v>
      </c>
      <c r="T338" s="93">
        <v>337.0</v>
      </c>
      <c r="U338" s="93" t="s">
        <v>80</v>
      </c>
      <c r="V338" s="12" t="s">
        <v>81</v>
      </c>
      <c r="W338" s="12"/>
      <c r="X338" s="12"/>
      <c r="Y338" s="12"/>
      <c r="Z338" s="12"/>
    </row>
    <row r="339">
      <c r="A339" s="93">
        <v>338.0</v>
      </c>
      <c r="B339" s="93">
        <v>2.952</v>
      </c>
      <c r="C339" s="93">
        <f t="shared" si="1"/>
        <v>0.738</v>
      </c>
      <c r="D339" s="93">
        <f t="shared" si="2"/>
        <v>3.69</v>
      </c>
      <c r="E339" s="93">
        <v>0.49</v>
      </c>
      <c r="F339" s="12"/>
      <c r="G339" s="12"/>
      <c r="H339" s="12"/>
      <c r="I339" s="12"/>
      <c r="J339" s="12"/>
      <c r="K339" s="12"/>
      <c r="L339" s="190">
        <f>E339*Prices!B$2</f>
        <v>53900</v>
      </c>
      <c r="M339" s="190">
        <f>F339*Prices!C$2</f>
        <v>0</v>
      </c>
      <c r="N339" s="190">
        <f>G339*Prices!D$2</f>
        <v>0</v>
      </c>
      <c r="O339" s="190">
        <f t="shared" si="8"/>
        <v>0</v>
      </c>
      <c r="P339" s="190">
        <f t="shared" si="10"/>
        <v>0</v>
      </c>
      <c r="Q339" s="190">
        <f>D339*Prices!A$2</f>
        <v>65866.5</v>
      </c>
      <c r="R339" s="191">
        <f t="shared" si="4"/>
        <v>53900</v>
      </c>
      <c r="S339" s="190">
        <f t="shared" si="5"/>
        <v>119766.5</v>
      </c>
      <c r="T339" s="93">
        <v>338.0</v>
      </c>
      <c r="U339" s="93" t="s">
        <v>82</v>
      </c>
      <c r="V339" s="12"/>
      <c r="W339" s="12"/>
      <c r="X339" s="12"/>
      <c r="Y339" s="12"/>
      <c r="Z339" s="12"/>
    </row>
    <row r="340">
      <c r="A340" s="93">
        <v>339.0</v>
      </c>
      <c r="B340" s="93">
        <v>2.554</v>
      </c>
      <c r="C340" s="93">
        <f t="shared" si="1"/>
        <v>0.6385</v>
      </c>
      <c r="D340" s="93">
        <f t="shared" si="2"/>
        <v>3.1925</v>
      </c>
      <c r="E340" s="93">
        <v>0.48</v>
      </c>
      <c r="F340" s="12"/>
      <c r="G340" s="12"/>
      <c r="H340" s="12"/>
      <c r="I340" s="12"/>
      <c r="J340" s="12"/>
      <c r="K340" s="12"/>
      <c r="L340" s="190">
        <f>E340*Prices!B$2</f>
        <v>52800</v>
      </c>
      <c r="M340" s="190">
        <f>F340*Prices!C$2</f>
        <v>0</v>
      </c>
      <c r="N340" s="190">
        <f>G340*Prices!D$2</f>
        <v>0</v>
      </c>
      <c r="O340" s="190">
        <f t="shared" si="8"/>
        <v>0</v>
      </c>
      <c r="P340" s="190">
        <f t="shared" si="10"/>
        <v>0</v>
      </c>
      <c r="Q340" s="190">
        <f>D340*Prices!A$2</f>
        <v>56986.125</v>
      </c>
      <c r="R340" s="191">
        <f t="shared" si="4"/>
        <v>52800</v>
      </c>
      <c r="S340" s="190">
        <f t="shared" si="5"/>
        <v>109786.125</v>
      </c>
      <c r="T340" s="93">
        <v>339.0</v>
      </c>
      <c r="U340" s="93" t="s">
        <v>80</v>
      </c>
      <c r="V340" s="12" t="s">
        <v>81</v>
      </c>
      <c r="W340" s="12"/>
      <c r="X340" s="12"/>
      <c r="Y340" s="12"/>
      <c r="Z340" s="12"/>
    </row>
    <row r="341">
      <c r="A341" s="93">
        <v>340.0</v>
      </c>
      <c r="B341" s="93">
        <v>1.77</v>
      </c>
      <c r="C341" s="93">
        <f t="shared" si="1"/>
        <v>0.4425</v>
      </c>
      <c r="D341" s="93">
        <f t="shared" si="2"/>
        <v>2.2125</v>
      </c>
      <c r="E341" s="93">
        <v>0.1</v>
      </c>
      <c r="F341" s="12"/>
      <c r="G341" s="12"/>
      <c r="H341" s="12"/>
      <c r="I341" s="12"/>
      <c r="J341" s="12"/>
      <c r="K341" s="12"/>
      <c r="L341" s="190">
        <f>E341*Prices!B$2</f>
        <v>11000</v>
      </c>
      <c r="M341" s="190">
        <f>F341*Prices!C$2</f>
        <v>0</v>
      </c>
      <c r="N341" s="190">
        <f>G341*Prices!D$2</f>
        <v>0</v>
      </c>
      <c r="O341" s="190">
        <f t="shared" si="8"/>
        <v>0</v>
      </c>
      <c r="P341" s="190">
        <f t="shared" si="10"/>
        <v>0</v>
      </c>
      <c r="Q341" s="190">
        <f>D341*Prices!A$2</f>
        <v>39493.125</v>
      </c>
      <c r="R341" s="191">
        <f t="shared" si="4"/>
        <v>11000</v>
      </c>
      <c r="S341" s="190">
        <f t="shared" si="5"/>
        <v>50493.125</v>
      </c>
      <c r="T341" s="93">
        <v>340.0</v>
      </c>
      <c r="U341" s="93" t="s">
        <v>80</v>
      </c>
      <c r="V341" s="12" t="s">
        <v>81</v>
      </c>
      <c r="W341" s="12"/>
      <c r="X341" s="12"/>
      <c r="Y341" s="12"/>
      <c r="Z341" s="12"/>
    </row>
    <row r="342">
      <c r="A342" s="93">
        <v>341.0</v>
      </c>
      <c r="B342" s="93">
        <v>1.264</v>
      </c>
      <c r="C342" s="93">
        <f t="shared" si="1"/>
        <v>0.316</v>
      </c>
      <c r="D342" s="93">
        <f t="shared" si="2"/>
        <v>1.58</v>
      </c>
      <c r="E342" s="93">
        <v>0.23</v>
      </c>
      <c r="F342" s="12"/>
      <c r="G342" s="12"/>
      <c r="H342" s="12"/>
      <c r="I342" s="12"/>
      <c r="J342" s="12"/>
      <c r="K342" s="12"/>
      <c r="L342" s="190">
        <f>E342*Prices!B$2</f>
        <v>25300</v>
      </c>
      <c r="M342" s="190">
        <f>F342*Prices!C$2</f>
        <v>0</v>
      </c>
      <c r="N342" s="190">
        <f>G342*Prices!D$2</f>
        <v>0</v>
      </c>
      <c r="O342" s="190">
        <f t="shared" si="8"/>
        <v>0</v>
      </c>
      <c r="P342" s="190">
        <f t="shared" si="10"/>
        <v>0</v>
      </c>
      <c r="Q342" s="190">
        <f>D342*Prices!A$2</f>
        <v>28203</v>
      </c>
      <c r="R342" s="191">
        <f t="shared" si="4"/>
        <v>25300</v>
      </c>
      <c r="S342" s="190">
        <f t="shared" si="5"/>
        <v>53503</v>
      </c>
      <c r="T342" s="93">
        <v>341.0</v>
      </c>
      <c r="U342" s="93" t="s">
        <v>80</v>
      </c>
      <c r="V342" s="12" t="s">
        <v>81</v>
      </c>
      <c r="W342" s="12"/>
      <c r="X342" s="12"/>
      <c r="Y342" s="12"/>
      <c r="Z342" s="12"/>
    </row>
    <row r="343">
      <c r="A343" s="93">
        <v>342.0</v>
      </c>
      <c r="B343" s="93">
        <v>1.64</v>
      </c>
      <c r="C343" s="93">
        <f t="shared" si="1"/>
        <v>0.41</v>
      </c>
      <c r="D343" s="93">
        <f t="shared" si="2"/>
        <v>2.05</v>
      </c>
      <c r="E343" s="93">
        <v>0.15</v>
      </c>
      <c r="F343" s="12"/>
      <c r="G343" s="12"/>
      <c r="H343" s="12"/>
      <c r="I343" s="12"/>
      <c r="J343" s="12"/>
      <c r="K343" s="12"/>
      <c r="L343" s="190">
        <f>E343*Prices!B$2</f>
        <v>16500</v>
      </c>
      <c r="M343" s="190">
        <f>F343*Prices!C$2</f>
        <v>0</v>
      </c>
      <c r="N343" s="190">
        <f>G343*Prices!D$2</f>
        <v>0</v>
      </c>
      <c r="O343" s="190">
        <f t="shared" si="8"/>
        <v>0</v>
      </c>
      <c r="P343" s="190">
        <f t="shared" si="10"/>
        <v>0</v>
      </c>
      <c r="Q343" s="190">
        <f>D343*Prices!A$2</f>
        <v>36592.5</v>
      </c>
      <c r="R343" s="191">
        <f t="shared" si="4"/>
        <v>16500</v>
      </c>
      <c r="S343" s="190">
        <f t="shared" si="5"/>
        <v>53092.5</v>
      </c>
      <c r="T343" s="93">
        <v>342.0</v>
      </c>
      <c r="U343" s="93" t="s">
        <v>80</v>
      </c>
      <c r="V343" s="12" t="s">
        <v>81</v>
      </c>
      <c r="W343" s="12"/>
      <c r="X343" s="12"/>
      <c r="Y343" s="12"/>
      <c r="Z343" s="12"/>
    </row>
    <row r="344">
      <c r="A344" s="93">
        <v>343.0</v>
      </c>
      <c r="B344" s="93">
        <v>1.746</v>
      </c>
      <c r="C344" s="93">
        <f t="shared" si="1"/>
        <v>0.4365</v>
      </c>
      <c r="D344" s="93">
        <f t="shared" si="2"/>
        <v>2.1825</v>
      </c>
      <c r="E344" s="93">
        <v>0.22</v>
      </c>
      <c r="F344" s="12"/>
      <c r="G344" s="12"/>
      <c r="H344" s="12"/>
      <c r="I344" s="12"/>
      <c r="J344" s="12"/>
      <c r="K344" s="12"/>
      <c r="L344" s="190">
        <f>E344*Prices!B$2</f>
        <v>24200</v>
      </c>
      <c r="M344" s="190">
        <f>F344*Prices!C$2</f>
        <v>0</v>
      </c>
      <c r="N344" s="190">
        <f>G344*Prices!D$2</f>
        <v>0</v>
      </c>
      <c r="O344" s="190">
        <f t="shared" si="8"/>
        <v>0</v>
      </c>
      <c r="P344" s="190">
        <f t="shared" si="10"/>
        <v>0</v>
      </c>
      <c r="Q344" s="190">
        <f>D344*Prices!A$2</f>
        <v>38957.625</v>
      </c>
      <c r="R344" s="191">
        <f t="shared" si="4"/>
        <v>24200</v>
      </c>
      <c r="S344" s="190">
        <f t="shared" si="5"/>
        <v>63157.625</v>
      </c>
      <c r="T344" s="93">
        <v>343.0</v>
      </c>
      <c r="U344" s="93" t="s">
        <v>80</v>
      </c>
      <c r="V344" s="12" t="s">
        <v>81</v>
      </c>
      <c r="W344" s="12"/>
      <c r="X344" s="12"/>
      <c r="Y344" s="12"/>
      <c r="Z344" s="12"/>
    </row>
    <row r="345">
      <c r="A345" s="93">
        <v>344.0</v>
      </c>
      <c r="B345" s="93">
        <v>1.974</v>
      </c>
      <c r="C345" s="93">
        <f t="shared" si="1"/>
        <v>0.4935</v>
      </c>
      <c r="D345" s="93">
        <f t="shared" si="2"/>
        <v>2.4675</v>
      </c>
      <c r="E345" s="93">
        <v>0.13</v>
      </c>
      <c r="F345" s="12"/>
      <c r="G345" s="12"/>
      <c r="H345" s="12"/>
      <c r="I345" s="12"/>
      <c r="J345" s="12"/>
      <c r="K345" s="12"/>
      <c r="L345" s="190">
        <f>E345*Prices!B$2</f>
        <v>14300</v>
      </c>
      <c r="M345" s="190">
        <f>F345*Prices!C$2</f>
        <v>0</v>
      </c>
      <c r="N345" s="190">
        <f>G345*Prices!D$2</f>
        <v>0</v>
      </c>
      <c r="O345" s="190">
        <f t="shared" si="8"/>
        <v>0</v>
      </c>
      <c r="P345" s="190">
        <f t="shared" si="10"/>
        <v>0</v>
      </c>
      <c r="Q345" s="190">
        <f>D345*Prices!A$2</f>
        <v>44044.875</v>
      </c>
      <c r="R345" s="191">
        <f t="shared" si="4"/>
        <v>14300</v>
      </c>
      <c r="S345" s="190">
        <f t="shared" si="5"/>
        <v>58344.875</v>
      </c>
      <c r="T345" s="93">
        <v>344.0</v>
      </c>
      <c r="U345" s="93" t="s">
        <v>80</v>
      </c>
      <c r="V345" s="12" t="s">
        <v>81</v>
      </c>
      <c r="W345" s="12"/>
      <c r="X345" s="12"/>
      <c r="Y345" s="12"/>
      <c r="Z345" s="12"/>
    </row>
    <row r="346">
      <c r="A346" s="93">
        <v>345.0</v>
      </c>
      <c r="B346" s="93">
        <v>2.394</v>
      </c>
      <c r="C346" s="93">
        <f t="shared" si="1"/>
        <v>0.5985</v>
      </c>
      <c r="D346" s="93">
        <f t="shared" si="2"/>
        <v>2.9925</v>
      </c>
      <c r="E346" s="93">
        <v>0.13</v>
      </c>
      <c r="F346" s="12"/>
      <c r="G346" s="12"/>
      <c r="H346" s="12"/>
      <c r="I346" s="12"/>
      <c r="J346" s="12"/>
      <c r="K346" s="12"/>
      <c r="L346" s="190">
        <f>E346*Prices!B$2</f>
        <v>14300</v>
      </c>
      <c r="M346" s="190">
        <f>F346*Prices!C$2</f>
        <v>0</v>
      </c>
      <c r="N346" s="190">
        <f>G346*Prices!D$2</f>
        <v>0</v>
      </c>
      <c r="O346" s="190">
        <f t="shared" si="8"/>
        <v>0</v>
      </c>
      <c r="P346" s="190">
        <f t="shared" si="10"/>
        <v>0</v>
      </c>
      <c r="Q346" s="190">
        <f>D346*Prices!A$2</f>
        <v>53416.125</v>
      </c>
      <c r="R346" s="191">
        <f t="shared" si="4"/>
        <v>14300</v>
      </c>
      <c r="S346" s="190">
        <f t="shared" si="5"/>
        <v>67716.125</v>
      </c>
      <c r="T346" s="93">
        <v>345.0</v>
      </c>
      <c r="U346" s="93" t="s">
        <v>80</v>
      </c>
      <c r="V346" s="12" t="s">
        <v>81</v>
      </c>
      <c r="W346" s="12"/>
      <c r="X346" s="12"/>
      <c r="Y346" s="12"/>
      <c r="Z346" s="12"/>
    </row>
    <row r="347">
      <c r="A347" s="93">
        <v>346.0</v>
      </c>
      <c r="B347" s="93">
        <v>1.708</v>
      </c>
      <c r="C347" s="93">
        <f t="shared" si="1"/>
        <v>0.427</v>
      </c>
      <c r="D347" s="93">
        <f t="shared" si="2"/>
        <v>2.135</v>
      </c>
      <c r="E347" s="93">
        <v>0.16</v>
      </c>
      <c r="F347" s="93"/>
      <c r="G347" s="93"/>
      <c r="H347" s="93"/>
      <c r="I347" s="93"/>
      <c r="J347" s="93"/>
      <c r="K347" s="93"/>
      <c r="L347" s="190">
        <f>E347*Prices!B$2</f>
        <v>17600</v>
      </c>
      <c r="M347" s="190">
        <f>F347*Prices!C$2</f>
        <v>0</v>
      </c>
      <c r="N347" s="190">
        <f>G347*Prices!D$2</f>
        <v>0</v>
      </c>
      <c r="O347" s="190">
        <f t="shared" si="8"/>
        <v>0</v>
      </c>
      <c r="P347" s="190">
        <f t="shared" si="10"/>
        <v>0</v>
      </c>
      <c r="Q347" s="190">
        <f>D347*Prices!A$2</f>
        <v>38109.75</v>
      </c>
      <c r="R347" s="191">
        <f t="shared" si="4"/>
        <v>17600</v>
      </c>
      <c r="S347" s="190">
        <f t="shared" si="5"/>
        <v>55709.75</v>
      </c>
      <c r="T347" s="93">
        <v>346.0</v>
      </c>
      <c r="U347" s="26" t="s">
        <v>82</v>
      </c>
      <c r="V347" s="93"/>
      <c r="W347" s="93"/>
      <c r="X347" s="93"/>
      <c r="Y347" s="93"/>
      <c r="Z347" s="93"/>
    </row>
    <row r="348">
      <c r="A348" s="93">
        <v>347.0</v>
      </c>
      <c r="B348" s="93">
        <v>5.43</v>
      </c>
      <c r="C348" s="93">
        <f t="shared" si="1"/>
        <v>1.3575</v>
      </c>
      <c r="D348" s="93">
        <f t="shared" si="2"/>
        <v>6.7875</v>
      </c>
      <c r="E348" s="93"/>
      <c r="F348" s="12">
        <v>1.55</v>
      </c>
      <c r="G348" s="12"/>
      <c r="H348" s="12"/>
      <c r="I348" s="12"/>
      <c r="J348" s="12"/>
      <c r="K348" s="12"/>
      <c r="L348" s="190">
        <f>E348*Prices!B$2</f>
        <v>0</v>
      </c>
      <c r="M348" s="190">
        <f>F348*Prices!C$2</f>
        <v>248000</v>
      </c>
      <c r="N348" s="190">
        <f>G348*Prices!D$2</f>
        <v>0</v>
      </c>
      <c r="O348" s="190">
        <f t="shared" si="8"/>
        <v>0</v>
      </c>
      <c r="P348" s="190">
        <f t="shared" si="10"/>
        <v>0</v>
      </c>
      <c r="Q348" s="190">
        <f>D348*Prices!A$2</f>
        <v>121156.875</v>
      </c>
      <c r="R348" s="191">
        <f t="shared" si="4"/>
        <v>248000</v>
      </c>
      <c r="S348" s="190">
        <f t="shared" si="5"/>
        <v>369156.875</v>
      </c>
      <c r="T348" s="93">
        <v>347.0</v>
      </c>
      <c r="U348" s="93" t="s">
        <v>80</v>
      </c>
      <c r="V348" s="12" t="s">
        <v>81</v>
      </c>
      <c r="W348" s="12"/>
      <c r="X348" s="12"/>
      <c r="Y348" s="12"/>
      <c r="Z348" s="12"/>
    </row>
    <row r="349">
      <c r="A349" s="93">
        <v>348.0</v>
      </c>
      <c r="B349" s="93">
        <v>2.73</v>
      </c>
      <c r="C349" s="93">
        <f t="shared" si="1"/>
        <v>0.6825</v>
      </c>
      <c r="D349" s="93">
        <f t="shared" si="2"/>
        <v>3.4125</v>
      </c>
      <c r="E349" s="93">
        <v>0.85</v>
      </c>
      <c r="F349" s="12"/>
      <c r="G349" s="12"/>
      <c r="H349" s="12"/>
      <c r="I349" s="12"/>
      <c r="J349" s="12"/>
      <c r="K349" s="12"/>
      <c r="L349" s="190">
        <f>E349*Prices!B$2</f>
        <v>93500</v>
      </c>
      <c r="M349" s="190">
        <f>F349*Prices!C$2</f>
        <v>0</v>
      </c>
      <c r="N349" s="190">
        <f>G349*Prices!D$2</f>
        <v>0</v>
      </c>
      <c r="O349" s="190">
        <f t="shared" si="8"/>
        <v>0</v>
      </c>
      <c r="P349" s="190">
        <f t="shared" si="10"/>
        <v>0</v>
      </c>
      <c r="Q349" s="190">
        <f>D349*Prices!A$2</f>
        <v>60913.125</v>
      </c>
      <c r="R349" s="191">
        <f t="shared" si="4"/>
        <v>93500</v>
      </c>
      <c r="S349" s="190">
        <f t="shared" si="5"/>
        <v>154413.125</v>
      </c>
      <c r="T349" s="93">
        <v>348.0</v>
      </c>
      <c r="U349" s="93" t="s">
        <v>82</v>
      </c>
      <c r="V349" s="12"/>
      <c r="W349" s="12"/>
      <c r="X349" s="12"/>
      <c r="Y349" s="12"/>
      <c r="Z349" s="12"/>
    </row>
    <row r="350">
      <c r="A350" s="93">
        <v>349.0</v>
      </c>
      <c r="B350" s="93">
        <v>2.6</v>
      </c>
      <c r="C350" s="93">
        <f t="shared" si="1"/>
        <v>0.65</v>
      </c>
      <c r="D350" s="93">
        <f t="shared" si="2"/>
        <v>3.25</v>
      </c>
      <c r="E350" s="93">
        <v>0.29</v>
      </c>
      <c r="F350" s="12"/>
      <c r="G350" s="12"/>
      <c r="H350" s="12"/>
      <c r="I350" s="12"/>
      <c r="J350" s="12"/>
      <c r="K350" s="12"/>
      <c r="L350" s="190">
        <f>E350*Prices!B$2</f>
        <v>31900</v>
      </c>
      <c r="M350" s="190">
        <f>F350*Prices!C$2</f>
        <v>0</v>
      </c>
      <c r="N350" s="190">
        <f>G350*Prices!D$2</f>
        <v>0</v>
      </c>
      <c r="O350" s="190">
        <f t="shared" si="8"/>
        <v>0</v>
      </c>
      <c r="P350" s="190">
        <f t="shared" si="10"/>
        <v>0</v>
      </c>
      <c r="Q350" s="190">
        <f>D350*Prices!A$2</f>
        <v>58012.5</v>
      </c>
      <c r="R350" s="191">
        <f t="shared" si="4"/>
        <v>31900</v>
      </c>
      <c r="S350" s="190">
        <f t="shared" si="5"/>
        <v>89912.5</v>
      </c>
      <c r="T350" s="93">
        <v>349.0</v>
      </c>
      <c r="U350" s="93" t="s">
        <v>82</v>
      </c>
      <c r="V350" s="12"/>
      <c r="W350" s="12"/>
      <c r="X350" s="12"/>
      <c r="Y350" s="12"/>
      <c r="Z350" s="12"/>
    </row>
    <row r="351">
      <c r="A351" s="93">
        <v>350.0</v>
      </c>
      <c r="B351" s="93">
        <v>5.158</v>
      </c>
      <c r="C351" s="93">
        <f t="shared" si="1"/>
        <v>1.2895</v>
      </c>
      <c r="D351" s="93">
        <f t="shared" si="2"/>
        <v>6.4475</v>
      </c>
      <c r="E351" s="93"/>
      <c r="F351" s="12">
        <v>1.76</v>
      </c>
      <c r="G351" s="12"/>
      <c r="H351" s="12"/>
      <c r="I351" s="12"/>
      <c r="J351" s="12"/>
      <c r="K351" s="12"/>
      <c r="L351" s="190">
        <f>E351*Prices!B$2</f>
        <v>0</v>
      </c>
      <c r="M351" s="190">
        <f>F351*Prices!C$2</f>
        <v>281600</v>
      </c>
      <c r="N351" s="190">
        <f>G351*Prices!D$2</f>
        <v>0</v>
      </c>
      <c r="O351" s="190">
        <f t="shared" si="8"/>
        <v>0</v>
      </c>
      <c r="P351" s="190">
        <f t="shared" si="10"/>
        <v>0</v>
      </c>
      <c r="Q351" s="190">
        <f>D351*Prices!A$2</f>
        <v>115087.875</v>
      </c>
      <c r="R351" s="191">
        <f t="shared" si="4"/>
        <v>281600</v>
      </c>
      <c r="S351" s="190">
        <f t="shared" si="5"/>
        <v>396687.875</v>
      </c>
      <c r="T351" s="93">
        <v>350.0</v>
      </c>
      <c r="U351" s="93" t="s">
        <v>82</v>
      </c>
      <c r="V351" s="12"/>
      <c r="W351" s="12"/>
      <c r="X351" s="12"/>
      <c r="Y351" s="12"/>
      <c r="Z351" s="12"/>
    </row>
    <row r="352">
      <c r="A352" s="93">
        <v>351.0</v>
      </c>
      <c r="B352" s="93">
        <v>2.98</v>
      </c>
      <c r="C352" s="93">
        <f t="shared" si="1"/>
        <v>0.745</v>
      </c>
      <c r="D352" s="93">
        <f t="shared" si="2"/>
        <v>3.725</v>
      </c>
      <c r="E352" s="93">
        <v>0.5</v>
      </c>
      <c r="F352" s="12"/>
      <c r="G352" s="12"/>
      <c r="H352" s="12"/>
      <c r="I352" s="12"/>
      <c r="J352" s="12"/>
      <c r="K352" s="12"/>
      <c r="L352" s="190">
        <f>E352*Prices!B$2</f>
        <v>55000</v>
      </c>
      <c r="M352" s="190">
        <f>F352*Prices!C$2</f>
        <v>0</v>
      </c>
      <c r="N352" s="190">
        <f>G352*Prices!D$2</f>
        <v>0</v>
      </c>
      <c r="O352" s="190">
        <f t="shared" si="8"/>
        <v>0</v>
      </c>
      <c r="P352" s="190">
        <f t="shared" si="10"/>
        <v>0</v>
      </c>
      <c r="Q352" s="190">
        <f>D352*Prices!A$2</f>
        <v>66491.25</v>
      </c>
      <c r="R352" s="191">
        <f t="shared" si="4"/>
        <v>55000</v>
      </c>
      <c r="S352" s="190">
        <f t="shared" si="5"/>
        <v>121491.25</v>
      </c>
      <c r="T352" s="93">
        <v>351.0</v>
      </c>
      <c r="U352" s="93" t="s">
        <v>80</v>
      </c>
      <c r="V352" s="12" t="s">
        <v>81</v>
      </c>
      <c r="W352" s="12"/>
      <c r="X352" s="12"/>
      <c r="Y352" s="12"/>
      <c r="Z352" s="12"/>
    </row>
    <row r="353">
      <c r="A353" s="93">
        <v>352.0</v>
      </c>
      <c r="B353" s="93">
        <v>2.836</v>
      </c>
      <c r="C353" s="93">
        <f t="shared" si="1"/>
        <v>0.709</v>
      </c>
      <c r="D353" s="93">
        <f t="shared" si="2"/>
        <v>3.545</v>
      </c>
      <c r="E353" s="93">
        <v>0.57</v>
      </c>
      <c r="F353" s="12"/>
      <c r="G353" s="12"/>
      <c r="H353" s="12"/>
      <c r="I353" s="12"/>
      <c r="J353" s="12"/>
      <c r="K353" s="12"/>
      <c r="L353" s="190">
        <f>E353*Prices!B$2</f>
        <v>62700</v>
      </c>
      <c r="M353" s="190">
        <f>F353*Prices!C$2</f>
        <v>0</v>
      </c>
      <c r="N353" s="190">
        <f>G353*Prices!D$2</f>
        <v>0</v>
      </c>
      <c r="O353" s="190">
        <f t="shared" si="8"/>
        <v>0</v>
      </c>
      <c r="P353" s="190">
        <f t="shared" si="10"/>
        <v>0</v>
      </c>
      <c r="Q353" s="190">
        <f>D353*Prices!A$2</f>
        <v>63278.25</v>
      </c>
      <c r="R353" s="191">
        <f t="shared" si="4"/>
        <v>62700</v>
      </c>
      <c r="S353" s="190">
        <f t="shared" si="5"/>
        <v>125978.25</v>
      </c>
      <c r="T353" s="93">
        <v>352.0</v>
      </c>
      <c r="U353" s="26" t="s">
        <v>82</v>
      </c>
      <c r="V353" s="12"/>
      <c r="W353" s="12"/>
      <c r="X353" s="12"/>
      <c r="Y353" s="12"/>
      <c r="Z353" s="12"/>
    </row>
    <row r="354">
      <c r="A354" s="93">
        <v>353.0</v>
      </c>
      <c r="B354" s="93">
        <v>2.942</v>
      </c>
      <c r="C354" s="93">
        <f t="shared" si="1"/>
        <v>0.7355</v>
      </c>
      <c r="D354" s="93">
        <f t="shared" si="2"/>
        <v>3.6775</v>
      </c>
      <c r="E354" s="93">
        <v>0.64</v>
      </c>
      <c r="F354" s="12"/>
      <c r="G354" s="12"/>
      <c r="H354" s="12"/>
      <c r="I354" s="12"/>
      <c r="J354" s="12"/>
      <c r="K354" s="12"/>
      <c r="L354" s="190">
        <f>E354*Prices!B$2</f>
        <v>70400</v>
      </c>
      <c r="M354" s="190">
        <f>F354*Prices!C$2</f>
        <v>0</v>
      </c>
      <c r="N354" s="190">
        <f>G354*Prices!D$2</f>
        <v>0</v>
      </c>
      <c r="O354" s="190">
        <f t="shared" si="8"/>
        <v>0</v>
      </c>
      <c r="P354" s="190">
        <f t="shared" si="10"/>
        <v>0</v>
      </c>
      <c r="Q354" s="190">
        <f>D354*Prices!A$2</f>
        <v>65643.375</v>
      </c>
      <c r="R354" s="191">
        <f t="shared" si="4"/>
        <v>70400</v>
      </c>
      <c r="S354" s="190">
        <f t="shared" si="5"/>
        <v>136043.375</v>
      </c>
      <c r="T354" s="93">
        <v>353.0</v>
      </c>
      <c r="U354" s="26" t="s">
        <v>82</v>
      </c>
      <c r="V354" s="12"/>
      <c r="W354" s="12"/>
      <c r="X354" s="12"/>
      <c r="Y354" s="12"/>
      <c r="Z354" s="12"/>
    </row>
    <row r="355">
      <c r="A355" s="93">
        <v>354.0</v>
      </c>
      <c r="B355" s="93">
        <v>3.168</v>
      </c>
      <c r="C355" s="93">
        <f t="shared" si="1"/>
        <v>0.792</v>
      </c>
      <c r="D355" s="93">
        <f t="shared" si="2"/>
        <v>3.96</v>
      </c>
      <c r="E355" s="93">
        <v>0.51</v>
      </c>
      <c r="F355" s="12"/>
      <c r="G355" s="12"/>
      <c r="H355" s="12"/>
      <c r="I355" s="12"/>
      <c r="J355" s="12"/>
      <c r="K355" s="12"/>
      <c r="L355" s="190">
        <f>E355*Prices!B$2</f>
        <v>56100</v>
      </c>
      <c r="M355" s="190">
        <f>F355*Prices!C$2</f>
        <v>0</v>
      </c>
      <c r="N355" s="190">
        <f>G355*Prices!D$2</f>
        <v>0</v>
      </c>
      <c r="O355" s="190">
        <f t="shared" si="8"/>
        <v>0</v>
      </c>
      <c r="P355" s="190">
        <f t="shared" si="10"/>
        <v>0</v>
      </c>
      <c r="Q355" s="190">
        <f>D355*Prices!A$2</f>
        <v>70686</v>
      </c>
      <c r="R355" s="191">
        <f t="shared" si="4"/>
        <v>56100</v>
      </c>
      <c r="S355" s="190">
        <f t="shared" si="5"/>
        <v>126786</v>
      </c>
      <c r="T355" s="93">
        <v>354.0</v>
      </c>
      <c r="U355" s="93" t="s">
        <v>80</v>
      </c>
      <c r="V355" s="12" t="s">
        <v>81</v>
      </c>
      <c r="W355" s="12"/>
      <c r="X355" s="12"/>
      <c r="Y355" s="12"/>
      <c r="Z355" s="12"/>
    </row>
    <row r="356">
      <c r="A356" s="93">
        <v>355.0</v>
      </c>
      <c r="B356" s="93">
        <v>3.284</v>
      </c>
      <c r="C356" s="93">
        <f t="shared" si="1"/>
        <v>0.821</v>
      </c>
      <c r="D356" s="93">
        <f t="shared" si="2"/>
        <v>4.105</v>
      </c>
      <c r="E356" s="93">
        <v>1.19</v>
      </c>
      <c r="F356" s="12">
        <v>0.09</v>
      </c>
      <c r="G356" s="12"/>
      <c r="H356" s="12"/>
      <c r="I356" s="12"/>
      <c r="J356" s="12"/>
      <c r="K356" s="12"/>
      <c r="L356" s="190">
        <f>E356*Prices!B$2</f>
        <v>130900</v>
      </c>
      <c r="M356" s="190">
        <f>F356*Prices!C$2</f>
        <v>14400</v>
      </c>
      <c r="N356" s="190">
        <f>G356*Prices!D$2</f>
        <v>0</v>
      </c>
      <c r="O356" s="190">
        <f t="shared" si="8"/>
        <v>0</v>
      </c>
      <c r="P356" s="190">
        <f t="shared" si="10"/>
        <v>0</v>
      </c>
      <c r="Q356" s="190">
        <f>D356*Prices!A$2</f>
        <v>73274.25</v>
      </c>
      <c r="R356" s="191">
        <f t="shared" si="4"/>
        <v>145300</v>
      </c>
      <c r="S356" s="190">
        <f t="shared" si="5"/>
        <v>218574.25</v>
      </c>
      <c r="T356" s="93">
        <v>355.0</v>
      </c>
      <c r="U356" s="93" t="s">
        <v>80</v>
      </c>
      <c r="V356" s="12" t="s">
        <v>81</v>
      </c>
      <c r="W356" s="12"/>
      <c r="X356" s="12"/>
      <c r="Y356" s="12"/>
      <c r="Z356" s="12"/>
    </row>
    <row r="357">
      <c r="A357" s="93">
        <v>356.0</v>
      </c>
      <c r="B357" s="93">
        <v>2.998</v>
      </c>
      <c r="C357" s="93">
        <f t="shared" si="1"/>
        <v>0.7495</v>
      </c>
      <c r="D357" s="93">
        <f t="shared" si="2"/>
        <v>3.7475</v>
      </c>
      <c r="E357" s="93">
        <v>0.81</v>
      </c>
      <c r="F357" s="12"/>
      <c r="G357" s="12"/>
      <c r="H357" s="12"/>
      <c r="I357" s="12"/>
      <c r="J357" s="12"/>
      <c r="K357" s="12"/>
      <c r="L357" s="190">
        <f>E357*Prices!B$2</f>
        <v>89100</v>
      </c>
      <c r="M357" s="190">
        <f>F357*Prices!C$2</f>
        <v>0</v>
      </c>
      <c r="N357" s="190">
        <f>G357*Prices!D$2</f>
        <v>0</v>
      </c>
      <c r="O357" s="190">
        <f t="shared" si="8"/>
        <v>0</v>
      </c>
      <c r="P357" s="190">
        <f t="shared" si="10"/>
        <v>0</v>
      </c>
      <c r="Q357" s="190">
        <f>D357*Prices!A$2</f>
        <v>66892.875</v>
      </c>
      <c r="R357" s="191">
        <f t="shared" si="4"/>
        <v>89100</v>
      </c>
      <c r="S357" s="190">
        <f t="shared" si="5"/>
        <v>155992.875</v>
      </c>
      <c r="T357" s="93">
        <v>356.0</v>
      </c>
      <c r="U357" s="93" t="s">
        <v>80</v>
      </c>
      <c r="V357" s="12" t="s">
        <v>81</v>
      </c>
      <c r="W357" s="12"/>
      <c r="X357" s="12"/>
      <c r="Y357" s="12"/>
      <c r="Z357" s="12"/>
    </row>
    <row r="358">
      <c r="A358" s="93">
        <v>357.0</v>
      </c>
      <c r="B358" s="93">
        <v>2.226</v>
      </c>
      <c r="C358" s="93">
        <f t="shared" si="1"/>
        <v>0.5565</v>
      </c>
      <c r="D358" s="93">
        <f t="shared" si="2"/>
        <v>2.7825</v>
      </c>
      <c r="E358" s="93">
        <v>0.44</v>
      </c>
      <c r="F358" s="12">
        <v>0.08</v>
      </c>
      <c r="G358" s="12"/>
      <c r="H358" s="12"/>
      <c r="I358" s="12"/>
      <c r="J358" s="12"/>
      <c r="K358" s="12"/>
      <c r="L358" s="190">
        <f>E358*Prices!B$2</f>
        <v>48400</v>
      </c>
      <c r="M358" s="190">
        <f>F358*Prices!C$2</f>
        <v>12800</v>
      </c>
      <c r="N358" s="190">
        <f>G358*Prices!D$2</f>
        <v>0</v>
      </c>
      <c r="O358" s="190">
        <f t="shared" si="8"/>
        <v>0</v>
      </c>
      <c r="P358" s="190">
        <f t="shared" si="10"/>
        <v>0</v>
      </c>
      <c r="Q358" s="190">
        <f>D358*Prices!A$2</f>
        <v>49667.625</v>
      </c>
      <c r="R358" s="191">
        <f t="shared" si="4"/>
        <v>61200</v>
      </c>
      <c r="S358" s="190">
        <f t="shared" si="5"/>
        <v>110867.625</v>
      </c>
      <c r="T358" s="93">
        <v>357.0</v>
      </c>
      <c r="U358" s="93" t="s">
        <v>80</v>
      </c>
      <c r="V358" s="12" t="s">
        <v>81</v>
      </c>
      <c r="W358" s="12"/>
      <c r="X358" s="12"/>
      <c r="Y358" s="12"/>
      <c r="Z358" s="12"/>
    </row>
    <row r="359">
      <c r="A359" s="93">
        <v>358.0</v>
      </c>
      <c r="B359" s="93">
        <v>3.71</v>
      </c>
      <c r="C359" s="93">
        <f t="shared" si="1"/>
        <v>0.9275</v>
      </c>
      <c r="D359" s="93">
        <f t="shared" si="2"/>
        <v>4.6375</v>
      </c>
      <c r="E359" s="93">
        <v>0.58</v>
      </c>
      <c r="F359" s="12"/>
      <c r="G359" s="12"/>
      <c r="H359" s="12"/>
      <c r="I359" s="12"/>
      <c r="J359" s="12"/>
      <c r="K359" s="12"/>
      <c r="L359" s="190">
        <f>E359*Prices!B$2</f>
        <v>63800</v>
      </c>
      <c r="M359" s="190">
        <f>F359*Prices!C$2</f>
        <v>0</v>
      </c>
      <c r="N359" s="190">
        <f>G359*Prices!D$2</f>
        <v>0</v>
      </c>
      <c r="O359" s="190">
        <f t="shared" si="8"/>
        <v>0</v>
      </c>
      <c r="P359" s="190">
        <f t="shared" si="10"/>
        <v>0</v>
      </c>
      <c r="Q359" s="190">
        <f>D359*Prices!A$2</f>
        <v>82779.375</v>
      </c>
      <c r="R359" s="191">
        <f t="shared" si="4"/>
        <v>63800</v>
      </c>
      <c r="S359" s="190">
        <f t="shared" si="5"/>
        <v>146579.375</v>
      </c>
      <c r="T359" s="93">
        <v>358.0</v>
      </c>
      <c r="U359" s="93" t="s">
        <v>80</v>
      </c>
      <c r="V359" s="12" t="s">
        <v>81</v>
      </c>
      <c r="W359" s="12"/>
      <c r="X359" s="12"/>
      <c r="Y359" s="12"/>
      <c r="Z359" s="12"/>
    </row>
    <row r="360">
      <c r="A360" s="93">
        <v>359.0</v>
      </c>
      <c r="B360" s="93">
        <v>2.604</v>
      </c>
      <c r="C360" s="93">
        <f t="shared" si="1"/>
        <v>0.651</v>
      </c>
      <c r="D360" s="93">
        <f t="shared" si="2"/>
        <v>3.255</v>
      </c>
      <c r="E360" s="93">
        <v>0.76</v>
      </c>
      <c r="F360" s="12">
        <v>0.07</v>
      </c>
      <c r="G360" s="12"/>
      <c r="H360" s="12"/>
      <c r="I360" s="12"/>
      <c r="J360" s="12"/>
      <c r="K360" s="12"/>
      <c r="L360" s="190">
        <f>E360*Prices!B$2</f>
        <v>83600</v>
      </c>
      <c r="M360" s="190">
        <f>F360*Prices!C$2</f>
        <v>11200</v>
      </c>
      <c r="N360" s="190">
        <f>G360*Prices!D$2</f>
        <v>0</v>
      </c>
      <c r="O360" s="190">
        <f t="shared" si="8"/>
        <v>0</v>
      </c>
      <c r="P360" s="190">
        <f t="shared" si="10"/>
        <v>0</v>
      </c>
      <c r="Q360" s="190">
        <f>D360*Prices!A$2</f>
        <v>58101.75</v>
      </c>
      <c r="R360" s="191">
        <f t="shared" si="4"/>
        <v>94800</v>
      </c>
      <c r="S360" s="190">
        <f t="shared" si="5"/>
        <v>152901.75</v>
      </c>
      <c r="T360" s="93">
        <v>359.0</v>
      </c>
      <c r="U360" s="93" t="s">
        <v>80</v>
      </c>
      <c r="V360" s="12" t="s">
        <v>81</v>
      </c>
      <c r="W360" s="12"/>
      <c r="X360" s="12"/>
      <c r="Y360" s="12"/>
      <c r="Z360" s="12"/>
    </row>
    <row r="361">
      <c r="A361" s="93">
        <v>360.0</v>
      </c>
      <c r="B361" s="93">
        <v>3.858</v>
      </c>
      <c r="C361" s="93">
        <f t="shared" si="1"/>
        <v>0.9645</v>
      </c>
      <c r="D361" s="93">
        <f t="shared" si="2"/>
        <v>4.8225</v>
      </c>
      <c r="E361" s="93">
        <v>0.86</v>
      </c>
      <c r="F361" s="12"/>
      <c r="G361" s="12"/>
      <c r="H361" s="12"/>
      <c r="I361" s="12"/>
      <c r="J361" s="12"/>
      <c r="K361" s="12"/>
      <c r="L361" s="190">
        <f>E361*Prices!B$2</f>
        <v>94600</v>
      </c>
      <c r="M361" s="190">
        <f>F361*Prices!C$2</f>
        <v>0</v>
      </c>
      <c r="N361" s="190">
        <f>G361*Prices!D$2</f>
        <v>0</v>
      </c>
      <c r="O361" s="190">
        <f t="shared" si="8"/>
        <v>0</v>
      </c>
      <c r="P361" s="190">
        <f t="shared" si="10"/>
        <v>0</v>
      </c>
      <c r="Q361" s="190">
        <f>D361*Prices!A$2</f>
        <v>86081.625</v>
      </c>
      <c r="R361" s="191">
        <f t="shared" si="4"/>
        <v>94600</v>
      </c>
      <c r="S361" s="190">
        <f t="shared" si="5"/>
        <v>180681.625</v>
      </c>
      <c r="T361" s="93">
        <v>360.0</v>
      </c>
      <c r="U361" s="26" t="s">
        <v>82</v>
      </c>
      <c r="V361" s="12"/>
      <c r="W361" s="12"/>
      <c r="X361" s="12"/>
      <c r="Y361" s="12"/>
      <c r="Z361" s="12"/>
    </row>
    <row r="362">
      <c r="A362" s="93">
        <v>361.0</v>
      </c>
      <c r="B362" s="93">
        <v>2.25</v>
      </c>
      <c r="C362" s="93">
        <f t="shared" si="1"/>
        <v>0.5625</v>
      </c>
      <c r="D362" s="93">
        <f t="shared" si="2"/>
        <v>2.8125</v>
      </c>
      <c r="E362" s="93">
        <v>0.65</v>
      </c>
      <c r="F362" s="12"/>
      <c r="G362" s="12"/>
      <c r="H362" s="12"/>
      <c r="I362" s="12"/>
      <c r="J362" s="12"/>
      <c r="K362" s="12"/>
      <c r="L362" s="190">
        <f>E362*Prices!B$2</f>
        <v>71500</v>
      </c>
      <c r="M362" s="190">
        <f>F362*Prices!C$2</f>
        <v>0</v>
      </c>
      <c r="N362" s="190">
        <f>G362*Prices!D$2</f>
        <v>0</v>
      </c>
      <c r="O362" s="190">
        <f t="shared" si="8"/>
        <v>0</v>
      </c>
      <c r="P362" s="190">
        <f t="shared" si="10"/>
        <v>0</v>
      </c>
      <c r="Q362" s="190">
        <f>D362*Prices!A$2</f>
        <v>50203.125</v>
      </c>
      <c r="R362" s="191">
        <f t="shared" si="4"/>
        <v>71500</v>
      </c>
      <c r="S362" s="190">
        <f t="shared" si="5"/>
        <v>121703.125</v>
      </c>
      <c r="T362" s="93">
        <v>361.0</v>
      </c>
      <c r="U362" s="93" t="s">
        <v>80</v>
      </c>
      <c r="V362" s="12" t="s">
        <v>81</v>
      </c>
      <c r="W362" s="12"/>
      <c r="X362" s="12"/>
      <c r="Y362" s="12"/>
      <c r="Z362" s="12"/>
    </row>
    <row r="363">
      <c r="A363" s="93">
        <v>362.0</v>
      </c>
      <c r="B363" s="93">
        <v>1.494</v>
      </c>
      <c r="C363" s="93">
        <f t="shared" si="1"/>
        <v>0.3735</v>
      </c>
      <c r="D363" s="93">
        <f t="shared" si="2"/>
        <v>1.8675</v>
      </c>
      <c r="E363" s="93">
        <v>0.18</v>
      </c>
      <c r="F363" s="12"/>
      <c r="G363" s="12"/>
      <c r="H363" s="12"/>
      <c r="I363" s="12"/>
      <c r="J363" s="12"/>
      <c r="K363" s="12"/>
      <c r="L363" s="190">
        <f>E363*Prices!B$2</f>
        <v>19800</v>
      </c>
      <c r="M363" s="190">
        <f>F363*Prices!C$2</f>
        <v>0</v>
      </c>
      <c r="N363" s="190">
        <f>G363*Prices!D$2</f>
        <v>0</v>
      </c>
      <c r="O363" s="190">
        <f t="shared" si="8"/>
        <v>0</v>
      </c>
      <c r="P363" s="190">
        <f t="shared" si="10"/>
        <v>0</v>
      </c>
      <c r="Q363" s="190">
        <f>D363*Prices!A$2</f>
        <v>33334.875</v>
      </c>
      <c r="R363" s="191">
        <f t="shared" si="4"/>
        <v>19800</v>
      </c>
      <c r="S363" s="190">
        <f t="shared" si="5"/>
        <v>53134.875</v>
      </c>
      <c r="T363" s="93">
        <v>362.0</v>
      </c>
      <c r="U363" s="93" t="s">
        <v>80</v>
      </c>
      <c r="V363" s="12" t="s">
        <v>81</v>
      </c>
      <c r="W363" s="12"/>
      <c r="X363" s="12"/>
      <c r="Y363" s="12"/>
      <c r="Z363" s="12"/>
    </row>
    <row r="364">
      <c r="A364" s="93">
        <v>363.0</v>
      </c>
      <c r="B364" s="93">
        <v>1.15</v>
      </c>
      <c r="C364" s="93">
        <f t="shared" si="1"/>
        <v>0.2875</v>
      </c>
      <c r="D364" s="93">
        <f t="shared" si="2"/>
        <v>1.4375</v>
      </c>
      <c r="E364" s="93">
        <v>0.15</v>
      </c>
      <c r="F364" s="12"/>
      <c r="G364" s="12"/>
      <c r="H364" s="12"/>
      <c r="I364" s="12"/>
      <c r="J364" s="12"/>
      <c r="K364" s="12"/>
      <c r="L364" s="190">
        <f>E364*Prices!B$2</f>
        <v>16500</v>
      </c>
      <c r="M364" s="190">
        <f>F364*Prices!C$2</f>
        <v>0</v>
      </c>
      <c r="N364" s="190">
        <f>G364*Prices!D$2</f>
        <v>0</v>
      </c>
      <c r="O364" s="190">
        <f t="shared" si="8"/>
        <v>0</v>
      </c>
      <c r="P364" s="190">
        <f t="shared" si="10"/>
        <v>0</v>
      </c>
      <c r="Q364" s="190">
        <f>D364*Prices!A$2</f>
        <v>25659.375</v>
      </c>
      <c r="R364" s="191">
        <f t="shared" si="4"/>
        <v>16500</v>
      </c>
      <c r="S364" s="190">
        <f t="shared" si="5"/>
        <v>42159.375</v>
      </c>
      <c r="T364" s="93">
        <v>363.0</v>
      </c>
      <c r="U364" s="26" t="s">
        <v>82</v>
      </c>
      <c r="V364" s="12"/>
      <c r="W364" s="12"/>
      <c r="X364" s="12"/>
      <c r="Y364" s="12"/>
      <c r="Z364" s="12"/>
    </row>
    <row r="365" ht="15.0" customHeight="1">
      <c r="A365" s="12">
        <v>364.0</v>
      </c>
      <c r="B365" s="93">
        <v>2.518</v>
      </c>
      <c r="C365" s="93">
        <f t="shared" si="1"/>
        <v>0.6295</v>
      </c>
      <c r="D365" s="93">
        <f t="shared" si="2"/>
        <v>3.1475</v>
      </c>
      <c r="E365" s="93">
        <v>0.4</v>
      </c>
      <c r="F365" s="12"/>
      <c r="G365" s="12"/>
      <c r="H365" s="12"/>
      <c r="I365" s="12">
        <v>1.26</v>
      </c>
      <c r="J365" s="12"/>
      <c r="K365" s="12"/>
      <c r="L365" s="190">
        <f>E365*Prices!B$2</f>
        <v>44000</v>
      </c>
      <c r="M365" s="190">
        <f>F365*Prices!C$2</f>
        <v>0</v>
      </c>
      <c r="N365" s="190">
        <f>G365*Prices!D$2</f>
        <v>0</v>
      </c>
      <c r="O365" s="190">
        <f t="shared" si="8"/>
        <v>0</v>
      </c>
      <c r="P365" s="190">
        <f>I365*4000+J365*10000+K365*3000</f>
        <v>5040</v>
      </c>
      <c r="Q365" s="190">
        <f>D365*Prices!A$2</f>
        <v>56182.875</v>
      </c>
      <c r="R365" s="191">
        <f t="shared" si="4"/>
        <v>44000</v>
      </c>
      <c r="S365" s="190">
        <f t="shared" si="5"/>
        <v>105222.875</v>
      </c>
      <c r="T365" s="93">
        <v>364.0</v>
      </c>
      <c r="U365" s="26" t="s">
        <v>82</v>
      </c>
      <c r="V365" s="12"/>
      <c r="W365" s="12"/>
      <c r="X365" s="12"/>
      <c r="Y365" s="12"/>
      <c r="Z365" s="12"/>
    </row>
    <row r="366" ht="15.0" customHeight="1">
      <c r="A366" s="12"/>
      <c r="B366" s="93"/>
      <c r="C366" s="93"/>
      <c r="D366" s="93"/>
      <c r="E366" s="9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0" customHeight="1">
      <c r="A367" s="12"/>
      <c r="B367" s="93"/>
      <c r="C367" s="93"/>
      <c r="D367" s="93"/>
      <c r="E367" s="9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0" customHeight="1">
      <c r="A368" s="12"/>
      <c r="B368" s="93"/>
      <c r="C368" s="93"/>
      <c r="D368" s="93"/>
      <c r="E368" s="9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0" customHeight="1">
      <c r="A369" s="12"/>
      <c r="B369" s="93"/>
      <c r="C369" s="93"/>
      <c r="D369" s="93"/>
      <c r="E369" s="9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0" customHeight="1">
      <c r="A370" s="12"/>
      <c r="B370" s="93"/>
      <c r="C370" s="93"/>
      <c r="D370" s="93"/>
      <c r="E370" s="9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0" customHeight="1">
      <c r="A371" s="12"/>
      <c r="B371" s="93"/>
      <c r="C371" s="93"/>
      <c r="D371" s="93"/>
      <c r="E371" s="9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0" customHeight="1">
      <c r="A372" s="12"/>
      <c r="B372" s="93"/>
      <c r="C372" s="93"/>
      <c r="D372" s="93"/>
      <c r="E372" s="9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0" customHeight="1">
      <c r="A373" s="12"/>
      <c r="B373" s="93"/>
      <c r="C373" s="93"/>
      <c r="D373" s="93"/>
      <c r="E373" s="9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0" customHeight="1">
      <c r="A374" s="12"/>
      <c r="B374" s="93"/>
      <c r="C374" s="93"/>
      <c r="D374" s="93"/>
      <c r="E374" s="9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0" customHeight="1">
      <c r="A375" s="12"/>
      <c r="B375" s="93"/>
      <c r="C375" s="93"/>
      <c r="D375" s="93"/>
      <c r="E375" s="9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0" customHeight="1">
      <c r="A376" s="12"/>
      <c r="B376" s="93"/>
      <c r="C376" s="93"/>
      <c r="D376" s="93"/>
      <c r="E376" s="9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0" customHeight="1">
      <c r="A377" s="12"/>
      <c r="B377" s="93"/>
      <c r="C377" s="93"/>
      <c r="D377" s="93"/>
      <c r="E377" s="9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0" customHeight="1">
      <c r="A378" s="12"/>
      <c r="B378" s="93"/>
      <c r="C378" s="93"/>
      <c r="D378" s="93"/>
      <c r="E378" s="9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0" customHeight="1">
      <c r="A379" s="12"/>
      <c r="B379" s="93"/>
      <c r="C379" s="93"/>
      <c r="D379" s="93"/>
      <c r="E379" s="9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0" customHeight="1">
      <c r="A380" s="12"/>
      <c r="B380" s="93"/>
      <c r="C380" s="93"/>
      <c r="D380" s="93"/>
      <c r="E380" s="9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0" customHeight="1">
      <c r="A381" s="12"/>
      <c r="B381" s="93"/>
      <c r="C381" s="93"/>
      <c r="D381" s="93"/>
      <c r="E381" s="9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0" customHeight="1">
      <c r="A382" s="12"/>
      <c r="B382" s="93"/>
      <c r="C382" s="93"/>
      <c r="D382" s="93"/>
      <c r="E382" s="9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0" customHeight="1">
      <c r="A383" s="12"/>
      <c r="B383" s="93"/>
      <c r="C383" s="93"/>
      <c r="D383" s="93"/>
      <c r="E383" s="9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0" customHeight="1">
      <c r="A384" s="12"/>
      <c r="B384" s="93"/>
      <c r="C384" s="93"/>
      <c r="D384" s="93"/>
      <c r="E384" s="9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0" customHeight="1">
      <c r="A385" s="12"/>
      <c r="B385" s="93"/>
      <c r="C385" s="93"/>
      <c r="D385" s="93"/>
      <c r="E385" s="9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0" customHeight="1">
      <c r="A386" s="12"/>
      <c r="B386" s="93"/>
      <c r="C386" s="93"/>
      <c r="D386" s="93"/>
      <c r="E386" s="9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0" customHeight="1">
      <c r="A387" s="12"/>
      <c r="B387" s="93"/>
      <c r="C387" s="93"/>
      <c r="D387" s="93"/>
      <c r="E387" s="9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0" customHeight="1">
      <c r="A388" s="12"/>
      <c r="B388" s="93"/>
      <c r="C388" s="93"/>
      <c r="D388" s="93"/>
      <c r="E388" s="9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0" customHeight="1">
      <c r="A389" s="12"/>
      <c r="B389" s="93"/>
      <c r="C389" s="93"/>
      <c r="D389" s="93"/>
      <c r="E389" s="9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0" customHeight="1">
      <c r="A390" s="12"/>
      <c r="B390" s="93"/>
      <c r="C390" s="93"/>
      <c r="D390" s="93"/>
      <c r="E390" s="9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0" customHeight="1">
      <c r="A391" s="12"/>
      <c r="B391" s="93"/>
      <c r="C391" s="93"/>
      <c r="D391" s="93"/>
      <c r="E391" s="9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0" customHeight="1">
      <c r="A392" s="12"/>
      <c r="B392" s="93"/>
      <c r="C392" s="93"/>
      <c r="D392" s="93"/>
      <c r="E392" s="9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0" customHeight="1">
      <c r="A393" s="12"/>
      <c r="B393" s="93"/>
      <c r="C393" s="93"/>
      <c r="D393" s="93"/>
      <c r="E393" s="9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0" customHeight="1">
      <c r="A394" s="12"/>
      <c r="B394" s="93"/>
      <c r="C394" s="93"/>
      <c r="D394" s="93"/>
      <c r="E394" s="9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0" customHeight="1">
      <c r="A395" s="12"/>
      <c r="B395" s="93"/>
      <c r="C395" s="93"/>
      <c r="D395" s="93"/>
      <c r="E395" s="9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0" customHeight="1">
      <c r="A396" s="12"/>
      <c r="B396" s="93"/>
      <c r="C396" s="93"/>
      <c r="D396" s="93"/>
      <c r="E396" s="9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0" customHeight="1">
      <c r="A397" s="12"/>
      <c r="B397" s="93"/>
      <c r="C397" s="93"/>
      <c r="D397" s="93"/>
      <c r="E397" s="9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0" customHeight="1">
      <c r="A398" s="12"/>
      <c r="B398" s="93"/>
      <c r="C398" s="93"/>
      <c r="D398" s="93"/>
      <c r="E398" s="9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0" customHeight="1">
      <c r="A399" s="12"/>
      <c r="B399" s="93"/>
      <c r="C399" s="93"/>
      <c r="D399" s="93"/>
      <c r="E399" s="9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0" customHeight="1">
      <c r="A400" s="12"/>
      <c r="B400" s="93"/>
      <c r="C400" s="93"/>
      <c r="D400" s="93"/>
      <c r="E400" s="9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0" customHeight="1">
      <c r="A401" s="12"/>
      <c r="B401" s="93"/>
      <c r="C401" s="93"/>
      <c r="D401" s="93"/>
      <c r="E401" s="9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0" customHeight="1">
      <c r="A402" s="12"/>
      <c r="B402" s="93"/>
      <c r="C402" s="93"/>
      <c r="D402" s="93"/>
      <c r="E402" s="9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0" customHeight="1">
      <c r="A403" s="12"/>
      <c r="B403" s="93"/>
      <c r="C403" s="93"/>
      <c r="D403" s="93"/>
      <c r="E403" s="9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0" customHeight="1">
      <c r="A404" s="12"/>
      <c r="B404" s="93"/>
      <c r="C404" s="93"/>
      <c r="D404" s="93"/>
      <c r="E404" s="9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0" customHeight="1">
      <c r="A405" s="12"/>
      <c r="B405" s="93"/>
      <c r="C405" s="93"/>
      <c r="D405" s="93"/>
      <c r="E405" s="9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0" customHeight="1">
      <c r="A406" s="12"/>
      <c r="B406" s="93"/>
      <c r="C406" s="93"/>
      <c r="D406" s="93"/>
      <c r="E406" s="9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0" customHeight="1">
      <c r="A407" s="12"/>
      <c r="B407" s="93"/>
      <c r="C407" s="93"/>
      <c r="D407" s="93"/>
      <c r="E407" s="9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0" customHeight="1">
      <c r="A408" s="12"/>
      <c r="B408" s="93"/>
      <c r="C408" s="93"/>
      <c r="D408" s="93"/>
      <c r="E408" s="9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0" customHeight="1">
      <c r="A409" s="12"/>
      <c r="B409" s="93"/>
      <c r="C409" s="93"/>
      <c r="D409" s="93"/>
      <c r="E409" s="9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0" customHeight="1">
      <c r="A410" s="12"/>
      <c r="B410" s="93"/>
      <c r="C410" s="93"/>
      <c r="D410" s="93"/>
      <c r="E410" s="9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0" customHeight="1">
      <c r="A411" s="12"/>
      <c r="B411" s="93"/>
      <c r="C411" s="93"/>
      <c r="D411" s="93"/>
      <c r="E411" s="9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0" customHeight="1">
      <c r="A412" s="12"/>
      <c r="B412" s="93"/>
      <c r="C412" s="93"/>
      <c r="D412" s="93"/>
      <c r="E412" s="9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0" customHeight="1">
      <c r="A413" s="12"/>
      <c r="B413" s="93"/>
      <c r="C413" s="93"/>
      <c r="D413" s="93"/>
      <c r="E413" s="9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0" customHeight="1">
      <c r="A414" s="12"/>
      <c r="B414" s="93"/>
      <c r="C414" s="93"/>
      <c r="D414" s="93"/>
      <c r="E414" s="9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0" customHeight="1">
      <c r="A415" s="12"/>
      <c r="B415" s="93"/>
      <c r="C415" s="93"/>
      <c r="D415" s="93"/>
      <c r="E415" s="9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0" customHeight="1">
      <c r="A416" s="12"/>
      <c r="B416" s="93"/>
      <c r="C416" s="93"/>
      <c r="D416" s="93"/>
      <c r="E416" s="9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0" customHeight="1">
      <c r="A417" s="12"/>
      <c r="B417" s="93"/>
      <c r="C417" s="93"/>
      <c r="D417" s="93"/>
      <c r="E417" s="9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0" customHeight="1">
      <c r="A418" s="12"/>
      <c r="B418" s="93"/>
      <c r="C418" s="93"/>
      <c r="D418" s="93"/>
      <c r="E418" s="9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0" customHeight="1">
      <c r="A419" s="12"/>
      <c r="B419" s="93"/>
      <c r="C419" s="93"/>
      <c r="D419" s="93"/>
      <c r="E419" s="9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0" customHeight="1">
      <c r="A420" s="12"/>
      <c r="B420" s="93"/>
      <c r="C420" s="93"/>
      <c r="D420" s="93"/>
      <c r="E420" s="9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0" customHeight="1">
      <c r="A421" s="12"/>
      <c r="B421" s="93"/>
      <c r="C421" s="93"/>
      <c r="D421" s="93"/>
      <c r="E421" s="9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0" customHeight="1">
      <c r="A422" s="12"/>
      <c r="B422" s="93"/>
      <c r="C422" s="93"/>
      <c r="D422" s="93"/>
      <c r="E422" s="9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0" customHeight="1">
      <c r="A423" s="12"/>
      <c r="B423" s="93"/>
      <c r="C423" s="93"/>
      <c r="D423" s="93"/>
      <c r="E423" s="9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0" customHeight="1">
      <c r="A424" s="12"/>
      <c r="B424" s="93"/>
      <c r="C424" s="93"/>
      <c r="D424" s="93"/>
      <c r="E424" s="9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0" customHeight="1">
      <c r="A425" s="12"/>
      <c r="B425" s="93"/>
      <c r="C425" s="93"/>
      <c r="D425" s="93"/>
      <c r="E425" s="9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0" customHeight="1">
      <c r="A426" s="12"/>
      <c r="B426" s="93"/>
      <c r="C426" s="93"/>
      <c r="D426" s="93"/>
      <c r="E426" s="9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0" customHeight="1">
      <c r="A427" s="12"/>
      <c r="B427" s="93"/>
      <c r="C427" s="93"/>
      <c r="D427" s="93"/>
      <c r="E427" s="9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0" customHeight="1">
      <c r="A428" s="12"/>
      <c r="B428" s="93"/>
      <c r="C428" s="93"/>
      <c r="D428" s="93"/>
      <c r="E428" s="9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0" customHeight="1">
      <c r="A429" s="12"/>
      <c r="B429" s="93"/>
      <c r="C429" s="93"/>
      <c r="D429" s="93"/>
      <c r="E429" s="9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0" customHeight="1">
      <c r="A430" s="12"/>
      <c r="B430" s="93"/>
      <c r="C430" s="93"/>
      <c r="D430" s="93"/>
      <c r="E430" s="9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0" customHeight="1">
      <c r="A431" s="12"/>
      <c r="B431" s="93"/>
      <c r="C431" s="93"/>
      <c r="D431" s="93"/>
      <c r="E431" s="9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0" customHeight="1">
      <c r="A432" s="12"/>
      <c r="B432" s="93"/>
      <c r="C432" s="93"/>
      <c r="D432" s="93"/>
      <c r="E432" s="9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0" customHeight="1">
      <c r="A433" s="12"/>
      <c r="B433" s="93"/>
      <c r="C433" s="93"/>
      <c r="D433" s="93"/>
      <c r="E433" s="9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0" customHeight="1">
      <c r="A434" s="12"/>
      <c r="B434" s="93"/>
      <c r="C434" s="93"/>
      <c r="D434" s="93"/>
      <c r="E434" s="9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0" customHeight="1">
      <c r="A435" s="12"/>
      <c r="B435" s="93"/>
      <c r="C435" s="93"/>
      <c r="D435" s="93"/>
      <c r="E435" s="9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0" customHeight="1">
      <c r="A436" s="12"/>
      <c r="B436" s="93"/>
      <c r="C436" s="93"/>
      <c r="D436" s="93"/>
      <c r="E436" s="9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0" customHeight="1">
      <c r="A437" s="12"/>
      <c r="B437" s="93"/>
      <c r="C437" s="93"/>
      <c r="D437" s="93"/>
      <c r="E437" s="9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0" customHeight="1">
      <c r="A438" s="12"/>
      <c r="B438" s="93"/>
      <c r="C438" s="93"/>
      <c r="D438" s="93"/>
      <c r="E438" s="9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0" customHeight="1">
      <c r="A439" s="12"/>
      <c r="B439" s="93"/>
      <c r="C439" s="93"/>
      <c r="D439" s="93"/>
      <c r="E439" s="9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0" customHeight="1">
      <c r="A440" s="12"/>
      <c r="B440" s="93"/>
      <c r="C440" s="93"/>
      <c r="D440" s="93"/>
      <c r="E440" s="9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0" customHeight="1">
      <c r="A441" s="12"/>
      <c r="B441" s="93"/>
      <c r="C441" s="93"/>
      <c r="D441" s="93"/>
      <c r="E441" s="9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0" customHeight="1">
      <c r="A442" s="12"/>
      <c r="B442" s="93"/>
      <c r="C442" s="93"/>
      <c r="D442" s="93"/>
      <c r="E442" s="9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0" customHeight="1">
      <c r="A443" s="12"/>
      <c r="B443" s="93"/>
      <c r="C443" s="93"/>
      <c r="D443" s="93"/>
      <c r="E443" s="9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0" customHeight="1">
      <c r="A444" s="12"/>
      <c r="B444" s="93"/>
      <c r="C444" s="93"/>
      <c r="D444" s="93"/>
      <c r="E444" s="9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0" customHeight="1">
      <c r="A445" s="12"/>
      <c r="B445" s="93"/>
      <c r="C445" s="93"/>
      <c r="D445" s="93"/>
      <c r="E445" s="9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0" customHeight="1">
      <c r="A446" s="12"/>
      <c r="B446" s="93"/>
      <c r="C446" s="93"/>
      <c r="D446" s="93"/>
      <c r="E446" s="9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0" customHeight="1">
      <c r="A447" s="12"/>
      <c r="B447" s="93"/>
      <c r="C447" s="93"/>
      <c r="D447" s="93"/>
      <c r="E447" s="9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0" customHeight="1">
      <c r="A448" s="12"/>
      <c r="B448" s="93"/>
      <c r="C448" s="93"/>
      <c r="D448" s="93"/>
      <c r="E448" s="9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0" customHeight="1">
      <c r="A449" s="12"/>
      <c r="B449" s="93"/>
      <c r="C449" s="93"/>
      <c r="D449" s="93"/>
      <c r="E449" s="9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0" customHeight="1">
      <c r="A450" s="12"/>
      <c r="B450" s="93"/>
      <c r="C450" s="93"/>
      <c r="D450" s="93"/>
      <c r="E450" s="9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0" customHeight="1">
      <c r="A451" s="12"/>
      <c r="B451" s="93"/>
      <c r="C451" s="93"/>
      <c r="D451" s="93"/>
      <c r="E451" s="9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0" customHeight="1">
      <c r="A452" s="12"/>
      <c r="B452" s="93"/>
      <c r="C452" s="93"/>
      <c r="D452" s="93"/>
      <c r="E452" s="9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0" customHeight="1">
      <c r="A453" s="12"/>
      <c r="B453" s="93"/>
      <c r="C453" s="93"/>
      <c r="D453" s="93"/>
      <c r="E453" s="9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0" customHeight="1">
      <c r="A454" s="12"/>
      <c r="B454" s="93"/>
      <c r="C454" s="93"/>
      <c r="D454" s="93"/>
      <c r="E454" s="9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0" customHeight="1">
      <c r="A455" s="12"/>
      <c r="B455" s="93"/>
      <c r="C455" s="93"/>
      <c r="D455" s="93"/>
      <c r="E455" s="9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0" customHeight="1">
      <c r="A456" s="12"/>
      <c r="B456" s="93"/>
      <c r="C456" s="93"/>
      <c r="D456" s="93"/>
      <c r="E456" s="9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0" customHeight="1">
      <c r="A457" s="12"/>
      <c r="B457" s="93"/>
      <c r="C457" s="93"/>
      <c r="D457" s="93"/>
      <c r="E457" s="9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0" customHeight="1">
      <c r="A458" s="12"/>
      <c r="B458" s="93"/>
      <c r="C458" s="93"/>
      <c r="D458" s="93"/>
      <c r="E458" s="9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0" customHeight="1">
      <c r="A459" s="12"/>
      <c r="B459" s="93"/>
      <c r="C459" s="93"/>
      <c r="D459" s="93"/>
      <c r="E459" s="9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0" customHeight="1">
      <c r="A460" s="12"/>
      <c r="B460" s="93"/>
      <c r="C460" s="93"/>
      <c r="D460" s="93"/>
      <c r="E460" s="9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0" customHeight="1">
      <c r="A461" s="12"/>
      <c r="B461" s="93"/>
      <c r="C461" s="93"/>
      <c r="D461" s="93"/>
      <c r="E461" s="9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0" customHeight="1">
      <c r="A462" s="12"/>
      <c r="B462" s="93"/>
      <c r="C462" s="93"/>
      <c r="D462" s="93"/>
      <c r="E462" s="9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0" customHeight="1">
      <c r="A463" s="12"/>
      <c r="B463" s="93"/>
      <c r="C463" s="93"/>
      <c r="D463" s="93"/>
      <c r="E463" s="9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0" customHeight="1">
      <c r="A464" s="12"/>
      <c r="B464" s="93"/>
      <c r="C464" s="93"/>
      <c r="D464" s="93"/>
      <c r="E464" s="9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0" customHeight="1">
      <c r="A465" s="12"/>
      <c r="B465" s="93"/>
      <c r="C465" s="93"/>
      <c r="D465" s="93"/>
      <c r="E465" s="9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0" customHeight="1">
      <c r="A466" s="12"/>
      <c r="B466" s="93"/>
      <c r="C466" s="93"/>
      <c r="D466" s="93"/>
      <c r="E466" s="9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0" customHeight="1">
      <c r="A467" s="12"/>
      <c r="B467" s="93"/>
      <c r="C467" s="93"/>
      <c r="D467" s="93"/>
      <c r="E467" s="9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0" customHeight="1">
      <c r="A468" s="12"/>
      <c r="B468" s="93"/>
      <c r="C468" s="93"/>
      <c r="D468" s="93"/>
      <c r="E468" s="9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0" customHeight="1">
      <c r="A469" s="12"/>
      <c r="B469" s="93"/>
      <c r="C469" s="93"/>
      <c r="D469" s="93"/>
      <c r="E469" s="9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0" customHeight="1">
      <c r="A470" s="12"/>
      <c r="B470" s="93"/>
      <c r="C470" s="93"/>
      <c r="D470" s="93"/>
      <c r="E470" s="9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0" customHeight="1">
      <c r="A471" s="12"/>
      <c r="B471" s="93"/>
      <c r="C471" s="93"/>
      <c r="D471" s="93"/>
      <c r="E471" s="9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0" customHeight="1">
      <c r="A472" s="12"/>
      <c r="B472" s="93"/>
      <c r="C472" s="93"/>
      <c r="D472" s="93"/>
      <c r="E472" s="9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0" customHeight="1">
      <c r="A473" s="12"/>
      <c r="B473" s="93"/>
      <c r="C473" s="93"/>
      <c r="D473" s="93"/>
      <c r="E473" s="9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0" customHeight="1">
      <c r="A474" s="12"/>
      <c r="B474" s="93"/>
      <c r="C474" s="93"/>
      <c r="D474" s="93"/>
      <c r="E474" s="9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0" customHeight="1">
      <c r="A475" s="12"/>
      <c r="B475" s="93"/>
      <c r="C475" s="93"/>
      <c r="D475" s="93"/>
      <c r="E475" s="9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0" customHeight="1">
      <c r="A476" s="12"/>
      <c r="B476" s="93"/>
      <c r="C476" s="93"/>
      <c r="D476" s="93"/>
      <c r="E476" s="9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0" customHeight="1">
      <c r="A477" s="12"/>
      <c r="B477" s="93"/>
      <c r="C477" s="93"/>
      <c r="D477" s="93"/>
      <c r="E477" s="9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0" customHeight="1">
      <c r="A478" s="12"/>
      <c r="B478" s="93"/>
      <c r="C478" s="93"/>
      <c r="D478" s="93"/>
      <c r="E478" s="9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0" customHeight="1">
      <c r="A479" s="12"/>
      <c r="B479" s="93"/>
      <c r="C479" s="93"/>
      <c r="D479" s="93"/>
      <c r="E479" s="9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0" customHeight="1">
      <c r="A480" s="12"/>
      <c r="B480" s="93"/>
      <c r="C480" s="93"/>
      <c r="D480" s="93"/>
      <c r="E480" s="9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0" customHeight="1">
      <c r="A481" s="12"/>
      <c r="B481" s="93"/>
      <c r="C481" s="93"/>
      <c r="D481" s="93"/>
      <c r="E481" s="9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0" customHeight="1">
      <c r="A482" s="12"/>
      <c r="B482" s="93"/>
      <c r="C482" s="93"/>
      <c r="D482" s="93"/>
      <c r="E482" s="9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0" customHeight="1">
      <c r="A483" s="12"/>
      <c r="B483" s="93"/>
      <c r="C483" s="93"/>
      <c r="D483" s="93"/>
      <c r="E483" s="9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0" customHeight="1">
      <c r="A484" s="12"/>
      <c r="B484" s="93"/>
      <c r="C484" s="93"/>
      <c r="D484" s="93"/>
      <c r="E484" s="9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0" customHeight="1">
      <c r="A485" s="12"/>
      <c r="B485" s="93"/>
      <c r="C485" s="93"/>
      <c r="D485" s="93"/>
      <c r="E485" s="9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0" customHeight="1">
      <c r="A486" s="12"/>
      <c r="B486" s="93"/>
      <c r="C486" s="93"/>
      <c r="D486" s="93"/>
      <c r="E486" s="9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0" customHeight="1">
      <c r="A487" s="12"/>
      <c r="B487" s="93"/>
      <c r="C487" s="93"/>
      <c r="D487" s="93"/>
      <c r="E487" s="9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0" customHeight="1">
      <c r="A488" s="12"/>
      <c r="B488" s="93"/>
      <c r="C488" s="93"/>
      <c r="D488" s="93"/>
      <c r="E488" s="9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0" customHeight="1">
      <c r="A489" s="12"/>
      <c r="B489" s="93"/>
      <c r="C489" s="93"/>
      <c r="D489" s="93"/>
      <c r="E489" s="9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0" customHeight="1">
      <c r="A490" s="12"/>
      <c r="B490" s="93"/>
      <c r="C490" s="93"/>
      <c r="D490" s="93"/>
      <c r="E490" s="9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0" customHeight="1">
      <c r="A491" s="12"/>
      <c r="B491" s="93"/>
      <c r="C491" s="93"/>
      <c r="D491" s="93"/>
      <c r="E491" s="9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0" customHeight="1">
      <c r="A492" s="12"/>
      <c r="B492" s="93"/>
      <c r="C492" s="93"/>
      <c r="D492" s="93"/>
      <c r="E492" s="9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0" customHeight="1">
      <c r="A493" s="12"/>
      <c r="B493" s="93"/>
      <c r="C493" s="93"/>
      <c r="D493" s="93"/>
      <c r="E493" s="9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0" customHeight="1">
      <c r="A494" s="12"/>
      <c r="B494" s="93"/>
      <c r="C494" s="93"/>
      <c r="D494" s="93"/>
      <c r="E494" s="9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0" customHeight="1">
      <c r="A495" s="12"/>
      <c r="B495" s="93"/>
      <c r="C495" s="93"/>
      <c r="D495" s="93"/>
      <c r="E495" s="9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0" customHeight="1">
      <c r="A496" s="12"/>
      <c r="B496" s="93"/>
      <c r="C496" s="93"/>
      <c r="D496" s="93"/>
      <c r="E496" s="9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0" customHeight="1">
      <c r="A497" s="12"/>
      <c r="B497" s="93"/>
      <c r="C497" s="93"/>
      <c r="D497" s="93"/>
      <c r="E497" s="9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0" customHeight="1">
      <c r="A498" s="12"/>
      <c r="B498" s="93"/>
      <c r="C498" s="93"/>
      <c r="D498" s="93"/>
      <c r="E498" s="9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0" customHeight="1">
      <c r="A499" s="12"/>
      <c r="B499" s="93"/>
      <c r="C499" s="93"/>
      <c r="D499" s="93"/>
      <c r="E499" s="9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0" customHeight="1">
      <c r="A500" s="12"/>
      <c r="B500" s="93"/>
      <c r="C500" s="93"/>
      <c r="D500" s="93"/>
      <c r="E500" s="9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0" customHeight="1">
      <c r="A501" s="12"/>
      <c r="B501" s="93"/>
      <c r="C501" s="93"/>
      <c r="D501" s="93"/>
      <c r="E501" s="9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0" customHeight="1">
      <c r="A502" s="12"/>
      <c r="B502" s="93"/>
      <c r="C502" s="93"/>
      <c r="D502" s="93"/>
      <c r="E502" s="9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0" customHeight="1">
      <c r="A503" s="12"/>
      <c r="B503" s="93"/>
      <c r="C503" s="93"/>
      <c r="D503" s="93"/>
      <c r="E503" s="9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0" customHeight="1">
      <c r="A504" s="12"/>
      <c r="B504" s="93"/>
      <c r="C504" s="93"/>
      <c r="D504" s="93"/>
      <c r="E504" s="9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0" customHeight="1">
      <c r="A505" s="12"/>
      <c r="B505" s="93"/>
      <c r="C505" s="93"/>
      <c r="D505" s="93"/>
      <c r="E505" s="9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0" customHeight="1">
      <c r="A506" s="12"/>
      <c r="B506" s="93"/>
      <c r="C506" s="93"/>
      <c r="D506" s="93"/>
      <c r="E506" s="9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0" customHeight="1">
      <c r="A507" s="12"/>
      <c r="B507" s="93"/>
      <c r="C507" s="93"/>
      <c r="D507" s="93"/>
      <c r="E507" s="9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0" customHeight="1">
      <c r="A508" s="12"/>
      <c r="B508" s="93"/>
      <c r="C508" s="93"/>
      <c r="D508" s="93"/>
      <c r="E508" s="9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0" customHeight="1">
      <c r="A509" s="12"/>
      <c r="B509" s="93"/>
      <c r="C509" s="93"/>
      <c r="D509" s="93"/>
      <c r="E509" s="9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0" customHeight="1">
      <c r="A510" s="12"/>
      <c r="B510" s="93"/>
      <c r="C510" s="93"/>
      <c r="D510" s="93"/>
      <c r="E510" s="9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0" customHeight="1">
      <c r="A511" s="12"/>
      <c r="B511" s="93"/>
      <c r="C511" s="93"/>
      <c r="D511" s="93"/>
      <c r="E511" s="9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0" customHeight="1">
      <c r="A512" s="12"/>
      <c r="B512" s="93"/>
      <c r="C512" s="93"/>
      <c r="D512" s="93"/>
      <c r="E512" s="9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0" customHeight="1">
      <c r="A513" s="12"/>
      <c r="B513" s="93"/>
      <c r="C513" s="93"/>
      <c r="D513" s="93"/>
      <c r="E513" s="9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0" customHeight="1">
      <c r="A514" s="12"/>
      <c r="B514" s="93"/>
      <c r="C514" s="93"/>
      <c r="D514" s="93"/>
      <c r="E514" s="9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0" customHeight="1">
      <c r="A515" s="12"/>
      <c r="B515" s="93"/>
      <c r="C515" s="93"/>
      <c r="D515" s="93"/>
      <c r="E515" s="9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0" customHeight="1">
      <c r="A516" s="12"/>
      <c r="B516" s="93"/>
      <c r="C516" s="93"/>
      <c r="D516" s="93"/>
      <c r="E516" s="9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0" customHeight="1">
      <c r="A517" s="12"/>
      <c r="B517" s="93"/>
      <c r="C517" s="93"/>
      <c r="D517" s="93"/>
      <c r="E517" s="9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0" customHeight="1">
      <c r="A518" s="12"/>
      <c r="B518" s="93"/>
      <c r="C518" s="93"/>
      <c r="D518" s="93"/>
      <c r="E518" s="9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0" customHeight="1">
      <c r="A519" s="12"/>
      <c r="B519" s="93"/>
      <c r="C519" s="93"/>
      <c r="D519" s="93"/>
      <c r="E519" s="9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0" customHeight="1">
      <c r="A520" s="12"/>
      <c r="B520" s="93"/>
      <c r="C520" s="93"/>
      <c r="D520" s="93"/>
      <c r="E520" s="9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0" customHeight="1">
      <c r="A521" s="12"/>
      <c r="B521" s="93"/>
      <c r="C521" s="93"/>
      <c r="D521" s="93"/>
      <c r="E521" s="9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0" customHeight="1">
      <c r="A522" s="12"/>
      <c r="B522" s="93"/>
      <c r="C522" s="93"/>
      <c r="D522" s="93"/>
      <c r="E522" s="9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0" customHeight="1">
      <c r="A523" s="12"/>
      <c r="B523" s="93"/>
      <c r="C523" s="93"/>
      <c r="D523" s="93"/>
      <c r="E523" s="9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0" customHeight="1">
      <c r="A524" s="12"/>
      <c r="B524" s="93"/>
      <c r="C524" s="93"/>
      <c r="D524" s="93"/>
      <c r="E524" s="9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0" customHeight="1">
      <c r="A525" s="12"/>
      <c r="B525" s="93"/>
      <c r="C525" s="93"/>
      <c r="D525" s="93"/>
      <c r="E525" s="9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0" customHeight="1">
      <c r="A526" s="12"/>
      <c r="B526" s="93"/>
      <c r="C526" s="93"/>
      <c r="D526" s="93"/>
      <c r="E526" s="9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0" customHeight="1">
      <c r="A527" s="12"/>
      <c r="B527" s="93"/>
      <c r="C527" s="93"/>
      <c r="D527" s="93"/>
      <c r="E527" s="9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0" customHeight="1">
      <c r="A528" s="12"/>
      <c r="B528" s="93"/>
      <c r="C528" s="93"/>
      <c r="D528" s="93"/>
      <c r="E528" s="9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0" customHeight="1">
      <c r="A529" s="12"/>
      <c r="B529" s="93"/>
      <c r="C529" s="93"/>
      <c r="D529" s="93"/>
      <c r="E529" s="9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0" customHeight="1">
      <c r="A530" s="12"/>
      <c r="B530" s="93"/>
      <c r="C530" s="93"/>
      <c r="D530" s="93"/>
      <c r="E530" s="9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0" customHeight="1">
      <c r="A531" s="12"/>
      <c r="B531" s="93"/>
      <c r="C531" s="93"/>
      <c r="D531" s="93"/>
      <c r="E531" s="9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0" customHeight="1">
      <c r="A532" s="12"/>
      <c r="B532" s="93"/>
      <c r="C532" s="93"/>
      <c r="D532" s="93"/>
      <c r="E532" s="9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0" customHeight="1">
      <c r="A533" s="12"/>
      <c r="B533" s="93"/>
      <c r="C533" s="93"/>
      <c r="D533" s="93"/>
      <c r="E533" s="9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0" customHeight="1">
      <c r="A534" s="12"/>
      <c r="B534" s="93"/>
      <c r="C534" s="93"/>
      <c r="D534" s="93"/>
      <c r="E534" s="9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0" customHeight="1">
      <c r="A535" s="12"/>
      <c r="B535" s="93"/>
      <c r="C535" s="93"/>
      <c r="D535" s="93"/>
      <c r="E535" s="9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0" customHeight="1">
      <c r="A536" s="12"/>
      <c r="B536" s="93"/>
      <c r="C536" s="93"/>
      <c r="D536" s="93"/>
      <c r="E536" s="9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0" customHeight="1">
      <c r="A537" s="12"/>
      <c r="B537" s="93"/>
      <c r="C537" s="93"/>
      <c r="D537" s="93"/>
      <c r="E537" s="9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0" customHeight="1">
      <c r="A538" s="12"/>
      <c r="B538" s="93"/>
      <c r="C538" s="93"/>
      <c r="D538" s="93"/>
      <c r="E538" s="9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0" customHeight="1">
      <c r="A539" s="12"/>
      <c r="B539" s="93"/>
      <c r="C539" s="93"/>
      <c r="D539" s="93"/>
      <c r="E539" s="9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0" customHeight="1">
      <c r="A540" s="12"/>
      <c r="B540" s="93"/>
      <c r="C540" s="93"/>
      <c r="D540" s="93"/>
      <c r="E540" s="9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0" customHeight="1">
      <c r="A541" s="12"/>
      <c r="B541" s="93"/>
      <c r="C541" s="93"/>
      <c r="D541" s="93"/>
      <c r="E541" s="9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0" customHeight="1">
      <c r="A542" s="12"/>
      <c r="B542" s="93"/>
      <c r="C542" s="93"/>
      <c r="D542" s="93"/>
      <c r="E542" s="9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0" customHeight="1">
      <c r="A543" s="12"/>
      <c r="B543" s="93"/>
      <c r="C543" s="93"/>
      <c r="D543" s="93"/>
      <c r="E543" s="9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0" customHeight="1">
      <c r="A544" s="12"/>
      <c r="B544" s="93"/>
      <c r="C544" s="93"/>
      <c r="D544" s="93"/>
      <c r="E544" s="9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0" customHeight="1">
      <c r="A545" s="12"/>
      <c r="B545" s="93"/>
      <c r="C545" s="93"/>
      <c r="D545" s="93"/>
      <c r="E545" s="9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0" customHeight="1">
      <c r="A546" s="12"/>
      <c r="B546" s="93"/>
      <c r="C546" s="93"/>
      <c r="D546" s="93"/>
      <c r="E546" s="9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0" customHeight="1">
      <c r="A547" s="12"/>
      <c r="B547" s="93"/>
      <c r="C547" s="93"/>
      <c r="D547" s="93"/>
      <c r="E547" s="9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0" customHeight="1">
      <c r="A548" s="12"/>
      <c r="B548" s="93"/>
      <c r="C548" s="93"/>
      <c r="D548" s="93"/>
      <c r="E548" s="9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0" customHeight="1">
      <c r="A549" s="12"/>
      <c r="B549" s="93"/>
      <c r="C549" s="93"/>
      <c r="D549" s="93"/>
      <c r="E549" s="9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0" customHeight="1">
      <c r="A550" s="12"/>
      <c r="B550" s="93"/>
      <c r="C550" s="93"/>
      <c r="D550" s="93"/>
      <c r="E550" s="9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0" customHeight="1">
      <c r="A551" s="12"/>
      <c r="B551" s="93"/>
      <c r="C551" s="93"/>
      <c r="D551" s="93"/>
      <c r="E551" s="9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0" customHeight="1">
      <c r="A552" s="12"/>
      <c r="B552" s="93"/>
      <c r="C552" s="93"/>
      <c r="D552" s="93"/>
      <c r="E552" s="9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0" customHeight="1">
      <c r="A553" s="12"/>
      <c r="B553" s="93"/>
      <c r="C553" s="93"/>
      <c r="D553" s="93"/>
      <c r="E553" s="9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0" customHeight="1">
      <c r="A554" s="12"/>
      <c r="B554" s="93"/>
      <c r="C554" s="93"/>
      <c r="D554" s="93"/>
      <c r="E554" s="9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0" customHeight="1">
      <c r="A555" s="12"/>
      <c r="B555" s="93"/>
      <c r="C555" s="93"/>
      <c r="D555" s="93"/>
      <c r="E555" s="9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0" customHeight="1">
      <c r="A556" s="12"/>
      <c r="B556" s="93"/>
      <c r="C556" s="93"/>
      <c r="D556" s="93"/>
      <c r="E556" s="9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0" customHeight="1">
      <c r="A557" s="12"/>
      <c r="B557" s="93"/>
      <c r="C557" s="93"/>
      <c r="D557" s="93"/>
      <c r="E557" s="9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0" customHeight="1">
      <c r="A558" s="12"/>
      <c r="B558" s="93"/>
      <c r="C558" s="93"/>
      <c r="D558" s="93"/>
      <c r="E558" s="9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0" customHeight="1">
      <c r="A559" s="12"/>
      <c r="B559" s="93"/>
      <c r="C559" s="93"/>
      <c r="D559" s="93"/>
      <c r="E559" s="9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0" customHeight="1">
      <c r="A560" s="12"/>
      <c r="B560" s="93"/>
      <c r="C560" s="93"/>
      <c r="D560" s="93"/>
      <c r="E560" s="9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0" customHeight="1">
      <c r="A561" s="12"/>
      <c r="B561" s="93"/>
      <c r="C561" s="93"/>
      <c r="D561" s="93"/>
      <c r="E561" s="9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0" customHeight="1">
      <c r="A562" s="12"/>
      <c r="B562" s="93"/>
      <c r="C562" s="93"/>
      <c r="D562" s="93"/>
      <c r="E562" s="9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0" customHeight="1">
      <c r="A563" s="12"/>
      <c r="B563" s="93"/>
      <c r="C563" s="93"/>
      <c r="D563" s="93"/>
      <c r="E563" s="9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0" customHeight="1">
      <c r="A564" s="12"/>
      <c r="B564" s="93"/>
      <c r="C564" s="93"/>
      <c r="D564" s="93"/>
      <c r="E564" s="9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0" customHeight="1">
      <c r="A565" s="12"/>
      <c r="B565" s="93"/>
      <c r="C565" s="93"/>
      <c r="D565" s="93"/>
      <c r="E565" s="9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0" customHeight="1">
      <c r="A566" s="12"/>
      <c r="B566" s="93"/>
      <c r="C566" s="93"/>
      <c r="D566" s="93"/>
      <c r="E566" s="9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0" customHeight="1">
      <c r="A567" s="12"/>
      <c r="B567" s="93"/>
      <c r="C567" s="93"/>
      <c r="D567" s="93"/>
      <c r="E567" s="9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0" customHeight="1">
      <c r="A568" s="12"/>
      <c r="B568" s="93"/>
      <c r="C568" s="93"/>
      <c r="D568" s="93"/>
      <c r="E568" s="9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0" customHeight="1">
      <c r="A569" s="12"/>
      <c r="B569" s="93"/>
      <c r="C569" s="93"/>
      <c r="D569" s="93"/>
      <c r="E569" s="9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0" customHeight="1">
      <c r="A570" s="12"/>
      <c r="B570" s="93"/>
      <c r="C570" s="93"/>
      <c r="D570" s="93"/>
      <c r="E570" s="9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0" customHeight="1">
      <c r="A571" s="12"/>
      <c r="B571" s="93"/>
      <c r="C571" s="93"/>
      <c r="D571" s="93"/>
      <c r="E571" s="9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0" customHeight="1">
      <c r="A572" s="12"/>
      <c r="B572" s="93"/>
      <c r="C572" s="93"/>
      <c r="D572" s="93"/>
      <c r="E572" s="9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0" customHeight="1">
      <c r="A573" s="12"/>
      <c r="B573" s="93"/>
      <c r="C573" s="93"/>
      <c r="D573" s="93"/>
      <c r="E573" s="9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0" customHeight="1">
      <c r="A574" s="12"/>
      <c r="B574" s="93"/>
      <c r="C574" s="93"/>
      <c r="D574" s="93"/>
      <c r="E574" s="9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0" customHeight="1">
      <c r="A575" s="12"/>
      <c r="B575" s="93"/>
      <c r="C575" s="93"/>
      <c r="D575" s="93"/>
      <c r="E575" s="9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0" customHeight="1">
      <c r="A576" s="12"/>
      <c r="B576" s="93"/>
      <c r="C576" s="93"/>
      <c r="D576" s="93"/>
      <c r="E576" s="9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0" customHeight="1">
      <c r="A577" s="12"/>
      <c r="B577" s="93"/>
      <c r="C577" s="93"/>
      <c r="D577" s="93"/>
      <c r="E577" s="9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0" customHeight="1">
      <c r="A578" s="12"/>
      <c r="B578" s="93"/>
      <c r="C578" s="93"/>
      <c r="D578" s="93"/>
      <c r="E578" s="9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0" customHeight="1">
      <c r="A579" s="12"/>
      <c r="B579" s="93"/>
      <c r="C579" s="93"/>
      <c r="D579" s="93"/>
      <c r="E579" s="9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0" customHeight="1">
      <c r="A580" s="12"/>
      <c r="B580" s="93"/>
      <c r="C580" s="93"/>
      <c r="D580" s="93"/>
      <c r="E580" s="9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0" customHeight="1">
      <c r="A581" s="12"/>
      <c r="B581" s="93"/>
      <c r="C581" s="93"/>
      <c r="D581" s="93"/>
      <c r="E581" s="9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0" customHeight="1">
      <c r="A582" s="12"/>
      <c r="B582" s="93"/>
      <c r="C582" s="93"/>
      <c r="D582" s="93"/>
      <c r="E582" s="9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0" customHeight="1">
      <c r="A583" s="12"/>
      <c r="B583" s="93"/>
      <c r="C583" s="93"/>
      <c r="D583" s="93"/>
      <c r="E583" s="9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0" customHeight="1">
      <c r="A584" s="12"/>
      <c r="B584" s="93"/>
      <c r="C584" s="93"/>
      <c r="D584" s="93"/>
      <c r="E584" s="9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0" customHeight="1">
      <c r="A585" s="12"/>
      <c r="B585" s="93"/>
      <c r="C585" s="93"/>
      <c r="D585" s="93"/>
      <c r="E585" s="9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0" customHeight="1">
      <c r="A586" s="12"/>
      <c r="B586" s="93"/>
      <c r="C586" s="93"/>
      <c r="D586" s="93"/>
      <c r="E586" s="9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0" customHeight="1">
      <c r="A587" s="12"/>
      <c r="B587" s="93"/>
      <c r="C587" s="93"/>
      <c r="D587" s="93"/>
      <c r="E587" s="9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0" customHeight="1">
      <c r="A588" s="12"/>
      <c r="B588" s="93"/>
      <c r="C588" s="93"/>
      <c r="D588" s="93"/>
      <c r="E588" s="9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0" customHeight="1">
      <c r="A589" s="12"/>
      <c r="B589" s="93"/>
      <c r="C589" s="93"/>
      <c r="D589" s="93"/>
      <c r="E589" s="9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0" customHeight="1">
      <c r="A590" s="12"/>
      <c r="B590" s="93"/>
      <c r="C590" s="93"/>
      <c r="D590" s="93"/>
      <c r="E590" s="9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0" customHeight="1">
      <c r="A591" s="12"/>
      <c r="B591" s="93"/>
      <c r="C591" s="93"/>
      <c r="D591" s="93"/>
      <c r="E591" s="9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0" customHeight="1">
      <c r="A592" s="12"/>
      <c r="B592" s="93"/>
      <c r="C592" s="93"/>
      <c r="D592" s="93"/>
      <c r="E592" s="9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0" customHeight="1">
      <c r="A593" s="12"/>
      <c r="B593" s="93"/>
      <c r="C593" s="93"/>
      <c r="D593" s="93"/>
      <c r="E593" s="9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0" customHeight="1">
      <c r="A594" s="12"/>
      <c r="B594" s="93"/>
      <c r="C594" s="93"/>
      <c r="D594" s="93"/>
      <c r="E594" s="9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0" customHeight="1">
      <c r="A595" s="12"/>
      <c r="B595" s="93"/>
      <c r="C595" s="93"/>
      <c r="D595" s="93"/>
      <c r="E595" s="9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0" customHeight="1">
      <c r="A596" s="12"/>
      <c r="B596" s="93"/>
      <c r="C596" s="93"/>
      <c r="D596" s="93"/>
      <c r="E596" s="9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0" customHeight="1">
      <c r="A597" s="12"/>
      <c r="B597" s="93"/>
      <c r="C597" s="93"/>
      <c r="D597" s="93"/>
      <c r="E597" s="9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0" customHeight="1">
      <c r="A598" s="12"/>
      <c r="B598" s="93"/>
      <c r="C598" s="93"/>
      <c r="D598" s="93"/>
      <c r="E598" s="9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0" customHeight="1">
      <c r="A599" s="12"/>
      <c r="B599" s="93"/>
      <c r="C599" s="93"/>
      <c r="D599" s="93"/>
      <c r="E599" s="9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0" customHeight="1">
      <c r="A600" s="12"/>
      <c r="B600" s="93"/>
      <c r="C600" s="93"/>
      <c r="D600" s="93"/>
      <c r="E600" s="9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0" customHeight="1">
      <c r="A601" s="12"/>
      <c r="B601" s="93"/>
      <c r="C601" s="93"/>
      <c r="D601" s="93"/>
      <c r="E601" s="9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0" customHeight="1">
      <c r="A602" s="12"/>
      <c r="B602" s="93"/>
      <c r="C602" s="93"/>
      <c r="D602" s="93"/>
      <c r="E602" s="9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0" customHeight="1">
      <c r="A603" s="12"/>
      <c r="B603" s="93"/>
      <c r="C603" s="93"/>
      <c r="D603" s="93"/>
      <c r="E603" s="9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0" customHeight="1">
      <c r="A604" s="12"/>
      <c r="B604" s="93"/>
      <c r="C604" s="93"/>
      <c r="D604" s="93"/>
      <c r="E604" s="9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0" customHeight="1">
      <c r="A605" s="12"/>
      <c r="B605" s="93"/>
      <c r="C605" s="93"/>
      <c r="D605" s="93"/>
      <c r="E605" s="9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0" customHeight="1">
      <c r="A606" s="12"/>
      <c r="B606" s="93"/>
      <c r="C606" s="93"/>
      <c r="D606" s="93"/>
      <c r="E606" s="9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0" customHeight="1">
      <c r="A607" s="12"/>
      <c r="B607" s="93"/>
      <c r="C607" s="93"/>
      <c r="D607" s="93"/>
      <c r="E607" s="9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0" customHeight="1">
      <c r="A608" s="12"/>
      <c r="B608" s="93"/>
      <c r="C608" s="93"/>
      <c r="D608" s="93"/>
      <c r="E608" s="9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0" customHeight="1">
      <c r="A609" s="12"/>
      <c r="B609" s="93"/>
      <c r="C609" s="93"/>
      <c r="D609" s="93"/>
      <c r="E609" s="9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0" customHeight="1">
      <c r="A610" s="12"/>
      <c r="B610" s="93"/>
      <c r="C610" s="93"/>
      <c r="D610" s="93"/>
      <c r="E610" s="9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0" customHeight="1">
      <c r="A611" s="12"/>
      <c r="B611" s="93"/>
      <c r="C611" s="93"/>
      <c r="D611" s="93"/>
      <c r="E611" s="9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0" customHeight="1">
      <c r="A612" s="12"/>
      <c r="B612" s="93"/>
      <c r="C612" s="93"/>
      <c r="D612" s="93"/>
      <c r="E612" s="9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0" customHeight="1">
      <c r="A613" s="12"/>
      <c r="B613" s="93"/>
      <c r="C613" s="93"/>
      <c r="D613" s="93"/>
      <c r="E613" s="9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0" customHeight="1">
      <c r="A614" s="12"/>
      <c r="B614" s="93"/>
      <c r="C614" s="93"/>
      <c r="D614" s="93"/>
      <c r="E614" s="9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0" customHeight="1">
      <c r="A615" s="12"/>
      <c r="B615" s="93"/>
      <c r="C615" s="93"/>
      <c r="D615" s="93"/>
      <c r="E615" s="9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0" customHeight="1">
      <c r="A616" s="12"/>
      <c r="B616" s="93"/>
      <c r="C616" s="93"/>
      <c r="D616" s="93"/>
      <c r="E616" s="9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0" customHeight="1">
      <c r="A617" s="12"/>
      <c r="B617" s="93"/>
      <c r="C617" s="93"/>
      <c r="D617" s="93"/>
      <c r="E617" s="9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0" customHeight="1">
      <c r="A618" s="12"/>
      <c r="B618" s="93"/>
      <c r="C618" s="93"/>
      <c r="D618" s="93"/>
      <c r="E618" s="9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0" customHeight="1">
      <c r="A619" s="12"/>
      <c r="B619" s="93"/>
      <c r="C619" s="93"/>
      <c r="D619" s="93"/>
      <c r="E619" s="9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0" customHeight="1">
      <c r="A620" s="12"/>
      <c r="B620" s="93"/>
      <c r="C620" s="93"/>
      <c r="D620" s="93"/>
      <c r="E620" s="9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0" customHeight="1">
      <c r="A621" s="12"/>
      <c r="B621" s="93"/>
      <c r="C621" s="93"/>
      <c r="D621" s="93"/>
      <c r="E621" s="9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0" customHeight="1">
      <c r="A622" s="12"/>
      <c r="B622" s="93"/>
      <c r="C622" s="93"/>
      <c r="D622" s="93"/>
      <c r="E622" s="9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0" customHeight="1">
      <c r="A623" s="12"/>
      <c r="B623" s="93"/>
      <c r="C623" s="93"/>
      <c r="D623" s="93"/>
      <c r="E623" s="9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0" customHeight="1">
      <c r="A624" s="12"/>
      <c r="B624" s="93"/>
      <c r="C624" s="93"/>
      <c r="D624" s="93"/>
      <c r="E624" s="9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0" customHeight="1">
      <c r="A625" s="12"/>
      <c r="B625" s="93"/>
      <c r="C625" s="93"/>
      <c r="D625" s="93"/>
      <c r="E625" s="9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0" customHeight="1">
      <c r="A626" s="12"/>
      <c r="B626" s="93"/>
      <c r="C626" s="93"/>
      <c r="D626" s="93"/>
      <c r="E626" s="9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0" customHeight="1">
      <c r="A627" s="12"/>
      <c r="B627" s="93"/>
      <c r="C627" s="93"/>
      <c r="D627" s="93"/>
      <c r="E627" s="9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0" customHeight="1">
      <c r="A628" s="12"/>
      <c r="B628" s="93"/>
      <c r="C628" s="93"/>
      <c r="D628" s="93"/>
      <c r="E628" s="9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0" customHeight="1">
      <c r="A629" s="12"/>
      <c r="B629" s="93"/>
      <c r="C629" s="93"/>
      <c r="D629" s="93"/>
      <c r="E629" s="9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0" customHeight="1">
      <c r="A630" s="12"/>
      <c r="B630" s="93"/>
      <c r="C630" s="93"/>
      <c r="D630" s="93"/>
      <c r="E630" s="9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0" customHeight="1">
      <c r="A631" s="12"/>
      <c r="B631" s="93"/>
      <c r="C631" s="93"/>
      <c r="D631" s="93"/>
      <c r="E631" s="9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0" customHeight="1">
      <c r="A632" s="12"/>
      <c r="B632" s="93"/>
      <c r="C632" s="93"/>
      <c r="D632" s="93"/>
      <c r="E632" s="9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0" customHeight="1">
      <c r="A633" s="12"/>
      <c r="B633" s="93"/>
      <c r="C633" s="93"/>
      <c r="D633" s="93"/>
      <c r="E633" s="9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0" customHeight="1">
      <c r="A634" s="12"/>
      <c r="B634" s="93"/>
      <c r="C634" s="93"/>
      <c r="D634" s="93"/>
      <c r="E634" s="9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0" customHeight="1">
      <c r="A635" s="12"/>
      <c r="B635" s="93"/>
      <c r="C635" s="93"/>
      <c r="D635" s="93"/>
      <c r="E635" s="9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0" customHeight="1">
      <c r="A636" s="12"/>
      <c r="B636" s="93"/>
      <c r="C636" s="93"/>
      <c r="D636" s="93"/>
      <c r="E636" s="9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0" customHeight="1">
      <c r="A637" s="12"/>
      <c r="B637" s="93"/>
      <c r="C637" s="93"/>
      <c r="D637" s="93"/>
      <c r="E637" s="9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0" customHeight="1">
      <c r="A638" s="12"/>
      <c r="B638" s="93"/>
      <c r="C638" s="93"/>
      <c r="D638" s="93"/>
      <c r="E638" s="9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0" customHeight="1">
      <c r="A639" s="12"/>
      <c r="B639" s="93"/>
      <c r="C639" s="93"/>
      <c r="D639" s="93"/>
      <c r="E639" s="9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0" customHeight="1">
      <c r="A640" s="12"/>
      <c r="B640" s="93"/>
      <c r="C640" s="93"/>
      <c r="D640" s="93"/>
      <c r="E640" s="9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0" customHeight="1">
      <c r="A641" s="12"/>
      <c r="B641" s="93"/>
      <c r="C641" s="93"/>
      <c r="D641" s="93"/>
      <c r="E641" s="9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0" customHeight="1">
      <c r="A642" s="12"/>
      <c r="B642" s="93"/>
      <c r="C642" s="93"/>
      <c r="D642" s="93"/>
      <c r="E642" s="9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0" customHeight="1">
      <c r="A643" s="12"/>
      <c r="B643" s="93"/>
      <c r="C643" s="93"/>
      <c r="D643" s="93"/>
      <c r="E643" s="9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0" customHeight="1">
      <c r="A644" s="12"/>
      <c r="B644" s="93"/>
      <c r="C644" s="93"/>
      <c r="D644" s="93"/>
      <c r="E644" s="9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0" customHeight="1">
      <c r="A645" s="12"/>
      <c r="B645" s="93"/>
      <c r="C645" s="93"/>
      <c r="D645" s="93"/>
      <c r="E645" s="9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0" customHeight="1">
      <c r="A646" s="12"/>
      <c r="B646" s="93"/>
      <c r="C646" s="93"/>
      <c r="D646" s="93"/>
      <c r="E646" s="9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0" customHeight="1">
      <c r="A647" s="12"/>
      <c r="B647" s="93"/>
      <c r="C647" s="93"/>
      <c r="D647" s="93"/>
      <c r="E647" s="9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0" customHeight="1">
      <c r="A648" s="12"/>
      <c r="B648" s="93"/>
      <c r="C648" s="93"/>
      <c r="D648" s="93"/>
      <c r="E648" s="9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0" customHeight="1">
      <c r="A649" s="12"/>
      <c r="B649" s="93"/>
      <c r="C649" s="93"/>
      <c r="D649" s="93"/>
      <c r="E649" s="9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0" customHeight="1">
      <c r="A650" s="12"/>
      <c r="B650" s="93"/>
      <c r="C650" s="93"/>
      <c r="D650" s="93"/>
      <c r="E650" s="9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0" customHeight="1">
      <c r="A651" s="12"/>
      <c r="B651" s="93"/>
      <c r="C651" s="93"/>
      <c r="D651" s="93"/>
      <c r="E651" s="9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0" customHeight="1">
      <c r="A652" s="12"/>
      <c r="B652" s="93"/>
      <c r="C652" s="93"/>
      <c r="D652" s="93"/>
      <c r="E652" s="9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0" customHeight="1">
      <c r="A653" s="12"/>
      <c r="B653" s="93"/>
      <c r="C653" s="93"/>
      <c r="D653" s="93"/>
      <c r="E653" s="9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0" customHeight="1">
      <c r="A654" s="12"/>
      <c r="B654" s="93"/>
      <c r="C654" s="93"/>
      <c r="D654" s="93"/>
      <c r="E654" s="9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0" customHeight="1">
      <c r="A655" s="12"/>
      <c r="B655" s="93"/>
      <c r="C655" s="93"/>
      <c r="D655" s="93"/>
      <c r="E655" s="9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0" customHeight="1">
      <c r="A656" s="12"/>
      <c r="B656" s="93"/>
      <c r="C656" s="93"/>
      <c r="D656" s="93"/>
      <c r="E656" s="9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0" customHeight="1">
      <c r="A657" s="12"/>
      <c r="B657" s="93"/>
      <c r="C657" s="93"/>
      <c r="D657" s="93"/>
      <c r="E657" s="9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0" customHeight="1">
      <c r="A658" s="12"/>
      <c r="B658" s="93"/>
      <c r="C658" s="93"/>
      <c r="D658" s="93"/>
      <c r="E658" s="9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0" customHeight="1">
      <c r="A659" s="12"/>
      <c r="B659" s="93"/>
      <c r="C659" s="93"/>
      <c r="D659" s="93"/>
      <c r="E659" s="9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0" customHeight="1">
      <c r="A660" s="12"/>
      <c r="B660" s="93"/>
      <c r="C660" s="93"/>
      <c r="D660" s="93"/>
      <c r="E660" s="9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0" customHeight="1">
      <c r="A661" s="12"/>
      <c r="B661" s="93"/>
      <c r="C661" s="93"/>
      <c r="D661" s="93"/>
      <c r="E661" s="9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0" customHeight="1">
      <c r="A662" s="12"/>
      <c r="B662" s="93"/>
      <c r="C662" s="93"/>
      <c r="D662" s="93"/>
      <c r="E662" s="9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0" customHeight="1">
      <c r="A663" s="12"/>
      <c r="B663" s="93"/>
      <c r="C663" s="93"/>
      <c r="D663" s="93"/>
      <c r="E663" s="9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0" customHeight="1">
      <c r="A664" s="12"/>
      <c r="B664" s="93"/>
      <c r="C664" s="93"/>
      <c r="D664" s="93"/>
      <c r="E664" s="9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0" customHeight="1">
      <c r="A665" s="12"/>
      <c r="B665" s="93"/>
      <c r="C665" s="93"/>
      <c r="D665" s="93"/>
      <c r="E665" s="9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0" customHeight="1">
      <c r="A666" s="12"/>
      <c r="B666" s="93"/>
      <c r="C666" s="93"/>
      <c r="D666" s="93"/>
      <c r="E666" s="9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0" customHeight="1">
      <c r="A667" s="12"/>
      <c r="B667" s="93"/>
      <c r="C667" s="93"/>
      <c r="D667" s="93"/>
      <c r="E667" s="9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0" customHeight="1">
      <c r="A668" s="12"/>
      <c r="B668" s="93"/>
      <c r="C668" s="93"/>
      <c r="D668" s="93"/>
      <c r="E668" s="9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0" customHeight="1">
      <c r="A669" s="12"/>
      <c r="B669" s="93"/>
      <c r="C669" s="93"/>
      <c r="D669" s="93"/>
      <c r="E669" s="9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0" customHeight="1">
      <c r="A670" s="12"/>
      <c r="B670" s="93"/>
      <c r="C670" s="93"/>
      <c r="D670" s="93"/>
      <c r="E670" s="9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0" customHeight="1">
      <c r="A671" s="12"/>
      <c r="B671" s="93"/>
      <c r="C671" s="93"/>
      <c r="D671" s="93"/>
      <c r="E671" s="9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0" customHeight="1">
      <c r="A672" s="12"/>
      <c r="B672" s="93"/>
      <c r="C672" s="93"/>
      <c r="D672" s="93"/>
      <c r="E672" s="9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0" customHeight="1">
      <c r="A673" s="12"/>
      <c r="B673" s="93"/>
      <c r="C673" s="93"/>
      <c r="D673" s="93"/>
      <c r="E673" s="9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0" customHeight="1">
      <c r="A674" s="12"/>
      <c r="B674" s="93"/>
      <c r="C674" s="93"/>
      <c r="D674" s="93"/>
      <c r="E674" s="9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0" customHeight="1">
      <c r="A675" s="12"/>
      <c r="B675" s="93"/>
      <c r="C675" s="93"/>
      <c r="D675" s="93"/>
      <c r="E675" s="9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0" customHeight="1">
      <c r="A676" s="12"/>
      <c r="B676" s="93"/>
      <c r="C676" s="93"/>
      <c r="D676" s="93"/>
      <c r="E676" s="9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0" customHeight="1">
      <c r="A677" s="12"/>
      <c r="B677" s="93"/>
      <c r="C677" s="93"/>
      <c r="D677" s="93"/>
      <c r="E677" s="9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0" customHeight="1">
      <c r="A678" s="12"/>
      <c r="B678" s="93"/>
      <c r="C678" s="93"/>
      <c r="D678" s="93"/>
      <c r="E678" s="9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0" customHeight="1">
      <c r="A679" s="12"/>
      <c r="B679" s="93"/>
      <c r="C679" s="93"/>
      <c r="D679" s="93"/>
      <c r="E679" s="9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0" customHeight="1">
      <c r="A680" s="12"/>
      <c r="B680" s="93"/>
      <c r="C680" s="93"/>
      <c r="D680" s="93"/>
      <c r="E680" s="9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0" customHeight="1">
      <c r="A681" s="12"/>
      <c r="B681" s="93"/>
      <c r="C681" s="93"/>
      <c r="D681" s="93"/>
      <c r="E681" s="9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0" customHeight="1">
      <c r="A682" s="12"/>
      <c r="B682" s="93"/>
      <c r="C682" s="93"/>
      <c r="D682" s="93"/>
      <c r="E682" s="9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0" customHeight="1">
      <c r="A683" s="12"/>
      <c r="B683" s="93"/>
      <c r="C683" s="93"/>
      <c r="D683" s="93"/>
      <c r="E683" s="9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0" customHeight="1">
      <c r="A684" s="12"/>
      <c r="B684" s="93"/>
      <c r="C684" s="93"/>
      <c r="D684" s="93"/>
      <c r="E684" s="9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0" customHeight="1">
      <c r="A685" s="12"/>
      <c r="B685" s="93"/>
      <c r="C685" s="93"/>
      <c r="D685" s="93"/>
      <c r="E685" s="9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0" customHeight="1">
      <c r="A686" s="12"/>
      <c r="B686" s="93"/>
      <c r="C686" s="93"/>
      <c r="D686" s="93"/>
      <c r="E686" s="9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0" customHeight="1">
      <c r="A687" s="12"/>
      <c r="B687" s="93"/>
      <c r="C687" s="93"/>
      <c r="D687" s="93"/>
      <c r="E687" s="9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0" customHeight="1">
      <c r="A688" s="12"/>
      <c r="B688" s="93"/>
      <c r="C688" s="93"/>
      <c r="D688" s="93"/>
      <c r="E688" s="9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0" customHeight="1">
      <c r="A689" s="12"/>
      <c r="B689" s="93"/>
      <c r="C689" s="93"/>
      <c r="D689" s="93"/>
      <c r="E689" s="9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0" customHeight="1">
      <c r="A690" s="12"/>
      <c r="B690" s="93"/>
      <c r="C690" s="93"/>
      <c r="D690" s="93"/>
      <c r="E690" s="9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0" customHeight="1">
      <c r="A691" s="12"/>
      <c r="B691" s="93"/>
      <c r="C691" s="93"/>
      <c r="D691" s="93"/>
      <c r="E691" s="9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0" customHeight="1">
      <c r="A692" s="12"/>
      <c r="B692" s="93"/>
      <c r="C692" s="93"/>
      <c r="D692" s="93"/>
      <c r="E692" s="9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0" customHeight="1">
      <c r="A693" s="12"/>
      <c r="B693" s="93"/>
      <c r="C693" s="93"/>
      <c r="D693" s="93"/>
      <c r="E693" s="9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0" customHeight="1">
      <c r="A694" s="12"/>
      <c r="B694" s="93"/>
      <c r="C694" s="93"/>
      <c r="D694" s="93"/>
      <c r="E694" s="9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0" customHeight="1">
      <c r="A695" s="12"/>
      <c r="B695" s="93"/>
      <c r="C695" s="93"/>
      <c r="D695" s="93"/>
      <c r="E695" s="9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0" customHeight="1">
      <c r="A696" s="12"/>
      <c r="B696" s="93"/>
      <c r="C696" s="93"/>
      <c r="D696" s="93"/>
      <c r="E696" s="9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0" customHeight="1">
      <c r="A697" s="12"/>
      <c r="B697" s="93"/>
      <c r="C697" s="93"/>
      <c r="D697" s="93"/>
      <c r="E697" s="9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0" customHeight="1">
      <c r="A698" s="12"/>
      <c r="B698" s="93"/>
      <c r="C698" s="93"/>
      <c r="D698" s="93"/>
      <c r="E698" s="9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0" customHeight="1">
      <c r="A699" s="12"/>
      <c r="B699" s="93"/>
      <c r="C699" s="93"/>
      <c r="D699" s="93"/>
      <c r="E699" s="9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0" customHeight="1">
      <c r="A700" s="12"/>
      <c r="B700" s="93"/>
      <c r="C700" s="93"/>
      <c r="D700" s="93"/>
      <c r="E700" s="9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0" customHeight="1">
      <c r="A701" s="12"/>
      <c r="B701" s="93"/>
      <c r="C701" s="93"/>
      <c r="D701" s="93"/>
      <c r="E701" s="9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0" customHeight="1">
      <c r="A702" s="12"/>
      <c r="B702" s="93"/>
      <c r="C702" s="93"/>
      <c r="D702" s="93"/>
      <c r="E702" s="9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0" customHeight="1">
      <c r="A703" s="12"/>
      <c r="B703" s="93"/>
      <c r="C703" s="93"/>
      <c r="D703" s="93"/>
      <c r="E703" s="9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0" customHeight="1">
      <c r="A704" s="12"/>
      <c r="B704" s="93"/>
      <c r="C704" s="93"/>
      <c r="D704" s="93"/>
      <c r="E704" s="9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0" customHeight="1">
      <c r="A705" s="12"/>
      <c r="B705" s="93"/>
      <c r="C705" s="93"/>
      <c r="D705" s="93"/>
      <c r="E705" s="9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0" customHeight="1">
      <c r="A706" s="12"/>
      <c r="B706" s="93"/>
      <c r="C706" s="93"/>
      <c r="D706" s="93"/>
      <c r="E706" s="9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0" customHeight="1">
      <c r="A707" s="12"/>
      <c r="B707" s="93"/>
      <c r="C707" s="93"/>
      <c r="D707" s="93"/>
      <c r="E707" s="9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0" customHeight="1">
      <c r="A708" s="12"/>
      <c r="B708" s="93"/>
      <c r="C708" s="93"/>
      <c r="D708" s="93"/>
      <c r="E708" s="9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0" customHeight="1">
      <c r="A709" s="12"/>
      <c r="B709" s="93"/>
      <c r="C709" s="93"/>
      <c r="D709" s="93"/>
      <c r="E709" s="9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0" customHeight="1">
      <c r="A710" s="12"/>
      <c r="B710" s="93"/>
      <c r="C710" s="93"/>
      <c r="D710" s="93"/>
      <c r="E710" s="9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0" customHeight="1">
      <c r="A711" s="12"/>
      <c r="B711" s="93"/>
      <c r="C711" s="93"/>
      <c r="D711" s="93"/>
      <c r="E711" s="9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0" customHeight="1">
      <c r="A712" s="12"/>
      <c r="B712" s="93"/>
      <c r="C712" s="93"/>
      <c r="D712" s="93"/>
      <c r="E712" s="9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0" customHeight="1">
      <c r="A713" s="12"/>
      <c r="B713" s="93"/>
      <c r="C713" s="93"/>
      <c r="D713" s="93"/>
      <c r="E713" s="9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0" customHeight="1">
      <c r="A714" s="12"/>
      <c r="B714" s="93"/>
      <c r="C714" s="93"/>
      <c r="D714" s="93"/>
      <c r="E714" s="9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0" customHeight="1">
      <c r="A715" s="12"/>
      <c r="B715" s="93"/>
      <c r="C715" s="93"/>
      <c r="D715" s="93"/>
      <c r="E715" s="9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0" customHeight="1">
      <c r="A716" s="12"/>
      <c r="B716" s="93"/>
      <c r="C716" s="93"/>
      <c r="D716" s="93"/>
      <c r="E716" s="9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0" customHeight="1">
      <c r="A717" s="12"/>
      <c r="B717" s="93"/>
      <c r="C717" s="93"/>
      <c r="D717" s="93"/>
      <c r="E717" s="9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0" customHeight="1">
      <c r="A718" s="12"/>
      <c r="B718" s="93"/>
      <c r="C718" s="93"/>
      <c r="D718" s="93"/>
      <c r="E718" s="9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0" customHeight="1">
      <c r="A719" s="12"/>
      <c r="B719" s="93"/>
      <c r="C719" s="93"/>
      <c r="D719" s="93"/>
      <c r="E719" s="9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0" customHeight="1">
      <c r="A720" s="12"/>
      <c r="B720" s="93"/>
      <c r="C720" s="93"/>
      <c r="D720" s="93"/>
      <c r="E720" s="9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0" customHeight="1">
      <c r="A721" s="12"/>
      <c r="B721" s="93"/>
      <c r="C721" s="93"/>
      <c r="D721" s="93"/>
      <c r="E721" s="9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0" customHeight="1">
      <c r="A722" s="12"/>
      <c r="B722" s="93"/>
      <c r="C722" s="93"/>
      <c r="D722" s="93"/>
      <c r="E722" s="9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0" customHeight="1">
      <c r="A723" s="12"/>
      <c r="B723" s="93"/>
      <c r="C723" s="93"/>
      <c r="D723" s="93"/>
      <c r="E723" s="9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0" customHeight="1">
      <c r="A724" s="12"/>
      <c r="B724" s="93"/>
      <c r="C724" s="93"/>
      <c r="D724" s="93"/>
      <c r="E724" s="9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0" customHeight="1">
      <c r="A725" s="12"/>
      <c r="B725" s="93"/>
      <c r="C725" s="93"/>
      <c r="D725" s="93"/>
      <c r="E725" s="9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0" customHeight="1">
      <c r="A726" s="12"/>
      <c r="B726" s="93"/>
      <c r="C726" s="93"/>
      <c r="D726" s="93"/>
      <c r="E726" s="9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0" customHeight="1">
      <c r="A727" s="12"/>
      <c r="B727" s="93"/>
      <c r="C727" s="93"/>
      <c r="D727" s="93"/>
      <c r="E727" s="9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0" customHeight="1">
      <c r="A728" s="12"/>
      <c r="B728" s="93"/>
      <c r="C728" s="93"/>
      <c r="D728" s="93"/>
      <c r="E728" s="9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0" customHeight="1">
      <c r="A729" s="12"/>
      <c r="B729" s="93"/>
      <c r="C729" s="93"/>
      <c r="D729" s="93"/>
      <c r="E729" s="9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0" customHeight="1">
      <c r="A730" s="12"/>
      <c r="B730" s="93"/>
      <c r="C730" s="93"/>
      <c r="D730" s="93"/>
      <c r="E730" s="9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0" customHeight="1">
      <c r="A731" s="12"/>
      <c r="B731" s="93"/>
      <c r="C731" s="93"/>
      <c r="D731" s="93"/>
      <c r="E731" s="9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0" customHeight="1">
      <c r="A732" s="12"/>
      <c r="B732" s="93"/>
      <c r="C732" s="93"/>
      <c r="D732" s="93"/>
      <c r="E732" s="9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0" customHeight="1">
      <c r="A733" s="12"/>
      <c r="B733" s="93"/>
      <c r="C733" s="93"/>
      <c r="D733" s="93"/>
      <c r="E733" s="9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0" customHeight="1">
      <c r="A734" s="12"/>
      <c r="B734" s="93"/>
      <c r="C734" s="93"/>
      <c r="D734" s="93"/>
      <c r="E734" s="9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0" customHeight="1">
      <c r="A735" s="12"/>
      <c r="B735" s="93"/>
      <c r="C735" s="93"/>
      <c r="D735" s="93"/>
      <c r="E735" s="9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0" customHeight="1">
      <c r="A736" s="12"/>
      <c r="B736" s="93"/>
      <c r="C736" s="93"/>
      <c r="D736" s="93"/>
      <c r="E736" s="9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0" customHeight="1">
      <c r="A737" s="12"/>
      <c r="B737" s="93"/>
      <c r="C737" s="93"/>
      <c r="D737" s="93"/>
      <c r="E737" s="9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0" customHeight="1">
      <c r="A738" s="12"/>
      <c r="B738" s="93"/>
      <c r="C738" s="93"/>
      <c r="D738" s="93"/>
      <c r="E738" s="9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0" customHeight="1">
      <c r="A739" s="12"/>
      <c r="B739" s="93"/>
      <c r="C739" s="93"/>
      <c r="D739" s="93"/>
      <c r="E739" s="9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0" customHeight="1">
      <c r="A740" s="12"/>
      <c r="B740" s="93"/>
      <c r="C740" s="93"/>
      <c r="D740" s="93"/>
      <c r="E740" s="9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0" customHeight="1">
      <c r="A741" s="12"/>
      <c r="B741" s="93"/>
      <c r="C741" s="93"/>
      <c r="D741" s="93"/>
      <c r="E741" s="9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0" customHeight="1">
      <c r="A742" s="12"/>
      <c r="B742" s="93"/>
      <c r="C742" s="93"/>
      <c r="D742" s="93"/>
      <c r="E742" s="9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0" customHeight="1">
      <c r="A743" s="12"/>
      <c r="B743" s="93"/>
      <c r="C743" s="93"/>
      <c r="D743" s="93"/>
      <c r="E743" s="9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0" customHeight="1">
      <c r="A744" s="12"/>
      <c r="B744" s="93"/>
      <c r="C744" s="93"/>
      <c r="D744" s="93"/>
      <c r="E744" s="9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0" customHeight="1">
      <c r="A745" s="12"/>
      <c r="B745" s="93"/>
      <c r="C745" s="93"/>
      <c r="D745" s="93"/>
      <c r="E745" s="9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0" customHeight="1">
      <c r="A746" s="12"/>
      <c r="B746" s="93"/>
      <c r="C746" s="93"/>
      <c r="D746" s="93"/>
      <c r="E746" s="9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0" customHeight="1">
      <c r="A747" s="12"/>
      <c r="B747" s="93"/>
      <c r="C747" s="93"/>
      <c r="D747" s="93"/>
      <c r="E747" s="9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0" customHeight="1">
      <c r="A748" s="12"/>
      <c r="B748" s="93"/>
      <c r="C748" s="93"/>
      <c r="D748" s="93"/>
      <c r="E748" s="9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0" customHeight="1">
      <c r="A749" s="12"/>
      <c r="B749" s="93"/>
      <c r="C749" s="93"/>
      <c r="D749" s="93"/>
      <c r="E749" s="9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0" customHeight="1">
      <c r="A750" s="12"/>
      <c r="B750" s="93"/>
      <c r="C750" s="93"/>
      <c r="D750" s="93"/>
      <c r="E750" s="9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0" customHeight="1">
      <c r="A751" s="12"/>
      <c r="B751" s="93"/>
      <c r="C751" s="93"/>
      <c r="D751" s="93"/>
      <c r="E751" s="9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0" customHeight="1">
      <c r="A752" s="12"/>
      <c r="B752" s="93"/>
      <c r="C752" s="93"/>
      <c r="D752" s="93"/>
      <c r="E752" s="9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0" customHeight="1">
      <c r="A753" s="12"/>
      <c r="B753" s="93"/>
      <c r="C753" s="93"/>
      <c r="D753" s="93"/>
      <c r="E753" s="9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0" customHeight="1">
      <c r="A754" s="12"/>
      <c r="B754" s="93"/>
      <c r="C754" s="93"/>
      <c r="D754" s="93"/>
      <c r="E754" s="9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0" customHeight="1">
      <c r="A755" s="12"/>
      <c r="B755" s="93"/>
      <c r="C755" s="93"/>
      <c r="D755" s="93"/>
      <c r="E755" s="9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0" customHeight="1">
      <c r="A756" s="12"/>
      <c r="B756" s="93"/>
      <c r="C756" s="93"/>
      <c r="D756" s="93"/>
      <c r="E756" s="9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0" customHeight="1">
      <c r="A757" s="12"/>
      <c r="B757" s="93"/>
      <c r="C757" s="93"/>
      <c r="D757" s="93"/>
      <c r="E757" s="9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0" customHeight="1">
      <c r="A758" s="12"/>
      <c r="B758" s="93"/>
      <c r="C758" s="93"/>
      <c r="D758" s="93"/>
      <c r="E758" s="9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0" customHeight="1">
      <c r="A759" s="12"/>
      <c r="B759" s="93"/>
      <c r="C759" s="93"/>
      <c r="D759" s="93"/>
      <c r="E759" s="9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0" customHeight="1">
      <c r="A760" s="12"/>
      <c r="B760" s="93"/>
      <c r="C760" s="93"/>
      <c r="D760" s="93"/>
      <c r="E760" s="9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0" customHeight="1">
      <c r="A761" s="12"/>
      <c r="B761" s="93"/>
      <c r="C761" s="93"/>
      <c r="D761" s="93"/>
      <c r="E761" s="9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0" customHeight="1">
      <c r="A762" s="12"/>
      <c r="B762" s="93"/>
      <c r="C762" s="93"/>
      <c r="D762" s="93"/>
      <c r="E762" s="9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0" customHeight="1">
      <c r="A763" s="12"/>
      <c r="B763" s="93"/>
      <c r="C763" s="93"/>
      <c r="D763" s="93"/>
      <c r="E763" s="9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0" customHeight="1">
      <c r="A764" s="12"/>
      <c r="B764" s="93"/>
      <c r="C764" s="93"/>
      <c r="D764" s="93"/>
      <c r="E764" s="9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0" customHeight="1">
      <c r="A765" s="12"/>
      <c r="B765" s="93"/>
      <c r="C765" s="93"/>
      <c r="D765" s="93"/>
      <c r="E765" s="9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0" customHeight="1">
      <c r="A766" s="12"/>
      <c r="B766" s="93"/>
      <c r="C766" s="93"/>
      <c r="D766" s="93"/>
      <c r="E766" s="9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0" customHeight="1">
      <c r="A767" s="12"/>
      <c r="B767" s="93"/>
      <c r="C767" s="93"/>
      <c r="D767" s="93"/>
      <c r="E767" s="9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0" customHeight="1">
      <c r="A768" s="12"/>
      <c r="B768" s="93"/>
      <c r="C768" s="93"/>
      <c r="D768" s="93"/>
      <c r="E768" s="9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0" customHeight="1">
      <c r="A769" s="12"/>
      <c r="B769" s="93"/>
      <c r="C769" s="93"/>
      <c r="D769" s="93"/>
      <c r="E769" s="9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0" customHeight="1">
      <c r="A770" s="12"/>
      <c r="B770" s="93"/>
      <c r="C770" s="93"/>
      <c r="D770" s="93"/>
      <c r="E770" s="9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0" customHeight="1">
      <c r="A771" s="12"/>
      <c r="B771" s="93"/>
      <c r="C771" s="93"/>
      <c r="D771" s="93"/>
      <c r="E771" s="9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0" customHeight="1">
      <c r="A772" s="12"/>
      <c r="B772" s="93"/>
      <c r="C772" s="93"/>
      <c r="D772" s="93"/>
      <c r="E772" s="9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0" customHeight="1">
      <c r="A773" s="12"/>
      <c r="B773" s="93"/>
      <c r="C773" s="93"/>
      <c r="D773" s="93"/>
      <c r="E773" s="9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0" customHeight="1">
      <c r="A774" s="12"/>
      <c r="B774" s="93"/>
      <c r="C774" s="93"/>
      <c r="D774" s="93"/>
      <c r="E774" s="9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0" customHeight="1">
      <c r="A775" s="12"/>
      <c r="B775" s="93"/>
      <c r="C775" s="93"/>
      <c r="D775" s="93"/>
      <c r="E775" s="9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0" customHeight="1">
      <c r="A776" s="12"/>
      <c r="B776" s="93"/>
      <c r="C776" s="93"/>
      <c r="D776" s="93"/>
      <c r="E776" s="9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0" customHeight="1">
      <c r="A777" s="12"/>
      <c r="B777" s="93"/>
      <c r="C777" s="93"/>
      <c r="D777" s="93"/>
      <c r="E777" s="9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0" customHeight="1">
      <c r="A778" s="12"/>
      <c r="B778" s="93"/>
      <c r="C778" s="93"/>
      <c r="D778" s="93"/>
      <c r="E778" s="9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0" customHeight="1">
      <c r="A779" s="12"/>
      <c r="B779" s="93"/>
      <c r="C779" s="93"/>
      <c r="D779" s="93"/>
      <c r="E779" s="9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0" customHeight="1">
      <c r="A780" s="12"/>
      <c r="B780" s="93"/>
      <c r="C780" s="93"/>
      <c r="D780" s="93"/>
      <c r="E780" s="9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0" customHeight="1">
      <c r="A781" s="12"/>
      <c r="B781" s="93"/>
      <c r="C781" s="93"/>
      <c r="D781" s="93"/>
      <c r="E781" s="9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0" customHeight="1">
      <c r="A782" s="12"/>
      <c r="B782" s="93"/>
      <c r="C782" s="93"/>
      <c r="D782" s="93"/>
      <c r="E782" s="9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0" customHeight="1">
      <c r="A783" s="12"/>
      <c r="B783" s="93"/>
      <c r="C783" s="93"/>
      <c r="D783" s="93"/>
      <c r="E783" s="9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0" customHeight="1">
      <c r="A784" s="12"/>
      <c r="B784" s="93"/>
      <c r="C784" s="93"/>
      <c r="D784" s="93"/>
      <c r="E784" s="9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0" customHeight="1">
      <c r="A785" s="12"/>
      <c r="B785" s="93"/>
      <c r="C785" s="93"/>
      <c r="D785" s="93"/>
      <c r="E785" s="9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0" customHeight="1">
      <c r="A786" s="12"/>
      <c r="B786" s="93"/>
      <c r="C786" s="93"/>
      <c r="D786" s="93"/>
      <c r="E786" s="9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0" customHeight="1">
      <c r="A787" s="12"/>
      <c r="B787" s="93"/>
      <c r="C787" s="93"/>
      <c r="D787" s="93"/>
      <c r="E787" s="9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0" customHeight="1">
      <c r="A788" s="12"/>
      <c r="B788" s="93"/>
      <c r="C788" s="93"/>
      <c r="D788" s="93"/>
      <c r="E788" s="9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0" customHeight="1">
      <c r="A789" s="12"/>
      <c r="B789" s="93"/>
      <c r="C789" s="93"/>
      <c r="D789" s="93"/>
      <c r="E789" s="9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0" customHeight="1">
      <c r="A790" s="12"/>
      <c r="B790" s="93"/>
      <c r="C790" s="93"/>
      <c r="D790" s="93"/>
      <c r="E790" s="9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0" customHeight="1">
      <c r="A791" s="12"/>
      <c r="B791" s="93"/>
      <c r="C791" s="93"/>
      <c r="D791" s="93"/>
      <c r="E791" s="9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0" customHeight="1">
      <c r="A792" s="12"/>
      <c r="B792" s="93"/>
      <c r="C792" s="93"/>
      <c r="D792" s="93"/>
      <c r="E792" s="9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0" customHeight="1">
      <c r="A793" s="12"/>
      <c r="B793" s="93"/>
      <c r="C793" s="93"/>
      <c r="D793" s="93"/>
      <c r="E793" s="9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0" customHeight="1">
      <c r="A794" s="12"/>
      <c r="B794" s="93"/>
      <c r="C794" s="93"/>
      <c r="D794" s="93"/>
      <c r="E794" s="9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0" customHeight="1">
      <c r="A795" s="12"/>
      <c r="B795" s="93"/>
      <c r="C795" s="93"/>
      <c r="D795" s="93"/>
      <c r="E795" s="9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0" customHeight="1">
      <c r="A796" s="12"/>
      <c r="B796" s="93"/>
      <c r="C796" s="93"/>
      <c r="D796" s="93"/>
      <c r="E796" s="9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0" customHeight="1">
      <c r="A797" s="12"/>
      <c r="B797" s="93"/>
      <c r="C797" s="93"/>
      <c r="D797" s="93"/>
      <c r="E797" s="9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0" customHeight="1">
      <c r="A798" s="12"/>
      <c r="B798" s="93"/>
      <c r="C798" s="93"/>
      <c r="D798" s="93"/>
      <c r="E798" s="9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0" customHeight="1">
      <c r="A799" s="12"/>
      <c r="B799" s="93"/>
      <c r="C799" s="93"/>
      <c r="D799" s="93"/>
      <c r="E799" s="9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0" customHeight="1">
      <c r="A800" s="12"/>
      <c r="B800" s="93"/>
      <c r="C800" s="93"/>
      <c r="D800" s="93"/>
      <c r="E800" s="9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0" customHeight="1">
      <c r="A801" s="12"/>
      <c r="B801" s="93"/>
      <c r="C801" s="93"/>
      <c r="D801" s="93"/>
      <c r="E801" s="9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0" customHeight="1">
      <c r="A802" s="12"/>
      <c r="B802" s="93"/>
      <c r="C802" s="93"/>
      <c r="D802" s="93"/>
      <c r="E802" s="9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0" customHeight="1">
      <c r="A803" s="12"/>
      <c r="B803" s="93"/>
      <c r="C803" s="93"/>
      <c r="D803" s="93"/>
      <c r="E803" s="9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0" customHeight="1">
      <c r="A804" s="12"/>
      <c r="B804" s="93"/>
      <c r="C804" s="93"/>
      <c r="D804" s="93"/>
      <c r="E804" s="9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0" customHeight="1">
      <c r="A805" s="12"/>
      <c r="B805" s="93"/>
      <c r="C805" s="93"/>
      <c r="D805" s="93"/>
      <c r="E805" s="9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0" customHeight="1">
      <c r="A806" s="12"/>
      <c r="B806" s="93"/>
      <c r="C806" s="93"/>
      <c r="D806" s="93"/>
      <c r="E806" s="9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0" customHeight="1">
      <c r="A807" s="12"/>
      <c r="B807" s="93"/>
      <c r="C807" s="93"/>
      <c r="D807" s="93"/>
      <c r="E807" s="9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0" customHeight="1">
      <c r="A808" s="12"/>
      <c r="B808" s="93"/>
      <c r="C808" s="93"/>
      <c r="D808" s="93"/>
      <c r="E808" s="9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0" customHeight="1">
      <c r="A809" s="12"/>
      <c r="B809" s="93"/>
      <c r="C809" s="93"/>
      <c r="D809" s="93"/>
      <c r="E809" s="9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0" customHeight="1">
      <c r="A810" s="12"/>
      <c r="B810" s="93"/>
      <c r="C810" s="93"/>
      <c r="D810" s="93"/>
      <c r="E810" s="9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0" customHeight="1">
      <c r="A811" s="12"/>
      <c r="B811" s="93"/>
      <c r="C811" s="93"/>
      <c r="D811" s="93"/>
      <c r="E811" s="9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0" customHeight="1">
      <c r="A812" s="12"/>
      <c r="B812" s="93"/>
      <c r="C812" s="93"/>
      <c r="D812" s="93"/>
      <c r="E812" s="9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0" customHeight="1">
      <c r="A813" s="12"/>
      <c r="B813" s="93"/>
      <c r="C813" s="93"/>
      <c r="D813" s="93"/>
      <c r="E813" s="9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0" customHeight="1">
      <c r="A814" s="12"/>
      <c r="B814" s="93"/>
      <c r="C814" s="93"/>
      <c r="D814" s="93"/>
      <c r="E814" s="9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0" customHeight="1">
      <c r="A815" s="12"/>
      <c r="B815" s="93"/>
      <c r="C815" s="93"/>
      <c r="D815" s="93"/>
      <c r="E815" s="9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0" customHeight="1">
      <c r="A816" s="12"/>
      <c r="B816" s="93"/>
      <c r="C816" s="93"/>
      <c r="D816" s="93"/>
      <c r="E816" s="9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0" customHeight="1">
      <c r="A817" s="12"/>
      <c r="B817" s="93"/>
      <c r="C817" s="93"/>
      <c r="D817" s="93"/>
      <c r="E817" s="9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0" customHeight="1">
      <c r="A818" s="12"/>
      <c r="B818" s="93"/>
      <c r="C818" s="93"/>
      <c r="D818" s="93"/>
      <c r="E818" s="9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0" customHeight="1">
      <c r="A819" s="12"/>
      <c r="B819" s="93"/>
      <c r="C819" s="93"/>
      <c r="D819" s="93"/>
      <c r="E819" s="9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0" customHeight="1">
      <c r="A820" s="12"/>
      <c r="B820" s="93"/>
      <c r="C820" s="93"/>
      <c r="D820" s="93"/>
      <c r="E820" s="9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0" customHeight="1">
      <c r="A821" s="12"/>
      <c r="B821" s="93"/>
      <c r="C821" s="93"/>
      <c r="D821" s="93"/>
      <c r="E821" s="9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0" customHeight="1">
      <c r="A822" s="12"/>
      <c r="B822" s="93"/>
      <c r="C822" s="93"/>
      <c r="D822" s="93"/>
      <c r="E822" s="9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0" customHeight="1">
      <c r="A823" s="12"/>
      <c r="B823" s="93"/>
      <c r="C823" s="93"/>
      <c r="D823" s="93"/>
      <c r="E823" s="9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0" customHeight="1">
      <c r="A824" s="12"/>
      <c r="B824" s="93"/>
      <c r="C824" s="93"/>
      <c r="D824" s="93"/>
      <c r="E824" s="9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0" customHeight="1">
      <c r="A825" s="12"/>
      <c r="B825" s="93"/>
      <c r="C825" s="93"/>
      <c r="D825" s="93"/>
      <c r="E825" s="9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0" customHeight="1">
      <c r="A826" s="12"/>
      <c r="B826" s="93"/>
      <c r="C826" s="93"/>
      <c r="D826" s="93"/>
      <c r="E826" s="9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0" customHeight="1">
      <c r="A827" s="12"/>
      <c r="B827" s="93"/>
      <c r="C827" s="93"/>
      <c r="D827" s="93"/>
      <c r="E827" s="9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0" customHeight="1">
      <c r="A828" s="12"/>
      <c r="B828" s="93"/>
      <c r="C828" s="93"/>
      <c r="D828" s="93"/>
      <c r="E828" s="9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0" customHeight="1">
      <c r="A829" s="12"/>
      <c r="B829" s="93"/>
      <c r="C829" s="93"/>
      <c r="D829" s="93"/>
      <c r="E829" s="9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0" customHeight="1">
      <c r="A830" s="12"/>
      <c r="B830" s="93"/>
      <c r="C830" s="93"/>
      <c r="D830" s="93"/>
      <c r="E830" s="9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0" customHeight="1">
      <c r="A831" s="12"/>
      <c r="B831" s="93"/>
      <c r="C831" s="93"/>
      <c r="D831" s="93"/>
      <c r="E831" s="9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0" customHeight="1">
      <c r="A832" s="12"/>
      <c r="B832" s="93"/>
      <c r="C832" s="93"/>
      <c r="D832" s="93"/>
      <c r="E832" s="9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0" customHeight="1">
      <c r="A833" s="12"/>
      <c r="B833" s="93"/>
      <c r="C833" s="93"/>
      <c r="D833" s="93"/>
      <c r="E833" s="9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0" customHeight="1">
      <c r="A834" s="12"/>
      <c r="B834" s="93"/>
      <c r="C834" s="93"/>
      <c r="D834" s="93"/>
      <c r="E834" s="9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0" customHeight="1">
      <c r="A835" s="12"/>
      <c r="B835" s="93"/>
      <c r="C835" s="93"/>
      <c r="D835" s="93"/>
      <c r="E835" s="9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0" customHeight="1">
      <c r="A836" s="12"/>
      <c r="B836" s="93"/>
      <c r="C836" s="93"/>
      <c r="D836" s="93"/>
      <c r="E836" s="9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0" customHeight="1">
      <c r="A837" s="12"/>
      <c r="B837" s="93"/>
      <c r="C837" s="93"/>
      <c r="D837" s="93"/>
      <c r="E837" s="9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0" customHeight="1">
      <c r="A838" s="12"/>
      <c r="B838" s="93"/>
      <c r="C838" s="93"/>
      <c r="D838" s="93"/>
      <c r="E838" s="9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0" customHeight="1">
      <c r="A839" s="12"/>
      <c r="B839" s="93"/>
      <c r="C839" s="93"/>
      <c r="D839" s="93"/>
      <c r="E839" s="9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0" customHeight="1">
      <c r="A840" s="12"/>
      <c r="B840" s="93"/>
      <c r="C840" s="93"/>
      <c r="D840" s="93"/>
      <c r="E840" s="9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0" customHeight="1">
      <c r="A841" s="12"/>
      <c r="B841" s="93"/>
      <c r="C841" s="93"/>
      <c r="D841" s="93"/>
      <c r="E841" s="9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0" customHeight="1">
      <c r="A842" s="12"/>
      <c r="B842" s="93"/>
      <c r="C842" s="93"/>
      <c r="D842" s="93"/>
      <c r="E842" s="9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0" customHeight="1">
      <c r="A843" s="12"/>
      <c r="B843" s="93"/>
      <c r="C843" s="93"/>
      <c r="D843" s="93"/>
      <c r="E843" s="9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0" customHeight="1">
      <c r="A844" s="12"/>
      <c r="B844" s="93"/>
      <c r="C844" s="93"/>
      <c r="D844" s="93"/>
      <c r="E844" s="9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0" customHeight="1">
      <c r="A845" s="12"/>
      <c r="B845" s="93"/>
      <c r="C845" s="93"/>
      <c r="D845" s="93"/>
      <c r="E845" s="9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0" customHeight="1">
      <c r="A846" s="12"/>
      <c r="B846" s="93"/>
      <c r="C846" s="93"/>
      <c r="D846" s="93"/>
      <c r="E846" s="9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0" customHeight="1">
      <c r="A847" s="12"/>
      <c r="B847" s="93"/>
      <c r="C847" s="93"/>
      <c r="D847" s="93"/>
      <c r="E847" s="9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0" customHeight="1">
      <c r="A848" s="12"/>
      <c r="B848" s="93"/>
      <c r="C848" s="93"/>
      <c r="D848" s="93"/>
      <c r="E848" s="9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0" customHeight="1">
      <c r="A849" s="12"/>
      <c r="B849" s="93"/>
      <c r="C849" s="93"/>
      <c r="D849" s="93"/>
      <c r="E849" s="9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0" customHeight="1">
      <c r="A850" s="12"/>
      <c r="B850" s="93"/>
      <c r="C850" s="93"/>
      <c r="D850" s="93"/>
      <c r="E850" s="9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0" customHeight="1">
      <c r="A851" s="12"/>
      <c r="B851" s="93"/>
      <c r="C851" s="93"/>
      <c r="D851" s="93"/>
      <c r="E851" s="9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0" customHeight="1">
      <c r="A852" s="12"/>
      <c r="B852" s="93"/>
      <c r="C852" s="93"/>
      <c r="D852" s="93"/>
      <c r="E852" s="9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0" customHeight="1">
      <c r="A853" s="12"/>
      <c r="B853" s="93"/>
      <c r="C853" s="93"/>
      <c r="D853" s="93"/>
      <c r="E853" s="9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0" customHeight="1">
      <c r="A854" s="12"/>
      <c r="B854" s="93"/>
      <c r="C854" s="93"/>
      <c r="D854" s="93"/>
      <c r="E854" s="9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0" customHeight="1">
      <c r="A855" s="12"/>
      <c r="B855" s="93"/>
      <c r="C855" s="93"/>
      <c r="D855" s="93"/>
      <c r="E855" s="9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0" customHeight="1">
      <c r="A856" s="12"/>
      <c r="B856" s="93"/>
      <c r="C856" s="93"/>
      <c r="D856" s="93"/>
      <c r="E856" s="9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0" customHeight="1">
      <c r="A857" s="12"/>
      <c r="B857" s="93"/>
      <c r="C857" s="93"/>
      <c r="D857" s="93"/>
      <c r="E857" s="9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0" customHeight="1">
      <c r="A858" s="12"/>
      <c r="B858" s="93"/>
      <c r="C858" s="93"/>
      <c r="D858" s="93"/>
      <c r="E858" s="9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0" customHeight="1">
      <c r="A859" s="12"/>
      <c r="B859" s="93"/>
      <c r="C859" s="93"/>
      <c r="D859" s="93"/>
      <c r="E859" s="9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0" customHeight="1">
      <c r="A860" s="12"/>
      <c r="B860" s="93"/>
      <c r="C860" s="93"/>
      <c r="D860" s="93"/>
      <c r="E860" s="9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0" customHeight="1">
      <c r="A861" s="12"/>
      <c r="B861" s="93"/>
      <c r="C861" s="93"/>
      <c r="D861" s="93"/>
      <c r="E861" s="9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0" customHeight="1">
      <c r="A862" s="12"/>
      <c r="B862" s="93"/>
      <c r="C862" s="93"/>
      <c r="D862" s="93"/>
      <c r="E862" s="9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0" customHeight="1">
      <c r="A863" s="12"/>
      <c r="B863" s="93"/>
      <c r="C863" s="93"/>
      <c r="D863" s="93"/>
      <c r="E863" s="9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0" customHeight="1">
      <c r="A864" s="12"/>
      <c r="B864" s="93"/>
      <c r="C864" s="93"/>
      <c r="D864" s="93"/>
      <c r="E864" s="9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0" customHeight="1">
      <c r="A865" s="12"/>
      <c r="B865" s="93"/>
      <c r="C865" s="93"/>
      <c r="D865" s="93"/>
      <c r="E865" s="9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0" customHeight="1">
      <c r="A866" s="12"/>
      <c r="B866" s="93"/>
      <c r="C866" s="93"/>
      <c r="D866" s="93"/>
      <c r="E866" s="9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0" customHeight="1">
      <c r="A867" s="12"/>
      <c r="B867" s="93"/>
      <c r="C867" s="93"/>
      <c r="D867" s="93"/>
      <c r="E867" s="9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0" customHeight="1">
      <c r="A868" s="12"/>
      <c r="B868" s="93"/>
      <c r="C868" s="93"/>
      <c r="D868" s="93"/>
      <c r="E868" s="9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0" customHeight="1">
      <c r="A869" s="12"/>
      <c r="B869" s="93"/>
      <c r="C869" s="93"/>
      <c r="D869" s="93"/>
      <c r="E869" s="9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0" customHeight="1">
      <c r="A870" s="12"/>
      <c r="B870" s="93"/>
      <c r="C870" s="93"/>
      <c r="D870" s="93"/>
      <c r="E870" s="9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0" customHeight="1">
      <c r="A871" s="12"/>
      <c r="B871" s="93"/>
      <c r="C871" s="93"/>
      <c r="D871" s="93"/>
      <c r="E871" s="9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0" customHeight="1">
      <c r="A872" s="12"/>
      <c r="B872" s="93"/>
      <c r="C872" s="93"/>
      <c r="D872" s="93"/>
      <c r="E872" s="9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0" customHeight="1">
      <c r="A873" s="12"/>
      <c r="B873" s="93"/>
      <c r="C873" s="93"/>
      <c r="D873" s="93"/>
      <c r="E873" s="9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0" customHeight="1">
      <c r="A874" s="12"/>
      <c r="B874" s="93"/>
      <c r="C874" s="93"/>
      <c r="D874" s="93"/>
      <c r="E874" s="9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0" customHeight="1">
      <c r="A875" s="12"/>
      <c r="B875" s="93"/>
      <c r="C875" s="93"/>
      <c r="D875" s="93"/>
      <c r="E875" s="9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0" customHeight="1">
      <c r="A876" s="12"/>
      <c r="B876" s="93"/>
      <c r="C876" s="93"/>
      <c r="D876" s="93"/>
      <c r="E876" s="9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0" customHeight="1">
      <c r="A877" s="12"/>
      <c r="B877" s="93"/>
      <c r="C877" s="93"/>
      <c r="D877" s="93"/>
      <c r="E877" s="9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0" customHeight="1">
      <c r="A878" s="12"/>
      <c r="B878" s="93"/>
      <c r="C878" s="93"/>
      <c r="D878" s="93"/>
      <c r="E878" s="9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0" customHeight="1">
      <c r="A879" s="12"/>
      <c r="B879" s="93"/>
      <c r="C879" s="93"/>
      <c r="D879" s="93"/>
      <c r="E879" s="9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0" customHeight="1">
      <c r="A880" s="12"/>
      <c r="B880" s="93"/>
      <c r="C880" s="93"/>
      <c r="D880" s="93"/>
      <c r="E880" s="9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0" customHeight="1">
      <c r="A881" s="12"/>
      <c r="B881" s="93"/>
      <c r="C881" s="93"/>
      <c r="D881" s="93"/>
      <c r="E881" s="9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0" customHeight="1">
      <c r="A882" s="12"/>
      <c r="B882" s="93"/>
      <c r="C882" s="93"/>
      <c r="D882" s="93"/>
      <c r="E882" s="9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0" customHeight="1">
      <c r="A883" s="12"/>
      <c r="B883" s="93"/>
      <c r="C883" s="93"/>
      <c r="D883" s="93"/>
      <c r="E883" s="9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0" customHeight="1">
      <c r="A884" s="12"/>
      <c r="B884" s="93"/>
      <c r="C884" s="93"/>
      <c r="D884" s="93"/>
      <c r="E884" s="9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0" customHeight="1">
      <c r="A885" s="12"/>
      <c r="B885" s="93"/>
      <c r="C885" s="93"/>
      <c r="D885" s="93"/>
      <c r="E885" s="9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0" customHeight="1">
      <c r="A886" s="12"/>
      <c r="B886" s="93"/>
      <c r="C886" s="93"/>
      <c r="D886" s="93"/>
      <c r="E886" s="9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0" customHeight="1">
      <c r="A887" s="12"/>
      <c r="B887" s="93"/>
      <c r="C887" s="93"/>
      <c r="D887" s="93"/>
      <c r="E887" s="9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0" customHeight="1">
      <c r="A888" s="12"/>
      <c r="B888" s="93"/>
      <c r="C888" s="93"/>
      <c r="D888" s="93"/>
      <c r="E888" s="9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0" customHeight="1">
      <c r="A889" s="12"/>
      <c r="B889" s="93"/>
      <c r="C889" s="93"/>
      <c r="D889" s="93"/>
      <c r="E889" s="9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0" customHeight="1">
      <c r="A890" s="12"/>
      <c r="B890" s="93"/>
      <c r="C890" s="93"/>
      <c r="D890" s="93"/>
      <c r="E890" s="9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0" customHeight="1">
      <c r="A891" s="12"/>
      <c r="B891" s="93"/>
      <c r="C891" s="93"/>
      <c r="D891" s="93"/>
      <c r="E891" s="9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0" customHeight="1">
      <c r="A892" s="12"/>
      <c r="B892" s="93"/>
      <c r="C892" s="93"/>
      <c r="D892" s="93"/>
      <c r="E892" s="9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0" customHeight="1">
      <c r="A893" s="12"/>
      <c r="B893" s="93"/>
      <c r="C893" s="93"/>
      <c r="D893" s="93"/>
      <c r="E893" s="9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0" customHeight="1">
      <c r="A894" s="12"/>
      <c r="B894" s="93"/>
      <c r="C894" s="93"/>
      <c r="D894" s="93"/>
      <c r="E894" s="9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0" customHeight="1">
      <c r="A895" s="12"/>
      <c r="B895" s="93"/>
      <c r="C895" s="93"/>
      <c r="D895" s="93"/>
      <c r="E895" s="9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0" customHeight="1">
      <c r="A896" s="12"/>
      <c r="B896" s="93"/>
      <c r="C896" s="93"/>
      <c r="D896" s="93"/>
      <c r="E896" s="9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0" customHeight="1">
      <c r="A897" s="12"/>
      <c r="B897" s="93"/>
      <c r="C897" s="93"/>
      <c r="D897" s="93"/>
      <c r="E897" s="9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0" customHeight="1">
      <c r="A898" s="12"/>
      <c r="B898" s="93"/>
      <c r="C898" s="93"/>
      <c r="D898" s="93"/>
      <c r="E898" s="9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0" customHeight="1">
      <c r="A899" s="12"/>
      <c r="B899" s="93"/>
      <c r="C899" s="93"/>
      <c r="D899" s="93"/>
      <c r="E899" s="9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0" customHeight="1">
      <c r="A900" s="12"/>
      <c r="B900" s="93"/>
      <c r="C900" s="93"/>
      <c r="D900" s="93"/>
      <c r="E900" s="9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0" customHeight="1">
      <c r="A901" s="12"/>
      <c r="B901" s="93"/>
      <c r="C901" s="93"/>
      <c r="D901" s="93"/>
      <c r="E901" s="9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0" customHeight="1">
      <c r="A902" s="12"/>
      <c r="B902" s="93"/>
      <c r="C902" s="93"/>
      <c r="D902" s="93"/>
      <c r="E902" s="9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0" customHeight="1">
      <c r="A903" s="12"/>
      <c r="B903" s="93"/>
      <c r="C903" s="93"/>
      <c r="D903" s="93"/>
      <c r="E903" s="9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0" customHeight="1">
      <c r="A904" s="12"/>
      <c r="B904" s="93"/>
      <c r="C904" s="93"/>
      <c r="D904" s="93"/>
      <c r="E904" s="9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0" customHeight="1">
      <c r="A905" s="12"/>
      <c r="B905" s="93"/>
      <c r="C905" s="93"/>
      <c r="D905" s="93"/>
      <c r="E905" s="9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0" customHeight="1">
      <c r="A906" s="12"/>
      <c r="B906" s="93"/>
      <c r="C906" s="93"/>
      <c r="D906" s="93"/>
      <c r="E906" s="9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0" customHeight="1">
      <c r="A907" s="12"/>
      <c r="B907" s="93"/>
      <c r="C907" s="93"/>
      <c r="D907" s="93"/>
      <c r="E907" s="9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0" customHeight="1">
      <c r="A908" s="12"/>
      <c r="B908" s="93"/>
      <c r="C908" s="93"/>
      <c r="D908" s="93"/>
      <c r="E908" s="9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0" customHeight="1">
      <c r="A909" s="12"/>
      <c r="B909" s="93"/>
      <c r="C909" s="93"/>
      <c r="D909" s="93"/>
      <c r="E909" s="9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0" customHeight="1">
      <c r="A910" s="12"/>
      <c r="B910" s="93"/>
      <c r="C910" s="93"/>
      <c r="D910" s="93"/>
      <c r="E910" s="9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0" customHeight="1">
      <c r="A911" s="12"/>
      <c r="B911" s="93"/>
      <c r="C911" s="93"/>
      <c r="D911" s="93"/>
      <c r="E911" s="9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0" customHeight="1">
      <c r="A912" s="12"/>
      <c r="B912" s="93"/>
      <c r="C912" s="93"/>
      <c r="D912" s="93"/>
      <c r="E912" s="93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0" customHeight="1">
      <c r="A913" s="12"/>
      <c r="B913" s="93"/>
      <c r="C913" s="93"/>
      <c r="D913" s="93"/>
      <c r="E913" s="9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0" customHeight="1">
      <c r="A914" s="12"/>
      <c r="B914" s="93"/>
      <c r="C914" s="93"/>
      <c r="D914" s="93"/>
      <c r="E914" s="93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0" customHeight="1">
      <c r="A915" s="12"/>
      <c r="B915" s="93"/>
      <c r="C915" s="93"/>
      <c r="D915" s="93"/>
      <c r="E915" s="9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0" customHeight="1">
      <c r="A916" s="12"/>
      <c r="B916" s="93"/>
      <c r="C916" s="93"/>
      <c r="D916" s="93"/>
      <c r="E916" s="93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0" customHeight="1">
      <c r="A917" s="12"/>
      <c r="B917" s="93"/>
      <c r="C917" s="93"/>
      <c r="D917" s="93"/>
      <c r="E917" s="9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0" customHeight="1">
      <c r="A918" s="12"/>
      <c r="B918" s="93"/>
      <c r="C918" s="93"/>
      <c r="D918" s="93"/>
      <c r="E918" s="93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0" customHeight="1">
      <c r="A919" s="12"/>
      <c r="B919" s="93"/>
      <c r="C919" s="93"/>
      <c r="D919" s="93"/>
      <c r="E919" s="9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0" customHeight="1">
      <c r="A920" s="12"/>
      <c r="B920" s="93"/>
      <c r="C920" s="93"/>
      <c r="D920" s="93"/>
      <c r="E920" s="93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0" customHeight="1">
      <c r="A921" s="12"/>
      <c r="B921" s="93"/>
      <c r="C921" s="93"/>
      <c r="D921" s="93"/>
      <c r="E921" s="9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0" customHeight="1">
      <c r="A922" s="12"/>
      <c r="B922" s="93"/>
      <c r="C922" s="93"/>
      <c r="D922" s="93"/>
      <c r="E922" s="93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0" customHeight="1">
      <c r="A923" s="12"/>
      <c r="B923" s="93"/>
      <c r="C923" s="93"/>
      <c r="D923" s="93"/>
      <c r="E923" s="9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0" customHeight="1">
      <c r="A924" s="12"/>
      <c r="B924" s="93"/>
      <c r="C924" s="93"/>
      <c r="D924" s="93"/>
      <c r="E924" s="93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0" customHeight="1">
      <c r="A925" s="12"/>
      <c r="B925" s="93"/>
      <c r="C925" s="93"/>
      <c r="D925" s="93"/>
      <c r="E925" s="9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0" customHeight="1">
      <c r="A926" s="12"/>
      <c r="B926" s="93"/>
      <c r="C926" s="93"/>
      <c r="D926" s="93"/>
      <c r="E926" s="93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0" customHeight="1">
      <c r="A927" s="12"/>
      <c r="B927" s="93"/>
      <c r="C927" s="93"/>
      <c r="D927" s="93"/>
      <c r="E927" s="9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0" customHeight="1">
      <c r="A928" s="12"/>
      <c r="B928" s="93"/>
      <c r="C928" s="93"/>
      <c r="D928" s="93"/>
      <c r="E928" s="93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0" customHeight="1">
      <c r="A929" s="12"/>
      <c r="B929" s="93"/>
      <c r="C929" s="93"/>
      <c r="D929" s="93"/>
      <c r="E929" s="9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0" customHeight="1">
      <c r="A930" s="12"/>
      <c r="B930" s="93"/>
      <c r="C930" s="93"/>
      <c r="D930" s="93"/>
      <c r="E930" s="93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0" customHeight="1">
      <c r="A931" s="12"/>
      <c r="B931" s="93"/>
      <c r="C931" s="93"/>
      <c r="D931" s="93"/>
      <c r="E931" s="9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0" customHeight="1">
      <c r="A932" s="12"/>
      <c r="B932" s="93"/>
      <c r="C932" s="93"/>
      <c r="D932" s="93"/>
      <c r="E932" s="93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0" customHeight="1">
      <c r="A933" s="12"/>
      <c r="B933" s="93"/>
      <c r="C933" s="93"/>
      <c r="D933" s="93"/>
      <c r="E933" s="9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0" customHeight="1">
      <c r="A934" s="12"/>
      <c r="B934" s="93"/>
      <c r="C934" s="93"/>
      <c r="D934" s="93"/>
      <c r="E934" s="93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0" customHeight="1">
      <c r="A935" s="12"/>
      <c r="B935" s="93"/>
      <c r="C935" s="93"/>
      <c r="D935" s="93"/>
      <c r="E935" s="9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0" customHeight="1">
      <c r="A936" s="12"/>
      <c r="B936" s="93"/>
      <c r="C936" s="93"/>
      <c r="D936" s="93"/>
      <c r="E936" s="93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0" customHeight="1">
      <c r="A937" s="12"/>
      <c r="B937" s="93"/>
      <c r="C937" s="93"/>
      <c r="D937" s="93"/>
      <c r="E937" s="9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0" customHeight="1">
      <c r="A938" s="12"/>
      <c r="B938" s="93"/>
      <c r="C938" s="93"/>
      <c r="D938" s="93"/>
      <c r="E938" s="93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0" customHeight="1">
      <c r="A939" s="12"/>
      <c r="B939" s="93"/>
      <c r="C939" s="93"/>
      <c r="D939" s="93"/>
      <c r="E939" s="9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0" customHeight="1">
      <c r="A940" s="12"/>
      <c r="B940" s="93"/>
      <c r="C940" s="93"/>
      <c r="D940" s="93"/>
      <c r="E940" s="93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0" customHeight="1">
      <c r="A941" s="12"/>
      <c r="B941" s="93"/>
      <c r="C941" s="93"/>
      <c r="D941" s="93"/>
      <c r="E941" s="9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0" customHeight="1">
      <c r="A942" s="12"/>
      <c r="B942" s="93"/>
      <c r="C942" s="93"/>
      <c r="D942" s="93"/>
      <c r="E942" s="93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0" customHeight="1">
      <c r="A943" s="12"/>
      <c r="B943" s="93"/>
      <c r="C943" s="93"/>
      <c r="D943" s="93"/>
      <c r="E943" s="9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0" customHeight="1">
      <c r="A944" s="12"/>
      <c r="B944" s="93"/>
      <c r="C944" s="93"/>
      <c r="D944" s="93"/>
      <c r="E944" s="93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0" customHeight="1">
      <c r="A945" s="12"/>
      <c r="B945" s="93"/>
      <c r="C945" s="93"/>
      <c r="D945" s="93"/>
      <c r="E945" s="9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0" customHeight="1">
      <c r="A946" s="12"/>
      <c r="B946" s="93"/>
      <c r="C946" s="93"/>
      <c r="D946" s="93"/>
      <c r="E946" s="93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0" customHeight="1">
      <c r="A947" s="12"/>
      <c r="B947" s="93"/>
      <c r="C947" s="93"/>
      <c r="D947" s="93"/>
      <c r="E947" s="9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0" customHeight="1">
      <c r="A948" s="12"/>
      <c r="B948" s="93"/>
      <c r="C948" s="93"/>
      <c r="D948" s="93"/>
      <c r="E948" s="93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0" customHeight="1">
      <c r="A949" s="12"/>
      <c r="B949" s="93"/>
      <c r="C949" s="93"/>
      <c r="D949" s="93"/>
      <c r="E949" s="9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0" customHeight="1">
      <c r="A950" s="12"/>
      <c r="B950" s="93"/>
      <c r="C950" s="93"/>
      <c r="D950" s="93"/>
      <c r="E950" s="93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0" customHeight="1">
      <c r="A951" s="12"/>
      <c r="B951" s="93"/>
      <c r="C951" s="93"/>
      <c r="D951" s="93"/>
      <c r="E951" s="9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0" customHeight="1">
      <c r="A952" s="12"/>
      <c r="B952" s="93"/>
      <c r="C952" s="93"/>
      <c r="D952" s="93"/>
      <c r="E952" s="93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0" customHeight="1">
      <c r="A953" s="12"/>
      <c r="B953" s="93"/>
      <c r="C953" s="93"/>
      <c r="D953" s="93"/>
      <c r="E953" s="9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0" customHeight="1">
      <c r="A954" s="12"/>
      <c r="B954" s="93"/>
      <c r="C954" s="93"/>
      <c r="D954" s="93"/>
      <c r="E954" s="93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0" customHeight="1">
      <c r="A955" s="12"/>
      <c r="B955" s="93"/>
      <c r="C955" s="93"/>
      <c r="D955" s="93"/>
      <c r="E955" s="9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0" customHeight="1">
      <c r="A956" s="12"/>
      <c r="B956" s="93"/>
      <c r="C956" s="93"/>
      <c r="D956" s="93"/>
      <c r="E956" s="93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0" customHeight="1">
      <c r="A957" s="12"/>
      <c r="B957" s="93"/>
      <c r="C957" s="93"/>
      <c r="D957" s="93"/>
      <c r="E957" s="9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0" customHeight="1">
      <c r="A958" s="12"/>
      <c r="B958" s="93"/>
      <c r="C958" s="93"/>
      <c r="D958" s="93"/>
      <c r="E958" s="93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0" customHeight="1">
      <c r="A959" s="12"/>
      <c r="B959" s="93"/>
      <c r="C959" s="93"/>
      <c r="D959" s="93"/>
      <c r="E959" s="9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0" customHeight="1">
      <c r="A960" s="12"/>
      <c r="B960" s="93"/>
      <c r="C960" s="93"/>
      <c r="D960" s="93"/>
      <c r="E960" s="93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0" customHeight="1">
      <c r="A961" s="12"/>
      <c r="B961" s="93"/>
      <c r="C961" s="93"/>
      <c r="D961" s="93"/>
      <c r="E961" s="9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0" customHeight="1">
      <c r="A962" s="12"/>
      <c r="B962" s="93"/>
      <c r="C962" s="93"/>
      <c r="D962" s="93"/>
      <c r="E962" s="93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0" customHeight="1">
      <c r="A963" s="12"/>
      <c r="B963" s="93"/>
      <c r="C963" s="93"/>
      <c r="D963" s="93"/>
      <c r="E963" s="9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0" customHeight="1">
      <c r="A964" s="12"/>
      <c r="B964" s="93"/>
      <c r="C964" s="93"/>
      <c r="D964" s="93"/>
      <c r="E964" s="93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0" customHeight="1">
      <c r="A965" s="12"/>
      <c r="B965" s="93"/>
      <c r="C965" s="93"/>
      <c r="D965" s="93"/>
      <c r="E965" s="9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0" customHeight="1">
      <c r="A966" s="12"/>
      <c r="B966" s="93"/>
      <c r="C966" s="93"/>
      <c r="D966" s="93"/>
      <c r="E966" s="93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0" customHeight="1">
      <c r="A967" s="12"/>
      <c r="B967" s="93"/>
      <c r="C967" s="93"/>
      <c r="D967" s="93"/>
      <c r="E967" s="9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0" customHeight="1">
      <c r="A968" s="12"/>
      <c r="B968" s="93"/>
      <c r="C968" s="93"/>
      <c r="D968" s="93"/>
      <c r="E968" s="93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0" customHeight="1">
      <c r="A969" s="12"/>
      <c r="B969" s="93"/>
      <c r="C969" s="93"/>
      <c r="D969" s="93"/>
      <c r="E969" s="9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0" customHeight="1">
      <c r="A970" s="12"/>
      <c r="B970" s="93"/>
      <c r="C970" s="93"/>
      <c r="D970" s="93"/>
      <c r="E970" s="93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0" customHeight="1">
      <c r="A971" s="12"/>
      <c r="B971" s="93"/>
      <c r="C971" s="93"/>
      <c r="D971" s="93"/>
      <c r="E971" s="9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0" customHeight="1">
      <c r="A972" s="12"/>
      <c r="B972" s="93"/>
      <c r="C972" s="93"/>
      <c r="D972" s="93"/>
      <c r="E972" s="93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0" customHeight="1">
      <c r="A973" s="12"/>
      <c r="B973" s="93"/>
      <c r="C973" s="93"/>
      <c r="D973" s="93"/>
      <c r="E973" s="9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0" customHeight="1">
      <c r="A974" s="12"/>
      <c r="B974" s="93"/>
      <c r="C974" s="93"/>
      <c r="D974" s="93"/>
      <c r="E974" s="93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0" customHeight="1">
      <c r="A975" s="12"/>
      <c r="B975" s="93"/>
      <c r="C975" s="93"/>
      <c r="D975" s="93"/>
      <c r="E975" s="9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0" customHeight="1">
      <c r="A976" s="12"/>
      <c r="B976" s="93"/>
      <c r="C976" s="93"/>
      <c r="D976" s="93"/>
      <c r="E976" s="93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0" customHeight="1">
      <c r="A977" s="12"/>
      <c r="B977" s="93"/>
      <c r="C977" s="93"/>
      <c r="D977" s="93"/>
      <c r="E977" s="9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0" customHeight="1">
      <c r="A978" s="12"/>
      <c r="B978" s="93"/>
      <c r="C978" s="93"/>
      <c r="D978" s="93"/>
      <c r="E978" s="93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0" customHeight="1">
      <c r="A979" s="12"/>
      <c r="B979" s="93"/>
      <c r="C979" s="93"/>
      <c r="D979" s="93"/>
      <c r="E979" s="9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0" customHeight="1">
      <c r="A980" s="12"/>
      <c r="B980" s="93"/>
      <c r="C980" s="93"/>
      <c r="D980" s="93"/>
      <c r="E980" s="93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0" customHeight="1">
      <c r="A981" s="12"/>
      <c r="B981" s="93"/>
      <c r="C981" s="93"/>
      <c r="D981" s="93"/>
      <c r="E981" s="9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0" customHeight="1">
      <c r="A982" s="12"/>
      <c r="B982" s="93"/>
      <c r="C982" s="93"/>
      <c r="D982" s="93"/>
      <c r="E982" s="93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0" customHeight="1">
      <c r="A983" s="12"/>
      <c r="B983" s="93"/>
      <c r="C983" s="93"/>
      <c r="D983" s="93"/>
      <c r="E983" s="9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0" customHeight="1">
      <c r="A984" s="12"/>
      <c r="B984" s="93"/>
      <c r="C984" s="93"/>
      <c r="D984" s="93"/>
      <c r="E984" s="93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0" customHeight="1">
      <c r="A985" s="12"/>
      <c r="B985" s="93"/>
      <c r="C985" s="93"/>
      <c r="D985" s="93"/>
      <c r="E985" s="9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0" customHeight="1">
      <c r="A986" s="12"/>
      <c r="B986" s="93"/>
      <c r="C986" s="93"/>
      <c r="D986" s="93"/>
      <c r="E986" s="93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0" customHeight="1">
      <c r="A987" s="12"/>
      <c r="B987" s="93"/>
      <c r="C987" s="93"/>
      <c r="D987" s="93"/>
      <c r="E987" s="9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0" customHeight="1">
      <c r="A988" s="12"/>
      <c r="B988" s="93"/>
      <c r="C988" s="93"/>
      <c r="D988" s="93"/>
      <c r="E988" s="93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0" customHeight="1">
      <c r="A989" s="12"/>
      <c r="B989" s="93"/>
      <c r="C989" s="93"/>
      <c r="D989" s="93"/>
      <c r="E989" s="93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0" customHeight="1">
      <c r="A990" s="12"/>
      <c r="B990" s="93"/>
      <c r="C990" s="93"/>
      <c r="D990" s="93"/>
      <c r="E990" s="93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0" customHeight="1">
      <c r="A991" s="12"/>
      <c r="B991" s="93"/>
      <c r="C991" s="93"/>
      <c r="D991" s="93"/>
      <c r="E991" s="93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0" customHeight="1">
      <c r="A992" s="12"/>
      <c r="B992" s="93"/>
      <c r="C992" s="93"/>
      <c r="D992" s="93"/>
      <c r="E992" s="93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0" customHeight="1">
      <c r="A993" s="12"/>
      <c r="B993" s="93"/>
      <c r="C993" s="93"/>
      <c r="D993" s="93"/>
      <c r="E993" s="93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0" customHeight="1">
      <c r="A994" s="12"/>
      <c r="B994" s="93"/>
      <c r="C994" s="93"/>
      <c r="D994" s="93"/>
      <c r="E994" s="93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0" customHeight="1">
      <c r="A995" s="12"/>
      <c r="B995" s="93"/>
      <c r="C995" s="93"/>
      <c r="D995" s="93"/>
      <c r="E995" s="93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0" customHeight="1">
      <c r="A996" s="12"/>
      <c r="B996" s="93"/>
      <c r="C996" s="93"/>
      <c r="D996" s="93"/>
      <c r="E996" s="93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0" customHeight="1">
      <c r="A997" s="12"/>
      <c r="B997" s="93"/>
      <c r="C997" s="93"/>
      <c r="D997" s="93"/>
      <c r="E997" s="93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0" customHeight="1">
      <c r="A998" s="12"/>
      <c r="B998" s="93"/>
      <c r="C998" s="93"/>
      <c r="D998" s="93"/>
      <c r="E998" s="93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0" customHeight="1">
      <c r="A999" s="12"/>
      <c r="B999" s="93"/>
      <c r="C999" s="93"/>
      <c r="D999" s="93"/>
      <c r="E999" s="93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0" customHeight="1">
      <c r="A1000" s="12"/>
      <c r="B1000" s="93"/>
      <c r="C1000" s="93"/>
      <c r="D1000" s="93"/>
      <c r="E1000" s="93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U1:U365">
    <cfRule type="containsText" dxfId="4" priority="1" operator="containsText" text="Available">
      <formula>NOT(ISERROR(SEARCH(("Available"),(U1))))</formula>
    </cfRule>
  </conditionalFormatting>
  <conditionalFormatting sqref="U2:U365">
    <cfRule type="containsText" dxfId="5" priority="2" operator="containsText" text="Sold">
      <formula>NOT(ISERROR(SEARCH(("Sold"),(U2))))</formula>
    </cfRule>
  </conditionalFormatting>
  <conditionalFormatting sqref="U2:U365">
    <cfRule type="containsText" dxfId="6" priority="3" operator="containsText" text="Return">
      <formula>NOT(ISERROR(SEARCH(("Return"),(U2))))</formula>
    </cfRule>
  </conditionalFormatting>
  <conditionalFormatting sqref="V334">
    <cfRule type="containsText" dxfId="4" priority="4" operator="containsText" text="Available">
      <formula>NOT(ISERROR(SEARCH(("Available"),(V334))))</formula>
    </cfRule>
  </conditionalFormatting>
  <conditionalFormatting sqref="V334">
    <cfRule type="containsText" dxfId="5" priority="5" operator="containsText" text="Sold">
      <formula>NOT(ISERROR(SEARCH(("Sold"),(V334))))</formula>
    </cfRule>
  </conditionalFormatting>
  <conditionalFormatting sqref="V334">
    <cfRule type="containsText" dxfId="6" priority="6" operator="containsText" text="Return">
      <formula>NOT(ISERROR(SEARCH(("Return"),(V334))))</formula>
    </cfRule>
  </conditionalFormatting>
  <printOptions/>
  <pageMargins bottom="0.75" footer="0.0" header="0.0" left="0.25" right="0.25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4.29"/>
    <col customWidth="1" min="21" max="21" width="11.0"/>
    <col customWidth="1" min="22" max="22" width="17.14"/>
    <col customWidth="1" min="23" max="24" width="9.14"/>
    <col customWidth="1" min="25" max="25" width="4.14"/>
    <col customWidth="1" min="26" max="26" width="8.71"/>
  </cols>
  <sheetData>
    <row r="1" ht="18.75" customHeight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2</v>
      </c>
      <c r="U1" s="51"/>
      <c r="V1" s="51"/>
      <c r="W1" s="51"/>
      <c r="X1" s="51"/>
      <c r="Y1" s="51"/>
      <c r="Z1" s="93"/>
    </row>
    <row r="2" ht="18.75" customHeight="1">
      <c r="A2" s="196">
        <v>1.0</v>
      </c>
      <c r="B2" s="196">
        <v>5.478</v>
      </c>
      <c r="C2" s="196">
        <f t="shared" ref="C2:C70" si="1">B2*(25/100)</f>
        <v>1.3695</v>
      </c>
      <c r="D2" s="196">
        <f t="shared" ref="D2:D70" si="2">C2+B2</f>
        <v>6.8475</v>
      </c>
      <c r="E2" s="196">
        <f>0.63+0.08</f>
        <v>0.71</v>
      </c>
      <c r="F2" s="196"/>
      <c r="G2" s="196"/>
      <c r="H2" s="196"/>
      <c r="I2" s="196"/>
      <c r="J2" s="196"/>
      <c r="K2" s="196"/>
      <c r="L2" s="197">
        <f>E2*60000</f>
        <v>42600</v>
      </c>
      <c r="M2" s="197">
        <f>F2*70000</f>
        <v>0</v>
      </c>
      <c r="N2" s="197">
        <f>G2*90000</f>
        <v>0</v>
      </c>
      <c r="O2" s="197">
        <f>H2*200000</f>
        <v>0</v>
      </c>
      <c r="P2" s="197">
        <f t="shared" ref="P2:P70" si="3">I2*2000+J2*4000+K2*650</f>
        <v>0</v>
      </c>
      <c r="Q2" s="197">
        <f>D2*6700</f>
        <v>45878.25</v>
      </c>
      <c r="R2" s="198">
        <f t="shared" ref="R2:R70" si="4">L2+M2+N2+O2</f>
        <v>42600</v>
      </c>
      <c r="S2" s="197">
        <f t="shared" ref="S2:S70" si="5">R2+Q2+P2</f>
        <v>88478.25</v>
      </c>
      <c r="T2" s="196">
        <v>1.0</v>
      </c>
      <c r="U2" s="26" t="s">
        <v>83</v>
      </c>
      <c r="V2" s="192"/>
      <c r="W2" s="192"/>
      <c r="X2" s="192"/>
      <c r="Y2" s="192"/>
      <c r="Z2" s="93"/>
    </row>
    <row r="3" ht="18.75" customHeight="1">
      <c r="A3" s="26">
        <v>2.0</v>
      </c>
      <c r="B3" s="26">
        <v>6.094</v>
      </c>
      <c r="C3" s="26">
        <f t="shared" si="1"/>
        <v>1.5235</v>
      </c>
      <c r="D3" s="26">
        <f t="shared" si="2"/>
        <v>7.6175</v>
      </c>
      <c r="E3" s="26"/>
      <c r="F3" s="26"/>
      <c r="G3" s="26"/>
      <c r="H3" s="26">
        <v>0.53</v>
      </c>
      <c r="I3" s="26"/>
      <c r="J3" s="26"/>
      <c r="K3" s="26"/>
      <c r="L3" s="174">
        <f>E3*Prices!B$2</f>
        <v>0</v>
      </c>
      <c r="M3" s="174">
        <f>F3*Prices!C$2</f>
        <v>0</v>
      </c>
      <c r="N3" s="174">
        <f>G3*Prices!D$2</f>
        <v>0</v>
      </c>
      <c r="O3" s="174">
        <f>H3*Prices!E$2</f>
        <v>185500</v>
      </c>
      <c r="P3" s="174">
        <f t="shared" si="3"/>
        <v>0</v>
      </c>
      <c r="Q3" s="174">
        <f>D3*Prices!A$2</f>
        <v>135972.375</v>
      </c>
      <c r="R3" s="175">
        <f t="shared" si="4"/>
        <v>185500</v>
      </c>
      <c r="S3" s="174">
        <f t="shared" si="5"/>
        <v>321472.375</v>
      </c>
      <c r="T3" s="26">
        <v>2.0</v>
      </c>
      <c r="U3" s="26" t="s">
        <v>80</v>
      </c>
      <c r="V3" s="199" t="s">
        <v>81</v>
      </c>
      <c r="W3" s="93"/>
      <c r="X3" s="93"/>
      <c r="Y3" s="93"/>
      <c r="Z3" s="93"/>
    </row>
    <row r="4" ht="18.75" customHeight="1">
      <c r="A4" s="26">
        <v>3.0</v>
      </c>
      <c r="B4" s="26">
        <v>6.94</v>
      </c>
      <c r="C4" s="26">
        <f t="shared" si="1"/>
        <v>1.735</v>
      </c>
      <c r="D4" s="26">
        <f t="shared" si="2"/>
        <v>8.675</v>
      </c>
      <c r="E4" s="26"/>
      <c r="F4" s="26"/>
      <c r="G4" s="26"/>
      <c r="H4" s="26">
        <v>0.27</v>
      </c>
      <c r="I4" s="26"/>
      <c r="J4" s="26"/>
      <c r="K4" s="26"/>
      <c r="L4" s="174">
        <f>E4*Prices!B$2</f>
        <v>0</v>
      </c>
      <c r="M4" s="174">
        <f>F4*Prices!C$2</f>
        <v>0</v>
      </c>
      <c r="N4" s="174">
        <f>G4*Prices!D$2</f>
        <v>0</v>
      </c>
      <c r="O4" s="200">
        <f>H4*200000</f>
        <v>54000</v>
      </c>
      <c r="P4" s="174">
        <f t="shared" si="3"/>
        <v>0</v>
      </c>
      <c r="Q4" s="174">
        <f>D4*Prices!A$2</f>
        <v>154848.75</v>
      </c>
      <c r="R4" s="175">
        <f t="shared" si="4"/>
        <v>54000</v>
      </c>
      <c r="S4" s="174">
        <f t="shared" si="5"/>
        <v>208848.75</v>
      </c>
      <c r="T4" s="26">
        <v>3.0</v>
      </c>
      <c r="U4" s="26" t="s">
        <v>82</v>
      </c>
      <c r="V4" s="199"/>
      <c r="W4" s="93"/>
      <c r="X4" s="93"/>
      <c r="Y4" s="93"/>
      <c r="Z4" s="93"/>
    </row>
    <row r="5" ht="18.75" customHeight="1">
      <c r="A5" s="26">
        <v>4.0</v>
      </c>
      <c r="B5" s="26">
        <v>3.694</v>
      </c>
      <c r="C5" s="26">
        <f t="shared" si="1"/>
        <v>0.9235</v>
      </c>
      <c r="D5" s="26">
        <f t="shared" si="2"/>
        <v>4.6175</v>
      </c>
      <c r="E5" s="26">
        <v>0.46</v>
      </c>
      <c r="F5" s="26"/>
      <c r="G5" s="26"/>
      <c r="H5" s="26"/>
      <c r="I5" s="26"/>
      <c r="J5" s="26"/>
      <c r="K5" s="26"/>
      <c r="L5" s="174">
        <f>E5*Prices!B$2</f>
        <v>50600</v>
      </c>
      <c r="M5" s="174">
        <f>F5*Prices!C$2</f>
        <v>0</v>
      </c>
      <c r="N5" s="174">
        <f>G5*Prices!D$2</f>
        <v>0</v>
      </c>
      <c r="O5" s="174">
        <f>H5*Prices!E$2</f>
        <v>0</v>
      </c>
      <c r="P5" s="174">
        <f t="shared" si="3"/>
        <v>0</v>
      </c>
      <c r="Q5" s="174">
        <f>D5*Prices!A$2</f>
        <v>82422.375</v>
      </c>
      <c r="R5" s="175">
        <f t="shared" si="4"/>
        <v>50600</v>
      </c>
      <c r="S5" s="174">
        <f t="shared" si="5"/>
        <v>133022.375</v>
      </c>
      <c r="T5" s="26">
        <v>4.0</v>
      </c>
      <c r="U5" s="26" t="s">
        <v>82</v>
      </c>
      <c r="V5" s="199"/>
      <c r="W5" s="93"/>
      <c r="X5" s="93"/>
      <c r="Y5" s="93"/>
      <c r="Z5" s="93"/>
    </row>
    <row r="6" ht="18.75" customHeight="1">
      <c r="A6" s="26">
        <v>5.0</v>
      </c>
      <c r="B6" s="26">
        <v>4.15</v>
      </c>
      <c r="C6" s="26">
        <f t="shared" si="1"/>
        <v>1.0375</v>
      </c>
      <c r="D6" s="26">
        <f t="shared" si="2"/>
        <v>5.1875</v>
      </c>
      <c r="E6" s="93"/>
      <c r="F6" s="26">
        <v>0.7</v>
      </c>
      <c r="G6" s="26"/>
      <c r="H6" s="26"/>
      <c r="I6" s="26"/>
      <c r="J6" s="26"/>
      <c r="K6" s="26"/>
      <c r="L6" s="174">
        <f>E6*Prices!B$2</f>
        <v>0</v>
      </c>
      <c r="M6" s="174">
        <f>F6*Prices!C$2</f>
        <v>112000</v>
      </c>
      <c r="N6" s="174">
        <f>G6*Prices!D$2</f>
        <v>0</v>
      </c>
      <c r="O6" s="174">
        <f>H6*Prices!E$2</f>
        <v>0</v>
      </c>
      <c r="P6" s="174">
        <f t="shared" si="3"/>
        <v>0</v>
      </c>
      <c r="Q6" s="174">
        <f>D6*Prices!A$2</f>
        <v>92596.875</v>
      </c>
      <c r="R6" s="175">
        <f t="shared" si="4"/>
        <v>112000</v>
      </c>
      <c r="S6" s="174">
        <f t="shared" si="5"/>
        <v>204596.875</v>
      </c>
      <c r="T6" s="26">
        <v>5.0</v>
      </c>
      <c r="U6" s="26" t="s">
        <v>80</v>
      </c>
      <c r="V6" s="199" t="s">
        <v>81</v>
      </c>
      <c r="W6" s="93"/>
      <c r="X6" s="93"/>
      <c r="Y6" s="93"/>
      <c r="Z6" s="93"/>
    </row>
    <row r="7" ht="18.75" customHeight="1">
      <c r="A7" s="26">
        <v>6.0</v>
      </c>
      <c r="B7" s="26">
        <v>3.284</v>
      </c>
      <c r="C7" s="26">
        <f t="shared" si="1"/>
        <v>0.821</v>
      </c>
      <c r="D7" s="26">
        <f t="shared" si="2"/>
        <v>4.105</v>
      </c>
      <c r="E7" s="26">
        <v>0.58</v>
      </c>
      <c r="F7" s="26"/>
      <c r="G7" s="26"/>
      <c r="H7" s="26"/>
      <c r="I7" s="26"/>
      <c r="J7" s="26"/>
      <c r="K7" s="26"/>
      <c r="L7" s="174">
        <f>E7*Prices!B$2</f>
        <v>63800</v>
      </c>
      <c r="M7" s="174">
        <f>F7*Prices!C$2</f>
        <v>0</v>
      </c>
      <c r="N7" s="174">
        <f>G7*Prices!D$2</f>
        <v>0</v>
      </c>
      <c r="O7" s="174">
        <f>H7*Prices!E$2</f>
        <v>0</v>
      </c>
      <c r="P7" s="174">
        <f t="shared" si="3"/>
        <v>0</v>
      </c>
      <c r="Q7" s="174">
        <f>D7*Prices!A$2</f>
        <v>73274.25</v>
      </c>
      <c r="R7" s="175">
        <f t="shared" si="4"/>
        <v>63800</v>
      </c>
      <c r="S7" s="174">
        <f t="shared" si="5"/>
        <v>137074.25</v>
      </c>
      <c r="T7" s="26">
        <v>6.0</v>
      </c>
      <c r="U7" s="26" t="s">
        <v>80</v>
      </c>
      <c r="V7" s="199" t="s">
        <v>81</v>
      </c>
      <c r="W7" s="93"/>
      <c r="X7" s="93"/>
      <c r="Y7" s="93"/>
      <c r="Z7" s="93"/>
    </row>
    <row r="8" ht="18.75" customHeight="1">
      <c r="A8" s="26">
        <v>7.0</v>
      </c>
      <c r="B8" s="26">
        <v>5.862</v>
      </c>
      <c r="C8" s="26">
        <f t="shared" si="1"/>
        <v>1.4655</v>
      </c>
      <c r="D8" s="26">
        <f t="shared" si="2"/>
        <v>7.3275</v>
      </c>
      <c r="E8" s="26"/>
      <c r="F8" s="26"/>
      <c r="G8" s="26"/>
      <c r="H8" s="26">
        <v>0.39</v>
      </c>
      <c r="I8" s="26"/>
      <c r="J8" s="26"/>
      <c r="K8" s="26"/>
      <c r="L8" s="174">
        <f>E8*Prices!B$2</f>
        <v>0</v>
      </c>
      <c r="M8" s="174">
        <f>F8*Prices!C$2</f>
        <v>0</v>
      </c>
      <c r="N8" s="174">
        <f>G8*Prices!D$2</f>
        <v>0</v>
      </c>
      <c r="O8" s="174">
        <f>H8*Prices!E$2</f>
        <v>136500</v>
      </c>
      <c r="P8" s="174">
        <f t="shared" si="3"/>
        <v>0</v>
      </c>
      <c r="Q8" s="174">
        <f>D8*Prices!A$2</f>
        <v>130795.875</v>
      </c>
      <c r="R8" s="175">
        <f t="shared" si="4"/>
        <v>136500</v>
      </c>
      <c r="S8" s="174">
        <f t="shared" si="5"/>
        <v>267295.875</v>
      </c>
      <c r="T8" s="26">
        <v>7.0</v>
      </c>
      <c r="U8" s="26" t="s">
        <v>80</v>
      </c>
      <c r="V8" s="199" t="s">
        <v>81</v>
      </c>
      <c r="W8" s="93"/>
      <c r="X8" s="93"/>
      <c r="Y8" s="93"/>
      <c r="Z8" s="93"/>
    </row>
    <row r="9" ht="18.75" customHeight="1">
      <c r="A9" s="26">
        <v>8.0</v>
      </c>
      <c r="B9" s="26">
        <v>5.638</v>
      </c>
      <c r="C9" s="26">
        <f t="shared" si="1"/>
        <v>1.4095</v>
      </c>
      <c r="D9" s="26">
        <f t="shared" si="2"/>
        <v>7.0475</v>
      </c>
      <c r="E9" s="26"/>
      <c r="F9" s="26"/>
      <c r="G9" s="26"/>
      <c r="H9" s="26">
        <v>0.56</v>
      </c>
      <c r="I9" s="26"/>
      <c r="J9" s="26"/>
      <c r="K9" s="26"/>
      <c r="L9" s="174">
        <f>E9*Prices!B$2</f>
        <v>0</v>
      </c>
      <c r="M9" s="174">
        <f>F9*Prices!C$2</f>
        <v>0</v>
      </c>
      <c r="N9" s="174">
        <f>G9*Prices!D$2</f>
        <v>0</v>
      </c>
      <c r="O9" s="200">
        <f>H9*180000</f>
        <v>100800</v>
      </c>
      <c r="P9" s="174">
        <f t="shared" si="3"/>
        <v>0</v>
      </c>
      <c r="Q9" s="174">
        <f>D9*Prices!A$2</f>
        <v>125797.875</v>
      </c>
      <c r="R9" s="175">
        <f t="shared" si="4"/>
        <v>100800</v>
      </c>
      <c r="S9" s="174">
        <f t="shared" si="5"/>
        <v>226597.875</v>
      </c>
      <c r="T9" s="26">
        <v>8.0</v>
      </c>
      <c r="U9" s="26" t="s">
        <v>80</v>
      </c>
      <c r="V9" s="199" t="s">
        <v>81</v>
      </c>
      <c r="W9" s="93"/>
      <c r="X9" s="93"/>
      <c r="Y9" s="93"/>
      <c r="Z9" s="93"/>
    </row>
    <row r="10" ht="18.75" customHeight="1">
      <c r="A10" s="26">
        <v>9.0</v>
      </c>
      <c r="B10" s="26">
        <v>4.424</v>
      </c>
      <c r="C10" s="26">
        <f t="shared" si="1"/>
        <v>1.106</v>
      </c>
      <c r="D10" s="26">
        <f t="shared" si="2"/>
        <v>5.53</v>
      </c>
      <c r="E10" s="26">
        <v>0.48</v>
      </c>
      <c r="F10" s="26"/>
      <c r="G10" s="26"/>
      <c r="H10" s="26"/>
      <c r="I10" s="26"/>
      <c r="J10" s="26"/>
      <c r="K10" s="26"/>
      <c r="L10" s="174">
        <f>E10*Prices!B$2</f>
        <v>52800</v>
      </c>
      <c r="M10" s="174">
        <f>F10*Prices!C$2</f>
        <v>0</v>
      </c>
      <c r="N10" s="174">
        <f>G10*Prices!D$2</f>
        <v>0</v>
      </c>
      <c r="O10" s="174">
        <f>H10*Prices!E$2</f>
        <v>0</v>
      </c>
      <c r="P10" s="174">
        <f t="shared" si="3"/>
        <v>0</v>
      </c>
      <c r="Q10" s="174">
        <f>D10*Prices!A$2</f>
        <v>98710.5</v>
      </c>
      <c r="R10" s="175">
        <f t="shared" si="4"/>
        <v>52800</v>
      </c>
      <c r="S10" s="174">
        <f t="shared" si="5"/>
        <v>151510.5</v>
      </c>
      <c r="T10" s="26">
        <v>9.0</v>
      </c>
      <c r="U10" s="26" t="s">
        <v>82</v>
      </c>
      <c r="V10" s="199"/>
      <c r="W10" s="93"/>
      <c r="X10" s="93"/>
      <c r="Y10" s="93"/>
      <c r="Z10" s="93"/>
    </row>
    <row r="11" ht="18.75" customHeight="1">
      <c r="A11" s="26">
        <v>10.0</v>
      </c>
      <c r="B11" s="26">
        <v>3.408</v>
      </c>
      <c r="C11" s="26">
        <f t="shared" si="1"/>
        <v>0.852</v>
      </c>
      <c r="D11" s="26">
        <f t="shared" si="2"/>
        <v>4.26</v>
      </c>
      <c r="E11" s="26">
        <v>0.51</v>
      </c>
      <c r="F11" s="26"/>
      <c r="G11" s="26"/>
      <c r="H11" s="26"/>
      <c r="I11" s="26"/>
      <c r="J11" s="26"/>
      <c r="K11" s="26"/>
      <c r="L11" s="174">
        <f>E11*Prices!B$2</f>
        <v>56100</v>
      </c>
      <c r="M11" s="174">
        <f>F11*Prices!C$2</f>
        <v>0</v>
      </c>
      <c r="N11" s="174">
        <f>G11*Prices!D$2</f>
        <v>0</v>
      </c>
      <c r="O11" s="174">
        <f>H11*Prices!E$2</f>
        <v>0</v>
      </c>
      <c r="P11" s="174">
        <f t="shared" si="3"/>
        <v>0</v>
      </c>
      <c r="Q11" s="174">
        <f>D11*Prices!A$2</f>
        <v>76041</v>
      </c>
      <c r="R11" s="175">
        <f t="shared" si="4"/>
        <v>56100</v>
      </c>
      <c r="S11" s="174">
        <f t="shared" si="5"/>
        <v>132141</v>
      </c>
      <c r="T11" s="26">
        <v>10.0</v>
      </c>
      <c r="U11" s="26" t="s">
        <v>82</v>
      </c>
      <c r="V11" s="199"/>
      <c r="W11" s="93"/>
      <c r="X11" s="93"/>
      <c r="Y11" s="93"/>
      <c r="Z11" s="93"/>
    </row>
    <row r="12" ht="18.75" customHeight="1">
      <c r="A12" s="26">
        <v>11.0</v>
      </c>
      <c r="B12" s="26">
        <v>3.066</v>
      </c>
      <c r="C12" s="26">
        <f t="shared" si="1"/>
        <v>0.7665</v>
      </c>
      <c r="D12" s="26">
        <f t="shared" si="2"/>
        <v>3.8325</v>
      </c>
      <c r="E12" s="26">
        <v>0.47</v>
      </c>
      <c r="F12" s="26"/>
      <c r="G12" s="26"/>
      <c r="H12" s="26"/>
      <c r="I12" s="26"/>
      <c r="J12" s="26"/>
      <c r="K12" s="26"/>
      <c r="L12" s="174">
        <f>E12*Prices!B$2</f>
        <v>51700</v>
      </c>
      <c r="M12" s="174">
        <f>F12*Prices!C$2</f>
        <v>0</v>
      </c>
      <c r="N12" s="174">
        <f>G12*Prices!D$2</f>
        <v>0</v>
      </c>
      <c r="O12" s="174">
        <f>H12*Prices!E$2</f>
        <v>0</v>
      </c>
      <c r="P12" s="174">
        <f t="shared" si="3"/>
        <v>0</v>
      </c>
      <c r="Q12" s="174">
        <f>D12*Prices!A$2</f>
        <v>68410.125</v>
      </c>
      <c r="R12" s="175">
        <f t="shared" si="4"/>
        <v>51700</v>
      </c>
      <c r="S12" s="174">
        <f t="shared" si="5"/>
        <v>120110.125</v>
      </c>
      <c r="T12" s="26">
        <v>11.0</v>
      </c>
      <c r="U12" s="26" t="s">
        <v>80</v>
      </c>
      <c r="V12" s="199" t="s">
        <v>81</v>
      </c>
      <c r="W12" s="93"/>
      <c r="X12" s="93"/>
      <c r="Y12" s="93"/>
      <c r="Z12" s="93"/>
    </row>
    <row r="13" ht="18.75" customHeight="1">
      <c r="A13" s="26">
        <v>12.0</v>
      </c>
      <c r="B13" s="26">
        <v>4.904</v>
      </c>
      <c r="C13" s="26">
        <f t="shared" si="1"/>
        <v>1.226</v>
      </c>
      <c r="D13" s="26">
        <f t="shared" si="2"/>
        <v>6.13</v>
      </c>
      <c r="E13" s="26">
        <v>0.28</v>
      </c>
      <c r="F13" s="26"/>
      <c r="G13" s="26"/>
      <c r="H13" s="26"/>
      <c r="I13" s="26"/>
      <c r="J13" s="26"/>
      <c r="K13" s="26"/>
      <c r="L13" s="174">
        <f>E13*Prices!B$2</f>
        <v>30800</v>
      </c>
      <c r="M13" s="174">
        <f>F13*Prices!C$2</f>
        <v>0</v>
      </c>
      <c r="N13" s="174">
        <f>G13*Prices!D$2</f>
        <v>0</v>
      </c>
      <c r="O13" s="174">
        <f>H13*Prices!E$2</f>
        <v>0</v>
      </c>
      <c r="P13" s="174">
        <f t="shared" si="3"/>
        <v>0</v>
      </c>
      <c r="Q13" s="174">
        <f>D13*Prices!A$2</f>
        <v>109420.5</v>
      </c>
      <c r="R13" s="175">
        <f t="shared" si="4"/>
        <v>30800</v>
      </c>
      <c r="S13" s="174">
        <f t="shared" si="5"/>
        <v>140220.5</v>
      </c>
      <c r="T13" s="26">
        <v>12.0</v>
      </c>
      <c r="U13" s="26" t="s">
        <v>82</v>
      </c>
      <c r="V13" s="199"/>
      <c r="W13" s="93"/>
      <c r="X13" s="93"/>
      <c r="Y13" s="93"/>
      <c r="Z13" s="93"/>
    </row>
    <row r="14" ht="18.75" customHeight="1">
      <c r="A14" s="26">
        <v>13.0</v>
      </c>
      <c r="B14" s="26">
        <v>5.922</v>
      </c>
      <c r="C14" s="26">
        <f t="shared" si="1"/>
        <v>1.4805</v>
      </c>
      <c r="D14" s="26">
        <f t="shared" si="2"/>
        <v>7.4025</v>
      </c>
      <c r="E14" s="26"/>
      <c r="F14" s="26"/>
      <c r="G14" s="26">
        <v>0.79</v>
      </c>
      <c r="H14" s="26"/>
      <c r="I14" s="26"/>
      <c r="J14" s="26"/>
      <c r="K14" s="26"/>
      <c r="L14" s="174">
        <f>E14*Prices!B$2</f>
        <v>0</v>
      </c>
      <c r="M14" s="174">
        <f>F14*Prices!C$2</f>
        <v>0</v>
      </c>
      <c r="N14" s="174">
        <f>G14*Prices!D$2</f>
        <v>154050</v>
      </c>
      <c r="O14" s="174">
        <f>H14*Prices!E$2</f>
        <v>0</v>
      </c>
      <c r="P14" s="174">
        <f t="shared" si="3"/>
        <v>0</v>
      </c>
      <c r="Q14" s="174">
        <f>D14*Prices!A$2</f>
        <v>132134.625</v>
      </c>
      <c r="R14" s="175">
        <f t="shared" si="4"/>
        <v>154050</v>
      </c>
      <c r="S14" s="174">
        <f t="shared" si="5"/>
        <v>286184.625</v>
      </c>
      <c r="T14" s="26">
        <v>13.0</v>
      </c>
      <c r="U14" s="26" t="s">
        <v>82</v>
      </c>
      <c r="V14" s="199"/>
      <c r="W14" s="93"/>
      <c r="X14" s="93"/>
      <c r="Y14" s="93"/>
      <c r="Z14" s="93"/>
    </row>
    <row r="15" ht="18.75" customHeight="1">
      <c r="A15" s="26">
        <v>14.0</v>
      </c>
      <c r="B15" s="26">
        <v>6.126</v>
      </c>
      <c r="C15" s="26">
        <f t="shared" si="1"/>
        <v>1.5315</v>
      </c>
      <c r="D15" s="26">
        <f t="shared" si="2"/>
        <v>7.6575</v>
      </c>
      <c r="E15" s="26"/>
      <c r="F15" s="26"/>
      <c r="G15" s="26">
        <v>0.77</v>
      </c>
      <c r="H15" s="26"/>
      <c r="I15" s="26"/>
      <c r="J15" s="26"/>
      <c r="K15" s="26"/>
      <c r="L15" s="174">
        <f>E15*Prices!B$2</f>
        <v>0</v>
      </c>
      <c r="M15" s="174">
        <f>F15*Prices!C$2</f>
        <v>0</v>
      </c>
      <c r="N15" s="174">
        <f>G15*Prices!D$2</f>
        <v>150150</v>
      </c>
      <c r="O15" s="174">
        <f>H15*Prices!E$2</f>
        <v>0</v>
      </c>
      <c r="P15" s="174">
        <f t="shared" si="3"/>
        <v>0</v>
      </c>
      <c r="Q15" s="174">
        <f>D15*Prices!A$2</f>
        <v>136686.375</v>
      </c>
      <c r="R15" s="175">
        <f t="shared" si="4"/>
        <v>150150</v>
      </c>
      <c r="S15" s="174">
        <f t="shared" si="5"/>
        <v>286836.375</v>
      </c>
      <c r="T15" s="26">
        <v>14.0</v>
      </c>
      <c r="U15" s="26" t="s">
        <v>82</v>
      </c>
      <c r="V15" s="199"/>
      <c r="W15" s="93"/>
      <c r="X15" s="93"/>
      <c r="Y15" s="93"/>
      <c r="Z15" s="93"/>
    </row>
    <row r="16" ht="18.75" customHeight="1">
      <c r="A16" s="26">
        <v>15.0</v>
      </c>
      <c r="B16" s="26">
        <v>6.334</v>
      </c>
      <c r="C16" s="26">
        <f t="shared" si="1"/>
        <v>1.5835</v>
      </c>
      <c r="D16" s="26">
        <f t="shared" si="2"/>
        <v>7.9175</v>
      </c>
      <c r="E16" s="26">
        <v>0.48</v>
      </c>
      <c r="F16" s="26"/>
      <c r="G16" s="26"/>
      <c r="H16" s="26"/>
      <c r="I16" s="26"/>
      <c r="J16" s="26"/>
      <c r="K16" s="26"/>
      <c r="L16" s="174">
        <f>E16*Prices!B$2</f>
        <v>52800</v>
      </c>
      <c r="M16" s="174">
        <f>F16*Prices!C$2</f>
        <v>0</v>
      </c>
      <c r="N16" s="174">
        <f>G16*Prices!D$2</f>
        <v>0</v>
      </c>
      <c r="O16" s="174">
        <f>H16*Prices!E$2</f>
        <v>0</v>
      </c>
      <c r="P16" s="174">
        <f t="shared" si="3"/>
        <v>0</v>
      </c>
      <c r="Q16" s="174">
        <f>D16*Prices!A$2</f>
        <v>141327.375</v>
      </c>
      <c r="R16" s="175">
        <f t="shared" si="4"/>
        <v>52800</v>
      </c>
      <c r="S16" s="174">
        <f t="shared" si="5"/>
        <v>194127.375</v>
      </c>
      <c r="T16" s="26">
        <v>15.0</v>
      </c>
      <c r="U16" s="26" t="s">
        <v>82</v>
      </c>
      <c r="V16" s="199"/>
      <c r="W16" s="93"/>
      <c r="X16" s="93"/>
      <c r="Y16" s="93"/>
      <c r="Z16" s="93"/>
    </row>
    <row r="17" ht="18.75" customHeight="1">
      <c r="A17" s="26">
        <v>16.0</v>
      </c>
      <c r="B17" s="26">
        <v>6.466</v>
      </c>
      <c r="C17" s="26">
        <f t="shared" si="1"/>
        <v>1.6165</v>
      </c>
      <c r="D17" s="26">
        <f t="shared" si="2"/>
        <v>8.0825</v>
      </c>
      <c r="E17" s="26">
        <v>0.47</v>
      </c>
      <c r="F17" s="26"/>
      <c r="G17" s="26"/>
      <c r="H17" s="26"/>
      <c r="I17" s="26"/>
      <c r="J17" s="26"/>
      <c r="K17" s="26"/>
      <c r="L17" s="174">
        <f>E17*Prices!B$2</f>
        <v>51700</v>
      </c>
      <c r="M17" s="174">
        <f>F17*Prices!C$2</f>
        <v>0</v>
      </c>
      <c r="N17" s="174">
        <f>G17*Prices!D$2</f>
        <v>0</v>
      </c>
      <c r="O17" s="174">
        <f>H17*Prices!E$2</f>
        <v>0</v>
      </c>
      <c r="P17" s="174">
        <f t="shared" si="3"/>
        <v>0</v>
      </c>
      <c r="Q17" s="174">
        <f>D17*Prices!A$2</f>
        <v>144272.625</v>
      </c>
      <c r="R17" s="175">
        <f t="shared" si="4"/>
        <v>51700</v>
      </c>
      <c r="S17" s="174">
        <f t="shared" si="5"/>
        <v>195972.625</v>
      </c>
      <c r="T17" s="26">
        <v>16.0</v>
      </c>
      <c r="U17" s="26" t="s">
        <v>82</v>
      </c>
      <c r="V17" s="93"/>
      <c r="W17" s="93"/>
      <c r="X17" s="93"/>
      <c r="Y17" s="93"/>
      <c r="Z17" s="93"/>
    </row>
    <row r="18" ht="18.75" customHeight="1">
      <c r="A18" s="26">
        <v>17.0</v>
      </c>
      <c r="B18" s="26">
        <v>4.352</v>
      </c>
      <c r="C18" s="26">
        <f t="shared" si="1"/>
        <v>1.088</v>
      </c>
      <c r="D18" s="26">
        <f t="shared" si="2"/>
        <v>5.44</v>
      </c>
      <c r="E18" s="26">
        <v>0.34</v>
      </c>
      <c r="F18" s="26"/>
      <c r="G18" s="26"/>
      <c r="H18" s="26"/>
      <c r="I18" s="26"/>
      <c r="J18" s="26"/>
      <c r="K18" s="26"/>
      <c r="L18" s="174">
        <f>E18*Prices!B$2</f>
        <v>37400</v>
      </c>
      <c r="M18" s="174">
        <f>F18*Prices!C$2</f>
        <v>0</v>
      </c>
      <c r="N18" s="174">
        <f>G18*Prices!D$2</f>
        <v>0</v>
      </c>
      <c r="O18" s="174">
        <f>H18*Prices!E$2</f>
        <v>0</v>
      </c>
      <c r="P18" s="174">
        <f t="shared" si="3"/>
        <v>0</v>
      </c>
      <c r="Q18" s="174">
        <f>D18*Prices!A$2</f>
        <v>97104</v>
      </c>
      <c r="R18" s="175">
        <f t="shared" si="4"/>
        <v>37400</v>
      </c>
      <c r="S18" s="174">
        <f t="shared" si="5"/>
        <v>134504</v>
      </c>
      <c r="T18" s="26">
        <v>17.0</v>
      </c>
      <c r="U18" s="26" t="s">
        <v>80</v>
      </c>
      <c r="V18" s="93" t="s">
        <v>81</v>
      </c>
      <c r="W18" s="93"/>
      <c r="X18" s="93"/>
      <c r="Y18" s="93"/>
      <c r="Z18" s="93"/>
    </row>
    <row r="19" ht="18.75" customHeight="1">
      <c r="A19" s="26">
        <v>18.0</v>
      </c>
      <c r="B19" s="26">
        <v>6.66</v>
      </c>
      <c r="C19" s="26">
        <f t="shared" si="1"/>
        <v>1.665</v>
      </c>
      <c r="D19" s="26">
        <f t="shared" si="2"/>
        <v>8.325</v>
      </c>
      <c r="E19" s="26"/>
      <c r="F19" s="26">
        <v>0.68</v>
      </c>
      <c r="G19" s="26"/>
      <c r="H19" s="26"/>
      <c r="I19" s="26"/>
      <c r="J19" s="26"/>
      <c r="K19" s="26"/>
      <c r="L19" s="174">
        <f>E19*Prices!B$2</f>
        <v>0</v>
      </c>
      <c r="M19" s="174">
        <f>F19*Prices!C$2</f>
        <v>108800</v>
      </c>
      <c r="N19" s="174">
        <f>G19*Prices!D$2</f>
        <v>0</v>
      </c>
      <c r="O19" s="174">
        <f>H19*Prices!E$2</f>
        <v>0</v>
      </c>
      <c r="P19" s="174">
        <f t="shared" si="3"/>
        <v>0</v>
      </c>
      <c r="Q19" s="174">
        <f>D19*Prices!A$2</f>
        <v>148601.25</v>
      </c>
      <c r="R19" s="175">
        <f t="shared" si="4"/>
        <v>108800</v>
      </c>
      <c r="S19" s="174">
        <f t="shared" si="5"/>
        <v>257401.25</v>
      </c>
      <c r="T19" s="26">
        <v>18.0</v>
      </c>
      <c r="U19" s="26" t="s">
        <v>80</v>
      </c>
      <c r="V19" s="93" t="s">
        <v>81</v>
      </c>
      <c r="W19" s="93"/>
      <c r="X19" s="93"/>
      <c r="Y19" s="93"/>
      <c r="Z19" s="93"/>
    </row>
    <row r="20" ht="18.75" customHeight="1">
      <c r="A20" s="26">
        <v>19.0</v>
      </c>
      <c r="B20" s="26">
        <v>6.624</v>
      </c>
      <c r="C20" s="26">
        <f t="shared" si="1"/>
        <v>1.656</v>
      </c>
      <c r="D20" s="26">
        <f t="shared" si="2"/>
        <v>8.28</v>
      </c>
      <c r="E20" s="26">
        <v>0.48</v>
      </c>
      <c r="F20" s="26"/>
      <c r="G20" s="26"/>
      <c r="H20" s="26"/>
      <c r="I20" s="26"/>
      <c r="J20" s="26"/>
      <c r="K20" s="26"/>
      <c r="L20" s="174">
        <f>E20*Prices!B$2</f>
        <v>52800</v>
      </c>
      <c r="M20" s="174">
        <f>F20*Prices!C$2</f>
        <v>0</v>
      </c>
      <c r="N20" s="174">
        <f>G20*Prices!D$2</f>
        <v>0</v>
      </c>
      <c r="O20" s="174">
        <f>H20*Prices!E$2</f>
        <v>0</v>
      </c>
      <c r="P20" s="174">
        <f t="shared" si="3"/>
        <v>0</v>
      </c>
      <c r="Q20" s="174">
        <f>D20*Prices!A$2</f>
        <v>147798</v>
      </c>
      <c r="R20" s="175">
        <f t="shared" si="4"/>
        <v>52800</v>
      </c>
      <c r="S20" s="174">
        <f t="shared" si="5"/>
        <v>200598</v>
      </c>
      <c r="T20" s="26">
        <v>19.0</v>
      </c>
      <c r="U20" s="26" t="s">
        <v>82</v>
      </c>
      <c r="V20" s="93"/>
      <c r="W20" s="93"/>
      <c r="X20" s="93"/>
      <c r="Y20" s="93"/>
      <c r="Z20" s="93"/>
    </row>
    <row r="21" ht="18.75" customHeight="1">
      <c r="A21" s="26">
        <v>20.0</v>
      </c>
      <c r="B21" s="26">
        <v>5.492</v>
      </c>
      <c r="C21" s="26">
        <f t="shared" si="1"/>
        <v>1.373</v>
      </c>
      <c r="D21" s="26">
        <f t="shared" si="2"/>
        <v>6.865</v>
      </c>
      <c r="E21" s="26">
        <v>0.39</v>
      </c>
      <c r="F21" s="26"/>
      <c r="G21" s="26"/>
      <c r="H21" s="26"/>
      <c r="I21" s="26"/>
      <c r="J21" s="26"/>
      <c r="K21" s="26"/>
      <c r="L21" s="174">
        <f>E21*Prices!B$2</f>
        <v>42900</v>
      </c>
      <c r="M21" s="174">
        <f>F21*Prices!C$2</f>
        <v>0</v>
      </c>
      <c r="N21" s="174">
        <f>G21*Prices!D$2</f>
        <v>0</v>
      </c>
      <c r="O21" s="174">
        <f>H21*Prices!E$2</f>
        <v>0</v>
      </c>
      <c r="P21" s="174">
        <f t="shared" si="3"/>
        <v>0</v>
      </c>
      <c r="Q21" s="174">
        <f>D21*Prices!A$2</f>
        <v>122540.25</v>
      </c>
      <c r="R21" s="175">
        <f t="shared" si="4"/>
        <v>42900</v>
      </c>
      <c r="S21" s="174">
        <f t="shared" si="5"/>
        <v>165440.25</v>
      </c>
      <c r="T21" s="26">
        <v>20.0</v>
      </c>
      <c r="U21" s="26" t="s">
        <v>82</v>
      </c>
      <c r="V21" s="93"/>
      <c r="W21" s="93"/>
      <c r="X21" s="93"/>
      <c r="Y21" s="93"/>
      <c r="Z21" s="93"/>
    </row>
    <row r="22" ht="18.75" customHeight="1">
      <c r="A22" s="26">
        <v>21.0</v>
      </c>
      <c r="B22" s="26">
        <v>5.552</v>
      </c>
      <c r="C22" s="26">
        <f t="shared" si="1"/>
        <v>1.388</v>
      </c>
      <c r="D22" s="26">
        <f t="shared" si="2"/>
        <v>6.94</v>
      </c>
      <c r="E22" s="26">
        <v>0.39</v>
      </c>
      <c r="F22" s="26"/>
      <c r="G22" s="26"/>
      <c r="H22" s="26"/>
      <c r="I22" s="26"/>
      <c r="J22" s="26"/>
      <c r="K22" s="26"/>
      <c r="L22" s="174">
        <f>E22*Prices!B$2</f>
        <v>42900</v>
      </c>
      <c r="M22" s="174">
        <f>F22*Prices!C$2</f>
        <v>0</v>
      </c>
      <c r="N22" s="174">
        <f>G22*Prices!D$2</f>
        <v>0</v>
      </c>
      <c r="O22" s="174">
        <f>H22*Prices!E$2</f>
        <v>0</v>
      </c>
      <c r="P22" s="174">
        <f t="shared" si="3"/>
        <v>0</v>
      </c>
      <c r="Q22" s="174">
        <f>D22*Prices!A$2</f>
        <v>123879</v>
      </c>
      <c r="R22" s="175">
        <f t="shared" si="4"/>
        <v>42900</v>
      </c>
      <c r="S22" s="174">
        <f t="shared" si="5"/>
        <v>166779</v>
      </c>
      <c r="T22" s="26">
        <v>21.0</v>
      </c>
      <c r="U22" s="26" t="s">
        <v>82</v>
      </c>
      <c r="V22" s="93"/>
      <c r="W22" s="93"/>
      <c r="X22" s="93"/>
      <c r="Y22" s="93"/>
      <c r="Z22" s="93"/>
    </row>
    <row r="23" ht="18.75" customHeight="1">
      <c r="A23" s="26">
        <v>22.0</v>
      </c>
      <c r="B23" s="26">
        <v>6.114</v>
      </c>
      <c r="C23" s="26">
        <f t="shared" si="1"/>
        <v>1.5285</v>
      </c>
      <c r="D23" s="26">
        <f t="shared" si="2"/>
        <v>7.6425</v>
      </c>
      <c r="E23" s="26"/>
      <c r="F23" s="26"/>
      <c r="G23" s="26">
        <v>0.58</v>
      </c>
      <c r="H23" s="26"/>
      <c r="I23" s="26"/>
      <c r="J23" s="26"/>
      <c r="K23" s="26"/>
      <c r="L23" s="174">
        <f>E23*Prices!B$2</f>
        <v>0</v>
      </c>
      <c r="M23" s="174">
        <f>F23*Prices!C$2</f>
        <v>0</v>
      </c>
      <c r="N23" s="174">
        <f>G23*Prices!D$2</f>
        <v>113100</v>
      </c>
      <c r="O23" s="174">
        <f>H23*Prices!E$2</f>
        <v>0</v>
      </c>
      <c r="P23" s="174">
        <f t="shared" si="3"/>
        <v>0</v>
      </c>
      <c r="Q23" s="174">
        <f>D23*Prices!A$2</f>
        <v>136418.625</v>
      </c>
      <c r="R23" s="175">
        <f t="shared" si="4"/>
        <v>113100</v>
      </c>
      <c r="S23" s="174">
        <f t="shared" si="5"/>
        <v>249518.625</v>
      </c>
      <c r="T23" s="26">
        <v>22.0</v>
      </c>
      <c r="U23" s="26" t="s">
        <v>80</v>
      </c>
      <c r="V23" s="93" t="s">
        <v>81</v>
      </c>
      <c r="W23" s="93"/>
      <c r="X23" s="93"/>
      <c r="Y23" s="93"/>
      <c r="Z23" s="93"/>
    </row>
    <row r="24" ht="18.75" customHeight="1">
      <c r="A24" s="26">
        <v>23.0</v>
      </c>
      <c r="B24" s="26">
        <v>5.052</v>
      </c>
      <c r="C24" s="26">
        <f t="shared" si="1"/>
        <v>1.263</v>
      </c>
      <c r="D24" s="26">
        <f t="shared" si="2"/>
        <v>6.315</v>
      </c>
      <c r="E24" s="26"/>
      <c r="F24" s="26"/>
      <c r="G24" s="26"/>
      <c r="H24" s="26">
        <v>0.69</v>
      </c>
      <c r="I24" s="26"/>
      <c r="J24" s="26"/>
      <c r="K24" s="26"/>
      <c r="L24" s="174">
        <f>E24*Prices!B$2</f>
        <v>0</v>
      </c>
      <c r="M24" s="174">
        <f>F24*Prices!C$2</f>
        <v>0</v>
      </c>
      <c r="N24" s="174">
        <f>G24*Prices!D$2</f>
        <v>0</v>
      </c>
      <c r="O24" s="200">
        <f>H24*180000</f>
        <v>124200</v>
      </c>
      <c r="P24" s="174">
        <f t="shared" si="3"/>
        <v>0</v>
      </c>
      <c r="Q24" s="174">
        <f>D24*Prices!A$2</f>
        <v>112722.75</v>
      </c>
      <c r="R24" s="175">
        <f t="shared" si="4"/>
        <v>124200</v>
      </c>
      <c r="S24" s="174">
        <f t="shared" si="5"/>
        <v>236922.75</v>
      </c>
      <c r="T24" s="26">
        <v>23.0</v>
      </c>
      <c r="U24" s="26" t="s">
        <v>80</v>
      </c>
      <c r="V24" s="93" t="s">
        <v>81</v>
      </c>
      <c r="W24" s="93"/>
      <c r="X24" s="93"/>
      <c r="Y24" s="93"/>
      <c r="Z24" s="93"/>
    </row>
    <row r="25" ht="18.75" customHeight="1">
      <c r="A25" s="26">
        <v>24.0</v>
      </c>
      <c r="B25" s="26">
        <v>4.84</v>
      </c>
      <c r="C25" s="26">
        <f t="shared" si="1"/>
        <v>1.21</v>
      </c>
      <c r="D25" s="26">
        <f t="shared" si="2"/>
        <v>6.05</v>
      </c>
      <c r="E25" s="26"/>
      <c r="F25" s="26"/>
      <c r="G25" s="26">
        <v>0.85</v>
      </c>
      <c r="H25" s="26"/>
      <c r="I25" s="26"/>
      <c r="J25" s="26"/>
      <c r="K25" s="26"/>
      <c r="L25" s="174">
        <f>E25*Prices!B$2</f>
        <v>0</v>
      </c>
      <c r="M25" s="174">
        <f>F25*Prices!C$2</f>
        <v>0</v>
      </c>
      <c r="N25" s="174">
        <f>G25*Prices!D$2</f>
        <v>165750</v>
      </c>
      <c r="O25" s="174">
        <f>H25*Prices!E$2</f>
        <v>0</v>
      </c>
      <c r="P25" s="174">
        <f t="shared" si="3"/>
        <v>0</v>
      </c>
      <c r="Q25" s="174">
        <f>D25*Prices!A$2</f>
        <v>107992.5</v>
      </c>
      <c r="R25" s="175">
        <f t="shared" si="4"/>
        <v>165750</v>
      </c>
      <c r="S25" s="174">
        <f t="shared" si="5"/>
        <v>273742.5</v>
      </c>
      <c r="T25" s="26">
        <v>24.0</v>
      </c>
      <c r="U25" s="26" t="s">
        <v>80</v>
      </c>
      <c r="V25" s="93" t="s">
        <v>81</v>
      </c>
      <c r="W25" s="93"/>
      <c r="X25" s="93"/>
      <c r="Y25" s="93"/>
      <c r="Z25" s="93"/>
    </row>
    <row r="26" ht="18.75" customHeight="1">
      <c r="A26" s="26">
        <v>25.0</v>
      </c>
      <c r="B26" s="26">
        <v>5.75</v>
      </c>
      <c r="C26" s="26">
        <f t="shared" si="1"/>
        <v>1.4375</v>
      </c>
      <c r="D26" s="26">
        <f t="shared" si="2"/>
        <v>7.1875</v>
      </c>
      <c r="E26" s="26">
        <v>0.69</v>
      </c>
      <c r="F26" s="26"/>
      <c r="G26" s="26"/>
      <c r="H26" s="26"/>
      <c r="I26" s="26"/>
      <c r="J26" s="26"/>
      <c r="K26" s="26"/>
      <c r="L26" s="174">
        <f>E26*Prices!B$2</f>
        <v>75900</v>
      </c>
      <c r="M26" s="174">
        <f>F26*Prices!C$2</f>
        <v>0</v>
      </c>
      <c r="N26" s="174">
        <f>G26*Prices!D$2</f>
        <v>0</v>
      </c>
      <c r="O26" s="174">
        <f>H26*Prices!E$2</f>
        <v>0</v>
      </c>
      <c r="P26" s="174">
        <f t="shared" si="3"/>
        <v>0</v>
      </c>
      <c r="Q26" s="174">
        <f>D26*Prices!A$2</f>
        <v>128296.875</v>
      </c>
      <c r="R26" s="175">
        <f t="shared" si="4"/>
        <v>75900</v>
      </c>
      <c r="S26" s="174">
        <f t="shared" si="5"/>
        <v>204196.875</v>
      </c>
      <c r="T26" s="26">
        <v>25.0</v>
      </c>
      <c r="U26" s="26" t="s">
        <v>82</v>
      </c>
      <c r="V26" s="93"/>
      <c r="W26" s="93"/>
      <c r="X26" s="93"/>
      <c r="Y26" s="93"/>
      <c r="Z26" s="93"/>
    </row>
    <row r="27" ht="18.75" customHeight="1">
      <c r="A27" s="26">
        <v>26.0</v>
      </c>
      <c r="B27" s="26">
        <v>7.27</v>
      </c>
      <c r="C27" s="26">
        <f t="shared" si="1"/>
        <v>1.8175</v>
      </c>
      <c r="D27" s="26">
        <f t="shared" si="2"/>
        <v>9.0875</v>
      </c>
      <c r="E27" s="26">
        <v>0.2</v>
      </c>
      <c r="F27" s="26"/>
      <c r="G27" s="26"/>
      <c r="H27" s="26"/>
      <c r="I27" s="26"/>
      <c r="J27" s="26"/>
      <c r="K27" s="26"/>
      <c r="L27" s="174">
        <f>E27*Prices!B$2</f>
        <v>22000</v>
      </c>
      <c r="M27" s="174">
        <f>F27*Prices!C$2</f>
        <v>0</v>
      </c>
      <c r="N27" s="174">
        <f>G27*Prices!D$2</f>
        <v>0</v>
      </c>
      <c r="O27" s="174">
        <f>H27*Prices!E$2</f>
        <v>0</v>
      </c>
      <c r="P27" s="174">
        <f t="shared" si="3"/>
        <v>0</v>
      </c>
      <c r="Q27" s="174">
        <f>D27*(Prices!A$2+2200)</f>
        <v>182204.375</v>
      </c>
      <c r="R27" s="175">
        <f t="shared" si="4"/>
        <v>22000</v>
      </c>
      <c r="S27" s="174">
        <f t="shared" si="5"/>
        <v>204204.375</v>
      </c>
      <c r="T27" s="26">
        <v>26.0</v>
      </c>
      <c r="U27" s="26" t="s">
        <v>80</v>
      </c>
      <c r="V27" s="93" t="s">
        <v>81</v>
      </c>
      <c r="W27" s="93"/>
      <c r="X27" s="93"/>
      <c r="Y27" s="93"/>
      <c r="Z27" s="93"/>
    </row>
    <row r="28" ht="18.75" customHeight="1">
      <c r="A28" s="26">
        <v>27.0</v>
      </c>
      <c r="B28" s="26">
        <v>6.94</v>
      </c>
      <c r="C28" s="26">
        <f t="shared" si="1"/>
        <v>1.735</v>
      </c>
      <c r="D28" s="26">
        <f t="shared" si="2"/>
        <v>8.675</v>
      </c>
      <c r="E28" s="26"/>
      <c r="F28" s="26"/>
      <c r="G28" s="26"/>
      <c r="H28" s="26">
        <v>0.54</v>
      </c>
      <c r="I28" s="26"/>
      <c r="J28" s="26"/>
      <c r="K28" s="26"/>
      <c r="L28" s="174">
        <f>E28*Prices!B$2</f>
        <v>0</v>
      </c>
      <c r="M28" s="174">
        <f>F28*Prices!C$2</f>
        <v>0</v>
      </c>
      <c r="N28" s="174">
        <f>G28*Prices!D$2</f>
        <v>0</v>
      </c>
      <c r="O28" s="174">
        <f>H28*Prices!E$2</f>
        <v>189000</v>
      </c>
      <c r="P28" s="174">
        <f t="shared" si="3"/>
        <v>0</v>
      </c>
      <c r="Q28" s="174">
        <f>D28*Prices!A$2</f>
        <v>154848.75</v>
      </c>
      <c r="R28" s="175">
        <f t="shared" si="4"/>
        <v>189000</v>
      </c>
      <c r="S28" s="174">
        <f t="shared" si="5"/>
        <v>343848.75</v>
      </c>
      <c r="T28" s="26">
        <v>27.0</v>
      </c>
      <c r="U28" s="26" t="s">
        <v>80</v>
      </c>
      <c r="V28" s="93" t="s">
        <v>81</v>
      </c>
      <c r="W28" s="93"/>
      <c r="X28" s="93"/>
      <c r="Y28" s="93"/>
      <c r="Z28" s="93"/>
    </row>
    <row r="29" ht="18.75" customHeight="1">
      <c r="A29" s="26">
        <v>28.0</v>
      </c>
      <c r="B29" s="26">
        <v>6.1</v>
      </c>
      <c r="C29" s="26">
        <f t="shared" si="1"/>
        <v>1.525</v>
      </c>
      <c r="D29" s="26">
        <f t="shared" si="2"/>
        <v>7.625</v>
      </c>
      <c r="E29" s="26">
        <v>0.3</v>
      </c>
      <c r="F29" s="26"/>
      <c r="G29" s="26"/>
      <c r="H29" s="26"/>
      <c r="I29" s="26"/>
      <c r="J29" s="26"/>
      <c r="K29" s="26"/>
      <c r="L29" s="174">
        <f>E29*Prices!B$2</f>
        <v>33000</v>
      </c>
      <c r="M29" s="174">
        <f>F29*Prices!C$2</f>
        <v>0</v>
      </c>
      <c r="N29" s="174">
        <f>G29*Prices!D$2</f>
        <v>0</v>
      </c>
      <c r="O29" s="174">
        <f>H29*Prices!E$2</f>
        <v>0</v>
      </c>
      <c r="P29" s="174">
        <f t="shared" si="3"/>
        <v>0</v>
      </c>
      <c r="Q29" s="174">
        <f>D29*Prices!A$2</f>
        <v>136106.25</v>
      </c>
      <c r="R29" s="175">
        <f t="shared" si="4"/>
        <v>33000</v>
      </c>
      <c r="S29" s="174">
        <f t="shared" si="5"/>
        <v>169106.25</v>
      </c>
      <c r="T29" s="26">
        <v>28.0</v>
      </c>
      <c r="U29" s="26" t="s">
        <v>82</v>
      </c>
      <c r="V29" s="93"/>
      <c r="W29" s="93"/>
      <c r="X29" s="93"/>
      <c r="Y29" s="93"/>
      <c r="Z29" s="93"/>
    </row>
    <row r="30" ht="18.75" customHeight="1">
      <c r="A30" s="26">
        <v>29.0</v>
      </c>
      <c r="B30" s="26">
        <v>4.556</v>
      </c>
      <c r="C30" s="26">
        <f t="shared" si="1"/>
        <v>1.139</v>
      </c>
      <c r="D30" s="26">
        <f t="shared" si="2"/>
        <v>5.695</v>
      </c>
      <c r="E30" s="26">
        <v>0.58</v>
      </c>
      <c r="F30" s="26"/>
      <c r="G30" s="26"/>
      <c r="H30" s="26"/>
      <c r="I30" s="26"/>
      <c r="J30" s="26"/>
      <c r="K30" s="26"/>
      <c r="L30" s="174">
        <f>E30*Prices!B$2</f>
        <v>63800</v>
      </c>
      <c r="M30" s="174">
        <f>F30*Prices!C$2</f>
        <v>0</v>
      </c>
      <c r="N30" s="174">
        <f>G30*Prices!D$2</f>
        <v>0</v>
      </c>
      <c r="O30" s="174">
        <f>H30*Prices!E$2</f>
        <v>0</v>
      </c>
      <c r="P30" s="174">
        <f t="shared" si="3"/>
        <v>0</v>
      </c>
      <c r="Q30" s="174">
        <f>D30*Prices!A$2</f>
        <v>101655.75</v>
      </c>
      <c r="R30" s="175">
        <f t="shared" si="4"/>
        <v>63800</v>
      </c>
      <c r="S30" s="174">
        <f t="shared" si="5"/>
        <v>165455.75</v>
      </c>
      <c r="T30" s="26">
        <v>29.0</v>
      </c>
      <c r="U30" s="26" t="s">
        <v>82</v>
      </c>
      <c r="V30" s="93"/>
      <c r="W30" s="93"/>
      <c r="X30" s="93"/>
      <c r="Y30" s="93"/>
      <c r="Z30" s="93"/>
    </row>
    <row r="31" ht="18.75" customHeight="1">
      <c r="A31" s="26">
        <v>30.0</v>
      </c>
      <c r="B31" s="26">
        <v>4.218</v>
      </c>
      <c r="C31" s="26">
        <f t="shared" si="1"/>
        <v>1.0545</v>
      </c>
      <c r="D31" s="26">
        <f t="shared" si="2"/>
        <v>5.2725</v>
      </c>
      <c r="E31" s="26">
        <v>0.42</v>
      </c>
      <c r="F31" s="26"/>
      <c r="G31" s="26"/>
      <c r="H31" s="26"/>
      <c r="I31" s="26"/>
      <c r="J31" s="26"/>
      <c r="K31" s="26"/>
      <c r="L31" s="174">
        <f>E31*Prices!B$2</f>
        <v>46200</v>
      </c>
      <c r="M31" s="174">
        <f>F31*Prices!C$2</f>
        <v>0</v>
      </c>
      <c r="N31" s="174">
        <f>G31*Prices!D$2</f>
        <v>0</v>
      </c>
      <c r="O31" s="174">
        <f>H31*Prices!E$2</f>
        <v>0</v>
      </c>
      <c r="P31" s="174">
        <f t="shared" si="3"/>
        <v>0</v>
      </c>
      <c r="Q31" s="174">
        <f>D31*Prices!A$2</f>
        <v>94114.125</v>
      </c>
      <c r="R31" s="175">
        <f t="shared" si="4"/>
        <v>46200</v>
      </c>
      <c r="S31" s="174">
        <f t="shared" si="5"/>
        <v>140314.125</v>
      </c>
      <c r="T31" s="26">
        <v>30.0</v>
      </c>
      <c r="U31" s="26" t="s">
        <v>80</v>
      </c>
      <c r="V31" s="93" t="s">
        <v>81</v>
      </c>
      <c r="W31" s="93"/>
      <c r="X31" s="93"/>
      <c r="Y31" s="93"/>
      <c r="Z31" s="93"/>
    </row>
    <row r="32" ht="18.75" customHeight="1">
      <c r="A32" s="26">
        <v>31.0</v>
      </c>
      <c r="B32" s="26">
        <v>4.428</v>
      </c>
      <c r="C32" s="26">
        <f t="shared" si="1"/>
        <v>1.107</v>
      </c>
      <c r="D32" s="26">
        <f t="shared" si="2"/>
        <v>5.535</v>
      </c>
      <c r="E32" s="26">
        <v>0.57</v>
      </c>
      <c r="F32" s="26"/>
      <c r="G32" s="26"/>
      <c r="H32" s="26"/>
      <c r="I32" s="26"/>
      <c r="J32" s="26"/>
      <c r="K32" s="26"/>
      <c r="L32" s="174">
        <f>E32*Prices!B$2</f>
        <v>62700</v>
      </c>
      <c r="M32" s="174">
        <f>F32*Prices!C$2</f>
        <v>0</v>
      </c>
      <c r="N32" s="174">
        <f>G32*Prices!D$2</f>
        <v>0</v>
      </c>
      <c r="O32" s="174">
        <f>H32*Prices!E$2</f>
        <v>0</v>
      </c>
      <c r="P32" s="174">
        <f t="shared" si="3"/>
        <v>0</v>
      </c>
      <c r="Q32" s="174">
        <f>D32*Prices!A$2</f>
        <v>98799.75</v>
      </c>
      <c r="R32" s="175">
        <f t="shared" si="4"/>
        <v>62700</v>
      </c>
      <c r="S32" s="174">
        <f t="shared" si="5"/>
        <v>161499.75</v>
      </c>
      <c r="T32" s="26">
        <v>31.0</v>
      </c>
      <c r="U32" s="26" t="s">
        <v>82</v>
      </c>
      <c r="V32" s="93"/>
      <c r="W32" s="93"/>
      <c r="X32" s="93"/>
      <c r="Y32" s="93"/>
      <c r="Z32" s="93"/>
    </row>
    <row r="33" ht="18.75" customHeight="1">
      <c r="A33" s="26">
        <v>32.0</v>
      </c>
      <c r="B33" s="26">
        <v>4.928</v>
      </c>
      <c r="C33" s="26">
        <f t="shared" si="1"/>
        <v>1.232</v>
      </c>
      <c r="D33" s="26">
        <f t="shared" si="2"/>
        <v>6.16</v>
      </c>
      <c r="E33" s="26">
        <v>0.67</v>
      </c>
      <c r="F33" s="26"/>
      <c r="G33" s="26"/>
      <c r="H33" s="26"/>
      <c r="I33" s="26"/>
      <c r="J33" s="26"/>
      <c r="K33" s="26"/>
      <c r="L33" s="174">
        <f>E33*Prices!B$2</f>
        <v>73700</v>
      </c>
      <c r="M33" s="174">
        <f>F33*Prices!C$2</f>
        <v>0</v>
      </c>
      <c r="N33" s="174">
        <f>G33*Prices!D$2</f>
        <v>0</v>
      </c>
      <c r="O33" s="174">
        <f>H33*Prices!E$2</f>
        <v>0</v>
      </c>
      <c r="P33" s="174">
        <f t="shared" si="3"/>
        <v>0</v>
      </c>
      <c r="Q33" s="174">
        <f>D33*Prices!A$2</f>
        <v>109956</v>
      </c>
      <c r="R33" s="175">
        <f t="shared" si="4"/>
        <v>73700</v>
      </c>
      <c r="S33" s="174">
        <f t="shared" si="5"/>
        <v>183656</v>
      </c>
      <c r="T33" s="26">
        <v>32.0</v>
      </c>
      <c r="U33" s="26" t="s">
        <v>82</v>
      </c>
      <c r="V33" s="93"/>
      <c r="W33" s="93"/>
      <c r="X33" s="93"/>
      <c r="Y33" s="93"/>
      <c r="Z33" s="93"/>
    </row>
    <row r="34" ht="18.75" customHeight="1">
      <c r="A34" s="26">
        <v>33.0</v>
      </c>
      <c r="B34" s="26">
        <v>4.62</v>
      </c>
      <c r="C34" s="26">
        <f t="shared" si="1"/>
        <v>1.155</v>
      </c>
      <c r="D34" s="26">
        <f t="shared" si="2"/>
        <v>5.775</v>
      </c>
      <c r="E34" s="26">
        <v>0.56</v>
      </c>
      <c r="F34" s="26"/>
      <c r="G34" s="26"/>
      <c r="H34" s="26"/>
      <c r="I34" s="26"/>
      <c r="J34" s="26"/>
      <c r="K34" s="26"/>
      <c r="L34" s="174">
        <f>E34*Prices!B$2</f>
        <v>61600</v>
      </c>
      <c r="M34" s="174">
        <f>F34*Prices!C$2</f>
        <v>0</v>
      </c>
      <c r="N34" s="174">
        <f>G34*Prices!D$2</f>
        <v>0</v>
      </c>
      <c r="O34" s="174">
        <f>H34*Prices!E$2</f>
        <v>0</v>
      </c>
      <c r="P34" s="174">
        <f t="shared" si="3"/>
        <v>0</v>
      </c>
      <c r="Q34" s="174">
        <f>D34*Prices!A$2</f>
        <v>103083.75</v>
      </c>
      <c r="R34" s="175">
        <f t="shared" si="4"/>
        <v>61600</v>
      </c>
      <c r="S34" s="174">
        <f t="shared" si="5"/>
        <v>164683.75</v>
      </c>
      <c r="T34" s="26">
        <v>33.0</v>
      </c>
      <c r="U34" s="26" t="s">
        <v>80</v>
      </c>
      <c r="V34" s="93" t="s">
        <v>81</v>
      </c>
      <c r="W34" s="93"/>
      <c r="X34" s="93"/>
      <c r="Y34" s="93"/>
      <c r="Z34" s="93"/>
    </row>
    <row r="35" ht="18.75" customHeight="1">
      <c r="A35" s="26">
        <v>34.0</v>
      </c>
      <c r="B35" s="26">
        <v>5.448</v>
      </c>
      <c r="C35" s="26">
        <f t="shared" si="1"/>
        <v>1.362</v>
      </c>
      <c r="D35" s="26">
        <f t="shared" si="2"/>
        <v>6.81</v>
      </c>
      <c r="E35" s="26">
        <v>0.57</v>
      </c>
      <c r="F35" s="26"/>
      <c r="G35" s="26"/>
      <c r="H35" s="26"/>
      <c r="I35" s="26"/>
      <c r="J35" s="26"/>
      <c r="K35" s="26"/>
      <c r="L35" s="174">
        <f>E35*Prices!B$2</f>
        <v>62700</v>
      </c>
      <c r="M35" s="174">
        <f>F35*Prices!C$2</f>
        <v>0</v>
      </c>
      <c r="N35" s="174">
        <f>G35*Prices!D$2</f>
        <v>0</v>
      </c>
      <c r="O35" s="174">
        <f>H35*Prices!E$2</f>
        <v>0</v>
      </c>
      <c r="P35" s="174">
        <f t="shared" si="3"/>
        <v>0</v>
      </c>
      <c r="Q35" s="174">
        <f>D35*Prices!A$2</f>
        <v>121558.5</v>
      </c>
      <c r="R35" s="175">
        <f t="shared" si="4"/>
        <v>62700</v>
      </c>
      <c r="S35" s="174">
        <f t="shared" si="5"/>
        <v>184258.5</v>
      </c>
      <c r="T35" s="26">
        <v>34.0</v>
      </c>
      <c r="U35" s="26" t="s">
        <v>82</v>
      </c>
      <c r="V35" s="93"/>
      <c r="W35" s="93"/>
      <c r="X35" s="93"/>
      <c r="Y35" s="93"/>
      <c r="Z35" s="93"/>
    </row>
    <row r="36" ht="18.75" customHeight="1">
      <c r="A36" s="26">
        <v>35.0</v>
      </c>
      <c r="B36" s="26">
        <v>5.298</v>
      </c>
      <c r="C36" s="26">
        <f t="shared" si="1"/>
        <v>1.3245</v>
      </c>
      <c r="D36" s="26">
        <f t="shared" si="2"/>
        <v>6.6225</v>
      </c>
      <c r="E36" s="26">
        <v>0.72</v>
      </c>
      <c r="F36" s="26"/>
      <c r="G36" s="26"/>
      <c r="H36" s="26"/>
      <c r="I36" s="26"/>
      <c r="J36" s="26"/>
      <c r="K36" s="26"/>
      <c r="L36" s="174">
        <f>E36*Prices!B$2</f>
        <v>79200</v>
      </c>
      <c r="M36" s="174">
        <f>F36*Prices!C$2</f>
        <v>0</v>
      </c>
      <c r="N36" s="174">
        <f>G36*Prices!D$2</f>
        <v>0</v>
      </c>
      <c r="O36" s="174">
        <f>H36*Prices!E$2</f>
        <v>0</v>
      </c>
      <c r="P36" s="174">
        <f t="shared" si="3"/>
        <v>0</v>
      </c>
      <c r="Q36" s="174">
        <f>D36*Prices!A$2</f>
        <v>118211.625</v>
      </c>
      <c r="R36" s="175">
        <f t="shared" si="4"/>
        <v>79200</v>
      </c>
      <c r="S36" s="174">
        <f t="shared" si="5"/>
        <v>197411.625</v>
      </c>
      <c r="T36" s="26">
        <v>35.0</v>
      </c>
      <c r="U36" s="26" t="s">
        <v>80</v>
      </c>
      <c r="V36" s="93" t="s">
        <v>81</v>
      </c>
      <c r="W36" s="93"/>
      <c r="X36" s="93"/>
      <c r="Y36" s="93"/>
      <c r="Z36" s="93"/>
    </row>
    <row r="37" ht="18.75" customHeight="1">
      <c r="A37" s="26">
        <v>36.0</v>
      </c>
      <c r="B37" s="26">
        <v>5.208</v>
      </c>
      <c r="C37" s="26">
        <f t="shared" si="1"/>
        <v>1.302</v>
      </c>
      <c r="D37" s="26">
        <f t="shared" si="2"/>
        <v>6.51</v>
      </c>
      <c r="E37" s="26">
        <v>0.57</v>
      </c>
      <c r="F37" s="26"/>
      <c r="G37" s="26"/>
      <c r="H37" s="26"/>
      <c r="I37" s="26"/>
      <c r="J37" s="26"/>
      <c r="K37" s="26"/>
      <c r="L37" s="174">
        <f>E37*Prices!B$2</f>
        <v>62700</v>
      </c>
      <c r="M37" s="174">
        <f>F37*Prices!C$2</f>
        <v>0</v>
      </c>
      <c r="N37" s="174">
        <f>G37*Prices!D$2</f>
        <v>0</v>
      </c>
      <c r="O37" s="174">
        <f>H37*Prices!E$2</f>
        <v>0</v>
      </c>
      <c r="P37" s="174">
        <f t="shared" si="3"/>
        <v>0</v>
      </c>
      <c r="Q37" s="174">
        <f>D37*Prices!A$2</f>
        <v>116203.5</v>
      </c>
      <c r="R37" s="175">
        <f t="shared" si="4"/>
        <v>62700</v>
      </c>
      <c r="S37" s="174">
        <f t="shared" si="5"/>
        <v>178903.5</v>
      </c>
      <c r="T37" s="26">
        <v>36.0</v>
      </c>
      <c r="U37" s="26" t="s">
        <v>82</v>
      </c>
      <c r="V37" s="93"/>
      <c r="W37" s="93"/>
      <c r="X37" s="93"/>
      <c r="Y37" s="93"/>
      <c r="Z37" s="93"/>
    </row>
    <row r="38" ht="18.75" customHeight="1">
      <c r="A38" s="26">
        <v>37.0</v>
      </c>
      <c r="B38" s="26">
        <v>4.738</v>
      </c>
      <c r="C38" s="26">
        <f t="shared" si="1"/>
        <v>1.1845</v>
      </c>
      <c r="D38" s="26">
        <f t="shared" si="2"/>
        <v>5.9225</v>
      </c>
      <c r="E38" s="26">
        <v>0.52</v>
      </c>
      <c r="F38" s="26"/>
      <c r="G38" s="26"/>
      <c r="H38" s="26"/>
      <c r="I38" s="26"/>
      <c r="J38" s="26"/>
      <c r="K38" s="26"/>
      <c r="L38" s="174">
        <f>E38*Prices!B$2</f>
        <v>57200</v>
      </c>
      <c r="M38" s="174">
        <f>F38*Prices!C$2</f>
        <v>0</v>
      </c>
      <c r="N38" s="174">
        <f>G38*Prices!D$2</f>
        <v>0</v>
      </c>
      <c r="O38" s="174">
        <f>H38*Prices!E$2</f>
        <v>0</v>
      </c>
      <c r="P38" s="174">
        <f t="shared" si="3"/>
        <v>0</v>
      </c>
      <c r="Q38" s="174">
        <f>D38*Prices!A$2</f>
        <v>105716.625</v>
      </c>
      <c r="R38" s="175">
        <f t="shared" si="4"/>
        <v>57200</v>
      </c>
      <c r="S38" s="174">
        <f t="shared" si="5"/>
        <v>162916.625</v>
      </c>
      <c r="T38" s="26">
        <v>37.0</v>
      </c>
      <c r="U38" s="26" t="s">
        <v>82</v>
      </c>
      <c r="V38" s="93"/>
      <c r="W38" s="93"/>
      <c r="X38" s="93"/>
      <c r="Y38" s="93"/>
      <c r="Z38" s="93"/>
    </row>
    <row r="39" ht="18.75" customHeight="1">
      <c r="A39" s="26">
        <v>38.0</v>
      </c>
      <c r="B39" s="26">
        <v>5.168</v>
      </c>
      <c r="C39" s="26">
        <f t="shared" si="1"/>
        <v>1.292</v>
      </c>
      <c r="D39" s="26">
        <f t="shared" si="2"/>
        <v>6.46</v>
      </c>
      <c r="E39" s="26">
        <v>0.62</v>
      </c>
      <c r="F39" s="26"/>
      <c r="G39" s="26"/>
      <c r="H39" s="26"/>
      <c r="I39" s="26"/>
      <c r="J39" s="26"/>
      <c r="K39" s="26"/>
      <c r="L39" s="174">
        <f>E39*Prices!B$2</f>
        <v>68200</v>
      </c>
      <c r="M39" s="174">
        <f>F39*Prices!C$2</f>
        <v>0</v>
      </c>
      <c r="N39" s="174">
        <f>G39*Prices!D$2</f>
        <v>0</v>
      </c>
      <c r="O39" s="174">
        <f>H39*Prices!E$2</f>
        <v>0</v>
      </c>
      <c r="P39" s="174">
        <f t="shared" si="3"/>
        <v>0</v>
      </c>
      <c r="Q39" s="174">
        <f>D39*Prices!A$2</f>
        <v>115311</v>
      </c>
      <c r="R39" s="175">
        <f t="shared" si="4"/>
        <v>68200</v>
      </c>
      <c r="S39" s="174">
        <f t="shared" si="5"/>
        <v>183511</v>
      </c>
      <c r="T39" s="26">
        <v>38.0</v>
      </c>
      <c r="U39" s="26" t="s">
        <v>82</v>
      </c>
      <c r="V39" s="93"/>
      <c r="W39" s="93"/>
      <c r="X39" s="93"/>
      <c r="Y39" s="93"/>
      <c r="Z39" s="93"/>
    </row>
    <row r="40" ht="18.75" customHeight="1">
      <c r="A40" s="26">
        <v>39.0</v>
      </c>
      <c r="B40" s="26">
        <v>3.692</v>
      </c>
      <c r="C40" s="26">
        <f t="shared" si="1"/>
        <v>0.923</v>
      </c>
      <c r="D40" s="26">
        <f t="shared" si="2"/>
        <v>4.615</v>
      </c>
      <c r="E40" s="26"/>
      <c r="F40" s="26"/>
      <c r="G40" s="26">
        <v>0.69</v>
      </c>
      <c r="H40" s="26"/>
      <c r="I40" s="26"/>
      <c r="J40" s="26"/>
      <c r="K40" s="26"/>
      <c r="L40" s="174">
        <f>E40*Prices!B$2</f>
        <v>0</v>
      </c>
      <c r="M40" s="174">
        <f>F40*Prices!C$2</f>
        <v>0</v>
      </c>
      <c r="N40" s="174">
        <f>G40*Prices!D$2</f>
        <v>134550</v>
      </c>
      <c r="O40" s="174">
        <f>H40*Prices!E$2</f>
        <v>0</v>
      </c>
      <c r="P40" s="174">
        <f t="shared" si="3"/>
        <v>0</v>
      </c>
      <c r="Q40" s="174">
        <f>D40*Prices!A$2</f>
        <v>82377.75</v>
      </c>
      <c r="R40" s="175">
        <f t="shared" si="4"/>
        <v>134550</v>
      </c>
      <c r="S40" s="174">
        <f t="shared" si="5"/>
        <v>216927.75</v>
      </c>
      <c r="T40" s="26">
        <v>39.0</v>
      </c>
      <c r="U40" s="26" t="s">
        <v>80</v>
      </c>
      <c r="V40" s="93" t="s">
        <v>81</v>
      </c>
      <c r="W40" s="93"/>
      <c r="X40" s="93"/>
      <c r="Y40" s="93"/>
      <c r="Z40" s="93"/>
    </row>
    <row r="41" ht="18.75" customHeight="1">
      <c r="A41" s="26">
        <v>40.0</v>
      </c>
      <c r="B41" s="26">
        <v>3.98</v>
      </c>
      <c r="C41" s="26">
        <f t="shared" si="1"/>
        <v>0.995</v>
      </c>
      <c r="D41" s="26">
        <f t="shared" si="2"/>
        <v>4.975</v>
      </c>
      <c r="E41" s="26"/>
      <c r="F41" s="26"/>
      <c r="G41" s="26">
        <v>0.85</v>
      </c>
      <c r="H41" s="26"/>
      <c r="I41" s="26"/>
      <c r="J41" s="26"/>
      <c r="K41" s="26"/>
      <c r="L41" s="174">
        <f>E41*Prices!B$2</f>
        <v>0</v>
      </c>
      <c r="M41" s="174">
        <f>F41*Prices!C$2</f>
        <v>0</v>
      </c>
      <c r="N41" s="174">
        <f>G41*Prices!D$2</f>
        <v>165750</v>
      </c>
      <c r="O41" s="174">
        <f>H41*Prices!E$2</f>
        <v>0</v>
      </c>
      <c r="P41" s="174">
        <f t="shared" si="3"/>
        <v>0</v>
      </c>
      <c r="Q41" s="174">
        <f>D41*Prices!A$2</f>
        <v>88803.75</v>
      </c>
      <c r="R41" s="175">
        <f t="shared" si="4"/>
        <v>165750</v>
      </c>
      <c r="S41" s="174">
        <f t="shared" si="5"/>
        <v>254553.75</v>
      </c>
      <c r="T41" s="26">
        <v>40.0</v>
      </c>
      <c r="U41" s="26" t="s">
        <v>82</v>
      </c>
      <c r="V41" s="93"/>
      <c r="W41" s="93"/>
      <c r="X41" s="93"/>
      <c r="Y41" s="93"/>
      <c r="Z41" s="93"/>
    </row>
    <row r="42" ht="18.75" customHeight="1">
      <c r="A42" s="26">
        <v>41.0</v>
      </c>
      <c r="B42" s="26">
        <v>7.936</v>
      </c>
      <c r="C42" s="26">
        <f t="shared" si="1"/>
        <v>1.984</v>
      </c>
      <c r="D42" s="26">
        <f t="shared" si="2"/>
        <v>9.92</v>
      </c>
      <c r="E42" s="26"/>
      <c r="F42" s="26">
        <v>0.52</v>
      </c>
      <c r="G42" s="26"/>
      <c r="H42" s="26"/>
      <c r="I42" s="26"/>
      <c r="J42" s="26"/>
      <c r="K42" s="26"/>
      <c r="L42" s="174">
        <f>E42*Prices!B$2</f>
        <v>0</v>
      </c>
      <c r="M42" s="174">
        <f>F42*Prices!C$2</f>
        <v>83200</v>
      </c>
      <c r="N42" s="174">
        <f>G42*Prices!D$2</f>
        <v>0</v>
      </c>
      <c r="O42" s="174">
        <f>H42*Prices!E$2</f>
        <v>0</v>
      </c>
      <c r="P42" s="174">
        <f t="shared" si="3"/>
        <v>0</v>
      </c>
      <c r="Q42" s="174">
        <f>D42*Prices!A$2</f>
        <v>177072</v>
      </c>
      <c r="R42" s="175">
        <f t="shared" si="4"/>
        <v>83200</v>
      </c>
      <c r="S42" s="174">
        <f t="shared" si="5"/>
        <v>260272</v>
      </c>
      <c r="T42" s="26">
        <v>41.0</v>
      </c>
      <c r="U42" s="26" t="s">
        <v>82</v>
      </c>
      <c r="V42" s="93"/>
      <c r="W42" s="93"/>
      <c r="X42" s="93"/>
      <c r="Y42" s="93"/>
      <c r="Z42" s="93"/>
    </row>
    <row r="43" ht="18.75" customHeight="1">
      <c r="A43" s="26">
        <v>42.0</v>
      </c>
      <c r="B43" s="26">
        <v>8.105</v>
      </c>
      <c r="C43" s="26">
        <f t="shared" si="1"/>
        <v>2.02625</v>
      </c>
      <c r="D43" s="26">
        <f t="shared" si="2"/>
        <v>10.13125</v>
      </c>
      <c r="E43" s="26">
        <v>0.73</v>
      </c>
      <c r="F43" s="26"/>
      <c r="G43" s="26"/>
      <c r="H43" s="26"/>
      <c r="I43" s="26"/>
      <c r="J43" s="26"/>
      <c r="K43" s="26"/>
      <c r="L43" s="174">
        <f>E43*Prices!B$2</f>
        <v>80300</v>
      </c>
      <c r="M43" s="174">
        <f>F43*Prices!C$2</f>
        <v>0</v>
      </c>
      <c r="N43" s="174">
        <f>G43*Prices!D$2</f>
        <v>0</v>
      </c>
      <c r="O43" s="174">
        <f>H43*Prices!E$2</f>
        <v>0</v>
      </c>
      <c r="P43" s="174">
        <f t="shared" si="3"/>
        <v>0</v>
      </c>
      <c r="Q43" s="174">
        <f>D43*Prices!A$2</f>
        <v>180842.8125</v>
      </c>
      <c r="R43" s="175">
        <f t="shared" si="4"/>
        <v>80300</v>
      </c>
      <c r="S43" s="174">
        <f t="shared" si="5"/>
        <v>261142.8125</v>
      </c>
      <c r="T43" s="26">
        <v>42.0</v>
      </c>
      <c r="U43" s="26" t="s">
        <v>82</v>
      </c>
      <c r="V43" s="93"/>
      <c r="W43" s="93"/>
      <c r="X43" s="93"/>
      <c r="Y43" s="93"/>
      <c r="Z43" s="93"/>
    </row>
    <row r="44" ht="18.75" customHeight="1">
      <c r="A44" s="26">
        <v>43.0</v>
      </c>
      <c r="B44" s="26">
        <v>5.866</v>
      </c>
      <c r="C44" s="26">
        <f t="shared" si="1"/>
        <v>1.4665</v>
      </c>
      <c r="D44" s="26">
        <f t="shared" si="2"/>
        <v>7.3325</v>
      </c>
      <c r="E44" s="26">
        <v>0.57</v>
      </c>
      <c r="F44" s="26"/>
      <c r="G44" s="26"/>
      <c r="H44" s="26"/>
      <c r="I44" s="26"/>
      <c r="J44" s="26"/>
      <c r="K44" s="26"/>
      <c r="L44" s="174">
        <f>E44*Prices!B$2</f>
        <v>62700</v>
      </c>
      <c r="M44" s="174">
        <f>F44*Prices!C$2</f>
        <v>0</v>
      </c>
      <c r="N44" s="174">
        <f>G44*Prices!D$2</f>
        <v>0</v>
      </c>
      <c r="O44" s="174">
        <f>H44*Prices!E$2</f>
        <v>0</v>
      </c>
      <c r="P44" s="174">
        <f t="shared" si="3"/>
        <v>0</v>
      </c>
      <c r="Q44" s="174">
        <f>D44*Prices!A$2</f>
        <v>130885.125</v>
      </c>
      <c r="R44" s="175">
        <f t="shared" si="4"/>
        <v>62700</v>
      </c>
      <c r="S44" s="174">
        <f t="shared" si="5"/>
        <v>193585.125</v>
      </c>
      <c r="T44" s="26">
        <v>43.0</v>
      </c>
      <c r="U44" s="26" t="s">
        <v>82</v>
      </c>
      <c r="V44" s="93"/>
      <c r="W44" s="93"/>
      <c r="X44" s="93"/>
      <c r="Y44" s="93"/>
      <c r="Z44" s="93"/>
    </row>
    <row r="45" ht="18.75" customHeight="1">
      <c r="A45" s="26">
        <v>44.0</v>
      </c>
      <c r="B45" s="26">
        <v>4.262</v>
      </c>
      <c r="C45" s="26">
        <f t="shared" si="1"/>
        <v>1.0655</v>
      </c>
      <c r="D45" s="26">
        <f t="shared" si="2"/>
        <v>5.3275</v>
      </c>
      <c r="E45" s="26"/>
      <c r="F45" s="26"/>
      <c r="G45" s="26"/>
      <c r="H45" s="26">
        <v>0.89</v>
      </c>
      <c r="I45" s="26"/>
      <c r="J45" s="26"/>
      <c r="K45" s="26"/>
      <c r="L45" s="174">
        <f>E45*Prices!B$2</f>
        <v>0</v>
      </c>
      <c r="M45" s="174">
        <f>F45*Prices!C$2</f>
        <v>0</v>
      </c>
      <c r="N45" s="174">
        <f>G45*Prices!D$2</f>
        <v>0</v>
      </c>
      <c r="O45" s="174">
        <f t="shared" ref="O45:O57" si="6">H45*180000</f>
        <v>160200</v>
      </c>
      <c r="P45" s="174">
        <f t="shared" si="3"/>
        <v>0</v>
      </c>
      <c r="Q45" s="174">
        <f>D45*Prices!A$2</f>
        <v>95095.875</v>
      </c>
      <c r="R45" s="175">
        <f t="shared" si="4"/>
        <v>160200</v>
      </c>
      <c r="S45" s="174">
        <f t="shared" si="5"/>
        <v>255295.875</v>
      </c>
      <c r="T45" s="26">
        <v>44.0</v>
      </c>
      <c r="U45" s="26" t="s">
        <v>82</v>
      </c>
      <c r="V45" s="93"/>
      <c r="W45" s="93"/>
      <c r="X45" s="93"/>
      <c r="Y45" s="93"/>
      <c r="Z45" s="93"/>
    </row>
    <row r="46" ht="18.75" customHeight="1">
      <c r="A46" s="26">
        <v>45.0</v>
      </c>
      <c r="B46" s="26">
        <v>4.242</v>
      </c>
      <c r="C46" s="26">
        <f t="shared" si="1"/>
        <v>1.0605</v>
      </c>
      <c r="D46" s="26">
        <f t="shared" si="2"/>
        <v>5.3025</v>
      </c>
      <c r="E46" s="26">
        <v>0.29</v>
      </c>
      <c r="F46" s="26"/>
      <c r="G46" s="26"/>
      <c r="H46" s="26"/>
      <c r="I46" s="26"/>
      <c r="J46" s="26"/>
      <c r="K46" s="26"/>
      <c r="L46" s="174">
        <f>E46*Prices!B$2</f>
        <v>31900</v>
      </c>
      <c r="M46" s="174">
        <f>F46*Prices!C$2</f>
        <v>0</v>
      </c>
      <c r="N46" s="174">
        <f>G46*Prices!D$2</f>
        <v>0</v>
      </c>
      <c r="O46" s="174">
        <f t="shared" si="6"/>
        <v>0</v>
      </c>
      <c r="P46" s="174">
        <f t="shared" si="3"/>
        <v>0</v>
      </c>
      <c r="Q46" s="174">
        <f>D46*Prices!A$2</f>
        <v>94649.625</v>
      </c>
      <c r="R46" s="175">
        <f t="shared" si="4"/>
        <v>31900</v>
      </c>
      <c r="S46" s="174">
        <f t="shared" si="5"/>
        <v>126549.625</v>
      </c>
      <c r="T46" s="26">
        <v>45.0</v>
      </c>
      <c r="U46" s="26" t="s">
        <v>82</v>
      </c>
      <c r="V46" s="93"/>
      <c r="W46" s="93"/>
      <c r="X46" s="93"/>
      <c r="Y46" s="93"/>
      <c r="Z46" s="93"/>
    </row>
    <row r="47" ht="18.75" customHeight="1">
      <c r="A47" s="26">
        <v>46.0</v>
      </c>
      <c r="B47" s="26">
        <v>5.865</v>
      </c>
      <c r="C47" s="26">
        <f t="shared" si="1"/>
        <v>1.46625</v>
      </c>
      <c r="D47" s="26">
        <f t="shared" si="2"/>
        <v>7.33125</v>
      </c>
      <c r="E47" s="26"/>
      <c r="F47" s="26">
        <v>0.79</v>
      </c>
      <c r="G47" s="26"/>
      <c r="H47" s="26"/>
      <c r="I47" s="26"/>
      <c r="J47" s="26"/>
      <c r="K47" s="26"/>
      <c r="L47" s="174">
        <f>E47*Prices!B$2</f>
        <v>0</v>
      </c>
      <c r="M47" s="174">
        <f>F47*Prices!C$2</f>
        <v>126400</v>
      </c>
      <c r="N47" s="174">
        <f>G47*Prices!D$2</f>
        <v>0</v>
      </c>
      <c r="O47" s="174">
        <f t="shared" si="6"/>
        <v>0</v>
      </c>
      <c r="P47" s="174">
        <f t="shared" si="3"/>
        <v>0</v>
      </c>
      <c r="Q47" s="174">
        <f>D47*Prices!A$2</f>
        <v>130862.8125</v>
      </c>
      <c r="R47" s="175">
        <f t="shared" si="4"/>
        <v>126400</v>
      </c>
      <c r="S47" s="174">
        <f t="shared" si="5"/>
        <v>257262.8125</v>
      </c>
      <c r="T47" s="26">
        <v>46.0</v>
      </c>
      <c r="U47" s="26" t="s">
        <v>80</v>
      </c>
      <c r="V47" s="93" t="s">
        <v>81</v>
      </c>
      <c r="W47" s="93"/>
      <c r="X47" s="93"/>
      <c r="Y47" s="93"/>
      <c r="Z47" s="93"/>
    </row>
    <row r="48" ht="18.75" customHeight="1">
      <c r="A48" s="26">
        <v>47.0</v>
      </c>
      <c r="B48" s="26">
        <v>4.86</v>
      </c>
      <c r="C48" s="26">
        <f t="shared" si="1"/>
        <v>1.215</v>
      </c>
      <c r="D48" s="26">
        <f t="shared" si="2"/>
        <v>6.075</v>
      </c>
      <c r="E48" s="26">
        <v>0.75</v>
      </c>
      <c r="F48" s="26"/>
      <c r="G48" s="26"/>
      <c r="H48" s="26"/>
      <c r="I48" s="26"/>
      <c r="J48" s="26"/>
      <c r="K48" s="26"/>
      <c r="L48" s="174">
        <f>E48*Prices!B$2</f>
        <v>82500</v>
      </c>
      <c r="M48" s="174">
        <f>F48*Prices!C$2</f>
        <v>0</v>
      </c>
      <c r="N48" s="174">
        <f>G48*Prices!D$2</f>
        <v>0</v>
      </c>
      <c r="O48" s="174">
        <f t="shared" si="6"/>
        <v>0</v>
      </c>
      <c r="P48" s="174">
        <f t="shared" si="3"/>
        <v>0</v>
      </c>
      <c r="Q48" s="174">
        <f>D48*Prices!A$2</f>
        <v>108438.75</v>
      </c>
      <c r="R48" s="175">
        <f t="shared" si="4"/>
        <v>82500</v>
      </c>
      <c r="S48" s="174">
        <f t="shared" si="5"/>
        <v>190938.75</v>
      </c>
      <c r="T48" s="26">
        <v>47.0</v>
      </c>
      <c r="U48" s="26" t="s">
        <v>80</v>
      </c>
      <c r="V48" s="93" t="s">
        <v>81</v>
      </c>
      <c r="W48" s="93"/>
      <c r="X48" s="93"/>
      <c r="Y48" s="93"/>
      <c r="Z48" s="93"/>
    </row>
    <row r="49" ht="18.75" customHeight="1">
      <c r="A49" s="26">
        <v>48.0</v>
      </c>
      <c r="B49" s="26">
        <v>7.45</v>
      </c>
      <c r="C49" s="26">
        <f t="shared" si="1"/>
        <v>1.8625</v>
      </c>
      <c r="D49" s="26">
        <f t="shared" si="2"/>
        <v>9.3125</v>
      </c>
      <c r="E49" s="26">
        <v>0.75</v>
      </c>
      <c r="F49" s="26"/>
      <c r="G49" s="26"/>
      <c r="H49" s="26"/>
      <c r="I49" s="26"/>
      <c r="J49" s="26"/>
      <c r="K49" s="26"/>
      <c r="L49" s="174">
        <f>E49*Prices!B$2</f>
        <v>82500</v>
      </c>
      <c r="M49" s="174">
        <f>F49*Prices!C$2</f>
        <v>0</v>
      </c>
      <c r="N49" s="174">
        <f>G49*Prices!D$2</f>
        <v>0</v>
      </c>
      <c r="O49" s="174">
        <f t="shared" si="6"/>
        <v>0</v>
      </c>
      <c r="P49" s="174">
        <f t="shared" si="3"/>
        <v>0</v>
      </c>
      <c r="Q49" s="174">
        <f>D49*Prices!A$2</f>
        <v>166228.125</v>
      </c>
      <c r="R49" s="175">
        <f t="shared" si="4"/>
        <v>82500</v>
      </c>
      <c r="S49" s="174">
        <f t="shared" si="5"/>
        <v>248728.125</v>
      </c>
      <c r="T49" s="26">
        <v>48.0</v>
      </c>
      <c r="U49" s="26" t="s">
        <v>80</v>
      </c>
      <c r="V49" s="93" t="s">
        <v>81</v>
      </c>
      <c r="W49" s="93"/>
      <c r="X49" s="93"/>
      <c r="Y49" s="93"/>
      <c r="Z49" s="93"/>
    </row>
    <row r="50" ht="18.75" customHeight="1">
      <c r="A50" s="26">
        <v>49.0</v>
      </c>
      <c r="B50" s="26">
        <v>5.61</v>
      </c>
      <c r="C50" s="26">
        <f t="shared" si="1"/>
        <v>1.4025</v>
      </c>
      <c r="D50" s="26">
        <f t="shared" si="2"/>
        <v>7.0125</v>
      </c>
      <c r="E50" s="26">
        <v>0.5</v>
      </c>
      <c r="F50" s="26"/>
      <c r="G50" s="26"/>
      <c r="H50" s="26"/>
      <c r="I50" s="26"/>
      <c r="J50" s="26"/>
      <c r="K50" s="26"/>
      <c r="L50" s="174">
        <f>E50*Prices!B$2</f>
        <v>55000</v>
      </c>
      <c r="M50" s="174">
        <f>F50*Prices!C$2</f>
        <v>0</v>
      </c>
      <c r="N50" s="174">
        <f>G50*Prices!D$2</f>
        <v>0</v>
      </c>
      <c r="O50" s="174">
        <f t="shared" si="6"/>
        <v>0</v>
      </c>
      <c r="P50" s="174">
        <f t="shared" si="3"/>
        <v>0</v>
      </c>
      <c r="Q50" s="174">
        <f>D50*Prices!A$2</f>
        <v>125173.125</v>
      </c>
      <c r="R50" s="175">
        <f t="shared" si="4"/>
        <v>55000</v>
      </c>
      <c r="S50" s="174">
        <f t="shared" si="5"/>
        <v>180173.125</v>
      </c>
      <c r="T50" s="26">
        <v>49.0</v>
      </c>
      <c r="U50" s="26" t="s">
        <v>80</v>
      </c>
      <c r="V50" s="93" t="s">
        <v>81</v>
      </c>
      <c r="W50" s="93"/>
      <c r="X50" s="93"/>
      <c r="Y50" s="93"/>
      <c r="Z50" s="93"/>
    </row>
    <row r="51" ht="18.75" customHeight="1">
      <c r="A51" s="26">
        <v>50.0</v>
      </c>
      <c r="B51" s="26">
        <v>3.624</v>
      </c>
      <c r="C51" s="26">
        <f t="shared" si="1"/>
        <v>0.906</v>
      </c>
      <c r="D51" s="26">
        <f t="shared" si="2"/>
        <v>4.53</v>
      </c>
      <c r="E51" s="26">
        <v>0.83</v>
      </c>
      <c r="F51" s="26"/>
      <c r="G51" s="26"/>
      <c r="H51" s="26"/>
      <c r="I51" s="26"/>
      <c r="J51" s="26"/>
      <c r="K51" s="26"/>
      <c r="L51" s="174">
        <f>E51*Prices!B$2</f>
        <v>91300</v>
      </c>
      <c r="M51" s="174">
        <f>F51*Prices!C$2</f>
        <v>0</v>
      </c>
      <c r="N51" s="174">
        <f>G51*Prices!D$2</f>
        <v>0</v>
      </c>
      <c r="O51" s="174">
        <f t="shared" si="6"/>
        <v>0</v>
      </c>
      <c r="P51" s="174">
        <f t="shared" si="3"/>
        <v>0</v>
      </c>
      <c r="Q51" s="174">
        <f>D51*Prices!A$2</f>
        <v>80860.5</v>
      </c>
      <c r="R51" s="175">
        <f t="shared" si="4"/>
        <v>91300</v>
      </c>
      <c r="S51" s="174">
        <f t="shared" si="5"/>
        <v>172160.5</v>
      </c>
      <c r="T51" s="26">
        <v>50.0</v>
      </c>
      <c r="U51" s="26" t="s">
        <v>82</v>
      </c>
      <c r="V51" s="93"/>
      <c r="W51" s="93"/>
      <c r="X51" s="93"/>
      <c r="Y51" s="93"/>
      <c r="Z51" s="93"/>
    </row>
    <row r="52" ht="18.75" customHeight="1">
      <c r="A52" s="26">
        <v>51.0</v>
      </c>
      <c r="B52" s="26">
        <v>7.23</v>
      </c>
      <c r="C52" s="26">
        <f t="shared" si="1"/>
        <v>1.8075</v>
      </c>
      <c r="D52" s="26">
        <f t="shared" si="2"/>
        <v>9.0375</v>
      </c>
      <c r="E52" s="26">
        <v>0.23</v>
      </c>
      <c r="F52" s="26"/>
      <c r="G52" s="26"/>
      <c r="H52" s="26"/>
      <c r="I52" s="26"/>
      <c r="J52" s="26"/>
      <c r="K52" s="26"/>
      <c r="L52" s="174">
        <f>E52*Prices!B$2</f>
        <v>25300</v>
      </c>
      <c r="M52" s="174">
        <f>F52*Prices!C$2</f>
        <v>0</v>
      </c>
      <c r="N52" s="174">
        <f>G52*Prices!D$2</f>
        <v>0</v>
      </c>
      <c r="O52" s="174">
        <f t="shared" si="6"/>
        <v>0</v>
      </c>
      <c r="P52" s="174">
        <f t="shared" si="3"/>
        <v>0</v>
      </c>
      <c r="Q52" s="174">
        <f>D52*(Prices!A$2+2200)</f>
        <v>181201.875</v>
      </c>
      <c r="R52" s="175">
        <f t="shared" si="4"/>
        <v>25300</v>
      </c>
      <c r="S52" s="174">
        <f t="shared" si="5"/>
        <v>206501.875</v>
      </c>
      <c r="T52" s="26">
        <v>51.0</v>
      </c>
      <c r="U52" s="26" t="s">
        <v>80</v>
      </c>
      <c r="V52" s="93" t="s">
        <v>81</v>
      </c>
      <c r="W52" s="93"/>
      <c r="X52" s="93"/>
      <c r="Y52" s="93"/>
      <c r="Z52" s="93"/>
    </row>
    <row r="53" ht="18.75" customHeight="1">
      <c r="A53" s="26">
        <v>52.0</v>
      </c>
      <c r="B53" s="26">
        <v>2.33</v>
      </c>
      <c r="C53" s="26">
        <f t="shared" si="1"/>
        <v>0.5825</v>
      </c>
      <c r="D53" s="26">
        <f t="shared" si="2"/>
        <v>2.9125</v>
      </c>
      <c r="E53" s="26">
        <v>0.45</v>
      </c>
      <c r="F53" s="26"/>
      <c r="G53" s="26"/>
      <c r="H53" s="26"/>
      <c r="I53" s="26"/>
      <c r="J53" s="26"/>
      <c r="K53" s="26"/>
      <c r="L53" s="174">
        <f>E53*Prices!B$2</f>
        <v>49500</v>
      </c>
      <c r="M53" s="174">
        <f>F53*Prices!C$2</f>
        <v>0</v>
      </c>
      <c r="N53" s="174">
        <f>G53*Prices!D$2</f>
        <v>0</v>
      </c>
      <c r="O53" s="174">
        <f t="shared" si="6"/>
        <v>0</v>
      </c>
      <c r="P53" s="174">
        <f t="shared" si="3"/>
        <v>0</v>
      </c>
      <c r="Q53" s="174">
        <f>D53*Prices!A$2</f>
        <v>51988.125</v>
      </c>
      <c r="R53" s="175">
        <f t="shared" si="4"/>
        <v>49500</v>
      </c>
      <c r="S53" s="174">
        <f t="shared" si="5"/>
        <v>101488.125</v>
      </c>
      <c r="T53" s="26">
        <v>52.0</v>
      </c>
      <c r="U53" s="26" t="s">
        <v>82</v>
      </c>
      <c r="V53" s="93"/>
      <c r="W53" s="93"/>
      <c r="X53" s="93"/>
      <c r="Y53" s="93"/>
      <c r="Z53" s="93"/>
    </row>
    <row r="54" ht="18.75" customHeight="1">
      <c r="A54" s="26">
        <v>53.0</v>
      </c>
      <c r="B54" s="26">
        <v>4.68</v>
      </c>
      <c r="C54" s="26">
        <f t="shared" si="1"/>
        <v>1.17</v>
      </c>
      <c r="D54" s="26">
        <f t="shared" si="2"/>
        <v>5.85</v>
      </c>
      <c r="E54" s="26">
        <v>0.3</v>
      </c>
      <c r="F54" s="26"/>
      <c r="G54" s="26"/>
      <c r="H54" s="26"/>
      <c r="I54" s="26"/>
      <c r="J54" s="26"/>
      <c r="K54" s="26"/>
      <c r="L54" s="174">
        <f>E54*Prices!B$2</f>
        <v>33000</v>
      </c>
      <c r="M54" s="174">
        <f>F54*Prices!C$2</f>
        <v>0</v>
      </c>
      <c r="N54" s="174">
        <f>G54*Prices!D$2</f>
        <v>0</v>
      </c>
      <c r="O54" s="174">
        <f t="shared" si="6"/>
        <v>0</v>
      </c>
      <c r="P54" s="174">
        <f t="shared" si="3"/>
        <v>0</v>
      </c>
      <c r="Q54" s="174">
        <f>D54*Prices!A$2</f>
        <v>104422.5</v>
      </c>
      <c r="R54" s="175">
        <f t="shared" si="4"/>
        <v>33000</v>
      </c>
      <c r="S54" s="174">
        <f t="shared" si="5"/>
        <v>137422.5</v>
      </c>
      <c r="T54" s="26">
        <v>53.0</v>
      </c>
      <c r="U54" s="26" t="s">
        <v>80</v>
      </c>
      <c r="V54" s="93" t="s">
        <v>81</v>
      </c>
      <c r="W54" s="93"/>
      <c r="X54" s="93"/>
      <c r="Y54" s="93"/>
      <c r="Z54" s="93"/>
    </row>
    <row r="55" ht="18.75" customHeight="1">
      <c r="A55" s="26">
        <v>54.0</v>
      </c>
      <c r="B55" s="26">
        <v>3.69</v>
      </c>
      <c r="C55" s="26">
        <f t="shared" si="1"/>
        <v>0.9225</v>
      </c>
      <c r="D55" s="26">
        <f t="shared" si="2"/>
        <v>4.6125</v>
      </c>
      <c r="E55" s="26">
        <v>0.35</v>
      </c>
      <c r="F55" s="26"/>
      <c r="G55" s="26"/>
      <c r="H55" s="26"/>
      <c r="I55" s="26"/>
      <c r="J55" s="26"/>
      <c r="K55" s="26"/>
      <c r="L55" s="174">
        <f>E55*Prices!B$2</f>
        <v>38500</v>
      </c>
      <c r="M55" s="174">
        <f>F55*Prices!C$2</f>
        <v>0</v>
      </c>
      <c r="N55" s="174">
        <f>G55*Prices!D$2</f>
        <v>0</v>
      </c>
      <c r="O55" s="174">
        <f t="shared" si="6"/>
        <v>0</v>
      </c>
      <c r="P55" s="174">
        <f t="shared" si="3"/>
        <v>0</v>
      </c>
      <c r="Q55" s="174">
        <f>D55*Prices!A$2</f>
        <v>82333.125</v>
      </c>
      <c r="R55" s="175">
        <f t="shared" si="4"/>
        <v>38500</v>
      </c>
      <c r="S55" s="174">
        <f t="shared" si="5"/>
        <v>120833.125</v>
      </c>
      <c r="T55" s="26">
        <v>54.0</v>
      </c>
      <c r="U55" s="26" t="s">
        <v>80</v>
      </c>
      <c r="V55" s="93" t="s">
        <v>81</v>
      </c>
      <c r="W55" s="93"/>
      <c r="X55" s="93"/>
      <c r="Y55" s="93"/>
      <c r="Z55" s="93"/>
    </row>
    <row r="56" ht="18.75" customHeight="1">
      <c r="A56" s="26">
        <v>55.0</v>
      </c>
      <c r="B56" s="26">
        <v>4.65</v>
      </c>
      <c r="C56" s="26">
        <f t="shared" si="1"/>
        <v>1.1625</v>
      </c>
      <c r="D56" s="26">
        <f t="shared" si="2"/>
        <v>5.8125</v>
      </c>
      <c r="E56" s="26">
        <v>0.4</v>
      </c>
      <c r="F56" s="26"/>
      <c r="G56" s="26"/>
      <c r="H56" s="26"/>
      <c r="I56" s="26"/>
      <c r="J56" s="26"/>
      <c r="K56" s="26"/>
      <c r="L56" s="174">
        <f>E56*Prices!B$2</f>
        <v>44000</v>
      </c>
      <c r="M56" s="174">
        <f>F56*Prices!C$2</f>
        <v>0</v>
      </c>
      <c r="N56" s="174">
        <f>G56*Prices!D$2</f>
        <v>0</v>
      </c>
      <c r="O56" s="174">
        <f t="shared" si="6"/>
        <v>0</v>
      </c>
      <c r="P56" s="174">
        <f t="shared" si="3"/>
        <v>0</v>
      </c>
      <c r="Q56" s="174">
        <f>D56*Prices!A$2</f>
        <v>103753.125</v>
      </c>
      <c r="R56" s="175">
        <f t="shared" si="4"/>
        <v>44000</v>
      </c>
      <c r="S56" s="174">
        <f t="shared" si="5"/>
        <v>147753.125</v>
      </c>
      <c r="T56" s="26">
        <v>55.0</v>
      </c>
      <c r="U56" s="26" t="s">
        <v>80</v>
      </c>
      <c r="V56" s="93" t="s">
        <v>81</v>
      </c>
      <c r="W56" s="93"/>
      <c r="X56" s="93"/>
      <c r="Y56" s="93"/>
      <c r="Z56" s="93"/>
    </row>
    <row r="57" ht="18.75" customHeight="1">
      <c r="A57" s="26">
        <v>56.0</v>
      </c>
      <c r="B57" s="26">
        <v>3.936</v>
      </c>
      <c r="C57" s="26">
        <f t="shared" si="1"/>
        <v>0.984</v>
      </c>
      <c r="D57" s="26">
        <f t="shared" si="2"/>
        <v>4.92</v>
      </c>
      <c r="E57" s="26">
        <v>0.47</v>
      </c>
      <c r="F57" s="26"/>
      <c r="G57" s="26"/>
      <c r="H57" s="26"/>
      <c r="I57" s="26"/>
      <c r="J57" s="26"/>
      <c r="K57" s="26"/>
      <c r="L57" s="174">
        <f>E57*Prices!B$2</f>
        <v>51700</v>
      </c>
      <c r="M57" s="174">
        <f>F57*Prices!C$2</f>
        <v>0</v>
      </c>
      <c r="N57" s="174">
        <f>G57*Prices!D$2</f>
        <v>0</v>
      </c>
      <c r="O57" s="174">
        <f t="shared" si="6"/>
        <v>0</v>
      </c>
      <c r="P57" s="174">
        <f t="shared" si="3"/>
        <v>0</v>
      </c>
      <c r="Q57" s="174">
        <f>D57*Prices!A$2</f>
        <v>87822</v>
      </c>
      <c r="R57" s="175">
        <f t="shared" si="4"/>
        <v>51700</v>
      </c>
      <c r="S57" s="174">
        <f t="shared" si="5"/>
        <v>139522</v>
      </c>
      <c r="T57" s="26">
        <v>56.0</v>
      </c>
      <c r="U57" s="26" t="s">
        <v>80</v>
      </c>
      <c r="V57" s="93" t="s">
        <v>81</v>
      </c>
      <c r="W57" s="93"/>
      <c r="X57" s="93"/>
      <c r="Y57" s="93"/>
      <c r="Z57" s="93"/>
    </row>
    <row r="58" ht="18.75" customHeight="1">
      <c r="A58" s="26">
        <v>57.0</v>
      </c>
      <c r="B58" s="26">
        <v>6.254</v>
      </c>
      <c r="C58" s="26">
        <f t="shared" si="1"/>
        <v>1.5635</v>
      </c>
      <c r="D58" s="26">
        <f t="shared" si="2"/>
        <v>7.8175</v>
      </c>
      <c r="E58" s="26"/>
      <c r="F58" s="26"/>
      <c r="G58" s="26"/>
      <c r="H58" s="26">
        <v>0.38</v>
      </c>
      <c r="I58" s="26"/>
      <c r="J58" s="26"/>
      <c r="K58" s="26"/>
      <c r="L58" s="174">
        <f>E58*Prices!B$2</f>
        <v>0</v>
      </c>
      <c r="M58" s="174">
        <f>F58*Prices!C$2</f>
        <v>0</v>
      </c>
      <c r="N58" s="174">
        <f>G58*Prices!D$2</f>
        <v>0</v>
      </c>
      <c r="O58" s="174">
        <f t="shared" ref="O58:O66" si="7">H58*270000</f>
        <v>102600</v>
      </c>
      <c r="P58" s="174">
        <f t="shared" si="3"/>
        <v>0</v>
      </c>
      <c r="Q58" s="174">
        <f>D58*Prices!A$2</f>
        <v>139542.375</v>
      </c>
      <c r="R58" s="175">
        <f t="shared" si="4"/>
        <v>102600</v>
      </c>
      <c r="S58" s="174">
        <f t="shared" si="5"/>
        <v>242142.375</v>
      </c>
      <c r="T58" s="26">
        <v>57.0</v>
      </c>
      <c r="U58" s="26" t="s">
        <v>82</v>
      </c>
      <c r="V58" s="93"/>
      <c r="W58" s="93"/>
      <c r="X58" s="93"/>
      <c r="Y58" s="93"/>
      <c r="Z58" s="93"/>
    </row>
    <row r="59" ht="18.75" customHeight="1">
      <c r="A59" s="26">
        <v>58.0</v>
      </c>
      <c r="B59" s="26">
        <v>9.348</v>
      </c>
      <c r="C59" s="26">
        <f t="shared" si="1"/>
        <v>2.337</v>
      </c>
      <c r="D59" s="26">
        <f t="shared" si="2"/>
        <v>11.685</v>
      </c>
      <c r="E59" s="26">
        <v>1.16</v>
      </c>
      <c r="F59" s="26"/>
      <c r="G59" s="26"/>
      <c r="H59" s="26"/>
      <c r="I59" s="26"/>
      <c r="J59" s="26"/>
      <c r="K59" s="26"/>
      <c r="L59" s="174">
        <f>E59*Prices!B$2</f>
        <v>127600</v>
      </c>
      <c r="M59" s="174">
        <f>F59*Prices!C$2</f>
        <v>0</v>
      </c>
      <c r="N59" s="174">
        <f>G59*Prices!D$2</f>
        <v>0</v>
      </c>
      <c r="O59" s="174">
        <f t="shared" si="7"/>
        <v>0</v>
      </c>
      <c r="P59" s="174">
        <f t="shared" si="3"/>
        <v>0</v>
      </c>
      <c r="Q59" s="174">
        <f>D59*(Prices!A$2+2200)</f>
        <v>234284.25</v>
      </c>
      <c r="R59" s="175">
        <f t="shared" si="4"/>
        <v>127600</v>
      </c>
      <c r="S59" s="174">
        <f t="shared" si="5"/>
        <v>361884.25</v>
      </c>
      <c r="T59" s="26">
        <v>58.0</v>
      </c>
      <c r="U59" s="26" t="s">
        <v>80</v>
      </c>
      <c r="V59" s="93" t="s">
        <v>81</v>
      </c>
      <c r="W59" s="93"/>
      <c r="X59" s="93"/>
      <c r="Y59" s="93"/>
      <c r="Z59" s="93"/>
    </row>
    <row r="60" ht="18.75" customHeight="1">
      <c r="A60" s="26">
        <v>59.0</v>
      </c>
      <c r="B60" s="26">
        <v>4.258</v>
      </c>
      <c r="C60" s="26">
        <f t="shared" si="1"/>
        <v>1.0645</v>
      </c>
      <c r="D60" s="26">
        <f t="shared" si="2"/>
        <v>5.3225</v>
      </c>
      <c r="E60" s="26">
        <v>0.41</v>
      </c>
      <c r="F60" s="26"/>
      <c r="G60" s="26"/>
      <c r="H60" s="26"/>
      <c r="I60" s="26"/>
      <c r="J60" s="26"/>
      <c r="K60" s="26"/>
      <c r="L60" s="174">
        <f>E60*Prices!B$2</f>
        <v>45100</v>
      </c>
      <c r="M60" s="174">
        <f>F60*Prices!C$2</f>
        <v>0</v>
      </c>
      <c r="N60" s="174">
        <f>G60*Prices!D$2</f>
        <v>0</v>
      </c>
      <c r="O60" s="174">
        <f t="shared" si="7"/>
        <v>0</v>
      </c>
      <c r="P60" s="174">
        <f t="shared" si="3"/>
        <v>0</v>
      </c>
      <c r="Q60" s="174">
        <f>D60*Prices!A$2</f>
        <v>95006.625</v>
      </c>
      <c r="R60" s="175">
        <f t="shared" si="4"/>
        <v>45100</v>
      </c>
      <c r="S60" s="174">
        <f t="shared" si="5"/>
        <v>140106.625</v>
      </c>
      <c r="T60" s="26">
        <v>59.0</v>
      </c>
      <c r="U60" s="26" t="s">
        <v>82</v>
      </c>
      <c r="V60" s="93"/>
      <c r="W60" s="93"/>
      <c r="X60" s="93"/>
      <c r="Y60" s="93"/>
      <c r="Z60" s="93"/>
    </row>
    <row r="61" ht="18.75" customHeight="1">
      <c r="A61" s="26">
        <v>60.0</v>
      </c>
      <c r="B61" s="26">
        <v>3.708</v>
      </c>
      <c r="C61" s="26">
        <f t="shared" si="1"/>
        <v>0.927</v>
      </c>
      <c r="D61" s="26">
        <f t="shared" si="2"/>
        <v>4.635</v>
      </c>
      <c r="E61" s="26">
        <v>0.26</v>
      </c>
      <c r="F61" s="26"/>
      <c r="G61" s="26"/>
      <c r="H61" s="26"/>
      <c r="I61" s="26"/>
      <c r="J61" s="26"/>
      <c r="K61" s="26"/>
      <c r="L61" s="174">
        <f>E61*Prices!B$2</f>
        <v>28600</v>
      </c>
      <c r="M61" s="174">
        <f>F61*Prices!C$2</f>
        <v>0</v>
      </c>
      <c r="N61" s="174">
        <f>G61*Prices!D$2</f>
        <v>0</v>
      </c>
      <c r="O61" s="174">
        <f t="shared" si="7"/>
        <v>0</v>
      </c>
      <c r="P61" s="174">
        <f t="shared" si="3"/>
        <v>0</v>
      </c>
      <c r="Q61" s="174">
        <f>D61*Prices!A$2</f>
        <v>82734.75</v>
      </c>
      <c r="R61" s="175">
        <f t="shared" si="4"/>
        <v>28600</v>
      </c>
      <c r="S61" s="174">
        <f t="shared" si="5"/>
        <v>111334.75</v>
      </c>
      <c r="T61" s="26">
        <v>60.0</v>
      </c>
      <c r="U61" s="26" t="s">
        <v>82</v>
      </c>
      <c r="V61" s="93"/>
      <c r="W61" s="93"/>
      <c r="X61" s="93"/>
      <c r="Y61" s="93"/>
      <c r="Z61" s="93"/>
    </row>
    <row r="62" ht="18.75" customHeight="1">
      <c r="A62" s="26">
        <v>61.0</v>
      </c>
      <c r="B62" s="26">
        <v>4.43</v>
      </c>
      <c r="C62" s="26">
        <f t="shared" si="1"/>
        <v>1.1075</v>
      </c>
      <c r="D62" s="26">
        <f t="shared" si="2"/>
        <v>5.5375</v>
      </c>
      <c r="E62" s="26">
        <v>0.25</v>
      </c>
      <c r="F62" s="26"/>
      <c r="G62" s="26"/>
      <c r="H62" s="26"/>
      <c r="I62" s="26"/>
      <c r="J62" s="26"/>
      <c r="K62" s="26"/>
      <c r="L62" s="174">
        <f>E62*Prices!B$2</f>
        <v>27500</v>
      </c>
      <c r="M62" s="174">
        <f>F62*Prices!C$2</f>
        <v>0</v>
      </c>
      <c r="N62" s="174">
        <f>G62*Prices!D$2</f>
        <v>0</v>
      </c>
      <c r="O62" s="174">
        <f t="shared" si="7"/>
        <v>0</v>
      </c>
      <c r="P62" s="174">
        <f t="shared" si="3"/>
        <v>0</v>
      </c>
      <c r="Q62" s="174">
        <f>D62*Prices!A$2</f>
        <v>98844.375</v>
      </c>
      <c r="R62" s="175">
        <f t="shared" si="4"/>
        <v>27500</v>
      </c>
      <c r="S62" s="174">
        <f t="shared" si="5"/>
        <v>126344.375</v>
      </c>
      <c r="T62" s="26">
        <v>61.0</v>
      </c>
      <c r="U62" s="26" t="s">
        <v>82</v>
      </c>
      <c r="V62" s="93"/>
      <c r="W62" s="93"/>
      <c r="X62" s="93"/>
      <c r="Y62" s="93"/>
      <c r="Z62" s="93"/>
    </row>
    <row r="63" ht="18.75" customHeight="1">
      <c r="A63" s="26">
        <v>62.0</v>
      </c>
      <c r="B63" s="26">
        <v>3.842</v>
      </c>
      <c r="C63" s="26">
        <f t="shared" si="1"/>
        <v>0.9605</v>
      </c>
      <c r="D63" s="26">
        <f t="shared" si="2"/>
        <v>4.8025</v>
      </c>
      <c r="E63" s="26">
        <v>0.24</v>
      </c>
      <c r="F63" s="26"/>
      <c r="G63" s="26"/>
      <c r="H63" s="26"/>
      <c r="I63" s="26"/>
      <c r="J63" s="26"/>
      <c r="K63" s="26"/>
      <c r="L63" s="174">
        <f>E63*Prices!B$2</f>
        <v>26400</v>
      </c>
      <c r="M63" s="174">
        <f>F63*Prices!C$2</f>
        <v>0</v>
      </c>
      <c r="N63" s="174">
        <f>G63*Prices!D$2</f>
        <v>0</v>
      </c>
      <c r="O63" s="174">
        <f t="shared" si="7"/>
        <v>0</v>
      </c>
      <c r="P63" s="174">
        <f t="shared" si="3"/>
        <v>0</v>
      </c>
      <c r="Q63" s="174">
        <f>D63*Prices!A$2</f>
        <v>85724.625</v>
      </c>
      <c r="R63" s="175">
        <f t="shared" si="4"/>
        <v>26400</v>
      </c>
      <c r="S63" s="174">
        <f t="shared" si="5"/>
        <v>112124.625</v>
      </c>
      <c r="T63" s="26">
        <v>62.0</v>
      </c>
      <c r="U63" s="26" t="s">
        <v>80</v>
      </c>
      <c r="V63" s="93" t="s">
        <v>81</v>
      </c>
      <c r="W63" s="93"/>
      <c r="X63" s="93"/>
      <c r="Y63" s="93"/>
      <c r="Z63" s="93"/>
    </row>
    <row r="64" ht="18.75" customHeight="1">
      <c r="A64" s="26">
        <v>63.0</v>
      </c>
      <c r="B64" s="26">
        <v>4.706</v>
      </c>
      <c r="C64" s="26">
        <f t="shared" si="1"/>
        <v>1.1765</v>
      </c>
      <c r="D64" s="26">
        <f t="shared" si="2"/>
        <v>5.8825</v>
      </c>
      <c r="E64" s="26">
        <v>0.37</v>
      </c>
      <c r="F64" s="26"/>
      <c r="G64" s="26"/>
      <c r="H64" s="26"/>
      <c r="I64" s="26"/>
      <c r="J64" s="26"/>
      <c r="K64" s="26"/>
      <c r="L64" s="174">
        <f>E64*Prices!B$2</f>
        <v>40700</v>
      </c>
      <c r="M64" s="174">
        <f>F64*Prices!C$2</f>
        <v>0</v>
      </c>
      <c r="N64" s="174">
        <f>G64*Prices!D$2</f>
        <v>0</v>
      </c>
      <c r="O64" s="174">
        <f t="shared" si="7"/>
        <v>0</v>
      </c>
      <c r="P64" s="174">
        <f t="shared" si="3"/>
        <v>0</v>
      </c>
      <c r="Q64" s="174">
        <f>D64*Prices!A$2</f>
        <v>105002.625</v>
      </c>
      <c r="R64" s="175">
        <f t="shared" si="4"/>
        <v>40700</v>
      </c>
      <c r="S64" s="174">
        <f t="shared" si="5"/>
        <v>145702.625</v>
      </c>
      <c r="T64" s="26">
        <v>63.0</v>
      </c>
      <c r="U64" s="26" t="s">
        <v>80</v>
      </c>
      <c r="V64" s="93" t="s">
        <v>81</v>
      </c>
      <c r="W64" s="93"/>
      <c r="X64" s="93"/>
      <c r="Y64" s="93"/>
      <c r="Z64" s="93"/>
    </row>
    <row r="65" ht="18.75" customHeight="1">
      <c r="A65" s="26">
        <v>64.0</v>
      </c>
      <c r="B65" s="26">
        <v>3.408</v>
      </c>
      <c r="C65" s="26">
        <f t="shared" si="1"/>
        <v>0.852</v>
      </c>
      <c r="D65" s="26">
        <f t="shared" si="2"/>
        <v>4.26</v>
      </c>
      <c r="E65" s="26">
        <v>0.41</v>
      </c>
      <c r="F65" s="26"/>
      <c r="G65" s="26"/>
      <c r="H65" s="26"/>
      <c r="I65" s="26"/>
      <c r="J65" s="26"/>
      <c r="K65" s="26"/>
      <c r="L65" s="174">
        <f>E65*Prices!B$2</f>
        <v>45100</v>
      </c>
      <c r="M65" s="174">
        <f>F65*Prices!C$2</f>
        <v>0</v>
      </c>
      <c r="N65" s="174">
        <f>G65*Prices!D$2</f>
        <v>0</v>
      </c>
      <c r="O65" s="174">
        <f t="shared" si="7"/>
        <v>0</v>
      </c>
      <c r="P65" s="174">
        <f t="shared" si="3"/>
        <v>0</v>
      </c>
      <c r="Q65" s="174">
        <f>D65*Prices!A$2</f>
        <v>76041</v>
      </c>
      <c r="R65" s="175">
        <f t="shared" si="4"/>
        <v>45100</v>
      </c>
      <c r="S65" s="174">
        <f t="shared" si="5"/>
        <v>121141</v>
      </c>
      <c r="T65" s="26">
        <v>64.0</v>
      </c>
      <c r="U65" s="26" t="s">
        <v>80</v>
      </c>
      <c r="V65" s="93" t="s">
        <v>81</v>
      </c>
      <c r="W65" s="93"/>
      <c r="X65" s="93"/>
      <c r="Y65" s="93"/>
      <c r="Z65" s="93"/>
    </row>
    <row r="66" ht="18.75" customHeight="1">
      <c r="A66" s="26">
        <v>65.0</v>
      </c>
      <c r="B66" s="26">
        <v>3.668</v>
      </c>
      <c r="C66" s="26">
        <f t="shared" si="1"/>
        <v>0.917</v>
      </c>
      <c r="D66" s="26">
        <f t="shared" si="2"/>
        <v>4.585</v>
      </c>
      <c r="E66" s="26">
        <v>0.31</v>
      </c>
      <c r="F66" s="26"/>
      <c r="G66" s="26"/>
      <c r="H66" s="26"/>
      <c r="I66" s="26"/>
      <c r="J66" s="26"/>
      <c r="K66" s="26"/>
      <c r="L66" s="174">
        <f>E66*Prices!B$2</f>
        <v>34100</v>
      </c>
      <c r="M66" s="174">
        <f>F66*Prices!C$2</f>
        <v>0</v>
      </c>
      <c r="N66" s="174">
        <f>G66*Prices!D$2</f>
        <v>0</v>
      </c>
      <c r="O66" s="174">
        <f t="shared" si="7"/>
        <v>0</v>
      </c>
      <c r="P66" s="174">
        <f t="shared" si="3"/>
        <v>0</v>
      </c>
      <c r="Q66" s="174">
        <f>D66*Prices!A$2</f>
        <v>81842.25</v>
      </c>
      <c r="R66" s="175">
        <f t="shared" si="4"/>
        <v>34100</v>
      </c>
      <c r="S66" s="174">
        <f t="shared" si="5"/>
        <v>115942.25</v>
      </c>
      <c r="T66" s="26">
        <v>65.0</v>
      </c>
      <c r="U66" s="26" t="s">
        <v>80</v>
      </c>
      <c r="V66" s="93" t="s">
        <v>81</v>
      </c>
      <c r="W66" s="93"/>
      <c r="X66" s="93"/>
      <c r="Y66" s="93"/>
      <c r="Z66" s="93"/>
    </row>
    <row r="67" ht="18.75" customHeight="1">
      <c r="A67" s="26">
        <v>66.0</v>
      </c>
      <c r="B67" s="26">
        <v>7.818</v>
      </c>
      <c r="C67" s="26">
        <f t="shared" si="1"/>
        <v>1.9545</v>
      </c>
      <c r="D67" s="26">
        <f t="shared" si="2"/>
        <v>9.7725</v>
      </c>
      <c r="E67" s="93"/>
      <c r="F67" s="93"/>
      <c r="G67" s="93"/>
      <c r="H67" s="93">
        <v>1.06</v>
      </c>
      <c r="I67" s="93"/>
      <c r="J67" s="93"/>
      <c r="K67" s="93"/>
      <c r="L67" s="174">
        <f>E67*Prices!B$2</f>
        <v>0</v>
      </c>
      <c r="M67" s="174">
        <f>F67*Prices!C$2</f>
        <v>0</v>
      </c>
      <c r="N67" s="174">
        <f>G67*Prices!D$2</f>
        <v>0</v>
      </c>
      <c r="O67" s="174">
        <f>H67*675000</f>
        <v>715500</v>
      </c>
      <c r="P67" s="174">
        <f t="shared" si="3"/>
        <v>0</v>
      </c>
      <c r="Q67" s="174">
        <f>D67*Prices!A$2</f>
        <v>174439.125</v>
      </c>
      <c r="R67" s="175">
        <f t="shared" si="4"/>
        <v>715500</v>
      </c>
      <c r="S67" s="174">
        <f t="shared" si="5"/>
        <v>889939.125</v>
      </c>
      <c r="T67" s="26">
        <v>66.0</v>
      </c>
      <c r="U67" s="26" t="s">
        <v>80</v>
      </c>
      <c r="V67" s="93" t="s">
        <v>81</v>
      </c>
      <c r="W67" s="93"/>
      <c r="X67" s="93"/>
      <c r="Y67" s="93"/>
      <c r="Z67" s="93"/>
    </row>
    <row r="68" ht="18.75" customHeight="1">
      <c r="A68" s="26">
        <v>67.0</v>
      </c>
      <c r="B68" s="26">
        <v>4.256</v>
      </c>
      <c r="C68" s="26">
        <f t="shared" si="1"/>
        <v>1.064</v>
      </c>
      <c r="D68" s="26">
        <f t="shared" si="2"/>
        <v>5.32</v>
      </c>
      <c r="E68" s="26">
        <v>0.32</v>
      </c>
      <c r="F68" s="93"/>
      <c r="G68" s="93"/>
      <c r="H68" s="93"/>
      <c r="I68" s="93"/>
      <c r="J68" s="93"/>
      <c r="K68" s="93"/>
      <c r="L68" s="174">
        <f>E68*Prices!B$2</f>
        <v>35200</v>
      </c>
      <c r="M68" s="174">
        <f>F68*Prices!C$2</f>
        <v>0</v>
      </c>
      <c r="N68" s="174">
        <f>G68*Prices!D$2</f>
        <v>0</v>
      </c>
      <c r="O68" s="174">
        <f t="shared" ref="O68:O70" si="8">H68*600000</f>
        <v>0</v>
      </c>
      <c r="P68" s="174">
        <f t="shared" si="3"/>
        <v>0</v>
      </c>
      <c r="Q68" s="174">
        <f>D68*Prices!A$2</f>
        <v>94962</v>
      </c>
      <c r="R68" s="175">
        <f t="shared" si="4"/>
        <v>35200</v>
      </c>
      <c r="S68" s="174">
        <f t="shared" si="5"/>
        <v>130162</v>
      </c>
      <c r="T68" s="26">
        <v>67.0</v>
      </c>
      <c r="U68" s="26" t="s">
        <v>82</v>
      </c>
      <c r="V68" s="93"/>
      <c r="W68" s="93"/>
      <c r="X68" s="93"/>
      <c r="Y68" s="93"/>
      <c r="Z68" s="93"/>
    </row>
    <row r="69" ht="18.75" customHeight="1">
      <c r="A69" s="26">
        <v>68.0</v>
      </c>
      <c r="B69" s="93">
        <v>3.524</v>
      </c>
      <c r="C69" s="93">
        <f t="shared" si="1"/>
        <v>0.881</v>
      </c>
      <c r="D69" s="93">
        <f t="shared" si="2"/>
        <v>4.405</v>
      </c>
      <c r="E69" s="93">
        <v>0.18</v>
      </c>
      <c r="F69" s="93"/>
      <c r="G69" s="93"/>
      <c r="H69" s="93"/>
      <c r="I69" s="93"/>
      <c r="J69" s="93"/>
      <c r="K69" s="93"/>
      <c r="L69" s="174">
        <f>E69*Prices!B$2</f>
        <v>19800</v>
      </c>
      <c r="M69" s="174">
        <f>F69*Prices!C$2</f>
        <v>0</v>
      </c>
      <c r="N69" s="174">
        <f>G69*Prices!D$2</f>
        <v>0</v>
      </c>
      <c r="O69" s="174">
        <f t="shared" si="8"/>
        <v>0</v>
      </c>
      <c r="P69" s="174">
        <f t="shared" si="3"/>
        <v>0</v>
      </c>
      <c r="Q69" s="174">
        <f>D69*Prices!A$2</f>
        <v>78629.25</v>
      </c>
      <c r="R69" s="175">
        <f t="shared" si="4"/>
        <v>19800</v>
      </c>
      <c r="S69" s="174">
        <f t="shared" si="5"/>
        <v>98429.25</v>
      </c>
      <c r="T69" s="26">
        <v>68.0</v>
      </c>
      <c r="U69" s="26" t="s">
        <v>82</v>
      </c>
      <c r="V69" s="93"/>
      <c r="W69" s="93"/>
      <c r="X69" s="93"/>
      <c r="Y69" s="93"/>
      <c r="Z69" s="93"/>
    </row>
    <row r="70" ht="18.75" customHeight="1">
      <c r="A70" s="93">
        <v>69.0</v>
      </c>
      <c r="B70" s="93">
        <v>3.252</v>
      </c>
      <c r="C70" s="93">
        <f t="shared" si="1"/>
        <v>0.813</v>
      </c>
      <c r="D70" s="93">
        <f t="shared" si="2"/>
        <v>4.065</v>
      </c>
      <c r="E70" s="93">
        <v>0.34</v>
      </c>
      <c r="F70" s="93"/>
      <c r="G70" s="93"/>
      <c r="H70" s="93"/>
      <c r="I70" s="93"/>
      <c r="J70" s="93"/>
      <c r="K70" s="93"/>
      <c r="L70" s="174">
        <f>E70*Prices!B$2</f>
        <v>37400</v>
      </c>
      <c r="M70" s="174">
        <f>F70*Prices!C$2</f>
        <v>0</v>
      </c>
      <c r="N70" s="174">
        <f>G70*Prices!D$2</f>
        <v>0</v>
      </c>
      <c r="O70" s="174">
        <f t="shared" si="8"/>
        <v>0</v>
      </c>
      <c r="P70" s="174">
        <f t="shared" si="3"/>
        <v>0</v>
      </c>
      <c r="Q70" s="174">
        <f>D70*Prices!A$2</f>
        <v>72560.25</v>
      </c>
      <c r="R70" s="175">
        <f t="shared" si="4"/>
        <v>37400</v>
      </c>
      <c r="S70" s="174">
        <f t="shared" si="5"/>
        <v>109960.25</v>
      </c>
      <c r="T70" s="93">
        <v>69.0</v>
      </c>
      <c r="U70" s="26" t="s">
        <v>82</v>
      </c>
      <c r="V70" s="93"/>
      <c r="W70" s="93"/>
      <c r="X70" s="93"/>
      <c r="Y70" s="93"/>
      <c r="Z70" s="93"/>
    </row>
    <row r="71" ht="18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8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8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8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8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8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8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8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8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8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8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8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8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8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8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8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8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8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8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8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8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8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8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8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8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8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8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8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8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8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8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8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8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8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8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8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8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8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8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8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8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8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8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8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8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8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8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8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8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8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8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8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8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8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8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8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8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8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8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8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8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8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8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8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8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8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8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8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8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8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8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8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8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8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8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8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8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8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8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8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8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8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8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8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8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8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8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8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8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8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8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8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8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8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8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8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8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8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8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8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8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8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8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8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8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8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8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8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8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8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8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8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8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8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8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8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8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8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8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8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8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8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8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8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8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8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8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8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8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8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8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8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8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8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8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8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8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8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8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8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8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8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8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8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8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8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8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8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8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8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8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8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8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8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8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8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8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8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8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8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8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8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8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8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8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8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8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8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8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8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8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8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8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8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8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8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8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8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8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8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8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8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8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8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8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8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8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8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8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8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8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8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8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8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8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8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8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8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8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8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8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8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8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8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8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8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8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8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8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8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8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8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8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8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8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8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8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8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8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8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8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8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8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8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8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8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8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8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8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8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8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8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8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8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8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8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8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8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8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8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8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8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8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8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8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8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8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8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8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8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8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8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8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8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8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8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8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8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8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8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8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8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8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8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8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8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8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8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8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8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8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8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8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8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8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8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8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8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8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8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8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8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8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8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8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8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8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8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8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8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8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8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8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8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8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8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8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8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8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8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8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8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8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8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8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8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8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8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8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8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8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8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8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8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8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8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8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8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8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8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8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8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8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8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8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8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8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8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8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8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8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8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8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8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8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8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8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8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8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8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8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8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8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8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8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8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8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8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8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8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8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8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8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8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8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8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8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8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8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8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8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8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8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8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8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8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8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8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8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8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8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8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8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8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8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8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8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8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8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8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8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8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8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8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8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8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8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8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8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8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8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8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8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8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8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8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8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8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8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8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8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8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8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8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8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8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8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8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8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8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8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8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8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8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8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8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8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8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8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8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8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8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8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8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8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8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8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8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8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8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8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8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8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8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8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8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8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8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8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8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8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8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8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8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8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8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8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8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8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8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8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8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8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8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8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8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8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8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8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8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8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8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8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8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8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8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8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8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8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8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8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8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8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8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8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8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8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8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8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8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8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8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8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8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8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8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8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8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8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8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8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8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8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8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8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8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8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8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8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8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8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8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8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8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8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8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8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8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8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8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8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8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8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8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8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8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8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8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8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8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8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8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8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8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8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8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8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8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8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8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8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8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8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8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8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8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8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8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8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8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8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8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8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8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8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8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8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8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8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8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8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8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8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8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8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8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8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8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8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8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8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8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8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8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8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8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8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8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8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8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8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8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8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8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8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8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8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8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8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8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8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8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8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8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8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8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8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8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8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8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8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8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8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8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8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8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8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8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8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8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8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8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8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8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8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8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8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8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8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8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8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8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8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8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8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8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8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8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8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8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8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8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8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8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8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8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8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8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8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8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8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8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8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8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8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8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8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8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8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8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8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8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8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8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8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8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8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8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8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8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8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8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8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8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8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8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8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8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8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8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8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8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8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8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8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8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8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8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8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8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8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8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8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8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8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8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8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8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8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8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8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8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8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8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8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8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8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8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8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8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8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8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8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8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8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8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8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8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8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8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8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8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8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8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8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8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8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8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8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8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8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8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8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8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8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8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8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8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8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8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8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8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8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8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8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8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8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8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8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8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8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8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8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8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8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8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8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8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8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8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8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8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8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8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8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8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8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8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8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8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8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8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8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8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8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8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8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8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8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8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8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8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8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8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8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8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8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8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8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8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8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8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8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8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8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8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8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8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8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8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8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8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8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8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8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8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8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8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8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8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8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8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8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8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8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8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8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8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8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8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8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8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8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8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8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8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8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8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8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8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8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8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8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8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8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8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8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8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8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8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8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8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8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8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8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8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8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8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8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8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8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8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8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8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8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8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8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8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8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8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8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8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8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8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8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8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8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8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8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8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8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8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8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8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8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8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8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8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8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8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8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8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8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8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8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8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8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8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8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8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8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8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8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8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8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8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8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8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8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8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8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8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8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8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8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8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8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8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8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8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8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8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8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8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8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8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8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8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8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8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8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8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8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8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8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8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8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8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8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8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8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8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8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8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8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8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8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8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8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8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8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8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8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8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8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8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8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8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8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8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conditionalFormatting sqref="U2:U70">
    <cfRule type="containsText" dxfId="4" priority="1" operator="containsText" text="Available">
      <formula>NOT(ISERROR(SEARCH(("Available"),(U2))))</formula>
    </cfRule>
  </conditionalFormatting>
  <conditionalFormatting sqref="U2:U70">
    <cfRule type="containsText" dxfId="5" priority="2" operator="containsText" text="Sold">
      <formula>NOT(ISERROR(SEARCH(("Sold"),(U2))))</formula>
    </cfRule>
  </conditionalFormatting>
  <conditionalFormatting sqref="U2:U70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15.57"/>
    <col customWidth="1" min="3" max="3" width="15.14"/>
    <col customWidth="1" min="4" max="4" width="16.86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5.57"/>
    <col customWidth="1" min="21" max="21" width="15.14"/>
    <col customWidth="1" min="22" max="26" width="8.71"/>
  </cols>
  <sheetData>
    <row r="1">
      <c r="A1" s="171" t="s">
        <v>2</v>
      </c>
      <c r="B1" s="171" t="s">
        <v>84</v>
      </c>
      <c r="C1" s="171" t="s">
        <v>63</v>
      </c>
      <c r="D1" s="171" t="s">
        <v>74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2</v>
      </c>
      <c r="U1" s="26"/>
      <c r="V1" s="93"/>
      <c r="W1" s="93"/>
      <c r="X1" s="93"/>
      <c r="Y1" s="93"/>
      <c r="Z1" s="93"/>
    </row>
    <row r="2">
      <c r="A2" s="196">
        <v>1.0</v>
      </c>
      <c r="B2" s="196">
        <v>6.558</v>
      </c>
      <c r="C2" s="196">
        <f t="shared" ref="C2:C97" si="1">B2*(25/100)</f>
        <v>1.6395</v>
      </c>
      <c r="D2" s="196">
        <f t="shared" ref="D2:D97" si="2">C2+B2</f>
        <v>8.1975</v>
      </c>
      <c r="E2" s="196">
        <v>0.96</v>
      </c>
      <c r="F2" s="196"/>
      <c r="G2" s="196"/>
      <c r="H2" s="196"/>
      <c r="I2" s="196"/>
      <c r="J2" s="196"/>
      <c r="K2" s="196">
        <v>6.1</v>
      </c>
      <c r="L2" s="197">
        <f>E2*Prices!B$2</f>
        <v>105600</v>
      </c>
      <c r="M2" s="197">
        <f>F2*Prices!C$2</f>
        <v>0</v>
      </c>
      <c r="N2" s="197">
        <f>G2*Prices!D$2</f>
        <v>0</v>
      </c>
      <c r="O2" s="197">
        <f>H2*Prices!E$2</f>
        <v>0</v>
      </c>
      <c r="P2" s="197">
        <f t="shared" ref="P2:P57" si="3">I2*2000+J2*10000+K2*1800</f>
        <v>10980</v>
      </c>
      <c r="Q2" s="197">
        <f>D2*Prices!A$2</f>
        <v>146325.375</v>
      </c>
      <c r="R2" s="198">
        <f t="shared" ref="R2:R97" si="4">L2+M2+N2+O2</f>
        <v>105600</v>
      </c>
      <c r="S2" s="197">
        <f t="shared" ref="S2:S97" si="5">R2+Q2+P2</f>
        <v>262905.375</v>
      </c>
      <c r="T2" s="196">
        <v>1.0</v>
      </c>
      <c r="U2" s="196" t="s">
        <v>83</v>
      </c>
      <c r="V2" s="192"/>
      <c r="W2" s="192"/>
      <c r="X2" s="192"/>
      <c r="Y2" s="192"/>
      <c r="Z2" s="192"/>
    </row>
    <row r="3">
      <c r="A3" s="196">
        <v>2.0</v>
      </c>
      <c r="B3" s="196">
        <v>5.89</v>
      </c>
      <c r="C3" s="196">
        <f t="shared" si="1"/>
        <v>1.4725</v>
      </c>
      <c r="D3" s="196">
        <f t="shared" si="2"/>
        <v>7.3625</v>
      </c>
      <c r="E3" s="196">
        <v>0.84</v>
      </c>
      <c r="F3" s="196"/>
      <c r="G3" s="196"/>
      <c r="H3" s="196"/>
      <c r="I3" s="196"/>
      <c r="J3" s="196"/>
      <c r="K3" s="196">
        <v>4.19</v>
      </c>
      <c r="L3" s="174">
        <f>E3*Prices!B$2</f>
        <v>92400</v>
      </c>
      <c r="M3" s="174">
        <f>F3*Prices!C$2</f>
        <v>0</v>
      </c>
      <c r="N3" s="174">
        <f>G3*Prices!D$2</f>
        <v>0</v>
      </c>
      <c r="O3" s="174">
        <f>H3*Prices!E$2</f>
        <v>0</v>
      </c>
      <c r="P3" s="174">
        <f t="shared" si="3"/>
        <v>7542</v>
      </c>
      <c r="Q3" s="174">
        <f>D3*Prices!A$2</f>
        <v>131420.625</v>
      </c>
      <c r="R3" s="198">
        <f t="shared" si="4"/>
        <v>92400</v>
      </c>
      <c r="S3" s="197">
        <f t="shared" si="5"/>
        <v>231362.625</v>
      </c>
      <c r="T3" s="196">
        <v>2.0</v>
      </c>
      <c r="U3" s="26" t="s">
        <v>83</v>
      </c>
      <c r="V3" s="93"/>
      <c r="W3" s="93"/>
      <c r="X3" s="93"/>
      <c r="Y3" s="93"/>
      <c r="Z3" s="93"/>
    </row>
    <row r="4">
      <c r="A4" s="26">
        <v>3.0</v>
      </c>
      <c r="B4" s="26">
        <v>2.902</v>
      </c>
      <c r="C4" s="26">
        <f t="shared" si="1"/>
        <v>0.7255</v>
      </c>
      <c r="D4" s="26">
        <f t="shared" si="2"/>
        <v>3.6275</v>
      </c>
      <c r="E4" s="26">
        <v>0.64</v>
      </c>
      <c r="F4" s="26"/>
      <c r="G4" s="26"/>
      <c r="H4" s="26"/>
      <c r="I4" s="26"/>
      <c r="J4" s="26"/>
      <c r="K4" s="26"/>
      <c r="L4" s="174">
        <f>E4*Prices!B$2</f>
        <v>70400</v>
      </c>
      <c r="M4" s="174">
        <f>F4*Prices!C$2</f>
        <v>0</v>
      </c>
      <c r="N4" s="174">
        <f>G4*Prices!D$2</f>
        <v>0</v>
      </c>
      <c r="O4" s="174">
        <f>H4*Prices!E$2</f>
        <v>0</v>
      </c>
      <c r="P4" s="174">
        <f t="shared" si="3"/>
        <v>0</v>
      </c>
      <c r="Q4" s="174">
        <f>D4*Prices!A$2</f>
        <v>64750.875</v>
      </c>
      <c r="R4" s="175">
        <f t="shared" si="4"/>
        <v>70400</v>
      </c>
      <c r="S4" s="174">
        <f t="shared" si="5"/>
        <v>135150.875</v>
      </c>
      <c r="T4" s="26">
        <v>3.0</v>
      </c>
      <c r="U4" s="26" t="s">
        <v>80</v>
      </c>
      <c r="V4" s="93" t="s">
        <v>81</v>
      </c>
      <c r="W4" s="93"/>
      <c r="X4" s="93"/>
      <c r="Y4" s="93"/>
      <c r="Z4" s="93"/>
    </row>
    <row r="5">
      <c r="A5" s="26">
        <v>4.0</v>
      </c>
      <c r="B5" s="26">
        <v>3.04</v>
      </c>
      <c r="C5" s="26">
        <f t="shared" si="1"/>
        <v>0.76</v>
      </c>
      <c r="D5" s="26">
        <f t="shared" si="2"/>
        <v>3.8</v>
      </c>
      <c r="E5" s="26"/>
      <c r="F5" s="26">
        <v>0.95</v>
      </c>
      <c r="G5" s="26"/>
      <c r="H5" s="26"/>
      <c r="I5" s="26"/>
      <c r="J5" s="26"/>
      <c r="K5" s="26"/>
      <c r="L5" s="174">
        <f>E5*Prices!B$2</f>
        <v>0</v>
      </c>
      <c r="M5" s="174">
        <f>F5*Prices!C$2</f>
        <v>152000</v>
      </c>
      <c r="N5" s="174">
        <f>G5*Prices!D$2</f>
        <v>0</v>
      </c>
      <c r="O5" s="174">
        <f>H5*Prices!E$2</f>
        <v>0</v>
      </c>
      <c r="P5" s="174">
        <f t="shared" si="3"/>
        <v>0</v>
      </c>
      <c r="Q5" s="174">
        <f>D5*Prices!A$2</f>
        <v>67830</v>
      </c>
      <c r="R5" s="175">
        <f t="shared" si="4"/>
        <v>152000</v>
      </c>
      <c r="S5" s="174">
        <f t="shared" si="5"/>
        <v>219830</v>
      </c>
      <c r="T5" s="26">
        <v>4.0</v>
      </c>
      <c r="U5" s="26" t="s">
        <v>80</v>
      </c>
      <c r="V5" s="93" t="s">
        <v>81</v>
      </c>
      <c r="W5" s="93"/>
      <c r="X5" s="93"/>
      <c r="Y5" s="93"/>
      <c r="Z5" s="93"/>
    </row>
    <row r="6">
      <c r="A6" s="26">
        <v>5.0</v>
      </c>
      <c r="B6" s="26">
        <v>3.936</v>
      </c>
      <c r="C6" s="26">
        <f t="shared" si="1"/>
        <v>0.984</v>
      </c>
      <c r="D6" s="26">
        <f t="shared" si="2"/>
        <v>4.92</v>
      </c>
      <c r="E6" s="26">
        <v>0.65</v>
      </c>
      <c r="F6" s="26"/>
      <c r="G6" s="26">
        <v>0.32</v>
      </c>
      <c r="H6" s="26"/>
      <c r="I6" s="26"/>
      <c r="J6" s="26"/>
      <c r="K6" s="26"/>
      <c r="L6" s="174">
        <f>E6*Prices!B$2</f>
        <v>71500</v>
      </c>
      <c r="M6" s="174">
        <f>F6*Prices!C$2</f>
        <v>0</v>
      </c>
      <c r="N6" s="174">
        <f>G6*Prices!D$2</f>
        <v>62400</v>
      </c>
      <c r="O6" s="174">
        <f>H6*Prices!E$2</f>
        <v>0</v>
      </c>
      <c r="P6" s="174">
        <f t="shared" si="3"/>
        <v>0</v>
      </c>
      <c r="Q6" s="174">
        <f>D6*Prices!A$2</f>
        <v>87822</v>
      </c>
      <c r="R6" s="175">
        <f t="shared" si="4"/>
        <v>133900</v>
      </c>
      <c r="S6" s="174">
        <f t="shared" si="5"/>
        <v>221722</v>
      </c>
      <c r="T6" s="26">
        <v>5.0</v>
      </c>
      <c r="U6" s="26" t="s">
        <v>80</v>
      </c>
      <c r="V6" s="93" t="s">
        <v>81</v>
      </c>
      <c r="W6" s="93"/>
      <c r="X6" s="93"/>
      <c r="Y6" s="93"/>
      <c r="Z6" s="93"/>
    </row>
    <row r="7">
      <c r="A7" s="26">
        <v>6.0</v>
      </c>
      <c r="B7" s="26">
        <v>5.382</v>
      </c>
      <c r="C7" s="26">
        <f t="shared" si="1"/>
        <v>1.3455</v>
      </c>
      <c r="D7" s="26">
        <f t="shared" si="2"/>
        <v>6.7275</v>
      </c>
      <c r="E7" s="26">
        <f>0.4+0.29</f>
        <v>0.69</v>
      </c>
      <c r="F7" s="26"/>
      <c r="G7" s="26"/>
      <c r="H7" s="26"/>
      <c r="I7" s="26"/>
      <c r="J7" s="26"/>
      <c r="K7" s="26"/>
      <c r="L7" s="174">
        <f>E7*Prices!B$2</f>
        <v>75900</v>
      </c>
      <c r="M7" s="174">
        <f>F7*Prices!C$2</f>
        <v>0</v>
      </c>
      <c r="N7" s="174">
        <f>G7*Prices!D$2</f>
        <v>0</v>
      </c>
      <c r="O7" s="174">
        <f>H7*Prices!E$2</f>
        <v>0</v>
      </c>
      <c r="P7" s="174">
        <f t="shared" si="3"/>
        <v>0</v>
      </c>
      <c r="Q7" s="174">
        <f>D7*Prices!A$2</f>
        <v>120085.875</v>
      </c>
      <c r="R7" s="175">
        <f t="shared" si="4"/>
        <v>75900</v>
      </c>
      <c r="S7" s="174">
        <f t="shared" si="5"/>
        <v>195985.875</v>
      </c>
      <c r="T7" s="26">
        <v>6.0</v>
      </c>
      <c r="U7" s="26" t="s">
        <v>82</v>
      </c>
      <c r="V7" s="93"/>
      <c r="W7" s="93"/>
      <c r="X7" s="93"/>
      <c r="Y7" s="93"/>
      <c r="Z7" s="93"/>
    </row>
    <row r="8">
      <c r="A8" s="26">
        <v>7.0</v>
      </c>
      <c r="B8" s="26">
        <v>3.078</v>
      </c>
      <c r="C8" s="26">
        <f t="shared" si="1"/>
        <v>0.7695</v>
      </c>
      <c r="D8" s="26">
        <f t="shared" si="2"/>
        <v>3.8475</v>
      </c>
      <c r="E8" s="26">
        <v>0.56</v>
      </c>
      <c r="F8" s="26"/>
      <c r="G8" s="26"/>
      <c r="H8" s="26"/>
      <c r="I8" s="26"/>
      <c r="J8" s="26"/>
      <c r="K8" s="26"/>
      <c r="L8" s="174">
        <f>E8*Prices!B$2</f>
        <v>61600</v>
      </c>
      <c r="M8" s="174">
        <f>F8*Prices!C$2</f>
        <v>0</v>
      </c>
      <c r="N8" s="174">
        <f>G8*Prices!D$2</f>
        <v>0</v>
      </c>
      <c r="O8" s="174">
        <f>H8*Prices!E$2</f>
        <v>0</v>
      </c>
      <c r="P8" s="174">
        <f t="shared" si="3"/>
        <v>0</v>
      </c>
      <c r="Q8" s="174">
        <f>D8*Prices!A$2</f>
        <v>68677.875</v>
      </c>
      <c r="R8" s="175">
        <f t="shared" si="4"/>
        <v>61600</v>
      </c>
      <c r="S8" s="174">
        <f t="shared" si="5"/>
        <v>130277.875</v>
      </c>
      <c r="T8" s="26">
        <v>7.0</v>
      </c>
      <c r="U8" s="26" t="s">
        <v>82</v>
      </c>
      <c r="V8" s="93"/>
      <c r="W8" s="93"/>
      <c r="X8" s="93"/>
      <c r="Y8" s="93"/>
      <c r="Z8" s="93"/>
    </row>
    <row r="9">
      <c r="A9" s="26">
        <v>8.0</v>
      </c>
      <c r="B9" s="26">
        <v>3.996</v>
      </c>
      <c r="C9" s="26">
        <f t="shared" si="1"/>
        <v>0.999</v>
      </c>
      <c r="D9" s="26">
        <f t="shared" si="2"/>
        <v>4.995</v>
      </c>
      <c r="E9" s="26">
        <f>0.66+0.21</f>
        <v>0.87</v>
      </c>
      <c r="F9" s="26"/>
      <c r="G9" s="26"/>
      <c r="H9" s="26"/>
      <c r="I9" s="26"/>
      <c r="J9" s="26"/>
      <c r="K9" s="26"/>
      <c r="L9" s="174">
        <f>E9*Prices!B$2</f>
        <v>95700</v>
      </c>
      <c r="M9" s="174">
        <f>F9*Prices!C$2</f>
        <v>0</v>
      </c>
      <c r="N9" s="174">
        <f>G9*Prices!D$2</f>
        <v>0</v>
      </c>
      <c r="O9" s="174">
        <f>H9*Prices!E$2</f>
        <v>0</v>
      </c>
      <c r="P9" s="174">
        <f t="shared" si="3"/>
        <v>0</v>
      </c>
      <c r="Q9" s="174">
        <f>D9*Prices!A$2</f>
        <v>89160.75</v>
      </c>
      <c r="R9" s="175">
        <f t="shared" si="4"/>
        <v>95700</v>
      </c>
      <c r="S9" s="174">
        <f t="shared" si="5"/>
        <v>184860.75</v>
      </c>
      <c r="T9" s="26">
        <v>8.0</v>
      </c>
      <c r="U9" s="26" t="s">
        <v>82</v>
      </c>
      <c r="V9" s="93"/>
      <c r="W9" s="93"/>
      <c r="X9" s="93"/>
      <c r="Y9" s="93"/>
      <c r="Z9" s="93"/>
    </row>
    <row r="10">
      <c r="A10" s="26">
        <v>9.0</v>
      </c>
      <c r="B10" s="26">
        <v>2.502</v>
      </c>
      <c r="C10" s="26">
        <f t="shared" si="1"/>
        <v>0.6255</v>
      </c>
      <c r="D10" s="26">
        <f t="shared" si="2"/>
        <v>3.1275</v>
      </c>
      <c r="E10" s="26">
        <v>0.44</v>
      </c>
      <c r="F10" s="26"/>
      <c r="G10" s="26"/>
      <c r="H10" s="26"/>
      <c r="I10" s="26"/>
      <c r="J10" s="26"/>
      <c r="K10" s="26"/>
      <c r="L10" s="174">
        <f>E10*Prices!B$2</f>
        <v>48400</v>
      </c>
      <c r="M10" s="174">
        <f>F10*Prices!C$2</f>
        <v>0</v>
      </c>
      <c r="N10" s="174">
        <f>G10*Prices!D$2</f>
        <v>0</v>
      </c>
      <c r="O10" s="174">
        <f>H10*Prices!E$2</f>
        <v>0</v>
      </c>
      <c r="P10" s="174">
        <f t="shared" si="3"/>
        <v>0</v>
      </c>
      <c r="Q10" s="174">
        <f>D10*Prices!A$2</f>
        <v>55825.875</v>
      </c>
      <c r="R10" s="175">
        <f t="shared" si="4"/>
        <v>48400</v>
      </c>
      <c r="S10" s="174">
        <f t="shared" si="5"/>
        <v>104225.875</v>
      </c>
      <c r="T10" s="26">
        <v>9.0</v>
      </c>
      <c r="U10" s="26" t="s">
        <v>82</v>
      </c>
      <c r="V10" s="93"/>
      <c r="W10" s="93"/>
      <c r="X10" s="93"/>
      <c r="Y10" s="93"/>
      <c r="Z10" s="93"/>
    </row>
    <row r="11">
      <c r="A11" s="26">
        <v>10.0</v>
      </c>
      <c r="B11" s="26">
        <v>1.908</v>
      </c>
      <c r="C11" s="26">
        <f t="shared" si="1"/>
        <v>0.477</v>
      </c>
      <c r="D11" s="26">
        <f t="shared" si="2"/>
        <v>2.385</v>
      </c>
      <c r="E11" s="26">
        <v>0.36</v>
      </c>
      <c r="F11" s="26"/>
      <c r="G11" s="26"/>
      <c r="H11" s="26"/>
      <c r="I11" s="26"/>
      <c r="J11" s="26"/>
      <c r="K11" s="26"/>
      <c r="L11" s="174">
        <f>E11*Prices!B$2</f>
        <v>39600</v>
      </c>
      <c r="M11" s="174">
        <f>F11*Prices!C$2</f>
        <v>0</v>
      </c>
      <c r="N11" s="174">
        <f>G11*Prices!D$2</f>
        <v>0</v>
      </c>
      <c r="O11" s="174">
        <f>H11*Prices!E$2</f>
        <v>0</v>
      </c>
      <c r="P11" s="174">
        <f t="shared" si="3"/>
        <v>0</v>
      </c>
      <c r="Q11" s="174">
        <f>D11*Prices!A$2</f>
        <v>42572.25</v>
      </c>
      <c r="R11" s="175">
        <f t="shared" si="4"/>
        <v>39600</v>
      </c>
      <c r="S11" s="174">
        <f t="shared" si="5"/>
        <v>82172.25</v>
      </c>
      <c r="T11" s="26">
        <v>10.0</v>
      </c>
      <c r="U11" s="26" t="s">
        <v>80</v>
      </c>
      <c r="V11" s="93" t="s">
        <v>81</v>
      </c>
      <c r="W11" s="93"/>
      <c r="X11" s="93"/>
      <c r="Y11" s="93"/>
      <c r="Z11" s="93"/>
    </row>
    <row r="12">
      <c r="A12" s="26">
        <v>11.0</v>
      </c>
      <c r="B12" s="26">
        <v>2.306</v>
      </c>
      <c r="C12" s="26">
        <f t="shared" si="1"/>
        <v>0.5765</v>
      </c>
      <c r="D12" s="26">
        <f t="shared" si="2"/>
        <v>2.8825</v>
      </c>
      <c r="E12" s="26">
        <v>0.27</v>
      </c>
      <c r="F12" s="26"/>
      <c r="G12" s="26"/>
      <c r="H12" s="26"/>
      <c r="I12" s="26"/>
      <c r="J12" s="26"/>
      <c r="K12" s="26"/>
      <c r="L12" s="174">
        <f>E12*Prices!B$2</f>
        <v>29700</v>
      </c>
      <c r="M12" s="174">
        <f>F12*Prices!C$2</f>
        <v>0</v>
      </c>
      <c r="N12" s="174">
        <f>G12*Prices!D$2</f>
        <v>0</v>
      </c>
      <c r="O12" s="174">
        <f>H12*Prices!E$2</f>
        <v>0</v>
      </c>
      <c r="P12" s="174">
        <f t="shared" si="3"/>
        <v>0</v>
      </c>
      <c r="Q12" s="174">
        <f>D12*Prices!A$2</f>
        <v>51452.625</v>
      </c>
      <c r="R12" s="175">
        <f t="shared" si="4"/>
        <v>29700</v>
      </c>
      <c r="S12" s="174">
        <f t="shared" si="5"/>
        <v>81152.625</v>
      </c>
      <c r="T12" s="26">
        <v>11.0</v>
      </c>
      <c r="U12" s="26" t="s">
        <v>82</v>
      </c>
      <c r="V12" s="93"/>
      <c r="W12" s="93"/>
      <c r="X12" s="93"/>
      <c r="Y12" s="93"/>
      <c r="Z12" s="93"/>
    </row>
    <row r="13">
      <c r="A13" s="196">
        <v>12.0</v>
      </c>
      <c r="B13" s="196">
        <v>4.23</v>
      </c>
      <c r="C13" s="196">
        <f t="shared" si="1"/>
        <v>1.0575</v>
      </c>
      <c r="D13" s="196">
        <f t="shared" si="2"/>
        <v>5.2875</v>
      </c>
      <c r="E13" s="196">
        <v>0.6</v>
      </c>
      <c r="F13" s="196"/>
      <c r="G13" s="196"/>
      <c r="H13" s="196"/>
      <c r="I13" s="196"/>
      <c r="J13" s="196"/>
      <c r="K13" s="196"/>
      <c r="L13" s="197">
        <f>E13*Prices!B$2</f>
        <v>66000</v>
      </c>
      <c r="M13" s="197">
        <f>F13*Prices!C$2</f>
        <v>0</v>
      </c>
      <c r="N13" s="197">
        <f>G13*Prices!D$2</f>
        <v>0</v>
      </c>
      <c r="O13" s="197">
        <f>H13*Prices!E$2</f>
        <v>0</v>
      </c>
      <c r="P13" s="197">
        <f t="shared" si="3"/>
        <v>0</v>
      </c>
      <c r="Q13" s="197">
        <f>D13*Prices!A$2</f>
        <v>94381.875</v>
      </c>
      <c r="R13" s="198">
        <f t="shared" si="4"/>
        <v>66000</v>
      </c>
      <c r="S13" s="197">
        <f t="shared" si="5"/>
        <v>160381.875</v>
      </c>
      <c r="T13" s="196">
        <v>12.0</v>
      </c>
      <c r="U13" s="196" t="s">
        <v>83</v>
      </c>
      <c r="V13" s="192"/>
      <c r="W13" s="192"/>
      <c r="X13" s="192"/>
      <c r="Y13" s="192"/>
      <c r="Z13" s="192"/>
    </row>
    <row r="14">
      <c r="A14" s="26">
        <v>13.0</v>
      </c>
      <c r="B14" s="26">
        <v>4.4</v>
      </c>
      <c r="C14" s="26">
        <f t="shared" si="1"/>
        <v>1.1</v>
      </c>
      <c r="D14" s="26">
        <f t="shared" si="2"/>
        <v>5.5</v>
      </c>
      <c r="E14" s="26">
        <v>0.75</v>
      </c>
      <c r="F14" s="26"/>
      <c r="G14" s="26"/>
      <c r="H14" s="26"/>
      <c r="I14" s="26"/>
      <c r="J14" s="26"/>
      <c r="K14" s="26"/>
      <c r="L14" s="174">
        <f>E14*Prices!B$2</f>
        <v>82500</v>
      </c>
      <c r="M14" s="174">
        <f>F14*Prices!C$2</f>
        <v>0</v>
      </c>
      <c r="N14" s="174">
        <f>G14*Prices!D$2</f>
        <v>0</v>
      </c>
      <c r="O14" s="174">
        <f>H14*Prices!E$2</f>
        <v>0</v>
      </c>
      <c r="P14" s="174">
        <f t="shared" si="3"/>
        <v>0</v>
      </c>
      <c r="Q14" s="174">
        <f>D14*Prices!A$2</f>
        <v>98175</v>
      </c>
      <c r="R14" s="175">
        <f t="shared" si="4"/>
        <v>82500</v>
      </c>
      <c r="S14" s="174">
        <f t="shared" si="5"/>
        <v>180675</v>
      </c>
      <c r="T14" s="26">
        <v>13.0</v>
      </c>
      <c r="U14" s="26" t="s">
        <v>80</v>
      </c>
      <c r="V14" s="93" t="s">
        <v>81</v>
      </c>
      <c r="W14" s="93"/>
      <c r="X14" s="93"/>
      <c r="Y14" s="93"/>
      <c r="Z14" s="93"/>
    </row>
    <row r="15">
      <c r="A15" s="196">
        <v>14.0</v>
      </c>
      <c r="B15" s="196">
        <v>4.932</v>
      </c>
      <c r="C15" s="196">
        <f t="shared" si="1"/>
        <v>1.233</v>
      </c>
      <c r="D15" s="196">
        <f t="shared" si="2"/>
        <v>6.165</v>
      </c>
      <c r="E15" s="196">
        <v>0.69</v>
      </c>
      <c r="F15" s="196"/>
      <c r="G15" s="196"/>
      <c r="H15" s="196"/>
      <c r="I15" s="196"/>
      <c r="J15" s="196"/>
      <c r="K15" s="196"/>
      <c r="L15" s="197">
        <f>E15*Prices!B$2</f>
        <v>75900</v>
      </c>
      <c r="M15" s="197">
        <f>F15*Prices!C$2</f>
        <v>0</v>
      </c>
      <c r="N15" s="197">
        <f>G15*Prices!D$2</f>
        <v>0</v>
      </c>
      <c r="O15" s="197">
        <f>H15*Prices!E$2</f>
        <v>0</v>
      </c>
      <c r="P15" s="197">
        <f t="shared" si="3"/>
        <v>0</v>
      </c>
      <c r="Q15" s="197">
        <f>D15*Prices!A$2</f>
        <v>110045.25</v>
      </c>
      <c r="R15" s="198">
        <f t="shared" si="4"/>
        <v>75900</v>
      </c>
      <c r="S15" s="197">
        <f t="shared" si="5"/>
        <v>185945.25</v>
      </c>
      <c r="T15" s="196">
        <v>14.0</v>
      </c>
      <c r="U15" s="196" t="s">
        <v>83</v>
      </c>
      <c r="V15" s="192"/>
      <c r="W15" s="192"/>
      <c r="X15" s="192"/>
      <c r="Y15" s="192"/>
      <c r="Z15" s="192"/>
    </row>
    <row r="16">
      <c r="A16" s="26">
        <v>15.0</v>
      </c>
      <c r="B16" s="26">
        <v>3.97</v>
      </c>
      <c r="C16" s="26">
        <f t="shared" si="1"/>
        <v>0.9925</v>
      </c>
      <c r="D16" s="26">
        <f t="shared" si="2"/>
        <v>4.9625</v>
      </c>
      <c r="E16" s="26">
        <v>1.35</v>
      </c>
      <c r="F16" s="26"/>
      <c r="G16" s="26"/>
      <c r="H16" s="26"/>
      <c r="I16" s="26"/>
      <c r="J16" s="26"/>
      <c r="K16" s="26"/>
      <c r="L16" s="174">
        <f>E16*Prices!B$2</f>
        <v>148500</v>
      </c>
      <c r="M16" s="174">
        <f>F16*Prices!C$2</f>
        <v>0</v>
      </c>
      <c r="N16" s="174">
        <f>G16*Prices!D$2</f>
        <v>0</v>
      </c>
      <c r="O16" s="174">
        <f>H16*Prices!E$2</f>
        <v>0</v>
      </c>
      <c r="P16" s="174">
        <f t="shared" si="3"/>
        <v>0</v>
      </c>
      <c r="Q16" s="174">
        <f>D16*Prices!A$2</f>
        <v>88580.625</v>
      </c>
      <c r="R16" s="175">
        <f t="shared" si="4"/>
        <v>148500</v>
      </c>
      <c r="S16" s="174">
        <f t="shared" si="5"/>
        <v>237080.625</v>
      </c>
      <c r="T16" s="26">
        <v>15.0</v>
      </c>
      <c r="U16" s="26" t="s">
        <v>80</v>
      </c>
      <c r="V16" s="93" t="s">
        <v>81</v>
      </c>
      <c r="W16" s="93"/>
      <c r="X16" s="93"/>
      <c r="Y16" s="93"/>
      <c r="Z16" s="93"/>
    </row>
    <row r="17">
      <c r="A17" s="26">
        <v>16.0</v>
      </c>
      <c r="B17" s="26">
        <v>2.866</v>
      </c>
      <c r="C17" s="26">
        <f t="shared" si="1"/>
        <v>0.7165</v>
      </c>
      <c r="D17" s="26">
        <f t="shared" si="2"/>
        <v>3.5825</v>
      </c>
      <c r="E17" s="26">
        <v>0.67</v>
      </c>
      <c r="F17" s="26"/>
      <c r="G17" s="26"/>
      <c r="H17" s="26"/>
      <c r="I17" s="26"/>
      <c r="J17" s="26"/>
      <c r="K17" s="26"/>
      <c r="L17" s="174">
        <f>E17*Prices!B$2</f>
        <v>73700</v>
      </c>
      <c r="M17" s="174">
        <f>F17*Prices!C$2</f>
        <v>0</v>
      </c>
      <c r="N17" s="174">
        <f>G17*Prices!D$2</f>
        <v>0</v>
      </c>
      <c r="O17" s="174">
        <f>H17*Prices!E$2</f>
        <v>0</v>
      </c>
      <c r="P17" s="174">
        <f t="shared" si="3"/>
        <v>0</v>
      </c>
      <c r="Q17" s="174">
        <f>D17*Prices!A$2</f>
        <v>63947.625</v>
      </c>
      <c r="R17" s="175">
        <f t="shared" si="4"/>
        <v>73700</v>
      </c>
      <c r="S17" s="174">
        <f t="shared" si="5"/>
        <v>137647.625</v>
      </c>
      <c r="T17" s="26">
        <v>16.0</v>
      </c>
      <c r="U17" s="26" t="s">
        <v>82</v>
      </c>
      <c r="V17" s="93"/>
      <c r="W17" s="93"/>
      <c r="X17" s="93"/>
      <c r="Y17" s="93"/>
      <c r="Z17" s="93"/>
    </row>
    <row r="18">
      <c r="A18" s="26">
        <v>17.0</v>
      </c>
      <c r="B18" s="26">
        <v>1.548</v>
      </c>
      <c r="C18" s="26">
        <f t="shared" si="1"/>
        <v>0.387</v>
      </c>
      <c r="D18" s="26">
        <f t="shared" si="2"/>
        <v>1.935</v>
      </c>
      <c r="E18" s="26">
        <v>0.21</v>
      </c>
      <c r="F18" s="26"/>
      <c r="G18" s="26"/>
      <c r="H18" s="26"/>
      <c r="I18" s="26"/>
      <c r="J18" s="26"/>
      <c r="K18" s="26"/>
      <c r="L18" s="174">
        <f>E18*Prices!B$2</f>
        <v>23100</v>
      </c>
      <c r="M18" s="174">
        <f>F18*Prices!C$2</f>
        <v>0</v>
      </c>
      <c r="N18" s="174">
        <f>G18*Prices!D$2</f>
        <v>0</v>
      </c>
      <c r="O18" s="174">
        <f>H18*Prices!E$2</f>
        <v>0</v>
      </c>
      <c r="P18" s="174">
        <f t="shared" si="3"/>
        <v>0</v>
      </c>
      <c r="Q18" s="174">
        <f>D18*Prices!A$2</f>
        <v>34539.75</v>
      </c>
      <c r="R18" s="175">
        <f t="shared" si="4"/>
        <v>23100</v>
      </c>
      <c r="S18" s="174">
        <f t="shared" si="5"/>
        <v>57639.75</v>
      </c>
      <c r="T18" s="26">
        <v>17.0</v>
      </c>
      <c r="U18" s="26" t="s">
        <v>80</v>
      </c>
      <c r="V18" s="93" t="s">
        <v>81</v>
      </c>
      <c r="W18" s="93"/>
      <c r="X18" s="93"/>
      <c r="Y18" s="93"/>
      <c r="Z18" s="93"/>
    </row>
    <row r="19">
      <c r="A19" s="26">
        <v>18.0</v>
      </c>
      <c r="B19" s="26">
        <v>4.62</v>
      </c>
      <c r="C19" s="26">
        <f t="shared" si="1"/>
        <v>1.155</v>
      </c>
      <c r="D19" s="26">
        <f t="shared" si="2"/>
        <v>5.775</v>
      </c>
      <c r="E19" s="26">
        <v>1.12</v>
      </c>
      <c r="F19" s="26"/>
      <c r="G19" s="26"/>
      <c r="H19" s="26"/>
      <c r="I19" s="26"/>
      <c r="J19" s="26"/>
      <c r="K19" s="26"/>
      <c r="L19" s="174">
        <f>E19*Prices!B$2</f>
        <v>123200</v>
      </c>
      <c r="M19" s="174">
        <f>F19*Prices!C$2</f>
        <v>0</v>
      </c>
      <c r="N19" s="174">
        <f>G19*Prices!D$2</f>
        <v>0</v>
      </c>
      <c r="O19" s="174">
        <f>H19*Prices!E$2</f>
        <v>0</v>
      </c>
      <c r="P19" s="174">
        <f t="shared" si="3"/>
        <v>0</v>
      </c>
      <c r="Q19" s="174">
        <f>D19*Prices!A$2</f>
        <v>103083.75</v>
      </c>
      <c r="R19" s="175">
        <f t="shared" si="4"/>
        <v>123200</v>
      </c>
      <c r="S19" s="174">
        <f t="shared" si="5"/>
        <v>226283.75</v>
      </c>
      <c r="T19" s="26">
        <v>18.0</v>
      </c>
      <c r="U19" s="26" t="s">
        <v>82</v>
      </c>
      <c r="V19" s="93"/>
      <c r="W19" s="93"/>
      <c r="X19" s="93"/>
      <c r="Y19" s="93"/>
      <c r="Z19" s="93"/>
    </row>
    <row r="20">
      <c r="A20" s="26">
        <v>19.0</v>
      </c>
      <c r="B20" s="26">
        <v>4.136</v>
      </c>
      <c r="C20" s="26">
        <f t="shared" si="1"/>
        <v>1.034</v>
      </c>
      <c r="D20" s="26">
        <f t="shared" si="2"/>
        <v>5.17</v>
      </c>
      <c r="E20" s="26">
        <v>0.42</v>
      </c>
      <c r="F20" s="26"/>
      <c r="G20" s="26"/>
      <c r="H20" s="26"/>
      <c r="I20" s="26"/>
      <c r="J20" s="26"/>
      <c r="K20" s="26"/>
      <c r="L20" s="174">
        <f>E20*Prices!B$2</f>
        <v>46200</v>
      </c>
      <c r="M20" s="174">
        <f>F20*Prices!C$2</f>
        <v>0</v>
      </c>
      <c r="N20" s="174">
        <f>G20*Prices!D$2</f>
        <v>0</v>
      </c>
      <c r="O20" s="174">
        <f>H20*Prices!E$2</f>
        <v>0</v>
      </c>
      <c r="P20" s="174">
        <f t="shared" si="3"/>
        <v>0</v>
      </c>
      <c r="Q20" s="174">
        <f>D20*Prices!A$2</f>
        <v>92284.5</v>
      </c>
      <c r="R20" s="175">
        <f t="shared" si="4"/>
        <v>46200</v>
      </c>
      <c r="S20" s="174">
        <f t="shared" si="5"/>
        <v>138484.5</v>
      </c>
      <c r="T20" s="26">
        <v>19.0</v>
      </c>
      <c r="U20" s="26" t="s">
        <v>82</v>
      </c>
      <c r="V20" s="93"/>
      <c r="W20" s="93"/>
      <c r="X20" s="93"/>
      <c r="Y20" s="93"/>
      <c r="Z20" s="93"/>
    </row>
    <row r="21">
      <c r="A21" s="26">
        <v>20.0</v>
      </c>
      <c r="B21" s="26">
        <v>6.37</v>
      </c>
      <c r="C21" s="26">
        <f t="shared" si="1"/>
        <v>1.5925</v>
      </c>
      <c r="D21" s="26">
        <f t="shared" si="2"/>
        <v>7.9625</v>
      </c>
      <c r="E21" s="26">
        <v>1.27</v>
      </c>
      <c r="F21" s="26"/>
      <c r="G21" s="26"/>
      <c r="H21" s="26"/>
      <c r="I21" s="26"/>
      <c r="J21" s="26">
        <v>4.86</v>
      </c>
      <c r="K21" s="26"/>
      <c r="L21" s="174">
        <f>E21*Prices!B$2</f>
        <v>139700</v>
      </c>
      <c r="M21" s="174">
        <f>F21*Prices!C$2</f>
        <v>0</v>
      </c>
      <c r="N21" s="174">
        <f>G21*Prices!D$2</f>
        <v>0</v>
      </c>
      <c r="O21" s="174">
        <f>H21*Prices!E$2</f>
        <v>0</v>
      </c>
      <c r="P21" s="174">
        <f t="shared" si="3"/>
        <v>48600</v>
      </c>
      <c r="Q21" s="174">
        <f>D21*Prices!A$2</f>
        <v>142130.625</v>
      </c>
      <c r="R21" s="175">
        <f t="shared" si="4"/>
        <v>139700</v>
      </c>
      <c r="S21" s="174">
        <f t="shared" si="5"/>
        <v>330430.625</v>
      </c>
      <c r="T21" s="26">
        <v>20.0</v>
      </c>
      <c r="U21" s="26" t="s">
        <v>80</v>
      </c>
      <c r="V21" s="93" t="s">
        <v>81</v>
      </c>
      <c r="W21" s="93"/>
      <c r="X21" s="93"/>
      <c r="Y21" s="93"/>
      <c r="Z21" s="93"/>
    </row>
    <row r="22">
      <c r="A22" s="26">
        <v>21.0</v>
      </c>
      <c r="B22" s="26">
        <v>4.1</v>
      </c>
      <c r="C22" s="26">
        <f t="shared" si="1"/>
        <v>1.025</v>
      </c>
      <c r="D22" s="26">
        <f t="shared" si="2"/>
        <v>5.125</v>
      </c>
      <c r="E22" s="26">
        <v>1.15</v>
      </c>
      <c r="F22" s="26"/>
      <c r="G22" s="26"/>
      <c r="H22" s="26"/>
      <c r="I22" s="26"/>
      <c r="J22" s="26">
        <v>2.29</v>
      </c>
      <c r="K22" s="26"/>
      <c r="L22" s="174">
        <f>E22*Prices!B$2</f>
        <v>126500</v>
      </c>
      <c r="M22" s="174">
        <f>F22*Prices!C$2</f>
        <v>0</v>
      </c>
      <c r="N22" s="174">
        <f>G22*Prices!D$2</f>
        <v>0</v>
      </c>
      <c r="O22" s="174">
        <f>H22*Prices!E$2</f>
        <v>0</v>
      </c>
      <c r="P22" s="174">
        <f t="shared" si="3"/>
        <v>22900</v>
      </c>
      <c r="Q22" s="174">
        <f>D22*Prices!A$2</f>
        <v>91481.25</v>
      </c>
      <c r="R22" s="175">
        <f t="shared" si="4"/>
        <v>126500</v>
      </c>
      <c r="S22" s="174">
        <f t="shared" si="5"/>
        <v>240881.25</v>
      </c>
      <c r="T22" s="26">
        <v>21.0</v>
      </c>
      <c r="U22" s="26" t="s">
        <v>80</v>
      </c>
      <c r="V22" s="93" t="s">
        <v>81</v>
      </c>
      <c r="W22" s="93"/>
      <c r="X22" s="93"/>
      <c r="Y22" s="93"/>
      <c r="Z22" s="93"/>
    </row>
    <row r="23">
      <c r="A23" s="26">
        <v>22.0</v>
      </c>
      <c r="B23" s="26">
        <v>4.836</v>
      </c>
      <c r="C23" s="26">
        <f t="shared" si="1"/>
        <v>1.209</v>
      </c>
      <c r="D23" s="26">
        <f t="shared" si="2"/>
        <v>6.045</v>
      </c>
      <c r="E23" s="26">
        <v>1.13</v>
      </c>
      <c r="F23" s="26"/>
      <c r="G23" s="26"/>
      <c r="H23" s="26"/>
      <c r="I23" s="26"/>
      <c r="J23" s="26">
        <v>1.39</v>
      </c>
      <c r="K23" s="26"/>
      <c r="L23" s="174">
        <f>E23*Prices!B$2</f>
        <v>124300</v>
      </c>
      <c r="M23" s="174">
        <f>F23*Prices!C$2</f>
        <v>0</v>
      </c>
      <c r="N23" s="174">
        <f>G23*Prices!D$2</f>
        <v>0</v>
      </c>
      <c r="O23" s="174">
        <f>H23*Prices!E$2</f>
        <v>0</v>
      </c>
      <c r="P23" s="174">
        <f t="shared" si="3"/>
        <v>13900</v>
      </c>
      <c r="Q23" s="174">
        <f>D23*Prices!A$2</f>
        <v>107903.25</v>
      </c>
      <c r="R23" s="175">
        <f t="shared" si="4"/>
        <v>124300</v>
      </c>
      <c r="S23" s="174">
        <f t="shared" si="5"/>
        <v>246103.25</v>
      </c>
      <c r="T23" s="26">
        <v>22.0</v>
      </c>
      <c r="U23" s="26" t="s">
        <v>80</v>
      </c>
      <c r="V23" s="93" t="s">
        <v>81</v>
      </c>
      <c r="W23" s="93"/>
      <c r="X23" s="93"/>
      <c r="Y23" s="93"/>
      <c r="Z23" s="93"/>
    </row>
    <row r="24">
      <c r="A24" s="26">
        <v>23.0</v>
      </c>
      <c r="B24" s="26">
        <v>4.21</v>
      </c>
      <c r="C24" s="26">
        <f t="shared" si="1"/>
        <v>1.0525</v>
      </c>
      <c r="D24" s="26">
        <f t="shared" si="2"/>
        <v>5.2625</v>
      </c>
      <c r="E24" s="26">
        <v>0.83</v>
      </c>
      <c r="F24" s="26"/>
      <c r="G24" s="26"/>
      <c r="H24" s="26"/>
      <c r="I24" s="26">
        <v>1.92</v>
      </c>
      <c r="J24" s="26"/>
      <c r="K24" s="26"/>
      <c r="L24" s="174">
        <f>E24*Prices!B$2</f>
        <v>91300</v>
      </c>
      <c r="M24" s="174">
        <f>F24*Prices!C$2</f>
        <v>0</v>
      </c>
      <c r="N24" s="174">
        <f>G24*Prices!D$2</f>
        <v>0</v>
      </c>
      <c r="O24" s="174">
        <f>H24*Prices!E$2</f>
        <v>0</v>
      </c>
      <c r="P24" s="174">
        <f t="shared" si="3"/>
        <v>3840</v>
      </c>
      <c r="Q24" s="174">
        <f>D24*Prices!A$2</f>
        <v>93935.625</v>
      </c>
      <c r="R24" s="175">
        <f t="shared" si="4"/>
        <v>91300</v>
      </c>
      <c r="S24" s="174">
        <f t="shared" si="5"/>
        <v>189075.625</v>
      </c>
      <c r="T24" s="26">
        <v>23.0</v>
      </c>
      <c r="U24" s="26" t="s">
        <v>80</v>
      </c>
      <c r="V24" s="93" t="s">
        <v>81</v>
      </c>
      <c r="W24" s="93"/>
      <c r="X24" s="93"/>
      <c r="Y24" s="93"/>
      <c r="Z24" s="93"/>
    </row>
    <row r="25">
      <c r="A25" s="26">
        <v>24.0</v>
      </c>
      <c r="B25" s="26">
        <v>3.318</v>
      </c>
      <c r="C25" s="26">
        <f t="shared" si="1"/>
        <v>0.8295</v>
      </c>
      <c r="D25" s="26">
        <f t="shared" si="2"/>
        <v>4.1475</v>
      </c>
      <c r="E25" s="26">
        <v>0.53</v>
      </c>
      <c r="F25" s="26"/>
      <c r="G25" s="26"/>
      <c r="H25" s="26"/>
      <c r="I25" s="26">
        <v>2.53</v>
      </c>
      <c r="J25" s="26"/>
      <c r="K25" s="26"/>
      <c r="L25" s="174">
        <f>E25*Prices!B$2</f>
        <v>58300</v>
      </c>
      <c r="M25" s="174">
        <f>F25*Prices!C$2</f>
        <v>0</v>
      </c>
      <c r="N25" s="174">
        <f>G25*Prices!D$2</f>
        <v>0</v>
      </c>
      <c r="O25" s="174">
        <f>H25*Prices!E$2</f>
        <v>0</v>
      </c>
      <c r="P25" s="174">
        <f t="shared" si="3"/>
        <v>5060</v>
      </c>
      <c r="Q25" s="174">
        <f>D25*Prices!A$2</f>
        <v>74032.875</v>
      </c>
      <c r="R25" s="175">
        <f t="shared" si="4"/>
        <v>58300</v>
      </c>
      <c r="S25" s="174">
        <f t="shared" si="5"/>
        <v>137392.875</v>
      </c>
      <c r="T25" s="26">
        <v>24.0</v>
      </c>
      <c r="U25" s="26" t="s">
        <v>82</v>
      </c>
      <c r="V25" s="93"/>
      <c r="W25" s="93"/>
      <c r="X25" s="93"/>
      <c r="Y25" s="93"/>
      <c r="Z25" s="93"/>
    </row>
    <row r="26">
      <c r="A26" s="26">
        <v>25.0</v>
      </c>
      <c r="B26" s="26">
        <v>3.408</v>
      </c>
      <c r="C26" s="26">
        <f t="shared" si="1"/>
        <v>0.852</v>
      </c>
      <c r="D26" s="26">
        <f t="shared" si="2"/>
        <v>4.26</v>
      </c>
      <c r="E26" s="26"/>
      <c r="F26" s="26">
        <v>0.66</v>
      </c>
      <c r="G26" s="26"/>
      <c r="H26" s="26"/>
      <c r="I26" s="26"/>
      <c r="J26" s="26"/>
      <c r="K26" s="26"/>
      <c r="L26" s="174">
        <f>E26*Prices!B$2</f>
        <v>0</v>
      </c>
      <c r="M26" s="174">
        <f>F26*Prices!C$2</f>
        <v>105600</v>
      </c>
      <c r="N26" s="174">
        <f>G26*Prices!D$2</f>
        <v>0</v>
      </c>
      <c r="O26" s="174">
        <f>H26*Prices!E$2</f>
        <v>0</v>
      </c>
      <c r="P26" s="174">
        <f t="shared" si="3"/>
        <v>0</v>
      </c>
      <c r="Q26" s="174">
        <f>D26*Prices!A$2</f>
        <v>76041</v>
      </c>
      <c r="R26" s="175">
        <f t="shared" si="4"/>
        <v>105600</v>
      </c>
      <c r="S26" s="174">
        <f t="shared" si="5"/>
        <v>181641</v>
      </c>
      <c r="T26" s="26">
        <v>25.0</v>
      </c>
      <c r="U26" s="26" t="s">
        <v>80</v>
      </c>
      <c r="V26" s="93" t="s">
        <v>81</v>
      </c>
      <c r="W26" s="93"/>
      <c r="X26" s="93"/>
      <c r="Y26" s="93"/>
      <c r="Z26" s="93"/>
    </row>
    <row r="27">
      <c r="A27" s="26">
        <v>26.0</v>
      </c>
      <c r="B27" s="26">
        <v>5.762</v>
      </c>
      <c r="C27" s="26">
        <f t="shared" si="1"/>
        <v>1.4405</v>
      </c>
      <c r="D27" s="26">
        <f t="shared" si="2"/>
        <v>7.2025</v>
      </c>
      <c r="E27" s="26">
        <v>1.54</v>
      </c>
      <c r="F27" s="26"/>
      <c r="G27" s="26"/>
      <c r="H27" s="26"/>
      <c r="I27" s="26"/>
      <c r="J27" s="26"/>
      <c r="K27" s="26"/>
      <c r="L27" s="174">
        <f>E27*Prices!B$2</f>
        <v>169400</v>
      </c>
      <c r="M27" s="174">
        <f>F27*Prices!C$2</f>
        <v>0</v>
      </c>
      <c r="N27" s="174">
        <f>G27*Prices!D$2</f>
        <v>0</v>
      </c>
      <c r="O27" s="174">
        <f>H27*Prices!E$2</f>
        <v>0</v>
      </c>
      <c r="P27" s="174">
        <f t="shared" si="3"/>
        <v>0</v>
      </c>
      <c r="Q27" s="174">
        <f>D27*Prices!A$2</f>
        <v>128564.625</v>
      </c>
      <c r="R27" s="175">
        <f t="shared" si="4"/>
        <v>169400</v>
      </c>
      <c r="S27" s="174">
        <f t="shared" si="5"/>
        <v>297964.625</v>
      </c>
      <c r="T27" s="26">
        <v>26.0</v>
      </c>
      <c r="U27" s="26" t="s">
        <v>82</v>
      </c>
      <c r="V27" s="93"/>
      <c r="W27" s="93"/>
      <c r="X27" s="93"/>
      <c r="Y27" s="93"/>
      <c r="Z27" s="93"/>
    </row>
    <row r="28">
      <c r="A28" s="26">
        <v>27.0</v>
      </c>
      <c r="B28" s="26">
        <v>7.34</v>
      </c>
      <c r="C28" s="26">
        <f t="shared" si="1"/>
        <v>1.835</v>
      </c>
      <c r="D28" s="26">
        <f t="shared" si="2"/>
        <v>9.175</v>
      </c>
      <c r="E28" s="26">
        <v>2.55</v>
      </c>
      <c r="F28" s="26"/>
      <c r="G28" s="26"/>
      <c r="H28" s="26"/>
      <c r="I28" s="26"/>
      <c r="J28" s="26"/>
      <c r="K28" s="26"/>
      <c r="L28" s="174">
        <f>E28*Prices!B$2</f>
        <v>280500</v>
      </c>
      <c r="M28" s="174">
        <f>F28*Prices!C$2</f>
        <v>0</v>
      </c>
      <c r="N28" s="174">
        <f>G28*Prices!D$2</f>
        <v>0</v>
      </c>
      <c r="O28" s="174">
        <f>H28*Prices!E$2</f>
        <v>0</v>
      </c>
      <c r="P28" s="174">
        <f t="shared" si="3"/>
        <v>0</v>
      </c>
      <c r="Q28" s="174">
        <f>D28*Prices!A$2</f>
        <v>163773.75</v>
      </c>
      <c r="R28" s="175">
        <f t="shared" si="4"/>
        <v>280500</v>
      </c>
      <c r="S28" s="174">
        <f t="shared" si="5"/>
        <v>444273.75</v>
      </c>
      <c r="T28" s="26">
        <v>27.0</v>
      </c>
      <c r="U28" s="26" t="s">
        <v>82</v>
      </c>
      <c r="V28" s="93"/>
      <c r="W28" s="93"/>
      <c r="X28" s="93"/>
      <c r="Y28" s="93"/>
      <c r="Z28" s="93"/>
    </row>
    <row r="29">
      <c r="A29" s="26">
        <v>28.0</v>
      </c>
      <c r="B29" s="26">
        <v>2.966</v>
      </c>
      <c r="C29" s="26">
        <f t="shared" si="1"/>
        <v>0.7415</v>
      </c>
      <c r="D29" s="26">
        <f t="shared" si="2"/>
        <v>3.7075</v>
      </c>
      <c r="E29" s="26">
        <v>0.72</v>
      </c>
      <c r="F29" s="26"/>
      <c r="G29" s="26"/>
      <c r="H29" s="26"/>
      <c r="I29" s="26"/>
      <c r="J29" s="26"/>
      <c r="K29" s="26"/>
      <c r="L29" s="174">
        <f>E29*Prices!B$2</f>
        <v>79200</v>
      </c>
      <c r="M29" s="174">
        <f>F29*Prices!C$2</f>
        <v>0</v>
      </c>
      <c r="N29" s="174">
        <f>G29*Prices!D$2</f>
        <v>0</v>
      </c>
      <c r="O29" s="174">
        <f>H29*Prices!E$2</f>
        <v>0</v>
      </c>
      <c r="P29" s="174">
        <f t="shared" si="3"/>
        <v>0</v>
      </c>
      <c r="Q29" s="174">
        <f>D29*Prices!A$2</f>
        <v>66178.875</v>
      </c>
      <c r="R29" s="175">
        <f t="shared" si="4"/>
        <v>79200</v>
      </c>
      <c r="S29" s="174">
        <f t="shared" si="5"/>
        <v>145378.875</v>
      </c>
      <c r="T29" s="26">
        <v>28.0</v>
      </c>
      <c r="U29" s="26" t="s">
        <v>82</v>
      </c>
      <c r="V29" s="93"/>
      <c r="W29" s="93"/>
      <c r="X29" s="93"/>
      <c r="Y29" s="93"/>
      <c r="Z29" s="93"/>
    </row>
    <row r="30">
      <c r="A30" s="26">
        <v>29.0</v>
      </c>
      <c r="B30" s="26">
        <v>4.518</v>
      </c>
      <c r="C30" s="26">
        <f t="shared" si="1"/>
        <v>1.1295</v>
      </c>
      <c r="D30" s="26">
        <f t="shared" si="2"/>
        <v>5.6475</v>
      </c>
      <c r="E30" s="26">
        <v>1.58</v>
      </c>
      <c r="F30" s="26"/>
      <c r="G30" s="26">
        <v>0.33</v>
      </c>
      <c r="H30" s="26"/>
      <c r="I30" s="26"/>
      <c r="J30" s="26"/>
      <c r="K30" s="26"/>
      <c r="L30" s="174">
        <f>E30*Prices!B$2</f>
        <v>173800</v>
      </c>
      <c r="M30" s="174">
        <f>F30*Prices!C$2</f>
        <v>0</v>
      </c>
      <c r="N30" s="174">
        <f>G30*Prices!D$2</f>
        <v>64350</v>
      </c>
      <c r="O30" s="174">
        <f>H30*Prices!E$2</f>
        <v>0</v>
      </c>
      <c r="P30" s="174">
        <f t="shared" si="3"/>
        <v>0</v>
      </c>
      <c r="Q30" s="174">
        <f>D30*Prices!A$2</f>
        <v>100807.875</v>
      </c>
      <c r="R30" s="175">
        <f t="shared" si="4"/>
        <v>238150</v>
      </c>
      <c r="S30" s="174">
        <f t="shared" si="5"/>
        <v>338957.875</v>
      </c>
      <c r="T30" s="26">
        <v>29.0</v>
      </c>
      <c r="U30" s="26" t="s">
        <v>82</v>
      </c>
      <c r="V30" s="93"/>
      <c r="W30" s="93"/>
      <c r="X30" s="93"/>
      <c r="Y30" s="93"/>
      <c r="Z30" s="93"/>
    </row>
    <row r="31">
      <c r="A31" s="26">
        <v>30.0</v>
      </c>
      <c r="B31" s="26">
        <v>3.662</v>
      </c>
      <c r="C31" s="26">
        <f t="shared" si="1"/>
        <v>0.9155</v>
      </c>
      <c r="D31" s="26">
        <f t="shared" si="2"/>
        <v>4.5775</v>
      </c>
      <c r="E31" s="26">
        <v>1.64</v>
      </c>
      <c r="F31" s="26"/>
      <c r="G31" s="26"/>
      <c r="H31" s="26"/>
      <c r="I31" s="26"/>
      <c r="J31" s="26"/>
      <c r="K31" s="26"/>
      <c r="L31" s="174">
        <f>E31*Prices!B$2</f>
        <v>180400</v>
      </c>
      <c r="M31" s="174">
        <f>F31*Prices!C$2</f>
        <v>0</v>
      </c>
      <c r="N31" s="174">
        <f>G31*Prices!D$2</f>
        <v>0</v>
      </c>
      <c r="O31" s="174">
        <f>H31*Prices!E$2</f>
        <v>0</v>
      </c>
      <c r="P31" s="174">
        <f t="shared" si="3"/>
        <v>0</v>
      </c>
      <c r="Q31" s="174">
        <f>D31*Prices!A$2</f>
        <v>81708.375</v>
      </c>
      <c r="R31" s="175">
        <f t="shared" si="4"/>
        <v>180400</v>
      </c>
      <c r="S31" s="174">
        <f t="shared" si="5"/>
        <v>262108.375</v>
      </c>
      <c r="T31" s="26">
        <v>30.0</v>
      </c>
      <c r="U31" s="26" t="s">
        <v>82</v>
      </c>
      <c r="V31" s="93"/>
      <c r="W31" s="93"/>
      <c r="X31" s="93"/>
      <c r="Y31" s="93"/>
      <c r="Z31" s="93"/>
    </row>
    <row r="32">
      <c r="A32" s="26">
        <v>31.0</v>
      </c>
      <c r="B32" s="26">
        <v>6.38</v>
      </c>
      <c r="C32" s="26">
        <f t="shared" si="1"/>
        <v>1.595</v>
      </c>
      <c r="D32" s="26">
        <f t="shared" si="2"/>
        <v>7.975</v>
      </c>
      <c r="E32" s="26">
        <v>1.55</v>
      </c>
      <c r="F32" s="26"/>
      <c r="G32" s="26"/>
      <c r="H32" s="26"/>
      <c r="I32" s="26"/>
      <c r="J32" s="26"/>
      <c r="K32" s="26"/>
      <c r="L32" s="174">
        <f>E32*Prices!B$2</f>
        <v>170500</v>
      </c>
      <c r="M32" s="174">
        <f>F32*Prices!C$2</f>
        <v>0</v>
      </c>
      <c r="N32" s="174">
        <f>G32*Prices!D$2</f>
        <v>0</v>
      </c>
      <c r="O32" s="174">
        <f>H32*Prices!E$2</f>
        <v>0</v>
      </c>
      <c r="P32" s="174">
        <f t="shared" si="3"/>
        <v>0</v>
      </c>
      <c r="Q32" s="174">
        <f>D32*Prices!A$2</f>
        <v>142353.75</v>
      </c>
      <c r="R32" s="175">
        <f t="shared" si="4"/>
        <v>170500</v>
      </c>
      <c r="S32" s="174">
        <f t="shared" si="5"/>
        <v>312853.75</v>
      </c>
      <c r="T32" s="26">
        <v>31.0</v>
      </c>
      <c r="U32" s="26" t="s">
        <v>82</v>
      </c>
      <c r="V32" s="93"/>
      <c r="W32" s="93"/>
      <c r="X32" s="93"/>
      <c r="Y32" s="93"/>
      <c r="Z32" s="93"/>
    </row>
    <row r="33">
      <c r="A33" s="26">
        <v>32.0</v>
      </c>
      <c r="B33" s="26">
        <v>5.57</v>
      </c>
      <c r="C33" s="26">
        <f t="shared" si="1"/>
        <v>1.3925</v>
      </c>
      <c r="D33" s="26">
        <f t="shared" si="2"/>
        <v>6.9625</v>
      </c>
      <c r="E33" s="26">
        <v>0.82</v>
      </c>
      <c r="F33" s="26"/>
      <c r="G33" s="26"/>
      <c r="H33" s="26"/>
      <c r="I33" s="26"/>
      <c r="J33" s="26"/>
      <c r="K33" s="26"/>
      <c r="L33" s="174">
        <f>E33*Prices!B$2</f>
        <v>90200</v>
      </c>
      <c r="M33" s="174">
        <f>F33*Prices!C$2</f>
        <v>0</v>
      </c>
      <c r="N33" s="174">
        <f>G33*Prices!D$2</f>
        <v>0</v>
      </c>
      <c r="O33" s="174">
        <f>H33*Prices!E$2</f>
        <v>0</v>
      </c>
      <c r="P33" s="174">
        <f t="shared" si="3"/>
        <v>0</v>
      </c>
      <c r="Q33" s="174">
        <f>D33*Prices!A$2</f>
        <v>124280.625</v>
      </c>
      <c r="R33" s="175">
        <f t="shared" si="4"/>
        <v>90200</v>
      </c>
      <c r="S33" s="174">
        <f t="shared" si="5"/>
        <v>214480.625</v>
      </c>
      <c r="T33" s="26">
        <v>32.0</v>
      </c>
      <c r="U33" s="26" t="s">
        <v>82</v>
      </c>
      <c r="V33" s="93"/>
      <c r="W33" s="93"/>
      <c r="X33" s="93"/>
      <c r="Y33" s="93"/>
      <c r="Z33" s="93"/>
    </row>
    <row r="34">
      <c r="A34" s="26">
        <v>33.0</v>
      </c>
      <c r="B34" s="26">
        <v>5.05</v>
      </c>
      <c r="C34" s="26">
        <f t="shared" si="1"/>
        <v>1.2625</v>
      </c>
      <c r="D34" s="26">
        <f t="shared" si="2"/>
        <v>6.3125</v>
      </c>
      <c r="E34" s="26">
        <v>0.42</v>
      </c>
      <c r="F34" s="26"/>
      <c r="G34" s="26"/>
      <c r="H34" s="26"/>
      <c r="I34" s="26"/>
      <c r="J34" s="26"/>
      <c r="K34" s="26"/>
      <c r="L34" s="174">
        <f>E34*Prices!B$2</f>
        <v>46200</v>
      </c>
      <c r="M34" s="174">
        <f>F34*Prices!C$2</f>
        <v>0</v>
      </c>
      <c r="N34" s="174">
        <f>G34*Prices!D$2</f>
        <v>0</v>
      </c>
      <c r="O34" s="174">
        <f>H34*Prices!E$2</f>
        <v>0</v>
      </c>
      <c r="P34" s="174">
        <f t="shared" si="3"/>
        <v>0</v>
      </c>
      <c r="Q34" s="174">
        <f>D34*Prices!A$2</f>
        <v>112678.125</v>
      </c>
      <c r="R34" s="175">
        <f t="shared" si="4"/>
        <v>46200</v>
      </c>
      <c r="S34" s="174">
        <f t="shared" si="5"/>
        <v>158878.125</v>
      </c>
      <c r="T34" s="26">
        <v>33.0</v>
      </c>
      <c r="U34" s="26" t="s">
        <v>82</v>
      </c>
      <c r="V34" s="93"/>
      <c r="W34" s="93"/>
      <c r="X34" s="93"/>
      <c r="Y34" s="93"/>
      <c r="Z34" s="93"/>
    </row>
    <row r="35">
      <c r="A35" s="26">
        <v>34.0</v>
      </c>
      <c r="B35" s="26">
        <v>3.78</v>
      </c>
      <c r="C35" s="26">
        <f t="shared" si="1"/>
        <v>0.945</v>
      </c>
      <c r="D35" s="26">
        <f t="shared" si="2"/>
        <v>4.725</v>
      </c>
      <c r="E35" s="26">
        <v>0.6</v>
      </c>
      <c r="F35" s="26"/>
      <c r="G35" s="26"/>
      <c r="H35" s="26"/>
      <c r="I35" s="26"/>
      <c r="J35" s="26"/>
      <c r="K35" s="26"/>
      <c r="L35" s="174">
        <f>E35*Prices!B$2</f>
        <v>66000</v>
      </c>
      <c r="M35" s="174">
        <f>F35*Prices!C$2</f>
        <v>0</v>
      </c>
      <c r="N35" s="174">
        <f>G35*Prices!D$2</f>
        <v>0</v>
      </c>
      <c r="O35" s="174">
        <f>H35*Prices!E$2</f>
        <v>0</v>
      </c>
      <c r="P35" s="174">
        <f t="shared" si="3"/>
        <v>0</v>
      </c>
      <c r="Q35" s="174">
        <f>D35*Prices!A$2</f>
        <v>84341.25</v>
      </c>
      <c r="R35" s="175">
        <f t="shared" si="4"/>
        <v>66000</v>
      </c>
      <c r="S35" s="174">
        <f t="shared" si="5"/>
        <v>150341.25</v>
      </c>
      <c r="T35" s="26">
        <v>34.0</v>
      </c>
      <c r="U35" s="26" t="s">
        <v>80</v>
      </c>
      <c r="V35" s="93" t="s">
        <v>81</v>
      </c>
      <c r="W35" s="93"/>
      <c r="X35" s="93"/>
      <c r="Y35" s="93"/>
      <c r="Z35" s="93"/>
    </row>
    <row r="36">
      <c r="A36" s="26">
        <v>35.0</v>
      </c>
      <c r="B36" s="26">
        <v>5.34</v>
      </c>
      <c r="C36" s="26">
        <f t="shared" si="1"/>
        <v>1.335</v>
      </c>
      <c r="D36" s="26">
        <f t="shared" si="2"/>
        <v>6.675</v>
      </c>
      <c r="E36" s="26">
        <v>1.36</v>
      </c>
      <c r="F36" s="26"/>
      <c r="G36" s="26"/>
      <c r="H36" s="26"/>
      <c r="I36" s="26"/>
      <c r="J36" s="26"/>
      <c r="K36" s="26"/>
      <c r="L36" s="174">
        <f>E36*Prices!B$2</f>
        <v>149600</v>
      </c>
      <c r="M36" s="174">
        <f>F36*Prices!C$2</f>
        <v>0</v>
      </c>
      <c r="N36" s="174">
        <f>G36*Prices!D$2</f>
        <v>0</v>
      </c>
      <c r="O36" s="174">
        <f>H36*Prices!E$2</f>
        <v>0</v>
      </c>
      <c r="P36" s="174">
        <f t="shared" si="3"/>
        <v>0</v>
      </c>
      <c r="Q36" s="174">
        <f>D36*Prices!A$2</f>
        <v>119148.75</v>
      </c>
      <c r="R36" s="175">
        <f t="shared" si="4"/>
        <v>149600</v>
      </c>
      <c r="S36" s="174">
        <f t="shared" si="5"/>
        <v>268748.75</v>
      </c>
      <c r="T36" s="26">
        <v>35.0</v>
      </c>
      <c r="U36" s="26" t="s">
        <v>80</v>
      </c>
      <c r="V36" s="93" t="s">
        <v>81</v>
      </c>
      <c r="W36" s="93"/>
      <c r="X36" s="93"/>
      <c r="Y36" s="93"/>
      <c r="Z36" s="93"/>
    </row>
    <row r="37">
      <c r="A37" s="26">
        <v>36.0</v>
      </c>
      <c r="B37" s="26">
        <v>2.412</v>
      </c>
      <c r="C37" s="26">
        <f t="shared" si="1"/>
        <v>0.603</v>
      </c>
      <c r="D37" s="26">
        <f t="shared" si="2"/>
        <v>3.015</v>
      </c>
      <c r="E37" s="26">
        <v>0.64</v>
      </c>
      <c r="F37" s="26"/>
      <c r="G37" s="26"/>
      <c r="H37" s="26"/>
      <c r="I37" s="26"/>
      <c r="J37" s="26"/>
      <c r="K37" s="26"/>
      <c r="L37" s="174">
        <f>E37*Prices!B$2</f>
        <v>70400</v>
      </c>
      <c r="M37" s="174">
        <f>F37*Prices!C$2</f>
        <v>0</v>
      </c>
      <c r="N37" s="174">
        <f>G37*Prices!D$2</f>
        <v>0</v>
      </c>
      <c r="O37" s="174">
        <f>H37*Prices!E$2</f>
        <v>0</v>
      </c>
      <c r="P37" s="174">
        <f t="shared" si="3"/>
        <v>0</v>
      </c>
      <c r="Q37" s="174">
        <f>D37*Prices!A$2</f>
        <v>53817.75</v>
      </c>
      <c r="R37" s="175">
        <f t="shared" si="4"/>
        <v>70400</v>
      </c>
      <c r="S37" s="174">
        <f t="shared" si="5"/>
        <v>124217.75</v>
      </c>
      <c r="T37" s="26">
        <v>36.0</v>
      </c>
      <c r="U37" s="26" t="s">
        <v>82</v>
      </c>
      <c r="V37" s="93"/>
      <c r="W37" s="93"/>
      <c r="X37" s="93"/>
      <c r="Y37" s="93"/>
      <c r="Z37" s="93"/>
    </row>
    <row r="38">
      <c r="A38" s="26">
        <v>37.0</v>
      </c>
      <c r="B38" s="26">
        <v>8.46</v>
      </c>
      <c r="C38" s="26">
        <f t="shared" si="1"/>
        <v>2.115</v>
      </c>
      <c r="D38" s="26">
        <f t="shared" si="2"/>
        <v>10.575</v>
      </c>
      <c r="E38" s="26">
        <f>1.3+0.56</f>
        <v>1.86</v>
      </c>
      <c r="F38" s="26"/>
      <c r="G38" s="26"/>
      <c r="H38" s="26"/>
      <c r="I38" s="26"/>
      <c r="J38" s="26"/>
      <c r="K38" s="26"/>
      <c r="L38" s="174">
        <f>E38*Prices!B$2</f>
        <v>204600</v>
      </c>
      <c r="M38" s="174">
        <f>F38*Prices!C$2</f>
        <v>0</v>
      </c>
      <c r="N38" s="174">
        <f>G38*Prices!D$2</f>
        <v>0</v>
      </c>
      <c r="O38" s="174">
        <f>H38*Prices!E$2</f>
        <v>0</v>
      </c>
      <c r="P38" s="174">
        <f t="shared" si="3"/>
        <v>0</v>
      </c>
      <c r="Q38" s="174">
        <f>D38*Prices!A$2</f>
        <v>188763.75</v>
      </c>
      <c r="R38" s="175">
        <f t="shared" si="4"/>
        <v>204600</v>
      </c>
      <c r="S38" s="174">
        <f t="shared" si="5"/>
        <v>393363.75</v>
      </c>
      <c r="T38" s="26">
        <v>37.0</v>
      </c>
      <c r="U38" s="26" t="s">
        <v>80</v>
      </c>
      <c r="V38" s="93" t="s">
        <v>81</v>
      </c>
      <c r="W38" s="93"/>
      <c r="X38" s="93"/>
      <c r="Y38" s="93"/>
      <c r="Z38" s="93"/>
    </row>
    <row r="39">
      <c r="A39" s="26">
        <v>38.0</v>
      </c>
      <c r="B39" s="26">
        <v>6.22</v>
      </c>
      <c r="C39" s="26">
        <f t="shared" si="1"/>
        <v>1.555</v>
      </c>
      <c r="D39" s="26">
        <f t="shared" si="2"/>
        <v>7.775</v>
      </c>
      <c r="E39" s="26">
        <v>0.97</v>
      </c>
      <c r="F39" s="26"/>
      <c r="G39" s="26"/>
      <c r="H39" s="26"/>
      <c r="I39" s="26"/>
      <c r="J39" s="26"/>
      <c r="K39" s="26"/>
      <c r="L39" s="174">
        <f>E39*Prices!B$2</f>
        <v>106700</v>
      </c>
      <c r="M39" s="174">
        <f>F39*Prices!C$2</f>
        <v>0</v>
      </c>
      <c r="N39" s="174">
        <f>G39*Prices!D$2</f>
        <v>0</v>
      </c>
      <c r="O39" s="174">
        <f>H39*Prices!E$2</f>
        <v>0</v>
      </c>
      <c r="P39" s="174">
        <f t="shared" si="3"/>
        <v>0</v>
      </c>
      <c r="Q39" s="174">
        <f>D39*Prices!A$2</f>
        <v>138783.75</v>
      </c>
      <c r="R39" s="175">
        <f t="shared" si="4"/>
        <v>106700</v>
      </c>
      <c r="S39" s="174">
        <f t="shared" si="5"/>
        <v>245483.75</v>
      </c>
      <c r="T39" s="26">
        <v>38.0</v>
      </c>
      <c r="U39" s="26" t="s">
        <v>82</v>
      </c>
      <c r="V39" s="93"/>
      <c r="W39" s="93"/>
      <c r="X39" s="93"/>
      <c r="Y39" s="93"/>
      <c r="Z39" s="93"/>
    </row>
    <row r="40">
      <c r="A40" s="26">
        <v>39.0</v>
      </c>
      <c r="B40" s="26">
        <v>4.09</v>
      </c>
      <c r="C40" s="26">
        <f t="shared" si="1"/>
        <v>1.0225</v>
      </c>
      <c r="D40" s="26">
        <f t="shared" si="2"/>
        <v>5.1125</v>
      </c>
      <c r="E40" s="26">
        <v>0.7</v>
      </c>
      <c r="F40" s="26"/>
      <c r="G40" s="26"/>
      <c r="H40" s="26"/>
      <c r="I40" s="26"/>
      <c r="J40" s="26"/>
      <c r="K40" s="26"/>
      <c r="L40" s="174">
        <f>E40*Prices!B$2</f>
        <v>77000</v>
      </c>
      <c r="M40" s="174">
        <f>F40*Prices!C$2</f>
        <v>0</v>
      </c>
      <c r="N40" s="174">
        <f>G40*Prices!D$2</f>
        <v>0</v>
      </c>
      <c r="O40" s="174">
        <f>H40*Prices!E$2</f>
        <v>0</v>
      </c>
      <c r="P40" s="174">
        <f t="shared" si="3"/>
        <v>0</v>
      </c>
      <c r="Q40" s="174">
        <f>D40*Prices!A$2</f>
        <v>91258.125</v>
      </c>
      <c r="R40" s="175">
        <f t="shared" si="4"/>
        <v>77000</v>
      </c>
      <c r="S40" s="174">
        <f t="shared" si="5"/>
        <v>168258.125</v>
      </c>
      <c r="T40" s="26">
        <v>39.0</v>
      </c>
      <c r="U40" s="26" t="s">
        <v>82</v>
      </c>
      <c r="V40" s="93"/>
      <c r="W40" s="93"/>
      <c r="X40" s="93"/>
      <c r="Y40" s="93"/>
      <c r="Z40" s="93"/>
    </row>
    <row r="41">
      <c r="A41" s="26">
        <v>40.0</v>
      </c>
      <c r="B41" s="26">
        <v>4.632</v>
      </c>
      <c r="C41" s="26">
        <f t="shared" si="1"/>
        <v>1.158</v>
      </c>
      <c r="D41" s="26">
        <f t="shared" si="2"/>
        <v>5.79</v>
      </c>
      <c r="E41" s="26">
        <v>1.48</v>
      </c>
      <c r="F41" s="26"/>
      <c r="G41" s="26">
        <v>0.31</v>
      </c>
      <c r="H41" s="26"/>
      <c r="I41" s="26"/>
      <c r="J41" s="26"/>
      <c r="K41" s="26"/>
      <c r="L41" s="174">
        <f>E41*Prices!B$2</f>
        <v>162800</v>
      </c>
      <c r="M41" s="174">
        <f>F41*Prices!C$2</f>
        <v>0</v>
      </c>
      <c r="N41" s="174">
        <f>G41*Prices!D$2</f>
        <v>60450</v>
      </c>
      <c r="O41" s="174">
        <f>H41*Prices!E$2</f>
        <v>0</v>
      </c>
      <c r="P41" s="174">
        <f t="shared" si="3"/>
        <v>0</v>
      </c>
      <c r="Q41" s="174">
        <f>D41*Prices!A$2</f>
        <v>103351.5</v>
      </c>
      <c r="R41" s="175">
        <f t="shared" si="4"/>
        <v>223250</v>
      </c>
      <c r="S41" s="174">
        <f t="shared" si="5"/>
        <v>326601.5</v>
      </c>
      <c r="T41" s="26">
        <v>40.0</v>
      </c>
      <c r="U41" s="26" t="s">
        <v>82</v>
      </c>
      <c r="V41" s="93"/>
      <c r="W41" s="93"/>
      <c r="X41" s="93"/>
      <c r="Y41" s="93"/>
      <c r="Z41" s="93"/>
    </row>
    <row r="42">
      <c r="A42" s="26">
        <v>41.0</v>
      </c>
      <c r="B42" s="26">
        <v>3.588</v>
      </c>
      <c r="C42" s="26">
        <f t="shared" si="1"/>
        <v>0.897</v>
      </c>
      <c r="D42" s="26">
        <f t="shared" si="2"/>
        <v>4.485</v>
      </c>
      <c r="E42" s="26">
        <f>0.66+0.2</f>
        <v>0.86</v>
      </c>
      <c r="F42" s="26"/>
      <c r="G42" s="26"/>
      <c r="H42" s="26"/>
      <c r="I42" s="26"/>
      <c r="J42" s="26"/>
      <c r="K42" s="26"/>
      <c r="L42" s="174">
        <f>E42*Prices!B$2</f>
        <v>94600</v>
      </c>
      <c r="M42" s="174">
        <f>F42*Prices!C$2</f>
        <v>0</v>
      </c>
      <c r="N42" s="174">
        <f>G42*Prices!D$2</f>
        <v>0</v>
      </c>
      <c r="O42" s="174">
        <f>H42*Prices!E$2</f>
        <v>0</v>
      </c>
      <c r="P42" s="174">
        <f t="shared" si="3"/>
        <v>0</v>
      </c>
      <c r="Q42" s="174">
        <f>D42*Prices!A$2</f>
        <v>80057.25</v>
      </c>
      <c r="R42" s="175">
        <f t="shared" si="4"/>
        <v>94600</v>
      </c>
      <c r="S42" s="174">
        <f t="shared" si="5"/>
        <v>174657.25</v>
      </c>
      <c r="T42" s="26">
        <v>41.0</v>
      </c>
      <c r="U42" s="26" t="s">
        <v>82</v>
      </c>
      <c r="V42" s="93"/>
      <c r="W42" s="93"/>
      <c r="X42" s="93"/>
      <c r="Y42" s="93"/>
      <c r="Z42" s="93"/>
    </row>
    <row r="43">
      <c r="A43" s="26">
        <v>42.0</v>
      </c>
      <c r="B43" s="26">
        <v>6.412</v>
      </c>
      <c r="C43" s="26">
        <f t="shared" si="1"/>
        <v>1.603</v>
      </c>
      <c r="D43" s="26">
        <f t="shared" si="2"/>
        <v>8.015</v>
      </c>
      <c r="E43" s="26">
        <f>0.86+0.38</f>
        <v>1.24</v>
      </c>
      <c r="F43" s="26"/>
      <c r="G43" s="26"/>
      <c r="H43" s="26"/>
      <c r="I43" s="26"/>
      <c r="J43" s="26"/>
      <c r="K43" s="26"/>
      <c r="L43" s="174">
        <f>E43*Prices!B$2</f>
        <v>136400</v>
      </c>
      <c r="M43" s="174">
        <f>F43*Prices!C$2</f>
        <v>0</v>
      </c>
      <c r="N43" s="174">
        <f>G43*Prices!D$2</f>
        <v>0</v>
      </c>
      <c r="O43" s="174">
        <f>H43*Prices!E$2</f>
        <v>0</v>
      </c>
      <c r="P43" s="174">
        <f t="shared" si="3"/>
        <v>0</v>
      </c>
      <c r="Q43" s="174">
        <f>D43*Prices!A$2</f>
        <v>143067.75</v>
      </c>
      <c r="R43" s="175">
        <f t="shared" si="4"/>
        <v>136400</v>
      </c>
      <c r="S43" s="174">
        <f t="shared" si="5"/>
        <v>279467.75</v>
      </c>
      <c r="T43" s="26">
        <v>42.0</v>
      </c>
      <c r="U43" s="26" t="s">
        <v>80</v>
      </c>
      <c r="V43" s="93" t="s">
        <v>81</v>
      </c>
      <c r="W43" s="93"/>
      <c r="X43" s="93"/>
      <c r="Y43" s="93"/>
      <c r="Z43" s="93"/>
    </row>
    <row r="44">
      <c r="A44" s="26">
        <v>43.0</v>
      </c>
      <c r="B44" s="26">
        <v>1.942</v>
      </c>
      <c r="C44" s="26">
        <f t="shared" si="1"/>
        <v>0.4855</v>
      </c>
      <c r="D44" s="26">
        <f t="shared" si="2"/>
        <v>2.4275</v>
      </c>
      <c r="E44" s="26">
        <v>0.24</v>
      </c>
      <c r="F44" s="26"/>
      <c r="G44" s="26"/>
      <c r="H44" s="26"/>
      <c r="I44" s="26"/>
      <c r="J44" s="26"/>
      <c r="K44" s="26"/>
      <c r="L44" s="174">
        <f>E44*Prices!B$2</f>
        <v>26400</v>
      </c>
      <c r="M44" s="174">
        <f>F44*Prices!C$2</f>
        <v>0</v>
      </c>
      <c r="N44" s="174">
        <f>G44*Prices!D$2</f>
        <v>0</v>
      </c>
      <c r="O44" s="174">
        <f>H44*Prices!E$2</f>
        <v>0</v>
      </c>
      <c r="P44" s="174">
        <f t="shared" si="3"/>
        <v>0</v>
      </c>
      <c r="Q44" s="174">
        <f>D44*Prices!A$2</f>
        <v>43330.875</v>
      </c>
      <c r="R44" s="175">
        <f t="shared" si="4"/>
        <v>26400</v>
      </c>
      <c r="S44" s="174">
        <f t="shared" si="5"/>
        <v>69730.875</v>
      </c>
      <c r="T44" s="26">
        <v>43.0</v>
      </c>
      <c r="U44" s="26" t="s">
        <v>82</v>
      </c>
      <c r="V44" s="93"/>
      <c r="W44" s="93"/>
      <c r="X44" s="93"/>
      <c r="Y44" s="93"/>
      <c r="Z44" s="93"/>
    </row>
    <row r="45">
      <c r="A45" s="26">
        <v>44.0</v>
      </c>
      <c r="B45" s="26">
        <v>1.96</v>
      </c>
      <c r="C45" s="26">
        <f t="shared" si="1"/>
        <v>0.49</v>
      </c>
      <c r="D45" s="26">
        <f t="shared" si="2"/>
        <v>2.45</v>
      </c>
      <c r="E45" s="26"/>
      <c r="F45" s="26">
        <v>0.93</v>
      </c>
      <c r="G45" s="26"/>
      <c r="H45" s="26"/>
      <c r="I45" s="26"/>
      <c r="J45" s="26"/>
      <c r="K45" s="26"/>
      <c r="L45" s="174">
        <f>E45*Prices!B$2</f>
        <v>0</v>
      </c>
      <c r="M45" s="174">
        <f>F45*Prices!C$2</f>
        <v>148800</v>
      </c>
      <c r="N45" s="174">
        <f>G45*Prices!D$2</f>
        <v>0</v>
      </c>
      <c r="O45" s="174">
        <f>H45*Prices!E$2</f>
        <v>0</v>
      </c>
      <c r="P45" s="174">
        <f t="shared" si="3"/>
        <v>0</v>
      </c>
      <c r="Q45" s="174">
        <f>D45*Prices!A$2</f>
        <v>43732.5</v>
      </c>
      <c r="R45" s="175">
        <f t="shared" si="4"/>
        <v>148800</v>
      </c>
      <c r="S45" s="174">
        <f t="shared" si="5"/>
        <v>192532.5</v>
      </c>
      <c r="T45" s="26">
        <v>44.0</v>
      </c>
      <c r="U45" s="26" t="s">
        <v>82</v>
      </c>
      <c r="V45" s="93"/>
      <c r="W45" s="93"/>
      <c r="X45" s="93"/>
      <c r="Y45" s="93"/>
      <c r="Z45" s="93"/>
    </row>
    <row r="46">
      <c r="A46" s="26">
        <v>45.0</v>
      </c>
      <c r="B46" s="26">
        <v>1.348</v>
      </c>
      <c r="C46" s="26">
        <f t="shared" si="1"/>
        <v>0.337</v>
      </c>
      <c r="D46" s="26">
        <f t="shared" si="2"/>
        <v>1.685</v>
      </c>
      <c r="E46" s="26">
        <v>0.26</v>
      </c>
      <c r="F46" s="26"/>
      <c r="G46" s="26"/>
      <c r="H46" s="26"/>
      <c r="I46" s="26"/>
      <c r="J46" s="26"/>
      <c r="K46" s="26"/>
      <c r="L46" s="174">
        <f>E46*Prices!B$2</f>
        <v>28600</v>
      </c>
      <c r="M46" s="174">
        <f>F46*Prices!C$2</f>
        <v>0</v>
      </c>
      <c r="N46" s="174">
        <f>G46*Prices!D$2</f>
        <v>0</v>
      </c>
      <c r="O46" s="174">
        <f>H46*Prices!E$2</f>
        <v>0</v>
      </c>
      <c r="P46" s="174">
        <f t="shared" si="3"/>
        <v>0</v>
      </c>
      <c r="Q46" s="174">
        <f>D46*Prices!A$2</f>
        <v>30077.25</v>
      </c>
      <c r="R46" s="175">
        <f t="shared" si="4"/>
        <v>28600</v>
      </c>
      <c r="S46" s="174">
        <f t="shared" si="5"/>
        <v>58677.25</v>
      </c>
      <c r="T46" s="26">
        <v>45.0</v>
      </c>
      <c r="U46" s="26" t="s">
        <v>82</v>
      </c>
      <c r="V46" s="93"/>
      <c r="W46" s="93"/>
      <c r="X46" s="93"/>
      <c r="Y46" s="93"/>
      <c r="Z46" s="93"/>
    </row>
    <row r="47">
      <c r="A47" s="26">
        <v>46.0</v>
      </c>
      <c r="B47" s="26">
        <v>1.702</v>
      </c>
      <c r="C47" s="26">
        <f t="shared" si="1"/>
        <v>0.4255</v>
      </c>
      <c r="D47" s="26">
        <f t="shared" si="2"/>
        <v>2.1275</v>
      </c>
      <c r="E47" s="26">
        <v>0.34</v>
      </c>
      <c r="F47" s="26"/>
      <c r="G47" s="26"/>
      <c r="H47" s="26"/>
      <c r="I47" s="26"/>
      <c r="J47" s="26"/>
      <c r="K47" s="26"/>
      <c r="L47" s="174">
        <f>E47*Prices!B$2</f>
        <v>37400</v>
      </c>
      <c r="M47" s="174">
        <f>F47*Prices!C$2</f>
        <v>0</v>
      </c>
      <c r="N47" s="174">
        <f>G47*Prices!D$2</f>
        <v>0</v>
      </c>
      <c r="O47" s="174">
        <f>H47*Prices!E$2</f>
        <v>0</v>
      </c>
      <c r="P47" s="174">
        <f t="shared" si="3"/>
        <v>0</v>
      </c>
      <c r="Q47" s="174">
        <f>D47*Prices!A$2</f>
        <v>37975.875</v>
      </c>
      <c r="R47" s="175">
        <f t="shared" si="4"/>
        <v>37400</v>
      </c>
      <c r="S47" s="174">
        <f t="shared" si="5"/>
        <v>75375.875</v>
      </c>
      <c r="T47" s="26">
        <v>46.0</v>
      </c>
      <c r="U47" s="26" t="s">
        <v>82</v>
      </c>
      <c r="V47" s="93"/>
      <c r="W47" s="93"/>
      <c r="X47" s="93"/>
      <c r="Y47" s="93"/>
      <c r="Z47" s="93"/>
    </row>
    <row r="48">
      <c r="A48" s="26">
        <v>47.0</v>
      </c>
      <c r="B48" s="26">
        <v>2.8</v>
      </c>
      <c r="C48" s="26">
        <f t="shared" si="1"/>
        <v>0.7</v>
      </c>
      <c r="D48" s="26">
        <f t="shared" si="2"/>
        <v>3.5</v>
      </c>
      <c r="E48" s="26">
        <v>0.55</v>
      </c>
      <c r="F48" s="26">
        <v>0.15</v>
      </c>
      <c r="G48" s="26"/>
      <c r="H48" s="26"/>
      <c r="I48" s="26"/>
      <c r="J48" s="26"/>
      <c r="K48" s="26"/>
      <c r="L48" s="174">
        <f>E48*Prices!B$2</f>
        <v>60500</v>
      </c>
      <c r="M48" s="174">
        <f>F48*Prices!C$2</f>
        <v>24000</v>
      </c>
      <c r="N48" s="174">
        <f>G48*Prices!D$2</f>
        <v>0</v>
      </c>
      <c r="O48" s="174">
        <f>H48*Prices!E$2</f>
        <v>0</v>
      </c>
      <c r="P48" s="174">
        <f t="shared" si="3"/>
        <v>0</v>
      </c>
      <c r="Q48" s="174">
        <f>D48*Prices!A$2</f>
        <v>62475</v>
      </c>
      <c r="R48" s="175">
        <f t="shared" si="4"/>
        <v>84500</v>
      </c>
      <c r="S48" s="174">
        <f t="shared" si="5"/>
        <v>146975</v>
      </c>
      <c r="T48" s="26">
        <v>47.0</v>
      </c>
      <c r="U48" s="26" t="s">
        <v>82</v>
      </c>
      <c r="V48" s="93"/>
      <c r="W48" s="93"/>
      <c r="X48" s="93"/>
      <c r="Y48" s="93"/>
      <c r="Z48" s="93"/>
    </row>
    <row r="49">
      <c r="A49" s="26">
        <v>48.0</v>
      </c>
      <c r="B49" s="26">
        <v>2.288</v>
      </c>
      <c r="C49" s="26">
        <f t="shared" si="1"/>
        <v>0.572</v>
      </c>
      <c r="D49" s="26">
        <f t="shared" si="2"/>
        <v>2.86</v>
      </c>
      <c r="E49" s="26">
        <v>0.31</v>
      </c>
      <c r="F49" s="26"/>
      <c r="G49" s="26"/>
      <c r="H49" s="26"/>
      <c r="I49" s="26"/>
      <c r="J49" s="26"/>
      <c r="K49" s="26"/>
      <c r="L49" s="174">
        <f>E49*Prices!B$2</f>
        <v>34100</v>
      </c>
      <c r="M49" s="174">
        <f>F49*Prices!C$2</f>
        <v>0</v>
      </c>
      <c r="N49" s="174">
        <f>G49*Prices!D$2</f>
        <v>0</v>
      </c>
      <c r="O49" s="174">
        <f>H49*Prices!E$2</f>
        <v>0</v>
      </c>
      <c r="P49" s="174">
        <f t="shared" si="3"/>
        <v>0</v>
      </c>
      <c r="Q49" s="174">
        <f>D49*Prices!A$2</f>
        <v>51051</v>
      </c>
      <c r="R49" s="175">
        <f t="shared" si="4"/>
        <v>34100</v>
      </c>
      <c r="S49" s="174">
        <f t="shared" si="5"/>
        <v>85151</v>
      </c>
      <c r="T49" s="26">
        <v>48.0</v>
      </c>
      <c r="U49" s="26" t="s">
        <v>82</v>
      </c>
      <c r="V49" s="93"/>
      <c r="W49" s="93"/>
      <c r="X49" s="93"/>
      <c r="Y49" s="93"/>
      <c r="Z49" s="93"/>
    </row>
    <row r="50">
      <c r="A50" s="26">
        <v>49.0</v>
      </c>
      <c r="B50" s="26">
        <v>1.386</v>
      </c>
      <c r="C50" s="26">
        <f t="shared" si="1"/>
        <v>0.3465</v>
      </c>
      <c r="D50" s="26">
        <f t="shared" si="2"/>
        <v>1.7325</v>
      </c>
      <c r="E50" s="26">
        <v>0.22</v>
      </c>
      <c r="F50" s="26"/>
      <c r="G50" s="26"/>
      <c r="H50" s="26"/>
      <c r="I50" s="26"/>
      <c r="J50" s="26"/>
      <c r="K50" s="26"/>
      <c r="L50" s="174">
        <f>E50*Prices!B$2</f>
        <v>24200</v>
      </c>
      <c r="M50" s="174">
        <f>F50*Prices!C$2</f>
        <v>0</v>
      </c>
      <c r="N50" s="174">
        <f>G50*Prices!D$2</f>
        <v>0</v>
      </c>
      <c r="O50" s="174">
        <f>H50*Prices!E$2</f>
        <v>0</v>
      </c>
      <c r="P50" s="174">
        <f t="shared" si="3"/>
        <v>0</v>
      </c>
      <c r="Q50" s="174">
        <f>D50*Prices!A$2</f>
        <v>30925.125</v>
      </c>
      <c r="R50" s="175">
        <f t="shared" si="4"/>
        <v>24200</v>
      </c>
      <c r="S50" s="174">
        <f t="shared" si="5"/>
        <v>55125.125</v>
      </c>
      <c r="T50" s="26">
        <v>49.0</v>
      </c>
      <c r="U50" s="26" t="s">
        <v>82</v>
      </c>
      <c r="V50" s="93"/>
      <c r="W50" s="93"/>
      <c r="X50" s="93"/>
      <c r="Y50" s="93"/>
      <c r="Z50" s="93"/>
    </row>
    <row r="51">
      <c r="A51" s="26">
        <v>50.0</v>
      </c>
      <c r="B51" s="26">
        <v>2.646</v>
      </c>
      <c r="C51" s="26">
        <f t="shared" si="1"/>
        <v>0.6615</v>
      </c>
      <c r="D51" s="26">
        <f t="shared" si="2"/>
        <v>3.3075</v>
      </c>
      <c r="E51" s="26">
        <v>0.22</v>
      </c>
      <c r="F51" s="26"/>
      <c r="G51" s="26"/>
      <c r="H51" s="26"/>
      <c r="I51" s="26"/>
      <c r="J51" s="26"/>
      <c r="K51" s="26"/>
      <c r="L51" s="174">
        <f>E51*Prices!B$2</f>
        <v>24200</v>
      </c>
      <c r="M51" s="174">
        <f>F51*Prices!C$2</f>
        <v>0</v>
      </c>
      <c r="N51" s="174">
        <f>G51*Prices!D$2</f>
        <v>0</v>
      </c>
      <c r="O51" s="174">
        <f>H51*Prices!E$2</f>
        <v>0</v>
      </c>
      <c r="P51" s="174">
        <f t="shared" si="3"/>
        <v>0</v>
      </c>
      <c r="Q51" s="174">
        <f>D51*Prices!A$2</f>
        <v>59038.875</v>
      </c>
      <c r="R51" s="175">
        <f t="shared" si="4"/>
        <v>24200</v>
      </c>
      <c r="S51" s="174">
        <f t="shared" si="5"/>
        <v>83238.875</v>
      </c>
      <c r="T51" s="26">
        <v>50.0</v>
      </c>
      <c r="U51" s="26" t="s">
        <v>85</v>
      </c>
      <c r="V51" s="93"/>
      <c r="W51" s="93"/>
      <c r="X51" s="93"/>
      <c r="Y51" s="93"/>
      <c r="Z51" s="93"/>
    </row>
    <row r="52">
      <c r="A52" s="26">
        <v>51.0</v>
      </c>
      <c r="B52" s="26">
        <v>3.486</v>
      </c>
      <c r="C52" s="26">
        <f t="shared" si="1"/>
        <v>0.8715</v>
      </c>
      <c r="D52" s="26">
        <f t="shared" si="2"/>
        <v>4.3575</v>
      </c>
      <c r="E52" s="26">
        <v>0.67</v>
      </c>
      <c r="F52" s="26"/>
      <c r="G52" s="26"/>
      <c r="H52" s="26"/>
      <c r="I52" s="26"/>
      <c r="J52" s="26"/>
      <c r="K52" s="26"/>
      <c r="L52" s="174">
        <f>E52*Prices!B$2</f>
        <v>73700</v>
      </c>
      <c r="M52" s="174">
        <f>F52*Prices!C$2</f>
        <v>0</v>
      </c>
      <c r="N52" s="174">
        <f>G52*Prices!D$2</f>
        <v>0</v>
      </c>
      <c r="O52" s="174">
        <f>H52*Prices!E$2</f>
        <v>0</v>
      </c>
      <c r="P52" s="174">
        <f t="shared" si="3"/>
        <v>0</v>
      </c>
      <c r="Q52" s="174">
        <f>D52*Prices!A$2</f>
        <v>77781.375</v>
      </c>
      <c r="R52" s="175">
        <f t="shared" si="4"/>
        <v>73700</v>
      </c>
      <c r="S52" s="174">
        <f t="shared" si="5"/>
        <v>151481.375</v>
      </c>
      <c r="T52" s="26">
        <v>51.0</v>
      </c>
      <c r="U52" s="26" t="s">
        <v>80</v>
      </c>
      <c r="V52" s="93" t="s">
        <v>81</v>
      </c>
      <c r="W52" s="93"/>
      <c r="X52" s="93"/>
      <c r="Y52" s="93"/>
      <c r="Z52" s="93"/>
    </row>
    <row r="53">
      <c r="A53" s="26">
        <v>52.0</v>
      </c>
      <c r="B53" s="26">
        <v>5.48</v>
      </c>
      <c r="C53" s="26">
        <f t="shared" si="1"/>
        <v>1.37</v>
      </c>
      <c r="D53" s="26">
        <f t="shared" si="2"/>
        <v>6.85</v>
      </c>
      <c r="E53" s="26">
        <f>1.06+0.42</f>
        <v>1.48</v>
      </c>
      <c r="F53" s="26"/>
      <c r="G53" s="26"/>
      <c r="H53" s="26"/>
      <c r="I53" s="26"/>
      <c r="J53" s="26"/>
      <c r="K53" s="26"/>
      <c r="L53" s="174">
        <f>E53*Prices!B$2</f>
        <v>162800</v>
      </c>
      <c r="M53" s="174">
        <f>F53*Prices!C$2</f>
        <v>0</v>
      </c>
      <c r="N53" s="174">
        <f>G53*Prices!D$2</f>
        <v>0</v>
      </c>
      <c r="O53" s="174">
        <f>H53*Prices!E$2</f>
        <v>0</v>
      </c>
      <c r="P53" s="174">
        <f t="shared" si="3"/>
        <v>0</v>
      </c>
      <c r="Q53" s="174">
        <f>D53*Prices!A$2</f>
        <v>122272.5</v>
      </c>
      <c r="R53" s="175">
        <f t="shared" si="4"/>
        <v>162800</v>
      </c>
      <c r="S53" s="174">
        <f t="shared" si="5"/>
        <v>285072.5</v>
      </c>
      <c r="T53" s="26">
        <v>52.0</v>
      </c>
      <c r="U53" s="26" t="s">
        <v>80</v>
      </c>
      <c r="V53" s="93" t="s">
        <v>81</v>
      </c>
      <c r="W53" s="93"/>
      <c r="X53" s="93"/>
      <c r="Y53" s="93"/>
      <c r="Z53" s="93"/>
    </row>
    <row r="54">
      <c r="A54" s="196">
        <v>53.0</v>
      </c>
      <c r="B54" s="196">
        <v>5.66</v>
      </c>
      <c r="C54" s="196">
        <f t="shared" si="1"/>
        <v>1.415</v>
      </c>
      <c r="D54" s="196">
        <f t="shared" si="2"/>
        <v>7.075</v>
      </c>
      <c r="E54" s="196">
        <f>0.4+0.42</f>
        <v>0.82</v>
      </c>
      <c r="F54" s="196"/>
      <c r="G54" s="196"/>
      <c r="H54" s="196"/>
      <c r="I54" s="196"/>
      <c r="J54" s="196"/>
      <c r="K54" s="196">
        <v>4.38</v>
      </c>
      <c r="L54" s="174">
        <f>E54*Prices!B$2</f>
        <v>90200</v>
      </c>
      <c r="M54" s="174">
        <f>F54*Prices!C$2</f>
        <v>0</v>
      </c>
      <c r="N54" s="174">
        <f>G54*Prices!D$2</f>
        <v>0</v>
      </c>
      <c r="O54" s="174">
        <f>H54*Prices!E$2</f>
        <v>0</v>
      </c>
      <c r="P54" s="174">
        <f t="shared" si="3"/>
        <v>7884</v>
      </c>
      <c r="Q54" s="174">
        <f>D54*Prices!A$2</f>
        <v>126288.75</v>
      </c>
      <c r="R54" s="198">
        <f t="shared" si="4"/>
        <v>90200</v>
      </c>
      <c r="S54" s="197">
        <f t="shared" si="5"/>
        <v>224372.75</v>
      </c>
      <c r="T54" s="196">
        <v>53.0</v>
      </c>
      <c r="U54" s="26" t="s">
        <v>83</v>
      </c>
      <c r="V54" s="93"/>
      <c r="W54" s="93"/>
      <c r="X54" s="93"/>
      <c r="Y54" s="93"/>
      <c r="Z54" s="93"/>
    </row>
    <row r="55">
      <c r="A55" s="26">
        <v>54.0</v>
      </c>
      <c r="B55" s="26">
        <v>8.606</v>
      </c>
      <c r="C55" s="26">
        <f t="shared" si="1"/>
        <v>2.1515</v>
      </c>
      <c r="D55" s="26">
        <f t="shared" si="2"/>
        <v>10.7575</v>
      </c>
      <c r="E55" s="26">
        <v>1.34</v>
      </c>
      <c r="F55" s="26"/>
      <c r="G55" s="26"/>
      <c r="H55" s="26"/>
      <c r="I55" s="26"/>
      <c r="J55" s="26"/>
      <c r="K55" s="26">
        <v>0.38</v>
      </c>
      <c r="L55" s="174">
        <f>E55*Prices!B$2</f>
        <v>147400</v>
      </c>
      <c r="M55" s="174">
        <f>F55*Prices!C$2</f>
        <v>0</v>
      </c>
      <c r="N55" s="174">
        <f>G55*Prices!D$2</f>
        <v>0</v>
      </c>
      <c r="O55" s="174">
        <f>H55*Prices!E$2</f>
        <v>0</v>
      </c>
      <c r="P55" s="174">
        <f t="shared" si="3"/>
        <v>684</v>
      </c>
      <c r="Q55" s="174">
        <f>D55*Prices!A$2</f>
        <v>192021.375</v>
      </c>
      <c r="R55" s="175">
        <f t="shared" si="4"/>
        <v>147400</v>
      </c>
      <c r="S55" s="174">
        <f t="shared" si="5"/>
        <v>340105.375</v>
      </c>
      <c r="T55" s="26">
        <v>54.0</v>
      </c>
      <c r="U55" s="26" t="s">
        <v>80</v>
      </c>
      <c r="V55" s="93" t="s">
        <v>81</v>
      </c>
      <c r="W55" s="93"/>
      <c r="X55" s="93"/>
      <c r="Y55" s="93"/>
      <c r="Z55" s="93"/>
    </row>
    <row r="56">
      <c r="A56" s="26">
        <v>55.0</v>
      </c>
      <c r="B56" s="26">
        <v>3.66</v>
      </c>
      <c r="C56" s="26">
        <f t="shared" si="1"/>
        <v>0.915</v>
      </c>
      <c r="D56" s="26">
        <f t="shared" si="2"/>
        <v>4.575</v>
      </c>
      <c r="E56" s="26">
        <v>0.43</v>
      </c>
      <c r="F56" s="26"/>
      <c r="G56" s="26"/>
      <c r="H56" s="26"/>
      <c r="I56" s="26"/>
      <c r="J56" s="26"/>
      <c r="K56" s="26">
        <v>3.62</v>
      </c>
      <c r="L56" s="174">
        <f>E56*Prices!B$2</f>
        <v>47300</v>
      </c>
      <c r="M56" s="174">
        <f>F56*Prices!C$2</f>
        <v>0</v>
      </c>
      <c r="N56" s="174">
        <f>G56*Prices!D$2</f>
        <v>0</v>
      </c>
      <c r="O56" s="174">
        <f>H56*Prices!E$2</f>
        <v>0</v>
      </c>
      <c r="P56" s="174">
        <f t="shared" si="3"/>
        <v>6516</v>
      </c>
      <c r="Q56" s="174">
        <f>D56*Prices!A$2</f>
        <v>81663.75</v>
      </c>
      <c r="R56" s="175">
        <f t="shared" si="4"/>
        <v>47300</v>
      </c>
      <c r="S56" s="174">
        <f t="shared" si="5"/>
        <v>135479.75</v>
      </c>
      <c r="T56" s="26">
        <v>55.0</v>
      </c>
      <c r="U56" s="26" t="s">
        <v>80</v>
      </c>
      <c r="V56" s="93" t="s">
        <v>81</v>
      </c>
      <c r="W56" s="93"/>
      <c r="X56" s="93"/>
      <c r="Y56" s="93"/>
      <c r="Z56" s="93"/>
    </row>
    <row r="57">
      <c r="A57" s="26">
        <v>56.0</v>
      </c>
      <c r="B57" s="26">
        <v>7.382</v>
      </c>
      <c r="C57" s="26">
        <f t="shared" si="1"/>
        <v>1.8455</v>
      </c>
      <c r="D57" s="26">
        <f t="shared" si="2"/>
        <v>9.2275</v>
      </c>
      <c r="E57" s="26">
        <v>1.26</v>
      </c>
      <c r="F57" s="26"/>
      <c r="G57" s="26"/>
      <c r="H57" s="26"/>
      <c r="I57" s="26"/>
      <c r="J57" s="26"/>
      <c r="K57" s="26"/>
      <c r="L57" s="174">
        <f>E57*Prices!B$2</f>
        <v>138600</v>
      </c>
      <c r="M57" s="174">
        <f>F57*Prices!C$2</f>
        <v>0</v>
      </c>
      <c r="N57" s="174">
        <f>G57*Prices!D$2</f>
        <v>0</v>
      </c>
      <c r="O57" s="174">
        <f>H57*Prices!E$2</f>
        <v>0</v>
      </c>
      <c r="P57" s="174">
        <f t="shared" si="3"/>
        <v>0</v>
      </c>
      <c r="Q57" s="174">
        <f>D57*Prices!A$2</f>
        <v>164710.875</v>
      </c>
      <c r="R57" s="175">
        <f t="shared" si="4"/>
        <v>138600</v>
      </c>
      <c r="S57" s="174">
        <f t="shared" si="5"/>
        <v>303310.875</v>
      </c>
      <c r="T57" s="26">
        <v>56.0</v>
      </c>
      <c r="U57" s="26" t="s">
        <v>82</v>
      </c>
      <c r="V57" s="93"/>
      <c r="W57" s="93"/>
      <c r="X57" s="93"/>
      <c r="Y57" s="93"/>
      <c r="Z57" s="93"/>
    </row>
    <row r="58">
      <c r="A58" s="26">
        <v>57.0</v>
      </c>
      <c r="B58" s="26">
        <v>6.514</v>
      </c>
      <c r="C58" s="26">
        <f t="shared" si="1"/>
        <v>1.6285</v>
      </c>
      <c r="D58" s="26">
        <f t="shared" si="2"/>
        <v>8.1425</v>
      </c>
      <c r="E58" s="26">
        <v>1.33</v>
      </c>
      <c r="F58" s="26"/>
      <c r="G58" s="26"/>
      <c r="H58" s="26"/>
      <c r="I58" s="26"/>
      <c r="J58" s="26"/>
      <c r="K58" s="26">
        <v>6.95</v>
      </c>
      <c r="L58" s="174">
        <f>E58*Prices!B$2</f>
        <v>146300</v>
      </c>
      <c r="M58" s="174">
        <f>F58*Prices!C$2</f>
        <v>0</v>
      </c>
      <c r="N58" s="174">
        <f>G58*Prices!D$2</f>
        <v>0</v>
      </c>
      <c r="O58" s="174">
        <f>H58*Prices!E$2</f>
        <v>0</v>
      </c>
      <c r="P58" s="174">
        <f>I58*2000+J58*10000+K58*6000</f>
        <v>41700</v>
      </c>
      <c r="Q58" s="174">
        <f>D58*Prices!A$2</f>
        <v>145343.625</v>
      </c>
      <c r="R58" s="175">
        <f t="shared" si="4"/>
        <v>146300</v>
      </c>
      <c r="S58" s="174">
        <f t="shared" si="5"/>
        <v>333343.625</v>
      </c>
      <c r="T58" s="26">
        <v>57.0</v>
      </c>
      <c r="U58" s="26" t="s">
        <v>80</v>
      </c>
      <c r="V58" s="93" t="s">
        <v>81</v>
      </c>
      <c r="W58" s="93"/>
      <c r="X58" s="93"/>
      <c r="Y58" s="93"/>
      <c r="Z58" s="93"/>
    </row>
    <row r="59">
      <c r="A59" s="26">
        <v>58.0</v>
      </c>
      <c r="B59" s="26">
        <v>2.97</v>
      </c>
      <c r="C59" s="26">
        <f t="shared" si="1"/>
        <v>0.7425</v>
      </c>
      <c r="D59" s="26">
        <f t="shared" si="2"/>
        <v>3.7125</v>
      </c>
      <c r="E59" s="26">
        <v>0.88</v>
      </c>
      <c r="F59" s="26"/>
      <c r="G59" s="26"/>
      <c r="H59" s="26"/>
      <c r="I59" s="26"/>
      <c r="J59" s="26">
        <v>0.81</v>
      </c>
      <c r="K59" s="26"/>
      <c r="L59" s="174">
        <f>E59*Prices!B$2</f>
        <v>96800</v>
      </c>
      <c r="M59" s="174">
        <f>F59*Prices!C$2</f>
        <v>0</v>
      </c>
      <c r="N59" s="174">
        <f>G59*Prices!D$2</f>
        <v>0</v>
      </c>
      <c r="O59" s="174">
        <f>H59*Prices!E$2</f>
        <v>0</v>
      </c>
      <c r="P59" s="174">
        <f t="shared" ref="P59:P72" si="6">I59*2000+J59*10000+K59*1800</f>
        <v>8100</v>
      </c>
      <c r="Q59" s="174">
        <f>D59*Prices!A$2</f>
        <v>66268.125</v>
      </c>
      <c r="R59" s="175">
        <f t="shared" si="4"/>
        <v>96800</v>
      </c>
      <c r="S59" s="174">
        <f t="shared" si="5"/>
        <v>171168.125</v>
      </c>
      <c r="T59" s="26">
        <v>58.0</v>
      </c>
      <c r="U59" s="26" t="s">
        <v>82</v>
      </c>
      <c r="V59" s="93"/>
      <c r="W59" s="93"/>
      <c r="X59" s="93"/>
      <c r="Y59" s="93"/>
      <c r="Z59" s="93"/>
    </row>
    <row r="60">
      <c r="A60" s="26">
        <v>59.0</v>
      </c>
      <c r="B60" s="26">
        <v>3.974</v>
      </c>
      <c r="C60" s="26">
        <f t="shared" si="1"/>
        <v>0.9935</v>
      </c>
      <c r="D60" s="26">
        <f t="shared" si="2"/>
        <v>4.9675</v>
      </c>
      <c r="E60" s="26">
        <v>0.46</v>
      </c>
      <c r="F60" s="26"/>
      <c r="G60" s="26"/>
      <c r="H60" s="26"/>
      <c r="I60" s="26"/>
      <c r="J60" s="26"/>
      <c r="K60" s="26"/>
      <c r="L60" s="174">
        <f>E60*Prices!B$2</f>
        <v>50600</v>
      </c>
      <c r="M60" s="174">
        <f>F60*Prices!C$2</f>
        <v>0</v>
      </c>
      <c r="N60" s="174">
        <f>G60*Prices!D$2</f>
        <v>0</v>
      </c>
      <c r="O60" s="174">
        <f>H60*Prices!E$2</f>
        <v>0</v>
      </c>
      <c r="P60" s="174">
        <f t="shared" si="6"/>
        <v>0</v>
      </c>
      <c r="Q60" s="174">
        <f>D60*Prices!A$2</f>
        <v>88669.875</v>
      </c>
      <c r="R60" s="175">
        <f t="shared" si="4"/>
        <v>50600</v>
      </c>
      <c r="S60" s="174">
        <f t="shared" si="5"/>
        <v>139269.875</v>
      </c>
      <c r="T60" s="26">
        <v>59.0</v>
      </c>
      <c r="U60" s="26" t="s">
        <v>82</v>
      </c>
      <c r="V60" s="93"/>
      <c r="W60" s="93"/>
      <c r="X60" s="93"/>
      <c r="Y60" s="93"/>
      <c r="Z60" s="93"/>
    </row>
    <row r="61">
      <c r="A61" s="26">
        <v>60.0</v>
      </c>
      <c r="B61" s="26">
        <v>13.774</v>
      </c>
      <c r="C61" s="26">
        <f t="shared" si="1"/>
        <v>3.4435</v>
      </c>
      <c r="D61" s="26">
        <f t="shared" si="2"/>
        <v>17.2175</v>
      </c>
      <c r="E61" s="26">
        <v>2.33</v>
      </c>
      <c r="F61" s="26"/>
      <c r="G61" s="26"/>
      <c r="H61" s="26"/>
      <c r="I61" s="26">
        <v>5.85</v>
      </c>
      <c r="J61" s="26"/>
      <c r="K61" s="26"/>
      <c r="L61" s="174">
        <f>E61*Prices!B$2</f>
        <v>256300</v>
      </c>
      <c r="M61" s="174">
        <f>F61*Prices!C$2</f>
        <v>0</v>
      </c>
      <c r="N61" s="174">
        <f>G61*Prices!D$2</f>
        <v>0</v>
      </c>
      <c r="O61" s="174">
        <f>H61*Prices!E$2</f>
        <v>0</v>
      </c>
      <c r="P61" s="174">
        <f t="shared" si="6"/>
        <v>11700</v>
      </c>
      <c r="Q61" s="174">
        <f>D61*Prices!A$2</f>
        <v>307332.375</v>
      </c>
      <c r="R61" s="175">
        <f t="shared" si="4"/>
        <v>256300</v>
      </c>
      <c r="S61" s="174">
        <f t="shared" si="5"/>
        <v>575332.375</v>
      </c>
      <c r="T61" s="26">
        <v>60.0</v>
      </c>
      <c r="U61" s="26" t="s">
        <v>80</v>
      </c>
      <c r="V61" s="93" t="s">
        <v>81</v>
      </c>
      <c r="W61" s="93"/>
      <c r="X61" s="93"/>
      <c r="Y61" s="93"/>
      <c r="Z61" s="93"/>
    </row>
    <row r="62">
      <c r="A62" s="26">
        <v>61.0</v>
      </c>
      <c r="B62" s="26">
        <v>3.5</v>
      </c>
      <c r="C62" s="26">
        <f t="shared" si="1"/>
        <v>0.875</v>
      </c>
      <c r="D62" s="26">
        <f t="shared" si="2"/>
        <v>4.375</v>
      </c>
      <c r="E62" s="26">
        <v>0.6</v>
      </c>
      <c r="F62" s="26"/>
      <c r="G62" s="26"/>
      <c r="H62" s="26"/>
      <c r="I62" s="26"/>
      <c r="J62" s="26"/>
      <c r="K62" s="26"/>
      <c r="L62" s="174">
        <f>E62*Prices!B$2</f>
        <v>66000</v>
      </c>
      <c r="M62" s="174">
        <f>F62*Prices!C$2</f>
        <v>0</v>
      </c>
      <c r="N62" s="174">
        <f>G62*Prices!D$2</f>
        <v>0</v>
      </c>
      <c r="O62" s="174">
        <f>H62*Prices!E$2</f>
        <v>0</v>
      </c>
      <c r="P62" s="174">
        <f t="shared" si="6"/>
        <v>0</v>
      </c>
      <c r="Q62" s="174">
        <f>D62*Prices!A$2</f>
        <v>78093.75</v>
      </c>
      <c r="R62" s="175">
        <f t="shared" si="4"/>
        <v>66000</v>
      </c>
      <c r="S62" s="174">
        <f t="shared" si="5"/>
        <v>144093.75</v>
      </c>
      <c r="T62" s="26">
        <v>61.0</v>
      </c>
      <c r="U62" s="26" t="s">
        <v>82</v>
      </c>
      <c r="V62" s="93"/>
      <c r="W62" s="93"/>
      <c r="X62" s="93"/>
      <c r="Y62" s="93"/>
      <c r="Z62" s="93"/>
    </row>
    <row r="63">
      <c r="A63" s="26">
        <v>62.0</v>
      </c>
      <c r="B63" s="26">
        <v>8.794</v>
      </c>
      <c r="C63" s="26">
        <f t="shared" si="1"/>
        <v>2.1985</v>
      </c>
      <c r="D63" s="26">
        <f t="shared" si="2"/>
        <v>10.9925</v>
      </c>
      <c r="E63" s="26">
        <v>1.21</v>
      </c>
      <c r="F63" s="26"/>
      <c r="G63" s="26"/>
      <c r="H63" s="26"/>
      <c r="I63" s="26"/>
      <c r="J63" s="26"/>
      <c r="K63" s="26">
        <v>4.02</v>
      </c>
      <c r="L63" s="174">
        <f>E63*Prices!B$2</f>
        <v>133100</v>
      </c>
      <c r="M63" s="174">
        <f>F63*Prices!C$2</f>
        <v>0</v>
      </c>
      <c r="N63" s="174">
        <f>G63*Prices!D$2</f>
        <v>0</v>
      </c>
      <c r="O63" s="174">
        <f>H63*Prices!E$2</f>
        <v>0</v>
      </c>
      <c r="P63" s="174">
        <f t="shared" si="6"/>
        <v>7236</v>
      </c>
      <c r="Q63" s="174">
        <f>D63*Prices!A$2</f>
        <v>196216.125</v>
      </c>
      <c r="R63" s="175">
        <f t="shared" si="4"/>
        <v>133100</v>
      </c>
      <c r="S63" s="174">
        <f t="shared" si="5"/>
        <v>336552.125</v>
      </c>
      <c r="T63" s="26">
        <v>62.0</v>
      </c>
      <c r="U63" s="26" t="s">
        <v>82</v>
      </c>
      <c r="V63" s="93"/>
      <c r="W63" s="93"/>
      <c r="X63" s="93"/>
      <c r="Y63" s="93"/>
      <c r="Z63" s="93"/>
    </row>
    <row r="64">
      <c r="A64" s="26">
        <v>63.0</v>
      </c>
      <c r="B64" s="26">
        <v>3.878</v>
      </c>
      <c r="C64" s="26">
        <f t="shared" si="1"/>
        <v>0.9695</v>
      </c>
      <c r="D64" s="26">
        <f t="shared" si="2"/>
        <v>4.8475</v>
      </c>
      <c r="E64" s="26"/>
      <c r="F64" s="26">
        <v>0.51</v>
      </c>
      <c r="G64" s="26"/>
      <c r="H64" s="26"/>
      <c r="I64" s="26"/>
      <c r="J64" s="26"/>
      <c r="K64" s="26"/>
      <c r="L64" s="174">
        <f>E64*Prices!B$2</f>
        <v>0</v>
      </c>
      <c r="M64" s="174">
        <f>F64*Prices!C$2</f>
        <v>81600</v>
      </c>
      <c r="N64" s="174">
        <f>G64*Prices!D$2</f>
        <v>0</v>
      </c>
      <c r="O64" s="174">
        <f>H64*Prices!E$2</f>
        <v>0</v>
      </c>
      <c r="P64" s="174">
        <f t="shared" si="6"/>
        <v>0</v>
      </c>
      <c r="Q64" s="174">
        <f>D64*Prices!A$2</f>
        <v>86527.875</v>
      </c>
      <c r="R64" s="175">
        <f t="shared" si="4"/>
        <v>81600</v>
      </c>
      <c r="S64" s="174">
        <f t="shared" si="5"/>
        <v>168127.875</v>
      </c>
      <c r="T64" s="26">
        <v>63.0</v>
      </c>
      <c r="U64" s="26" t="s">
        <v>80</v>
      </c>
      <c r="V64" s="93" t="s">
        <v>81</v>
      </c>
      <c r="W64" s="93"/>
      <c r="X64" s="93"/>
      <c r="Y64" s="93"/>
      <c r="Z64" s="93"/>
    </row>
    <row r="65">
      <c r="A65" s="26">
        <v>64.0</v>
      </c>
      <c r="B65" s="26">
        <v>4.696</v>
      </c>
      <c r="C65" s="26">
        <f t="shared" si="1"/>
        <v>1.174</v>
      </c>
      <c r="D65" s="26">
        <f t="shared" si="2"/>
        <v>5.87</v>
      </c>
      <c r="E65" s="26">
        <v>0.82</v>
      </c>
      <c r="F65" s="26"/>
      <c r="G65" s="26"/>
      <c r="H65" s="26"/>
      <c r="I65" s="26"/>
      <c r="J65" s="26"/>
      <c r="K65" s="26"/>
      <c r="L65" s="174">
        <f>E65*Prices!B$2</f>
        <v>90200</v>
      </c>
      <c r="M65" s="174">
        <f>F65*Prices!C$2</f>
        <v>0</v>
      </c>
      <c r="N65" s="174">
        <f>G65*Prices!D$2</f>
        <v>0</v>
      </c>
      <c r="O65" s="174">
        <f>H65*Prices!E$2</f>
        <v>0</v>
      </c>
      <c r="P65" s="174">
        <f t="shared" si="6"/>
        <v>0</v>
      </c>
      <c r="Q65" s="174">
        <f>D65*Prices!A$2</f>
        <v>104779.5</v>
      </c>
      <c r="R65" s="175">
        <f t="shared" si="4"/>
        <v>90200</v>
      </c>
      <c r="S65" s="174">
        <f t="shared" si="5"/>
        <v>194979.5</v>
      </c>
      <c r="T65" s="26">
        <v>64.0</v>
      </c>
      <c r="U65" s="93" t="s">
        <v>82</v>
      </c>
      <c r="V65" s="93"/>
      <c r="W65" s="93"/>
      <c r="X65" s="93"/>
      <c r="Y65" s="93"/>
      <c r="Z65" s="93"/>
    </row>
    <row r="66">
      <c r="A66" s="26">
        <v>65.0</v>
      </c>
      <c r="B66" s="26">
        <v>2.984</v>
      </c>
      <c r="C66" s="26">
        <f t="shared" si="1"/>
        <v>0.746</v>
      </c>
      <c r="D66" s="26">
        <f t="shared" si="2"/>
        <v>3.73</v>
      </c>
      <c r="E66" s="26"/>
      <c r="F66" s="26">
        <v>1.23</v>
      </c>
      <c r="G66" s="26"/>
      <c r="H66" s="26"/>
      <c r="I66" s="26"/>
      <c r="J66" s="26"/>
      <c r="K66" s="26"/>
      <c r="L66" s="174">
        <f>E66*Prices!B$2</f>
        <v>0</v>
      </c>
      <c r="M66" s="174">
        <f>F66*Prices!C$2</f>
        <v>196800</v>
      </c>
      <c r="N66" s="174">
        <f>G66*Prices!D$2</f>
        <v>0</v>
      </c>
      <c r="O66" s="174">
        <f>H66*Prices!E$2</f>
        <v>0</v>
      </c>
      <c r="P66" s="174">
        <f t="shared" si="6"/>
        <v>0</v>
      </c>
      <c r="Q66" s="174">
        <f>D66*Prices!A$2</f>
        <v>66580.5</v>
      </c>
      <c r="R66" s="175">
        <f t="shared" si="4"/>
        <v>196800</v>
      </c>
      <c r="S66" s="174">
        <f t="shared" si="5"/>
        <v>263380.5</v>
      </c>
      <c r="T66" s="26">
        <v>65.0</v>
      </c>
      <c r="U66" s="26" t="s">
        <v>80</v>
      </c>
      <c r="V66" s="93" t="s">
        <v>81</v>
      </c>
      <c r="W66" s="93"/>
      <c r="X66" s="93"/>
      <c r="Y66" s="93"/>
      <c r="Z66" s="93"/>
    </row>
    <row r="67">
      <c r="A67" s="26">
        <v>66.0</v>
      </c>
      <c r="B67" s="26">
        <v>4.258</v>
      </c>
      <c r="C67" s="26">
        <f t="shared" si="1"/>
        <v>1.0645</v>
      </c>
      <c r="D67" s="26">
        <f t="shared" si="2"/>
        <v>5.3225</v>
      </c>
      <c r="E67" s="26">
        <v>0.96</v>
      </c>
      <c r="F67" s="26"/>
      <c r="G67" s="26"/>
      <c r="H67" s="26"/>
      <c r="I67" s="26"/>
      <c r="J67" s="26"/>
      <c r="K67" s="26"/>
      <c r="L67" s="174">
        <f>E67*Prices!B$2</f>
        <v>105600</v>
      </c>
      <c r="M67" s="174">
        <f>F67*Prices!C$2</f>
        <v>0</v>
      </c>
      <c r="N67" s="174">
        <f>G67*Prices!D$2</f>
        <v>0</v>
      </c>
      <c r="O67" s="174">
        <f>H67*Prices!E$2</f>
        <v>0</v>
      </c>
      <c r="P67" s="174">
        <f t="shared" si="6"/>
        <v>0</v>
      </c>
      <c r="Q67" s="174">
        <f>D67*Prices!A$2</f>
        <v>95006.625</v>
      </c>
      <c r="R67" s="175">
        <f t="shared" si="4"/>
        <v>105600</v>
      </c>
      <c r="S67" s="174">
        <f t="shared" si="5"/>
        <v>200606.625</v>
      </c>
      <c r="T67" s="26">
        <v>66.0</v>
      </c>
      <c r="U67" s="26" t="s">
        <v>82</v>
      </c>
      <c r="V67" s="93"/>
      <c r="W67" s="93"/>
      <c r="X67" s="93"/>
      <c r="Y67" s="93"/>
      <c r="Z67" s="93"/>
    </row>
    <row r="68">
      <c r="A68" s="26">
        <v>67.0</v>
      </c>
      <c r="B68" s="26">
        <v>5.204</v>
      </c>
      <c r="C68" s="26">
        <f t="shared" si="1"/>
        <v>1.301</v>
      </c>
      <c r="D68" s="26">
        <f t="shared" si="2"/>
        <v>6.505</v>
      </c>
      <c r="E68" s="26">
        <v>1.03</v>
      </c>
      <c r="F68" s="26"/>
      <c r="G68" s="26"/>
      <c r="H68" s="26"/>
      <c r="I68" s="26"/>
      <c r="J68" s="26"/>
      <c r="K68" s="26"/>
      <c r="L68" s="174">
        <f>E68*Prices!B$2</f>
        <v>113300</v>
      </c>
      <c r="M68" s="174">
        <f>F68*Prices!C$2</f>
        <v>0</v>
      </c>
      <c r="N68" s="174">
        <f>G68*Prices!D$2</f>
        <v>0</v>
      </c>
      <c r="O68" s="174">
        <f>H68*Prices!E$2</f>
        <v>0</v>
      </c>
      <c r="P68" s="174">
        <f t="shared" si="6"/>
        <v>0</v>
      </c>
      <c r="Q68" s="174">
        <f>D68*Prices!A$2</f>
        <v>116114.25</v>
      </c>
      <c r="R68" s="175">
        <f t="shared" si="4"/>
        <v>113300</v>
      </c>
      <c r="S68" s="174">
        <f t="shared" si="5"/>
        <v>229414.25</v>
      </c>
      <c r="T68" s="26">
        <v>67.0</v>
      </c>
      <c r="U68" s="26" t="s">
        <v>82</v>
      </c>
      <c r="V68" s="93"/>
      <c r="W68" s="93"/>
      <c r="X68" s="93"/>
      <c r="Y68" s="93"/>
      <c r="Z68" s="93"/>
    </row>
    <row r="69">
      <c r="A69" s="26">
        <v>68.0</v>
      </c>
      <c r="B69" s="26">
        <v>2.318</v>
      </c>
      <c r="C69" s="26">
        <f t="shared" si="1"/>
        <v>0.5795</v>
      </c>
      <c r="D69" s="26">
        <f t="shared" si="2"/>
        <v>2.8975</v>
      </c>
      <c r="E69" s="26">
        <v>0.39</v>
      </c>
      <c r="F69" s="26"/>
      <c r="G69" s="26"/>
      <c r="H69" s="26"/>
      <c r="I69" s="26">
        <v>1.32</v>
      </c>
      <c r="J69" s="26"/>
      <c r="K69" s="26"/>
      <c r="L69" s="174">
        <f>E69*Prices!B$2</f>
        <v>42900</v>
      </c>
      <c r="M69" s="174">
        <f>F69*Prices!C$2</f>
        <v>0</v>
      </c>
      <c r="N69" s="174">
        <f>G69*Prices!D$2</f>
        <v>0</v>
      </c>
      <c r="O69" s="174">
        <f>H69*Prices!E$2</f>
        <v>0</v>
      </c>
      <c r="P69" s="174">
        <f t="shared" si="6"/>
        <v>2640</v>
      </c>
      <c r="Q69" s="174">
        <f>D69*Prices!A$2</f>
        <v>51720.375</v>
      </c>
      <c r="R69" s="175">
        <f t="shared" si="4"/>
        <v>42900</v>
      </c>
      <c r="S69" s="174">
        <f t="shared" si="5"/>
        <v>97260.375</v>
      </c>
      <c r="T69" s="26">
        <v>68.0</v>
      </c>
      <c r="U69" s="26" t="s">
        <v>80</v>
      </c>
      <c r="V69" s="93" t="s">
        <v>81</v>
      </c>
      <c r="W69" s="93"/>
      <c r="X69" s="93"/>
      <c r="Y69" s="93"/>
      <c r="Z69" s="93"/>
    </row>
    <row r="70">
      <c r="A70" s="26">
        <v>69.0</v>
      </c>
      <c r="B70" s="26">
        <v>4.66</v>
      </c>
      <c r="C70" s="26">
        <f t="shared" si="1"/>
        <v>1.165</v>
      </c>
      <c r="D70" s="26">
        <f t="shared" si="2"/>
        <v>5.825</v>
      </c>
      <c r="E70" s="26">
        <v>0.85</v>
      </c>
      <c r="F70" s="26"/>
      <c r="G70" s="26"/>
      <c r="H70" s="26"/>
      <c r="I70" s="26"/>
      <c r="J70" s="26"/>
      <c r="K70" s="26"/>
      <c r="L70" s="174">
        <f>E70*Prices!B$2</f>
        <v>93500</v>
      </c>
      <c r="M70" s="174">
        <f>F70*Prices!C$2</f>
        <v>0</v>
      </c>
      <c r="N70" s="174">
        <f>G70*Prices!D$2</f>
        <v>0</v>
      </c>
      <c r="O70" s="174">
        <f>H70*Prices!E$2</f>
        <v>0</v>
      </c>
      <c r="P70" s="174">
        <f t="shared" si="6"/>
        <v>0</v>
      </c>
      <c r="Q70" s="174">
        <f>D70*Prices!A$2</f>
        <v>103976.25</v>
      </c>
      <c r="R70" s="175">
        <f t="shared" si="4"/>
        <v>93500</v>
      </c>
      <c r="S70" s="174">
        <f t="shared" si="5"/>
        <v>197476.25</v>
      </c>
      <c r="T70" s="26">
        <v>69.0</v>
      </c>
      <c r="U70" s="26" t="s">
        <v>80</v>
      </c>
      <c r="V70" s="93" t="s">
        <v>81</v>
      </c>
      <c r="W70" s="93"/>
      <c r="X70" s="93"/>
      <c r="Y70" s="93"/>
      <c r="Z70" s="93"/>
    </row>
    <row r="71">
      <c r="A71" s="26">
        <v>70.0</v>
      </c>
      <c r="B71" s="26">
        <v>3.618</v>
      </c>
      <c r="C71" s="26">
        <f t="shared" si="1"/>
        <v>0.9045</v>
      </c>
      <c r="D71" s="26">
        <f t="shared" si="2"/>
        <v>4.5225</v>
      </c>
      <c r="E71" s="26">
        <v>1.01</v>
      </c>
      <c r="F71" s="26"/>
      <c r="G71" s="26"/>
      <c r="H71" s="26"/>
      <c r="I71" s="26"/>
      <c r="J71" s="26"/>
      <c r="K71" s="26">
        <v>2.05</v>
      </c>
      <c r="L71" s="174">
        <f>E71*Prices!B$2</f>
        <v>111100</v>
      </c>
      <c r="M71" s="174">
        <f>F71*Prices!C$2</f>
        <v>0</v>
      </c>
      <c r="N71" s="174">
        <f>G71*Prices!D$2</f>
        <v>0</v>
      </c>
      <c r="O71" s="174">
        <f>H71*Prices!E$2</f>
        <v>0</v>
      </c>
      <c r="P71" s="174">
        <f t="shared" si="6"/>
        <v>3690</v>
      </c>
      <c r="Q71" s="174">
        <f>D71*Prices!A$2</f>
        <v>80726.625</v>
      </c>
      <c r="R71" s="175">
        <f t="shared" si="4"/>
        <v>111100</v>
      </c>
      <c r="S71" s="174">
        <f t="shared" si="5"/>
        <v>195516.625</v>
      </c>
      <c r="T71" s="26">
        <v>70.0</v>
      </c>
      <c r="U71" s="26" t="s">
        <v>82</v>
      </c>
      <c r="V71" s="93"/>
      <c r="W71" s="93"/>
      <c r="X71" s="93"/>
      <c r="Y71" s="93"/>
      <c r="Z71" s="93"/>
    </row>
    <row r="72">
      <c r="A72" s="26">
        <v>71.0</v>
      </c>
      <c r="B72" s="26">
        <v>5.906</v>
      </c>
      <c r="C72" s="26">
        <f t="shared" si="1"/>
        <v>1.4765</v>
      </c>
      <c r="D72" s="26">
        <f t="shared" si="2"/>
        <v>7.3825</v>
      </c>
      <c r="E72" s="26">
        <v>0.35</v>
      </c>
      <c r="F72" s="26"/>
      <c r="G72" s="26"/>
      <c r="H72" s="26"/>
      <c r="I72" s="26"/>
      <c r="J72" s="26"/>
      <c r="K72" s="26"/>
      <c r="L72" s="174">
        <f>E72*Prices!B$2</f>
        <v>38500</v>
      </c>
      <c r="M72" s="174">
        <f>F72*Prices!C$2</f>
        <v>0</v>
      </c>
      <c r="N72" s="174">
        <f>G72*Prices!D$2</f>
        <v>0</v>
      </c>
      <c r="O72" s="174">
        <f>H72*Prices!E$2</f>
        <v>0</v>
      </c>
      <c r="P72" s="174">
        <f t="shared" si="6"/>
        <v>0</v>
      </c>
      <c r="Q72" s="174">
        <f>D72*Prices!A$2</f>
        <v>131777.625</v>
      </c>
      <c r="R72" s="175">
        <f t="shared" si="4"/>
        <v>38500</v>
      </c>
      <c r="S72" s="174">
        <f t="shared" si="5"/>
        <v>170277.625</v>
      </c>
      <c r="T72" s="26">
        <v>71.0</v>
      </c>
      <c r="U72" s="26" t="s">
        <v>80</v>
      </c>
      <c r="V72" s="93" t="s">
        <v>81</v>
      </c>
      <c r="W72" s="93"/>
      <c r="X72" s="93"/>
      <c r="Y72" s="93"/>
      <c r="Z72" s="93"/>
    </row>
    <row r="73">
      <c r="A73" s="26">
        <v>72.0</v>
      </c>
      <c r="B73" s="26">
        <v>4.562</v>
      </c>
      <c r="C73" s="26">
        <f t="shared" si="1"/>
        <v>1.1405</v>
      </c>
      <c r="D73" s="26">
        <f t="shared" si="2"/>
        <v>5.7025</v>
      </c>
      <c r="E73" s="26">
        <v>1.17</v>
      </c>
      <c r="F73" s="26"/>
      <c r="G73" s="26"/>
      <c r="H73" s="26"/>
      <c r="I73" s="26"/>
      <c r="J73" s="26"/>
      <c r="K73" s="26">
        <v>6.12</v>
      </c>
      <c r="L73" s="174">
        <f>E73*Prices!B$2</f>
        <v>128700</v>
      </c>
      <c r="M73" s="174">
        <f>F73*Prices!C$2</f>
        <v>0</v>
      </c>
      <c r="N73" s="174">
        <f>G73*Prices!D$2</f>
        <v>0</v>
      </c>
      <c r="O73" s="174">
        <f>H73*Prices!E$2</f>
        <v>0</v>
      </c>
      <c r="P73" s="174">
        <f>I73*2000+J73*10000+K73*500</f>
        <v>3060</v>
      </c>
      <c r="Q73" s="174">
        <f>D73*Prices!A$2</f>
        <v>101789.625</v>
      </c>
      <c r="R73" s="175">
        <f t="shared" si="4"/>
        <v>128700</v>
      </c>
      <c r="S73" s="174">
        <f t="shared" si="5"/>
        <v>233549.625</v>
      </c>
      <c r="T73" s="26">
        <v>72.0</v>
      </c>
      <c r="U73" s="26" t="s">
        <v>80</v>
      </c>
      <c r="V73" s="93" t="s">
        <v>81</v>
      </c>
      <c r="W73" s="93"/>
      <c r="X73" s="93"/>
      <c r="Y73" s="93"/>
      <c r="Z73" s="93"/>
    </row>
    <row r="74">
      <c r="A74" s="26">
        <v>73.0</v>
      </c>
      <c r="B74" s="26">
        <v>6.608</v>
      </c>
      <c r="C74" s="26">
        <f t="shared" si="1"/>
        <v>1.652</v>
      </c>
      <c r="D74" s="26">
        <f t="shared" si="2"/>
        <v>8.26</v>
      </c>
      <c r="E74" s="26">
        <v>1.76</v>
      </c>
      <c r="F74" s="26"/>
      <c r="G74" s="26"/>
      <c r="H74" s="26"/>
      <c r="I74" s="26"/>
      <c r="J74" s="26"/>
      <c r="K74" s="26"/>
      <c r="L74" s="174">
        <f>E74*Prices!B$2</f>
        <v>193600</v>
      </c>
      <c r="M74" s="174">
        <f>F74*Prices!C$2</f>
        <v>0</v>
      </c>
      <c r="N74" s="174">
        <f>G74*Prices!D$2</f>
        <v>0</v>
      </c>
      <c r="O74" s="174">
        <f>H74*Prices!E$2</f>
        <v>0</v>
      </c>
      <c r="P74" s="174">
        <f t="shared" ref="P74:P94" si="7">I74*2000+J74*10000+K74*1800</f>
        <v>0</v>
      </c>
      <c r="Q74" s="174">
        <f>D74*Prices!A$2</f>
        <v>147441</v>
      </c>
      <c r="R74" s="175">
        <f t="shared" si="4"/>
        <v>193600</v>
      </c>
      <c r="S74" s="174">
        <f t="shared" si="5"/>
        <v>341041</v>
      </c>
      <c r="T74" s="26">
        <v>73.0</v>
      </c>
      <c r="U74" s="26" t="s">
        <v>82</v>
      </c>
      <c r="V74" s="93"/>
      <c r="W74" s="93"/>
      <c r="X74" s="93"/>
      <c r="Y74" s="93"/>
      <c r="Z74" s="93"/>
    </row>
    <row r="75">
      <c r="A75" s="26">
        <v>74.0</v>
      </c>
      <c r="B75" s="26">
        <v>3.966</v>
      </c>
      <c r="C75" s="26">
        <f t="shared" si="1"/>
        <v>0.9915</v>
      </c>
      <c r="D75" s="26">
        <f t="shared" si="2"/>
        <v>4.9575</v>
      </c>
      <c r="E75" s="26">
        <v>0.92</v>
      </c>
      <c r="F75" s="26"/>
      <c r="G75" s="26"/>
      <c r="H75" s="26"/>
      <c r="I75" s="26"/>
      <c r="J75" s="26"/>
      <c r="K75" s="26"/>
      <c r="L75" s="174">
        <f>E75*Prices!B$2</f>
        <v>101200</v>
      </c>
      <c r="M75" s="174">
        <f>F75*Prices!C$2</f>
        <v>0</v>
      </c>
      <c r="N75" s="174">
        <f>G75*Prices!D$2</f>
        <v>0</v>
      </c>
      <c r="O75" s="174">
        <f>H75*Prices!E$2</f>
        <v>0</v>
      </c>
      <c r="P75" s="174">
        <f t="shared" si="7"/>
        <v>0</v>
      </c>
      <c r="Q75" s="174">
        <f>D75*Prices!A$2</f>
        <v>88491.375</v>
      </c>
      <c r="R75" s="175">
        <f t="shared" si="4"/>
        <v>101200</v>
      </c>
      <c r="S75" s="174">
        <f t="shared" si="5"/>
        <v>189691.375</v>
      </c>
      <c r="T75" s="26">
        <v>74.0</v>
      </c>
      <c r="U75" s="26" t="s">
        <v>80</v>
      </c>
      <c r="V75" s="93" t="s">
        <v>81</v>
      </c>
      <c r="W75" s="93"/>
      <c r="X75" s="93"/>
      <c r="Y75" s="93"/>
      <c r="Z75" s="93"/>
    </row>
    <row r="76">
      <c r="A76" s="26">
        <v>75.0</v>
      </c>
      <c r="B76" s="26">
        <v>4.556</v>
      </c>
      <c r="C76" s="26">
        <f t="shared" si="1"/>
        <v>1.139</v>
      </c>
      <c r="D76" s="26">
        <f t="shared" si="2"/>
        <v>5.695</v>
      </c>
      <c r="E76" s="26">
        <v>0.72</v>
      </c>
      <c r="F76" s="26"/>
      <c r="G76" s="26"/>
      <c r="H76" s="26"/>
      <c r="I76" s="26"/>
      <c r="J76" s="26"/>
      <c r="K76" s="26"/>
      <c r="L76" s="174">
        <f>E76*Prices!B$2</f>
        <v>79200</v>
      </c>
      <c r="M76" s="174">
        <f>F76*Prices!C$2</f>
        <v>0</v>
      </c>
      <c r="N76" s="174">
        <f>G76*Prices!D$2</f>
        <v>0</v>
      </c>
      <c r="O76" s="174">
        <f>H76*Prices!E$2</f>
        <v>0</v>
      </c>
      <c r="P76" s="174">
        <f t="shared" si="7"/>
        <v>0</v>
      </c>
      <c r="Q76" s="174">
        <f>D76*Prices!A$2</f>
        <v>101655.75</v>
      </c>
      <c r="R76" s="175">
        <f t="shared" si="4"/>
        <v>79200</v>
      </c>
      <c r="S76" s="174">
        <f t="shared" si="5"/>
        <v>180855.75</v>
      </c>
      <c r="T76" s="26">
        <v>75.0</v>
      </c>
      <c r="U76" s="26" t="s">
        <v>82</v>
      </c>
      <c r="V76" s="93"/>
      <c r="W76" s="93"/>
      <c r="X76" s="93"/>
      <c r="Y76" s="93"/>
      <c r="Z76" s="93"/>
    </row>
    <row r="77">
      <c r="A77" s="26">
        <v>76.0</v>
      </c>
      <c r="B77" s="26">
        <v>4.12</v>
      </c>
      <c r="C77" s="26">
        <f t="shared" si="1"/>
        <v>1.03</v>
      </c>
      <c r="D77" s="26">
        <f t="shared" si="2"/>
        <v>5.15</v>
      </c>
      <c r="E77" s="26">
        <v>0.66</v>
      </c>
      <c r="F77" s="26">
        <v>0.19</v>
      </c>
      <c r="G77" s="26"/>
      <c r="H77" s="26"/>
      <c r="I77" s="26"/>
      <c r="J77" s="26"/>
      <c r="K77" s="26"/>
      <c r="L77" s="174">
        <f>E77*Prices!B$2</f>
        <v>72600</v>
      </c>
      <c r="M77" s="174">
        <f>F77*Prices!C$2</f>
        <v>30400</v>
      </c>
      <c r="N77" s="174">
        <f>G77*Prices!D$2</f>
        <v>0</v>
      </c>
      <c r="O77" s="174">
        <f>H77*Prices!E$2</f>
        <v>0</v>
      </c>
      <c r="P77" s="174">
        <f t="shared" si="7"/>
        <v>0</v>
      </c>
      <c r="Q77" s="174">
        <f>D77*Prices!A$2</f>
        <v>91927.5</v>
      </c>
      <c r="R77" s="175">
        <f t="shared" si="4"/>
        <v>103000</v>
      </c>
      <c r="S77" s="174">
        <f t="shared" si="5"/>
        <v>194927.5</v>
      </c>
      <c r="T77" s="26">
        <v>76.0</v>
      </c>
      <c r="U77" s="26" t="s">
        <v>80</v>
      </c>
      <c r="V77" s="93" t="s">
        <v>81</v>
      </c>
      <c r="W77" s="93"/>
      <c r="X77" s="93"/>
      <c r="Y77" s="93"/>
      <c r="Z77" s="93"/>
    </row>
    <row r="78">
      <c r="A78" s="26">
        <v>77.0</v>
      </c>
      <c r="B78" s="26">
        <v>12.49</v>
      </c>
      <c r="C78" s="26">
        <f t="shared" si="1"/>
        <v>3.1225</v>
      </c>
      <c r="D78" s="26">
        <f t="shared" si="2"/>
        <v>15.6125</v>
      </c>
      <c r="E78" s="26">
        <v>2.9</v>
      </c>
      <c r="F78" s="26"/>
      <c r="G78" s="26"/>
      <c r="H78" s="26"/>
      <c r="I78" s="26"/>
      <c r="J78" s="26">
        <v>10.9</v>
      </c>
      <c r="K78" s="26"/>
      <c r="L78" s="174">
        <f>E78*Prices!B$2</f>
        <v>319000</v>
      </c>
      <c r="M78" s="174">
        <f>F78*Prices!C$2</f>
        <v>0</v>
      </c>
      <c r="N78" s="174">
        <f>G78*Prices!D$2</f>
        <v>0</v>
      </c>
      <c r="O78" s="174">
        <f>H78*Prices!E$2</f>
        <v>0</v>
      </c>
      <c r="P78" s="174">
        <f t="shared" si="7"/>
        <v>109000</v>
      </c>
      <c r="Q78" s="174">
        <f>D78*Prices!A$2</f>
        <v>278683.125</v>
      </c>
      <c r="R78" s="175">
        <f t="shared" si="4"/>
        <v>319000</v>
      </c>
      <c r="S78" s="174">
        <f t="shared" si="5"/>
        <v>706683.125</v>
      </c>
      <c r="T78" s="26">
        <v>77.0</v>
      </c>
      <c r="U78" s="26" t="s">
        <v>80</v>
      </c>
      <c r="V78" s="93" t="s">
        <v>81</v>
      </c>
      <c r="W78" s="93"/>
      <c r="X78" s="93"/>
      <c r="Y78" s="93"/>
      <c r="Z78" s="93"/>
    </row>
    <row r="79">
      <c r="A79" s="26">
        <v>78.0</v>
      </c>
      <c r="B79" s="26">
        <v>2.83</v>
      </c>
      <c r="C79" s="26">
        <f t="shared" si="1"/>
        <v>0.7075</v>
      </c>
      <c r="D79" s="26">
        <f t="shared" si="2"/>
        <v>3.5375</v>
      </c>
      <c r="E79" s="26"/>
      <c r="F79" s="26">
        <v>1.5</v>
      </c>
      <c r="G79" s="26"/>
      <c r="H79" s="26"/>
      <c r="I79" s="26"/>
      <c r="J79" s="26"/>
      <c r="K79" s="26"/>
      <c r="L79" s="174">
        <f>E79*Prices!B$2</f>
        <v>0</v>
      </c>
      <c r="M79" s="174">
        <f>F79*Prices!C$2</f>
        <v>240000</v>
      </c>
      <c r="N79" s="174">
        <f>G79*Prices!D$2</f>
        <v>0</v>
      </c>
      <c r="O79" s="174">
        <f>H79*Prices!E$2</f>
        <v>0</v>
      </c>
      <c r="P79" s="174">
        <f t="shared" si="7"/>
        <v>0</v>
      </c>
      <c r="Q79" s="174">
        <f>D79*Prices!A$2</f>
        <v>63144.375</v>
      </c>
      <c r="R79" s="175">
        <f t="shared" si="4"/>
        <v>240000</v>
      </c>
      <c r="S79" s="174">
        <f t="shared" si="5"/>
        <v>303144.375</v>
      </c>
      <c r="T79" s="26">
        <v>78.0</v>
      </c>
      <c r="U79" s="26" t="s">
        <v>82</v>
      </c>
      <c r="V79" s="93"/>
      <c r="W79" s="93"/>
      <c r="X79" s="93"/>
      <c r="Y79" s="93"/>
      <c r="Z79" s="93"/>
    </row>
    <row r="80">
      <c r="A80" s="26">
        <v>79.0</v>
      </c>
      <c r="B80" s="26">
        <v>3.426</v>
      </c>
      <c r="C80" s="26">
        <f t="shared" si="1"/>
        <v>0.8565</v>
      </c>
      <c r="D80" s="26">
        <f t="shared" si="2"/>
        <v>4.2825</v>
      </c>
      <c r="E80" s="26">
        <v>0.74</v>
      </c>
      <c r="F80" s="26"/>
      <c r="G80" s="26"/>
      <c r="H80" s="26"/>
      <c r="I80" s="26"/>
      <c r="J80" s="26"/>
      <c r="K80" s="26">
        <v>2.08</v>
      </c>
      <c r="L80" s="174">
        <f>E80*Prices!B$2</f>
        <v>81400</v>
      </c>
      <c r="M80" s="174">
        <f>F80*Prices!C$2</f>
        <v>0</v>
      </c>
      <c r="N80" s="174">
        <f>G80*Prices!D$2</f>
        <v>0</v>
      </c>
      <c r="O80" s="174">
        <f>H80*Prices!E$2</f>
        <v>0</v>
      </c>
      <c r="P80" s="174">
        <f t="shared" si="7"/>
        <v>3744</v>
      </c>
      <c r="Q80" s="174">
        <f>D80*Prices!A$2</f>
        <v>76442.625</v>
      </c>
      <c r="R80" s="175">
        <f t="shared" si="4"/>
        <v>81400</v>
      </c>
      <c r="S80" s="174">
        <f t="shared" si="5"/>
        <v>161586.625</v>
      </c>
      <c r="T80" s="26">
        <v>79.0</v>
      </c>
      <c r="U80" s="26" t="s">
        <v>82</v>
      </c>
      <c r="V80" s="93"/>
      <c r="W80" s="93"/>
      <c r="X80" s="93"/>
      <c r="Y80" s="93"/>
      <c r="Z80" s="93"/>
    </row>
    <row r="81">
      <c r="A81" s="26">
        <v>80.0</v>
      </c>
      <c r="B81" s="26">
        <v>3.966</v>
      </c>
      <c r="C81" s="26">
        <f t="shared" si="1"/>
        <v>0.9915</v>
      </c>
      <c r="D81" s="26">
        <f t="shared" si="2"/>
        <v>4.9575</v>
      </c>
      <c r="E81" s="26">
        <v>0.97</v>
      </c>
      <c r="F81" s="26"/>
      <c r="G81" s="26"/>
      <c r="H81" s="26"/>
      <c r="I81" s="26"/>
      <c r="J81" s="26"/>
      <c r="K81" s="26">
        <v>1.95</v>
      </c>
      <c r="L81" s="174">
        <f>E81*Prices!B$2</f>
        <v>106700</v>
      </c>
      <c r="M81" s="174">
        <f>F81*Prices!C$2</f>
        <v>0</v>
      </c>
      <c r="N81" s="174">
        <f>G81*Prices!D$2</f>
        <v>0</v>
      </c>
      <c r="O81" s="174">
        <f>H81*Prices!E$2</f>
        <v>0</v>
      </c>
      <c r="P81" s="174">
        <f t="shared" si="7"/>
        <v>3510</v>
      </c>
      <c r="Q81" s="174">
        <f>D81*Prices!A$2</f>
        <v>88491.375</v>
      </c>
      <c r="R81" s="175">
        <f t="shared" si="4"/>
        <v>106700</v>
      </c>
      <c r="S81" s="174">
        <f t="shared" si="5"/>
        <v>198701.375</v>
      </c>
      <c r="T81" s="26">
        <v>80.0</v>
      </c>
      <c r="U81" s="26" t="s">
        <v>80</v>
      </c>
      <c r="V81" s="93" t="s">
        <v>81</v>
      </c>
      <c r="W81" s="93"/>
      <c r="X81" s="93"/>
      <c r="Y81" s="93"/>
      <c r="Z81" s="93"/>
    </row>
    <row r="82">
      <c r="A82" s="26">
        <v>81.0</v>
      </c>
      <c r="B82" s="26">
        <v>3.978</v>
      </c>
      <c r="C82" s="26">
        <f t="shared" si="1"/>
        <v>0.9945</v>
      </c>
      <c r="D82" s="26">
        <f t="shared" si="2"/>
        <v>4.9725</v>
      </c>
      <c r="E82" s="26">
        <v>1.16</v>
      </c>
      <c r="F82" s="26"/>
      <c r="G82" s="26"/>
      <c r="H82" s="26"/>
      <c r="I82" s="26"/>
      <c r="J82" s="26"/>
      <c r="K82" s="26"/>
      <c r="L82" s="174">
        <f>E82*Prices!B$2</f>
        <v>127600</v>
      </c>
      <c r="M82" s="174">
        <f>F82*Prices!C$2</f>
        <v>0</v>
      </c>
      <c r="N82" s="174">
        <f>G82*Prices!D$2</f>
        <v>0</v>
      </c>
      <c r="O82" s="174">
        <f>H82*Prices!E$2</f>
        <v>0</v>
      </c>
      <c r="P82" s="174">
        <f t="shared" si="7"/>
        <v>0</v>
      </c>
      <c r="Q82" s="174">
        <f>D82*Prices!A$2</f>
        <v>88759.125</v>
      </c>
      <c r="R82" s="175">
        <f t="shared" si="4"/>
        <v>127600</v>
      </c>
      <c r="S82" s="174">
        <f t="shared" si="5"/>
        <v>216359.125</v>
      </c>
      <c r="T82" s="26">
        <v>81.0</v>
      </c>
      <c r="U82" s="26" t="s">
        <v>82</v>
      </c>
      <c r="V82" s="93"/>
      <c r="W82" s="93"/>
      <c r="X82" s="93"/>
      <c r="Y82" s="93"/>
      <c r="Z82" s="93"/>
    </row>
    <row r="83">
      <c r="A83" s="26">
        <v>82.0</v>
      </c>
      <c r="B83" s="26">
        <v>7.068</v>
      </c>
      <c r="C83" s="26">
        <f t="shared" si="1"/>
        <v>1.767</v>
      </c>
      <c r="D83" s="26">
        <f t="shared" si="2"/>
        <v>8.835</v>
      </c>
      <c r="E83" s="26"/>
      <c r="F83" s="26">
        <v>1.83</v>
      </c>
      <c r="G83" s="26"/>
      <c r="H83" s="26"/>
      <c r="I83" s="26">
        <v>7.33</v>
      </c>
      <c r="J83" s="26"/>
      <c r="K83" s="26"/>
      <c r="L83" s="174">
        <f>E83*Prices!B$2</f>
        <v>0</v>
      </c>
      <c r="M83" s="174">
        <f>F83*Prices!C$2</f>
        <v>292800</v>
      </c>
      <c r="N83" s="174">
        <f>G83*Prices!D$2</f>
        <v>0</v>
      </c>
      <c r="O83" s="174">
        <f>H83*Prices!E$2</f>
        <v>0</v>
      </c>
      <c r="P83" s="174">
        <f t="shared" si="7"/>
        <v>14660</v>
      </c>
      <c r="Q83" s="174">
        <f>D83*Prices!A$2</f>
        <v>157704.75</v>
      </c>
      <c r="R83" s="175">
        <f t="shared" si="4"/>
        <v>292800</v>
      </c>
      <c r="S83" s="174">
        <f t="shared" si="5"/>
        <v>465164.75</v>
      </c>
      <c r="T83" s="26">
        <v>82.0</v>
      </c>
      <c r="U83" s="26" t="s">
        <v>80</v>
      </c>
      <c r="V83" s="93" t="s">
        <v>81</v>
      </c>
      <c r="W83" s="93"/>
      <c r="X83" s="93"/>
      <c r="Y83" s="93"/>
      <c r="Z83" s="93"/>
    </row>
    <row r="84">
      <c r="A84" s="26">
        <v>83.0</v>
      </c>
      <c r="B84" s="26">
        <v>3.754</v>
      </c>
      <c r="C84" s="26">
        <f t="shared" si="1"/>
        <v>0.9385</v>
      </c>
      <c r="D84" s="26">
        <f t="shared" si="2"/>
        <v>4.6925</v>
      </c>
      <c r="E84" s="26">
        <v>0.81</v>
      </c>
      <c r="F84" s="26"/>
      <c r="G84" s="26"/>
      <c r="H84" s="26"/>
      <c r="I84" s="26"/>
      <c r="J84" s="26"/>
      <c r="K84" s="26">
        <v>4.92</v>
      </c>
      <c r="L84" s="174">
        <f>E84*Prices!B$2</f>
        <v>89100</v>
      </c>
      <c r="M84" s="174">
        <f>F84*Prices!C$2</f>
        <v>0</v>
      </c>
      <c r="N84" s="174">
        <f>G84*Prices!D$2</f>
        <v>0</v>
      </c>
      <c r="O84" s="174">
        <f>H84*Prices!E$2</f>
        <v>0</v>
      </c>
      <c r="P84" s="174">
        <f t="shared" si="7"/>
        <v>8856</v>
      </c>
      <c r="Q84" s="174">
        <f>D84*Prices!A$2</f>
        <v>83761.125</v>
      </c>
      <c r="R84" s="175">
        <f t="shared" si="4"/>
        <v>89100</v>
      </c>
      <c r="S84" s="174">
        <f t="shared" si="5"/>
        <v>181717.125</v>
      </c>
      <c r="T84" s="26">
        <v>83.0</v>
      </c>
      <c r="U84" s="26" t="s">
        <v>80</v>
      </c>
      <c r="V84" s="93" t="s">
        <v>81</v>
      </c>
      <c r="W84" s="93"/>
      <c r="X84" s="93"/>
      <c r="Y84" s="93"/>
      <c r="Z84" s="93"/>
    </row>
    <row r="85">
      <c r="A85" s="26">
        <v>84.0</v>
      </c>
      <c r="B85" s="26">
        <v>5.42</v>
      </c>
      <c r="C85" s="26">
        <f t="shared" si="1"/>
        <v>1.355</v>
      </c>
      <c r="D85" s="26">
        <f t="shared" si="2"/>
        <v>6.775</v>
      </c>
      <c r="E85" s="26">
        <v>1.64</v>
      </c>
      <c r="F85" s="26"/>
      <c r="G85" s="26"/>
      <c r="H85" s="26"/>
      <c r="I85" s="26"/>
      <c r="J85" s="26"/>
      <c r="K85" s="26"/>
      <c r="L85" s="174">
        <f>E85*Prices!B$2</f>
        <v>180400</v>
      </c>
      <c r="M85" s="174">
        <f>F85*Prices!C$2</f>
        <v>0</v>
      </c>
      <c r="N85" s="174">
        <f>G85*Prices!D$2</f>
        <v>0</v>
      </c>
      <c r="O85" s="174">
        <f>H85*Prices!E$2</f>
        <v>0</v>
      </c>
      <c r="P85" s="174">
        <f t="shared" si="7"/>
        <v>0</v>
      </c>
      <c r="Q85" s="174">
        <f>D85*Prices!A$2</f>
        <v>120933.75</v>
      </c>
      <c r="R85" s="175">
        <f t="shared" si="4"/>
        <v>180400</v>
      </c>
      <c r="S85" s="174">
        <f t="shared" si="5"/>
        <v>301333.75</v>
      </c>
      <c r="T85" s="26">
        <v>84.0</v>
      </c>
      <c r="U85" s="26" t="s">
        <v>80</v>
      </c>
      <c r="V85" s="93" t="s">
        <v>81</v>
      </c>
      <c r="W85" s="93"/>
      <c r="X85" s="93"/>
      <c r="Y85" s="93"/>
      <c r="Z85" s="93"/>
    </row>
    <row r="86">
      <c r="A86" s="26">
        <v>85.0</v>
      </c>
      <c r="B86" s="26">
        <v>6.718</v>
      </c>
      <c r="C86" s="26">
        <f t="shared" si="1"/>
        <v>1.6795</v>
      </c>
      <c r="D86" s="26">
        <f t="shared" si="2"/>
        <v>8.3975</v>
      </c>
      <c r="E86" s="26">
        <v>2.47</v>
      </c>
      <c r="F86" s="26"/>
      <c r="G86" s="26"/>
      <c r="H86" s="26"/>
      <c r="I86" s="26"/>
      <c r="J86" s="26">
        <v>2.89</v>
      </c>
      <c r="K86" s="26"/>
      <c r="L86" s="174">
        <f>E86*Prices!B$2</f>
        <v>271700</v>
      </c>
      <c r="M86" s="174">
        <f>F86*Prices!C$2</f>
        <v>0</v>
      </c>
      <c r="N86" s="174">
        <f>G86*Prices!D$2</f>
        <v>0</v>
      </c>
      <c r="O86" s="174">
        <f>H86*Prices!E$2</f>
        <v>0</v>
      </c>
      <c r="P86" s="174">
        <f t="shared" si="7"/>
        <v>28900</v>
      </c>
      <c r="Q86" s="174">
        <f>D86*Prices!A$2</f>
        <v>149895.375</v>
      </c>
      <c r="R86" s="175">
        <f t="shared" si="4"/>
        <v>271700</v>
      </c>
      <c r="S86" s="174">
        <f t="shared" si="5"/>
        <v>450495.375</v>
      </c>
      <c r="T86" s="26">
        <v>85.0</v>
      </c>
      <c r="U86" s="26" t="s">
        <v>80</v>
      </c>
      <c r="V86" s="93" t="s">
        <v>81</v>
      </c>
      <c r="W86" s="93"/>
      <c r="X86" s="93"/>
      <c r="Y86" s="93"/>
      <c r="Z86" s="93"/>
    </row>
    <row r="87">
      <c r="A87" s="26">
        <v>86.0</v>
      </c>
      <c r="B87" s="26">
        <v>2.784</v>
      </c>
      <c r="C87" s="26">
        <f t="shared" si="1"/>
        <v>0.696</v>
      </c>
      <c r="D87" s="26">
        <f t="shared" si="2"/>
        <v>3.48</v>
      </c>
      <c r="E87" s="26">
        <v>0.48</v>
      </c>
      <c r="F87" s="26"/>
      <c r="G87" s="26"/>
      <c r="H87" s="26"/>
      <c r="I87" s="26"/>
      <c r="J87" s="26"/>
      <c r="K87" s="26"/>
      <c r="L87" s="174">
        <f>E87*Prices!B$2</f>
        <v>52800</v>
      </c>
      <c r="M87" s="174">
        <f>F87*Prices!C$2</f>
        <v>0</v>
      </c>
      <c r="N87" s="174">
        <f>G87*Prices!D$2</f>
        <v>0</v>
      </c>
      <c r="O87" s="174">
        <f>H87*Prices!E$2</f>
        <v>0</v>
      </c>
      <c r="P87" s="174">
        <f t="shared" si="7"/>
        <v>0</v>
      </c>
      <c r="Q87" s="174">
        <f>D87*Prices!A$2</f>
        <v>62118</v>
      </c>
      <c r="R87" s="175">
        <f t="shared" si="4"/>
        <v>52800</v>
      </c>
      <c r="S87" s="174">
        <f t="shared" si="5"/>
        <v>114918</v>
      </c>
      <c r="T87" s="26">
        <v>86.0</v>
      </c>
      <c r="U87" s="26" t="s">
        <v>82</v>
      </c>
      <c r="V87" s="93"/>
      <c r="W87" s="93"/>
      <c r="X87" s="93"/>
      <c r="Y87" s="93"/>
      <c r="Z87" s="93"/>
    </row>
    <row r="88">
      <c r="A88" s="26">
        <v>87.0</v>
      </c>
      <c r="B88" s="26">
        <v>4.128</v>
      </c>
      <c r="C88" s="26">
        <f t="shared" si="1"/>
        <v>1.032</v>
      </c>
      <c r="D88" s="26">
        <f t="shared" si="2"/>
        <v>5.16</v>
      </c>
      <c r="E88" s="26">
        <v>2.26</v>
      </c>
      <c r="F88" s="26"/>
      <c r="G88" s="26"/>
      <c r="H88" s="26"/>
      <c r="I88" s="26"/>
      <c r="J88" s="26"/>
      <c r="K88" s="26"/>
      <c r="L88" s="174">
        <f>E88*Prices!B$2</f>
        <v>248600</v>
      </c>
      <c r="M88" s="174">
        <f>F88*Prices!C$2</f>
        <v>0</v>
      </c>
      <c r="N88" s="174">
        <f>G88*Prices!D$2</f>
        <v>0</v>
      </c>
      <c r="O88" s="174">
        <f>H88*Prices!E$2</f>
        <v>0</v>
      </c>
      <c r="P88" s="174">
        <f t="shared" si="7"/>
        <v>0</v>
      </c>
      <c r="Q88" s="174">
        <f>D88*Prices!A$2</f>
        <v>92106</v>
      </c>
      <c r="R88" s="175">
        <f t="shared" si="4"/>
        <v>248600</v>
      </c>
      <c r="S88" s="174">
        <f t="shared" si="5"/>
        <v>340706</v>
      </c>
      <c r="T88" s="26">
        <v>87.0</v>
      </c>
      <c r="U88" s="26" t="s">
        <v>80</v>
      </c>
      <c r="V88" s="93" t="s">
        <v>81</v>
      </c>
      <c r="W88" s="93"/>
      <c r="X88" s="93"/>
      <c r="Y88" s="93"/>
      <c r="Z88" s="93"/>
    </row>
    <row r="89">
      <c r="A89" s="26">
        <v>88.0</v>
      </c>
      <c r="B89" s="26">
        <v>4.39</v>
      </c>
      <c r="C89" s="26">
        <f t="shared" si="1"/>
        <v>1.0975</v>
      </c>
      <c r="D89" s="26">
        <f t="shared" si="2"/>
        <v>5.4875</v>
      </c>
      <c r="E89" s="26"/>
      <c r="F89" s="26">
        <v>1.17</v>
      </c>
      <c r="G89" s="26"/>
      <c r="H89" s="26"/>
      <c r="I89" s="26"/>
      <c r="J89" s="26"/>
      <c r="K89" s="26"/>
      <c r="L89" s="174">
        <f>E89*Prices!B$2</f>
        <v>0</v>
      </c>
      <c r="M89" s="174">
        <f>F89*Prices!C$2</f>
        <v>187200</v>
      </c>
      <c r="N89" s="174">
        <f>G89*Prices!D$2</f>
        <v>0</v>
      </c>
      <c r="O89" s="174">
        <f>H89*Prices!E$2</f>
        <v>0</v>
      </c>
      <c r="P89" s="174">
        <f t="shared" si="7"/>
        <v>0</v>
      </c>
      <c r="Q89" s="174">
        <f>D89*Prices!A$2</f>
        <v>97951.875</v>
      </c>
      <c r="R89" s="175">
        <f t="shared" si="4"/>
        <v>187200</v>
      </c>
      <c r="S89" s="174">
        <f t="shared" si="5"/>
        <v>285151.875</v>
      </c>
      <c r="T89" s="26">
        <v>88.0</v>
      </c>
      <c r="U89" s="26" t="s">
        <v>80</v>
      </c>
      <c r="V89" s="93" t="s">
        <v>81</v>
      </c>
      <c r="W89" s="93"/>
      <c r="X89" s="93"/>
      <c r="Y89" s="93"/>
      <c r="Z89" s="93"/>
    </row>
    <row r="90">
      <c r="A90" s="26">
        <v>89.0</v>
      </c>
      <c r="B90" s="26">
        <v>6.526</v>
      </c>
      <c r="C90" s="26">
        <f t="shared" si="1"/>
        <v>1.6315</v>
      </c>
      <c r="D90" s="26">
        <f t="shared" si="2"/>
        <v>8.1575</v>
      </c>
      <c r="E90" s="26"/>
      <c r="F90" s="26">
        <v>1.69</v>
      </c>
      <c r="G90" s="26"/>
      <c r="H90" s="26"/>
      <c r="I90" s="26">
        <v>4.43</v>
      </c>
      <c r="J90" s="26"/>
      <c r="K90" s="26"/>
      <c r="L90" s="174">
        <f>E90*Prices!B$2</f>
        <v>0</v>
      </c>
      <c r="M90" s="174">
        <f>F90*Prices!C$2</f>
        <v>270400</v>
      </c>
      <c r="N90" s="174">
        <f>G90*Prices!D$2</f>
        <v>0</v>
      </c>
      <c r="O90" s="174">
        <f>H90*Prices!E$2</f>
        <v>0</v>
      </c>
      <c r="P90" s="174">
        <f t="shared" si="7"/>
        <v>8860</v>
      </c>
      <c r="Q90" s="174">
        <f>D90*Prices!A$2</f>
        <v>145611.375</v>
      </c>
      <c r="R90" s="175">
        <f t="shared" si="4"/>
        <v>270400</v>
      </c>
      <c r="S90" s="174">
        <f t="shared" si="5"/>
        <v>424871.375</v>
      </c>
      <c r="T90" s="26">
        <v>89.0</v>
      </c>
      <c r="U90" s="26" t="s">
        <v>80</v>
      </c>
      <c r="V90" s="93" t="s">
        <v>81</v>
      </c>
      <c r="W90" s="93"/>
      <c r="X90" s="93"/>
      <c r="Y90" s="93"/>
      <c r="Z90" s="93"/>
    </row>
    <row r="91">
      <c r="A91" s="26">
        <v>90.0</v>
      </c>
      <c r="B91" s="26">
        <v>6.02</v>
      </c>
      <c r="C91" s="26">
        <f t="shared" si="1"/>
        <v>1.505</v>
      </c>
      <c r="D91" s="26">
        <f t="shared" si="2"/>
        <v>7.525</v>
      </c>
      <c r="E91" s="26">
        <v>0.92</v>
      </c>
      <c r="F91" s="26"/>
      <c r="G91" s="26"/>
      <c r="H91" s="26"/>
      <c r="I91" s="26"/>
      <c r="J91" s="26"/>
      <c r="K91" s="26">
        <v>7.69</v>
      </c>
      <c r="L91" s="174">
        <f>E91*Prices!B$2</f>
        <v>101200</v>
      </c>
      <c r="M91" s="174">
        <f>F91*Prices!C$2</f>
        <v>0</v>
      </c>
      <c r="N91" s="174">
        <f>G91*Prices!D$2</f>
        <v>0</v>
      </c>
      <c r="O91" s="174">
        <f>H91*Prices!E$2</f>
        <v>0</v>
      </c>
      <c r="P91" s="174">
        <f t="shared" si="7"/>
        <v>13842</v>
      </c>
      <c r="Q91" s="174">
        <f>D91*Prices!A$2</f>
        <v>134321.25</v>
      </c>
      <c r="R91" s="175">
        <f t="shared" si="4"/>
        <v>101200</v>
      </c>
      <c r="S91" s="174">
        <f t="shared" si="5"/>
        <v>249363.25</v>
      </c>
      <c r="T91" s="26">
        <v>90.0</v>
      </c>
      <c r="U91" s="26" t="s">
        <v>80</v>
      </c>
      <c r="V91" s="93" t="s">
        <v>81</v>
      </c>
      <c r="W91" s="93"/>
      <c r="X91" s="93"/>
      <c r="Y91" s="93"/>
      <c r="Z91" s="93"/>
    </row>
    <row r="92">
      <c r="A92" s="26">
        <v>91.0</v>
      </c>
      <c r="B92" s="26">
        <v>4.866</v>
      </c>
      <c r="C92" s="26">
        <f t="shared" si="1"/>
        <v>1.2165</v>
      </c>
      <c r="D92" s="26">
        <f t="shared" si="2"/>
        <v>6.0825</v>
      </c>
      <c r="E92" s="26">
        <v>1.17</v>
      </c>
      <c r="F92" s="26"/>
      <c r="G92" s="26"/>
      <c r="H92" s="26"/>
      <c r="I92" s="26"/>
      <c r="J92" s="26"/>
      <c r="K92" s="26"/>
      <c r="L92" s="174">
        <f>E92*Prices!B$2</f>
        <v>128700</v>
      </c>
      <c r="M92" s="174">
        <f>F92*Prices!C$2</f>
        <v>0</v>
      </c>
      <c r="N92" s="174">
        <f>G92*Prices!D$2</f>
        <v>0</v>
      </c>
      <c r="O92" s="174">
        <f>H92*Prices!E$2</f>
        <v>0</v>
      </c>
      <c r="P92" s="174">
        <f t="shared" si="7"/>
        <v>0</v>
      </c>
      <c r="Q92" s="174">
        <f>D92*Prices!A$2</f>
        <v>108572.625</v>
      </c>
      <c r="R92" s="175">
        <f t="shared" si="4"/>
        <v>128700</v>
      </c>
      <c r="S92" s="174">
        <f t="shared" si="5"/>
        <v>237272.625</v>
      </c>
      <c r="T92" s="26">
        <v>91.0</v>
      </c>
      <c r="U92" s="26" t="s">
        <v>82</v>
      </c>
      <c r="V92" s="93"/>
      <c r="W92" s="93"/>
      <c r="X92" s="93"/>
      <c r="Y92" s="93"/>
      <c r="Z92" s="93"/>
    </row>
    <row r="93">
      <c r="A93" s="26">
        <v>92.0</v>
      </c>
      <c r="B93" s="26">
        <v>3.714</v>
      </c>
      <c r="C93" s="26">
        <f t="shared" si="1"/>
        <v>0.9285</v>
      </c>
      <c r="D93" s="26">
        <f t="shared" si="2"/>
        <v>4.6425</v>
      </c>
      <c r="E93" s="26">
        <v>1.28</v>
      </c>
      <c r="F93" s="26"/>
      <c r="G93" s="26"/>
      <c r="H93" s="26"/>
      <c r="I93" s="26"/>
      <c r="J93" s="26"/>
      <c r="K93" s="26"/>
      <c r="L93" s="174">
        <f>E93*Prices!B$2</f>
        <v>140800</v>
      </c>
      <c r="M93" s="174">
        <f>F93*Prices!C$2</f>
        <v>0</v>
      </c>
      <c r="N93" s="174">
        <f>G93*Prices!D$2</f>
        <v>0</v>
      </c>
      <c r="O93" s="174">
        <f>H93*Prices!E$2</f>
        <v>0</v>
      </c>
      <c r="P93" s="174">
        <f t="shared" si="7"/>
        <v>0</v>
      </c>
      <c r="Q93" s="174">
        <f>D93*Prices!A$2</f>
        <v>82868.625</v>
      </c>
      <c r="R93" s="175">
        <f t="shared" si="4"/>
        <v>140800</v>
      </c>
      <c r="S93" s="174">
        <f t="shared" si="5"/>
        <v>223668.625</v>
      </c>
      <c r="T93" s="26">
        <v>92.0</v>
      </c>
      <c r="U93" s="26" t="s">
        <v>82</v>
      </c>
      <c r="V93" s="93"/>
      <c r="W93" s="93"/>
      <c r="X93" s="93"/>
      <c r="Y93" s="93"/>
      <c r="Z93" s="93"/>
    </row>
    <row r="94">
      <c r="A94" s="26">
        <v>93.0</v>
      </c>
      <c r="B94" s="26">
        <v>8.21</v>
      </c>
      <c r="C94" s="26">
        <f t="shared" si="1"/>
        <v>2.0525</v>
      </c>
      <c r="D94" s="26">
        <f t="shared" si="2"/>
        <v>10.2625</v>
      </c>
      <c r="E94" s="26">
        <v>0.95</v>
      </c>
      <c r="F94" s="26"/>
      <c r="G94" s="26"/>
      <c r="H94" s="26"/>
      <c r="I94" s="26"/>
      <c r="J94" s="26"/>
      <c r="K94" s="26"/>
      <c r="L94" s="174">
        <f>E94*Prices!B$2</f>
        <v>104500</v>
      </c>
      <c r="M94" s="174">
        <f>F94*Prices!C$2</f>
        <v>0</v>
      </c>
      <c r="N94" s="174">
        <f>G94*Prices!D$2</f>
        <v>0</v>
      </c>
      <c r="O94" s="174">
        <f>H94*Prices!E$2</f>
        <v>0</v>
      </c>
      <c r="P94" s="174">
        <f t="shared" si="7"/>
        <v>0</v>
      </c>
      <c r="Q94" s="174">
        <f>D94*Prices!A$2</f>
        <v>183185.625</v>
      </c>
      <c r="R94" s="175">
        <f t="shared" si="4"/>
        <v>104500</v>
      </c>
      <c r="S94" s="174">
        <f t="shared" si="5"/>
        <v>287685.625</v>
      </c>
      <c r="T94" s="26">
        <v>93.0</v>
      </c>
      <c r="U94" s="26" t="s">
        <v>80</v>
      </c>
      <c r="V94" s="93" t="s">
        <v>81</v>
      </c>
      <c r="W94" s="93"/>
      <c r="X94" s="93"/>
      <c r="Y94" s="93"/>
      <c r="Z94" s="93"/>
    </row>
    <row r="95">
      <c r="A95" s="26">
        <v>94.0</v>
      </c>
      <c r="B95" s="26">
        <v>8.56</v>
      </c>
      <c r="C95" s="26">
        <f t="shared" si="1"/>
        <v>2.14</v>
      </c>
      <c r="D95" s="26">
        <f t="shared" si="2"/>
        <v>10.7</v>
      </c>
      <c r="E95" s="26">
        <f>1.43+0.38</f>
        <v>1.81</v>
      </c>
      <c r="F95" s="26"/>
      <c r="G95" s="26"/>
      <c r="H95" s="26"/>
      <c r="I95" s="26"/>
      <c r="J95" s="26"/>
      <c r="K95" s="26">
        <v>13.12</v>
      </c>
      <c r="L95" s="174">
        <f>E95*Prices!B$2</f>
        <v>199100</v>
      </c>
      <c r="M95" s="174">
        <f>F95*Prices!C$2</f>
        <v>0</v>
      </c>
      <c r="N95" s="174">
        <f>G95*Prices!D$2</f>
        <v>0</v>
      </c>
      <c r="O95" s="174">
        <f>H95*Prices!E$2</f>
        <v>0</v>
      </c>
      <c r="P95" s="174">
        <f>I95*2000+J95*10000+K95*500</f>
        <v>6560</v>
      </c>
      <c r="Q95" s="174">
        <f>D95*Prices!A$2</f>
        <v>190995</v>
      </c>
      <c r="R95" s="175">
        <f t="shared" si="4"/>
        <v>199100</v>
      </c>
      <c r="S95" s="174">
        <f t="shared" si="5"/>
        <v>396655</v>
      </c>
      <c r="T95" s="26">
        <v>94.0</v>
      </c>
      <c r="U95" s="26" t="s">
        <v>80</v>
      </c>
      <c r="V95" s="93" t="s">
        <v>81</v>
      </c>
      <c r="W95" s="93"/>
      <c r="X95" s="93"/>
      <c r="Y95" s="93"/>
      <c r="Z95" s="93"/>
    </row>
    <row r="96">
      <c r="A96" s="26">
        <v>95.0</v>
      </c>
      <c r="B96" s="26">
        <v>10.478</v>
      </c>
      <c r="C96" s="26">
        <f t="shared" si="1"/>
        <v>2.6195</v>
      </c>
      <c r="D96" s="26">
        <f t="shared" si="2"/>
        <v>13.0975</v>
      </c>
      <c r="E96" s="26">
        <v>1.99</v>
      </c>
      <c r="F96" s="26"/>
      <c r="G96" s="26"/>
      <c r="H96" s="26"/>
      <c r="I96" s="26"/>
      <c r="J96" s="26"/>
      <c r="K96" s="26">
        <v>5.4</v>
      </c>
      <c r="L96" s="174">
        <f>E96*Prices!B$2</f>
        <v>218900</v>
      </c>
      <c r="M96" s="174">
        <f>F96*Prices!C$2</f>
        <v>0</v>
      </c>
      <c r="N96" s="174">
        <f>G96*Prices!D$2</f>
        <v>0</v>
      </c>
      <c r="O96" s="174">
        <f>H96*Prices!E$2</f>
        <v>0</v>
      </c>
      <c r="P96" s="174">
        <f t="shared" ref="P96:P130" si="8">I96*2000+J96*10000+K96*1800</f>
        <v>9720</v>
      </c>
      <c r="Q96" s="174">
        <f>D96*Prices!A$2</f>
        <v>233790.375</v>
      </c>
      <c r="R96" s="175">
        <f t="shared" si="4"/>
        <v>218900</v>
      </c>
      <c r="S96" s="174">
        <f t="shared" si="5"/>
        <v>462410.375</v>
      </c>
      <c r="T96" s="26">
        <v>95.0</v>
      </c>
      <c r="U96" s="26" t="s">
        <v>80</v>
      </c>
      <c r="V96" s="93" t="s">
        <v>81</v>
      </c>
      <c r="W96" s="93"/>
      <c r="X96" s="93"/>
      <c r="Y96" s="93"/>
      <c r="Z96" s="93"/>
    </row>
    <row r="97">
      <c r="A97" s="26">
        <v>96.0</v>
      </c>
      <c r="B97" s="26">
        <v>3.51</v>
      </c>
      <c r="C97" s="26">
        <f t="shared" si="1"/>
        <v>0.8775</v>
      </c>
      <c r="D97" s="26">
        <f t="shared" si="2"/>
        <v>4.3875</v>
      </c>
      <c r="E97" s="26">
        <v>0.8</v>
      </c>
      <c r="F97" s="26"/>
      <c r="G97" s="26"/>
      <c r="H97" s="26"/>
      <c r="I97" s="26"/>
      <c r="J97" s="26"/>
      <c r="K97" s="26"/>
      <c r="L97" s="174">
        <f>E97*Prices!B$2</f>
        <v>88000</v>
      </c>
      <c r="M97" s="174">
        <f>F97*Prices!C$2</f>
        <v>0</v>
      </c>
      <c r="N97" s="174">
        <f>G97*Prices!D$2</f>
        <v>0</v>
      </c>
      <c r="O97" s="174">
        <f>H97*Prices!E$2</f>
        <v>0</v>
      </c>
      <c r="P97" s="174">
        <f t="shared" si="8"/>
        <v>0</v>
      </c>
      <c r="Q97" s="174">
        <f>D97*Prices!A$2</f>
        <v>78316.875</v>
      </c>
      <c r="R97" s="175">
        <f t="shared" si="4"/>
        <v>88000</v>
      </c>
      <c r="S97" s="174">
        <f t="shared" si="5"/>
        <v>166316.875</v>
      </c>
      <c r="T97" s="26">
        <v>96.0</v>
      </c>
      <c r="U97" s="26" t="s">
        <v>82</v>
      </c>
      <c r="V97" s="93"/>
      <c r="W97" s="93"/>
      <c r="X97" s="93"/>
      <c r="Y97" s="93"/>
      <c r="Z97" s="93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174">
        <f>E98*Prices!B$2</f>
        <v>0</v>
      </c>
      <c r="M98" s="174">
        <f>F98*Prices!C$2</f>
        <v>0</v>
      </c>
      <c r="N98" s="174">
        <f>G98*Prices!D$2</f>
        <v>0</v>
      </c>
      <c r="O98" s="174">
        <f>H98*Prices!E$2</f>
        <v>0</v>
      </c>
      <c r="P98" s="174">
        <f t="shared" si="8"/>
        <v>0</v>
      </c>
      <c r="Q98" s="174">
        <f>D98*Prices!A$2</f>
        <v>0</v>
      </c>
      <c r="R98" s="175"/>
      <c r="S98" s="174"/>
      <c r="T98" s="26"/>
      <c r="U98" s="26"/>
      <c r="V98" s="93"/>
      <c r="W98" s="93"/>
      <c r="X98" s="93"/>
      <c r="Y98" s="93"/>
      <c r="Z98" s="93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174">
        <f>E99*Prices!B$2</f>
        <v>0</v>
      </c>
      <c r="M99" s="174">
        <f>F99*Prices!C$2</f>
        <v>0</v>
      </c>
      <c r="N99" s="174">
        <f>G99*Prices!D$2</f>
        <v>0</v>
      </c>
      <c r="O99" s="174">
        <f>H99*Prices!E$2</f>
        <v>0</v>
      </c>
      <c r="P99" s="174">
        <f t="shared" si="8"/>
        <v>0</v>
      </c>
      <c r="Q99" s="174">
        <f>D99*Prices!A$2</f>
        <v>0</v>
      </c>
      <c r="R99" s="175"/>
      <c r="S99" s="174"/>
      <c r="T99" s="26"/>
      <c r="U99" s="26"/>
      <c r="V99" s="93"/>
      <c r="W99" s="93"/>
      <c r="X99" s="93"/>
      <c r="Y99" s="93"/>
      <c r="Z99" s="93"/>
    </row>
    <row r="100">
      <c r="A100" s="26">
        <v>99.0</v>
      </c>
      <c r="B100" s="26">
        <v>1.606</v>
      </c>
      <c r="C100" s="26">
        <f t="shared" ref="C100:C201" si="9">B100*(25/100)</f>
        <v>0.4015</v>
      </c>
      <c r="D100" s="26">
        <f t="shared" ref="D100:D201" si="10">C100+B100</f>
        <v>2.0075</v>
      </c>
      <c r="E100" s="26">
        <v>0.32</v>
      </c>
      <c r="F100" s="26"/>
      <c r="G100" s="26"/>
      <c r="H100" s="26"/>
      <c r="I100" s="26"/>
      <c r="J100" s="26"/>
      <c r="K100" s="26"/>
      <c r="L100" s="174">
        <f>E100*Prices!B$2</f>
        <v>35200</v>
      </c>
      <c r="M100" s="174">
        <f>F100*Prices!C$2</f>
        <v>0</v>
      </c>
      <c r="N100" s="174">
        <f>G100*Prices!D$2</f>
        <v>0</v>
      </c>
      <c r="O100" s="174">
        <f>H100*Prices!E$2</f>
        <v>0</v>
      </c>
      <c r="P100" s="174">
        <f t="shared" si="8"/>
        <v>0</v>
      </c>
      <c r="Q100" s="174">
        <f>D100*Prices!A$2</f>
        <v>35833.875</v>
      </c>
      <c r="R100" s="175">
        <f t="shared" ref="R100:R201" si="11">L100+M100+N100+O100</f>
        <v>35200</v>
      </c>
      <c r="S100" s="174">
        <f t="shared" ref="S100:S201" si="12">R100+Q100+P100</f>
        <v>71033.875</v>
      </c>
      <c r="T100" s="26">
        <v>99.0</v>
      </c>
      <c r="U100" s="26" t="s">
        <v>82</v>
      </c>
      <c r="V100" s="93"/>
      <c r="W100" s="93"/>
      <c r="X100" s="93"/>
      <c r="Y100" s="93"/>
      <c r="Z100" s="93"/>
    </row>
    <row r="101">
      <c r="A101" s="26">
        <v>100.0</v>
      </c>
      <c r="B101" s="26">
        <v>1.952</v>
      </c>
      <c r="C101" s="26">
        <f t="shared" si="9"/>
        <v>0.488</v>
      </c>
      <c r="D101" s="26">
        <f t="shared" si="10"/>
        <v>2.44</v>
      </c>
      <c r="E101" s="26">
        <v>0.4</v>
      </c>
      <c r="F101" s="26">
        <v>0.14</v>
      </c>
      <c r="G101" s="26"/>
      <c r="H101" s="26"/>
      <c r="I101" s="26"/>
      <c r="J101" s="26"/>
      <c r="K101" s="26"/>
      <c r="L101" s="174">
        <f>E101*Prices!B$2</f>
        <v>44000</v>
      </c>
      <c r="M101" s="174">
        <f>F101*Prices!C$2</f>
        <v>22400</v>
      </c>
      <c r="N101" s="174">
        <f>G101*Prices!D$2</f>
        <v>0</v>
      </c>
      <c r="O101" s="174">
        <f>H101*Prices!E$2</f>
        <v>0</v>
      </c>
      <c r="P101" s="174">
        <f t="shared" si="8"/>
        <v>0</v>
      </c>
      <c r="Q101" s="174">
        <f>D101*Prices!A$2</f>
        <v>43554</v>
      </c>
      <c r="R101" s="175">
        <f t="shared" si="11"/>
        <v>66400</v>
      </c>
      <c r="S101" s="174">
        <f t="shared" si="12"/>
        <v>109954</v>
      </c>
      <c r="T101" s="26">
        <v>100.0</v>
      </c>
      <c r="U101" s="26" t="s">
        <v>82</v>
      </c>
      <c r="V101" s="93"/>
      <c r="W101" s="93"/>
      <c r="X101" s="93"/>
      <c r="Y101" s="93"/>
      <c r="Z101" s="93"/>
    </row>
    <row r="102">
      <c r="A102" s="26">
        <v>101.0</v>
      </c>
      <c r="B102" s="26">
        <v>9.84</v>
      </c>
      <c r="C102" s="26">
        <f t="shared" si="9"/>
        <v>2.46</v>
      </c>
      <c r="D102" s="26">
        <f t="shared" si="10"/>
        <v>12.3</v>
      </c>
      <c r="E102" s="26">
        <v>2.03</v>
      </c>
      <c r="F102" s="26"/>
      <c r="G102" s="26"/>
      <c r="H102" s="26"/>
      <c r="I102" s="26"/>
      <c r="J102" s="26"/>
      <c r="K102" s="26">
        <v>2.62</v>
      </c>
      <c r="L102" s="174">
        <f>E102*Prices!B$2</f>
        <v>223300</v>
      </c>
      <c r="M102" s="174">
        <f>F102*Prices!C$2</f>
        <v>0</v>
      </c>
      <c r="N102" s="174">
        <f>G102*Prices!D$2</f>
        <v>0</v>
      </c>
      <c r="O102" s="174">
        <f>H102*Prices!E$2</f>
        <v>0</v>
      </c>
      <c r="P102" s="174">
        <f t="shared" si="8"/>
        <v>4716</v>
      </c>
      <c r="Q102" s="174">
        <f>D102*Prices!A$2</f>
        <v>219555</v>
      </c>
      <c r="R102" s="175">
        <f t="shared" si="11"/>
        <v>223300</v>
      </c>
      <c r="S102" s="174">
        <f t="shared" si="12"/>
        <v>447571</v>
      </c>
      <c r="T102" s="26">
        <v>101.0</v>
      </c>
      <c r="U102" s="26" t="s">
        <v>80</v>
      </c>
      <c r="V102" s="93" t="s">
        <v>81</v>
      </c>
      <c r="W102" s="93"/>
      <c r="X102" s="93"/>
      <c r="Y102" s="93"/>
      <c r="Z102" s="93"/>
    </row>
    <row r="103">
      <c r="A103" s="26">
        <v>102.0</v>
      </c>
      <c r="B103" s="26">
        <v>5.592</v>
      </c>
      <c r="C103" s="26">
        <f t="shared" si="9"/>
        <v>1.398</v>
      </c>
      <c r="D103" s="26">
        <f t="shared" si="10"/>
        <v>6.99</v>
      </c>
      <c r="E103" s="26">
        <v>1.33</v>
      </c>
      <c r="F103" s="26"/>
      <c r="G103" s="26"/>
      <c r="H103" s="26"/>
      <c r="I103" s="26"/>
      <c r="J103" s="26"/>
      <c r="K103" s="26">
        <v>0.81</v>
      </c>
      <c r="L103" s="174">
        <f>E103*Prices!B$2</f>
        <v>146300</v>
      </c>
      <c r="M103" s="174">
        <f>F103*Prices!C$2</f>
        <v>0</v>
      </c>
      <c r="N103" s="174">
        <f>G103*Prices!D$2</f>
        <v>0</v>
      </c>
      <c r="O103" s="174">
        <f>H103*Prices!E$2</f>
        <v>0</v>
      </c>
      <c r="P103" s="174">
        <f t="shared" si="8"/>
        <v>1458</v>
      </c>
      <c r="Q103" s="174">
        <f>D103*Prices!A$2</f>
        <v>124771.5</v>
      </c>
      <c r="R103" s="175">
        <f t="shared" si="11"/>
        <v>146300</v>
      </c>
      <c r="S103" s="174">
        <f t="shared" si="12"/>
        <v>272529.5</v>
      </c>
      <c r="T103" s="26">
        <v>102.0</v>
      </c>
      <c r="U103" s="26" t="s">
        <v>80</v>
      </c>
      <c r="V103" s="93" t="s">
        <v>81</v>
      </c>
      <c r="W103" s="93"/>
      <c r="X103" s="93"/>
      <c r="Y103" s="93"/>
      <c r="Z103" s="93"/>
    </row>
    <row r="104">
      <c r="A104" s="26">
        <v>103.0</v>
      </c>
      <c r="B104" s="26">
        <v>4.6</v>
      </c>
      <c r="C104" s="26">
        <f t="shared" si="9"/>
        <v>1.15</v>
      </c>
      <c r="D104" s="26">
        <f t="shared" si="10"/>
        <v>5.75</v>
      </c>
      <c r="E104" s="26">
        <v>0.95</v>
      </c>
      <c r="F104" s="26"/>
      <c r="G104" s="26"/>
      <c r="H104" s="26"/>
      <c r="I104" s="26"/>
      <c r="J104" s="26"/>
      <c r="K104" s="26"/>
      <c r="L104" s="174">
        <f>E104*Prices!B$2</f>
        <v>104500</v>
      </c>
      <c r="M104" s="174">
        <f>F104*Prices!C$2</f>
        <v>0</v>
      </c>
      <c r="N104" s="174">
        <f>G104*Prices!D$2</f>
        <v>0</v>
      </c>
      <c r="O104" s="174">
        <f>H104*Prices!E$2</f>
        <v>0</v>
      </c>
      <c r="P104" s="174">
        <f t="shared" si="8"/>
        <v>0</v>
      </c>
      <c r="Q104" s="174">
        <f>D104*Prices!A$2</f>
        <v>102637.5</v>
      </c>
      <c r="R104" s="175">
        <f t="shared" si="11"/>
        <v>104500</v>
      </c>
      <c r="S104" s="174">
        <f t="shared" si="12"/>
        <v>207137.5</v>
      </c>
      <c r="T104" s="26">
        <v>103.0</v>
      </c>
      <c r="U104" s="26" t="s">
        <v>80</v>
      </c>
      <c r="V104" s="93" t="s">
        <v>81</v>
      </c>
      <c r="W104" s="93"/>
      <c r="X104" s="93"/>
      <c r="Y104" s="93"/>
      <c r="Z104" s="93"/>
    </row>
    <row r="105">
      <c r="A105" s="26">
        <v>104.0</v>
      </c>
      <c r="B105" s="26">
        <v>6.45</v>
      </c>
      <c r="C105" s="26">
        <f t="shared" si="9"/>
        <v>1.6125</v>
      </c>
      <c r="D105" s="26">
        <f t="shared" si="10"/>
        <v>8.0625</v>
      </c>
      <c r="E105" s="26">
        <v>1.25</v>
      </c>
      <c r="F105" s="26"/>
      <c r="G105" s="26"/>
      <c r="H105" s="26"/>
      <c r="I105" s="26"/>
      <c r="J105" s="26"/>
      <c r="K105" s="26"/>
      <c r="L105" s="174">
        <f>E105*Prices!B$2</f>
        <v>137500</v>
      </c>
      <c r="M105" s="174">
        <f>F105*Prices!C$2</f>
        <v>0</v>
      </c>
      <c r="N105" s="174">
        <f>G105*Prices!D$2</f>
        <v>0</v>
      </c>
      <c r="O105" s="174">
        <f>H105*Prices!E$2</f>
        <v>0</v>
      </c>
      <c r="P105" s="174">
        <f t="shared" si="8"/>
        <v>0</v>
      </c>
      <c r="Q105" s="174">
        <f>D105*Prices!A$2</f>
        <v>143915.625</v>
      </c>
      <c r="R105" s="175">
        <f t="shared" si="11"/>
        <v>137500</v>
      </c>
      <c r="S105" s="174">
        <f t="shared" si="12"/>
        <v>281415.625</v>
      </c>
      <c r="T105" s="26">
        <v>104.0</v>
      </c>
      <c r="U105" s="26" t="s">
        <v>80</v>
      </c>
      <c r="V105" s="93" t="s">
        <v>81</v>
      </c>
      <c r="W105" s="93"/>
      <c r="X105" s="93"/>
      <c r="Y105" s="93"/>
      <c r="Z105" s="93"/>
    </row>
    <row r="106">
      <c r="A106" s="26">
        <v>105.0</v>
      </c>
      <c r="B106" s="26">
        <v>5.454</v>
      </c>
      <c r="C106" s="26">
        <f t="shared" si="9"/>
        <v>1.3635</v>
      </c>
      <c r="D106" s="26">
        <f t="shared" si="10"/>
        <v>6.8175</v>
      </c>
      <c r="E106" s="26">
        <v>1.28</v>
      </c>
      <c r="F106" s="26"/>
      <c r="G106" s="26"/>
      <c r="H106" s="26"/>
      <c r="I106" s="26"/>
      <c r="J106" s="26"/>
      <c r="K106" s="26"/>
      <c r="L106" s="174">
        <f>E106*Prices!B$2</f>
        <v>140800</v>
      </c>
      <c r="M106" s="174">
        <f>F106*Prices!C$2</f>
        <v>0</v>
      </c>
      <c r="N106" s="174">
        <f>G106*Prices!D$2</f>
        <v>0</v>
      </c>
      <c r="O106" s="174">
        <f>H106*Prices!E$2</f>
        <v>0</v>
      </c>
      <c r="P106" s="174">
        <f t="shared" si="8"/>
        <v>0</v>
      </c>
      <c r="Q106" s="174">
        <f>D106*Prices!A$2</f>
        <v>121692.375</v>
      </c>
      <c r="R106" s="175">
        <f t="shared" si="11"/>
        <v>140800</v>
      </c>
      <c r="S106" s="174">
        <f t="shared" si="12"/>
        <v>262492.375</v>
      </c>
      <c r="T106" s="26">
        <v>105.0</v>
      </c>
      <c r="U106" s="26" t="s">
        <v>80</v>
      </c>
      <c r="V106" s="93" t="s">
        <v>81</v>
      </c>
      <c r="W106" s="93"/>
      <c r="X106" s="93"/>
      <c r="Y106" s="93"/>
      <c r="Z106" s="93"/>
    </row>
    <row r="107">
      <c r="A107" s="26">
        <v>106.0</v>
      </c>
      <c r="B107" s="26">
        <v>7.164</v>
      </c>
      <c r="C107" s="26">
        <f t="shared" si="9"/>
        <v>1.791</v>
      </c>
      <c r="D107" s="26">
        <f t="shared" si="10"/>
        <v>8.955</v>
      </c>
      <c r="E107" s="26">
        <v>1.63</v>
      </c>
      <c r="F107" s="26"/>
      <c r="G107" s="26"/>
      <c r="H107" s="26"/>
      <c r="I107" s="26"/>
      <c r="J107" s="26"/>
      <c r="K107" s="26">
        <v>1.9</v>
      </c>
      <c r="L107" s="174">
        <f>E107*Prices!B$2</f>
        <v>179300</v>
      </c>
      <c r="M107" s="174">
        <f>F107*Prices!C$2</f>
        <v>0</v>
      </c>
      <c r="N107" s="174">
        <f>G107*Prices!D$2</f>
        <v>0</v>
      </c>
      <c r="O107" s="174">
        <f>H107*Prices!E$2</f>
        <v>0</v>
      </c>
      <c r="P107" s="174">
        <f t="shared" si="8"/>
        <v>3420</v>
      </c>
      <c r="Q107" s="174">
        <f>D107*Prices!A$2</f>
        <v>159846.75</v>
      </c>
      <c r="R107" s="175">
        <f t="shared" si="11"/>
        <v>179300</v>
      </c>
      <c r="S107" s="174">
        <f t="shared" si="12"/>
        <v>342566.75</v>
      </c>
      <c r="T107" s="26">
        <v>106.0</v>
      </c>
      <c r="U107" s="26" t="s">
        <v>80</v>
      </c>
      <c r="V107" s="93" t="s">
        <v>81</v>
      </c>
      <c r="W107" s="93"/>
      <c r="X107" s="93"/>
      <c r="Y107" s="93"/>
      <c r="Z107" s="93"/>
    </row>
    <row r="108">
      <c r="A108" s="26">
        <v>107.0</v>
      </c>
      <c r="B108" s="26">
        <v>5.196</v>
      </c>
      <c r="C108" s="26">
        <f t="shared" si="9"/>
        <v>1.299</v>
      </c>
      <c r="D108" s="26">
        <f t="shared" si="10"/>
        <v>6.495</v>
      </c>
      <c r="E108" s="26">
        <f>0.92+0.5</f>
        <v>1.42</v>
      </c>
      <c r="F108" s="26"/>
      <c r="G108" s="26"/>
      <c r="H108" s="26"/>
      <c r="I108" s="26"/>
      <c r="J108" s="26"/>
      <c r="K108" s="26"/>
      <c r="L108" s="174">
        <f>E108*Prices!B$2</f>
        <v>156200</v>
      </c>
      <c r="M108" s="174">
        <f>F108*Prices!C$2</f>
        <v>0</v>
      </c>
      <c r="N108" s="174">
        <f>G108*Prices!D$2</f>
        <v>0</v>
      </c>
      <c r="O108" s="174">
        <f>H108*Prices!E$2</f>
        <v>0</v>
      </c>
      <c r="P108" s="174">
        <f t="shared" si="8"/>
        <v>0</v>
      </c>
      <c r="Q108" s="174">
        <f>D108*Prices!A$2</f>
        <v>115935.75</v>
      </c>
      <c r="R108" s="175">
        <f t="shared" si="11"/>
        <v>156200</v>
      </c>
      <c r="S108" s="174">
        <f t="shared" si="12"/>
        <v>272135.75</v>
      </c>
      <c r="T108" s="26">
        <v>107.0</v>
      </c>
      <c r="U108" s="26" t="s">
        <v>80</v>
      </c>
      <c r="V108" s="93" t="s">
        <v>81</v>
      </c>
      <c r="W108" s="93"/>
      <c r="X108" s="93"/>
      <c r="Y108" s="93"/>
      <c r="Z108" s="93"/>
    </row>
    <row r="109">
      <c r="A109" s="26">
        <v>108.0</v>
      </c>
      <c r="B109" s="26">
        <v>1.434</v>
      </c>
      <c r="C109" s="26">
        <f t="shared" si="9"/>
        <v>0.3585</v>
      </c>
      <c r="D109" s="26">
        <f t="shared" si="10"/>
        <v>1.7925</v>
      </c>
      <c r="E109" s="26">
        <v>0.18</v>
      </c>
      <c r="F109" s="26"/>
      <c r="G109" s="26"/>
      <c r="H109" s="26"/>
      <c r="I109" s="26"/>
      <c r="J109" s="26"/>
      <c r="K109" s="26"/>
      <c r="L109" s="174">
        <f>E109*Prices!B$2</f>
        <v>19800</v>
      </c>
      <c r="M109" s="174">
        <f>F109*Prices!C$2</f>
        <v>0</v>
      </c>
      <c r="N109" s="174">
        <f>G109*Prices!D$2</f>
        <v>0</v>
      </c>
      <c r="O109" s="174">
        <f>H109*Prices!E$2</f>
        <v>0</v>
      </c>
      <c r="P109" s="174">
        <f t="shared" si="8"/>
        <v>0</v>
      </c>
      <c r="Q109" s="174">
        <f>D109*Prices!A$2</f>
        <v>31996.125</v>
      </c>
      <c r="R109" s="175">
        <f t="shared" si="11"/>
        <v>19800</v>
      </c>
      <c r="S109" s="174">
        <f t="shared" si="12"/>
        <v>51796.125</v>
      </c>
      <c r="T109" s="26">
        <v>108.0</v>
      </c>
      <c r="U109" s="26" t="s">
        <v>82</v>
      </c>
      <c r="V109" s="93"/>
      <c r="W109" s="93"/>
      <c r="X109" s="93"/>
      <c r="Y109" s="93"/>
      <c r="Z109" s="93"/>
    </row>
    <row r="110">
      <c r="A110" s="26">
        <v>109.0</v>
      </c>
      <c r="B110" s="26">
        <v>1.278</v>
      </c>
      <c r="C110" s="26">
        <f t="shared" si="9"/>
        <v>0.3195</v>
      </c>
      <c r="D110" s="26">
        <f t="shared" si="10"/>
        <v>1.5975</v>
      </c>
      <c r="E110" s="26">
        <v>0.16</v>
      </c>
      <c r="F110" s="26"/>
      <c r="G110" s="26"/>
      <c r="H110" s="26"/>
      <c r="I110" s="26"/>
      <c r="J110" s="26"/>
      <c r="K110" s="26"/>
      <c r="L110" s="174">
        <f>E110*Prices!B$2</f>
        <v>17600</v>
      </c>
      <c r="M110" s="174">
        <f>F110*Prices!C$2</f>
        <v>0</v>
      </c>
      <c r="N110" s="174">
        <f>G110*Prices!D$2</f>
        <v>0</v>
      </c>
      <c r="O110" s="174">
        <f>H110*Prices!E$2</f>
        <v>0</v>
      </c>
      <c r="P110" s="174">
        <f t="shared" si="8"/>
        <v>0</v>
      </c>
      <c r="Q110" s="174">
        <f>D110*Prices!A$2</f>
        <v>28515.375</v>
      </c>
      <c r="R110" s="175">
        <f t="shared" si="11"/>
        <v>17600</v>
      </c>
      <c r="S110" s="174">
        <f t="shared" si="12"/>
        <v>46115.375</v>
      </c>
      <c r="T110" s="26">
        <v>109.0</v>
      </c>
      <c r="U110" s="26" t="s">
        <v>80</v>
      </c>
      <c r="V110" s="93"/>
      <c r="W110" s="93"/>
      <c r="X110" s="93"/>
      <c r="Y110" s="93"/>
      <c r="Z110" s="93"/>
    </row>
    <row r="111">
      <c r="A111" s="26">
        <v>110.0</v>
      </c>
      <c r="B111" s="26">
        <v>5.806</v>
      </c>
      <c r="C111" s="26">
        <f t="shared" si="9"/>
        <v>1.4515</v>
      </c>
      <c r="D111" s="26">
        <f t="shared" si="10"/>
        <v>7.2575</v>
      </c>
      <c r="E111" s="26">
        <v>0.93</v>
      </c>
      <c r="F111" s="26"/>
      <c r="G111" s="26">
        <v>0.54</v>
      </c>
      <c r="H111" s="26"/>
      <c r="I111" s="26"/>
      <c r="J111" s="26"/>
      <c r="K111" s="26"/>
      <c r="L111" s="174">
        <f>E111*Prices!B$2</f>
        <v>102300</v>
      </c>
      <c r="M111" s="174">
        <f>F111*Prices!C$2</f>
        <v>0</v>
      </c>
      <c r="N111" s="174">
        <f>G111*Prices!D$2</f>
        <v>105300</v>
      </c>
      <c r="O111" s="174">
        <f>H111*Prices!E$2</f>
        <v>0</v>
      </c>
      <c r="P111" s="174">
        <f t="shared" si="8"/>
        <v>0</v>
      </c>
      <c r="Q111" s="174">
        <f>D111*Prices!A$2</f>
        <v>129546.375</v>
      </c>
      <c r="R111" s="175">
        <f t="shared" si="11"/>
        <v>207600</v>
      </c>
      <c r="S111" s="174">
        <f t="shared" si="12"/>
        <v>337146.375</v>
      </c>
      <c r="T111" s="26">
        <v>110.0</v>
      </c>
      <c r="U111" s="93" t="s">
        <v>82</v>
      </c>
      <c r="V111" s="93"/>
      <c r="W111" s="93"/>
      <c r="X111" s="93"/>
      <c r="Y111" s="93"/>
      <c r="Z111" s="93"/>
    </row>
    <row r="112">
      <c r="A112" s="26">
        <v>111.0</v>
      </c>
      <c r="B112" s="26">
        <v>5.072</v>
      </c>
      <c r="C112" s="26">
        <f t="shared" si="9"/>
        <v>1.268</v>
      </c>
      <c r="D112" s="26">
        <f t="shared" si="10"/>
        <v>6.34</v>
      </c>
      <c r="E112" s="26">
        <v>0.64</v>
      </c>
      <c r="F112" s="26"/>
      <c r="G112" s="26"/>
      <c r="H112" s="26"/>
      <c r="I112" s="26"/>
      <c r="J112" s="26">
        <v>3.85</v>
      </c>
      <c r="K112" s="26"/>
      <c r="L112" s="174">
        <f>E112*Prices!B$2</f>
        <v>70400</v>
      </c>
      <c r="M112" s="174">
        <f>F112*Prices!C$2</f>
        <v>0</v>
      </c>
      <c r="N112" s="174">
        <f>G112*Prices!D$2</f>
        <v>0</v>
      </c>
      <c r="O112" s="174">
        <f>H112*Prices!E$2</f>
        <v>0</v>
      </c>
      <c r="P112" s="174">
        <f t="shared" si="8"/>
        <v>38500</v>
      </c>
      <c r="Q112" s="174">
        <f>D112*Prices!A$2</f>
        <v>113169</v>
      </c>
      <c r="R112" s="175">
        <f t="shared" si="11"/>
        <v>70400</v>
      </c>
      <c r="S112" s="174">
        <f t="shared" si="12"/>
        <v>222069</v>
      </c>
      <c r="T112" s="26">
        <v>111.0</v>
      </c>
      <c r="U112" s="93" t="s">
        <v>82</v>
      </c>
      <c r="V112" s="93"/>
      <c r="W112" s="93"/>
      <c r="X112" s="93"/>
      <c r="Y112" s="93"/>
      <c r="Z112" s="93"/>
    </row>
    <row r="113">
      <c r="A113" s="26">
        <v>112.0</v>
      </c>
      <c r="B113" s="26">
        <v>6.516</v>
      </c>
      <c r="C113" s="26">
        <f t="shared" si="9"/>
        <v>1.629</v>
      </c>
      <c r="D113" s="26">
        <f t="shared" si="10"/>
        <v>8.145</v>
      </c>
      <c r="E113" s="26">
        <v>1.2</v>
      </c>
      <c r="F113" s="26"/>
      <c r="G113" s="26"/>
      <c r="H113" s="26"/>
      <c r="I113" s="26"/>
      <c r="J113" s="26"/>
      <c r="K113" s="26">
        <v>4.17</v>
      </c>
      <c r="L113" s="174">
        <f>E113*Prices!B$2</f>
        <v>132000</v>
      </c>
      <c r="M113" s="174">
        <f>F113*Prices!C$2</f>
        <v>0</v>
      </c>
      <c r="N113" s="174">
        <f>G113*Prices!D$2</f>
        <v>0</v>
      </c>
      <c r="O113" s="174">
        <f>H113*Prices!E$2</f>
        <v>0</v>
      </c>
      <c r="P113" s="174">
        <f t="shared" si="8"/>
        <v>7506</v>
      </c>
      <c r="Q113" s="174">
        <f>D113*Prices!A$2</f>
        <v>145388.25</v>
      </c>
      <c r="R113" s="175">
        <f t="shared" si="11"/>
        <v>132000</v>
      </c>
      <c r="S113" s="174">
        <f t="shared" si="12"/>
        <v>284894.25</v>
      </c>
      <c r="T113" s="26">
        <v>112.0</v>
      </c>
      <c r="U113" s="26" t="s">
        <v>82</v>
      </c>
      <c r="V113" s="93"/>
      <c r="W113" s="93"/>
      <c r="X113" s="93"/>
      <c r="Y113" s="93"/>
      <c r="Z113" s="93"/>
    </row>
    <row r="114">
      <c r="A114" s="26">
        <v>113.0</v>
      </c>
      <c r="B114" s="26">
        <v>8.48</v>
      </c>
      <c r="C114" s="26">
        <f t="shared" si="9"/>
        <v>2.12</v>
      </c>
      <c r="D114" s="26">
        <f t="shared" si="10"/>
        <v>10.6</v>
      </c>
      <c r="E114" s="26">
        <v>1.88</v>
      </c>
      <c r="F114" s="26"/>
      <c r="G114" s="26"/>
      <c r="H114" s="26"/>
      <c r="I114" s="26"/>
      <c r="J114" s="26">
        <v>3.7</v>
      </c>
      <c r="K114" s="26"/>
      <c r="L114" s="174">
        <f>E114*Prices!B$2</f>
        <v>206800</v>
      </c>
      <c r="M114" s="174">
        <f>F114*Prices!C$2</f>
        <v>0</v>
      </c>
      <c r="N114" s="174">
        <f>G114*Prices!D$2</f>
        <v>0</v>
      </c>
      <c r="O114" s="174">
        <f>H114*Prices!E$2</f>
        <v>0</v>
      </c>
      <c r="P114" s="174">
        <f t="shared" si="8"/>
        <v>37000</v>
      </c>
      <c r="Q114" s="174">
        <f>D114*Prices!A$2</f>
        <v>189210</v>
      </c>
      <c r="R114" s="175">
        <f t="shared" si="11"/>
        <v>206800</v>
      </c>
      <c r="S114" s="174">
        <f t="shared" si="12"/>
        <v>433010</v>
      </c>
      <c r="T114" s="26">
        <v>113.0</v>
      </c>
      <c r="U114" s="26" t="s">
        <v>80</v>
      </c>
      <c r="V114" s="93" t="s">
        <v>81</v>
      </c>
      <c r="W114" s="93"/>
      <c r="X114" s="93"/>
      <c r="Y114" s="93"/>
      <c r="Z114" s="93"/>
    </row>
    <row r="115">
      <c r="A115" s="26">
        <v>114.0</v>
      </c>
      <c r="B115" s="26">
        <v>5.202</v>
      </c>
      <c r="C115" s="26">
        <f t="shared" si="9"/>
        <v>1.3005</v>
      </c>
      <c r="D115" s="26">
        <f t="shared" si="10"/>
        <v>6.5025</v>
      </c>
      <c r="E115" s="26">
        <v>1.49</v>
      </c>
      <c r="F115" s="26"/>
      <c r="G115" s="26"/>
      <c r="H115" s="26"/>
      <c r="I115" s="26"/>
      <c r="J115" s="26"/>
      <c r="K115" s="26"/>
      <c r="L115" s="174">
        <f>E115*Prices!B$2</f>
        <v>163900</v>
      </c>
      <c r="M115" s="174">
        <f>F115*Prices!C$2</f>
        <v>0</v>
      </c>
      <c r="N115" s="174">
        <f>G115*Prices!D$2</f>
        <v>0</v>
      </c>
      <c r="O115" s="174">
        <f>H115*Prices!E$2</f>
        <v>0</v>
      </c>
      <c r="P115" s="174">
        <f t="shared" si="8"/>
        <v>0</v>
      </c>
      <c r="Q115" s="174">
        <f>D115*Prices!A$2</f>
        <v>116069.625</v>
      </c>
      <c r="R115" s="175">
        <f t="shared" si="11"/>
        <v>163900</v>
      </c>
      <c r="S115" s="174">
        <f t="shared" si="12"/>
        <v>279969.625</v>
      </c>
      <c r="T115" s="26">
        <v>114.0</v>
      </c>
      <c r="U115" s="26" t="s">
        <v>82</v>
      </c>
      <c r="V115" s="93"/>
      <c r="W115" s="93"/>
      <c r="X115" s="93"/>
      <c r="Y115" s="93"/>
      <c r="Z115" s="93"/>
    </row>
    <row r="116">
      <c r="A116" s="26">
        <v>115.0</v>
      </c>
      <c r="B116" s="26">
        <v>2.524</v>
      </c>
      <c r="C116" s="26">
        <f t="shared" si="9"/>
        <v>0.631</v>
      </c>
      <c r="D116" s="26">
        <f t="shared" si="10"/>
        <v>3.155</v>
      </c>
      <c r="E116" s="26">
        <v>0.53</v>
      </c>
      <c r="F116" s="26"/>
      <c r="G116" s="26"/>
      <c r="H116" s="26"/>
      <c r="I116" s="26"/>
      <c r="J116" s="26"/>
      <c r="K116" s="26"/>
      <c r="L116" s="174">
        <f>E116*Prices!B$2</f>
        <v>58300</v>
      </c>
      <c r="M116" s="174">
        <f>F116*Prices!C$2</f>
        <v>0</v>
      </c>
      <c r="N116" s="174">
        <f>G116*Prices!D$2</f>
        <v>0</v>
      </c>
      <c r="O116" s="174">
        <f>H116*Prices!E$2</f>
        <v>0</v>
      </c>
      <c r="P116" s="174">
        <f t="shared" si="8"/>
        <v>0</v>
      </c>
      <c r="Q116" s="174">
        <f>D116*Prices!A$2</f>
        <v>56316.75</v>
      </c>
      <c r="R116" s="175">
        <f t="shared" si="11"/>
        <v>58300</v>
      </c>
      <c r="S116" s="174">
        <f t="shared" si="12"/>
        <v>114616.75</v>
      </c>
      <c r="T116" s="26">
        <v>115.0</v>
      </c>
      <c r="U116" s="26" t="s">
        <v>82</v>
      </c>
      <c r="V116" s="93"/>
      <c r="W116" s="93"/>
      <c r="X116" s="93"/>
      <c r="Y116" s="93"/>
      <c r="Z116" s="93"/>
    </row>
    <row r="117">
      <c r="A117" s="26">
        <v>116.0</v>
      </c>
      <c r="B117" s="26">
        <v>2.014</v>
      </c>
      <c r="C117" s="26">
        <f t="shared" si="9"/>
        <v>0.5035</v>
      </c>
      <c r="D117" s="26">
        <f t="shared" si="10"/>
        <v>2.5175</v>
      </c>
      <c r="E117" s="26">
        <v>0.38</v>
      </c>
      <c r="F117" s="26"/>
      <c r="G117" s="26"/>
      <c r="H117" s="26"/>
      <c r="I117" s="26"/>
      <c r="J117" s="26"/>
      <c r="K117" s="26"/>
      <c r="L117" s="174">
        <f>E117*Prices!B$2</f>
        <v>41800</v>
      </c>
      <c r="M117" s="174">
        <f>F117*Prices!C$2</f>
        <v>0</v>
      </c>
      <c r="N117" s="174">
        <f>G117*Prices!D$2</f>
        <v>0</v>
      </c>
      <c r="O117" s="174">
        <f>H117*Prices!E$2</f>
        <v>0</v>
      </c>
      <c r="P117" s="174">
        <f t="shared" si="8"/>
        <v>0</v>
      </c>
      <c r="Q117" s="174">
        <f>D117*Prices!A$2</f>
        <v>44937.375</v>
      </c>
      <c r="R117" s="175">
        <f t="shared" si="11"/>
        <v>41800</v>
      </c>
      <c r="S117" s="174">
        <f t="shared" si="12"/>
        <v>86737.375</v>
      </c>
      <c r="T117" s="26">
        <v>116.0</v>
      </c>
      <c r="U117" s="26" t="s">
        <v>80</v>
      </c>
      <c r="V117" s="93"/>
      <c r="W117" s="93"/>
      <c r="X117" s="93"/>
      <c r="Y117" s="93"/>
      <c r="Z117" s="93"/>
    </row>
    <row r="118">
      <c r="A118" s="26">
        <v>117.0</v>
      </c>
      <c r="B118" s="26">
        <v>2.236</v>
      </c>
      <c r="C118" s="26">
        <f t="shared" si="9"/>
        <v>0.559</v>
      </c>
      <c r="D118" s="26">
        <f t="shared" si="10"/>
        <v>2.795</v>
      </c>
      <c r="E118" s="26">
        <v>0.52</v>
      </c>
      <c r="F118" s="26"/>
      <c r="G118" s="26"/>
      <c r="H118" s="26"/>
      <c r="I118" s="26"/>
      <c r="J118" s="26"/>
      <c r="K118" s="26"/>
      <c r="L118" s="174">
        <f>E118*Prices!B$2</f>
        <v>57200</v>
      </c>
      <c r="M118" s="174">
        <f>F118*Prices!C$2</f>
        <v>0</v>
      </c>
      <c r="N118" s="174">
        <f>G118*Prices!D$2</f>
        <v>0</v>
      </c>
      <c r="O118" s="174">
        <f>H118*Prices!E$2</f>
        <v>0</v>
      </c>
      <c r="P118" s="174">
        <f t="shared" si="8"/>
        <v>0</v>
      </c>
      <c r="Q118" s="174">
        <f>D118*Prices!A$2</f>
        <v>49890.75</v>
      </c>
      <c r="R118" s="175">
        <f t="shared" si="11"/>
        <v>57200</v>
      </c>
      <c r="S118" s="174">
        <f t="shared" si="12"/>
        <v>107090.75</v>
      </c>
      <c r="T118" s="26">
        <v>117.0</v>
      </c>
      <c r="U118" s="26" t="s">
        <v>82</v>
      </c>
      <c r="V118" s="93"/>
      <c r="W118" s="93"/>
      <c r="X118" s="93"/>
      <c r="Y118" s="93"/>
      <c r="Z118" s="93"/>
    </row>
    <row r="119">
      <c r="A119" s="26">
        <v>118.0</v>
      </c>
      <c r="B119" s="26">
        <v>5.806</v>
      </c>
      <c r="C119" s="26">
        <f t="shared" si="9"/>
        <v>1.4515</v>
      </c>
      <c r="D119" s="26">
        <f t="shared" si="10"/>
        <v>7.2575</v>
      </c>
      <c r="E119" s="26">
        <v>1.13</v>
      </c>
      <c r="F119" s="26"/>
      <c r="G119" s="26"/>
      <c r="H119" s="26"/>
      <c r="I119" s="26"/>
      <c r="J119" s="26"/>
      <c r="K119" s="26">
        <v>7.74</v>
      </c>
      <c r="L119" s="174">
        <f>E119*Prices!B$2</f>
        <v>124300</v>
      </c>
      <c r="M119" s="174">
        <f>F119*Prices!C$2</f>
        <v>0</v>
      </c>
      <c r="N119" s="174">
        <f>G119*Prices!D$2</f>
        <v>0</v>
      </c>
      <c r="O119" s="174">
        <f>H119*Prices!E$2</f>
        <v>0</v>
      </c>
      <c r="P119" s="174">
        <f t="shared" si="8"/>
        <v>13932</v>
      </c>
      <c r="Q119" s="174">
        <f>D119*Prices!A$2</f>
        <v>129546.375</v>
      </c>
      <c r="R119" s="175">
        <f t="shared" si="11"/>
        <v>124300</v>
      </c>
      <c r="S119" s="174">
        <f t="shared" si="12"/>
        <v>267778.375</v>
      </c>
      <c r="T119" s="26">
        <v>118.0</v>
      </c>
      <c r="U119" s="26" t="s">
        <v>82</v>
      </c>
      <c r="V119" s="93"/>
      <c r="W119" s="93"/>
      <c r="X119" s="93"/>
      <c r="Y119" s="93"/>
      <c r="Z119" s="93"/>
    </row>
    <row r="120">
      <c r="A120" s="26">
        <v>119.0</v>
      </c>
      <c r="B120" s="26">
        <v>1.246</v>
      </c>
      <c r="C120" s="26">
        <f t="shared" si="9"/>
        <v>0.3115</v>
      </c>
      <c r="D120" s="26">
        <f t="shared" si="10"/>
        <v>1.5575</v>
      </c>
      <c r="E120" s="26">
        <v>0.27</v>
      </c>
      <c r="F120" s="26"/>
      <c r="G120" s="26"/>
      <c r="H120" s="26"/>
      <c r="I120" s="26"/>
      <c r="J120" s="26"/>
      <c r="K120" s="26"/>
      <c r="L120" s="174">
        <f>E120*Prices!B$2</f>
        <v>29700</v>
      </c>
      <c r="M120" s="174">
        <f>F120*Prices!C$2</f>
        <v>0</v>
      </c>
      <c r="N120" s="174">
        <f>G120*Prices!D$2</f>
        <v>0</v>
      </c>
      <c r="O120" s="174">
        <f>H120*Prices!E$2</f>
        <v>0</v>
      </c>
      <c r="P120" s="174">
        <f t="shared" si="8"/>
        <v>0</v>
      </c>
      <c r="Q120" s="174">
        <f>D120*Prices!A$2</f>
        <v>27801.375</v>
      </c>
      <c r="R120" s="175">
        <f t="shared" si="11"/>
        <v>29700</v>
      </c>
      <c r="S120" s="174">
        <f t="shared" si="12"/>
        <v>57501.375</v>
      </c>
      <c r="T120" s="26">
        <v>119.0</v>
      </c>
      <c r="U120" s="26" t="s">
        <v>82</v>
      </c>
      <c r="V120" s="93"/>
      <c r="W120" s="93"/>
      <c r="X120" s="93"/>
      <c r="Y120" s="93"/>
      <c r="Z120" s="93"/>
    </row>
    <row r="121">
      <c r="A121" s="26">
        <v>120.0</v>
      </c>
      <c r="B121" s="26">
        <v>1.274</v>
      </c>
      <c r="C121" s="26">
        <f t="shared" si="9"/>
        <v>0.3185</v>
      </c>
      <c r="D121" s="26">
        <f t="shared" si="10"/>
        <v>1.5925</v>
      </c>
      <c r="E121" s="26">
        <v>0.18</v>
      </c>
      <c r="F121" s="26"/>
      <c r="G121" s="26"/>
      <c r="H121" s="26"/>
      <c r="I121" s="26"/>
      <c r="J121" s="26"/>
      <c r="K121" s="26"/>
      <c r="L121" s="174">
        <f>E121*Prices!B$2</f>
        <v>19800</v>
      </c>
      <c r="M121" s="174">
        <f>F121*Prices!C$2</f>
        <v>0</v>
      </c>
      <c r="N121" s="174">
        <f>G121*Prices!D$2</f>
        <v>0</v>
      </c>
      <c r="O121" s="174">
        <f>H121*Prices!E$2</f>
        <v>0</v>
      </c>
      <c r="P121" s="174">
        <f t="shared" si="8"/>
        <v>0</v>
      </c>
      <c r="Q121" s="174">
        <f>D121*Prices!A$2</f>
        <v>28426.125</v>
      </c>
      <c r="R121" s="175">
        <f t="shared" si="11"/>
        <v>19800</v>
      </c>
      <c r="S121" s="174">
        <f t="shared" si="12"/>
        <v>48226.125</v>
      </c>
      <c r="T121" s="26">
        <v>120.0</v>
      </c>
      <c r="U121" s="26" t="s">
        <v>82</v>
      </c>
      <c r="V121" s="93"/>
      <c r="W121" s="93"/>
      <c r="X121" s="93"/>
      <c r="Y121" s="93"/>
      <c r="Z121" s="93"/>
    </row>
    <row r="122">
      <c r="A122" s="26">
        <v>121.0</v>
      </c>
      <c r="B122" s="26">
        <v>2.186</v>
      </c>
      <c r="C122" s="26">
        <f t="shared" si="9"/>
        <v>0.5465</v>
      </c>
      <c r="D122" s="26">
        <f t="shared" si="10"/>
        <v>2.7325</v>
      </c>
      <c r="E122" s="26">
        <v>0.42</v>
      </c>
      <c r="F122" s="26"/>
      <c r="G122" s="26"/>
      <c r="H122" s="26"/>
      <c r="I122" s="26"/>
      <c r="J122" s="26"/>
      <c r="K122" s="26"/>
      <c r="L122" s="174">
        <f>E122*Prices!B$2</f>
        <v>46200</v>
      </c>
      <c r="M122" s="174">
        <f>F122*Prices!C$2</f>
        <v>0</v>
      </c>
      <c r="N122" s="174">
        <f>G122*Prices!D$2</f>
        <v>0</v>
      </c>
      <c r="O122" s="174">
        <f>H122*Prices!E$2</f>
        <v>0</v>
      </c>
      <c r="P122" s="174">
        <f t="shared" si="8"/>
        <v>0</v>
      </c>
      <c r="Q122" s="174">
        <f>D122*Prices!A$2</f>
        <v>48775.125</v>
      </c>
      <c r="R122" s="175">
        <f t="shared" si="11"/>
        <v>46200</v>
      </c>
      <c r="S122" s="174">
        <f t="shared" si="12"/>
        <v>94975.125</v>
      </c>
      <c r="T122" s="26">
        <v>121.0</v>
      </c>
      <c r="U122" s="26" t="s">
        <v>80</v>
      </c>
      <c r="V122" s="93" t="s">
        <v>81</v>
      </c>
      <c r="W122" s="93"/>
      <c r="X122" s="93"/>
      <c r="Y122" s="93"/>
      <c r="Z122" s="93"/>
    </row>
    <row r="123">
      <c r="A123" s="26">
        <v>122.0</v>
      </c>
      <c r="B123" s="26">
        <v>2.126</v>
      </c>
      <c r="C123" s="26">
        <f t="shared" si="9"/>
        <v>0.5315</v>
      </c>
      <c r="D123" s="26">
        <f t="shared" si="10"/>
        <v>2.6575</v>
      </c>
      <c r="E123" s="26">
        <v>0.42</v>
      </c>
      <c r="F123" s="26"/>
      <c r="G123" s="26"/>
      <c r="H123" s="26"/>
      <c r="I123" s="26"/>
      <c r="J123" s="26"/>
      <c r="K123" s="26"/>
      <c r="L123" s="174">
        <f>E123*Prices!B$2</f>
        <v>46200</v>
      </c>
      <c r="M123" s="174">
        <f>F123*Prices!C$2</f>
        <v>0</v>
      </c>
      <c r="N123" s="174">
        <f>G123*Prices!D$2</f>
        <v>0</v>
      </c>
      <c r="O123" s="174">
        <f>H123*Prices!E$2</f>
        <v>0</v>
      </c>
      <c r="P123" s="174">
        <f t="shared" si="8"/>
        <v>0</v>
      </c>
      <c r="Q123" s="174">
        <f>D123*Prices!A$2</f>
        <v>47436.375</v>
      </c>
      <c r="R123" s="175">
        <f t="shared" si="11"/>
        <v>46200</v>
      </c>
      <c r="S123" s="174">
        <f t="shared" si="12"/>
        <v>93636.375</v>
      </c>
      <c r="T123" s="26">
        <v>122.0</v>
      </c>
      <c r="U123" s="26" t="s">
        <v>80</v>
      </c>
      <c r="V123" s="93"/>
      <c r="W123" s="93"/>
      <c r="X123" s="93"/>
      <c r="Y123" s="93"/>
      <c r="Z123" s="93"/>
    </row>
    <row r="124">
      <c r="A124" s="26">
        <v>123.0</v>
      </c>
      <c r="B124" s="26">
        <v>2.226</v>
      </c>
      <c r="C124" s="26">
        <f t="shared" si="9"/>
        <v>0.5565</v>
      </c>
      <c r="D124" s="26">
        <f t="shared" si="10"/>
        <v>2.7825</v>
      </c>
      <c r="E124" s="26">
        <v>0.42</v>
      </c>
      <c r="F124" s="26"/>
      <c r="G124" s="26"/>
      <c r="H124" s="26"/>
      <c r="I124" s="26"/>
      <c r="J124" s="26"/>
      <c r="K124" s="26"/>
      <c r="L124" s="174">
        <f>E124*Prices!B$2</f>
        <v>46200</v>
      </c>
      <c r="M124" s="174">
        <f>F124*Prices!C$2</f>
        <v>0</v>
      </c>
      <c r="N124" s="174">
        <f>G124*Prices!D$2</f>
        <v>0</v>
      </c>
      <c r="O124" s="174">
        <f>H124*Prices!E$2</f>
        <v>0</v>
      </c>
      <c r="P124" s="174">
        <f t="shared" si="8"/>
        <v>0</v>
      </c>
      <c r="Q124" s="174">
        <f>D124*Prices!A$2</f>
        <v>49667.625</v>
      </c>
      <c r="R124" s="175">
        <f t="shared" si="11"/>
        <v>46200</v>
      </c>
      <c r="S124" s="174">
        <f t="shared" si="12"/>
        <v>95867.625</v>
      </c>
      <c r="T124" s="26">
        <v>123.0</v>
      </c>
      <c r="U124" s="26" t="s">
        <v>82</v>
      </c>
      <c r="V124" s="93"/>
      <c r="W124" s="93"/>
      <c r="X124" s="93"/>
      <c r="Y124" s="93"/>
      <c r="Z124" s="93"/>
    </row>
    <row r="125">
      <c r="A125" s="26">
        <v>124.0</v>
      </c>
      <c r="B125" s="26">
        <v>1.674</v>
      </c>
      <c r="C125" s="26">
        <f t="shared" si="9"/>
        <v>0.4185</v>
      </c>
      <c r="D125" s="26">
        <f t="shared" si="10"/>
        <v>2.0925</v>
      </c>
      <c r="E125" s="26">
        <v>0.23</v>
      </c>
      <c r="F125" s="26"/>
      <c r="G125" s="26"/>
      <c r="H125" s="26"/>
      <c r="I125" s="26"/>
      <c r="J125" s="26"/>
      <c r="K125" s="26"/>
      <c r="L125" s="174">
        <f>E125*Prices!B$2</f>
        <v>25300</v>
      </c>
      <c r="M125" s="174">
        <f>F125*Prices!C$2</f>
        <v>0</v>
      </c>
      <c r="N125" s="174">
        <f>G125*Prices!D$2</f>
        <v>0</v>
      </c>
      <c r="O125" s="174">
        <f>H125*Prices!E$2</f>
        <v>0</v>
      </c>
      <c r="P125" s="174">
        <f t="shared" si="8"/>
        <v>0</v>
      </c>
      <c r="Q125" s="174">
        <f>D125*Prices!A$2</f>
        <v>37351.125</v>
      </c>
      <c r="R125" s="175">
        <f t="shared" si="11"/>
        <v>25300</v>
      </c>
      <c r="S125" s="174">
        <f t="shared" si="12"/>
        <v>62651.125</v>
      </c>
      <c r="T125" s="26">
        <v>124.0</v>
      </c>
      <c r="U125" s="26" t="s">
        <v>82</v>
      </c>
      <c r="V125" s="93"/>
      <c r="W125" s="93"/>
      <c r="X125" s="93"/>
      <c r="Y125" s="93"/>
      <c r="Z125" s="93"/>
    </row>
    <row r="126">
      <c r="A126" s="26">
        <v>125.0</v>
      </c>
      <c r="B126" s="26">
        <v>1.682</v>
      </c>
      <c r="C126" s="26">
        <f t="shared" si="9"/>
        <v>0.4205</v>
      </c>
      <c r="D126" s="26">
        <f t="shared" si="10"/>
        <v>2.1025</v>
      </c>
      <c r="E126" s="26">
        <v>0.69</v>
      </c>
      <c r="F126" s="26"/>
      <c r="G126" s="26"/>
      <c r="H126" s="26"/>
      <c r="I126" s="26"/>
      <c r="J126" s="26"/>
      <c r="K126" s="26"/>
      <c r="L126" s="174">
        <f>E126*Prices!B$2</f>
        <v>75900</v>
      </c>
      <c r="M126" s="174">
        <f>F126*Prices!C$2</f>
        <v>0</v>
      </c>
      <c r="N126" s="174">
        <f>G126*Prices!D$2</f>
        <v>0</v>
      </c>
      <c r="O126" s="174">
        <f>H126*Prices!E$2</f>
        <v>0</v>
      </c>
      <c r="P126" s="174">
        <f t="shared" si="8"/>
        <v>0</v>
      </c>
      <c r="Q126" s="174">
        <f>D126*Prices!A$2</f>
        <v>37529.625</v>
      </c>
      <c r="R126" s="175">
        <f t="shared" si="11"/>
        <v>75900</v>
      </c>
      <c r="S126" s="174">
        <f t="shared" si="12"/>
        <v>113429.625</v>
      </c>
      <c r="T126" s="26">
        <v>125.0</v>
      </c>
      <c r="U126" s="26" t="s">
        <v>82</v>
      </c>
      <c r="V126" s="93"/>
      <c r="W126" s="93"/>
      <c r="X126" s="93"/>
      <c r="Y126" s="93"/>
      <c r="Z126" s="93"/>
    </row>
    <row r="127">
      <c r="A127" s="26">
        <v>126.0</v>
      </c>
      <c r="B127" s="26">
        <v>2.724</v>
      </c>
      <c r="C127" s="26">
        <f t="shared" si="9"/>
        <v>0.681</v>
      </c>
      <c r="D127" s="26">
        <f t="shared" si="10"/>
        <v>3.405</v>
      </c>
      <c r="E127" s="26">
        <v>0.6</v>
      </c>
      <c r="F127" s="26"/>
      <c r="G127" s="26"/>
      <c r="H127" s="26"/>
      <c r="I127" s="26"/>
      <c r="J127" s="26">
        <v>2.33</v>
      </c>
      <c r="K127" s="26"/>
      <c r="L127" s="174">
        <f>E127*Prices!B$2</f>
        <v>66000</v>
      </c>
      <c r="M127" s="174">
        <f>F127*Prices!C$2</f>
        <v>0</v>
      </c>
      <c r="N127" s="174">
        <f>G127*Prices!D$2</f>
        <v>0</v>
      </c>
      <c r="O127" s="174">
        <f>H127*Prices!E$2</f>
        <v>0</v>
      </c>
      <c r="P127" s="174">
        <f t="shared" si="8"/>
        <v>23300</v>
      </c>
      <c r="Q127" s="174">
        <f>D127*Prices!A$2</f>
        <v>60779.25</v>
      </c>
      <c r="R127" s="175">
        <f t="shared" si="11"/>
        <v>66000</v>
      </c>
      <c r="S127" s="174">
        <f t="shared" si="12"/>
        <v>150079.25</v>
      </c>
      <c r="T127" s="26">
        <v>126.0</v>
      </c>
      <c r="U127" s="26" t="s">
        <v>82</v>
      </c>
      <c r="V127" s="93"/>
      <c r="W127" s="93"/>
      <c r="X127" s="93"/>
      <c r="Y127" s="93"/>
      <c r="Z127" s="93"/>
    </row>
    <row r="128">
      <c r="A128" s="26">
        <v>127.0</v>
      </c>
      <c r="B128" s="26">
        <v>3.774</v>
      </c>
      <c r="C128" s="26">
        <f t="shared" si="9"/>
        <v>0.9435</v>
      </c>
      <c r="D128" s="26">
        <f t="shared" si="10"/>
        <v>4.7175</v>
      </c>
      <c r="E128" s="26">
        <v>0.78</v>
      </c>
      <c r="F128" s="26"/>
      <c r="G128" s="26"/>
      <c r="H128" s="26"/>
      <c r="I128" s="26"/>
      <c r="J128" s="26"/>
      <c r="K128" s="26">
        <v>8.65</v>
      </c>
      <c r="L128" s="174">
        <f>E128*Prices!B$2</f>
        <v>85800</v>
      </c>
      <c r="M128" s="174">
        <f>F128*Prices!C$2</f>
        <v>0</v>
      </c>
      <c r="N128" s="174">
        <f>G128*Prices!D$2</f>
        <v>0</v>
      </c>
      <c r="O128" s="174">
        <f>H128*Prices!E$2</f>
        <v>0</v>
      </c>
      <c r="P128" s="174">
        <f t="shared" si="8"/>
        <v>15570</v>
      </c>
      <c r="Q128" s="174">
        <f>D128*Prices!A$2</f>
        <v>84207.375</v>
      </c>
      <c r="R128" s="175">
        <f t="shared" si="11"/>
        <v>85800</v>
      </c>
      <c r="S128" s="174">
        <f t="shared" si="12"/>
        <v>185577.375</v>
      </c>
      <c r="T128" s="26">
        <v>127.0</v>
      </c>
      <c r="U128" s="26" t="s">
        <v>80</v>
      </c>
      <c r="V128" s="93" t="s">
        <v>81</v>
      </c>
      <c r="W128" s="93"/>
      <c r="X128" s="93"/>
      <c r="Y128" s="93"/>
      <c r="Z128" s="93"/>
    </row>
    <row r="129">
      <c r="A129" s="26">
        <v>128.0</v>
      </c>
      <c r="B129" s="26">
        <v>17.408</v>
      </c>
      <c r="C129" s="26">
        <f t="shared" si="9"/>
        <v>4.352</v>
      </c>
      <c r="D129" s="26">
        <f t="shared" si="10"/>
        <v>21.76</v>
      </c>
      <c r="E129" s="26">
        <v>5.64</v>
      </c>
      <c r="F129" s="26"/>
      <c r="G129" s="26"/>
      <c r="H129" s="26"/>
      <c r="I129" s="26">
        <v>0.97</v>
      </c>
      <c r="J129" s="26"/>
      <c r="K129" s="26"/>
      <c r="L129" s="174">
        <f>E129*Prices!B$2</f>
        <v>620400</v>
      </c>
      <c r="M129" s="174">
        <f>F129*Prices!C$2</f>
        <v>0</v>
      </c>
      <c r="N129" s="174">
        <f>G129*Prices!D$2</f>
        <v>0</v>
      </c>
      <c r="O129" s="174">
        <f>H129*Prices!E$2</f>
        <v>0</v>
      </c>
      <c r="P129" s="174">
        <f t="shared" si="8"/>
        <v>1940</v>
      </c>
      <c r="Q129" s="174">
        <f>D129*Prices!A$2</f>
        <v>388416</v>
      </c>
      <c r="R129" s="175">
        <f t="shared" si="11"/>
        <v>620400</v>
      </c>
      <c r="S129" s="174">
        <f t="shared" si="12"/>
        <v>1010756</v>
      </c>
      <c r="T129" s="26">
        <v>128.0</v>
      </c>
      <c r="U129" s="26" t="s">
        <v>80</v>
      </c>
      <c r="V129" s="93"/>
      <c r="W129" s="93"/>
      <c r="X129" s="93"/>
      <c r="Y129" s="93"/>
      <c r="Z129" s="93"/>
    </row>
    <row r="130">
      <c r="A130" s="26">
        <v>129.0</v>
      </c>
      <c r="B130" s="26">
        <v>4.232</v>
      </c>
      <c r="C130" s="26">
        <f t="shared" si="9"/>
        <v>1.058</v>
      </c>
      <c r="D130" s="26">
        <f t="shared" si="10"/>
        <v>5.29</v>
      </c>
      <c r="E130" s="26">
        <v>0.64</v>
      </c>
      <c r="F130" s="26"/>
      <c r="G130" s="26"/>
      <c r="H130" s="26"/>
      <c r="I130" s="26"/>
      <c r="J130" s="26"/>
      <c r="K130" s="26"/>
      <c r="L130" s="174">
        <f>E130*Prices!B$2</f>
        <v>70400</v>
      </c>
      <c r="M130" s="174">
        <f>F130*Prices!C$2</f>
        <v>0</v>
      </c>
      <c r="N130" s="174">
        <f>G130*Prices!D$2</f>
        <v>0</v>
      </c>
      <c r="O130" s="174">
        <f>H130*Prices!E$2</f>
        <v>0</v>
      </c>
      <c r="P130" s="174">
        <f t="shared" si="8"/>
        <v>0</v>
      </c>
      <c r="Q130" s="174">
        <f>D130*Prices!A$2</f>
        <v>94426.5</v>
      </c>
      <c r="R130" s="175">
        <f t="shared" si="11"/>
        <v>70400</v>
      </c>
      <c r="S130" s="174">
        <f t="shared" si="12"/>
        <v>164826.5</v>
      </c>
      <c r="T130" s="26">
        <v>129.0</v>
      </c>
      <c r="U130" s="26" t="s">
        <v>82</v>
      </c>
      <c r="V130" s="93"/>
      <c r="W130" s="93"/>
      <c r="X130" s="93"/>
      <c r="Y130" s="93"/>
      <c r="Z130" s="93"/>
    </row>
    <row r="131">
      <c r="A131" s="26">
        <v>130.0</v>
      </c>
      <c r="B131" s="26">
        <v>1.476</v>
      </c>
      <c r="C131" s="26">
        <f t="shared" si="9"/>
        <v>0.369</v>
      </c>
      <c r="D131" s="26">
        <f t="shared" si="10"/>
        <v>1.845</v>
      </c>
      <c r="E131" s="26">
        <v>0.11</v>
      </c>
      <c r="F131" s="26"/>
      <c r="G131" s="26"/>
      <c r="H131" s="26"/>
      <c r="I131" s="26"/>
      <c r="J131" s="26">
        <v>0.56</v>
      </c>
      <c r="K131" s="26"/>
      <c r="L131" s="174">
        <f>E131*Prices!B$2</f>
        <v>12100</v>
      </c>
      <c r="M131" s="174">
        <f>F131*Prices!C$2</f>
        <v>0</v>
      </c>
      <c r="N131" s="174">
        <f>G131*Prices!D$2</f>
        <v>0</v>
      </c>
      <c r="O131" s="174">
        <f>H131*Prices!E$2</f>
        <v>0</v>
      </c>
      <c r="P131" s="174">
        <f t="shared" ref="P131:P134" si="13">I131*2000+J131*7000+K131*1800</f>
        <v>3920</v>
      </c>
      <c r="Q131" s="174">
        <f>D131*Prices!A$2</f>
        <v>32933.25</v>
      </c>
      <c r="R131" s="175">
        <f t="shared" si="11"/>
        <v>12100</v>
      </c>
      <c r="S131" s="174">
        <f t="shared" si="12"/>
        <v>48953.25</v>
      </c>
      <c r="T131" s="26">
        <v>130.0</v>
      </c>
      <c r="U131" s="26" t="s">
        <v>82</v>
      </c>
      <c r="V131" s="93"/>
      <c r="W131" s="93"/>
      <c r="X131" s="93"/>
      <c r="Y131" s="93"/>
      <c r="Z131" s="93"/>
    </row>
    <row r="132">
      <c r="A132" s="26">
        <v>131.0</v>
      </c>
      <c r="B132" s="26">
        <v>1.816</v>
      </c>
      <c r="C132" s="26">
        <f t="shared" si="9"/>
        <v>0.454</v>
      </c>
      <c r="D132" s="26">
        <f t="shared" si="10"/>
        <v>2.27</v>
      </c>
      <c r="E132" s="26">
        <v>0.13</v>
      </c>
      <c r="F132" s="26"/>
      <c r="G132" s="26"/>
      <c r="H132" s="26"/>
      <c r="I132" s="26"/>
      <c r="J132" s="26">
        <v>1.54</v>
      </c>
      <c r="K132" s="26"/>
      <c r="L132" s="174">
        <f>E132*Prices!B$2</f>
        <v>14300</v>
      </c>
      <c r="M132" s="174">
        <f>F132*Prices!C$2</f>
        <v>0</v>
      </c>
      <c r="N132" s="174">
        <f>G132*Prices!D$2</f>
        <v>0</v>
      </c>
      <c r="O132" s="174">
        <f>H132*Prices!E$2</f>
        <v>0</v>
      </c>
      <c r="P132" s="174">
        <f t="shared" si="13"/>
        <v>10780</v>
      </c>
      <c r="Q132" s="174">
        <f>D132*Prices!A$2</f>
        <v>40519.5</v>
      </c>
      <c r="R132" s="175">
        <f t="shared" si="11"/>
        <v>14300</v>
      </c>
      <c r="S132" s="174">
        <f t="shared" si="12"/>
        <v>65599.5</v>
      </c>
      <c r="T132" s="26">
        <v>131.0</v>
      </c>
      <c r="U132" s="26" t="s">
        <v>80</v>
      </c>
      <c r="V132" s="93" t="s">
        <v>81</v>
      </c>
      <c r="W132" s="93"/>
      <c r="X132" s="93"/>
      <c r="Y132" s="93"/>
      <c r="Z132" s="93"/>
    </row>
    <row r="133">
      <c r="A133" s="26">
        <v>132.0</v>
      </c>
      <c r="B133" s="26">
        <v>1.752</v>
      </c>
      <c r="C133" s="26">
        <f t="shared" si="9"/>
        <v>0.438</v>
      </c>
      <c r="D133" s="26">
        <f t="shared" si="10"/>
        <v>2.19</v>
      </c>
      <c r="E133" s="26">
        <v>0.12</v>
      </c>
      <c r="F133" s="26"/>
      <c r="G133" s="26"/>
      <c r="H133" s="26"/>
      <c r="I133" s="26"/>
      <c r="J133" s="26">
        <v>1.02</v>
      </c>
      <c r="K133" s="26"/>
      <c r="L133" s="174">
        <f>E133*Prices!B$2</f>
        <v>13200</v>
      </c>
      <c r="M133" s="174">
        <f>F133*Prices!C$2</f>
        <v>0</v>
      </c>
      <c r="N133" s="174">
        <f>G133*Prices!D$2</f>
        <v>0</v>
      </c>
      <c r="O133" s="174">
        <f>H133*Prices!E$2</f>
        <v>0</v>
      </c>
      <c r="P133" s="174">
        <f t="shared" si="13"/>
        <v>7140</v>
      </c>
      <c r="Q133" s="174">
        <f>D133*Prices!A$2</f>
        <v>39091.5</v>
      </c>
      <c r="R133" s="175">
        <f t="shared" si="11"/>
        <v>13200</v>
      </c>
      <c r="S133" s="174">
        <f t="shared" si="12"/>
        <v>59431.5</v>
      </c>
      <c r="T133" s="26">
        <v>132.0</v>
      </c>
      <c r="U133" s="26" t="s">
        <v>80</v>
      </c>
      <c r="V133" s="93" t="s">
        <v>81</v>
      </c>
      <c r="W133" s="93"/>
      <c r="X133" s="93"/>
      <c r="Y133" s="93"/>
      <c r="Z133" s="93"/>
    </row>
    <row r="134">
      <c r="A134" s="26">
        <v>133.0</v>
      </c>
      <c r="B134" s="26">
        <v>1.314</v>
      </c>
      <c r="C134" s="26">
        <f t="shared" si="9"/>
        <v>0.3285</v>
      </c>
      <c r="D134" s="26">
        <f t="shared" si="10"/>
        <v>1.6425</v>
      </c>
      <c r="E134" s="26">
        <v>0.08</v>
      </c>
      <c r="F134" s="26"/>
      <c r="G134" s="26"/>
      <c r="H134" s="26"/>
      <c r="I134" s="26"/>
      <c r="J134" s="26">
        <v>0.4</v>
      </c>
      <c r="K134" s="26"/>
      <c r="L134" s="174">
        <f>E134*Prices!B$2</f>
        <v>8800</v>
      </c>
      <c r="M134" s="174">
        <f>F134*Prices!C$2</f>
        <v>0</v>
      </c>
      <c r="N134" s="174">
        <f>G134*Prices!D$2</f>
        <v>0</v>
      </c>
      <c r="O134" s="174">
        <f>H134*Prices!E$2</f>
        <v>0</v>
      </c>
      <c r="P134" s="174">
        <f t="shared" si="13"/>
        <v>2800</v>
      </c>
      <c r="Q134" s="174">
        <f>D134*Prices!A$2</f>
        <v>29318.625</v>
      </c>
      <c r="R134" s="175">
        <f t="shared" si="11"/>
        <v>8800</v>
      </c>
      <c r="S134" s="174">
        <f t="shared" si="12"/>
        <v>40918.625</v>
      </c>
      <c r="T134" s="26">
        <v>133.0</v>
      </c>
      <c r="U134" s="26" t="s">
        <v>80</v>
      </c>
      <c r="V134" s="93" t="s">
        <v>81</v>
      </c>
      <c r="W134" s="93"/>
      <c r="X134" s="93"/>
      <c r="Y134" s="93"/>
      <c r="Z134" s="93"/>
    </row>
    <row r="135">
      <c r="A135" s="26">
        <v>134.0</v>
      </c>
      <c r="B135" s="26">
        <v>8.452</v>
      </c>
      <c r="C135" s="26">
        <f t="shared" si="9"/>
        <v>2.113</v>
      </c>
      <c r="D135" s="26">
        <f t="shared" si="10"/>
        <v>10.565</v>
      </c>
      <c r="E135" s="26">
        <v>1.83</v>
      </c>
      <c r="F135" s="26">
        <v>0.36</v>
      </c>
      <c r="G135" s="26"/>
      <c r="H135" s="26"/>
      <c r="I135" s="26"/>
      <c r="J135" s="26"/>
      <c r="K135" s="26"/>
      <c r="L135" s="174">
        <f>E135*Prices!B$2</f>
        <v>201300</v>
      </c>
      <c r="M135" s="174">
        <f>F135*Prices!C$2</f>
        <v>57600</v>
      </c>
      <c r="N135" s="174">
        <f>G135*Prices!D$2</f>
        <v>0</v>
      </c>
      <c r="O135" s="174">
        <f>H135*Prices!E$2</f>
        <v>0</v>
      </c>
      <c r="P135" s="174">
        <f t="shared" ref="P135:P161" si="14">I135*2000+J135*10000+K135*1800</f>
        <v>0</v>
      </c>
      <c r="Q135" s="174">
        <f>D135*Prices!A$2</f>
        <v>188585.25</v>
      </c>
      <c r="R135" s="175">
        <f t="shared" si="11"/>
        <v>258900</v>
      </c>
      <c r="S135" s="174">
        <f t="shared" si="12"/>
        <v>447485.25</v>
      </c>
      <c r="T135" s="26">
        <v>134.0</v>
      </c>
      <c r="U135" s="26" t="s">
        <v>82</v>
      </c>
      <c r="V135" s="93"/>
      <c r="W135" s="93"/>
      <c r="X135" s="93"/>
      <c r="Y135" s="93"/>
      <c r="Z135" s="93"/>
    </row>
    <row r="136">
      <c r="A136" s="26">
        <v>135.0</v>
      </c>
      <c r="B136" s="26">
        <v>10.244</v>
      </c>
      <c r="C136" s="26">
        <f t="shared" si="9"/>
        <v>2.561</v>
      </c>
      <c r="D136" s="26">
        <f t="shared" si="10"/>
        <v>12.805</v>
      </c>
      <c r="E136" s="26"/>
      <c r="F136" s="26"/>
      <c r="G136" s="26">
        <v>3.21</v>
      </c>
      <c r="H136" s="26"/>
      <c r="I136" s="26"/>
      <c r="J136" s="26"/>
      <c r="K136" s="26"/>
      <c r="L136" s="174">
        <f>E136*Prices!B$2</f>
        <v>0</v>
      </c>
      <c r="M136" s="174">
        <f>F136*Prices!C$2</f>
        <v>0</v>
      </c>
      <c r="N136" s="174">
        <f>G136*Prices!D$2</f>
        <v>625950</v>
      </c>
      <c r="O136" s="174">
        <f>H136*Prices!E$2</f>
        <v>0</v>
      </c>
      <c r="P136" s="174">
        <f t="shared" si="14"/>
        <v>0</v>
      </c>
      <c r="Q136" s="174">
        <f>D136*Prices!A$2</f>
        <v>228569.25</v>
      </c>
      <c r="R136" s="175">
        <f t="shared" si="11"/>
        <v>625950</v>
      </c>
      <c r="S136" s="174">
        <f t="shared" si="12"/>
        <v>854519.25</v>
      </c>
      <c r="T136" s="26">
        <v>135.0</v>
      </c>
      <c r="U136" s="26" t="s">
        <v>82</v>
      </c>
      <c r="V136" s="93"/>
      <c r="W136" s="93"/>
      <c r="X136" s="93"/>
      <c r="Y136" s="93"/>
      <c r="Z136" s="93"/>
    </row>
    <row r="137">
      <c r="A137" s="26">
        <v>136.0</v>
      </c>
      <c r="B137" s="26">
        <v>2.28</v>
      </c>
      <c r="C137" s="26">
        <f t="shared" si="9"/>
        <v>0.57</v>
      </c>
      <c r="D137" s="26">
        <f t="shared" si="10"/>
        <v>2.85</v>
      </c>
      <c r="E137" s="26">
        <v>0.45</v>
      </c>
      <c r="F137" s="26"/>
      <c r="G137" s="26"/>
      <c r="H137" s="26"/>
      <c r="I137" s="26"/>
      <c r="J137" s="26">
        <v>1.3</v>
      </c>
      <c r="K137" s="26"/>
      <c r="L137" s="174">
        <f>E137*Prices!B$2</f>
        <v>49500</v>
      </c>
      <c r="M137" s="174">
        <f>F137*Prices!C$2</f>
        <v>0</v>
      </c>
      <c r="N137" s="174">
        <f>G137*Prices!D$2</f>
        <v>0</v>
      </c>
      <c r="O137" s="174">
        <f>H137*Prices!E$2</f>
        <v>0</v>
      </c>
      <c r="P137" s="174">
        <f t="shared" si="14"/>
        <v>13000</v>
      </c>
      <c r="Q137" s="174">
        <f>D137*Prices!A$2</f>
        <v>50872.5</v>
      </c>
      <c r="R137" s="175">
        <f t="shared" si="11"/>
        <v>49500</v>
      </c>
      <c r="S137" s="174">
        <f t="shared" si="12"/>
        <v>113372.5</v>
      </c>
      <c r="T137" s="26">
        <v>136.0</v>
      </c>
      <c r="U137" s="26" t="s">
        <v>82</v>
      </c>
      <c r="V137" s="93"/>
      <c r="W137" s="93"/>
      <c r="X137" s="93"/>
      <c r="Y137" s="93"/>
      <c r="Z137" s="93"/>
    </row>
    <row r="138">
      <c r="A138" s="26">
        <v>137.0</v>
      </c>
      <c r="B138" s="26">
        <v>2.284</v>
      </c>
      <c r="C138" s="26">
        <f t="shared" si="9"/>
        <v>0.571</v>
      </c>
      <c r="D138" s="26">
        <f t="shared" si="10"/>
        <v>2.855</v>
      </c>
      <c r="E138" s="26">
        <v>0.05</v>
      </c>
      <c r="F138" s="26">
        <v>0.83</v>
      </c>
      <c r="G138" s="26"/>
      <c r="H138" s="26"/>
      <c r="I138" s="26"/>
      <c r="J138" s="26"/>
      <c r="K138" s="26"/>
      <c r="L138" s="174">
        <f>E138*Prices!B$2</f>
        <v>5500</v>
      </c>
      <c r="M138" s="174">
        <f>F138*Prices!C$2</f>
        <v>132800</v>
      </c>
      <c r="N138" s="174">
        <f>G138*Prices!D$2</f>
        <v>0</v>
      </c>
      <c r="O138" s="174">
        <f>H138*Prices!E$2</f>
        <v>0</v>
      </c>
      <c r="P138" s="174">
        <f t="shared" si="14"/>
        <v>0</v>
      </c>
      <c r="Q138" s="174">
        <f>D138*Prices!A$2</f>
        <v>50961.75</v>
      </c>
      <c r="R138" s="175">
        <f t="shared" si="11"/>
        <v>138300</v>
      </c>
      <c r="S138" s="174">
        <f t="shared" si="12"/>
        <v>189261.75</v>
      </c>
      <c r="T138" s="26">
        <v>137.0</v>
      </c>
      <c r="U138" s="26" t="s">
        <v>86</v>
      </c>
      <c r="V138" s="93" t="s">
        <v>81</v>
      </c>
      <c r="W138" s="93"/>
      <c r="X138" s="93"/>
      <c r="Y138" s="93"/>
      <c r="Z138" s="93"/>
    </row>
    <row r="139">
      <c r="A139" s="26">
        <v>138.0</v>
      </c>
      <c r="B139" s="26">
        <v>3.718</v>
      </c>
      <c r="C139" s="26">
        <f t="shared" si="9"/>
        <v>0.9295</v>
      </c>
      <c r="D139" s="26">
        <f t="shared" si="10"/>
        <v>4.6475</v>
      </c>
      <c r="E139" s="26">
        <v>0.71</v>
      </c>
      <c r="F139" s="26"/>
      <c r="G139" s="26"/>
      <c r="H139" s="26"/>
      <c r="I139" s="26"/>
      <c r="J139" s="26"/>
      <c r="K139" s="26"/>
      <c r="L139" s="174">
        <f>E139*Prices!B$2</f>
        <v>78100</v>
      </c>
      <c r="M139" s="174">
        <f>F139*Prices!C$2</f>
        <v>0</v>
      </c>
      <c r="N139" s="174">
        <f>G139*Prices!D$2</f>
        <v>0</v>
      </c>
      <c r="O139" s="174">
        <f>H139*Prices!E$2</f>
        <v>0</v>
      </c>
      <c r="P139" s="174">
        <f t="shared" si="14"/>
        <v>0</v>
      </c>
      <c r="Q139" s="174">
        <f>D139*Prices!A$2</f>
        <v>82957.875</v>
      </c>
      <c r="R139" s="175">
        <f t="shared" si="11"/>
        <v>78100</v>
      </c>
      <c r="S139" s="174">
        <f t="shared" si="12"/>
        <v>161057.875</v>
      </c>
      <c r="T139" s="26">
        <v>138.0</v>
      </c>
      <c r="U139" s="26" t="s">
        <v>82</v>
      </c>
      <c r="V139" s="93"/>
      <c r="W139" s="93"/>
      <c r="X139" s="93"/>
      <c r="Y139" s="93"/>
      <c r="Z139" s="93"/>
    </row>
    <row r="140">
      <c r="A140" s="26">
        <v>139.0</v>
      </c>
      <c r="B140" s="26">
        <v>0.914</v>
      </c>
      <c r="C140" s="26">
        <f t="shared" si="9"/>
        <v>0.2285</v>
      </c>
      <c r="D140" s="26">
        <f t="shared" si="10"/>
        <v>1.1425</v>
      </c>
      <c r="E140" s="26">
        <v>0.18</v>
      </c>
      <c r="F140" s="26"/>
      <c r="G140" s="26"/>
      <c r="H140" s="26"/>
      <c r="I140" s="26"/>
      <c r="J140" s="26"/>
      <c r="K140" s="26"/>
      <c r="L140" s="174">
        <f>E140*Prices!B$2</f>
        <v>19800</v>
      </c>
      <c r="M140" s="174">
        <f>F140*Prices!C$2</f>
        <v>0</v>
      </c>
      <c r="N140" s="174">
        <f>G140*Prices!D$2</f>
        <v>0</v>
      </c>
      <c r="O140" s="174">
        <f>H140*Prices!E$2</f>
        <v>0</v>
      </c>
      <c r="P140" s="174">
        <f t="shared" si="14"/>
        <v>0</v>
      </c>
      <c r="Q140" s="174">
        <f>D140*Prices!A$2</f>
        <v>20393.625</v>
      </c>
      <c r="R140" s="175">
        <f t="shared" si="11"/>
        <v>19800</v>
      </c>
      <c r="S140" s="174">
        <f t="shared" si="12"/>
        <v>40193.625</v>
      </c>
      <c r="T140" s="26">
        <v>139.0</v>
      </c>
      <c r="U140" s="26" t="s">
        <v>80</v>
      </c>
      <c r="V140" s="93"/>
      <c r="W140" s="93"/>
      <c r="X140" s="93"/>
      <c r="Y140" s="93"/>
      <c r="Z140" s="93"/>
    </row>
    <row r="141">
      <c r="A141" s="26">
        <v>140.0</v>
      </c>
      <c r="B141" s="26">
        <v>1.194</v>
      </c>
      <c r="C141" s="26">
        <f t="shared" si="9"/>
        <v>0.2985</v>
      </c>
      <c r="D141" s="26">
        <f t="shared" si="10"/>
        <v>1.4925</v>
      </c>
      <c r="E141" s="26">
        <v>0.18</v>
      </c>
      <c r="F141" s="26"/>
      <c r="G141" s="26"/>
      <c r="H141" s="26"/>
      <c r="I141" s="26"/>
      <c r="J141" s="26"/>
      <c r="K141" s="26"/>
      <c r="L141" s="174">
        <f>E141*Prices!B$2</f>
        <v>19800</v>
      </c>
      <c r="M141" s="174">
        <f>F141*Prices!C$2</f>
        <v>0</v>
      </c>
      <c r="N141" s="174">
        <f>G141*Prices!D$2</f>
        <v>0</v>
      </c>
      <c r="O141" s="174">
        <f>H141*Prices!E$2</f>
        <v>0</v>
      </c>
      <c r="P141" s="174">
        <f t="shared" si="14"/>
        <v>0</v>
      </c>
      <c r="Q141" s="174">
        <f>D141*Prices!A$2</f>
        <v>26641.125</v>
      </c>
      <c r="R141" s="175">
        <f t="shared" si="11"/>
        <v>19800</v>
      </c>
      <c r="S141" s="174">
        <f t="shared" si="12"/>
        <v>46441.125</v>
      </c>
      <c r="T141" s="26">
        <v>140.0</v>
      </c>
      <c r="U141" s="26" t="s">
        <v>82</v>
      </c>
      <c r="V141" s="93"/>
      <c r="W141" s="93"/>
      <c r="X141" s="93"/>
      <c r="Y141" s="93"/>
      <c r="Z141" s="93"/>
    </row>
    <row r="142">
      <c r="A142" s="26">
        <v>141.0</v>
      </c>
      <c r="B142" s="26">
        <v>2.23</v>
      </c>
      <c r="C142" s="26">
        <f t="shared" si="9"/>
        <v>0.5575</v>
      </c>
      <c r="D142" s="26">
        <f t="shared" si="10"/>
        <v>2.7875</v>
      </c>
      <c r="E142" s="26">
        <v>0.2</v>
      </c>
      <c r="F142" s="26"/>
      <c r="G142" s="26"/>
      <c r="H142" s="26"/>
      <c r="I142" s="26"/>
      <c r="J142" s="26"/>
      <c r="K142" s="26"/>
      <c r="L142" s="174">
        <f>E142*Prices!B$2</f>
        <v>22000</v>
      </c>
      <c r="M142" s="174">
        <f>F142*Prices!C$2</f>
        <v>0</v>
      </c>
      <c r="N142" s="174">
        <f>G142*Prices!D$2</f>
        <v>0</v>
      </c>
      <c r="O142" s="174">
        <f>H142*Prices!E$2</f>
        <v>0</v>
      </c>
      <c r="P142" s="174">
        <f t="shared" si="14"/>
        <v>0</v>
      </c>
      <c r="Q142" s="174">
        <f>D142*Prices!A$2</f>
        <v>49756.875</v>
      </c>
      <c r="R142" s="175">
        <f t="shared" si="11"/>
        <v>22000</v>
      </c>
      <c r="S142" s="174">
        <f t="shared" si="12"/>
        <v>71756.875</v>
      </c>
      <c r="T142" s="26">
        <v>141.0</v>
      </c>
      <c r="U142" s="26" t="s">
        <v>82</v>
      </c>
      <c r="V142" s="93"/>
      <c r="W142" s="93"/>
      <c r="X142" s="93"/>
      <c r="Y142" s="93"/>
      <c r="Z142" s="93"/>
    </row>
    <row r="143">
      <c r="A143" s="26">
        <v>142.0</v>
      </c>
      <c r="B143" s="26">
        <v>1.79</v>
      </c>
      <c r="C143" s="26">
        <f t="shared" si="9"/>
        <v>0.4475</v>
      </c>
      <c r="D143" s="26">
        <f t="shared" si="10"/>
        <v>2.2375</v>
      </c>
      <c r="E143" s="26">
        <v>0.45</v>
      </c>
      <c r="F143" s="26"/>
      <c r="G143" s="26"/>
      <c r="H143" s="26"/>
      <c r="I143" s="26"/>
      <c r="J143" s="26"/>
      <c r="K143" s="26"/>
      <c r="L143" s="174">
        <f>E143*Prices!B$2</f>
        <v>49500</v>
      </c>
      <c r="M143" s="174">
        <f>F143*Prices!C$2</f>
        <v>0</v>
      </c>
      <c r="N143" s="174">
        <f>G143*Prices!D$2</f>
        <v>0</v>
      </c>
      <c r="O143" s="174">
        <f>H143*Prices!E$2</f>
        <v>0</v>
      </c>
      <c r="P143" s="174">
        <f t="shared" si="14"/>
        <v>0</v>
      </c>
      <c r="Q143" s="174">
        <f>D143*Prices!A$2</f>
        <v>39939.375</v>
      </c>
      <c r="R143" s="175">
        <f t="shared" si="11"/>
        <v>49500</v>
      </c>
      <c r="S143" s="174">
        <f t="shared" si="12"/>
        <v>89439.375</v>
      </c>
      <c r="T143" s="26">
        <v>142.0</v>
      </c>
      <c r="U143" s="26" t="s">
        <v>82</v>
      </c>
      <c r="V143" s="93"/>
      <c r="W143" s="93"/>
      <c r="X143" s="93"/>
      <c r="Y143" s="93"/>
      <c r="Z143" s="93"/>
    </row>
    <row r="144">
      <c r="A144" s="26">
        <v>143.0</v>
      </c>
      <c r="B144" s="26">
        <v>1.79</v>
      </c>
      <c r="C144" s="26">
        <f t="shared" si="9"/>
        <v>0.4475</v>
      </c>
      <c r="D144" s="26">
        <f t="shared" si="10"/>
        <v>2.2375</v>
      </c>
      <c r="E144" s="26">
        <v>0.35</v>
      </c>
      <c r="F144" s="26"/>
      <c r="G144" s="26"/>
      <c r="H144" s="26"/>
      <c r="I144" s="26"/>
      <c r="J144" s="26"/>
      <c r="K144" s="26"/>
      <c r="L144" s="174">
        <f>E144*Prices!B$2</f>
        <v>38500</v>
      </c>
      <c r="M144" s="174">
        <f>F144*Prices!C$2</f>
        <v>0</v>
      </c>
      <c r="N144" s="174">
        <f>G144*Prices!D$2</f>
        <v>0</v>
      </c>
      <c r="O144" s="174">
        <f>H144*Prices!E$2</f>
        <v>0</v>
      </c>
      <c r="P144" s="174">
        <f t="shared" si="14"/>
        <v>0</v>
      </c>
      <c r="Q144" s="174">
        <f>D144*Prices!A$2</f>
        <v>39939.375</v>
      </c>
      <c r="R144" s="175">
        <f t="shared" si="11"/>
        <v>38500</v>
      </c>
      <c r="S144" s="174">
        <f t="shared" si="12"/>
        <v>78439.375</v>
      </c>
      <c r="T144" s="26">
        <v>143.0</v>
      </c>
      <c r="U144" s="26" t="s">
        <v>82</v>
      </c>
      <c r="V144" s="93"/>
      <c r="W144" s="93"/>
      <c r="X144" s="93"/>
      <c r="Y144" s="93"/>
      <c r="Z144" s="93"/>
    </row>
    <row r="145">
      <c r="A145" s="26">
        <v>144.0</v>
      </c>
      <c r="B145" s="26">
        <v>2.2</v>
      </c>
      <c r="C145" s="26">
        <f t="shared" si="9"/>
        <v>0.55</v>
      </c>
      <c r="D145" s="26">
        <f t="shared" si="10"/>
        <v>2.75</v>
      </c>
      <c r="E145" s="26">
        <v>0.28</v>
      </c>
      <c r="F145" s="26"/>
      <c r="G145" s="26"/>
      <c r="H145" s="26"/>
      <c r="I145" s="26"/>
      <c r="J145" s="26"/>
      <c r="K145" s="26"/>
      <c r="L145" s="174">
        <f>E145*Prices!B$2</f>
        <v>30800</v>
      </c>
      <c r="M145" s="174">
        <f>F145*Prices!C$2</f>
        <v>0</v>
      </c>
      <c r="N145" s="174">
        <f>G145*Prices!D$2</f>
        <v>0</v>
      </c>
      <c r="O145" s="174">
        <f>H145*Prices!E$2</f>
        <v>0</v>
      </c>
      <c r="P145" s="174">
        <f t="shared" si="14"/>
        <v>0</v>
      </c>
      <c r="Q145" s="174">
        <f>D145*Prices!A$2</f>
        <v>49087.5</v>
      </c>
      <c r="R145" s="175">
        <f t="shared" si="11"/>
        <v>30800</v>
      </c>
      <c r="S145" s="174">
        <f t="shared" si="12"/>
        <v>79887.5</v>
      </c>
      <c r="T145" s="26">
        <v>144.0</v>
      </c>
      <c r="U145" s="26" t="s">
        <v>82</v>
      </c>
      <c r="V145" s="93"/>
      <c r="W145" s="93"/>
      <c r="X145" s="93"/>
      <c r="Y145" s="93"/>
      <c r="Z145" s="93"/>
    </row>
    <row r="146">
      <c r="A146" s="26">
        <v>145.0</v>
      </c>
      <c r="B146" s="26">
        <v>3.208</v>
      </c>
      <c r="C146" s="26">
        <f t="shared" si="9"/>
        <v>0.802</v>
      </c>
      <c r="D146" s="26">
        <f t="shared" si="10"/>
        <v>4.01</v>
      </c>
      <c r="E146" s="26">
        <v>0.36</v>
      </c>
      <c r="F146" s="26"/>
      <c r="G146" s="26"/>
      <c r="H146" s="26"/>
      <c r="I146" s="26"/>
      <c r="J146" s="26"/>
      <c r="K146" s="26"/>
      <c r="L146" s="174">
        <f>E146*Prices!B$2</f>
        <v>39600</v>
      </c>
      <c r="M146" s="174">
        <f>F146*Prices!C$2</f>
        <v>0</v>
      </c>
      <c r="N146" s="174">
        <f>G146*Prices!D$2</f>
        <v>0</v>
      </c>
      <c r="O146" s="174">
        <f>H146*Prices!E$2</f>
        <v>0</v>
      </c>
      <c r="P146" s="174">
        <f t="shared" si="14"/>
        <v>0</v>
      </c>
      <c r="Q146" s="174">
        <f>D146*Prices!A$2</f>
        <v>71578.5</v>
      </c>
      <c r="R146" s="175">
        <f t="shared" si="11"/>
        <v>39600</v>
      </c>
      <c r="S146" s="174">
        <f t="shared" si="12"/>
        <v>111178.5</v>
      </c>
      <c r="T146" s="26">
        <v>145.0</v>
      </c>
      <c r="U146" s="26" t="s">
        <v>80</v>
      </c>
      <c r="V146" s="93" t="s">
        <v>81</v>
      </c>
      <c r="W146" s="93"/>
      <c r="X146" s="93"/>
      <c r="Y146" s="93"/>
      <c r="Z146" s="93"/>
    </row>
    <row r="147">
      <c r="A147" s="26">
        <v>146.0</v>
      </c>
      <c r="B147" s="26">
        <v>3.428</v>
      </c>
      <c r="C147" s="26">
        <f t="shared" si="9"/>
        <v>0.857</v>
      </c>
      <c r="D147" s="26">
        <f t="shared" si="10"/>
        <v>4.285</v>
      </c>
      <c r="E147" s="26">
        <v>0.51</v>
      </c>
      <c r="F147" s="26"/>
      <c r="G147" s="26"/>
      <c r="H147" s="26"/>
      <c r="I147" s="26"/>
      <c r="J147" s="26"/>
      <c r="K147" s="26"/>
      <c r="L147" s="174">
        <f>E147*Prices!B$2</f>
        <v>56100</v>
      </c>
      <c r="M147" s="174">
        <f>F147*Prices!C$2</f>
        <v>0</v>
      </c>
      <c r="N147" s="174">
        <f>G147*Prices!D$2</f>
        <v>0</v>
      </c>
      <c r="O147" s="174">
        <f>H147*Prices!E$2</f>
        <v>0</v>
      </c>
      <c r="P147" s="174">
        <f t="shared" si="14"/>
        <v>0</v>
      </c>
      <c r="Q147" s="174">
        <f>D147*Prices!A$2</f>
        <v>76487.25</v>
      </c>
      <c r="R147" s="175">
        <f t="shared" si="11"/>
        <v>56100</v>
      </c>
      <c r="S147" s="174">
        <f t="shared" si="12"/>
        <v>132587.25</v>
      </c>
      <c r="T147" s="26">
        <v>146.0</v>
      </c>
      <c r="U147" s="26" t="s">
        <v>82</v>
      </c>
      <c r="V147" s="93"/>
      <c r="W147" s="93"/>
      <c r="X147" s="93"/>
      <c r="Y147" s="93"/>
      <c r="Z147" s="93"/>
    </row>
    <row r="148">
      <c r="A148" s="26">
        <v>147.0</v>
      </c>
      <c r="B148" s="26">
        <v>3.594</v>
      </c>
      <c r="C148" s="26">
        <f t="shared" si="9"/>
        <v>0.8985</v>
      </c>
      <c r="D148" s="26">
        <f t="shared" si="10"/>
        <v>4.4925</v>
      </c>
      <c r="E148" s="26">
        <v>0.58</v>
      </c>
      <c r="F148" s="26"/>
      <c r="G148" s="26"/>
      <c r="H148" s="26"/>
      <c r="I148" s="26"/>
      <c r="J148" s="26"/>
      <c r="K148" s="26"/>
      <c r="L148" s="174">
        <f>E148*Prices!B$2</f>
        <v>63800</v>
      </c>
      <c r="M148" s="174">
        <f>F148*Prices!C$2</f>
        <v>0</v>
      </c>
      <c r="N148" s="174">
        <f>G148*Prices!D$2</f>
        <v>0</v>
      </c>
      <c r="O148" s="174">
        <f>H148*Prices!E$2</f>
        <v>0</v>
      </c>
      <c r="P148" s="174">
        <f t="shared" si="14"/>
        <v>0</v>
      </c>
      <c r="Q148" s="174">
        <f>D148*Prices!A$2</f>
        <v>80191.125</v>
      </c>
      <c r="R148" s="175">
        <f t="shared" si="11"/>
        <v>63800</v>
      </c>
      <c r="S148" s="174">
        <f t="shared" si="12"/>
        <v>143991.125</v>
      </c>
      <c r="T148" s="26">
        <v>147.0</v>
      </c>
      <c r="U148" s="26" t="s">
        <v>80</v>
      </c>
      <c r="V148" s="93" t="s">
        <v>81</v>
      </c>
      <c r="W148" s="93"/>
      <c r="X148" s="93"/>
      <c r="Y148" s="93"/>
      <c r="Z148" s="93"/>
    </row>
    <row r="149">
      <c r="A149" s="26">
        <v>148.0</v>
      </c>
      <c r="B149" s="26">
        <v>1.958</v>
      </c>
      <c r="C149" s="26">
        <f t="shared" si="9"/>
        <v>0.4895</v>
      </c>
      <c r="D149" s="26">
        <f t="shared" si="10"/>
        <v>2.4475</v>
      </c>
      <c r="E149" s="26">
        <v>0.21</v>
      </c>
      <c r="F149" s="26"/>
      <c r="G149" s="26"/>
      <c r="H149" s="26"/>
      <c r="I149" s="26"/>
      <c r="J149" s="26"/>
      <c r="K149" s="26"/>
      <c r="L149" s="174">
        <f>E149*Prices!B$2</f>
        <v>23100</v>
      </c>
      <c r="M149" s="174">
        <f>F149*Prices!C$2</f>
        <v>0</v>
      </c>
      <c r="N149" s="174">
        <f>G149*Prices!D$2</f>
        <v>0</v>
      </c>
      <c r="O149" s="174">
        <f>H149*Prices!E$2</f>
        <v>0</v>
      </c>
      <c r="P149" s="174">
        <f t="shared" si="14"/>
        <v>0</v>
      </c>
      <c r="Q149" s="174">
        <f>D149*Prices!A$2</f>
        <v>43687.875</v>
      </c>
      <c r="R149" s="175">
        <f t="shared" si="11"/>
        <v>23100</v>
      </c>
      <c r="S149" s="174">
        <f t="shared" si="12"/>
        <v>66787.875</v>
      </c>
      <c r="T149" s="26">
        <v>148.0</v>
      </c>
      <c r="U149" s="26" t="s">
        <v>82</v>
      </c>
      <c r="V149" s="93"/>
      <c r="W149" s="93"/>
      <c r="X149" s="93"/>
      <c r="Y149" s="93"/>
      <c r="Z149" s="93"/>
    </row>
    <row r="150">
      <c r="A150" s="26">
        <v>149.0</v>
      </c>
      <c r="B150" s="26">
        <v>3.172</v>
      </c>
      <c r="C150" s="26">
        <f t="shared" si="9"/>
        <v>0.793</v>
      </c>
      <c r="D150" s="26">
        <f t="shared" si="10"/>
        <v>3.965</v>
      </c>
      <c r="E150" s="26">
        <v>0.44</v>
      </c>
      <c r="F150" s="26"/>
      <c r="G150" s="26"/>
      <c r="H150" s="26"/>
      <c r="I150" s="26"/>
      <c r="J150" s="26"/>
      <c r="K150" s="26"/>
      <c r="L150" s="174">
        <f>E150*Prices!B$2</f>
        <v>48400</v>
      </c>
      <c r="M150" s="174">
        <f>F150*Prices!C$2</f>
        <v>0</v>
      </c>
      <c r="N150" s="174">
        <f>G150*Prices!D$2</f>
        <v>0</v>
      </c>
      <c r="O150" s="174">
        <f>H150*Prices!E$2</f>
        <v>0</v>
      </c>
      <c r="P150" s="174">
        <f t="shared" si="14"/>
        <v>0</v>
      </c>
      <c r="Q150" s="174">
        <f>D150*Prices!A$2</f>
        <v>70775.25</v>
      </c>
      <c r="R150" s="175">
        <f t="shared" si="11"/>
        <v>48400</v>
      </c>
      <c r="S150" s="174">
        <f t="shared" si="12"/>
        <v>119175.25</v>
      </c>
      <c r="T150" s="26">
        <v>149.0</v>
      </c>
      <c r="U150" s="26" t="s">
        <v>80</v>
      </c>
      <c r="V150" s="93" t="s">
        <v>81</v>
      </c>
      <c r="W150" s="93"/>
      <c r="X150" s="93"/>
      <c r="Y150" s="93"/>
      <c r="Z150" s="93"/>
    </row>
    <row r="151">
      <c r="A151" s="26">
        <v>150.0</v>
      </c>
      <c r="B151" s="26">
        <v>2.4</v>
      </c>
      <c r="C151" s="26">
        <f t="shared" si="9"/>
        <v>0.6</v>
      </c>
      <c r="D151" s="26">
        <f t="shared" si="10"/>
        <v>3</v>
      </c>
      <c r="E151" s="26">
        <v>0.3</v>
      </c>
      <c r="F151" s="26"/>
      <c r="G151" s="26"/>
      <c r="H151" s="26"/>
      <c r="I151" s="26"/>
      <c r="J151" s="26"/>
      <c r="K151" s="26"/>
      <c r="L151" s="174">
        <f>E151*Prices!B$2</f>
        <v>33000</v>
      </c>
      <c r="M151" s="174">
        <f>F151*Prices!C$2</f>
        <v>0</v>
      </c>
      <c r="N151" s="174">
        <f>G151*Prices!D$2</f>
        <v>0</v>
      </c>
      <c r="O151" s="174">
        <f>H151*Prices!E$2</f>
        <v>0</v>
      </c>
      <c r="P151" s="174">
        <f t="shared" si="14"/>
        <v>0</v>
      </c>
      <c r="Q151" s="174">
        <f>D151*Prices!A$2</f>
        <v>53550</v>
      </c>
      <c r="R151" s="175">
        <f t="shared" si="11"/>
        <v>33000</v>
      </c>
      <c r="S151" s="174">
        <f t="shared" si="12"/>
        <v>86550</v>
      </c>
      <c r="T151" s="26">
        <v>150.0</v>
      </c>
      <c r="U151" s="26" t="s">
        <v>82</v>
      </c>
      <c r="V151" s="93"/>
      <c r="W151" s="93"/>
      <c r="X151" s="93"/>
      <c r="Y151" s="93"/>
      <c r="Z151" s="93"/>
    </row>
    <row r="152">
      <c r="A152" s="26">
        <v>151.0</v>
      </c>
      <c r="B152" s="26">
        <v>2.17</v>
      </c>
      <c r="C152" s="26">
        <f t="shared" si="9"/>
        <v>0.5425</v>
      </c>
      <c r="D152" s="26">
        <f t="shared" si="10"/>
        <v>2.7125</v>
      </c>
      <c r="E152" s="26">
        <v>0.3</v>
      </c>
      <c r="F152" s="26"/>
      <c r="G152" s="26"/>
      <c r="H152" s="26"/>
      <c r="I152" s="26"/>
      <c r="J152" s="26"/>
      <c r="K152" s="26"/>
      <c r="L152" s="174">
        <f>E152*Prices!B$2</f>
        <v>33000</v>
      </c>
      <c r="M152" s="174">
        <f>F152*Prices!C$2</f>
        <v>0</v>
      </c>
      <c r="N152" s="174">
        <f>G152*Prices!D$2</f>
        <v>0</v>
      </c>
      <c r="O152" s="174">
        <f>H152*Prices!E$2</f>
        <v>0</v>
      </c>
      <c r="P152" s="174">
        <f t="shared" si="14"/>
        <v>0</v>
      </c>
      <c r="Q152" s="174">
        <f>D152*Prices!A$2</f>
        <v>48418.125</v>
      </c>
      <c r="R152" s="175">
        <f t="shared" si="11"/>
        <v>33000</v>
      </c>
      <c r="S152" s="174">
        <f t="shared" si="12"/>
        <v>81418.125</v>
      </c>
      <c r="T152" s="26">
        <v>151.0</v>
      </c>
      <c r="U152" s="26" t="s">
        <v>82</v>
      </c>
      <c r="V152" s="93"/>
      <c r="W152" s="93"/>
      <c r="X152" s="93"/>
      <c r="Y152" s="93"/>
      <c r="Z152" s="93"/>
    </row>
    <row r="153">
      <c r="A153" s="26">
        <v>152.0</v>
      </c>
      <c r="B153" s="26">
        <v>2.534</v>
      </c>
      <c r="C153" s="26">
        <f t="shared" si="9"/>
        <v>0.6335</v>
      </c>
      <c r="D153" s="26">
        <f t="shared" si="10"/>
        <v>3.1675</v>
      </c>
      <c r="E153" s="26">
        <v>0.33</v>
      </c>
      <c r="F153" s="26"/>
      <c r="G153" s="26"/>
      <c r="H153" s="26"/>
      <c r="I153" s="26"/>
      <c r="J153" s="26"/>
      <c r="K153" s="26"/>
      <c r="L153" s="174">
        <f>E153*Prices!B$2</f>
        <v>36300</v>
      </c>
      <c r="M153" s="174">
        <f>F153*Prices!C$2</f>
        <v>0</v>
      </c>
      <c r="N153" s="174">
        <f>G153*Prices!D$2</f>
        <v>0</v>
      </c>
      <c r="O153" s="174">
        <f>H153*Prices!E$2</f>
        <v>0</v>
      </c>
      <c r="P153" s="174">
        <f t="shared" si="14"/>
        <v>0</v>
      </c>
      <c r="Q153" s="174">
        <f>D153*Prices!A$2</f>
        <v>56539.875</v>
      </c>
      <c r="R153" s="175">
        <f t="shared" si="11"/>
        <v>36300</v>
      </c>
      <c r="S153" s="174">
        <f t="shared" si="12"/>
        <v>92839.875</v>
      </c>
      <c r="T153" s="26">
        <v>152.0</v>
      </c>
      <c r="U153" s="93" t="s">
        <v>82</v>
      </c>
      <c r="V153" s="93"/>
      <c r="W153" s="93"/>
      <c r="X153" s="93"/>
      <c r="Y153" s="93"/>
      <c r="Z153" s="93"/>
    </row>
    <row r="154">
      <c r="A154" s="26">
        <v>153.0</v>
      </c>
      <c r="B154" s="26">
        <v>3.014</v>
      </c>
      <c r="C154" s="26">
        <f t="shared" si="9"/>
        <v>0.7535</v>
      </c>
      <c r="D154" s="26">
        <f t="shared" si="10"/>
        <v>3.7675</v>
      </c>
      <c r="E154" s="26">
        <v>0.43</v>
      </c>
      <c r="F154" s="26"/>
      <c r="G154" s="26"/>
      <c r="H154" s="26"/>
      <c r="I154" s="26"/>
      <c r="J154" s="26"/>
      <c r="K154" s="26"/>
      <c r="L154" s="174">
        <f>E154*Prices!B$2</f>
        <v>47300</v>
      </c>
      <c r="M154" s="174">
        <f>F154*Prices!C$2</f>
        <v>0</v>
      </c>
      <c r="N154" s="174">
        <f>G154*Prices!D$2</f>
        <v>0</v>
      </c>
      <c r="O154" s="174">
        <f>H154*Prices!E$2</f>
        <v>0</v>
      </c>
      <c r="P154" s="174">
        <f t="shared" si="14"/>
        <v>0</v>
      </c>
      <c r="Q154" s="174">
        <f>D154*Prices!A$2</f>
        <v>67249.875</v>
      </c>
      <c r="R154" s="175">
        <f t="shared" si="11"/>
        <v>47300</v>
      </c>
      <c r="S154" s="174">
        <f t="shared" si="12"/>
        <v>114549.875</v>
      </c>
      <c r="T154" s="26">
        <v>153.0</v>
      </c>
      <c r="U154" s="26" t="s">
        <v>82</v>
      </c>
      <c r="V154" s="93"/>
      <c r="W154" s="93"/>
      <c r="X154" s="93"/>
      <c r="Y154" s="93"/>
      <c r="Z154" s="93"/>
    </row>
    <row r="155">
      <c r="A155" s="26">
        <v>154.0</v>
      </c>
      <c r="B155" s="26">
        <v>1.674</v>
      </c>
      <c r="C155" s="26">
        <f t="shared" si="9"/>
        <v>0.4185</v>
      </c>
      <c r="D155" s="26">
        <f t="shared" si="10"/>
        <v>2.0925</v>
      </c>
      <c r="E155" s="26">
        <v>0.48</v>
      </c>
      <c r="F155" s="26"/>
      <c r="G155" s="26"/>
      <c r="H155" s="26"/>
      <c r="I155" s="26"/>
      <c r="J155" s="26"/>
      <c r="K155" s="26"/>
      <c r="L155" s="174">
        <f>E155*Prices!B$2</f>
        <v>52800</v>
      </c>
      <c r="M155" s="174">
        <f>F155*Prices!C$2</f>
        <v>0</v>
      </c>
      <c r="N155" s="174">
        <f>G155*Prices!D$2</f>
        <v>0</v>
      </c>
      <c r="O155" s="174">
        <f>H155*Prices!E$2</f>
        <v>0</v>
      </c>
      <c r="P155" s="174">
        <f t="shared" si="14"/>
        <v>0</v>
      </c>
      <c r="Q155" s="174">
        <f>D155*Prices!A$2</f>
        <v>37351.125</v>
      </c>
      <c r="R155" s="175">
        <f t="shared" si="11"/>
        <v>52800</v>
      </c>
      <c r="S155" s="174">
        <f t="shared" si="12"/>
        <v>90151.125</v>
      </c>
      <c r="T155" s="26">
        <v>154.0</v>
      </c>
      <c r="U155" s="26" t="s">
        <v>80</v>
      </c>
      <c r="V155" s="93" t="s">
        <v>81</v>
      </c>
      <c r="W155" s="93"/>
      <c r="X155" s="93"/>
      <c r="Y155" s="93"/>
      <c r="Z155" s="93"/>
    </row>
    <row r="156">
      <c r="A156" s="26">
        <v>155.0</v>
      </c>
      <c r="B156" s="26">
        <v>3.102</v>
      </c>
      <c r="C156" s="26">
        <f t="shared" si="9"/>
        <v>0.7755</v>
      </c>
      <c r="D156" s="26">
        <f t="shared" si="10"/>
        <v>3.8775</v>
      </c>
      <c r="E156" s="26">
        <v>0.39</v>
      </c>
      <c r="F156" s="26"/>
      <c r="G156" s="26"/>
      <c r="H156" s="26"/>
      <c r="I156" s="26"/>
      <c r="J156" s="26"/>
      <c r="K156" s="26"/>
      <c r="L156" s="174">
        <f>E156*Prices!B$2</f>
        <v>42900</v>
      </c>
      <c r="M156" s="174">
        <f>F156*Prices!C$2</f>
        <v>0</v>
      </c>
      <c r="N156" s="174">
        <f>G156*Prices!D$2</f>
        <v>0</v>
      </c>
      <c r="O156" s="174">
        <f>H156*Prices!E$2</f>
        <v>0</v>
      </c>
      <c r="P156" s="174">
        <f t="shared" si="14"/>
        <v>0</v>
      </c>
      <c r="Q156" s="174">
        <f>D156*Prices!A$2</f>
        <v>69213.375</v>
      </c>
      <c r="R156" s="175">
        <f t="shared" si="11"/>
        <v>42900</v>
      </c>
      <c r="S156" s="174">
        <f t="shared" si="12"/>
        <v>112113.375</v>
      </c>
      <c r="T156" s="26">
        <v>155.0</v>
      </c>
      <c r="U156" s="26" t="s">
        <v>80</v>
      </c>
      <c r="V156" s="93" t="s">
        <v>81</v>
      </c>
      <c r="W156" s="93"/>
      <c r="X156" s="93"/>
      <c r="Y156" s="93"/>
      <c r="Z156" s="93"/>
    </row>
    <row r="157">
      <c r="A157" s="26">
        <v>156.0</v>
      </c>
      <c r="B157" s="26">
        <v>2.828</v>
      </c>
      <c r="C157" s="26">
        <f t="shared" si="9"/>
        <v>0.707</v>
      </c>
      <c r="D157" s="26">
        <f t="shared" si="10"/>
        <v>3.535</v>
      </c>
      <c r="E157" s="26">
        <v>0.46</v>
      </c>
      <c r="F157" s="26"/>
      <c r="G157" s="26"/>
      <c r="H157" s="26"/>
      <c r="I157" s="26"/>
      <c r="J157" s="26"/>
      <c r="K157" s="26"/>
      <c r="L157" s="174">
        <f>E157*Prices!B$2</f>
        <v>50600</v>
      </c>
      <c r="M157" s="174">
        <f>F157*Prices!C$2</f>
        <v>0</v>
      </c>
      <c r="N157" s="174">
        <f>G157*Prices!D$2</f>
        <v>0</v>
      </c>
      <c r="O157" s="174">
        <f>H157*Prices!E$2</f>
        <v>0</v>
      </c>
      <c r="P157" s="174">
        <f t="shared" si="14"/>
        <v>0</v>
      </c>
      <c r="Q157" s="174">
        <f>D157*Prices!A$2</f>
        <v>63099.75</v>
      </c>
      <c r="R157" s="175">
        <f t="shared" si="11"/>
        <v>50600</v>
      </c>
      <c r="S157" s="174">
        <f t="shared" si="12"/>
        <v>113699.75</v>
      </c>
      <c r="T157" s="26">
        <v>156.0</v>
      </c>
      <c r="U157" s="26" t="s">
        <v>82</v>
      </c>
      <c r="V157" s="93"/>
      <c r="W157" s="93"/>
      <c r="X157" s="93"/>
      <c r="Y157" s="93"/>
      <c r="Z157" s="93"/>
    </row>
    <row r="158">
      <c r="A158" s="26">
        <v>157.0</v>
      </c>
      <c r="B158" s="26">
        <v>2.408</v>
      </c>
      <c r="C158" s="26">
        <f t="shared" si="9"/>
        <v>0.602</v>
      </c>
      <c r="D158" s="26">
        <f t="shared" si="10"/>
        <v>3.01</v>
      </c>
      <c r="E158" s="26">
        <v>0.41</v>
      </c>
      <c r="F158" s="26"/>
      <c r="G158" s="26"/>
      <c r="H158" s="26"/>
      <c r="I158" s="26"/>
      <c r="J158" s="26"/>
      <c r="K158" s="26"/>
      <c r="L158" s="174">
        <f>E158*Prices!B$2</f>
        <v>45100</v>
      </c>
      <c r="M158" s="174">
        <f>F158*Prices!C$2</f>
        <v>0</v>
      </c>
      <c r="N158" s="174">
        <f>G158*Prices!D$2</f>
        <v>0</v>
      </c>
      <c r="O158" s="174">
        <f>H158*Prices!E$2</f>
        <v>0</v>
      </c>
      <c r="P158" s="174">
        <f t="shared" si="14"/>
        <v>0</v>
      </c>
      <c r="Q158" s="174">
        <f>D158*Prices!A$2</f>
        <v>53728.5</v>
      </c>
      <c r="R158" s="175">
        <f t="shared" si="11"/>
        <v>45100</v>
      </c>
      <c r="S158" s="174">
        <f t="shared" si="12"/>
        <v>98828.5</v>
      </c>
      <c r="T158" s="26">
        <v>157.0</v>
      </c>
      <c r="U158" s="26" t="s">
        <v>80</v>
      </c>
      <c r="V158" s="93" t="s">
        <v>81</v>
      </c>
      <c r="W158" s="93"/>
      <c r="X158" s="93"/>
      <c r="Y158" s="93"/>
      <c r="Z158" s="93"/>
    </row>
    <row r="159">
      <c r="A159" s="26">
        <v>158.0</v>
      </c>
      <c r="B159" s="26">
        <v>2.31</v>
      </c>
      <c r="C159" s="26">
        <f t="shared" si="9"/>
        <v>0.5775</v>
      </c>
      <c r="D159" s="26">
        <f t="shared" si="10"/>
        <v>2.8875</v>
      </c>
      <c r="E159" s="26">
        <f>0.25+0.1</f>
        <v>0.35</v>
      </c>
      <c r="F159" s="26"/>
      <c r="G159" s="26"/>
      <c r="H159" s="26"/>
      <c r="I159" s="26"/>
      <c r="J159" s="26"/>
      <c r="K159" s="26"/>
      <c r="L159" s="174">
        <f>E159*Prices!B$2</f>
        <v>38500</v>
      </c>
      <c r="M159" s="174">
        <f>F159*Prices!C$2</f>
        <v>0</v>
      </c>
      <c r="N159" s="174">
        <f>G159*Prices!D$2</f>
        <v>0</v>
      </c>
      <c r="O159" s="174">
        <f>H159*Prices!E$2</f>
        <v>0</v>
      </c>
      <c r="P159" s="174">
        <f t="shared" si="14"/>
        <v>0</v>
      </c>
      <c r="Q159" s="174">
        <f>D159*Prices!A$2</f>
        <v>51541.875</v>
      </c>
      <c r="R159" s="175">
        <f t="shared" si="11"/>
        <v>38500</v>
      </c>
      <c r="S159" s="174">
        <f t="shared" si="12"/>
        <v>90041.875</v>
      </c>
      <c r="T159" s="26">
        <v>158.0</v>
      </c>
      <c r="U159" s="26" t="s">
        <v>80</v>
      </c>
      <c r="V159" s="93" t="s">
        <v>81</v>
      </c>
      <c r="W159" s="93"/>
      <c r="X159" s="93"/>
      <c r="Y159" s="93"/>
      <c r="Z159" s="93"/>
    </row>
    <row r="160">
      <c r="A160" s="26">
        <v>159.0</v>
      </c>
      <c r="B160" s="26">
        <v>2.524</v>
      </c>
      <c r="C160" s="26">
        <f t="shared" si="9"/>
        <v>0.631</v>
      </c>
      <c r="D160" s="26">
        <f t="shared" si="10"/>
        <v>3.155</v>
      </c>
      <c r="E160" s="26">
        <v>0.53</v>
      </c>
      <c r="F160" s="26"/>
      <c r="G160" s="26"/>
      <c r="H160" s="26"/>
      <c r="I160" s="26"/>
      <c r="J160" s="26"/>
      <c r="K160" s="26"/>
      <c r="L160" s="174">
        <f>E160*Prices!B$2</f>
        <v>58300</v>
      </c>
      <c r="M160" s="174">
        <f>F160*Prices!C$2</f>
        <v>0</v>
      </c>
      <c r="N160" s="174">
        <f>G160*Prices!D$2</f>
        <v>0</v>
      </c>
      <c r="O160" s="174">
        <f>H160*Prices!E$2</f>
        <v>0</v>
      </c>
      <c r="P160" s="174">
        <f t="shared" si="14"/>
        <v>0</v>
      </c>
      <c r="Q160" s="174">
        <f>D160*Prices!A$2</f>
        <v>56316.75</v>
      </c>
      <c r="R160" s="175">
        <f t="shared" si="11"/>
        <v>58300</v>
      </c>
      <c r="S160" s="174">
        <f t="shared" si="12"/>
        <v>114616.75</v>
      </c>
      <c r="T160" s="26">
        <v>159.0</v>
      </c>
      <c r="U160" s="26" t="s">
        <v>80</v>
      </c>
      <c r="V160" s="93" t="s">
        <v>81</v>
      </c>
      <c r="W160" s="93"/>
      <c r="X160" s="93"/>
      <c r="Y160" s="93"/>
      <c r="Z160" s="93"/>
    </row>
    <row r="161">
      <c r="A161" s="26">
        <v>160.0</v>
      </c>
      <c r="B161" s="26">
        <v>2.232</v>
      </c>
      <c r="C161" s="26">
        <f t="shared" si="9"/>
        <v>0.558</v>
      </c>
      <c r="D161" s="26">
        <f t="shared" si="10"/>
        <v>2.79</v>
      </c>
      <c r="E161" s="26">
        <v>0.49</v>
      </c>
      <c r="F161" s="26"/>
      <c r="G161" s="26"/>
      <c r="H161" s="26"/>
      <c r="I161" s="26"/>
      <c r="J161" s="26"/>
      <c r="K161" s="26"/>
      <c r="L161" s="174">
        <f>E161*Prices!B$2</f>
        <v>53900</v>
      </c>
      <c r="M161" s="174">
        <f>F161*Prices!C$2</f>
        <v>0</v>
      </c>
      <c r="N161" s="174">
        <f>G161*Prices!D$2</f>
        <v>0</v>
      </c>
      <c r="O161" s="174">
        <f>H161*Prices!E$2</f>
        <v>0</v>
      </c>
      <c r="P161" s="174">
        <f t="shared" si="14"/>
        <v>0</v>
      </c>
      <c r="Q161" s="174">
        <f>D161*Prices!A$2</f>
        <v>49801.5</v>
      </c>
      <c r="R161" s="175">
        <f t="shared" si="11"/>
        <v>53900</v>
      </c>
      <c r="S161" s="174">
        <f t="shared" si="12"/>
        <v>103701.5</v>
      </c>
      <c r="T161" s="26">
        <v>160.0</v>
      </c>
      <c r="U161" s="26" t="s">
        <v>80</v>
      </c>
      <c r="V161" s="93" t="s">
        <v>81</v>
      </c>
      <c r="W161" s="93"/>
      <c r="X161" s="93"/>
      <c r="Y161" s="93"/>
      <c r="Z161" s="93"/>
    </row>
    <row r="162">
      <c r="A162" s="26">
        <v>161.0</v>
      </c>
      <c r="B162" s="26">
        <v>1.812</v>
      </c>
      <c r="C162" s="26">
        <f t="shared" si="9"/>
        <v>0.453</v>
      </c>
      <c r="D162" s="26">
        <f t="shared" si="10"/>
        <v>2.265</v>
      </c>
      <c r="E162" s="26">
        <v>0.21</v>
      </c>
      <c r="F162" s="26"/>
      <c r="G162" s="26"/>
      <c r="H162" s="26"/>
      <c r="I162" s="26"/>
      <c r="J162" s="26"/>
      <c r="K162" s="26">
        <v>5.58</v>
      </c>
      <c r="L162" s="174">
        <f>E162*Prices!B$2</f>
        <v>23100</v>
      </c>
      <c r="M162" s="174">
        <f>F162*Prices!C$2</f>
        <v>0</v>
      </c>
      <c r="N162" s="174">
        <f>G162*Prices!D$2</f>
        <v>0</v>
      </c>
      <c r="O162" s="174">
        <f>H162*Prices!E$2</f>
        <v>0</v>
      </c>
      <c r="P162" s="174">
        <f t="shared" ref="P162:P163" si="15">I162*2000+J162*10000+K162*250</f>
        <v>1395</v>
      </c>
      <c r="Q162" s="174">
        <f>D162*Prices!A$2</f>
        <v>40430.25</v>
      </c>
      <c r="R162" s="175">
        <f t="shared" si="11"/>
        <v>23100</v>
      </c>
      <c r="S162" s="174">
        <f t="shared" si="12"/>
        <v>64925.25</v>
      </c>
      <c r="T162" s="26">
        <v>161.0</v>
      </c>
      <c r="U162" s="26" t="s">
        <v>82</v>
      </c>
      <c r="V162" s="93"/>
      <c r="W162" s="93"/>
      <c r="X162" s="93"/>
      <c r="Y162" s="93"/>
      <c r="Z162" s="93"/>
    </row>
    <row r="163">
      <c r="A163" s="26">
        <v>162.0</v>
      </c>
      <c r="B163" s="26">
        <v>2.148</v>
      </c>
      <c r="C163" s="26">
        <f t="shared" si="9"/>
        <v>0.537</v>
      </c>
      <c r="D163" s="26">
        <f t="shared" si="10"/>
        <v>2.685</v>
      </c>
      <c r="E163" s="26">
        <v>0.25</v>
      </c>
      <c r="F163" s="26"/>
      <c r="G163" s="26"/>
      <c r="H163" s="26"/>
      <c r="I163" s="26"/>
      <c r="J163" s="26"/>
      <c r="K163" s="26">
        <v>7.16</v>
      </c>
      <c r="L163" s="174">
        <f>E163*Prices!B$2</f>
        <v>27500</v>
      </c>
      <c r="M163" s="174">
        <f>F163*Prices!C$2</f>
        <v>0</v>
      </c>
      <c r="N163" s="174">
        <f>G163*Prices!D$2</f>
        <v>0</v>
      </c>
      <c r="O163" s="174">
        <f>H163*Prices!E$2</f>
        <v>0</v>
      </c>
      <c r="P163" s="174">
        <f t="shared" si="15"/>
        <v>1790</v>
      </c>
      <c r="Q163" s="174">
        <f>D163*Prices!A$2</f>
        <v>47927.25</v>
      </c>
      <c r="R163" s="175">
        <f t="shared" si="11"/>
        <v>27500</v>
      </c>
      <c r="S163" s="174">
        <f t="shared" si="12"/>
        <v>77217.25</v>
      </c>
      <c r="T163" s="26">
        <v>162.0</v>
      </c>
      <c r="U163" s="26" t="s">
        <v>82</v>
      </c>
      <c r="V163" s="93"/>
      <c r="W163" s="93"/>
      <c r="X163" s="93"/>
      <c r="Y163" s="93"/>
      <c r="Z163" s="93"/>
    </row>
    <row r="164">
      <c r="A164" s="26">
        <v>163.0</v>
      </c>
      <c r="B164" s="26">
        <v>2.754</v>
      </c>
      <c r="C164" s="26">
        <f t="shared" si="9"/>
        <v>0.6885</v>
      </c>
      <c r="D164" s="26">
        <f t="shared" si="10"/>
        <v>3.4425</v>
      </c>
      <c r="E164" s="26">
        <v>0.53</v>
      </c>
      <c r="F164" s="26"/>
      <c r="G164" s="26"/>
      <c r="H164" s="26"/>
      <c r="I164" s="26"/>
      <c r="J164" s="26"/>
      <c r="K164" s="26">
        <v>1.75</v>
      </c>
      <c r="L164" s="174">
        <f>E164*Prices!B$2</f>
        <v>58300</v>
      </c>
      <c r="M164" s="174">
        <f>F164*Prices!C$2</f>
        <v>0</v>
      </c>
      <c r="N164" s="174">
        <f>G164*Prices!D$2</f>
        <v>0</v>
      </c>
      <c r="O164" s="174">
        <f>H164*Prices!E$2</f>
        <v>0</v>
      </c>
      <c r="P164" s="174">
        <f>I164*2000+J164*10000+K164*3000</f>
        <v>5250</v>
      </c>
      <c r="Q164" s="174">
        <f>D164*Prices!A$2</f>
        <v>61448.625</v>
      </c>
      <c r="R164" s="175">
        <f t="shared" si="11"/>
        <v>58300</v>
      </c>
      <c r="S164" s="174">
        <f t="shared" si="12"/>
        <v>124998.625</v>
      </c>
      <c r="T164" s="26">
        <v>163.0</v>
      </c>
      <c r="U164" s="26" t="s">
        <v>82</v>
      </c>
      <c r="V164" s="93"/>
      <c r="W164" s="93"/>
      <c r="X164" s="93"/>
      <c r="Y164" s="93"/>
      <c r="Z164" s="93"/>
    </row>
    <row r="165">
      <c r="A165" s="26">
        <v>164.0</v>
      </c>
      <c r="B165" s="26">
        <v>1.832</v>
      </c>
      <c r="C165" s="26">
        <f t="shared" si="9"/>
        <v>0.458</v>
      </c>
      <c r="D165" s="26">
        <f t="shared" si="10"/>
        <v>2.29</v>
      </c>
      <c r="E165" s="26">
        <v>0.45</v>
      </c>
      <c r="F165" s="26"/>
      <c r="G165" s="26"/>
      <c r="H165" s="26"/>
      <c r="I165" s="26"/>
      <c r="J165" s="26"/>
      <c r="K165" s="26">
        <v>1.14</v>
      </c>
      <c r="L165" s="174">
        <f>E165*Prices!B$2</f>
        <v>49500</v>
      </c>
      <c r="M165" s="174">
        <f>F165*Prices!C$2</f>
        <v>0</v>
      </c>
      <c r="N165" s="174">
        <f>G165*Prices!D$2</f>
        <v>0</v>
      </c>
      <c r="O165" s="174">
        <f>H165*Prices!E$2</f>
        <v>0</v>
      </c>
      <c r="P165" s="174">
        <f t="shared" ref="P165:P180" si="16">I165*2000+J165*10000+K165*1800</f>
        <v>2052</v>
      </c>
      <c r="Q165" s="174">
        <f>D165*Prices!A$2</f>
        <v>40876.5</v>
      </c>
      <c r="R165" s="175">
        <f t="shared" si="11"/>
        <v>49500</v>
      </c>
      <c r="S165" s="174">
        <f t="shared" si="12"/>
        <v>92428.5</v>
      </c>
      <c r="T165" s="26">
        <v>164.0</v>
      </c>
      <c r="U165" s="26" t="s">
        <v>80</v>
      </c>
      <c r="V165" s="93" t="s">
        <v>81</v>
      </c>
      <c r="W165" s="93"/>
      <c r="X165" s="93"/>
      <c r="Y165" s="93"/>
      <c r="Z165" s="93"/>
    </row>
    <row r="166">
      <c r="A166" s="26">
        <v>165.0</v>
      </c>
      <c r="B166" s="26">
        <v>2.474</v>
      </c>
      <c r="C166" s="26">
        <f t="shared" si="9"/>
        <v>0.6185</v>
      </c>
      <c r="D166" s="26">
        <f t="shared" si="10"/>
        <v>3.0925</v>
      </c>
      <c r="E166" s="26">
        <v>0.48</v>
      </c>
      <c r="F166" s="26"/>
      <c r="G166" s="26"/>
      <c r="H166" s="26"/>
      <c r="I166" s="26"/>
      <c r="J166" s="26"/>
      <c r="K166" s="26"/>
      <c r="L166" s="174">
        <f>E166*Prices!B$2</f>
        <v>52800</v>
      </c>
      <c r="M166" s="174">
        <f>F166*Prices!C$2</f>
        <v>0</v>
      </c>
      <c r="N166" s="174">
        <f>G166*Prices!D$2</f>
        <v>0</v>
      </c>
      <c r="O166" s="174">
        <f>H166*Prices!E$2</f>
        <v>0</v>
      </c>
      <c r="P166" s="174">
        <f t="shared" si="16"/>
        <v>0</v>
      </c>
      <c r="Q166" s="174">
        <f>D166*Prices!A$2</f>
        <v>55201.125</v>
      </c>
      <c r="R166" s="175">
        <f t="shared" si="11"/>
        <v>52800</v>
      </c>
      <c r="S166" s="174">
        <f t="shared" si="12"/>
        <v>108001.125</v>
      </c>
      <c r="T166" s="26">
        <v>165.0</v>
      </c>
      <c r="U166" s="26" t="s">
        <v>80</v>
      </c>
      <c r="V166" s="93" t="s">
        <v>81</v>
      </c>
      <c r="W166" s="93"/>
      <c r="X166" s="93"/>
      <c r="Y166" s="93"/>
      <c r="Z166" s="93"/>
    </row>
    <row r="167">
      <c r="A167" s="26">
        <v>166.0</v>
      </c>
      <c r="B167" s="26">
        <v>2.364</v>
      </c>
      <c r="C167" s="26">
        <f t="shared" si="9"/>
        <v>0.591</v>
      </c>
      <c r="D167" s="26">
        <f t="shared" si="10"/>
        <v>2.955</v>
      </c>
      <c r="E167" s="26">
        <v>0.73</v>
      </c>
      <c r="F167" s="26"/>
      <c r="G167" s="26"/>
      <c r="H167" s="26"/>
      <c r="I167" s="26"/>
      <c r="J167" s="26"/>
      <c r="K167" s="26"/>
      <c r="L167" s="174">
        <f>E167*Prices!B$2</f>
        <v>80300</v>
      </c>
      <c r="M167" s="174">
        <f>F167*Prices!C$2</f>
        <v>0</v>
      </c>
      <c r="N167" s="174">
        <f>G167*Prices!D$2</f>
        <v>0</v>
      </c>
      <c r="O167" s="174">
        <f>H167*Prices!E$2</f>
        <v>0</v>
      </c>
      <c r="P167" s="174">
        <f t="shared" si="16"/>
        <v>0</v>
      </c>
      <c r="Q167" s="174">
        <f>D167*Prices!A$2</f>
        <v>52746.75</v>
      </c>
      <c r="R167" s="175">
        <f t="shared" si="11"/>
        <v>80300</v>
      </c>
      <c r="S167" s="174">
        <f t="shared" si="12"/>
        <v>133046.75</v>
      </c>
      <c r="T167" s="26">
        <v>166.0</v>
      </c>
      <c r="U167" s="26" t="s">
        <v>80</v>
      </c>
      <c r="V167" s="93" t="s">
        <v>81</v>
      </c>
      <c r="W167" s="93"/>
      <c r="X167" s="93"/>
      <c r="Y167" s="93"/>
      <c r="Z167" s="93"/>
    </row>
    <row r="168">
      <c r="A168" s="26">
        <v>167.0</v>
      </c>
      <c r="B168" s="26">
        <v>0.888</v>
      </c>
      <c r="C168" s="26">
        <f t="shared" si="9"/>
        <v>0.222</v>
      </c>
      <c r="D168" s="26">
        <f t="shared" si="10"/>
        <v>1.11</v>
      </c>
      <c r="E168" s="26">
        <v>0.11</v>
      </c>
      <c r="F168" s="26"/>
      <c r="G168" s="26"/>
      <c r="H168" s="26"/>
      <c r="I168" s="26"/>
      <c r="J168" s="26"/>
      <c r="K168" s="26"/>
      <c r="L168" s="174">
        <f>E168*Prices!B$2</f>
        <v>12100</v>
      </c>
      <c r="M168" s="174">
        <f>F168*Prices!C$2</f>
        <v>0</v>
      </c>
      <c r="N168" s="174">
        <f>G168*Prices!D$2</f>
        <v>0</v>
      </c>
      <c r="O168" s="174">
        <f>H168*Prices!E$2</f>
        <v>0</v>
      </c>
      <c r="P168" s="174">
        <f t="shared" si="16"/>
        <v>0</v>
      </c>
      <c r="Q168" s="174">
        <f>D168*Prices!A$2</f>
        <v>19813.5</v>
      </c>
      <c r="R168" s="175">
        <f t="shared" si="11"/>
        <v>12100</v>
      </c>
      <c r="S168" s="174">
        <f t="shared" si="12"/>
        <v>31913.5</v>
      </c>
      <c r="T168" s="26">
        <v>167.0</v>
      </c>
      <c r="U168" s="26" t="s">
        <v>82</v>
      </c>
      <c r="V168" s="93"/>
      <c r="W168" s="93"/>
      <c r="X168" s="93"/>
      <c r="Y168" s="93"/>
      <c r="Z168" s="93"/>
    </row>
    <row r="169">
      <c r="A169" s="26">
        <v>168.0</v>
      </c>
      <c r="B169" s="26">
        <v>1.2</v>
      </c>
      <c r="C169" s="26">
        <f t="shared" si="9"/>
        <v>0.3</v>
      </c>
      <c r="D169" s="26">
        <f t="shared" si="10"/>
        <v>1.5</v>
      </c>
      <c r="E169" s="26">
        <v>0.2</v>
      </c>
      <c r="F169" s="26"/>
      <c r="G169" s="26"/>
      <c r="H169" s="26"/>
      <c r="I169" s="26"/>
      <c r="J169" s="26"/>
      <c r="K169" s="26"/>
      <c r="L169" s="174">
        <f>E169*Prices!B$2</f>
        <v>22000</v>
      </c>
      <c r="M169" s="174">
        <f>F169*Prices!C$2</f>
        <v>0</v>
      </c>
      <c r="N169" s="174">
        <f>G169*Prices!D$2</f>
        <v>0</v>
      </c>
      <c r="O169" s="174">
        <f>H169*Prices!E$2</f>
        <v>0</v>
      </c>
      <c r="P169" s="174">
        <f t="shared" si="16"/>
        <v>0</v>
      </c>
      <c r="Q169" s="174">
        <f>D169*Prices!A$2</f>
        <v>26775</v>
      </c>
      <c r="R169" s="175">
        <f t="shared" si="11"/>
        <v>22000</v>
      </c>
      <c r="S169" s="174">
        <f t="shared" si="12"/>
        <v>48775</v>
      </c>
      <c r="T169" s="26">
        <v>168.0</v>
      </c>
      <c r="U169" s="26" t="s">
        <v>82</v>
      </c>
      <c r="V169" s="93"/>
      <c r="W169" s="93"/>
      <c r="X169" s="93"/>
      <c r="Y169" s="93"/>
      <c r="Z169" s="93"/>
    </row>
    <row r="170">
      <c r="A170" s="26">
        <v>169.0</v>
      </c>
      <c r="B170" s="26">
        <v>2.91</v>
      </c>
      <c r="C170" s="26">
        <f t="shared" si="9"/>
        <v>0.7275</v>
      </c>
      <c r="D170" s="26">
        <f t="shared" si="10"/>
        <v>3.6375</v>
      </c>
      <c r="E170" s="26">
        <v>0.52</v>
      </c>
      <c r="F170" s="26"/>
      <c r="G170" s="26"/>
      <c r="H170" s="26"/>
      <c r="I170" s="26"/>
      <c r="J170" s="26">
        <v>2.33</v>
      </c>
      <c r="K170" s="26"/>
      <c r="L170" s="174">
        <f>E170*Prices!B$2</f>
        <v>57200</v>
      </c>
      <c r="M170" s="174">
        <f>F170*Prices!C$2</f>
        <v>0</v>
      </c>
      <c r="N170" s="174">
        <f>G170*Prices!D$2</f>
        <v>0</v>
      </c>
      <c r="O170" s="174">
        <f>H170*Prices!E$2</f>
        <v>0</v>
      </c>
      <c r="P170" s="174">
        <f t="shared" si="16"/>
        <v>23300</v>
      </c>
      <c r="Q170" s="174">
        <f>D170*Prices!A$2</f>
        <v>64929.375</v>
      </c>
      <c r="R170" s="175">
        <f t="shared" si="11"/>
        <v>57200</v>
      </c>
      <c r="S170" s="174">
        <f t="shared" si="12"/>
        <v>145429.375</v>
      </c>
      <c r="T170" s="26">
        <v>169.0</v>
      </c>
      <c r="U170" s="26" t="s">
        <v>82</v>
      </c>
      <c r="V170" s="93"/>
      <c r="W170" s="93"/>
      <c r="X170" s="93"/>
      <c r="Y170" s="93"/>
      <c r="Z170" s="93"/>
    </row>
    <row r="171">
      <c r="A171" s="26">
        <v>170.0</v>
      </c>
      <c r="B171" s="26">
        <v>2.244</v>
      </c>
      <c r="C171" s="26">
        <f t="shared" si="9"/>
        <v>0.561</v>
      </c>
      <c r="D171" s="26">
        <f t="shared" si="10"/>
        <v>2.805</v>
      </c>
      <c r="E171" s="26">
        <v>0.05</v>
      </c>
      <c r="F171" s="26">
        <v>0.83</v>
      </c>
      <c r="G171" s="93"/>
      <c r="H171" s="93"/>
      <c r="I171" s="93"/>
      <c r="J171" s="93"/>
      <c r="K171" s="93"/>
      <c r="L171" s="174">
        <f>E171*Prices!B$2</f>
        <v>5500</v>
      </c>
      <c r="M171" s="174">
        <f>F171*Prices!C$2</f>
        <v>132800</v>
      </c>
      <c r="N171" s="174">
        <f>G171*Prices!D$2</f>
        <v>0</v>
      </c>
      <c r="O171" s="174">
        <f>H171*Prices!E$2</f>
        <v>0</v>
      </c>
      <c r="P171" s="174">
        <f t="shared" si="16"/>
        <v>0</v>
      </c>
      <c r="Q171" s="174">
        <f>D171*Prices!A$2</f>
        <v>50069.25</v>
      </c>
      <c r="R171" s="175">
        <f t="shared" si="11"/>
        <v>138300</v>
      </c>
      <c r="S171" s="174">
        <f t="shared" si="12"/>
        <v>188369.25</v>
      </c>
      <c r="T171" s="26">
        <v>170.0</v>
      </c>
      <c r="U171" s="26" t="s">
        <v>80</v>
      </c>
      <c r="V171" s="93" t="s">
        <v>81</v>
      </c>
      <c r="W171" s="93"/>
      <c r="X171" s="93"/>
      <c r="Y171" s="93"/>
      <c r="Z171" s="93"/>
    </row>
    <row r="172">
      <c r="A172" s="26">
        <v>171.0</v>
      </c>
      <c r="B172" s="26">
        <v>6.07</v>
      </c>
      <c r="C172" s="26">
        <f t="shared" si="9"/>
        <v>1.5175</v>
      </c>
      <c r="D172" s="26">
        <f t="shared" si="10"/>
        <v>7.5875</v>
      </c>
      <c r="E172" s="93"/>
      <c r="F172" s="93">
        <v>3.27</v>
      </c>
      <c r="G172" s="93"/>
      <c r="H172" s="93"/>
      <c r="I172" s="93"/>
      <c r="J172" s="93"/>
      <c r="K172" s="93"/>
      <c r="L172" s="174">
        <f>E172*Prices!B$2</f>
        <v>0</v>
      </c>
      <c r="M172" s="174">
        <f>F172*Prices!C$2</f>
        <v>523200</v>
      </c>
      <c r="N172" s="174">
        <f>G172*Prices!D$2</f>
        <v>0</v>
      </c>
      <c r="O172" s="174">
        <f>H172*Prices!E$2</f>
        <v>0</v>
      </c>
      <c r="P172" s="174">
        <f t="shared" si="16"/>
        <v>0</v>
      </c>
      <c r="Q172" s="174">
        <f>D172*Prices!A$2</f>
        <v>135436.875</v>
      </c>
      <c r="R172" s="175">
        <f t="shared" si="11"/>
        <v>523200</v>
      </c>
      <c r="S172" s="174">
        <f t="shared" si="12"/>
        <v>658636.875</v>
      </c>
      <c r="T172" s="26">
        <v>171.0</v>
      </c>
      <c r="U172" s="26" t="s">
        <v>80</v>
      </c>
      <c r="V172" s="93" t="s">
        <v>81</v>
      </c>
      <c r="W172" s="93"/>
      <c r="X172" s="93"/>
      <c r="Y172" s="93"/>
      <c r="Z172" s="93"/>
    </row>
    <row r="173">
      <c r="A173" s="26">
        <v>172.0</v>
      </c>
      <c r="B173" s="26">
        <v>1.906</v>
      </c>
      <c r="C173" s="26">
        <f t="shared" si="9"/>
        <v>0.4765</v>
      </c>
      <c r="D173" s="26">
        <f t="shared" si="10"/>
        <v>2.3825</v>
      </c>
      <c r="E173" s="26">
        <v>0.47</v>
      </c>
      <c r="F173" s="93"/>
      <c r="G173" s="93"/>
      <c r="H173" s="93"/>
      <c r="I173" s="93"/>
      <c r="J173" s="93"/>
      <c r="K173" s="93"/>
      <c r="L173" s="174">
        <f>E173*Prices!B$2</f>
        <v>51700</v>
      </c>
      <c r="M173" s="174">
        <f>F173*Prices!C$2</f>
        <v>0</v>
      </c>
      <c r="N173" s="174">
        <f>G173*Prices!D$2</f>
        <v>0</v>
      </c>
      <c r="O173" s="174">
        <f>H173*Prices!E$2</f>
        <v>0</v>
      </c>
      <c r="P173" s="174">
        <f t="shared" si="16"/>
        <v>0</v>
      </c>
      <c r="Q173" s="174">
        <f>D173*Prices!A$2</f>
        <v>42527.625</v>
      </c>
      <c r="R173" s="175">
        <f t="shared" si="11"/>
        <v>51700</v>
      </c>
      <c r="S173" s="174">
        <f t="shared" si="12"/>
        <v>94227.625</v>
      </c>
      <c r="T173" s="26">
        <v>172.0</v>
      </c>
      <c r="U173" s="26" t="s">
        <v>82</v>
      </c>
      <c r="V173" s="93"/>
      <c r="W173" s="93"/>
      <c r="X173" s="93"/>
      <c r="Y173" s="93"/>
      <c r="Z173" s="93"/>
    </row>
    <row r="174">
      <c r="A174" s="26">
        <v>173.0</v>
      </c>
      <c r="B174" s="26">
        <v>1.586</v>
      </c>
      <c r="C174" s="26">
        <f t="shared" si="9"/>
        <v>0.3965</v>
      </c>
      <c r="D174" s="26">
        <f t="shared" si="10"/>
        <v>1.9825</v>
      </c>
      <c r="E174" s="26">
        <v>0.32</v>
      </c>
      <c r="F174" s="93"/>
      <c r="G174" s="93"/>
      <c r="H174" s="93"/>
      <c r="I174" s="93"/>
      <c r="J174" s="93"/>
      <c r="K174" s="93"/>
      <c r="L174" s="174">
        <f>E174*Prices!B$2</f>
        <v>35200</v>
      </c>
      <c r="M174" s="174">
        <f>F174*Prices!C$2</f>
        <v>0</v>
      </c>
      <c r="N174" s="174">
        <f>G174*Prices!D$2</f>
        <v>0</v>
      </c>
      <c r="O174" s="174">
        <f>H174*Prices!E$2</f>
        <v>0</v>
      </c>
      <c r="P174" s="174">
        <f t="shared" si="16"/>
        <v>0</v>
      </c>
      <c r="Q174" s="174">
        <f>D174*Prices!A$2</f>
        <v>35387.625</v>
      </c>
      <c r="R174" s="175">
        <f t="shared" si="11"/>
        <v>35200</v>
      </c>
      <c r="S174" s="174">
        <f t="shared" si="12"/>
        <v>70587.625</v>
      </c>
      <c r="T174" s="26">
        <v>173.0</v>
      </c>
      <c r="U174" s="26" t="s">
        <v>82</v>
      </c>
      <c r="V174" s="93"/>
      <c r="W174" s="93"/>
      <c r="X174" s="93"/>
      <c r="Y174" s="93"/>
      <c r="Z174" s="93"/>
    </row>
    <row r="175">
      <c r="A175" s="26">
        <v>174.0</v>
      </c>
      <c r="B175" s="26">
        <v>1.242</v>
      </c>
      <c r="C175" s="26">
        <f t="shared" si="9"/>
        <v>0.3105</v>
      </c>
      <c r="D175" s="26">
        <f t="shared" si="10"/>
        <v>1.5525</v>
      </c>
      <c r="E175" s="26">
        <v>0.19</v>
      </c>
      <c r="F175" s="93"/>
      <c r="G175" s="93"/>
      <c r="H175" s="93"/>
      <c r="I175" s="93"/>
      <c r="J175" s="93"/>
      <c r="K175" s="93"/>
      <c r="L175" s="174">
        <f>E175*Prices!B$2</f>
        <v>20900</v>
      </c>
      <c r="M175" s="174">
        <f>F175*Prices!C$2</f>
        <v>0</v>
      </c>
      <c r="N175" s="174">
        <f>G175*Prices!D$2</f>
        <v>0</v>
      </c>
      <c r="O175" s="174">
        <f>H175*Prices!E$2</f>
        <v>0</v>
      </c>
      <c r="P175" s="174">
        <f t="shared" si="16"/>
        <v>0</v>
      </c>
      <c r="Q175" s="174">
        <f>D175*Prices!A$2</f>
        <v>27712.125</v>
      </c>
      <c r="R175" s="175">
        <f t="shared" si="11"/>
        <v>20900</v>
      </c>
      <c r="S175" s="174">
        <f t="shared" si="12"/>
        <v>48612.125</v>
      </c>
      <c r="T175" s="26">
        <v>174.0</v>
      </c>
      <c r="U175" s="26" t="s">
        <v>82</v>
      </c>
      <c r="V175" s="93"/>
      <c r="W175" s="93"/>
      <c r="X175" s="93"/>
      <c r="Y175" s="93"/>
      <c r="Z175" s="93"/>
    </row>
    <row r="176">
      <c r="A176" s="26">
        <v>175.0</v>
      </c>
      <c r="B176" s="26">
        <v>1.212</v>
      </c>
      <c r="C176" s="26">
        <f t="shared" si="9"/>
        <v>0.303</v>
      </c>
      <c r="D176" s="26">
        <f t="shared" si="10"/>
        <v>1.515</v>
      </c>
      <c r="E176" s="26">
        <v>0.19</v>
      </c>
      <c r="F176" s="93"/>
      <c r="G176" s="93"/>
      <c r="H176" s="93"/>
      <c r="I176" s="93"/>
      <c r="J176" s="93"/>
      <c r="K176" s="93"/>
      <c r="L176" s="174">
        <f>E176*Prices!B$2</f>
        <v>20900</v>
      </c>
      <c r="M176" s="174">
        <f>F176*Prices!C$2</f>
        <v>0</v>
      </c>
      <c r="N176" s="174">
        <f>G176*Prices!D$2</f>
        <v>0</v>
      </c>
      <c r="O176" s="174">
        <f>H176*Prices!E$2</f>
        <v>0</v>
      </c>
      <c r="P176" s="174">
        <f t="shared" si="16"/>
        <v>0</v>
      </c>
      <c r="Q176" s="174">
        <f>D176*Prices!A$2</f>
        <v>27042.75</v>
      </c>
      <c r="R176" s="175">
        <f t="shared" si="11"/>
        <v>20900</v>
      </c>
      <c r="S176" s="174">
        <f t="shared" si="12"/>
        <v>47942.75</v>
      </c>
      <c r="T176" s="26">
        <v>175.0</v>
      </c>
      <c r="U176" s="26" t="s">
        <v>80</v>
      </c>
      <c r="V176" s="93" t="s">
        <v>81</v>
      </c>
      <c r="W176" s="93"/>
      <c r="X176" s="93"/>
      <c r="Y176" s="93"/>
      <c r="Z176" s="93"/>
    </row>
    <row r="177">
      <c r="A177" s="26">
        <v>176.0</v>
      </c>
      <c r="B177" s="26">
        <v>3.932</v>
      </c>
      <c r="C177" s="26">
        <f t="shared" si="9"/>
        <v>0.983</v>
      </c>
      <c r="D177" s="26">
        <f t="shared" si="10"/>
        <v>4.915</v>
      </c>
      <c r="E177" s="26">
        <v>0.54</v>
      </c>
      <c r="F177" s="93"/>
      <c r="G177" s="93"/>
      <c r="H177" s="93"/>
      <c r="I177" s="93"/>
      <c r="J177" s="93"/>
      <c r="K177" s="93"/>
      <c r="L177" s="174">
        <f>E177*Prices!B$2</f>
        <v>59400</v>
      </c>
      <c r="M177" s="174">
        <f>F177*Prices!C$2</f>
        <v>0</v>
      </c>
      <c r="N177" s="174">
        <f>G177*Prices!D$2</f>
        <v>0</v>
      </c>
      <c r="O177" s="174">
        <f>H177*Prices!E$2</f>
        <v>0</v>
      </c>
      <c r="P177" s="174">
        <f t="shared" si="16"/>
        <v>0</v>
      </c>
      <c r="Q177" s="174">
        <f>D177*Prices!A$2</f>
        <v>87732.75</v>
      </c>
      <c r="R177" s="175">
        <f t="shared" si="11"/>
        <v>59400</v>
      </c>
      <c r="S177" s="174">
        <f t="shared" si="12"/>
        <v>147132.75</v>
      </c>
      <c r="T177" s="26">
        <v>176.0</v>
      </c>
      <c r="U177" s="26" t="s">
        <v>80</v>
      </c>
      <c r="V177" s="93" t="s">
        <v>81</v>
      </c>
      <c r="W177" s="93"/>
      <c r="X177" s="93"/>
      <c r="Y177" s="93"/>
      <c r="Z177" s="93"/>
    </row>
    <row r="178">
      <c r="A178" s="26">
        <v>177.0</v>
      </c>
      <c r="B178" s="26">
        <v>4.354</v>
      </c>
      <c r="C178" s="26">
        <f t="shared" si="9"/>
        <v>1.0885</v>
      </c>
      <c r="D178" s="26">
        <f t="shared" si="10"/>
        <v>5.4425</v>
      </c>
      <c r="E178" s="26">
        <v>0.68</v>
      </c>
      <c r="F178" s="93"/>
      <c r="G178" s="93"/>
      <c r="H178" s="93"/>
      <c r="I178" s="93"/>
      <c r="J178" s="93"/>
      <c r="K178" s="93"/>
      <c r="L178" s="174">
        <f>E178*Prices!B$2</f>
        <v>74800</v>
      </c>
      <c r="M178" s="174">
        <f>F178*Prices!C$2</f>
        <v>0</v>
      </c>
      <c r="N178" s="174">
        <f>G178*Prices!D$2</f>
        <v>0</v>
      </c>
      <c r="O178" s="174">
        <f>H178*Prices!E$2</f>
        <v>0</v>
      </c>
      <c r="P178" s="174">
        <f t="shared" si="16"/>
        <v>0</v>
      </c>
      <c r="Q178" s="174">
        <f>D178*Prices!A$2</f>
        <v>97148.625</v>
      </c>
      <c r="R178" s="175">
        <f t="shared" si="11"/>
        <v>74800</v>
      </c>
      <c r="S178" s="174">
        <f t="shared" si="12"/>
        <v>171948.625</v>
      </c>
      <c r="T178" s="26">
        <v>177.0</v>
      </c>
      <c r="U178" s="26" t="s">
        <v>80</v>
      </c>
      <c r="V178" s="93" t="s">
        <v>81</v>
      </c>
      <c r="W178" s="93"/>
      <c r="X178" s="93"/>
      <c r="Y178" s="93"/>
      <c r="Z178" s="93"/>
    </row>
    <row r="179">
      <c r="A179" s="26">
        <v>178.0</v>
      </c>
      <c r="B179" s="26">
        <v>2.854</v>
      </c>
      <c r="C179" s="26">
        <f t="shared" si="9"/>
        <v>0.7135</v>
      </c>
      <c r="D179" s="26">
        <f t="shared" si="10"/>
        <v>3.5675</v>
      </c>
      <c r="E179" s="26">
        <v>0.43</v>
      </c>
      <c r="F179" s="93"/>
      <c r="G179" s="93"/>
      <c r="H179" s="93"/>
      <c r="I179" s="93"/>
      <c r="J179" s="93"/>
      <c r="K179" s="93"/>
      <c r="L179" s="174">
        <f>E179*Prices!B$2</f>
        <v>47300</v>
      </c>
      <c r="M179" s="174">
        <f>F179*Prices!C$2</f>
        <v>0</v>
      </c>
      <c r="N179" s="174">
        <f>G179*Prices!D$2</f>
        <v>0</v>
      </c>
      <c r="O179" s="174">
        <f>H179*Prices!E$2</f>
        <v>0</v>
      </c>
      <c r="P179" s="174">
        <f t="shared" si="16"/>
        <v>0</v>
      </c>
      <c r="Q179" s="174">
        <f>D179*Prices!A$2</f>
        <v>63679.875</v>
      </c>
      <c r="R179" s="175">
        <f t="shared" si="11"/>
        <v>47300</v>
      </c>
      <c r="S179" s="174">
        <f t="shared" si="12"/>
        <v>110979.875</v>
      </c>
      <c r="T179" s="26">
        <v>178.0</v>
      </c>
      <c r="U179" s="26" t="s">
        <v>82</v>
      </c>
      <c r="V179" s="93"/>
      <c r="W179" s="93"/>
      <c r="X179" s="93"/>
      <c r="Y179" s="93"/>
      <c r="Z179" s="93"/>
    </row>
    <row r="180">
      <c r="A180" s="26">
        <v>179.0</v>
      </c>
      <c r="B180" s="26">
        <v>5.93</v>
      </c>
      <c r="C180" s="26">
        <f t="shared" si="9"/>
        <v>1.4825</v>
      </c>
      <c r="D180" s="26">
        <f t="shared" si="10"/>
        <v>7.4125</v>
      </c>
      <c r="E180" s="26">
        <v>1.9</v>
      </c>
      <c r="F180" s="93"/>
      <c r="G180" s="93"/>
      <c r="H180" s="93"/>
      <c r="I180" s="93"/>
      <c r="J180" s="93"/>
      <c r="K180" s="93"/>
      <c r="L180" s="174">
        <f>E180*Prices!B$2</f>
        <v>209000</v>
      </c>
      <c r="M180" s="174">
        <f>F180*Prices!C$2</f>
        <v>0</v>
      </c>
      <c r="N180" s="174">
        <f>G180*Prices!D$2</f>
        <v>0</v>
      </c>
      <c r="O180" s="174">
        <f>H180*Prices!E$2</f>
        <v>0</v>
      </c>
      <c r="P180" s="174">
        <f t="shared" si="16"/>
        <v>0</v>
      </c>
      <c r="Q180" s="174">
        <f>D180*Prices!A$2</f>
        <v>132313.125</v>
      </c>
      <c r="R180" s="175">
        <f t="shared" si="11"/>
        <v>209000</v>
      </c>
      <c r="S180" s="174">
        <f t="shared" si="12"/>
        <v>341313.125</v>
      </c>
      <c r="T180" s="26">
        <v>179.0</v>
      </c>
      <c r="U180" s="26" t="s">
        <v>82</v>
      </c>
      <c r="V180" s="93"/>
      <c r="W180" s="93"/>
      <c r="X180" s="93"/>
      <c r="Y180" s="93"/>
      <c r="Z180" s="93"/>
    </row>
    <row r="181">
      <c r="A181" s="26">
        <v>180.0</v>
      </c>
      <c r="B181" s="26">
        <v>7.67</v>
      </c>
      <c r="C181" s="26">
        <f t="shared" si="9"/>
        <v>1.9175</v>
      </c>
      <c r="D181" s="26">
        <f t="shared" si="10"/>
        <v>9.5875</v>
      </c>
      <c r="E181" s="26">
        <v>2.55</v>
      </c>
      <c r="F181" s="93"/>
      <c r="G181" s="93"/>
      <c r="H181" s="93"/>
      <c r="I181" s="93"/>
      <c r="J181" s="93"/>
      <c r="K181" s="93">
        <v>25.6</v>
      </c>
      <c r="L181" s="174">
        <f>E181*Prices!B$2</f>
        <v>280500</v>
      </c>
      <c r="M181" s="174">
        <f>F181*Prices!C$2</f>
        <v>0</v>
      </c>
      <c r="N181" s="174">
        <f>G181*Prices!D$2</f>
        <v>0</v>
      </c>
      <c r="O181" s="174">
        <f>H181*Prices!E$2</f>
        <v>0</v>
      </c>
      <c r="P181" s="174">
        <f t="shared" ref="P181:P197" si="17">I181*2000+J181*10000+K181*150</f>
        <v>3840</v>
      </c>
      <c r="Q181" s="174">
        <f>D181*Prices!A$2</f>
        <v>171136.875</v>
      </c>
      <c r="R181" s="175">
        <f t="shared" si="11"/>
        <v>280500</v>
      </c>
      <c r="S181" s="174">
        <f t="shared" si="12"/>
        <v>455476.875</v>
      </c>
      <c r="T181" s="26">
        <v>180.0</v>
      </c>
      <c r="U181" s="26" t="s">
        <v>82</v>
      </c>
      <c r="V181" s="93"/>
      <c r="W181" s="93"/>
      <c r="X181" s="93"/>
      <c r="Y181" s="93"/>
      <c r="Z181" s="93"/>
    </row>
    <row r="182">
      <c r="A182" s="26">
        <v>181.0</v>
      </c>
      <c r="B182" s="26">
        <v>6.766</v>
      </c>
      <c r="C182" s="26">
        <f t="shared" si="9"/>
        <v>1.6915</v>
      </c>
      <c r="D182" s="26">
        <f t="shared" si="10"/>
        <v>8.4575</v>
      </c>
      <c r="E182" s="26">
        <v>1.84</v>
      </c>
      <c r="F182" s="93"/>
      <c r="G182" s="93"/>
      <c r="H182" s="93"/>
      <c r="I182" s="93"/>
      <c r="J182" s="93"/>
      <c r="K182" s="93"/>
      <c r="L182" s="174">
        <f>E182*Prices!B$2</f>
        <v>202400</v>
      </c>
      <c r="M182" s="174">
        <f>F182*Prices!C$2</f>
        <v>0</v>
      </c>
      <c r="N182" s="174">
        <f>G182*Prices!D$2</f>
        <v>0</v>
      </c>
      <c r="O182" s="174">
        <f>H182*Prices!E$2</f>
        <v>0</v>
      </c>
      <c r="P182" s="174">
        <f t="shared" si="17"/>
        <v>0</v>
      </c>
      <c r="Q182" s="174">
        <f>D182*Prices!A$2</f>
        <v>150966.375</v>
      </c>
      <c r="R182" s="175">
        <f t="shared" si="11"/>
        <v>202400</v>
      </c>
      <c r="S182" s="174">
        <f t="shared" si="12"/>
        <v>353366.375</v>
      </c>
      <c r="T182" s="26">
        <v>181.0</v>
      </c>
      <c r="U182" s="26" t="s">
        <v>82</v>
      </c>
      <c r="V182" s="93"/>
      <c r="W182" s="93"/>
      <c r="X182" s="93"/>
      <c r="Y182" s="93"/>
      <c r="Z182" s="93"/>
    </row>
    <row r="183">
      <c r="A183" s="26">
        <v>182.0</v>
      </c>
      <c r="B183" s="26">
        <v>1.756</v>
      </c>
      <c r="C183" s="26">
        <f t="shared" si="9"/>
        <v>0.439</v>
      </c>
      <c r="D183" s="26">
        <f t="shared" si="10"/>
        <v>2.195</v>
      </c>
      <c r="E183" s="26">
        <v>0.42</v>
      </c>
      <c r="F183" s="93"/>
      <c r="G183" s="93"/>
      <c r="H183" s="93"/>
      <c r="I183" s="93"/>
      <c r="J183" s="93"/>
      <c r="K183" s="93"/>
      <c r="L183" s="174">
        <f>E183*Prices!B$2</f>
        <v>46200</v>
      </c>
      <c r="M183" s="174">
        <f>F183*Prices!C$2</f>
        <v>0</v>
      </c>
      <c r="N183" s="174">
        <f>G183*Prices!D$2</f>
        <v>0</v>
      </c>
      <c r="O183" s="174">
        <f>H183*Prices!E$2</f>
        <v>0</v>
      </c>
      <c r="P183" s="174">
        <f t="shared" si="17"/>
        <v>0</v>
      </c>
      <c r="Q183" s="174">
        <f>D183*Prices!A$2</f>
        <v>39180.75</v>
      </c>
      <c r="R183" s="175">
        <f t="shared" si="11"/>
        <v>46200</v>
      </c>
      <c r="S183" s="174">
        <f t="shared" si="12"/>
        <v>85380.75</v>
      </c>
      <c r="T183" s="26">
        <v>182.0</v>
      </c>
      <c r="U183" s="26" t="s">
        <v>80</v>
      </c>
      <c r="V183" s="93" t="s">
        <v>81</v>
      </c>
      <c r="W183" s="93"/>
      <c r="X183" s="93"/>
      <c r="Y183" s="93"/>
      <c r="Z183" s="93"/>
    </row>
    <row r="184">
      <c r="A184" s="26">
        <v>183.0</v>
      </c>
      <c r="B184" s="26">
        <v>2.372</v>
      </c>
      <c r="C184" s="26">
        <f t="shared" si="9"/>
        <v>0.593</v>
      </c>
      <c r="D184" s="26">
        <f t="shared" si="10"/>
        <v>2.965</v>
      </c>
      <c r="E184" s="26">
        <v>0.59</v>
      </c>
      <c r="F184" s="93"/>
      <c r="G184" s="93"/>
      <c r="H184" s="93"/>
      <c r="I184" s="93"/>
      <c r="J184" s="93"/>
      <c r="K184" s="93"/>
      <c r="L184" s="174">
        <f>E184*Prices!B$2</f>
        <v>64900</v>
      </c>
      <c r="M184" s="174">
        <f>F184*Prices!C$2</f>
        <v>0</v>
      </c>
      <c r="N184" s="174">
        <f>G184*Prices!D$2</f>
        <v>0</v>
      </c>
      <c r="O184" s="174">
        <f>H184*Prices!E$2</f>
        <v>0</v>
      </c>
      <c r="P184" s="174">
        <f t="shared" si="17"/>
        <v>0</v>
      </c>
      <c r="Q184" s="174">
        <f>D184*Prices!A$2</f>
        <v>52925.25</v>
      </c>
      <c r="R184" s="175">
        <f t="shared" si="11"/>
        <v>64900</v>
      </c>
      <c r="S184" s="174">
        <f t="shared" si="12"/>
        <v>117825.25</v>
      </c>
      <c r="T184" s="26">
        <v>183.0</v>
      </c>
      <c r="U184" s="26" t="s">
        <v>80</v>
      </c>
      <c r="V184" s="93" t="s">
        <v>81</v>
      </c>
      <c r="W184" s="93"/>
      <c r="X184" s="93"/>
      <c r="Y184" s="93"/>
      <c r="Z184" s="93"/>
    </row>
    <row r="185">
      <c r="A185" s="26">
        <v>184.0</v>
      </c>
      <c r="B185" s="26">
        <v>0.586</v>
      </c>
      <c r="C185" s="26">
        <f t="shared" si="9"/>
        <v>0.1465</v>
      </c>
      <c r="D185" s="26">
        <f t="shared" si="10"/>
        <v>0.7325</v>
      </c>
      <c r="E185" s="26">
        <v>0.22</v>
      </c>
      <c r="F185" s="93"/>
      <c r="G185" s="93"/>
      <c r="H185" s="93"/>
      <c r="I185" s="93"/>
      <c r="J185" s="93"/>
      <c r="K185" s="93"/>
      <c r="L185" s="174">
        <f>E185*Prices!B$2</f>
        <v>24200</v>
      </c>
      <c r="M185" s="174">
        <f>F185*Prices!C$2</f>
        <v>0</v>
      </c>
      <c r="N185" s="174">
        <f>G185*Prices!D$2</f>
        <v>0</v>
      </c>
      <c r="O185" s="174">
        <f>H185*Prices!E$2</f>
        <v>0</v>
      </c>
      <c r="P185" s="174">
        <f t="shared" si="17"/>
        <v>0</v>
      </c>
      <c r="Q185" s="174">
        <f>D185*Prices!A$2</f>
        <v>13075.125</v>
      </c>
      <c r="R185" s="175">
        <f t="shared" si="11"/>
        <v>24200</v>
      </c>
      <c r="S185" s="174">
        <f t="shared" si="12"/>
        <v>37275.125</v>
      </c>
      <c r="T185" s="26">
        <v>184.0</v>
      </c>
      <c r="U185" s="26" t="s">
        <v>82</v>
      </c>
      <c r="V185" s="93"/>
      <c r="W185" s="93"/>
      <c r="X185" s="93"/>
      <c r="Y185" s="93"/>
      <c r="Z185" s="93"/>
    </row>
    <row r="186">
      <c r="A186" s="26">
        <v>185.0</v>
      </c>
      <c r="B186" s="26">
        <v>0.834</v>
      </c>
      <c r="C186" s="26">
        <f t="shared" si="9"/>
        <v>0.2085</v>
      </c>
      <c r="D186" s="26">
        <f t="shared" si="10"/>
        <v>1.0425</v>
      </c>
      <c r="E186" s="26">
        <v>0.205</v>
      </c>
      <c r="F186" s="93"/>
      <c r="G186" s="93"/>
      <c r="H186" s="93"/>
      <c r="I186" s="93"/>
      <c r="J186" s="93"/>
      <c r="K186" s="93"/>
      <c r="L186" s="174">
        <f>E186*Prices!B$2</f>
        <v>22550</v>
      </c>
      <c r="M186" s="174">
        <f>F186*Prices!C$2</f>
        <v>0</v>
      </c>
      <c r="N186" s="174">
        <f>G186*Prices!D$2</f>
        <v>0</v>
      </c>
      <c r="O186" s="174">
        <f>H186*Prices!E$2</f>
        <v>0</v>
      </c>
      <c r="P186" s="174">
        <f t="shared" si="17"/>
        <v>0</v>
      </c>
      <c r="Q186" s="174">
        <f>D186*Prices!A$2</f>
        <v>18608.625</v>
      </c>
      <c r="R186" s="175">
        <f t="shared" si="11"/>
        <v>22550</v>
      </c>
      <c r="S186" s="174">
        <f t="shared" si="12"/>
        <v>41158.625</v>
      </c>
      <c r="T186" s="26">
        <v>185.0</v>
      </c>
      <c r="U186" s="26" t="s">
        <v>82</v>
      </c>
      <c r="V186" s="93"/>
      <c r="W186" s="93"/>
      <c r="X186" s="93"/>
      <c r="Y186" s="93"/>
      <c r="Z186" s="93"/>
    </row>
    <row r="187">
      <c r="A187" s="26">
        <v>186.0</v>
      </c>
      <c r="B187" s="26">
        <v>1.434</v>
      </c>
      <c r="C187" s="26">
        <f t="shared" si="9"/>
        <v>0.3585</v>
      </c>
      <c r="D187" s="26">
        <f t="shared" si="10"/>
        <v>1.7925</v>
      </c>
      <c r="E187" s="26">
        <v>0.28</v>
      </c>
      <c r="F187" s="93"/>
      <c r="G187" s="93"/>
      <c r="H187" s="93"/>
      <c r="I187" s="93"/>
      <c r="J187" s="93"/>
      <c r="K187" s="93"/>
      <c r="L187" s="174">
        <f>E187*Prices!B$2</f>
        <v>30800</v>
      </c>
      <c r="M187" s="174">
        <f>F187*Prices!C$2</f>
        <v>0</v>
      </c>
      <c r="N187" s="174">
        <f>G187*Prices!D$2</f>
        <v>0</v>
      </c>
      <c r="O187" s="174">
        <f>H187*Prices!E$2</f>
        <v>0</v>
      </c>
      <c r="P187" s="174">
        <f t="shared" si="17"/>
        <v>0</v>
      </c>
      <c r="Q187" s="174">
        <f>D187*Prices!A$2</f>
        <v>31996.125</v>
      </c>
      <c r="R187" s="175">
        <f t="shared" si="11"/>
        <v>30800</v>
      </c>
      <c r="S187" s="174">
        <f t="shared" si="12"/>
        <v>62796.125</v>
      </c>
      <c r="T187" s="26">
        <v>186.0</v>
      </c>
      <c r="U187" s="26" t="s">
        <v>80</v>
      </c>
      <c r="V187" s="93" t="s">
        <v>81</v>
      </c>
      <c r="W187" s="93"/>
      <c r="X187" s="93"/>
      <c r="Y187" s="93"/>
      <c r="Z187" s="93"/>
    </row>
    <row r="188">
      <c r="A188" s="26">
        <v>187.0</v>
      </c>
      <c r="B188" s="26">
        <v>1.806</v>
      </c>
      <c r="C188" s="26">
        <f t="shared" si="9"/>
        <v>0.4515</v>
      </c>
      <c r="D188" s="26">
        <f t="shared" si="10"/>
        <v>2.2575</v>
      </c>
      <c r="E188" s="26">
        <v>0.37</v>
      </c>
      <c r="F188" s="93"/>
      <c r="G188" s="93"/>
      <c r="H188" s="93"/>
      <c r="I188" s="93"/>
      <c r="J188" s="93"/>
      <c r="K188" s="93"/>
      <c r="L188" s="174">
        <f>E188*Prices!B$2</f>
        <v>40700</v>
      </c>
      <c r="M188" s="174">
        <f>F188*Prices!C$2</f>
        <v>0</v>
      </c>
      <c r="N188" s="174">
        <f>G188*Prices!D$2</f>
        <v>0</v>
      </c>
      <c r="O188" s="174">
        <f>H188*Prices!E$2</f>
        <v>0</v>
      </c>
      <c r="P188" s="174">
        <f t="shared" si="17"/>
        <v>0</v>
      </c>
      <c r="Q188" s="174">
        <f>D188*Prices!A$2</f>
        <v>40296.375</v>
      </c>
      <c r="R188" s="175">
        <f t="shared" si="11"/>
        <v>40700</v>
      </c>
      <c r="S188" s="174">
        <f t="shared" si="12"/>
        <v>80996.375</v>
      </c>
      <c r="T188" s="26">
        <v>187.0</v>
      </c>
      <c r="U188" s="26" t="s">
        <v>80</v>
      </c>
      <c r="V188" s="93" t="s">
        <v>81</v>
      </c>
      <c r="W188" s="93"/>
      <c r="X188" s="93"/>
      <c r="Y188" s="93"/>
      <c r="Z188" s="93"/>
    </row>
    <row r="189">
      <c r="A189" s="26">
        <v>188.0</v>
      </c>
      <c r="B189" s="26">
        <v>1.594</v>
      </c>
      <c r="C189" s="26">
        <f t="shared" si="9"/>
        <v>0.3985</v>
      </c>
      <c r="D189" s="26">
        <f t="shared" si="10"/>
        <v>1.9925</v>
      </c>
      <c r="E189" s="26">
        <v>0.28</v>
      </c>
      <c r="F189" s="93"/>
      <c r="G189" s="93"/>
      <c r="H189" s="93"/>
      <c r="I189" s="93"/>
      <c r="J189" s="93"/>
      <c r="K189" s="93"/>
      <c r="L189" s="174">
        <f>E189*Prices!B$2</f>
        <v>30800</v>
      </c>
      <c r="M189" s="174">
        <f>F189*Prices!C$2</f>
        <v>0</v>
      </c>
      <c r="N189" s="174">
        <f>G189*Prices!D$2</f>
        <v>0</v>
      </c>
      <c r="O189" s="174">
        <f>H189*Prices!E$2</f>
        <v>0</v>
      </c>
      <c r="P189" s="174">
        <f t="shared" si="17"/>
        <v>0</v>
      </c>
      <c r="Q189" s="174">
        <f>D189*Prices!A$2</f>
        <v>35566.125</v>
      </c>
      <c r="R189" s="175">
        <f t="shared" si="11"/>
        <v>30800</v>
      </c>
      <c r="S189" s="174">
        <f t="shared" si="12"/>
        <v>66366.125</v>
      </c>
      <c r="T189" s="26">
        <v>188.0</v>
      </c>
      <c r="U189" s="26" t="s">
        <v>80</v>
      </c>
      <c r="V189" s="93" t="s">
        <v>81</v>
      </c>
      <c r="W189" s="93"/>
      <c r="X189" s="93"/>
      <c r="Y189" s="93"/>
      <c r="Z189" s="93"/>
    </row>
    <row r="190">
      <c r="A190" s="26">
        <v>189.0</v>
      </c>
      <c r="B190" s="26">
        <v>1.674</v>
      </c>
      <c r="C190" s="26">
        <f t="shared" si="9"/>
        <v>0.4185</v>
      </c>
      <c r="D190" s="26">
        <f t="shared" si="10"/>
        <v>2.0925</v>
      </c>
      <c r="E190" s="26">
        <v>0.33</v>
      </c>
      <c r="F190" s="93"/>
      <c r="G190" s="93"/>
      <c r="H190" s="93"/>
      <c r="I190" s="93"/>
      <c r="J190" s="93"/>
      <c r="K190" s="93"/>
      <c r="L190" s="174">
        <f>E190*Prices!B$2</f>
        <v>36300</v>
      </c>
      <c r="M190" s="174">
        <f>F190*Prices!C$2</f>
        <v>0</v>
      </c>
      <c r="N190" s="174">
        <f>G190*Prices!D$2</f>
        <v>0</v>
      </c>
      <c r="O190" s="174">
        <f>H190*Prices!E$2</f>
        <v>0</v>
      </c>
      <c r="P190" s="174">
        <f t="shared" si="17"/>
        <v>0</v>
      </c>
      <c r="Q190" s="174">
        <f>D190*Prices!A$2</f>
        <v>37351.125</v>
      </c>
      <c r="R190" s="175">
        <f t="shared" si="11"/>
        <v>36300</v>
      </c>
      <c r="S190" s="174">
        <f t="shared" si="12"/>
        <v>73651.125</v>
      </c>
      <c r="T190" s="26">
        <v>189.0</v>
      </c>
      <c r="U190" s="26" t="s">
        <v>80</v>
      </c>
      <c r="V190" s="93" t="s">
        <v>81</v>
      </c>
      <c r="W190" s="93"/>
      <c r="X190" s="93"/>
      <c r="Y190" s="93"/>
      <c r="Z190" s="93"/>
    </row>
    <row r="191">
      <c r="A191" s="26">
        <v>190.0</v>
      </c>
      <c r="B191" s="26">
        <v>1.16</v>
      </c>
      <c r="C191" s="26">
        <f t="shared" si="9"/>
        <v>0.29</v>
      </c>
      <c r="D191" s="26">
        <f t="shared" si="10"/>
        <v>1.45</v>
      </c>
      <c r="E191" s="26">
        <v>0.2</v>
      </c>
      <c r="F191" s="93"/>
      <c r="G191" s="93"/>
      <c r="H191" s="93"/>
      <c r="I191" s="93"/>
      <c r="J191" s="93"/>
      <c r="K191" s="93"/>
      <c r="L191" s="174">
        <f>E191*Prices!B$2</f>
        <v>22000</v>
      </c>
      <c r="M191" s="174">
        <f>F191*Prices!C$2</f>
        <v>0</v>
      </c>
      <c r="N191" s="174">
        <f>G191*Prices!D$2</f>
        <v>0</v>
      </c>
      <c r="O191" s="174">
        <f>H191*Prices!E$2</f>
        <v>0</v>
      </c>
      <c r="P191" s="174">
        <f t="shared" si="17"/>
        <v>0</v>
      </c>
      <c r="Q191" s="174">
        <f>D191*Prices!A$2</f>
        <v>25882.5</v>
      </c>
      <c r="R191" s="175">
        <f t="shared" si="11"/>
        <v>22000</v>
      </c>
      <c r="S191" s="174">
        <f t="shared" si="12"/>
        <v>47882.5</v>
      </c>
      <c r="T191" s="26">
        <v>190.0</v>
      </c>
      <c r="U191" s="26" t="s">
        <v>82</v>
      </c>
      <c r="V191" s="93"/>
      <c r="W191" s="93"/>
      <c r="X191" s="93"/>
      <c r="Y191" s="93"/>
      <c r="Z191" s="93"/>
    </row>
    <row r="192">
      <c r="A192" s="26">
        <v>191.0</v>
      </c>
      <c r="B192" s="26">
        <v>5.21</v>
      </c>
      <c r="C192" s="26">
        <f t="shared" si="9"/>
        <v>1.3025</v>
      </c>
      <c r="D192" s="26">
        <f t="shared" si="10"/>
        <v>6.5125</v>
      </c>
      <c r="E192" s="26">
        <v>1.3</v>
      </c>
      <c r="F192" s="93"/>
      <c r="G192" s="93"/>
      <c r="H192" s="93"/>
      <c r="I192" s="93"/>
      <c r="J192" s="93"/>
      <c r="K192" s="93"/>
      <c r="L192" s="174">
        <f>E192*Prices!B$2</f>
        <v>143000</v>
      </c>
      <c r="M192" s="174">
        <f>F192*Prices!C$2</f>
        <v>0</v>
      </c>
      <c r="N192" s="174">
        <f>G192*Prices!D$2</f>
        <v>0</v>
      </c>
      <c r="O192" s="174">
        <f>H192*Prices!E$2</f>
        <v>0</v>
      </c>
      <c r="P192" s="174">
        <f t="shared" si="17"/>
        <v>0</v>
      </c>
      <c r="Q192" s="174">
        <f>D192*Prices!A$2</f>
        <v>116248.125</v>
      </c>
      <c r="R192" s="175">
        <f t="shared" si="11"/>
        <v>143000</v>
      </c>
      <c r="S192" s="174">
        <f t="shared" si="12"/>
        <v>259248.125</v>
      </c>
      <c r="T192" s="26">
        <v>191.0</v>
      </c>
      <c r="U192" s="26" t="s">
        <v>80</v>
      </c>
      <c r="V192" s="93" t="s">
        <v>81</v>
      </c>
      <c r="W192" s="93"/>
      <c r="X192" s="93"/>
      <c r="Y192" s="93"/>
      <c r="Z192" s="93"/>
    </row>
    <row r="193">
      <c r="A193" s="26">
        <v>192.0</v>
      </c>
      <c r="B193" s="26">
        <v>2.31</v>
      </c>
      <c r="C193" s="26">
        <f t="shared" si="9"/>
        <v>0.5775</v>
      </c>
      <c r="D193" s="26">
        <f t="shared" si="10"/>
        <v>2.8875</v>
      </c>
      <c r="E193" s="26">
        <v>0.5</v>
      </c>
      <c r="F193" s="93"/>
      <c r="G193" s="93"/>
      <c r="H193" s="93"/>
      <c r="I193" s="93"/>
      <c r="J193" s="93"/>
      <c r="K193" s="93"/>
      <c r="L193" s="174">
        <f>E193*Prices!B$2</f>
        <v>55000</v>
      </c>
      <c r="M193" s="174">
        <f>F193*Prices!C$2</f>
        <v>0</v>
      </c>
      <c r="N193" s="174">
        <f>G193*Prices!D$2</f>
        <v>0</v>
      </c>
      <c r="O193" s="174">
        <f>H193*Prices!E$2</f>
        <v>0</v>
      </c>
      <c r="P193" s="174">
        <f t="shared" si="17"/>
        <v>0</v>
      </c>
      <c r="Q193" s="174">
        <f>D193*Prices!A$2</f>
        <v>51541.875</v>
      </c>
      <c r="R193" s="175">
        <f t="shared" si="11"/>
        <v>55000</v>
      </c>
      <c r="S193" s="174">
        <f t="shared" si="12"/>
        <v>106541.875</v>
      </c>
      <c r="T193" s="26">
        <v>192.0</v>
      </c>
      <c r="U193" s="26" t="s">
        <v>82</v>
      </c>
      <c r="V193" s="93"/>
      <c r="W193" s="93"/>
      <c r="X193" s="93"/>
      <c r="Y193" s="93"/>
      <c r="Z193" s="93"/>
    </row>
    <row r="194">
      <c r="A194" s="26">
        <v>193.0</v>
      </c>
      <c r="B194" s="26">
        <v>5.364</v>
      </c>
      <c r="C194" s="26">
        <f t="shared" si="9"/>
        <v>1.341</v>
      </c>
      <c r="D194" s="26">
        <f t="shared" si="10"/>
        <v>6.705</v>
      </c>
      <c r="E194" s="26">
        <v>1.26</v>
      </c>
      <c r="F194" s="93"/>
      <c r="G194" s="93"/>
      <c r="H194" s="93"/>
      <c r="I194" s="93"/>
      <c r="J194" s="93"/>
      <c r="K194" s="93"/>
      <c r="L194" s="174">
        <f>E194*Prices!B$2</f>
        <v>138600</v>
      </c>
      <c r="M194" s="174">
        <f>F194*Prices!C$2</f>
        <v>0</v>
      </c>
      <c r="N194" s="174">
        <f>G194*Prices!D$2</f>
        <v>0</v>
      </c>
      <c r="O194" s="174">
        <f>H194*Prices!E$2</f>
        <v>0</v>
      </c>
      <c r="P194" s="174">
        <f t="shared" si="17"/>
        <v>0</v>
      </c>
      <c r="Q194" s="174">
        <f>D194*Prices!A$2</f>
        <v>119684.25</v>
      </c>
      <c r="R194" s="175">
        <f t="shared" si="11"/>
        <v>138600</v>
      </c>
      <c r="S194" s="174">
        <f t="shared" si="12"/>
        <v>258284.25</v>
      </c>
      <c r="T194" s="26">
        <v>193.0</v>
      </c>
      <c r="U194" s="26" t="s">
        <v>82</v>
      </c>
      <c r="V194" s="93"/>
      <c r="W194" s="93"/>
      <c r="X194" s="93"/>
      <c r="Y194" s="93"/>
      <c r="Z194" s="93"/>
    </row>
    <row r="195">
      <c r="A195" s="26">
        <v>194.0</v>
      </c>
      <c r="B195" s="26">
        <v>4.446</v>
      </c>
      <c r="C195" s="26">
        <f t="shared" si="9"/>
        <v>1.1115</v>
      </c>
      <c r="D195" s="26">
        <f t="shared" si="10"/>
        <v>5.5575</v>
      </c>
      <c r="E195" s="26">
        <v>1.47</v>
      </c>
      <c r="F195" s="93"/>
      <c r="G195" s="93"/>
      <c r="H195" s="93"/>
      <c r="I195" s="93"/>
      <c r="J195" s="93"/>
      <c r="K195" s="93"/>
      <c r="L195" s="174">
        <f>E195*Prices!B$2</f>
        <v>161700</v>
      </c>
      <c r="M195" s="174">
        <f>F195*Prices!C$2</f>
        <v>0</v>
      </c>
      <c r="N195" s="174">
        <f>G195*Prices!D$2</f>
        <v>0</v>
      </c>
      <c r="O195" s="174">
        <f>H195*Prices!E$2</f>
        <v>0</v>
      </c>
      <c r="P195" s="174">
        <f t="shared" si="17"/>
        <v>0</v>
      </c>
      <c r="Q195" s="174">
        <f>D195*Prices!A$2</f>
        <v>99201.375</v>
      </c>
      <c r="R195" s="175">
        <f t="shared" si="11"/>
        <v>161700</v>
      </c>
      <c r="S195" s="174">
        <f t="shared" si="12"/>
        <v>260901.375</v>
      </c>
      <c r="T195" s="26">
        <v>194.0</v>
      </c>
      <c r="U195" s="26" t="s">
        <v>82</v>
      </c>
      <c r="V195" s="93"/>
      <c r="W195" s="93"/>
      <c r="X195" s="93"/>
      <c r="Y195" s="93"/>
      <c r="Z195" s="93"/>
    </row>
    <row r="196" ht="15.0" customHeight="1">
      <c r="A196" s="26">
        <v>195.0</v>
      </c>
      <c r="B196" s="26">
        <v>1.894</v>
      </c>
      <c r="C196" s="26">
        <f t="shared" si="9"/>
        <v>0.4735</v>
      </c>
      <c r="D196" s="26">
        <f t="shared" si="10"/>
        <v>2.3675</v>
      </c>
      <c r="E196" s="26">
        <v>0.33</v>
      </c>
      <c r="F196" s="93"/>
      <c r="G196" s="93"/>
      <c r="H196" s="93"/>
      <c r="I196" s="93"/>
      <c r="J196" s="93"/>
      <c r="K196" s="93"/>
      <c r="L196" s="174">
        <f>E196*Prices!B$2</f>
        <v>36300</v>
      </c>
      <c r="M196" s="174">
        <f>F196*Prices!C$2</f>
        <v>0</v>
      </c>
      <c r="N196" s="174">
        <f>G196*Prices!D$2</f>
        <v>0</v>
      </c>
      <c r="O196" s="174">
        <f>H196*Prices!E$2</f>
        <v>0</v>
      </c>
      <c r="P196" s="174">
        <f t="shared" si="17"/>
        <v>0</v>
      </c>
      <c r="Q196" s="174">
        <f>D196*Prices!A$2</f>
        <v>42259.875</v>
      </c>
      <c r="R196" s="175">
        <f t="shared" si="11"/>
        <v>36300</v>
      </c>
      <c r="S196" s="174">
        <f t="shared" si="12"/>
        <v>78559.875</v>
      </c>
      <c r="T196" s="26">
        <v>195.0</v>
      </c>
      <c r="U196" s="26" t="s">
        <v>80</v>
      </c>
      <c r="V196" s="93"/>
      <c r="W196" s="93"/>
      <c r="X196" s="93"/>
      <c r="Y196" s="93"/>
      <c r="Z196" s="93"/>
    </row>
    <row r="197">
      <c r="A197" s="26">
        <v>196.0</v>
      </c>
      <c r="B197" s="93">
        <v>7.98</v>
      </c>
      <c r="C197" s="93">
        <f t="shared" si="9"/>
        <v>1.995</v>
      </c>
      <c r="D197" s="93">
        <f t="shared" si="10"/>
        <v>9.975</v>
      </c>
      <c r="E197" s="93">
        <v>1.34</v>
      </c>
      <c r="F197" s="93"/>
      <c r="G197" s="93"/>
      <c r="H197" s="93"/>
      <c r="I197" s="93"/>
      <c r="J197" s="93"/>
      <c r="K197" s="93">
        <f>0.48+6.05</f>
        <v>6.53</v>
      </c>
      <c r="L197" s="174">
        <f>E197*Prices!B$2</f>
        <v>147400</v>
      </c>
      <c r="M197" s="174">
        <f>F197*Prices!C$2</f>
        <v>0</v>
      </c>
      <c r="N197" s="174">
        <f>G197*Prices!D$2</f>
        <v>0</v>
      </c>
      <c r="O197" s="174">
        <f>H197*Prices!E$2</f>
        <v>0</v>
      </c>
      <c r="P197" s="174">
        <f t="shared" si="17"/>
        <v>979.5</v>
      </c>
      <c r="Q197" s="174">
        <f>D197*Prices!A$2</f>
        <v>178053.75</v>
      </c>
      <c r="R197" s="175">
        <f t="shared" si="11"/>
        <v>147400</v>
      </c>
      <c r="S197" s="174">
        <f t="shared" si="12"/>
        <v>326433.25</v>
      </c>
      <c r="T197" s="26">
        <v>196.0</v>
      </c>
      <c r="U197" s="26" t="s">
        <v>80</v>
      </c>
      <c r="V197" s="93" t="s">
        <v>81</v>
      </c>
      <c r="W197" s="93"/>
      <c r="X197" s="93"/>
      <c r="Y197" s="93"/>
      <c r="Z197" s="93"/>
    </row>
    <row r="198">
      <c r="A198" s="26">
        <v>197.0</v>
      </c>
      <c r="B198" s="93">
        <v>2.87</v>
      </c>
      <c r="C198" s="93">
        <f t="shared" si="9"/>
        <v>0.7175</v>
      </c>
      <c r="D198" s="93">
        <f t="shared" si="10"/>
        <v>3.5875</v>
      </c>
      <c r="E198" s="93">
        <v>0.54</v>
      </c>
      <c r="F198" s="93"/>
      <c r="G198" s="93"/>
      <c r="H198" s="93"/>
      <c r="I198" s="93">
        <v>2.01</v>
      </c>
      <c r="J198" s="93"/>
      <c r="K198" s="93"/>
      <c r="L198" s="174">
        <f>E198*Prices!B$2</f>
        <v>59400</v>
      </c>
      <c r="M198" s="174">
        <f>F198*Prices!C$2</f>
        <v>0</v>
      </c>
      <c r="N198" s="174">
        <f>G198*Prices!D$2</f>
        <v>0</v>
      </c>
      <c r="O198" s="174">
        <f>H198*Prices!E$2</f>
        <v>0</v>
      </c>
      <c r="P198" s="174">
        <f t="shared" ref="P198:P199" si="18">I198*4000+J198*10000+K198*150</f>
        <v>8040</v>
      </c>
      <c r="Q198" s="174">
        <f>D198*Prices!A$2</f>
        <v>64036.875</v>
      </c>
      <c r="R198" s="175">
        <f t="shared" si="11"/>
        <v>59400</v>
      </c>
      <c r="S198" s="174">
        <f t="shared" si="12"/>
        <v>131476.875</v>
      </c>
      <c r="T198" s="26">
        <v>197.0</v>
      </c>
      <c r="U198" s="26" t="s">
        <v>82</v>
      </c>
      <c r="V198" s="93"/>
      <c r="W198" s="93"/>
      <c r="X198" s="93"/>
      <c r="Y198" s="93"/>
      <c r="Z198" s="93"/>
    </row>
    <row r="199">
      <c r="A199" s="26">
        <v>198.0</v>
      </c>
      <c r="B199" s="93">
        <v>4.232</v>
      </c>
      <c r="C199" s="93">
        <f t="shared" si="9"/>
        <v>1.058</v>
      </c>
      <c r="D199" s="93">
        <f t="shared" si="10"/>
        <v>5.29</v>
      </c>
      <c r="E199" s="93">
        <v>1.22</v>
      </c>
      <c r="F199" s="93"/>
      <c r="G199" s="93"/>
      <c r="H199" s="93"/>
      <c r="I199" s="93"/>
      <c r="J199" s="93"/>
      <c r="K199" s="93">
        <v>2.92</v>
      </c>
      <c r="L199" s="174">
        <f>E199*Prices!B$2</f>
        <v>134200</v>
      </c>
      <c r="M199" s="174">
        <f>F199*Prices!C$2</f>
        <v>0</v>
      </c>
      <c r="N199" s="174">
        <f>G199*Prices!D$2</f>
        <v>0</v>
      </c>
      <c r="O199" s="174">
        <f>H199*Prices!E$2</f>
        <v>0</v>
      </c>
      <c r="P199" s="174">
        <f t="shared" si="18"/>
        <v>438</v>
      </c>
      <c r="Q199" s="174">
        <f>D199*Prices!A$2</f>
        <v>94426.5</v>
      </c>
      <c r="R199" s="175">
        <f t="shared" si="11"/>
        <v>134200</v>
      </c>
      <c r="S199" s="174">
        <f t="shared" si="12"/>
        <v>229064.5</v>
      </c>
      <c r="T199" s="26">
        <v>198.0</v>
      </c>
      <c r="U199" s="26" t="s">
        <v>80</v>
      </c>
      <c r="V199" s="93" t="s">
        <v>81</v>
      </c>
      <c r="W199" s="93"/>
      <c r="X199" s="93"/>
      <c r="Y199" s="93"/>
      <c r="Z199" s="93"/>
    </row>
    <row r="200">
      <c r="A200" s="93">
        <v>199.0</v>
      </c>
      <c r="B200" s="93">
        <v>11.11</v>
      </c>
      <c r="C200" s="93">
        <f t="shared" si="9"/>
        <v>2.7775</v>
      </c>
      <c r="D200" s="93">
        <f t="shared" si="10"/>
        <v>13.8875</v>
      </c>
      <c r="E200" s="93">
        <v>1.6</v>
      </c>
      <c r="F200" s="93"/>
      <c r="G200" s="93"/>
      <c r="H200" s="93"/>
      <c r="I200" s="93"/>
      <c r="J200" s="93"/>
      <c r="K200" s="93">
        <v>4.0</v>
      </c>
      <c r="L200" s="174">
        <f>E200*Prices!B$2</f>
        <v>176000</v>
      </c>
      <c r="M200" s="174">
        <f>F200*Prices!C$2</f>
        <v>0</v>
      </c>
      <c r="N200" s="174">
        <f>G200*Prices!D$2</f>
        <v>0</v>
      </c>
      <c r="O200" s="174">
        <f>H200*Prices!E$2</f>
        <v>0</v>
      </c>
      <c r="P200" s="174">
        <f t="shared" ref="P200:P201" si="19">I200*4000+J200*10000+K200*1000</f>
        <v>4000</v>
      </c>
      <c r="Q200" s="174">
        <f>D200*Prices!A$2</f>
        <v>247891.875</v>
      </c>
      <c r="R200" s="175">
        <f t="shared" si="11"/>
        <v>176000</v>
      </c>
      <c r="S200" s="174">
        <f t="shared" si="12"/>
        <v>427891.875</v>
      </c>
      <c r="T200" s="93">
        <v>199.0</v>
      </c>
      <c r="U200" s="26" t="s">
        <v>82</v>
      </c>
      <c r="V200" s="93"/>
      <c r="W200" s="93"/>
      <c r="X200" s="93"/>
      <c r="Y200" s="93"/>
      <c r="Z200" s="93"/>
    </row>
    <row r="201">
      <c r="A201" s="93">
        <v>200.0</v>
      </c>
      <c r="B201" s="93">
        <v>1.928</v>
      </c>
      <c r="C201" s="93">
        <f t="shared" si="9"/>
        <v>0.482</v>
      </c>
      <c r="D201" s="93">
        <f t="shared" si="10"/>
        <v>2.41</v>
      </c>
      <c r="E201" s="93">
        <v>0.51</v>
      </c>
      <c r="F201" s="93"/>
      <c r="G201" s="93"/>
      <c r="H201" s="93"/>
      <c r="I201" s="93"/>
      <c r="J201" s="93"/>
      <c r="K201" s="93"/>
      <c r="L201" s="174">
        <f>E201*Prices!B$2</f>
        <v>56100</v>
      </c>
      <c r="M201" s="174">
        <f>F201*Prices!C$2</f>
        <v>0</v>
      </c>
      <c r="N201" s="174">
        <f>G201*Prices!D$2</f>
        <v>0</v>
      </c>
      <c r="O201" s="174">
        <f>H201*Prices!E$2</f>
        <v>0</v>
      </c>
      <c r="P201" s="174">
        <f t="shared" si="19"/>
        <v>0</v>
      </c>
      <c r="Q201" s="174">
        <f>D201*Prices!A$2</f>
        <v>43018.5</v>
      </c>
      <c r="R201" s="175">
        <f t="shared" si="11"/>
        <v>56100</v>
      </c>
      <c r="S201" s="174">
        <f t="shared" si="12"/>
        <v>99118.5</v>
      </c>
      <c r="T201" s="93">
        <v>200.0</v>
      </c>
      <c r="U201" s="26" t="s">
        <v>80</v>
      </c>
      <c r="V201" s="93" t="s">
        <v>81</v>
      </c>
      <c r="W201" s="93"/>
      <c r="X201" s="93"/>
      <c r="Y201" s="93"/>
      <c r="Z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conditionalFormatting sqref="U2:U201">
    <cfRule type="containsText" dxfId="4" priority="1" operator="containsText" text="Available">
      <formula>NOT(ISERROR(SEARCH(("Available"),(U2))))</formula>
    </cfRule>
  </conditionalFormatting>
  <conditionalFormatting sqref="U2:U201">
    <cfRule type="containsText" dxfId="5" priority="2" operator="containsText" text="Sold">
      <formula>NOT(ISERROR(SEARCH(("Sold"),(U2))))</formula>
    </cfRule>
  </conditionalFormatting>
  <conditionalFormatting sqref="U2:U201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5.57"/>
    <col customWidth="1" min="21" max="21" width="11.0"/>
    <col customWidth="1" min="22" max="26" width="8.71"/>
  </cols>
  <sheetData>
    <row r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2</v>
      </c>
      <c r="U1" s="26"/>
      <c r="V1" s="93"/>
      <c r="W1" s="93"/>
      <c r="X1" s="93"/>
      <c r="Y1" s="93"/>
      <c r="Z1" s="93"/>
    </row>
    <row r="2">
      <c r="A2" s="26">
        <v>1.0</v>
      </c>
      <c r="B2" s="26">
        <v>3.168</v>
      </c>
      <c r="C2" s="26">
        <f t="shared" ref="C2:C114" si="1">B2*(25/100)</f>
        <v>0.792</v>
      </c>
      <c r="D2" s="26">
        <f t="shared" ref="D2:D114" si="2">C2+B2</f>
        <v>3.96</v>
      </c>
      <c r="E2" s="26">
        <v>0.56</v>
      </c>
      <c r="F2" s="26"/>
      <c r="G2" s="26"/>
      <c r="H2" s="26"/>
      <c r="I2" s="26"/>
      <c r="J2" s="26"/>
      <c r="K2" s="26"/>
      <c r="L2" s="174">
        <f>E2*Prices!B$2</f>
        <v>61600</v>
      </c>
      <c r="M2" s="174">
        <f>F2*Prices!C$2</f>
        <v>0</v>
      </c>
      <c r="N2" s="174">
        <f>G2*Prices!D$2</f>
        <v>0</v>
      </c>
      <c r="O2" s="174">
        <f>H2*Prices!E$2</f>
        <v>0</v>
      </c>
      <c r="P2" s="174">
        <f t="shared" ref="P2:P3" si="3">I2*2000+J2*10000+K2*1800</f>
        <v>0</v>
      </c>
      <c r="Q2" s="174">
        <f>D2*Prices!A$2</f>
        <v>70686</v>
      </c>
      <c r="R2" s="175">
        <f t="shared" ref="R2:R114" si="4">L2+M2+N2+O2</f>
        <v>61600</v>
      </c>
      <c r="S2" s="174">
        <f t="shared" ref="S2:S114" si="5">R2+Q2+P2</f>
        <v>132286</v>
      </c>
      <c r="T2" s="26">
        <v>1.0</v>
      </c>
      <c r="U2" s="26" t="s">
        <v>82</v>
      </c>
      <c r="V2" s="93"/>
      <c r="W2" s="93"/>
      <c r="X2" s="93"/>
      <c r="Y2" s="93"/>
      <c r="Z2" s="93"/>
    </row>
    <row r="3">
      <c r="A3" s="26">
        <v>2.0</v>
      </c>
      <c r="B3" s="26">
        <v>3.718</v>
      </c>
      <c r="C3" s="26">
        <f t="shared" si="1"/>
        <v>0.9295</v>
      </c>
      <c r="D3" s="26">
        <f t="shared" si="2"/>
        <v>4.6475</v>
      </c>
      <c r="E3" s="26">
        <v>1.36</v>
      </c>
      <c r="F3" s="26"/>
      <c r="G3" s="26"/>
      <c r="H3" s="26"/>
      <c r="I3" s="26"/>
      <c r="J3" s="26"/>
      <c r="K3" s="26"/>
      <c r="L3" s="174">
        <f>E3*Prices!B$2</f>
        <v>149600</v>
      </c>
      <c r="M3" s="174">
        <f>F3*Prices!C$2</f>
        <v>0</v>
      </c>
      <c r="N3" s="174">
        <f>G3*Prices!D$2</f>
        <v>0</v>
      </c>
      <c r="O3" s="174">
        <f>H3*Prices!E$2</f>
        <v>0</v>
      </c>
      <c r="P3" s="174">
        <f t="shared" si="3"/>
        <v>0</v>
      </c>
      <c r="Q3" s="174">
        <f>D3*Prices!A$2</f>
        <v>82957.875</v>
      </c>
      <c r="R3" s="175">
        <f t="shared" si="4"/>
        <v>149600</v>
      </c>
      <c r="S3" s="174">
        <f t="shared" si="5"/>
        <v>232557.875</v>
      </c>
      <c r="T3" s="26">
        <v>2.0</v>
      </c>
      <c r="U3" s="26" t="s">
        <v>80</v>
      </c>
      <c r="V3" s="93" t="s">
        <v>81</v>
      </c>
      <c r="W3" s="93"/>
      <c r="X3" s="93"/>
      <c r="Y3" s="93"/>
      <c r="Z3" s="93"/>
    </row>
    <row r="4">
      <c r="A4" s="26">
        <v>3.0</v>
      </c>
      <c r="B4" s="26">
        <v>2.968</v>
      </c>
      <c r="C4" s="26">
        <f t="shared" si="1"/>
        <v>0.742</v>
      </c>
      <c r="D4" s="26">
        <f t="shared" si="2"/>
        <v>3.71</v>
      </c>
      <c r="E4" s="26"/>
      <c r="F4" s="26">
        <v>1.04</v>
      </c>
      <c r="G4" s="26"/>
      <c r="H4" s="26"/>
      <c r="I4" s="26"/>
      <c r="J4" s="26"/>
      <c r="K4" s="26">
        <v>2.52</v>
      </c>
      <c r="L4" s="174">
        <f>E4*Prices!B$2</f>
        <v>0</v>
      </c>
      <c r="M4" s="174">
        <f>F4*Prices!C$2</f>
        <v>166400</v>
      </c>
      <c r="N4" s="174">
        <f>G4*Prices!D$2</f>
        <v>0</v>
      </c>
      <c r="O4" s="174">
        <f>H4*Prices!E$2</f>
        <v>0</v>
      </c>
      <c r="P4" s="174">
        <f>I4*2000+J4*10000+K4*500</f>
        <v>1260</v>
      </c>
      <c r="Q4" s="174">
        <f>D4*Prices!A$2</f>
        <v>66223.5</v>
      </c>
      <c r="R4" s="175">
        <f t="shared" si="4"/>
        <v>166400</v>
      </c>
      <c r="S4" s="174">
        <f t="shared" si="5"/>
        <v>233883.5</v>
      </c>
      <c r="T4" s="26">
        <v>3.0</v>
      </c>
      <c r="U4" s="26" t="s">
        <v>80</v>
      </c>
      <c r="V4" s="93"/>
      <c r="W4" s="93"/>
      <c r="X4" s="93"/>
      <c r="Y4" s="93"/>
      <c r="Z4" s="93"/>
    </row>
    <row r="5">
      <c r="A5" s="26">
        <v>4.0</v>
      </c>
      <c r="B5" s="26">
        <v>5.27</v>
      </c>
      <c r="C5" s="26">
        <f t="shared" si="1"/>
        <v>1.3175</v>
      </c>
      <c r="D5" s="26">
        <f t="shared" si="2"/>
        <v>6.5875</v>
      </c>
      <c r="E5" s="26">
        <v>0.39</v>
      </c>
      <c r="F5" s="26"/>
      <c r="G5" s="26"/>
      <c r="H5" s="26"/>
      <c r="I5" s="26"/>
      <c r="J5" s="26"/>
      <c r="K5" s="26"/>
      <c r="L5" s="174">
        <f>E5*Prices!B$2</f>
        <v>42900</v>
      </c>
      <c r="M5" s="174">
        <f>F5*Prices!C$2</f>
        <v>0</v>
      </c>
      <c r="N5" s="174">
        <f>G5*Prices!D$2</f>
        <v>0</v>
      </c>
      <c r="O5" s="174">
        <f>H5*Prices!E$2</f>
        <v>0</v>
      </c>
      <c r="P5" s="174">
        <f t="shared" ref="P5:P7" si="6">I5*2000+J5*10000+K5*1800</f>
        <v>0</v>
      </c>
      <c r="Q5" s="174">
        <f>D5*Prices!A$2</f>
        <v>117586.875</v>
      </c>
      <c r="R5" s="175">
        <f t="shared" si="4"/>
        <v>42900</v>
      </c>
      <c r="S5" s="174">
        <f t="shared" si="5"/>
        <v>160486.875</v>
      </c>
      <c r="T5" s="26">
        <v>4.0</v>
      </c>
      <c r="U5" s="26" t="s">
        <v>80</v>
      </c>
      <c r="V5" s="93" t="s">
        <v>81</v>
      </c>
      <c r="W5" s="93"/>
      <c r="X5" s="93"/>
      <c r="Y5" s="93"/>
      <c r="Z5" s="93"/>
    </row>
    <row r="6">
      <c r="A6" s="26">
        <v>5.0</v>
      </c>
      <c r="B6" s="26">
        <v>4.32</v>
      </c>
      <c r="C6" s="26">
        <f t="shared" si="1"/>
        <v>1.08</v>
      </c>
      <c r="D6" s="26">
        <f t="shared" si="2"/>
        <v>5.4</v>
      </c>
      <c r="E6" s="26">
        <v>1.31</v>
      </c>
      <c r="F6" s="26"/>
      <c r="G6" s="26"/>
      <c r="H6" s="26"/>
      <c r="I6" s="26"/>
      <c r="J6" s="26"/>
      <c r="K6" s="26"/>
      <c r="L6" s="174">
        <f>E6*Prices!B$2</f>
        <v>144100</v>
      </c>
      <c r="M6" s="174">
        <f>F6*Prices!C$2</f>
        <v>0</v>
      </c>
      <c r="N6" s="174">
        <f>G6*Prices!D$2</f>
        <v>0</v>
      </c>
      <c r="O6" s="174">
        <f>H6*Prices!E$2</f>
        <v>0</v>
      </c>
      <c r="P6" s="174">
        <f t="shared" si="6"/>
        <v>0</v>
      </c>
      <c r="Q6" s="174">
        <f>D6*Prices!A$2</f>
        <v>96390</v>
      </c>
      <c r="R6" s="175">
        <f t="shared" si="4"/>
        <v>144100</v>
      </c>
      <c r="S6" s="174">
        <f t="shared" si="5"/>
        <v>240490</v>
      </c>
      <c r="T6" s="26">
        <v>5.0</v>
      </c>
      <c r="U6" s="26" t="s">
        <v>82</v>
      </c>
      <c r="V6" s="93"/>
      <c r="W6" s="93"/>
      <c r="X6" s="93"/>
      <c r="Y6" s="93"/>
      <c r="Z6" s="93"/>
    </row>
    <row r="7">
      <c r="A7" s="196">
        <v>6.0</v>
      </c>
      <c r="B7" s="196">
        <v>2.21</v>
      </c>
      <c r="C7" s="196">
        <f t="shared" si="1"/>
        <v>0.5525</v>
      </c>
      <c r="D7" s="196">
        <f t="shared" si="2"/>
        <v>2.7625</v>
      </c>
      <c r="E7" s="196">
        <v>0.61</v>
      </c>
      <c r="F7" s="196"/>
      <c r="G7" s="196"/>
      <c r="H7" s="196"/>
      <c r="I7" s="196"/>
      <c r="J7" s="196"/>
      <c r="K7" s="196"/>
      <c r="L7" s="197">
        <f>E7*Prices!B$2</f>
        <v>67100</v>
      </c>
      <c r="M7" s="197">
        <f>F7*Prices!C$2</f>
        <v>0</v>
      </c>
      <c r="N7" s="197">
        <f>G7*Prices!D$2</f>
        <v>0</v>
      </c>
      <c r="O7" s="197">
        <f>H7*Prices!E$2</f>
        <v>0</v>
      </c>
      <c r="P7" s="197">
        <f t="shared" si="6"/>
        <v>0</v>
      </c>
      <c r="Q7" s="197">
        <f>D7*Prices!A$2</f>
        <v>49310.625</v>
      </c>
      <c r="R7" s="198">
        <f t="shared" si="4"/>
        <v>67100</v>
      </c>
      <c r="S7" s="197">
        <f t="shared" si="5"/>
        <v>116410.625</v>
      </c>
      <c r="T7" s="196">
        <v>6.0</v>
      </c>
      <c r="U7" s="196" t="s">
        <v>83</v>
      </c>
      <c r="V7" s="192"/>
      <c r="W7" s="192"/>
      <c r="X7" s="192"/>
      <c r="Y7" s="192"/>
      <c r="Z7" s="192"/>
    </row>
    <row r="8">
      <c r="A8" s="26">
        <v>7.0</v>
      </c>
      <c r="B8" s="26">
        <v>4.28</v>
      </c>
      <c r="C8" s="26">
        <f t="shared" si="1"/>
        <v>1.07</v>
      </c>
      <c r="D8" s="26">
        <f t="shared" si="2"/>
        <v>5.35</v>
      </c>
      <c r="E8" s="26"/>
      <c r="F8" s="26"/>
      <c r="G8" s="26">
        <v>1.34</v>
      </c>
      <c r="H8" s="26"/>
      <c r="I8" s="26"/>
      <c r="J8" s="26"/>
      <c r="K8" s="26">
        <v>2.54</v>
      </c>
      <c r="L8" s="174">
        <f>E8*Prices!B$2</f>
        <v>0</v>
      </c>
      <c r="M8" s="174">
        <f>F8*Prices!C$2</f>
        <v>0</v>
      </c>
      <c r="N8" s="174">
        <f>G8*Prices!D$2</f>
        <v>261300</v>
      </c>
      <c r="O8" s="174">
        <f>H8*Prices!E$2</f>
        <v>0</v>
      </c>
      <c r="P8" s="174">
        <f t="shared" ref="P8:P9" si="7">I8*2000+J8*10000+K8*500</f>
        <v>1270</v>
      </c>
      <c r="Q8" s="174">
        <f>D8*Prices!A$2</f>
        <v>95497.5</v>
      </c>
      <c r="R8" s="175">
        <f t="shared" si="4"/>
        <v>261300</v>
      </c>
      <c r="S8" s="174">
        <f t="shared" si="5"/>
        <v>358067.5</v>
      </c>
      <c r="T8" s="26">
        <v>7.0</v>
      </c>
      <c r="U8" s="26" t="s">
        <v>80</v>
      </c>
      <c r="V8" s="93" t="s">
        <v>81</v>
      </c>
      <c r="W8" s="93"/>
      <c r="X8" s="93"/>
      <c r="Y8" s="93"/>
      <c r="Z8" s="93"/>
    </row>
    <row r="9">
      <c r="A9" s="26">
        <v>8.0</v>
      </c>
      <c r="B9" s="26">
        <v>1.98</v>
      </c>
      <c r="C9" s="26">
        <f t="shared" si="1"/>
        <v>0.495</v>
      </c>
      <c r="D9" s="26">
        <f t="shared" si="2"/>
        <v>2.475</v>
      </c>
      <c r="E9" s="26">
        <v>0.31</v>
      </c>
      <c r="F9" s="26"/>
      <c r="G9" s="26"/>
      <c r="H9" s="26"/>
      <c r="I9" s="26"/>
      <c r="J9" s="26"/>
      <c r="K9" s="26">
        <v>2.17</v>
      </c>
      <c r="L9" s="174">
        <f>E9*Prices!B$2</f>
        <v>34100</v>
      </c>
      <c r="M9" s="174">
        <f>F9*Prices!C$2</f>
        <v>0</v>
      </c>
      <c r="N9" s="174">
        <f>G9*Prices!D$2</f>
        <v>0</v>
      </c>
      <c r="O9" s="174">
        <f>H9*Prices!E$2</f>
        <v>0</v>
      </c>
      <c r="P9" s="174">
        <f t="shared" si="7"/>
        <v>1085</v>
      </c>
      <c r="Q9" s="174">
        <f>D9*Prices!A$2</f>
        <v>44178.75</v>
      </c>
      <c r="R9" s="175">
        <f t="shared" si="4"/>
        <v>34100</v>
      </c>
      <c r="S9" s="174">
        <f t="shared" si="5"/>
        <v>79363.75</v>
      </c>
      <c r="T9" s="26">
        <v>8.0</v>
      </c>
      <c r="U9" s="26" t="s">
        <v>80</v>
      </c>
      <c r="V9" s="93" t="s">
        <v>81</v>
      </c>
      <c r="W9" s="93"/>
      <c r="X9" s="93"/>
      <c r="Y9" s="93"/>
      <c r="Z9" s="93"/>
    </row>
    <row r="10">
      <c r="A10" s="26">
        <v>9.0</v>
      </c>
      <c r="B10" s="26">
        <v>5.49</v>
      </c>
      <c r="C10" s="26">
        <f t="shared" si="1"/>
        <v>1.3725</v>
      </c>
      <c r="D10" s="26">
        <f t="shared" si="2"/>
        <v>6.8625</v>
      </c>
      <c r="E10" s="26">
        <v>0.59</v>
      </c>
      <c r="F10" s="26"/>
      <c r="G10" s="26"/>
      <c r="H10" s="26"/>
      <c r="I10" s="26"/>
      <c r="J10" s="26"/>
      <c r="K10" s="26"/>
      <c r="L10" s="174">
        <f>E10*Prices!B$2</f>
        <v>64900</v>
      </c>
      <c r="M10" s="174">
        <f>F10*Prices!C$2</f>
        <v>0</v>
      </c>
      <c r="N10" s="174">
        <f>G10*Prices!D$2</f>
        <v>0</v>
      </c>
      <c r="O10" s="174">
        <f>H10*Prices!E$2</f>
        <v>0</v>
      </c>
      <c r="P10" s="174">
        <f t="shared" ref="P10:P21" si="8">I10*2000+J10*10000+K10*1800</f>
        <v>0</v>
      </c>
      <c r="Q10" s="174">
        <f>D10*Prices!A$2</f>
        <v>122495.625</v>
      </c>
      <c r="R10" s="175">
        <f t="shared" si="4"/>
        <v>64900</v>
      </c>
      <c r="S10" s="174">
        <f t="shared" si="5"/>
        <v>187395.625</v>
      </c>
      <c r="T10" s="26">
        <v>9.0</v>
      </c>
      <c r="U10" s="26" t="s">
        <v>82</v>
      </c>
      <c r="V10" s="93"/>
      <c r="W10" s="93"/>
      <c r="X10" s="93"/>
      <c r="Y10" s="93"/>
      <c r="Z10" s="93"/>
    </row>
    <row r="11">
      <c r="A11" s="26">
        <v>10.0</v>
      </c>
      <c r="B11" s="26">
        <v>8.81</v>
      </c>
      <c r="C11" s="26">
        <f t="shared" si="1"/>
        <v>2.2025</v>
      </c>
      <c r="D11" s="26">
        <f t="shared" si="2"/>
        <v>11.0125</v>
      </c>
      <c r="E11" s="26">
        <v>2.23</v>
      </c>
      <c r="F11" s="26"/>
      <c r="G11" s="26"/>
      <c r="H11" s="26"/>
      <c r="I11" s="26"/>
      <c r="J11" s="26"/>
      <c r="K11" s="26"/>
      <c r="L11" s="174">
        <f>E11*Prices!B$2</f>
        <v>245300</v>
      </c>
      <c r="M11" s="174">
        <f>F11*Prices!C$2</f>
        <v>0</v>
      </c>
      <c r="N11" s="174">
        <f>G11*Prices!D$2</f>
        <v>0</v>
      </c>
      <c r="O11" s="174">
        <f>H11*Prices!E$2</f>
        <v>0</v>
      </c>
      <c r="P11" s="174">
        <f t="shared" si="8"/>
        <v>0</v>
      </c>
      <c r="Q11" s="174">
        <f>D11*Prices!A$2</f>
        <v>196573.125</v>
      </c>
      <c r="R11" s="175">
        <f t="shared" si="4"/>
        <v>245300</v>
      </c>
      <c r="S11" s="174">
        <f t="shared" si="5"/>
        <v>441873.125</v>
      </c>
      <c r="T11" s="26">
        <v>10.0</v>
      </c>
      <c r="U11" s="26" t="s">
        <v>80</v>
      </c>
      <c r="V11" s="93" t="s">
        <v>81</v>
      </c>
      <c r="W11" s="93"/>
      <c r="X11" s="93"/>
      <c r="Y11" s="93"/>
      <c r="Z11" s="93"/>
    </row>
    <row r="12">
      <c r="A12" s="26">
        <v>11.0</v>
      </c>
      <c r="B12" s="26">
        <v>1.784</v>
      </c>
      <c r="C12" s="26">
        <f t="shared" si="1"/>
        <v>0.446</v>
      </c>
      <c r="D12" s="26">
        <f t="shared" si="2"/>
        <v>2.23</v>
      </c>
      <c r="E12" s="26">
        <v>0.31</v>
      </c>
      <c r="F12" s="26"/>
      <c r="G12" s="26"/>
      <c r="H12" s="26"/>
      <c r="I12" s="26"/>
      <c r="J12" s="26"/>
      <c r="K12" s="26"/>
      <c r="L12" s="174">
        <f>E12*Prices!B$2</f>
        <v>34100</v>
      </c>
      <c r="M12" s="174">
        <f>F12*Prices!C$2</f>
        <v>0</v>
      </c>
      <c r="N12" s="174">
        <f>G12*Prices!D$2</f>
        <v>0</v>
      </c>
      <c r="O12" s="174">
        <f>H12*Prices!E$2</f>
        <v>0</v>
      </c>
      <c r="P12" s="174">
        <f t="shared" si="8"/>
        <v>0</v>
      </c>
      <c r="Q12" s="174">
        <f>D12*Prices!A$2</f>
        <v>39805.5</v>
      </c>
      <c r="R12" s="175">
        <f t="shared" si="4"/>
        <v>34100</v>
      </c>
      <c r="S12" s="174">
        <f t="shared" si="5"/>
        <v>73905.5</v>
      </c>
      <c r="T12" s="26">
        <v>11.0</v>
      </c>
      <c r="U12" s="26" t="s">
        <v>82</v>
      </c>
      <c r="V12" s="93"/>
      <c r="W12" s="93"/>
      <c r="X12" s="93"/>
      <c r="Y12" s="93"/>
      <c r="Z12" s="93"/>
    </row>
    <row r="13">
      <c r="A13" s="26">
        <v>12.0</v>
      </c>
      <c r="B13" s="26">
        <v>2.516</v>
      </c>
      <c r="C13" s="26">
        <f t="shared" si="1"/>
        <v>0.629</v>
      </c>
      <c r="D13" s="26">
        <f t="shared" si="2"/>
        <v>3.145</v>
      </c>
      <c r="E13" s="26">
        <v>1.22</v>
      </c>
      <c r="F13" s="26"/>
      <c r="G13" s="26"/>
      <c r="H13" s="26"/>
      <c r="I13" s="26"/>
      <c r="J13" s="26"/>
      <c r="K13" s="26"/>
      <c r="L13" s="174">
        <f>E13*Prices!B$2</f>
        <v>134200</v>
      </c>
      <c r="M13" s="174">
        <f>F13*Prices!C$2</f>
        <v>0</v>
      </c>
      <c r="N13" s="174">
        <f>G13*Prices!D$2</f>
        <v>0</v>
      </c>
      <c r="O13" s="174">
        <f>H13*Prices!E$2</f>
        <v>0</v>
      </c>
      <c r="P13" s="174">
        <f t="shared" si="8"/>
        <v>0</v>
      </c>
      <c r="Q13" s="174">
        <f>D13*Prices!A$2</f>
        <v>56138.25</v>
      </c>
      <c r="R13" s="175">
        <f t="shared" si="4"/>
        <v>134200</v>
      </c>
      <c r="S13" s="174">
        <f t="shared" si="5"/>
        <v>190338.25</v>
      </c>
      <c r="T13" s="26">
        <v>12.0</v>
      </c>
      <c r="U13" s="26" t="s">
        <v>80</v>
      </c>
      <c r="V13" s="93" t="s">
        <v>81</v>
      </c>
      <c r="W13" s="93"/>
      <c r="X13" s="93"/>
      <c r="Y13" s="93"/>
      <c r="Z13" s="93"/>
    </row>
    <row r="14">
      <c r="A14" s="26">
        <v>13.0</v>
      </c>
      <c r="B14" s="26">
        <v>2.76</v>
      </c>
      <c r="C14" s="26">
        <f t="shared" si="1"/>
        <v>0.69</v>
      </c>
      <c r="D14" s="26">
        <f t="shared" si="2"/>
        <v>3.45</v>
      </c>
      <c r="E14" s="26">
        <v>0.25</v>
      </c>
      <c r="F14" s="26"/>
      <c r="G14" s="26"/>
      <c r="H14" s="26"/>
      <c r="I14" s="26"/>
      <c r="J14" s="26"/>
      <c r="K14" s="26"/>
      <c r="L14" s="174">
        <f>E14*Prices!B$2</f>
        <v>27500</v>
      </c>
      <c r="M14" s="174">
        <f>F14*Prices!C$2</f>
        <v>0</v>
      </c>
      <c r="N14" s="174">
        <f>G14*Prices!D$2</f>
        <v>0</v>
      </c>
      <c r="O14" s="174">
        <f>H14*Prices!E$2</f>
        <v>0</v>
      </c>
      <c r="P14" s="174">
        <f t="shared" si="8"/>
        <v>0</v>
      </c>
      <c r="Q14" s="174">
        <f>D14*Prices!A$2</f>
        <v>61582.5</v>
      </c>
      <c r="R14" s="175">
        <f t="shared" si="4"/>
        <v>27500</v>
      </c>
      <c r="S14" s="174">
        <f t="shared" si="5"/>
        <v>89082.5</v>
      </c>
      <c r="T14" s="26">
        <v>13.0</v>
      </c>
      <c r="U14" s="26" t="s">
        <v>80</v>
      </c>
      <c r="V14" s="93" t="s">
        <v>81</v>
      </c>
      <c r="W14" s="93"/>
      <c r="X14" s="93"/>
      <c r="Y14" s="93"/>
      <c r="Z14" s="93"/>
    </row>
    <row r="15">
      <c r="A15" s="196">
        <v>14.0</v>
      </c>
      <c r="B15" s="196">
        <v>7.68</v>
      </c>
      <c r="C15" s="196">
        <f t="shared" si="1"/>
        <v>1.92</v>
      </c>
      <c r="D15" s="196">
        <f t="shared" si="2"/>
        <v>9.6</v>
      </c>
      <c r="E15" s="196">
        <v>1.23</v>
      </c>
      <c r="F15" s="196"/>
      <c r="G15" s="196"/>
      <c r="H15" s="196"/>
      <c r="I15" s="196"/>
      <c r="J15" s="196"/>
      <c r="K15" s="196"/>
      <c r="L15" s="197">
        <f>E15*Prices!B$2</f>
        <v>135300</v>
      </c>
      <c r="M15" s="197">
        <f>F15*Prices!C$2</f>
        <v>0</v>
      </c>
      <c r="N15" s="197">
        <f>G15*Prices!D$2</f>
        <v>0</v>
      </c>
      <c r="O15" s="197">
        <f>H15*Prices!E$2</f>
        <v>0</v>
      </c>
      <c r="P15" s="197">
        <f t="shared" si="8"/>
        <v>0</v>
      </c>
      <c r="Q15" s="197">
        <f>D15*Prices!A$2</f>
        <v>171360</v>
      </c>
      <c r="R15" s="198">
        <f t="shared" si="4"/>
        <v>135300</v>
      </c>
      <c r="S15" s="197">
        <f t="shared" si="5"/>
        <v>306660</v>
      </c>
      <c r="T15" s="196">
        <v>14.0</v>
      </c>
      <c r="U15" s="196" t="s">
        <v>83</v>
      </c>
      <c r="V15" s="192"/>
      <c r="W15" s="192"/>
      <c r="X15" s="192"/>
      <c r="Y15" s="192"/>
      <c r="Z15" s="192"/>
    </row>
    <row r="16">
      <c r="A16" s="26">
        <v>15.0</v>
      </c>
      <c r="B16" s="26">
        <v>1.62</v>
      </c>
      <c r="C16" s="26">
        <f t="shared" si="1"/>
        <v>0.405</v>
      </c>
      <c r="D16" s="26">
        <f t="shared" si="2"/>
        <v>2.025</v>
      </c>
      <c r="E16" s="26">
        <v>0.36</v>
      </c>
      <c r="F16" s="26"/>
      <c r="G16" s="26"/>
      <c r="H16" s="26"/>
      <c r="I16" s="26"/>
      <c r="J16" s="26"/>
      <c r="K16" s="26"/>
      <c r="L16" s="174">
        <f>E16*Prices!B$2</f>
        <v>39600</v>
      </c>
      <c r="M16" s="174">
        <f>F16*Prices!C$2</f>
        <v>0</v>
      </c>
      <c r="N16" s="174">
        <f>G16*Prices!D$2</f>
        <v>0</v>
      </c>
      <c r="O16" s="174">
        <f>H16*Prices!E$2</f>
        <v>0</v>
      </c>
      <c r="P16" s="174">
        <f t="shared" si="8"/>
        <v>0</v>
      </c>
      <c r="Q16" s="174">
        <f>D16*Prices!A$2</f>
        <v>36146.25</v>
      </c>
      <c r="R16" s="175">
        <f t="shared" si="4"/>
        <v>39600</v>
      </c>
      <c r="S16" s="174">
        <f t="shared" si="5"/>
        <v>75746.25</v>
      </c>
      <c r="T16" s="26">
        <v>15.0</v>
      </c>
      <c r="U16" s="26" t="s">
        <v>82</v>
      </c>
      <c r="V16" s="93"/>
      <c r="W16" s="93"/>
      <c r="X16" s="93"/>
      <c r="Y16" s="93"/>
      <c r="Z16" s="93"/>
    </row>
    <row r="17">
      <c r="A17" s="26">
        <v>16.0</v>
      </c>
      <c r="B17" s="26">
        <v>5.232</v>
      </c>
      <c r="C17" s="26">
        <f t="shared" si="1"/>
        <v>1.308</v>
      </c>
      <c r="D17" s="26">
        <f t="shared" si="2"/>
        <v>6.54</v>
      </c>
      <c r="E17" s="26">
        <v>0.24</v>
      </c>
      <c r="F17" s="26"/>
      <c r="G17" s="26"/>
      <c r="H17" s="26"/>
      <c r="I17" s="26"/>
      <c r="J17" s="26"/>
      <c r="K17" s="26"/>
      <c r="L17" s="174">
        <f>E17*Prices!B$2</f>
        <v>26400</v>
      </c>
      <c r="M17" s="174">
        <f>F17*Prices!C$2</f>
        <v>0</v>
      </c>
      <c r="N17" s="174">
        <f>G17*Prices!D$2</f>
        <v>0</v>
      </c>
      <c r="O17" s="174">
        <f>H17*Prices!E$2</f>
        <v>0</v>
      </c>
      <c r="P17" s="174">
        <f t="shared" si="8"/>
        <v>0</v>
      </c>
      <c r="Q17" s="174">
        <f>D17*Prices!A$2</f>
        <v>116739</v>
      </c>
      <c r="R17" s="175">
        <f t="shared" si="4"/>
        <v>26400</v>
      </c>
      <c r="S17" s="174">
        <f t="shared" si="5"/>
        <v>143139</v>
      </c>
      <c r="T17" s="26">
        <v>16.0</v>
      </c>
      <c r="U17" s="26" t="s">
        <v>80</v>
      </c>
      <c r="V17" s="93" t="s">
        <v>81</v>
      </c>
      <c r="W17" s="93"/>
      <c r="X17" s="93"/>
      <c r="Y17" s="93"/>
      <c r="Z17" s="93"/>
    </row>
    <row r="18">
      <c r="A18" s="26">
        <v>17.0</v>
      </c>
      <c r="B18" s="26">
        <v>2.28</v>
      </c>
      <c r="C18" s="26">
        <f t="shared" si="1"/>
        <v>0.57</v>
      </c>
      <c r="D18" s="26">
        <f t="shared" si="2"/>
        <v>2.85</v>
      </c>
      <c r="E18" s="26">
        <v>0.57</v>
      </c>
      <c r="F18" s="26"/>
      <c r="G18" s="26"/>
      <c r="H18" s="26"/>
      <c r="I18" s="26"/>
      <c r="J18" s="26"/>
      <c r="K18" s="26"/>
      <c r="L18" s="174">
        <f>E18*Prices!B$2</f>
        <v>62700</v>
      </c>
      <c r="M18" s="174">
        <f>F18*Prices!C$2</f>
        <v>0</v>
      </c>
      <c r="N18" s="174">
        <f>G18*Prices!D$2</f>
        <v>0</v>
      </c>
      <c r="O18" s="174">
        <f>H18*Prices!E$2</f>
        <v>0</v>
      </c>
      <c r="P18" s="174">
        <f t="shared" si="8"/>
        <v>0</v>
      </c>
      <c r="Q18" s="174">
        <f>D18*Prices!A$2</f>
        <v>50872.5</v>
      </c>
      <c r="R18" s="175">
        <f t="shared" si="4"/>
        <v>62700</v>
      </c>
      <c r="S18" s="174">
        <f t="shared" si="5"/>
        <v>113572.5</v>
      </c>
      <c r="T18" s="26">
        <v>17.0</v>
      </c>
      <c r="U18" s="26" t="s">
        <v>82</v>
      </c>
      <c r="V18" s="93"/>
      <c r="W18" s="93"/>
      <c r="X18" s="93"/>
      <c r="Y18" s="93"/>
      <c r="Z18" s="93"/>
    </row>
    <row r="19">
      <c r="A19" s="26">
        <v>18.0</v>
      </c>
      <c r="B19" s="26">
        <v>2.27</v>
      </c>
      <c r="C19" s="26">
        <f t="shared" si="1"/>
        <v>0.5675</v>
      </c>
      <c r="D19" s="26">
        <f t="shared" si="2"/>
        <v>2.8375</v>
      </c>
      <c r="E19" s="26">
        <v>0.46</v>
      </c>
      <c r="F19" s="26"/>
      <c r="G19" s="26"/>
      <c r="H19" s="26"/>
      <c r="I19" s="26"/>
      <c r="J19" s="26"/>
      <c r="K19" s="26">
        <v>3.21</v>
      </c>
      <c r="L19" s="174">
        <f>E19*Prices!B$2</f>
        <v>50600</v>
      </c>
      <c r="M19" s="174">
        <f>F19*Prices!C$2</f>
        <v>0</v>
      </c>
      <c r="N19" s="174">
        <f>G19*Prices!D$2</f>
        <v>0</v>
      </c>
      <c r="O19" s="174">
        <f>H19*Prices!E$2</f>
        <v>0</v>
      </c>
      <c r="P19" s="174">
        <f t="shared" si="8"/>
        <v>5778</v>
      </c>
      <c r="Q19" s="174">
        <f>D19*Prices!A$2</f>
        <v>50649.375</v>
      </c>
      <c r="R19" s="175">
        <f t="shared" si="4"/>
        <v>50600</v>
      </c>
      <c r="S19" s="174">
        <f t="shared" si="5"/>
        <v>107027.375</v>
      </c>
      <c r="T19" s="26">
        <v>18.0</v>
      </c>
      <c r="U19" s="26" t="s">
        <v>80</v>
      </c>
      <c r="V19" s="93" t="s">
        <v>81</v>
      </c>
      <c r="W19" s="93"/>
      <c r="X19" s="93"/>
      <c r="Y19" s="93"/>
      <c r="Z19" s="93"/>
    </row>
    <row r="20">
      <c r="A20" s="26">
        <v>19.0</v>
      </c>
      <c r="B20" s="26">
        <v>2.38</v>
      </c>
      <c r="C20" s="26">
        <f t="shared" si="1"/>
        <v>0.595</v>
      </c>
      <c r="D20" s="26">
        <f t="shared" si="2"/>
        <v>2.975</v>
      </c>
      <c r="E20" s="26">
        <v>0.35</v>
      </c>
      <c r="F20" s="26"/>
      <c r="G20" s="26"/>
      <c r="H20" s="26"/>
      <c r="I20" s="26"/>
      <c r="J20" s="26"/>
      <c r="K20" s="26">
        <v>4.83</v>
      </c>
      <c r="L20" s="174">
        <f>E20*Prices!B$2</f>
        <v>38500</v>
      </c>
      <c r="M20" s="174">
        <f>F20*Prices!C$2</f>
        <v>0</v>
      </c>
      <c r="N20" s="174">
        <f>G20*Prices!D$2</f>
        <v>0</v>
      </c>
      <c r="O20" s="174">
        <f>H20*Prices!E$2</f>
        <v>0</v>
      </c>
      <c r="P20" s="174">
        <f t="shared" si="8"/>
        <v>8694</v>
      </c>
      <c r="Q20" s="174">
        <f>D20*Prices!A$2</f>
        <v>53103.75</v>
      </c>
      <c r="R20" s="175">
        <f t="shared" si="4"/>
        <v>38500</v>
      </c>
      <c r="S20" s="174">
        <f t="shared" si="5"/>
        <v>100297.75</v>
      </c>
      <c r="T20" s="26">
        <v>19.0</v>
      </c>
      <c r="U20" s="26" t="s">
        <v>80</v>
      </c>
      <c r="V20" s="93" t="s">
        <v>81</v>
      </c>
      <c r="W20" s="93"/>
      <c r="X20" s="93"/>
      <c r="Y20" s="93"/>
      <c r="Z20" s="93"/>
    </row>
    <row r="21">
      <c r="A21" s="26">
        <v>20.0</v>
      </c>
      <c r="B21" s="26">
        <v>12.63</v>
      </c>
      <c r="C21" s="26">
        <f t="shared" si="1"/>
        <v>3.1575</v>
      </c>
      <c r="D21" s="26">
        <f t="shared" si="2"/>
        <v>15.7875</v>
      </c>
      <c r="E21" s="26">
        <v>2.55</v>
      </c>
      <c r="F21" s="26"/>
      <c r="G21" s="26"/>
      <c r="H21" s="26"/>
      <c r="I21" s="26"/>
      <c r="J21" s="26"/>
      <c r="K21" s="26"/>
      <c r="L21" s="174">
        <f>E21*Prices!B$2</f>
        <v>280500</v>
      </c>
      <c r="M21" s="174">
        <f>F21*Prices!C$2</f>
        <v>0</v>
      </c>
      <c r="N21" s="174">
        <f>G21*Prices!D$2</f>
        <v>0</v>
      </c>
      <c r="O21" s="174">
        <f>H21*Prices!E$2</f>
        <v>0</v>
      </c>
      <c r="P21" s="174">
        <f t="shared" si="8"/>
        <v>0</v>
      </c>
      <c r="Q21" s="174">
        <f>D21*Prices!A$2</f>
        <v>281806.875</v>
      </c>
      <c r="R21" s="175">
        <f t="shared" si="4"/>
        <v>280500</v>
      </c>
      <c r="S21" s="174">
        <f t="shared" si="5"/>
        <v>562306.875</v>
      </c>
      <c r="T21" s="26">
        <v>20.0</v>
      </c>
      <c r="U21" s="26" t="s">
        <v>82</v>
      </c>
      <c r="V21" s="93"/>
      <c r="W21" s="93"/>
      <c r="X21" s="93"/>
      <c r="Y21" s="93"/>
      <c r="Z21" s="93"/>
    </row>
    <row r="22">
      <c r="A22" s="26">
        <v>21.0</v>
      </c>
      <c r="B22" s="26">
        <v>14.55</v>
      </c>
      <c r="C22" s="26">
        <f t="shared" si="1"/>
        <v>3.6375</v>
      </c>
      <c r="D22" s="26">
        <f t="shared" si="2"/>
        <v>18.1875</v>
      </c>
      <c r="E22" s="26">
        <f>2.6+0.55</f>
        <v>3.15</v>
      </c>
      <c r="F22" s="26"/>
      <c r="G22" s="26"/>
      <c r="H22" s="26"/>
      <c r="I22" s="26"/>
      <c r="J22" s="26"/>
      <c r="K22" s="26">
        <v>3.85</v>
      </c>
      <c r="L22" s="174">
        <f>E22*Prices!B$2</f>
        <v>346500</v>
      </c>
      <c r="M22" s="174">
        <f>F22*Prices!C$2</f>
        <v>0</v>
      </c>
      <c r="N22" s="174">
        <f>G22*Prices!D$2</f>
        <v>0</v>
      </c>
      <c r="O22" s="174">
        <f>H22*Prices!E$2</f>
        <v>0</v>
      </c>
      <c r="P22" s="174">
        <f>I22*2000+J22*10000+K22*500</f>
        <v>1925</v>
      </c>
      <c r="Q22" s="174">
        <f>D22*Prices!A$2</f>
        <v>324646.875</v>
      </c>
      <c r="R22" s="175">
        <f t="shared" si="4"/>
        <v>346500</v>
      </c>
      <c r="S22" s="174">
        <f t="shared" si="5"/>
        <v>673071.875</v>
      </c>
      <c r="T22" s="26">
        <v>21.0</v>
      </c>
      <c r="U22" s="26" t="s">
        <v>80</v>
      </c>
      <c r="V22" s="93" t="s">
        <v>81</v>
      </c>
      <c r="W22" s="93"/>
      <c r="X22" s="93"/>
      <c r="Y22" s="93"/>
      <c r="Z22" s="93"/>
    </row>
    <row r="23">
      <c r="A23" s="26">
        <v>22.0</v>
      </c>
      <c r="B23" s="26">
        <v>6.716</v>
      </c>
      <c r="C23" s="26">
        <f t="shared" si="1"/>
        <v>1.679</v>
      </c>
      <c r="D23" s="26">
        <f t="shared" si="2"/>
        <v>8.395</v>
      </c>
      <c r="E23" s="26">
        <v>1.36</v>
      </c>
      <c r="F23" s="26"/>
      <c r="G23" s="26"/>
      <c r="H23" s="26"/>
      <c r="I23" s="26"/>
      <c r="J23" s="26"/>
      <c r="K23" s="26">
        <v>1.56</v>
      </c>
      <c r="L23" s="174">
        <f>E23*Prices!B$2</f>
        <v>149600</v>
      </c>
      <c r="M23" s="174">
        <f>F23*Prices!C$2</f>
        <v>0</v>
      </c>
      <c r="N23" s="174">
        <f>G23*Prices!D$2</f>
        <v>0</v>
      </c>
      <c r="O23" s="174">
        <f>H23*Prices!E$2</f>
        <v>0</v>
      </c>
      <c r="P23" s="174">
        <f t="shared" ref="P23:P34" si="9">I23*2000+J23*10000+K23*1800</f>
        <v>2808</v>
      </c>
      <c r="Q23" s="174">
        <f>D23*Prices!A$2</f>
        <v>149850.75</v>
      </c>
      <c r="R23" s="175">
        <f t="shared" si="4"/>
        <v>149600</v>
      </c>
      <c r="S23" s="174">
        <f t="shared" si="5"/>
        <v>302258.75</v>
      </c>
      <c r="T23" s="26">
        <v>22.0</v>
      </c>
      <c r="U23" s="26" t="s">
        <v>80</v>
      </c>
      <c r="V23" s="93" t="s">
        <v>81</v>
      </c>
      <c r="W23" s="93"/>
      <c r="X23" s="93"/>
      <c r="Y23" s="93"/>
      <c r="Z23" s="93"/>
    </row>
    <row r="24">
      <c r="A24" s="26">
        <v>23.0</v>
      </c>
      <c r="B24" s="26">
        <v>5.14</v>
      </c>
      <c r="C24" s="26">
        <f t="shared" si="1"/>
        <v>1.285</v>
      </c>
      <c r="D24" s="26">
        <f t="shared" si="2"/>
        <v>6.425</v>
      </c>
      <c r="E24" s="26">
        <f>0.86+0.34</f>
        <v>1.2</v>
      </c>
      <c r="F24" s="26"/>
      <c r="G24" s="26"/>
      <c r="H24" s="26"/>
      <c r="I24" s="26"/>
      <c r="J24" s="26"/>
      <c r="K24" s="26"/>
      <c r="L24" s="174">
        <f>E24*Prices!B$2</f>
        <v>132000</v>
      </c>
      <c r="M24" s="174">
        <f>F24*Prices!C$2</f>
        <v>0</v>
      </c>
      <c r="N24" s="174">
        <f>G24*Prices!D$2</f>
        <v>0</v>
      </c>
      <c r="O24" s="174">
        <f>H24*Prices!E$2</f>
        <v>0</v>
      </c>
      <c r="P24" s="174">
        <f t="shared" si="9"/>
        <v>0</v>
      </c>
      <c r="Q24" s="174">
        <f>D24*Prices!A$2</f>
        <v>114686.25</v>
      </c>
      <c r="R24" s="175">
        <f t="shared" si="4"/>
        <v>132000</v>
      </c>
      <c r="S24" s="174">
        <f t="shared" si="5"/>
        <v>246686.25</v>
      </c>
      <c r="T24" s="26">
        <v>23.0</v>
      </c>
      <c r="U24" s="26" t="s">
        <v>80</v>
      </c>
      <c r="V24" s="93" t="s">
        <v>81</v>
      </c>
      <c r="W24" s="93"/>
      <c r="X24" s="93"/>
      <c r="Y24" s="93"/>
      <c r="Z24" s="93"/>
    </row>
    <row r="25">
      <c r="A25" s="26">
        <v>24.0</v>
      </c>
      <c r="B25" s="26">
        <v>3.03</v>
      </c>
      <c r="C25" s="26">
        <f t="shared" si="1"/>
        <v>0.7575</v>
      </c>
      <c r="D25" s="26">
        <f t="shared" si="2"/>
        <v>3.7875</v>
      </c>
      <c r="E25" s="26">
        <v>0.53</v>
      </c>
      <c r="F25" s="26"/>
      <c r="G25" s="26"/>
      <c r="H25" s="26"/>
      <c r="I25" s="26"/>
      <c r="J25" s="26"/>
      <c r="K25" s="26"/>
      <c r="L25" s="174">
        <f>E25*Prices!B$2</f>
        <v>58300</v>
      </c>
      <c r="M25" s="174">
        <f>F25*Prices!C$2</f>
        <v>0</v>
      </c>
      <c r="N25" s="174">
        <f>G25*Prices!D$2</f>
        <v>0</v>
      </c>
      <c r="O25" s="174">
        <f>H25*Prices!E$2</f>
        <v>0</v>
      </c>
      <c r="P25" s="174">
        <f t="shared" si="9"/>
        <v>0</v>
      </c>
      <c r="Q25" s="174">
        <f>D25*Prices!A$2</f>
        <v>67606.875</v>
      </c>
      <c r="R25" s="175">
        <f t="shared" si="4"/>
        <v>58300</v>
      </c>
      <c r="S25" s="174">
        <f t="shared" si="5"/>
        <v>125906.875</v>
      </c>
      <c r="T25" s="26">
        <v>24.0</v>
      </c>
      <c r="U25" s="26" t="s">
        <v>82</v>
      </c>
      <c r="V25" s="93"/>
      <c r="W25" s="93"/>
      <c r="X25" s="93"/>
      <c r="Y25" s="93"/>
      <c r="Z25" s="93"/>
    </row>
    <row r="26">
      <c r="A26" s="26">
        <v>25.0</v>
      </c>
      <c r="B26" s="26">
        <v>1.23</v>
      </c>
      <c r="C26" s="26">
        <f t="shared" si="1"/>
        <v>0.3075</v>
      </c>
      <c r="D26" s="26">
        <f t="shared" si="2"/>
        <v>1.5375</v>
      </c>
      <c r="E26" s="26">
        <v>0.2</v>
      </c>
      <c r="F26" s="26"/>
      <c r="G26" s="26"/>
      <c r="H26" s="26"/>
      <c r="I26" s="26"/>
      <c r="J26" s="26"/>
      <c r="K26" s="26"/>
      <c r="L26" s="174">
        <f>E26*Prices!B$2</f>
        <v>22000</v>
      </c>
      <c r="M26" s="174">
        <f>F26*Prices!C$2</f>
        <v>0</v>
      </c>
      <c r="N26" s="174">
        <f>G26*Prices!D$2</f>
        <v>0</v>
      </c>
      <c r="O26" s="174">
        <f>H26*Prices!E$2</f>
        <v>0</v>
      </c>
      <c r="P26" s="174">
        <f t="shared" si="9"/>
        <v>0</v>
      </c>
      <c r="Q26" s="174">
        <f>D26*Prices!A$2</f>
        <v>27444.375</v>
      </c>
      <c r="R26" s="175">
        <f t="shared" si="4"/>
        <v>22000</v>
      </c>
      <c r="S26" s="174">
        <f t="shared" si="5"/>
        <v>49444.375</v>
      </c>
      <c r="T26" s="26">
        <v>25.0</v>
      </c>
      <c r="U26" s="26" t="s">
        <v>82</v>
      </c>
      <c r="V26" s="93"/>
      <c r="W26" s="93"/>
      <c r="X26" s="93"/>
      <c r="Y26" s="93"/>
      <c r="Z26" s="93"/>
    </row>
    <row r="27">
      <c r="A27" s="26">
        <v>26.0</v>
      </c>
      <c r="B27" s="26">
        <v>2.03</v>
      </c>
      <c r="C27" s="26">
        <f t="shared" si="1"/>
        <v>0.5075</v>
      </c>
      <c r="D27" s="26">
        <f t="shared" si="2"/>
        <v>2.5375</v>
      </c>
      <c r="E27" s="26">
        <v>0.83</v>
      </c>
      <c r="F27" s="26"/>
      <c r="G27" s="26"/>
      <c r="H27" s="26"/>
      <c r="I27" s="26"/>
      <c r="J27" s="26"/>
      <c r="K27" s="26"/>
      <c r="L27" s="174">
        <f>E27*Prices!B$2</f>
        <v>91300</v>
      </c>
      <c r="M27" s="174">
        <f>F27*Prices!C$2</f>
        <v>0</v>
      </c>
      <c r="N27" s="174">
        <f>G27*Prices!D$2</f>
        <v>0</v>
      </c>
      <c r="O27" s="174">
        <f>H27*Prices!E$2</f>
        <v>0</v>
      </c>
      <c r="P27" s="174">
        <f t="shared" si="9"/>
        <v>0</v>
      </c>
      <c r="Q27" s="174">
        <f>D27*Prices!A$2</f>
        <v>45294.375</v>
      </c>
      <c r="R27" s="175">
        <f t="shared" si="4"/>
        <v>91300</v>
      </c>
      <c r="S27" s="174">
        <f t="shared" si="5"/>
        <v>136594.375</v>
      </c>
      <c r="T27" s="26">
        <v>26.0</v>
      </c>
      <c r="U27" s="26" t="s">
        <v>80</v>
      </c>
      <c r="V27" s="93" t="s">
        <v>81</v>
      </c>
      <c r="W27" s="93"/>
      <c r="X27" s="93"/>
      <c r="Y27" s="93"/>
      <c r="Z27" s="93"/>
    </row>
    <row r="28">
      <c r="A28" s="26">
        <v>27.0</v>
      </c>
      <c r="B28" s="26">
        <v>2.64</v>
      </c>
      <c r="C28" s="26">
        <f t="shared" si="1"/>
        <v>0.66</v>
      </c>
      <c r="D28" s="26">
        <f t="shared" si="2"/>
        <v>3.3</v>
      </c>
      <c r="E28" s="26">
        <v>0.28</v>
      </c>
      <c r="F28" s="26"/>
      <c r="G28" s="26"/>
      <c r="H28" s="26"/>
      <c r="I28" s="26"/>
      <c r="J28" s="26"/>
      <c r="K28" s="26"/>
      <c r="L28" s="174">
        <f>E28*Prices!B$2</f>
        <v>30800</v>
      </c>
      <c r="M28" s="174">
        <f>F28*Prices!C$2</f>
        <v>0</v>
      </c>
      <c r="N28" s="174">
        <f>G28*Prices!D$2</f>
        <v>0</v>
      </c>
      <c r="O28" s="174">
        <f>H28*Prices!E$2</f>
        <v>0</v>
      </c>
      <c r="P28" s="174">
        <f t="shared" si="9"/>
        <v>0</v>
      </c>
      <c r="Q28" s="174">
        <f>D28*Prices!A$2</f>
        <v>58905</v>
      </c>
      <c r="R28" s="175">
        <f t="shared" si="4"/>
        <v>30800</v>
      </c>
      <c r="S28" s="174">
        <f t="shared" si="5"/>
        <v>89705</v>
      </c>
      <c r="T28" s="26">
        <v>27.0</v>
      </c>
      <c r="U28" s="26" t="s">
        <v>82</v>
      </c>
      <c r="V28" s="93"/>
      <c r="W28" s="93"/>
      <c r="X28" s="93"/>
      <c r="Y28" s="93"/>
      <c r="Z28" s="93"/>
    </row>
    <row r="29">
      <c r="A29" s="26">
        <v>28.0</v>
      </c>
      <c r="B29" s="26">
        <v>2.194</v>
      </c>
      <c r="C29" s="26">
        <f t="shared" si="1"/>
        <v>0.5485</v>
      </c>
      <c r="D29" s="26">
        <f t="shared" si="2"/>
        <v>2.7425</v>
      </c>
      <c r="E29" s="26">
        <v>0.56</v>
      </c>
      <c r="F29" s="26"/>
      <c r="G29" s="26"/>
      <c r="H29" s="26"/>
      <c r="I29" s="26">
        <v>0.8</v>
      </c>
      <c r="J29" s="26"/>
      <c r="K29" s="26"/>
      <c r="L29" s="174">
        <f>E29*Prices!B$2</f>
        <v>61600</v>
      </c>
      <c r="M29" s="174">
        <f>F29*Prices!C$2</f>
        <v>0</v>
      </c>
      <c r="N29" s="174">
        <f>G29*Prices!D$2</f>
        <v>0</v>
      </c>
      <c r="O29" s="174">
        <f>H29*Prices!E$2</f>
        <v>0</v>
      </c>
      <c r="P29" s="174">
        <f t="shared" si="9"/>
        <v>1600</v>
      </c>
      <c r="Q29" s="174">
        <f>D29*Prices!A$2</f>
        <v>48953.625</v>
      </c>
      <c r="R29" s="174">
        <f t="shared" si="4"/>
        <v>61600</v>
      </c>
      <c r="S29" s="174">
        <f t="shared" si="5"/>
        <v>112153.625</v>
      </c>
      <c r="T29" s="26">
        <v>28.0</v>
      </c>
      <c r="U29" s="26" t="s">
        <v>80</v>
      </c>
      <c r="V29" s="93" t="s">
        <v>81</v>
      </c>
      <c r="W29" s="93"/>
      <c r="X29" s="93"/>
      <c r="Y29" s="93"/>
      <c r="Z29" s="93"/>
    </row>
    <row r="30">
      <c r="A30" s="26">
        <v>29.0</v>
      </c>
      <c r="B30" s="26">
        <v>6.23</v>
      </c>
      <c r="C30" s="26">
        <f t="shared" si="1"/>
        <v>1.5575</v>
      </c>
      <c r="D30" s="26">
        <f t="shared" si="2"/>
        <v>7.7875</v>
      </c>
      <c r="E30" s="26">
        <v>1.0</v>
      </c>
      <c r="F30" s="26"/>
      <c r="G30" s="26"/>
      <c r="H30" s="26"/>
      <c r="I30" s="26"/>
      <c r="J30" s="26"/>
      <c r="K30" s="26">
        <v>8.25</v>
      </c>
      <c r="L30" s="174">
        <f>E30*Prices!B$2</f>
        <v>110000</v>
      </c>
      <c r="M30" s="174">
        <f>F30*Prices!C$2</f>
        <v>0</v>
      </c>
      <c r="N30" s="174">
        <f>G30*Prices!D$2</f>
        <v>0</v>
      </c>
      <c r="O30" s="174">
        <f>H30*Prices!E$2</f>
        <v>0</v>
      </c>
      <c r="P30" s="174">
        <f t="shared" si="9"/>
        <v>14850</v>
      </c>
      <c r="Q30" s="174">
        <f>D30*Prices!A$2</f>
        <v>139006.875</v>
      </c>
      <c r="R30" s="174">
        <f t="shared" si="4"/>
        <v>110000</v>
      </c>
      <c r="S30" s="174">
        <f t="shared" si="5"/>
        <v>263856.875</v>
      </c>
      <c r="T30" s="26">
        <v>29.0</v>
      </c>
      <c r="U30" s="26" t="s">
        <v>82</v>
      </c>
      <c r="V30" s="93"/>
      <c r="W30" s="93"/>
      <c r="X30" s="93"/>
      <c r="Y30" s="93"/>
      <c r="Z30" s="93"/>
    </row>
    <row r="31">
      <c r="A31" s="26">
        <v>30.0</v>
      </c>
      <c r="B31" s="26">
        <v>10.906</v>
      </c>
      <c r="C31" s="26">
        <f t="shared" si="1"/>
        <v>2.7265</v>
      </c>
      <c r="D31" s="26">
        <f t="shared" si="2"/>
        <v>13.6325</v>
      </c>
      <c r="E31" s="26">
        <v>2.63</v>
      </c>
      <c r="F31" s="26"/>
      <c r="G31" s="26"/>
      <c r="H31" s="26"/>
      <c r="I31" s="26"/>
      <c r="J31" s="26"/>
      <c r="K31" s="26">
        <v>20.29</v>
      </c>
      <c r="L31" s="174">
        <f>E31*Prices!B$2</f>
        <v>289300</v>
      </c>
      <c r="M31" s="174">
        <f>F31*Prices!C$2</f>
        <v>0</v>
      </c>
      <c r="N31" s="174">
        <f>G31*Prices!D$2</f>
        <v>0</v>
      </c>
      <c r="O31" s="174">
        <f>H31*Prices!E$2</f>
        <v>0</v>
      </c>
      <c r="P31" s="174">
        <f t="shared" si="9"/>
        <v>36522</v>
      </c>
      <c r="Q31" s="174">
        <f>D31*Prices!A$2</f>
        <v>243340.125</v>
      </c>
      <c r="R31" s="174">
        <f t="shared" si="4"/>
        <v>289300</v>
      </c>
      <c r="S31" s="174">
        <f t="shared" si="5"/>
        <v>569162.125</v>
      </c>
      <c r="T31" s="26">
        <v>30.0</v>
      </c>
      <c r="U31" s="26" t="s">
        <v>82</v>
      </c>
      <c r="V31" s="93"/>
      <c r="W31" s="93"/>
      <c r="X31" s="93"/>
      <c r="Y31" s="93"/>
      <c r="Z31" s="93"/>
    </row>
    <row r="32">
      <c r="A32" s="26">
        <v>31.0</v>
      </c>
      <c r="B32" s="26">
        <v>10.96</v>
      </c>
      <c r="C32" s="26">
        <f t="shared" si="1"/>
        <v>2.74</v>
      </c>
      <c r="D32" s="26">
        <f t="shared" si="2"/>
        <v>13.7</v>
      </c>
      <c r="E32" s="26">
        <v>1.0</v>
      </c>
      <c r="F32" s="26"/>
      <c r="G32" s="26"/>
      <c r="H32" s="26"/>
      <c r="I32" s="26"/>
      <c r="J32" s="26"/>
      <c r="K32" s="26"/>
      <c r="L32" s="174">
        <f>E32*Prices!B$2</f>
        <v>110000</v>
      </c>
      <c r="M32" s="174">
        <f>F32*Prices!C$2</f>
        <v>0</v>
      </c>
      <c r="N32" s="174">
        <f>G32*Prices!D$2</f>
        <v>0</v>
      </c>
      <c r="O32" s="174">
        <f>H32*Prices!E$2</f>
        <v>0</v>
      </c>
      <c r="P32" s="174">
        <f t="shared" si="9"/>
        <v>0</v>
      </c>
      <c r="Q32" s="174">
        <f>D32*Prices!A$2</f>
        <v>244545</v>
      </c>
      <c r="R32" s="174">
        <f t="shared" si="4"/>
        <v>110000</v>
      </c>
      <c r="S32" s="174">
        <f t="shared" si="5"/>
        <v>354545</v>
      </c>
      <c r="T32" s="26">
        <v>31.0</v>
      </c>
      <c r="U32" s="26" t="s">
        <v>82</v>
      </c>
      <c r="V32" s="93"/>
      <c r="W32" s="93"/>
      <c r="X32" s="93"/>
      <c r="Y32" s="93"/>
      <c r="Z32" s="93"/>
    </row>
    <row r="33">
      <c r="A33" s="26">
        <v>32.0</v>
      </c>
      <c r="B33" s="26">
        <v>5.49</v>
      </c>
      <c r="C33" s="26">
        <f t="shared" si="1"/>
        <v>1.3725</v>
      </c>
      <c r="D33" s="26">
        <f t="shared" si="2"/>
        <v>6.8625</v>
      </c>
      <c r="E33" s="26">
        <v>1.85</v>
      </c>
      <c r="F33" s="26"/>
      <c r="G33" s="26"/>
      <c r="H33" s="26"/>
      <c r="I33" s="26"/>
      <c r="J33" s="26"/>
      <c r="K33" s="26">
        <v>4.0</v>
      </c>
      <c r="L33" s="174">
        <f>E33*Prices!B$2</f>
        <v>203500</v>
      </c>
      <c r="M33" s="174">
        <f>F33*Prices!C$2</f>
        <v>0</v>
      </c>
      <c r="N33" s="174">
        <f>G33*Prices!D$2</f>
        <v>0</v>
      </c>
      <c r="O33" s="174">
        <f>H33*Prices!E$2</f>
        <v>0</v>
      </c>
      <c r="P33" s="174">
        <f t="shared" si="9"/>
        <v>7200</v>
      </c>
      <c r="Q33" s="174">
        <f>D33*Prices!A$2</f>
        <v>122495.625</v>
      </c>
      <c r="R33" s="174">
        <f t="shared" si="4"/>
        <v>203500</v>
      </c>
      <c r="S33" s="174">
        <f t="shared" si="5"/>
        <v>333195.625</v>
      </c>
      <c r="T33" s="26">
        <v>32.0</v>
      </c>
      <c r="U33" s="26" t="s">
        <v>80</v>
      </c>
      <c r="V33" s="93" t="s">
        <v>81</v>
      </c>
      <c r="W33" s="93"/>
      <c r="X33" s="93"/>
      <c r="Y33" s="93"/>
      <c r="Z33" s="93"/>
    </row>
    <row r="34">
      <c r="A34" s="26">
        <v>33.0</v>
      </c>
      <c r="B34" s="26">
        <v>11.73</v>
      </c>
      <c r="C34" s="26">
        <f t="shared" si="1"/>
        <v>2.9325</v>
      </c>
      <c r="D34" s="26">
        <f t="shared" si="2"/>
        <v>14.6625</v>
      </c>
      <c r="E34" s="26">
        <v>1.54</v>
      </c>
      <c r="F34" s="26"/>
      <c r="G34" s="26"/>
      <c r="H34" s="26"/>
      <c r="I34" s="26"/>
      <c r="J34" s="26"/>
      <c r="K34" s="26"/>
      <c r="L34" s="174">
        <f>E34*Prices!B$2</f>
        <v>169400</v>
      </c>
      <c r="M34" s="174">
        <f>F34*Prices!C$2</f>
        <v>0</v>
      </c>
      <c r="N34" s="174">
        <f>G34*Prices!D$2</f>
        <v>0</v>
      </c>
      <c r="O34" s="174">
        <f>H34*Prices!E$2</f>
        <v>0</v>
      </c>
      <c r="P34" s="174">
        <f t="shared" si="9"/>
        <v>0</v>
      </c>
      <c r="Q34" s="174">
        <f>D34*Prices!A$2</f>
        <v>261725.625</v>
      </c>
      <c r="R34" s="174">
        <f t="shared" si="4"/>
        <v>169400</v>
      </c>
      <c r="S34" s="174">
        <f t="shared" si="5"/>
        <v>431125.625</v>
      </c>
      <c r="T34" s="26">
        <v>33.0</v>
      </c>
      <c r="U34" s="26" t="s">
        <v>80</v>
      </c>
      <c r="V34" s="93" t="s">
        <v>81</v>
      </c>
      <c r="W34" s="93"/>
      <c r="X34" s="93"/>
      <c r="Y34" s="93"/>
      <c r="Z34" s="93"/>
    </row>
    <row r="35">
      <c r="A35" s="26">
        <v>34.0</v>
      </c>
      <c r="B35" s="26">
        <v>17.217</v>
      </c>
      <c r="C35" s="26">
        <f t="shared" si="1"/>
        <v>4.30425</v>
      </c>
      <c r="D35" s="26">
        <f t="shared" si="2"/>
        <v>21.52125</v>
      </c>
      <c r="E35" s="26">
        <v>3.54</v>
      </c>
      <c r="F35" s="26"/>
      <c r="G35" s="26"/>
      <c r="H35" s="26"/>
      <c r="I35" s="26"/>
      <c r="J35" s="26"/>
      <c r="K35" s="26">
        <v>11.27</v>
      </c>
      <c r="L35" s="174">
        <f>E35*Prices!B$2</f>
        <v>389400</v>
      </c>
      <c r="M35" s="174">
        <f>F35*Prices!C$2</f>
        <v>0</v>
      </c>
      <c r="N35" s="174">
        <f>G35*Prices!D$2</f>
        <v>0</v>
      </c>
      <c r="O35" s="174">
        <f>H35*Prices!E$2</f>
        <v>0</v>
      </c>
      <c r="P35" s="174">
        <f>I35*2000+J35*10000+K35*500</f>
        <v>5635</v>
      </c>
      <c r="Q35" s="174">
        <f>D35*Prices!A$2</f>
        <v>384154.3125</v>
      </c>
      <c r="R35" s="174">
        <f t="shared" si="4"/>
        <v>389400</v>
      </c>
      <c r="S35" s="174">
        <f t="shared" si="5"/>
        <v>779189.3125</v>
      </c>
      <c r="T35" s="26">
        <v>34.0</v>
      </c>
      <c r="U35" s="26" t="s">
        <v>80</v>
      </c>
      <c r="V35" s="93" t="s">
        <v>81</v>
      </c>
      <c r="W35" s="93"/>
      <c r="X35" s="93"/>
      <c r="Y35" s="93"/>
      <c r="Z35" s="93"/>
    </row>
    <row r="36">
      <c r="A36" s="26">
        <v>35.0</v>
      </c>
      <c r="B36" s="26">
        <v>3.464</v>
      </c>
      <c r="C36" s="26">
        <f t="shared" si="1"/>
        <v>0.866</v>
      </c>
      <c r="D36" s="26">
        <f t="shared" si="2"/>
        <v>4.33</v>
      </c>
      <c r="E36" s="26">
        <v>1.23</v>
      </c>
      <c r="F36" s="26"/>
      <c r="G36" s="26"/>
      <c r="H36" s="26"/>
      <c r="I36" s="26"/>
      <c r="J36" s="26"/>
      <c r="K36" s="26">
        <v>1.4</v>
      </c>
      <c r="L36" s="174">
        <f>E36*Prices!B$2</f>
        <v>135300</v>
      </c>
      <c r="M36" s="174">
        <f>F36*Prices!C$2</f>
        <v>0</v>
      </c>
      <c r="N36" s="174">
        <f>G36*Prices!D$2</f>
        <v>0</v>
      </c>
      <c r="O36" s="174">
        <f>H36*Prices!E$2</f>
        <v>0</v>
      </c>
      <c r="P36" s="174">
        <f>I36*2000+J36*10000+K36*1800</f>
        <v>2520</v>
      </c>
      <c r="Q36" s="174">
        <f>D36*Prices!A$2</f>
        <v>77290.5</v>
      </c>
      <c r="R36" s="174">
        <f t="shared" si="4"/>
        <v>135300</v>
      </c>
      <c r="S36" s="174">
        <f t="shared" si="5"/>
        <v>215110.5</v>
      </c>
      <c r="T36" s="26">
        <v>35.0</v>
      </c>
      <c r="U36" s="26" t="s">
        <v>80</v>
      </c>
      <c r="V36" s="93" t="s">
        <v>81</v>
      </c>
      <c r="W36" s="93"/>
      <c r="X36" s="93"/>
      <c r="Y36" s="93"/>
      <c r="Z36" s="93"/>
    </row>
    <row r="37">
      <c r="A37" s="26">
        <v>36.0</v>
      </c>
      <c r="B37" s="26">
        <v>5.46</v>
      </c>
      <c r="C37" s="26">
        <f t="shared" si="1"/>
        <v>1.365</v>
      </c>
      <c r="D37" s="26">
        <f t="shared" si="2"/>
        <v>6.825</v>
      </c>
      <c r="E37" s="26">
        <v>1.57</v>
      </c>
      <c r="F37" s="26"/>
      <c r="G37" s="26"/>
      <c r="H37" s="26"/>
      <c r="I37" s="26"/>
      <c r="J37" s="26"/>
      <c r="K37" s="26">
        <v>2.38</v>
      </c>
      <c r="L37" s="174">
        <f>E37*Prices!B$2</f>
        <v>172700</v>
      </c>
      <c r="M37" s="174">
        <f>F37*Prices!C$2</f>
        <v>0</v>
      </c>
      <c r="N37" s="174">
        <f>G37*Prices!D$2</f>
        <v>0</v>
      </c>
      <c r="O37" s="174">
        <f>H37*Prices!E$2</f>
        <v>0</v>
      </c>
      <c r="P37" s="174">
        <f t="shared" ref="P37:P38" si="10">I37*2000+J37*10000+K37*500</f>
        <v>1190</v>
      </c>
      <c r="Q37" s="174">
        <f>D37*Prices!A$2</f>
        <v>121826.25</v>
      </c>
      <c r="R37" s="174">
        <f t="shared" si="4"/>
        <v>172700</v>
      </c>
      <c r="S37" s="174">
        <f t="shared" si="5"/>
        <v>295716.25</v>
      </c>
      <c r="T37" s="26">
        <v>36.0</v>
      </c>
      <c r="U37" s="26" t="s">
        <v>80</v>
      </c>
      <c r="V37" s="93" t="s">
        <v>81</v>
      </c>
      <c r="W37" s="93"/>
      <c r="X37" s="93"/>
      <c r="Y37" s="93"/>
      <c r="Z37" s="93"/>
    </row>
    <row r="38">
      <c r="A38" s="26">
        <v>37.0</v>
      </c>
      <c r="B38" s="26">
        <v>3.198</v>
      </c>
      <c r="C38" s="26">
        <f t="shared" si="1"/>
        <v>0.7995</v>
      </c>
      <c r="D38" s="26">
        <f t="shared" si="2"/>
        <v>3.9975</v>
      </c>
      <c r="E38" s="26">
        <v>0.58</v>
      </c>
      <c r="F38" s="26"/>
      <c r="G38" s="26"/>
      <c r="H38" s="26"/>
      <c r="I38" s="26"/>
      <c r="J38" s="26"/>
      <c r="K38" s="26">
        <v>3.23</v>
      </c>
      <c r="L38" s="174">
        <f>E38*Prices!B$2</f>
        <v>63800</v>
      </c>
      <c r="M38" s="174">
        <f>F38*Prices!C$2</f>
        <v>0</v>
      </c>
      <c r="N38" s="174">
        <f>G38*Prices!D$2</f>
        <v>0</v>
      </c>
      <c r="O38" s="174">
        <f>H38*Prices!E$2</f>
        <v>0</v>
      </c>
      <c r="P38" s="174">
        <f t="shared" si="10"/>
        <v>1615</v>
      </c>
      <c r="Q38" s="174">
        <f>D38*Prices!A$2</f>
        <v>71355.375</v>
      </c>
      <c r="R38" s="174">
        <f t="shared" si="4"/>
        <v>63800</v>
      </c>
      <c r="S38" s="174">
        <f t="shared" si="5"/>
        <v>136770.375</v>
      </c>
      <c r="T38" s="26">
        <v>37.0</v>
      </c>
      <c r="U38" s="26" t="s">
        <v>80</v>
      </c>
      <c r="V38" s="93" t="s">
        <v>81</v>
      </c>
      <c r="W38" s="93"/>
      <c r="X38" s="93"/>
      <c r="Y38" s="93"/>
      <c r="Z38" s="93"/>
    </row>
    <row r="39">
      <c r="A39" s="196">
        <v>38.0</v>
      </c>
      <c r="B39" s="196">
        <v>7.4</v>
      </c>
      <c r="C39" s="196">
        <f t="shared" si="1"/>
        <v>1.85</v>
      </c>
      <c r="D39" s="196">
        <f t="shared" si="2"/>
        <v>9.25</v>
      </c>
      <c r="E39" s="196">
        <f>1.52+0.39</f>
        <v>1.91</v>
      </c>
      <c r="F39" s="196"/>
      <c r="G39" s="196"/>
      <c r="H39" s="196"/>
      <c r="I39" s="196"/>
      <c r="J39" s="196"/>
      <c r="K39" s="196">
        <v>1.84</v>
      </c>
      <c r="L39" s="197">
        <f>E39*Prices!B$2</f>
        <v>210100</v>
      </c>
      <c r="M39" s="197">
        <f>F39*Prices!C$2</f>
        <v>0</v>
      </c>
      <c r="N39" s="197">
        <f>G39*Prices!D$2</f>
        <v>0</v>
      </c>
      <c r="O39" s="197">
        <f>H39*Prices!E$2</f>
        <v>0</v>
      </c>
      <c r="P39" s="197">
        <f t="shared" ref="P39:P40" si="11">I39*2000+J39*10000+K39*1800</f>
        <v>3312</v>
      </c>
      <c r="Q39" s="197">
        <f>D39*Prices!A$2</f>
        <v>165112.5</v>
      </c>
      <c r="R39" s="197">
        <f t="shared" si="4"/>
        <v>210100</v>
      </c>
      <c r="S39" s="197">
        <f t="shared" si="5"/>
        <v>378524.5</v>
      </c>
      <c r="T39" s="196">
        <v>38.0</v>
      </c>
      <c r="U39" s="196" t="s">
        <v>83</v>
      </c>
      <c r="V39" s="192"/>
      <c r="W39" s="192"/>
      <c r="X39" s="192"/>
      <c r="Y39" s="192"/>
      <c r="Z39" s="192"/>
    </row>
    <row r="40">
      <c r="A40" s="196">
        <v>39.0</v>
      </c>
      <c r="B40" s="196">
        <v>3.45</v>
      </c>
      <c r="C40" s="196">
        <f t="shared" si="1"/>
        <v>0.8625</v>
      </c>
      <c r="D40" s="196">
        <f t="shared" si="2"/>
        <v>4.3125</v>
      </c>
      <c r="E40" s="196">
        <v>0.93</v>
      </c>
      <c r="F40" s="196"/>
      <c r="G40" s="196"/>
      <c r="H40" s="196"/>
      <c r="I40" s="196"/>
      <c r="J40" s="196"/>
      <c r="K40" s="196"/>
      <c r="L40" s="197">
        <f>E40*Prices!B$2</f>
        <v>102300</v>
      </c>
      <c r="M40" s="197">
        <f>F40*Prices!C$2</f>
        <v>0</v>
      </c>
      <c r="N40" s="197">
        <f>G40*Prices!D$2</f>
        <v>0</v>
      </c>
      <c r="O40" s="197">
        <f>H40*Prices!E$2</f>
        <v>0</v>
      </c>
      <c r="P40" s="197">
        <f t="shared" si="11"/>
        <v>0</v>
      </c>
      <c r="Q40" s="197">
        <f>D40*Prices!A$2</f>
        <v>76978.125</v>
      </c>
      <c r="R40" s="197">
        <f t="shared" si="4"/>
        <v>102300</v>
      </c>
      <c r="S40" s="197">
        <f t="shared" si="5"/>
        <v>179278.125</v>
      </c>
      <c r="T40" s="196">
        <v>39.0</v>
      </c>
      <c r="U40" s="196" t="s">
        <v>83</v>
      </c>
      <c r="V40" s="192"/>
      <c r="W40" s="192"/>
      <c r="X40" s="192"/>
      <c r="Y40" s="192"/>
      <c r="Z40" s="192"/>
    </row>
    <row r="41">
      <c r="A41" s="26">
        <v>40.0</v>
      </c>
      <c r="B41" s="26">
        <v>2.81</v>
      </c>
      <c r="C41" s="26">
        <f t="shared" si="1"/>
        <v>0.7025</v>
      </c>
      <c r="D41" s="26">
        <f t="shared" si="2"/>
        <v>3.5125</v>
      </c>
      <c r="E41" s="26">
        <v>0.18</v>
      </c>
      <c r="F41" s="26"/>
      <c r="G41" s="26"/>
      <c r="H41" s="26"/>
      <c r="I41" s="26"/>
      <c r="J41" s="26"/>
      <c r="K41" s="26">
        <v>1.82</v>
      </c>
      <c r="L41" s="174">
        <f>E41*Prices!B$2</f>
        <v>19800</v>
      </c>
      <c r="M41" s="174">
        <f>F41*Prices!C$2</f>
        <v>0</v>
      </c>
      <c r="N41" s="174">
        <f>G41*Prices!D$2</f>
        <v>0</v>
      </c>
      <c r="O41" s="174">
        <f>H41*Prices!E$2</f>
        <v>0</v>
      </c>
      <c r="P41" s="174">
        <f>I41*2000+J41*10000+K41*500</f>
        <v>910</v>
      </c>
      <c r="Q41" s="174">
        <f>D41*Prices!A$2</f>
        <v>62698.125</v>
      </c>
      <c r="R41" s="174">
        <f t="shared" si="4"/>
        <v>19800</v>
      </c>
      <c r="S41" s="174">
        <f t="shared" si="5"/>
        <v>83408.125</v>
      </c>
      <c r="T41" s="26">
        <v>40.0</v>
      </c>
      <c r="U41" s="26" t="s">
        <v>80</v>
      </c>
      <c r="V41" s="93" t="s">
        <v>81</v>
      </c>
      <c r="W41" s="93"/>
      <c r="X41" s="93"/>
      <c r="Y41" s="93"/>
      <c r="Z41" s="93"/>
    </row>
    <row r="42">
      <c r="A42" s="26">
        <v>41.0</v>
      </c>
      <c r="B42" s="26">
        <v>2.654</v>
      </c>
      <c r="C42" s="26">
        <f t="shared" si="1"/>
        <v>0.6635</v>
      </c>
      <c r="D42" s="26">
        <f t="shared" si="2"/>
        <v>3.3175</v>
      </c>
      <c r="E42" s="26">
        <v>0.98</v>
      </c>
      <c r="F42" s="26"/>
      <c r="G42" s="26"/>
      <c r="H42" s="26"/>
      <c r="I42" s="26"/>
      <c r="J42" s="26"/>
      <c r="K42" s="26"/>
      <c r="L42" s="174">
        <f>E42*Prices!B$2</f>
        <v>107800</v>
      </c>
      <c r="M42" s="174">
        <f>F42*Prices!C$2</f>
        <v>0</v>
      </c>
      <c r="N42" s="174">
        <f>G42*Prices!D$2</f>
        <v>0</v>
      </c>
      <c r="O42" s="174">
        <f>H42*Prices!E$2</f>
        <v>0</v>
      </c>
      <c r="P42" s="174">
        <f t="shared" ref="P42:P67" si="12">I42*2000+J42*10000+K42*1800</f>
        <v>0</v>
      </c>
      <c r="Q42" s="174">
        <f>D42*Prices!A$2</f>
        <v>59217.375</v>
      </c>
      <c r="R42" s="174">
        <f t="shared" si="4"/>
        <v>107800</v>
      </c>
      <c r="S42" s="174">
        <f t="shared" si="5"/>
        <v>167017.375</v>
      </c>
      <c r="T42" s="26">
        <v>41.0</v>
      </c>
      <c r="U42" s="26" t="s">
        <v>80</v>
      </c>
      <c r="V42" s="93" t="s">
        <v>81</v>
      </c>
      <c r="W42" s="93"/>
      <c r="X42" s="93"/>
      <c r="Y42" s="93"/>
      <c r="Z42" s="93"/>
    </row>
    <row r="43">
      <c r="A43" s="26">
        <v>42.0</v>
      </c>
      <c r="B43" s="26">
        <v>1.258</v>
      </c>
      <c r="C43" s="26">
        <f t="shared" si="1"/>
        <v>0.3145</v>
      </c>
      <c r="D43" s="26">
        <f t="shared" si="2"/>
        <v>1.5725</v>
      </c>
      <c r="E43" s="26">
        <v>0.59</v>
      </c>
      <c r="F43" s="26">
        <v>0.12</v>
      </c>
      <c r="G43" s="26"/>
      <c r="H43" s="26"/>
      <c r="I43" s="26"/>
      <c r="J43" s="26"/>
      <c r="K43" s="26"/>
      <c r="L43" s="174">
        <f>E43*Prices!B$2</f>
        <v>64900</v>
      </c>
      <c r="M43" s="174">
        <f>F43*Prices!C$2</f>
        <v>19200</v>
      </c>
      <c r="N43" s="174">
        <f>G43*Prices!D$2</f>
        <v>0</v>
      </c>
      <c r="O43" s="174">
        <f>H43*Prices!E$2</f>
        <v>0</v>
      </c>
      <c r="P43" s="174">
        <f t="shared" si="12"/>
        <v>0</v>
      </c>
      <c r="Q43" s="174">
        <f>D43*Prices!A$2</f>
        <v>28069.125</v>
      </c>
      <c r="R43" s="174">
        <f t="shared" si="4"/>
        <v>84100</v>
      </c>
      <c r="S43" s="174">
        <f t="shared" si="5"/>
        <v>112169.125</v>
      </c>
      <c r="T43" s="26">
        <v>42.0</v>
      </c>
      <c r="U43" s="26" t="s">
        <v>82</v>
      </c>
      <c r="V43" s="93"/>
      <c r="W43" s="93"/>
      <c r="X43" s="93"/>
      <c r="Y43" s="93"/>
      <c r="Z43" s="93"/>
    </row>
    <row r="44">
      <c r="A44" s="26">
        <v>45.0</v>
      </c>
      <c r="B44" s="26">
        <v>6.582</v>
      </c>
      <c r="C44" s="26">
        <f t="shared" si="1"/>
        <v>1.6455</v>
      </c>
      <c r="D44" s="26">
        <f t="shared" si="2"/>
        <v>8.2275</v>
      </c>
      <c r="E44" s="26">
        <v>1.26</v>
      </c>
      <c r="F44" s="26"/>
      <c r="G44" s="26"/>
      <c r="H44" s="26"/>
      <c r="I44" s="26"/>
      <c r="J44" s="26"/>
      <c r="K44" s="26">
        <v>4.88</v>
      </c>
      <c r="L44" s="174">
        <f>E44*Prices!B$2</f>
        <v>138600</v>
      </c>
      <c r="M44" s="174">
        <f>F44*Prices!C$2</f>
        <v>0</v>
      </c>
      <c r="N44" s="174">
        <f>G44*Prices!D$2</f>
        <v>0</v>
      </c>
      <c r="O44" s="174">
        <f>H44*Prices!E$2</f>
        <v>0</v>
      </c>
      <c r="P44" s="174">
        <f t="shared" si="12"/>
        <v>8784</v>
      </c>
      <c r="Q44" s="174">
        <f>D44*Prices!A$2</f>
        <v>146860.875</v>
      </c>
      <c r="R44" s="174">
        <f t="shared" si="4"/>
        <v>138600</v>
      </c>
      <c r="S44" s="174">
        <f t="shared" si="5"/>
        <v>294244.875</v>
      </c>
      <c r="T44" s="26">
        <v>45.0</v>
      </c>
      <c r="U44" s="26" t="s">
        <v>80</v>
      </c>
      <c r="V44" s="93" t="s">
        <v>81</v>
      </c>
      <c r="W44" s="93"/>
      <c r="X44" s="93"/>
      <c r="Y44" s="93"/>
      <c r="Z44" s="93"/>
    </row>
    <row r="45">
      <c r="A45" s="26">
        <v>46.0</v>
      </c>
      <c r="B45" s="26">
        <v>4.674</v>
      </c>
      <c r="C45" s="26">
        <f t="shared" si="1"/>
        <v>1.1685</v>
      </c>
      <c r="D45" s="26">
        <f t="shared" si="2"/>
        <v>5.8425</v>
      </c>
      <c r="E45" s="26">
        <f>0.63+1.8</f>
        <v>2.43</v>
      </c>
      <c r="F45" s="26"/>
      <c r="G45" s="26"/>
      <c r="H45" s="26"/>
      <c r="I45" s="26"/>
      <c r="J45" s="26"/>
      <c r="K45" s="26"/>
      <c r="L45" s="174">
        <f>E45*Prices!B$2</f>
        <v>267300</v>
      </c>
      <c r="M45" s="174">
        <f>F45*Prices!C$2</f>
        <v>0</v>
      </c>
      <c r="N45" s="174">
        <f>G45*Prices!D$2</f>
        <v>0</v>
      </c>
      <c r="O45" s="174">
        <f>H45*Prices!E$2</f>
        <v>0</v>
      </c>
      <c r="P45" s="174">
        <f t="shared" si="12"/>
        <v>0</v>
      </c>
      <c r="Q45" s="174">
        <f>D45*Prices!A$2</f>
        <v>104288.625</v>
      </c>
      <c r="R45" s="174">
        <f t="shared" si="4"/>
        <v>267300</v>
      </c>
      <c r="S45" s="174">
        <f t="shared" si="5"/>
        <v>371588.625</v>
      </c>
      <c r="T45" s="26">
        <v>46.0</v>
      </c>
      <c r="U45" s="26" t="s">
        <v>82</v>
      </c>
      <c r="V45" s="93"/>
      <c r="W45" s="93"/>
      <c r="X45" s="93"/>
      <c r="Y45" s="93"/>
      <c r="Z45" s="93"/>
    </row>
    <row r="46">
      <c r="A46" s="26">
        <v>47.0</v>
      </c>
      <c r="B46" s="26">
        <v>15.326</v>
      </c>
      <c r="C46" s="26">
        <f t="shared" si="1"/>
        <v>3.8315</v>
      </c>
      <c r="D46" s="26">
        <f t="shared" si="2"/>
        <v>19.1575</v>
      </c>
      <c r="E46" s="26">
        <v>3.62</v>
      </c>
      <c r="F46" s="26"/>
      <c r="G46" s="26"/>
      <c r="H46" s="26"/>
      <c r="I46" s="26"/>
      <c r="J46" s="26"/>
      <c r="K46" s="26">
        <v>19.2</v>
      </c>
      <c r="L46" s="174">
        <f>E46*Prices!B$2</f>
        <v>398200</v>
      </c>
      <c r="M46" s="174">
        <f>F46*Prices!C$2</f>
        <v>0</v>
      </c>
      <c r="N46" s="174">
        <f>G46*Prices!D$2</f>
        <v>0</v>
      </c>
      <c r="O46" s="174">
        <f>H46*Prices!E$2</f>
        <v>0</v>
      </c>
      <c r="P46" s="174">
        <f t="shared" si="12"/>
        <v>34560</v>
      </c>
      <c r="Q46" s="174">
        <f>D46*Prices!A$2</f>
        <v>341961.375</v>
      </c>
      <c r="R46" s="174">
        <f t="shared" si="4"/>
        <v>398200</v>
      </c>
      <c r="S46" s="174">
        <f t="shared" si="5"/>
        <v>774721.375</v>
      </c>
      <c r="T46" s="26">
        <v>47.0</v>
      </c>
      <c r="U46" s="93" t="s">
        <v>82</v>
      </c>
      <c r="V46" s="93"/>
      <c r="W46" s="93"/>
      <c r="X46" s="93"/>
      <c r="Y46" s="93"/>
      <c r="Z46" s="93"/>
    </row>
    <row r="47">
      <c r="A47" s="26">
        <v>48.0</v>
      </c>
      <c r="B47" s="26">
        <v>8.882</v>
      </c>
      <c r="C47" s="26">
        <f t="shared" si="1"/>
        <v>2.2205</v>
      </c>
      <c r="D47" s="26">
        <f t="shared" si="2"/>
        <v>11.1025</v>
      </c>
      <c r="E47" s="26">
        <v>2.34</v>
      </c>
      <c r="F47" s="26"/>
      <c r="G47" s="26"/>
      <c r="H47" s="26"/>
      <c r="I47" s="26"/>
      <c r="J47" s="26"/>
      <c r="K47" s="26"/>
      <c r="L47" s="174">
        <f>E47*Prices!B$2</f>
        <v>257400</v>
      </c>
      <c r="M47" s="174">
        <f>F47*Prices!C$2</f>
        <v>0</v>
      </c>
      <c r="N47" s="174">
        <f>G47*Prices!D$2</f>
        <v>0</v>
      </c>
      <c r="O47" s="174">
        <f>H47*Prices!E$2</f>
        <v>0</v>
      </c>
      <c r="P47" s="174">
        <f t="shared" si="12"/>
        <v>0</v>
      </c>
      <c r="Q47" s="174">
        <f>D47*Prices!A$2</f>
        <v>198179.625</v>
      </c>
      <c r="R47" s="174">
        <f t="shared" si="4"/>
        <v>257400</v>
      </c>
      <c r="S47" s="174">
        <f t="shared" si="5"/>
        <v>455579.625</v>
      </c>
      <c r="T47" s="26">
        <v>48.0</v>
      </c>
      <c r="U47" s="26" t="s">
        <v>82</v>
      </c>
      <c r="V47" s="93"/>
      <c r="W47" s="93"/>
      <c r="X47" s="93"/>
      <c r="Y47" s="93"/>
      <c r="Z47" s="93"/>
    </row>
    <row r="48">
      <c r="A48" s="26">
        <v>49.0</v>
      </c>
      <c r="B48" s="26">
        <v>6.1</v>
      </c>
      <c r="C48" s="26">
        <f t="shared" si="1"/>
        <v>1.525</v>
      </c>
      <c r="D48" s="26">
        <f t="shared" si="2"/>
        <v>7.625</v>
      </c>
      <c r="E48" s="26">
        <v>1.265</v>
      </c>
      <c r="F48" s="26"/>
      <c r="G48" s="26"/>
      <c r="H48" s="26"/>
      <c r="I48" s="26"/>
      <c r="J48" s="26"/>
      <c r="K48" s="26"/>
      <c r="L48" s="174">
        <f>E48*Prices!B$2</f>
        <v>139150</v>
      </c>
      <c r="M48" s="174">
        <f>F48*Prices!C$2</f>
        <v>0</v>
      </c>
      <c r="N48" s="174">
        <f>G48*Prices!D$2</f>
        <v>0</v>
      </c>
      <c r="O48" s="174">
        <f>H48*Prices!E$2</f>
        <v>0</v>
      </c>
      <c r="P48" s="174">
        <f t="shared" si="12"/>
        <v>0</v>
      </c>
      <c r="Q48" s="174">
        <f>D48*Prices!A$2</f>
        <v>136106.25</v>
      </c>
      <c r="R48" s="174">
        <f t="shared" si="4"/>
        <v>139150</v>
      </c>
      <c r="S48" s="174">
        <f t="shared" si="5"/>
        <v>275256.25</v>
      </c>
      <c r="T48" s="26">
        <v>49.0</v>
      </c>
      <c r="U48" s="26" t="s">
        <v>80</v>
      </c>
      <c r="V48" s="93" t="s">
        <v>81</v>
      </c>
      <c r="W48" s="93"/>
      <c r="X48" s="93"/>
      <c r="Y48" s="93"/>
      <c r="Z48" s="93"/>
    </row>
    <row r="49">
      <c r="A49" s="26">
        <v>50.0</v>
      </c>
      <c r="B49" s="26">
        <v>2.176</v>
      </c>
      <c r="C49" s="26">
        <f t="shared" si="1"/>
        <v>0.544</v>
      </c>
      <c r="D49" s="26">
        <f t="shared" si="2"/>
        <v>2.72</v>
      </c>
      <c r="E49" s="26">
        <v>0.25</v>
      </c>
      <c r="F49" s="26"/>
      <c r="G49" s="26"/>
      <c r="H49" s="26"/>
      <c r="I49" s="26"/>
      <c r="J49" s="26"/>
      <c r="K49" s="26">
        <v>2.32</v>
      </c>
      <c r="L49" s="174">
        <f>E49*Prices!B$2</f>
        <v>27500</v>
      </c>
      <c r="M49" s="174">
        <f>F49*Prices!C$2</f>
        <v>0</v>
      </c>
      <c r="N49" s="174">
        <f>G49*Prices!D$2</f>
        <v>0</v>
      </c>
      <c r="O49" s="174">
        <f>H49*Prices!E$2</f>
        <v>0</v>
      </c>
      <c r="P49" s="174">
        <f t="shared" si="12"/>
        <v>4176</v>
      </c>
      <c r="Q49" s="174">
        <f>D49*Prices!A$2</f>
        <v>48552</v>
      </c>
      <c r="R49" s="174">
        <f t="shared" si="4"/>
        <v>27500</v>
      </c>
      <c r="S49" s="174">
        <f t="shared" si="5"/>
        <v>80228</v>
      </c>
      <c r="T49" s="26">
        <v>50.0</v>
      </c>
      <c r="U49" s="26" t="s">
        <v>82</v>
      </c>
      <c r="V49" s="93"/>
      <c r="W49" s="93"/>
      <c r="X49" s="93"/>
      <c r="Y49" s="93"/>
      <c r="Z49" s="93"/>
    </row>
    <row r="50">
      <c r="A50" s="26">
        <v>51.0</v>
      </c>
      <c r="B50" s="26">
        <v>1.616</v>
      </c>
      <c r="C50" s="26">
        <f t="shared" si="1"/>
        <v>0.404</v>
      </c>
      <c r="D50" s="26">
        <f t="shared" si="2"/>
        <v>2.02</v>
      </c>
      <c r="E50" s="26">
        <v>0.29</v>
      </c>
      <c r="F50" s="26"/>
      <c r="G50" s="26"/>
      <c r="H50" s="26"/>
      <c r="I50" s="26"/>
      <c r="J50" s="26"/>
      <c r="K50" s="26">
        <v>1.68</v>
      </c>
      <c r="L50" s="174">
        <f>E50*Prices!B$2</f>
        <v>31900</v>
      </c>
      <c r="M50" s="174">
        <f>F50*Prices!C$2</f>
        <v>0</v>
      </c>
      <c r="N50" s="174">
        <f>G50*Prices!D$2</f>
        <v>0</v>
      </c>
      <c r="O50" s="174">
        <f>H50*Prices!E$2</f>
        <v>0</v>
      </c>
      <c r="P50" s="174">
        <f t="shared" si="12"/>
        <v>3024</v>
      </c>
      <c r="Q50" s="174">
        <f>D50*Prices!A$2</f>
        <v>36057</v>
      </c>
      <c r="R50" s="174">
        <f t="shared" si="4"/>
        <v>31900</v>
      </c>
      <c r="S50" s="174">
        <f t="shared" si="5"/>
        <v>70981</v>
      </c>
      <c r="T50" s="26">
        <v>51.0</v>
      </c>
      <c r="U50" s="26" t="s">
        <v>82</v>
      </c>
      <c r="V50" s="93"/>
      <c r="W50" s="93"/>
      <c r="X50" s="93"/>
      <c r="Y50" s="93"/>
      <c r="Z50" s="93"/>
    </row>
    <row r="51">
      <c r="A51" s="26">
        <v>52.0</v>
      </c>
      <c r="B51" s="26">
        <v>4.596</v>
      </c>
      <c r="C51" s="26">
        <f t="shared" si="1"/>
        <v>1.149</v>
      </c>
      <c r="D51" s="26">
        <f t="shared" si="2"/>
        <v>5.745</v>
      </c>
      <c r="E51" s="26">
        <v>0.22</v>
      </c>
      <c r="F51" s="26"/>
      <c r="G51" s="26"/>
      <c r="H51" s="26"/>
      <c r="I51" s="26"/>
      <c r="J51" s="26"/>
      <c r="K51" s="26"/>
      <c r="L51" s="174">
        <f>E51*Prices!B$2</f>
        <v>24200</v>
      </c>
      <c r="M51" s="174">
        <f>F51*Prices!C$2</f>
        <v>0</v>
      </c>
      <c r="N51" s="174">
        <f>G51*Prices!D$2</f>
        <v>0</v>
      </c>
      <c r="O51" s="174">
        <f>H51*Prices!E$2</f>
        <v>0</v>
      </c>
      <c r="P51" s="174">
        <f t="shared" si="12"/>
        <v>0</v>
      </c>
      <c r="Q51" s="174">
        <f>D51*Prices!A$2</f>
        <v>102548.25</v>
      </c>
      <c r="R51" s="174">
        <f t="shared" si="4"/>
        <v>24200</v>
      </c>
      <c r="S51" s="174">
        <f t="shared" si="5"/>
        <v>126748.25</v>
      </c>
      <c r="T51" s="26">
        <v>52.0</v>
      </c>
      <c r="U51" s="26" t="s">
        <v>82</v>
      </c>
      <c r="V51" s="93"/>
      <c r="W51" s="93"/>
      <c r="X51" s="93"/>
      <c r="Y51" s="93"/>
      <c r="Z51" s="93"/>
    </row>
    <row r="52">
      <c r="A52" s="26">
        <v>53.0</v>
      </c>
      <c r="B52" s="26">
        <v>3.246</v>
      </c>
      <c r="C52" s="26">
        <f t="shared" si="1"/>
        <v>0.8115</v>
      </c>
      <c r="D52" s="26">
        <f t="shared" si="2"/>
        <v>4.0575</v>
      </c>
      <c r="E52" s="26">
        <f>0.19+0.58</f>
        <v>0.77</v>
      </c>
      <c r="F52" s="26"/>
      <c r="G52" s="26"/>
      <c r="H52" s="26"/>
      <c r="I52" s="26"/>
      <c r="J52" s="26">
        <v>4.4</v>
      </c>
      <c r="K52" s="26"/>
      <c r="L52" s="174">
        <f>E52*Prices!B$2</f>
        <v>84700</v>
      </c>
      <c r="M52" s="174">
        <f>F52*Prices!C$2</f>
        <v>0</v>
      </c>
      <c r="N52" s="174">
        <f>G52*Prices!D$2</f>
        <v>0</v>
      </c>
      <c r="O52" s="174">
        <f>H52*Prices!E$2</f>
        <v>0</v>
      </c>
      <c r="P52" s="174">
        <f t="shared" si="12"/>
        <v>44000</v>
      </c>
      <c r="Q52" s="174">
        <f>D52*Prices!A$2</f>
        <v>72426.375</v>
      </c>
      <c r="R52" s="174">
        <f t="shared" si="4"/>
        <v>84700</v>
      </c>
      <c r="S52" s="174">
        <f t="shared" si="5"/>
        <v>201126.375</v>
      </c>
      <c r="T52" s="26">
        <v>53.0</v>
      </c>
      <c r="U52" s="93" t="s">
        <v>82</v>
      </c>
      <c r="V52" s="93"/>
      <c r="W52" s="93"/>
      <c r="X52" s="93"/>
      <c r="Y52" s="93"/>
      <c r="Z52" s="93"/>
    </row>
    <row r="53">
      <c r="A53" s="26">
        <v>54.0</v>
      </c>
      <c r="B53" s="26">
        <v>2.458</v>
      </c>
      <c r="C53" s="26">
        <f t="shared" si="1"/>
        <v>0.6145</v>
      </c>
      <c r="D53" s="26">
        <f t="shared" si="2"/>
        <v>3.0725</v>
      </c>
      <c r="E53" s="26">
        <v>0.49</v>
      </c>
      <c r="F53" s="26"/>
      <c r="G53" s="26">
        <v>0.37</v>
      </c>
      <c r="H53" s="26"/>
      <c r="I53" s="26"/>
      <c r="J53" s="26"/>
      <c r="K53" s="26"/>
      <c r="L53" s="174">
        <f>E53*Prices!B$2</f>
        <v>53900</v>
      </c>
      <c r="M53" s="174">
        <f>F53*Prices!C$2</f>
        <v>0</v>
      </c>
      <c r="N53" s="174">
        <f>G53*Prices!D$2</f>
        <v>72150</v>
      </c>
      <c r="O53" s="174">
        <f>H53*Prices!E$2</f>
        <v>0</v>
      </c>
      <c r="P53" s="174">
        <f t="shared" si="12"/>
        <v>0</v>
      </c>
      <c r="Q53" s="174">
        <f>D53*Prices!A$2</f>
        <v>54844.125</v>
      </c>
      <c r="R53" s="174">
        <f t="shared" si="4"/>
        <v>126050</v>
      </c>
      <c r="S53" s="174">
        <f t="shared" si="5"/>
        <v>180894.125</v>
      </c>
      <c r="T53" s="26">
        <v>54.0</v>
      </c>
      <c r="U53" s="93" t="s">
        <v>82</v>
      </c>
      <c r="V53" s="93"/>
      <c r="W53" s="93"/>
      <c r="X53" s="93"/>
      <c r="Y53" s="93"/>
      <c r="Z53" s="93"/>
    </row>
    <row r="54">
      <c r="A54" s="26">
        <v>55.0</v>
      </c>
      <c r="B54" s="26">
        <v>1.568</v>
      </c>
      <c r="C54" s="26">
        <f t="shared" si="1"/>
        <v>0.392</v>
      </c>
      <c r="D54" s="26">
        <f t="shared" si="2"/>
        <v>1.96</v>
      </c>
      <c r="E54" s="26">
        <v>0.16</v>
      </c>
      <c r="F54" s="26"/>
      <c r="G54" s="26"/>
      <c r="H54" s="26"/>
      <c r="I54" s="26">
        <v>0.8</v>
      </c>
      <c r="J54" s="26"/>
      <c r="K54" s="26"/>
      <c r="L54" s="174">
        <f>E54*Prices!B$2</f>
        <v>17600</v>
      </c>
      <c r="M54" s="174">
        <f>F54*Prices!C$2</f>
        <v>0</v>
      </c>
      <c r="N54" s="174">
        <f>G54*Prices!D$2</f>
        <v>0</v>
      </c>
      <c r="O54" s="174">
        <f>H54*Prices!E$2</f>
        <v>0</v>
      </c>
      <c r="P54" s="174">
        <f t="shared" si="12"/>
        <v>1600</v>
      </c>
      <c r="Q54" s="174">
        <f>D54*Prices!A$2</f>
        <v>34986</v>
      </c>
      <c r="R54" s="174">
        <f t="shared" si="4"/>
        <v>17600</v>
      </c>
      <c r="S54" s="174">
        <f t="shared" si="5"/>
        <v>54186</v>
      </c>
      <c r="T54" s="26">
        <v>55.0</v>
      </c>
      <c r="U54" s="26" t="s">
        <v>80</v>
      </c>
      <c r="V54" s="93" t="s">
        <v>81</v>
      </c>
      <c r="W54" s="93"/>
      <c r="X54" s="93"/>
      <c r="Y54" s="93"/>
      <c r="Z54" s="93"/>
    </row>
    <row r="55">
      <c r="A55" s="26">
        <v>56.0</v>
      </c>
      <c r="B55" s="26">
        <v>1.486</v>
      </c>
      <c r="C55" s="26">
        <f t="shared" si="1"/>
        <v>0.3715</v>
      </c>
      <c r="D55" s="26">
        <f t="shared" si="2"/>
        <v>1.8575</v>
      </c>
      <c r="E55" s="26">
        <v>0.16</v>
      </c>
      <c r="F55" s="26"/>
      <c r="G55" s="26"/>
      <c r="H55" s="26"/>
      <c r="I55" s="26">
        <v>0.61</v>
      </c>
      <c r="J55" s="26"/>
      <c r="K55" s="26"/>
      <c r="L55" s="174">
        <f>E55*Prices!B$2</f>
        <v>17600</v>
      </c>
      <c r="M55" s="174">
        <f>F55*Prices!C$2</f>
        <v>0</v>
      </c>
      <c r="N55" s="174">
        <f>G55*Prices!D$2</f>
        <v>0</v>
      </c>
      <c r="O55" s="174">
        <f>H55*Prices!E$2</f>
        <v>0</v>
      </c>
      <c r="P55" s="174">
        <f t="shared" si="12"/>
        <v>1220</v>
      </c>
      <c r="Q55" s="174">
        <f>D55*Prices!A$2</f>
        <v>33156.375</v>
      </c>
      <c r="R55" s="174">
        <f t="shared" si="4"/>
        <v>17600</v>
      </c>
      <c r="S55" s="174">
        <f t="shared" si="5"/>
        <v>51976.375</v>
      </c>
      <c r="T55" s="26">
        <v>56.0</v>
      </c>
      <c r="U55" s="26" t="s">
        <v>80</v>
      </c>
      <c r="V55" s="93" t="s">
        <v>81</v>
      </c>
      <c r="W55" s="93"/>
      <c r="X55" s="93"/>
      <c r="Y55" s="93"/>
      <c r="Z55" s="93"/>
    </row>
    <row r="56">
      <c r="A56" s="26">
        <v>57.0</v>
      </c>
      <c r="B56" s="26">
        <v>1.606</v>
      </c>
      <c r="C56" s="26">
        <f t="shared" si="1"/>
        <v>0.4015</v>
      </c>
      <c r="D56" s="26">
        <f t="shared" si="2"/>
        <v>2.0075</v>
      </c>
      <c r="E56" s="26">
        <v>0.16</v>
      </c>
      <c r="F56" s="26"/>
      <c r="G56" s="26"/>
      <c r="H56" s="26"/>
      <c r="I56" s="26">
        <v>0.66</v>
      </c>
      <c r="J56" s="26"/>
      <c r="K56" s="26"/>
      <c r="L56" s="174">
        <f>E56*Prices!B$2</f>
        <v>17600</v>
      </c>
      <c r="M56" s="174">
        <f>F56*Prices!C$2</f>
        <v>0</v>
      </c>
      <c r="N56" s="174">
        <f>G56*Prices!D$2</f>
        <v>0</v>
      </c>
      <c r="O56" s="174">
        <f>H56*Prices!E$2</f>
        <v>0</v>
      </c>
      <c r="P56" s="174">
        <f t="shared" si="12"/>
        <v>1320</v>
      </c>
      <c r="Q56" s="174">
        <f>D56*Prices!A$2</f>
        <v>35833.875</v>
      </c>
      <c r="R56" s="174">
        <f t="shared" si="4"/>
        <v>17600</v>
      </c>
      <c r="S56" s="174">
        <f t="shared" si="5"/>
        <v>54753.875</v>
      </c>
      <c r="T56" s="26">
        <v>57.0</v>
      </c>
      <c r="U56" s="26" t="s">
        <v>82</v>
      </c>
      <c r="V56" s="93"/>
      <c r="W56" s="93"/>
      <c r="X56" s="93"/>
      <c r="Y56" s="93"/>
      <c r="Z56" s="93"/>
    </row>
    <row r="57">
      <c r="A57" s="26">
        <v>58.0</v>
      </c>
      <c r="B57" s="26">
        <v>1.534</v>
      </c>
      <c r="C57" s="26">
        <f t="shared" si="1"/>
        <v>0.3835</v>
      </c>
      <c r="D57" s="26">
        <f t="shared" si="2"/>
        <v>1.9175</v>
      </c>
      <c r="E57" s="26">
        <v>0.16</v>
      </c>
      <c r="F57" s="26"/>
      <c r="G57" s="26"/>
      <c r="H57" s="26"/>
      <c r="I57" s="26">
        <v>0.77</v>
      </c>
      <c r="J57" s="26"/>
      <c r="K57" s="26"/>
      <c r="L57" s="174">
        <f>E57*Prices!B$2</f>
        <v>17600</v>
      </c>
      <c r="M57" s="174">
        <f>F57*Prices!C$2</f>
        <v>0</v>
      </c>
      <c r="N57" s="174">
        <f>G57*Prices!D$2</f>
        <v>0</v>
      </c>
      <c r="O57" s="174">
        <f>H57*Prices!E$2</f>
        <v>0</v>
      </c>
      <c r="P57" s="174">
        <f t="shared" si="12"/>
        <v>1540</v>
      </c>
      <c r="Q57" s="174">
        <f>D57*Prices!A$2</f>
        <v>34227.375</v>
      </c>
      <c r="R57" s="174">
        <f t="shared" si="4"/>
        <v>17600</v>
      </c>
      <c r="S57" s="174">
        <f t="shared" si="5"/>
        <v>53367.375</v>
      </c>
      <c r="T57" s="26">
        <v>58.0</v>
      </c>
      <c r="U57" s="26" t="s">
        <v>82</v>
      </c>
      <c r="V57" s="93"/>
      <c r="W57" s="93"/>
      <c r="X57" s="93"/>
      <c r="Y57" s="93"/>
      <c r="Z57" s="93"/>
    </row>
    <row r="58">
      <c r="A58" s="26">
        <v>59.0</v>
      </c>
      <c r="B58" s="26">
        <v>1.476</v>
      </c>
      <c r="C58" s="26">
        <f t="shared" si="1"/>
        <v>0.369</v>
      </c>
      <c r="D58" s="26">
        <f t="shared" si="2"/>
        <v>1.845</v>
      </c>
      <c r="E58" s="26">
        <v>0.16</v>
      </c>
      <c r="F58" s="26"/>
      <c r="G58" s="26"/>
      <c r="H58" s="26"/>
      <c r="I58" s="26">
        <v>0.76</v>
      </c>
      <c r="J58" s="26"/>
      <c r="K58" s="26"/>
      <c r="L58" s="174">
        <f>E58*Prices!B$2</f>
        <v>17600</v>
      </c>
      <c r="M58" s="174">
        <f>F58*Prices!C$2</f>
        <v>0</v>
      </c>
      <c r="N58" s="174">
        <f>G58*Prices!D$2</f>
        <v>0</v>
      </c>
      <c r="O58" s="174">
        <f>H58*Prices!E$2</f>
        <v>0</v>
      </c>
      <c r="P58" s="174">
        <f t="shared" si="12"/>
        <v>1520</v>
      </c>
      <c r="Q58" s="174">
        <f>D58*Prices!A$2</f>
        <v>32933.25</v>
      </c>
      <c r="R58" s="174">
        <f t="shared" si="4"/>
        <v>17600</v>
      </c>
      <c r="S58" s="174">
        <f t="shared" si="5"/>
        <v>52053.25</v>
      </c>
      <c r="T58" s="26">
        <v>59.0</v>
      </c>
      <c r="U58" s="26" t="s">
        <v>82</v>
      </c>
      <c r="V58" s="93"/>
      <c r="W58" s="93"/>
      <c r="X58" s="93"/>
      <c r="Y58" s="93"/>
      <c r="Z58" s="93"/>
    </row>
    <row r="59">
      <c r="A59" s="26">
        <v>60.0</v>
      </c>
      <c r="B59" s="26">
        <v>7.802</v>
      </c>
      <c r="C59" s="26">
        <f t="shared" si="1"/>
        <v>1.9505</v>
      </c>
      <c r="D59" s="26">
        <f t="shared" si="2"/>
        <v>9.7525</v>
      </c>
      <c r="E59" s="26">
        <v>2.22</v>
      </c>
      <c r="F59" s="26"/>
      <c r="G59" s="26"/>
      <c r="H59" s="26"/>
      <c r="I59" s="26"/>
      <c r="J59" s="26"/>
      <c r="K59" s="26">
        <v>17.17</v>
      </c>
      <c r="L59" s="174">
        <f>E59*Prices!B$2</f>
        <v>244200</v>
      </c>
      <c r="M59" s="174">
        <f>F59*Prices!C$2</f>
        <v>0</v>
      </c>
      <c r="N59" s="174">
        <f>G59*Prices!D$2</f>
        <v>0</v>
      </c>
      <c r="O59" s="174">
        <f>H59*Prices!E$2</f>
        <v>0</v>
      </c>
      <c r="P59" s="174">
        <f t="shared" si="12"/>
        <v>30906</v>
      </c>
      <c r="Q59" s="174">
        <f>D59*Prices!A$2</f>
        <v>174082.125</v>
      </c>
      <c r="R59" s="174">
        <f t="shared" si="4"/>
        <v>244200</v>
      </c>
      <c r="S59" s="174">
        <f t="shared" si="5"/>
        <v>449188.125</v>
      </c>
      <c r="T59" s="26">
        <v>60.0</v>
      </c>
      <c r="U59" s="26" t="s">
        <v>82</v>
      </c>
      <c r="V59" s="93"/>
      <c r="W59" s="93"/>
      <c r="X59" s="93"/>
      <c r="Y59" s="93"/>
      <c r="Z59" s="93"/>
    </row>
    <row r="60">
      <c r="A60" s="26">
        <v>61.0</v>
      </c>
      <c r="B60" s="26">
        <v>1.622</v>
      </c>
      <c r="C60" s="26">
        <f t="shared" si="1"/>
        <v>0.4055</v>
      </c>
      <c r="D60" s="26">
        <f t="shared" si="2"/>
        <v>2.0275</v>
      </c>
      <c r="E60" s="26">
        <v>0.12</v>
      </c>
      <c r="F60" s="26"/>
      <c r="G60" s="26"/>
      <c r="H60" s="26"/>
      <c r="I60" s="26">
        <v>0.62</v>
      </c>
      <c r="J60" s="26"/>
      <c r="K60" s="26"/>
      <c r="L60" s="174">
        <f>E60*Prices!B$2</f>
        <v>13200</v>
      </c>
      <c r="M60" s="174">
        <f>F60*Prices!C$2</f>
        <v>0</v>
      </c>
      <c r="N60" s="174">
        <f>G60*Prices!D$2</f>
        <v>0</v>
      </c>
      <c r="O60" s="174">
        <f>H60*Prices!E$2</f>
        <v>0</v>
      </c>
      <c r="P60" s="174">
        <f t="shared" si="12"/>
        <v>1240</v>
      </c>
      <c r="Q60" s="174">
        <f>D60*Prices!A$2</f>
        <v>36190.875</v>
      </c>
      <c r="R60" s="174">
        <f t="shared" si="4"/>
        <v>13200</v>
      </c>
      <c r="S60" s="174">
        <f t="shared" si="5"/>
        <v>50630.875</v>
      </c>
      <c r="T60" s="26">
        <v>61.0</v>
      </c>
      <c r="U60" s="26" t="s">
        <v>82</v>
      </c>
      <c r="V60" s="93"/>
      <c r="W60" s="93"/>
      <c r="X60" s="93"/>
      <c r="Y60" s="93"/>
      <c r="Z60" s="93"/>
    </row>
    <row r="61">
      <c r="A61" s="26">
        <v>62.0</v>
      </c>
      <c r="B61" s="26">
        <v>1.694</v>
      </c>
      <c r="C61" s="26">
        <f t="shared" si="1"/>
        <v>0.4235</v>
      </c>
      <c r="D61" s="26">
        <f t="shared" si="2"/>
        <v>2.1175</v>
      </c>
      <c r="E61" s="26">
        <v>0.25</v>
      </c>
      <c r="F61" s="26"/>
      <c r="G61" s="26"/>
      <c r="H61" s="26"/>
      <c r="I61" s="26">
        <v>0.93</v>
      </c>
      <c r="J61" s="26"/>
      <c r="K61" s="93"/>
      <c r="L61" s="174">
        <f>E61*Prices!B$2</f>
        <v>27500</v>
      </c>
      <c r="M61" s="174">
        <f>F61*Prices!C$2</f>
        <v>0</v>
      </c>
      <c r="N61" s="174">
        <f>G61*Prices!D$2</f>
        <v>0</v>
      </c>
      <c r="O61" s="174">
        <f>H61*Prices!E$2</f>
        <v>0</v>
      </c>
      <c r="P61" s="174">
        <f t="shared" si="12"/>
        <v>1860</v>
      </c>
      <c r="Q61" s="174">
        <f>D61*Prices!A$2</f>
        <v>37797.375</v>
      </c>
      <c r="R61" s="174">
        <f t="shared" si="4"/>
        <v>27500</v>
      </c>
      <c r="S61" s="174">
        <f t="shared" si="5"/>
        <v>67157.375</v>
      </c>
      <c r="T61" s="26">
        <v>62.0</v>
      </c>
      <c r="U61" s="26" t="s">
        <v>82</v>
      </c>
      <c r="V61" s="93"/>
      <c r="W61" s="93"/>
      <c r="X61" s="93"/>
      <c r="Y61" s="93"/>
      <c r="Z61" s="93"/>
    </row>
    <row r="62">
      <c r="A62" s="26">
        <v>63.0</v>
      </c>
      <c r="B62" s="26">
        <v>2.096</v>
      </c>
      <c r="C62" s="26">
        <f t="shared" si="1"/>
        <v>0.524</v>
      </c>
      <c r="D62" s="26">
        <f t="shared" si="2"/>
        <v>2.62</v>
      </c>
      <c r="E62" s="26">
        <v>0.31</v>
      </c>
      <c r="F62" s="26"/>
      <c r="G62" s="26"/>
      <c r="H62" s="26"/>
      <c r="I62" s="26">
        <v>1.66</v>
      </c>
      <c r="J62" s="26"/>
      <c r="K62" s="93"/>
      <c r="L62" s="174">
        <f>E62*Prices!B$2</f>
        <v>34100</v>
      </c>
      <c r="M62" s="174">
        <f>F62*Prices!C$2</f>
        <v>0</v>
      </c>
      <c r="N62" s="174">
        <f>G62*Prices!D$2</f>
        <v>0</v>
      </c>
      <c r="O62" s="174">
        <f>H62*Prices!E$2</f>
        <v>0</v>
      </c>
      <c r="P62" s="174">
        <f t="shared" si="12"/>
        <v>3320</v>
      </c>
      <c r="Q62" s="174">
        <f>D62*Prices!A$2</f>
        <v>46767</v>
      </c>
      <c r="R62" s="174">
        <f t="shared" si="4"/>
        <v>34100</v>
      </c>
      <c r="S62" s="174">
        <f t="shared" si="5"/>
        <v>84187</v>
      </c>
      <c r="T62" s="26">
        <v>63.0</v>
      </c>
      <c r="U62" s="26" t="s">
        <v>82</v>
      </c>
      <c r="V62" s="93"/>
      <c r="W62" s="93"/>
      <c r="X62" s="93"/>
      <c r="Y62" s="93"/>
      <c r="Z62" s="93"/>
    </row>
    <row r="63">
      <c r="A63" s="26">
        <v>64.0</v>
      </c>
      <c r="B63" s="26">
        <v>1.492</v>
      </c>
      <c r="C63" s="26">
        <f t="shared" si="1"/>
        <v>0.373</v>
      </c>
      <c r="D63" s="26">
        <f t="shared" si="2"/>
        <v>1.865</v>
      </c>
      <c r="E63" s="26">
        <v>0.22</v>
      </c>
      <c r="F63" s="26"/>
      <c r="G63" s="26"/>
      <c r="H63" s="26"/>
      <c r="I63" s="26"/>
      <c r="J63" s="26"/>
      <c r="K63" s="26">
        <v>0.67</v>
      </c>
      <c r="L63" s="174">
        <f>E63*Prices!B$2</f>
        <v>24200</v>
      </c>
      <c r="M63" s="174">
        <f>F63*Prices!C$2</f>
        <v>0</v>
      </c>
      <c r="N63" s="174">
        <f>G63*Prices!D$2</f>
        <v>0</v>
      </c>
      <c r="O63" s="174">
        <f>H63*Prices!E$2</f>
        <v>0</v>
      </c>
      <c r="P63" s="174">
        <f t="shared" si="12"/>
        <v>1206</v>
      </c>
      <c r="Q63" s="174">
        <f>D63*Prices!A$2</f>
        <v>33290.25</v>
      </c>
      <c r="R63" s="174">
        <f t="shared" si="4"/>
        <v>24200</v>
      </c>
      <c r="S63" s="174">
        <f t="shared" si="5"/>
        <v>58696.25</v>
      </c>
      <c r="T63" s="26">
        <v>64.0</v>
      </c>
      <c r="U63" s="26" t="s">
        <v>82</v>
      </c>
      <c r="V63" s="93"/>
      <c r="W63" s="93"/>
      <c r="X63" s="93"/>
      <c r="Y63" s="93"/>
      <c r="Z63" s="93"/>
    </row>
    <row r="64">
      <c r="A64" s="26">
        <v>65.0</v>
      </c>
      <c r="B64" s="26">
        <v>2.05</v>
      </c>
      <c r="C64" s="26">
        <f t="shared" si="1"/>
        <v>0.5125</v>
      </c>
      <c r="D64" s="26">
        <f t="shared" si="2"/>
        <v>2.5625</v>
      </c>
      <c r="E64" s="26">
        <v>0.1</v>
      </c>
      <c r="F64" s="26"/>
      <c r="G64" s="26"/>
      <c r="H64" s="26"/>
      <c r="I64" s="26"/>
      <c r="J64" s="26"/>
      <c r="K64" s="26"/>
      <c r="L64" s="174">
        <f>E64*Prices!B$2</f>
        <v>11000</v>
      </c>
      <c r="M64" s="174">
        <f>F64*Prices!C$2</f>
        <v>0</v>
      </c>
      <c r="N64" s="174">
        <f>G64*Prices!D$2</f>
        <v>0</v>
      </c>
      <c r="O64" s="174">
        <f>H64*Prices!E$2</f>
        <v>0</v>
      </c>
      <c r="P64" s="174">
        <f t="shared" si="12"/>
        <v>0</v>
      </c>
      <c r="Q64" s="174">
        <f>D64*Prices!A$2</f>
        <v>45740.625</v>
      </c>
      <c r="R64" s="174">
        <f t="shared" si="4"/>
        <v>11000</v>
      </c>
      <c r="S64" s="174">
        <f t="shared" si="5"/>
        <v>56740.625</v>
      </c>
      <c r="T64" s="26">
        <v>65.0</v>
      </c>
      <c r="U64" s="26" t="s">
        <v>80</v>
      </c>
      <c r="V64" s="93" t="s">
        <v>81</v>
      </c>
      <c r="W64" s="93"/>
      <c r="X64" s="93"/>
      <c r="Y64" s="93"/>
      <c r="Z64" s="93"/>
    </row>
    <row r="65">
      <c r="A65" s="26">
        <v>66.0</v>
      </c>
      <c r="B65" s="26">
        <v>2.252</v>
      </c>
      <c r="C65" s="26">
        <f t="shared" si="1"/>
        <v>0.563</v>
      </c>
      <c r="D65" s="26">
        <f t="shared" si="2"/>
        <v>2.815</v>
      </c>
      <c r="E65" s="26">
        <v>0.14</v>
      </c>
      <c r="F65" s="26"/>
      <c r="G65" s="26"/>
      <c r="H65" s="26"/>
      <c r="I65" s="26"/>
      <c r="J65" s="26"/>
      <c r="K65" s="26"/>
      <c r="L65" s="174">
        <f>E65*Prices!B$2</f>
        <v>15400</v>
      </c>
      <c r="M65" s="174">
        <f>F65*Prices!C$2</f>
        <v>0</v>
      </c>
      <c r="N65" s="174">
        <f>G65*Prices!D$2</f>
        <v>0</v>
      </c>
      <c r="O65" s="174">
        <f>H65*Prices!E$2</f>
        <v>0</v>
      </c>
      <c r="P65" s="174">
        <f t="shared" si="12"/>
        <v>0</v>
      </c>
      <c r="Q65" s="174">
        <f>D65*Prices!A$2</f>
        <v>50247.75</v>
      </c>
      <c r="R65" s="174">
        <f t="shared" si="4"/>
        <v>15400</v>
      </c>
      <c r="S65" s="174">
        <f t="shared" si="5"/>
        <v>65647.75</v>
      </c>
      <c r="T65" s="26">
        <v>66.0</v>
      </c>
      <c r="U65" s="26" t="s">
        <v>82</v>
      </c>
      <c r="V65" s="93"/>
      <c r="W65" s="93"/>
      <c r="X65" s="93"/>
      <c r="Y65" s="93"/>
      <c r="Z65" s="93"/>
    </row>
    <row r="66">
      <c r="A66" s="26">
        <v>67.0</v>
      </c>
      <c r="B66" s="26">
        <v>6.258</v>
      </c>
      <c r="C66" s="26">
        <f t="shared" si="1"/>
        <v>1.5645</v>
      </c>
      <c r="D66" s="26">
        <f t="shared" si="2"/>
        <v>7.8225</v>
      </c>
      <c r="E66" s="26">
        <v>0.46</v>
      </c>
      <c r="F66" s="26"/>
      <c r="G66" s="26"/>
      <c r="H66" s="26"/>
      <c r="I66" s="26"/>
      <c r="J66" s="26"/>
      <c r="K66" s="26"/>
      <c r="L66" s="174">
        <f>E66*Prices!B$2</f>
        <v>50600</v>
      </c>
      <c r="M66" s="174">
        <f>F66*Prices!C$2</f>
        <v>0</v>
      </c>
      <c r="N66" s="174">
        <f>G66*Prices!D$2</f>
        <v>0</v>
      </c>
      <c r="O66" s="174">
        <f>H66*Prices!E$2</f>
        <v>0</v>
      </c>
      <c r="P66" s="174">
        <f t="shared" si="12"/>
        <v>0</v>
      </c>
      <c r="Q66" s="174">
        <f>D66*Prices!A$2</f>
        <v>139631.625</v>
      </c>
      <c r="R66" s="174">
        <f t="shared" si="4"/>
        <v>50600</v>
      </c>
      <c r="S66" s="174">
        <f t="shared" si="5"/>
        <v>190231.625</v>
      </c>
      <c r="T66" s="26">
        <v>67.0</v>
      </c>
      <c r="U66" s="26" t="s">
        <v>80</v>
      </c>
      <c r="V66" s="93" t="s">
        <v>81</v>
      </c>
      <c r="W66" s="93"/>
      <c r="X66" s="93"/>
      <c r="Y66" s="93"/>
      <c r="Z66" s="93"/>
    </row>
    <row r="67">
      <c r="A67" s="26">
        <v>68.0</v>
      </c>
      <c r="B67" s="26">
        <v>1.588</v>
      </c>
      <c r="C67" s="26">
        <f t="shared" si="1"/>
        <v>0.397</v>
      </c>
      <c r="D67" s="26">
        <f t="shared" si="2"/>
        <v>1.985</v>
      </c>
      <c r="E67" s="26">
        <v>0.34</v>
      </c>
      <c r="F67" s="26"/>
      <c r="G67" s="26"/>
      <c r="H67" s="26"/>
      <c r="I67" s="26"/>
      <c r="J67" s="26"/>
      <c r="K67" s="26">
        <v>4.47</v>
      </c>
      <c r="L67" s="174">
        <f>E67*Prices!B$2</f>
        <v>37400</v>
      </c>
      <c r="M67" s="174">
        <f>F67*Prices!C$2</f>
        <v>0</v>
      </c>
      <c r="N67" s="174">
        <f>G67*Prices!D$2</f>
        <v>0</v>
      </c>
      <c r="O67" s="174">
        <f>H67*Prices!E$2</f>
        <v>0</v>
      </c>
      <c r="P67" s="174">
        <f t="shared" si="12"/>
        <v>8046</v>
      </c>
      <c r="Q67" s="174">
        <f>D67*Prices!A$2</f>
        <v>35432.25</v>
      </c>
      <c r="R67" s="174">
        <f t="shared" si="4"/>
        <v>37400</v>
      </c>
      <c r="S67" s="174">
        <f t="shared" si="5"/>
        <v>80878.25</v>
      </c>
      <c r="T67" s="26">
        <v>68.0</v>
      </c>
      <c r="U67" s="26" t="s">
        <v>80</v>
      </c>
      <c r="V67" s="93" t="s">
        <v>81</v>
      </c>
      <c r="W67" s="93"/>
      <c r="X67" s="93"/>
      <c r="Y67" s="93"/>
      <c r="Z67" s="93"/>
    </row>
    <row r="68">
      <c r="A68" s="26">
        <v>69.0</v>
      </c>
      <c r="B68" s="26">
        <v>1.15</v>
      </c>
      <c r="C68" s="26">
        <f t="shared" si="1"/>
        <v>0.2875</v>
      </c>
      <c r="D68" s="26">
        <f t="shared" si="2"/>
        <v>1.4375</v>
      </c>
      <c r="E68" s="26">
        <v>0.26</v>
      </c>
      <c r="F68" s="26"/>
      <c r="G68" s="26"/>
      <c r="H68" s="26"/>
      <c r="I68" s="26"/>
      <c r="J68" s="26">
        <v>0.94</v>
      </c>
      <c r="K68" s="26"/>
      <c r="L68" s="174">
        <f>E68*Prices!B$2</f>
        <v>28600</v>
      </c>
      <c r="M68" s="174">
        <f>F68*Prices!C$2</f>
        <v>0</v>
      </c>
      <c r="N68" s="174">
        <f>G68*Prices!D$2</f>
        <v>0</v>
      </c>
      <c r="O68" s="174">
        <f>H68*Prices!E$2</f>
        <v>0</v>
      </c>
      <c r="P68" s="174">
        <f t="shared" ref="P68:P72" si="13">I68*2000+J68*8000+K68*1800</f>
        <v>7520</v>
      </c>
      <c r="Q68" s="174">
        <f>D68*Prices!A$2</f>
        <v>25659.375</v>
      </c>
      <c r="R68" s="174">
        <f t="shared" si="4"/>
        <v>28600</v>
      </c>
      <c r="S68" s="174">
        <f t="shared" si="5"/>
        <v>61779.375</v>
      </c>
      <c r="T68" s="26">
        <v>69.0</v>
      </c>
      <c r="U68" s="26" t="s">
        <v>80</v>
      </c>
      <c r="V68" s="93" t="s">
        <v>81</v>
      </c>
      <c r="W68" s="93"/>
      <c r="X68" s="93"/>
      <c r="Y68" s="93"/>
      <c r="Z68" s="93"/>
    </row>
    <row r="69">
      <c r="A69" s="26">
        <v>70.0</v>
      </c>
      <c r="B69" s="26">
        <v>1.534</v>
      </c>
      <c r="C69" s="26">
        <f t="shared" si="1"/>
        <v>0.3835</v>
      </c>
      <c r="D69" s="26">
        <f t="shared" si="2"/>
        <v>1.9175</v>
      </c>
      <c r="E69" s="26">
        <v>0.4</v>
      </c>
      <c r="F69" s="26"/>
      <c r="G69" s="26"/>
      <c r="H69" s="26"/>
      <c r="I69" s="26"/>
      <c r="J69" s="26">
        <v>2.48</v>
      </c>
      <c r="K69" s="26"/>
      <c r="L69" s="174">
        <f>E69*Prices!B$2</f>
        <v>44000</v>
      </c>
      <c r="M69" s="174">
        <f>F69*Prices!C$2</f>
        <v>0</v>
      </c>
      <c r="N69" s="174">
        <f>G69*Prices!D$2</f>
        <v>0</v>
      </c>
      <c r="O69" s="174">
        <f>H69*Prices!E$2</f>
        <v>0</v>
      </c>
      <c r="P69" s="174">
        <f t="shared" si="13"/>
        <v>19840</v>
      </c>
      <c r="Q69" s="174">
        <f>D69*Prices!A$2</f>
        <v>34227.375</v>
      </c>
      <c r="R69" s="174">
        <f t="shared" si="4"/>
        <v>44000</v>
      </c>
      <c r="S69" s="174">
        <f t="shared" si="5"/>
        <v>98067.375</v>
      </c>
      <c r="T69" s="26">
        <v>70.0</v>
      </c>
      <c r="U69" s="26" t="s">
        <v>82</v>
      </c>
      <c r="V69" s="93"/>
      <c r="W69" s="93"/>
      <c r="X69" s="93"/>
      <c r="Y69" s="93"/>
      <c r="Z69" s="93"/>
    </row>
    <row r="70">
      <c r="A70" s="26">
        <v>71.0</v>
      </c>
      <c r="B70" s="26">
        <v>7.786</v>
      </c>
      <c r="C70" s="26">
        <f t="shared" si="1"/>
        <v>1.9465</v>
      </c>
      <c r="D70" s="26">
        <f t="shared" si="2"/>
        <v>9.7325</v>
      </c>
      <c r="E70" s="26">
        <v>2.12</v>
      </c>
      <c r="F70" s="26"/>
      <c r="G70" s="26"/>
      <c r="H70" s="26"/>
      <c r="I70" s="26"/>
      <c r="J70" s="26">
        <v>2.8</v>
      </c>
      <c r="K70" s="26"/>
      <c r="L70" s="174">
        <f>E70*Prices!B$2</f>
        <v>233200</v>
      </c>
      <c r="M70" s="174">
        <f>F70*Prices!C$2</f>
        <v>0</v>
      </c>
      <c r="N70" s="174">
        <f>G70*Prices!D$2</f>
        <v>0</v>
      </c>
      <c r="O70" s="174">
        <f>H70*Prices!E$2</f>
        <v>0</v>
      </c>
      <c r="P70" s="174">
        <f t="shared" si="13"/>
        <v>22400</v>
      </c>
      <c r="Q70" s="174">
        <f>D70*Prices!A$2</f>
        <v>173725.125</v>
      </c>
      <c r="R70" s="174">
        <f t="shared" si="4"/>
        <v>233200</v>
      </c>
      <c r="S70" s="174">
        <f t="shared" si="5"/>
        <v>429325.125</v>
      </c>
      <c r="T70" s="26">
        <v>71.0</v>
      </c>
      <c r="U70" s="26" t="s">
        <v>82</v>
      </c>
      <c r="V70" s="93"/>
      <c r="W70" s="93"/>
      <c r="X70" s="93"/>
      <c r="Y70" s="93"/>
      <c r="Z70" s="93"/>
    </row>
    <row r="71">
      <c r="A71" s="26">
        <v>72.0</v>
      </c>
      <c r="B71" s="26">
        <v>0.872</v>
      </c>
      <c r="C71" s="26">
        <f t="shared" si="1"/>
        <v>0.218</v>
      </c>
      <c r="D71" s="26">
        <f t="shared" si="2"/>
        <v>1.09</v>
      </c>
      <c r="E71" s="26">
        <v>0.06</v>
      </c>
      <c r="F71" s="26"/>
      <c r="G71" s="26"/>
      <c r="H71" s="26"/>
      <c r="I71" s="26"/>
      <c r="J71" s="26">
        <v>0.38</v>
      </c>
      <c r="K71" s="26"/>
      <c r="L71" s="174">
        <f>E71*Prices!B$2</f>
        <v>6600</v>
      </c>
      <c r="M71" s="174">
        <f>F71*Prices!C$2</f>
        <v>0</v>
      </c>
      <c r="N71" s="174">
        <f>G71*Prices!D$2</f>
        <v>0</v>
      </c>
      <c r="O71" s="174">
        <f>H71*Prices!E$2</f>
        <v>0</v>
      </c>
      <c r="P71" s="174">
        <f t="shared" si="13"/>
        <v>3040</v>
      </c>
      <c r="Q71" s="174">
        <f>D71*Prices!A$2</f>
        <v>19456.5</v>
      </c>
      <c r="R71" s="174">
        <f t="shared" si="4"/>
        <v>6600</v>
      </c>
      <c r="S71" s="174">
        <f t="shared" si="5"/>
        <v>29096.5</v>
      </c>
      <c r="T71" s="26">
        <v>72.0</v>
      </c>
      <c r="U71" s="26" t="s">
        <v>80</v>
      </c>
      <c r="V71" s="93" t="s">
        <v>81</v>
      </c>
      <c r="W71" s="93"/>
      <c r="X71" s="93"/>
      <c r="Y71" s="93"/>
      <c r="Z71" s="93"/>
    </row>
    <row r="72">
      <c r="A72" s="26">
        <v>73.0</v>
      </c>
      <c r="B72" s="26">
        <v>0.952</v>
      </c>
      <c r="C72" s="26">
        <f t="shared" si="1"/>
        <v>0.238</v>
      </c>
      <c r="D72" s="26">
        <f t="shared" si="2"/>
        <v>1.19</v>
      </c>
      <c r="E72" s="26">
        <v>0.06</v>
      </c>
      <c r="F72" s="26"/>
      <c r="G72" s="26"/>
      <c r="H72" s="26"/>
      <c r="I72" s="26"/>
      <c r="J72" s="26">
        <v>0.83</v>
      </c>
      <c r="K72" s="26"/>
      <c r="L72" s="174">
        <f>E72*Prices!B$2</f>
        <v>6600</v>
      </c>
      <c r="M72" s="174">
        <f>F72*Prices!C$2</f>
        <v>0</v>
      </c>
      <c r="N72" s="174">
        <f>G72*Prices!D$2</f>
        <v>0</v>
      </c>
      <c r="O72" s="174">
        <f>H72*Prices!E$2</f>
        <v>0</v>
      </c>
      <c r="P72" s="174">
        <f t="shared" si="13"/>
        <v>6640</v>
      </c>
      <c r="Q72" s="174">
        <f>D72*Prices!A$2</f>
        <v>21241.5</v>
      </c>
      <c r="R72" s="174">
        <f t="shared" si="4"/>
        <v>6600</v>
      </c>
      <c r="S72" s="174">
        <f t="shared" si="5"/>
        <v>34481.5</v>
      </c>
      <c r="T72" s="26">
        <v>73.0</v>
      </c>
      <c r="U72" s="26" t="s">
        <v>82</v>
      </c>
      <c r="V72" s="93"/>
      <c r="W72" s="93"/>
      <c r="X72" s="93"/>
      <c r="Y72" s="93"/>
      <c r="Z72" s="93"/>
    </row>
    <row r="73">
      <c r="A73" s="26">
        <v>74.0</v>
      </c>
      <c r="B73" s="26">
        <v>14.604</v>
      </c>
      <c r="C73" s="26">
        <f t="shared" si="1"/>
        <v>3.651</v>
      </c>
      <c r="D73" s="26">
        <f t="shared" si="2"/>
        <v>18.255</v>
      </c>
      <c r="E73" s="26">
        <v>4.29</v>
      </c>
      <c r="F73" s="26"/>
      <c r="G73" s="26"/>
      <c r="H73" s="26"/>
      <c r="I73" s="26"/>
      <c r="J73" s="26"/>
      <c r="K73" s="26"/>
      <c r="L73" s="174">
        <f>E73*Prices!B$2</f>
        <v>471900</v>
      </c>
      <c r="M73" s="174">
        <f>F73*Prices!C$2</f>
        <v>0</v>
      </c>
      <c r="N73" s="174">
        <f>G73*Prices!D$2</f>
        <v>0</v>
      </c>
      <c r="O73" s="174">
        <f>H73*Prices!E$2</f>
        <v>0</v>
      </c>
      <c r="P73" s="174">
        <f t="shared" ref="P73:P98" si="14">I73*2000+J73*10000+K73*1800</f>
        <v>0</v>
      </c>
      <c r="Q73" s="174">
        <f>D73*Prices!A$2</f>
        <v>325851.75</v>
      </c>
      <c r="R73" s="174">
        <f t="shared" si="4"/>
        <v>471900</v>
      </c>
      <c r="S73" s="174">
        <f t="shared" si="5"/>
        <v>797751.75</v>
      </c>
      <c r="T73" s="26">
        <v>74.0</v>
      </c>
      <c r="U73" s="26" t="s">
        <v>80</v>
      </c>
      <c r="V73" s="93" t="s">
        <v>81</v>
      </c>
      <c r="W73" s="93"/>
      <c r="X73" s="93"/>
      <c r="Y73" s="93"/>
      <c r="Z73" s="93"/>
    </row>
    <row r="74">
      <c r="A74" s="26">
        <v>75.0</v>
      </c>
      <c r="B74" s="26">
        <v>13.428</v>
      </c>
      <c r="C74" s="26">
        <f t="shared" si="1"/>
        <v>3.357</v>
      </c>
      <c r="D74" s="26">
        <f t="shared" si="2"/>
        <v>16.785</v>
      </c>
      <c r="E74" s="26">
        <v>3.21</v>
      </c>
      <c r="F74" s="26"/>
      <c r="G74" s="26"/>
      <c r="H74" s="26"/>
      <c r="I74" s="26"/>
      <c r="J74" s="26"/>
      <c r="K74" s="26"/>
      <c r="L74" s="174">
        <f>E74*Prices!B$2</f>
        <v>353100</v>
      </c>
      <c r="M74" s="174">
        <f>F74*Prices!C$2</f>
        <v>0</v>
      </c>
      <c r="N74" s="174">
        <f>G74*Prices!D$2</f>
        <v>0</v>
      </c>
      <c r="O74" s="174">
        <f>H74*Prices!E$2</f>
        <v>0</v>
      </c>
      <c r="P74" s="174">
        <f t="shared" si="14"/>
        <v>0</v>
      </c>
      <c r="Q74" s="174">
        <f>D74*Prices!A$2</f>
        <v>299612.25</v>
      </c>
      <c r="R74" s="174">
        <f t="shared" si="4"/>
        <v>353100</v>
      </c>
      <c r="S74" s="174">
        <f t="shared" si="5"/>
        <v>652712.25</v>
      </c>
      <c r="T74" s="26">
        <v>75.0</v>
      </c>
      <c r="U74" s="26" t="s">
        <v>80</v>
      </c>
      <c r="V74" s="93" t="s">
        <v>81</v>
      </c>
      <c r="W74" s="93"/>
      <c r="X74" s="93"/>
      <c r="Y74" s="93"/>
      <c r="Z74" s="93"/>
    </row>
    <row r="75">
      <c r="A75" s="26">
        <v>76.0</v>
      </c>
      <c r="B75" s="26">
        <v>14.282</v>
      </c>
      <c r="C75" s="26">
        <f t="shared" si="1"/>
        <v>3.5705</v>
      </c>
      <c r="D75" s="26">
        <f t="shared" si="2"/>
        <v>17.8525</v>
      </c>
      <c r="E75" s="26">
        <v>3.14</v>
      </c>
      <c r="F75" s="26"/>
      <c r="G75" s="26"/>
      <c r="H75" s="26"/>
      <c r="I75" s="26">
        <v>0.95</v>
      </c>
      <c r="J75" s="26"/>
      <c r="K75" s="26"/>
      <c r="L75" s="174">
        <f>E75*Prices!B$2</f>
        <v>345400</v>
      </c>
      <c r="M75" s="174">
        <f>F75*Prices!C$2</f>
        <v>0</v>
      </c>
      <c r="N75" s="174">
        <f>G75*Prices!D$2</f>
        <v>0</v>
      </c>
      <c r="O75" s="174">
        <f>H75*Prices!E$2</f>
        <v>0</v>
      </c>
      <c r="P75" s="174">
        <f t="shared" si="14"/>
        <v>1900</v>
      </c>
      <c r="Q75" s="174">
        <f>D75*Prices!A$2</f>
        <v>318667.125</v>
      </c>
      <c r="R75" s="174">
        <f t="shared" si="4"/>
        <v>345400</v>
      </c>
      <c r="S75" s="174">
        <f t="shared" si="5"/>
        <v>665967.125</v>
      </c>
      <c r="T75" s="26">
        <v>76.0</v>
      </c>
      <c r="U75" s="26" t="s">
        <v>82</v>
      </c>
      <c r="V75" s="93"/>
      <c r="W75" s="93"/>
      <c r="X75" s="93"/>
      <c r="Y75" s="93"/>
      <c r="Z75" s="93"/>
    </row>
    <row r="76">
      <c r="A76" s="26">
        <v>77.0</v>
      </c>
      <c r="B76" s="26">
        <v>3.0</v>
      </c>
      <c r="C76" s="26">
        <f t="shared" si="1"/>
        <v>0.75</v>
      </c>
      <c r="D76" s="26">
        <f t="shared" si="2"/>
        <v>3.75</v>
      </c>
      <c r="E76" s="26">
        <v>0.25</v>
      </c>
      <c r="F76" s="26"/>
      <c r="G76" s="26"/>
      <c r="H76" s="26"/>
      <c r="I76" s="26"/>
      <c r="J76" s="26"/>
      <c r="K76" s="26"/>
      <c r="L76" s="174">
        <f>E76*Prices!B$2</f>
        <v>27500</v>
      </c>
      <c r="M76" s="174">
        <f>F76*Prices!C$2</f>
        <v>0</v>
      </c>
      <c r="N76" s="174">
        <f>G76*Prices!D$2</f>
        <v>0</v>
      </c>
      <c r="O76" s="174">
        <f>H76*Prices!E$2</f>
        <v>0</v>
      </c>
      <c r="P76" s="174">
        <f t="shared" si="14"/>
        <v>0</v>
      </c>
      <c r="Q76" s="174">
        <f>D76*Prices!A$2</f>
        <v>66937.5</v>
      </c>
      <c r="R76" s="174">
        <f t="shared" si="4"/>
        <v>27500</v>
      </c>
      <c r="S76" s="174">
        <f t="shared" si="5"/>
        <v>94437.5</v>
      </c>
      <c r="T76" s="26">
        <v>77.0</v>
      </c>
      <c r="U76" s="26" t="s">
        <v>82</v>
      </c>
      <c r="V76" s="93"/>
      <c r="W76" s="93"/>
      <c r="X76" s="93"/>
      <c r="Y76" s="93"/>
      <c r="Z76" s="93"/>
    </row>
    <row r="77">
      <c r="A77" s="26">
        <v>78.0</v>
      </c>
      <c r="B77" s="26">
        <v>1.982</v>
      </c>
      <c r="C77" s="26">
        <f t="shared" si="1"/>
        <v>0.4955</v>
      </c>
      <c r="D77" s="26">
        <f t="shared" si="2"/>
        <v>2.4775</v>
      </c>
      <c r="E77" s="26">
        <v>0.59</v>
      </c>
      <c r="F77" s="26"/>
      <c r="G77" s="26"/>
      <c r="H77" s="26"/>
      <c r="I77" s="26"/>
      <c r="J77" s="26"/>
      <c r="K77" s="26"/>
      <c r="L77" s="174">
        <f>E77*Prices!B$2</f>
        <v>64900</v>
      </c>
      <c r="M77" s="174">
        <f>F77*Prices!C$2</f>
        <v>0</v>
      </c>
      <c r="N77" s="174">
        <f>G77*Prices!D$2</f>
        <v>0</v>
      </c>
      <c r="O77" s="174">
        <f>H77*Prices!E$2</f>
        <v>0</v>
      </c>
      <c r="P77" s="174">
        <f t="shared" si="14"/>
        <v>0</v>
      </c>
      <c r="Q77" s="174">
        <f>D77*Prices!A$2</f>
        <v>44223.375</v>
      </c>
      <c r="R77" s="174">
        <f t="shared" si="4"/>
        <v>64900</v>
      </c>
      <c r="S77" s="174">
        <f t="shared" si="5"/>
        <v>109123.375</v>
      </c>
      <c r="T77" s="26">
        <v>78.0</v>
      </c>
      <c r="U77" s="26" t="s">
        <v>82</v>
      </c>
      <c r="V77" s="93"/>
      <c r="W77" s="93"/>
      <c r="X77" s="93"/>
      <c r="Y77" s="93"/>
      <c r="Z77" s="93"/>
    </row>
    <row r="78">
      <c r="A78" s="26">
        <v>79.0</v>
      </c>
      <c r="B78" s="26">
        <v>2.846</v>
      </c>
      <c r="C78" s="26">
        <f t="shared" si="1"/>
        <v>0.7115</v>
      </c>
      <c r="D78" s="26">
        <f t="shared" si="2"/>
        <v>3.5575</v>
      </c>
      <c r="E78" s="26">
        <v>1.01</v>
      </c>
      <c r="F78" s="26"/>
      <c r="G78" s="26"/>
      <c r="H78" s="26"/>
      <c r="I78" s="26"/>
      <c r="J78" s="26"/>
      <c r="K78" s="26"/>
      <c r="L78" s="174">
        <f>E78*Prices!B$2</f>
        <v>111100</v>
      </c>
      <c r="M78" s="174">
        <f>F78*Prices!C$2</f>
        <v>0</v>
      </c>
      <c r="N78" s="174">
        <f>G78*Prices!D$2</f>
        <v>0</v>
      </c>
      <c r="O78" s="174">
        <f>H78*Prices!E$2</f>
        <v>0</v>
      </c>
      <c r="P78" s="174">
        <f t="shared" si="14"/>
        <v>0</v>
      </c>
      <c r="Q78" s="174">
        <f>D78*Prices!A$2</f>
        <v>63501.375</v>
      </c>
      <c r="R78" s="174">
        <f t="shared" si="4"/>
        <v>111100</v>
      </c>
      <c r="S78" s="174">
        <f t="shared" si="5"/>
        <v>174601.375</v>
      </c>
      <c r="T78" s="26">
        <v>79.0</v>
      </c>
      <c r="U78" s="26" t="s">
        <v>80</v>
      </c>
      <c r="V78" s="93" t="s">
        <v>81</v>
      </c>
      <c r="W78" s="93"/>
      <c r="X78" s="93"/>
      <c r="Y78" s="93"/>
      <c r="Z78" s="93"/>
    </row>
    <row r="79">
      <c r="A79" s="26">
        <v>80.0</v>
      </c>
      <c r="B79" s="26">
        <v>4.822</v>
      </c>
      <c r="C79" s="26">
        <f t="shared" si="1"/>
        <v>1.2055</v>
      </c>
      <c r="D79" s="26">
        <f t="shared" si="2"/>
        <v>6.0275</v>
      </c>
      <c r="E79" s="26">
        <v>0.64</v>
      </c>
      <c r="F79" s="26"/>
      <c r="G79" s="26"/>
      <c r="H79" s="26"/>
      <c r="I79" s="26"/>
      <c r="J79" s="26"/>
      <c r="K79" s="26"/>
      <c r="L79" s="174">
        <f>E79*Prices!B$2</f>
        <v>70400</v>
      </c>
      <c r="M79" s="174">
        <f>F79*Prices!C$2</f>
        <v>0</v>
      </c>
      <c r="N79" s="174">
        <f>G79*Prices!D$2</f>
        <v>0</v>
      </c>
      <c r="O79" s="174">
        <f>H79*Prices!E$2</f>
        <v>0</v>
      </c>
      <c r="P79" s="174">
        <f t="shared" si="14"/>
        <v>0</v>
      </c>
      <c r="Q79" s="174">
        <f>D79*Prices!A$2</f>
        <v>107590.875</v>
      </c>
      <c r="R79" s="174">
        <f t="shared" si="4"/>
        <v>70400</v>
      </c>
      <c r="S79" s="174">
        <f t="shared" si="5"/>
        <v>177990.875</v>
      </c>
      <c r="T79" s="26">
        <v>80.0</v>
      </c>
      <c r="U79" s="26" t="s">
        <v>80</v>
      </c>
      <c r="V79" s="93" t="s">
        <v>81</v>
      </c>
      <c r="W79" s="93"/>
      <c r="X79" s="93"/>
      <c r="Y79" s="93"/>
      <c r="Z79" s="93"/>
    </row>
    <row r="80">
      <c r="A80" s="26">
        <v>81.0</v>
      </c>
      <c r="B80" s="26">
        <v>3.13</v>
      </c>
      <c r="C80" s="26">
        <f t="shared" si="1"/>
        <v>0.7825</v>
      </c>
      <c r="D80" s="26">
        <f t="shared" si="2"/>
        <v>3.9125</v>
      </c>
      <c r="E80" s="26">
        <v>0.57</v>
      </c>
      <c r="F80" s="26"/>
      <c r="G80" s="26"/>
      <c r="H80" s="26"/>
      <c r="I80" s="26"/>
      <c r="J80" s="26"/>
      <c r="K80" s="26">
        <v>2.18</v>
      </c>
      <c r="L80" s="174">
        <f>E80*Prices!B$2</f>
        <v>62700</v>
      </c>
      <c r="M80" s="174">
        <f>F80*Prices!C$2</f>
        <v>0</v>
      </c>
      <c r="N80" s="174">
        <f>G80*Prices!D$2</f>
        <v>0</v>
      </c>
      <c r="O80" s="174">
        <f>H80*Prices!E$2</f>
        <v>0</v>
      </c>
      <c r="P80" s="174">
        <f t="shared" si="14"/>
        <v>3924</v>
      </c>
      <c r="Q80" s="174">
        <f>D80*Prices!A$2</f>
        <v>69838.125</v>
      </c>
      <c r="R80" s="174">
        <f t="shared" si="4"/>
        <v>62700</v>
      </c>
      <c r="S80" s="174">
        <f t="shared" si="5"/>
        <v>136462.125</v>
      </c>
      <c r="T80" s="26">
        <v>81.0</v>
      </c>
      <c r="U80" s="26" t="s">
        <v>80</v>
      </c>
      <c r="V80" s="93" t="s">
        <v>81</v>
      </c>
      <c r="W80" s="93"/>
      <c r="X80" s="93"/>
      <c r="Y80" s="93"/>
      <c r="Z80" s="93"/>
    </row>
    <row r="81">
      <c r="A81" s="26">
        <v>82.0</v>
      </c>
      <c r="B81" s="26">
        <v>2.222</v>
      </c>
      <c r="C81" s="26">
        <f t="shared" si="1"/>
        <v>0.5555</v>
      </c>
      <c r="D81" s="26">
        <f t="shared" si="2"/>
        <v>2.7775</v>
      </c>
      <c r="E81" s="26">
        <v>0.46</v>
      </c>
      <c r="F81" s="26"/>
      <c r="G81" s="26"/>
      <c r="H81" s="26"/>
      <c r="I81" s="26"/>
      <c r="J81" s="26"/>
      <c r="K81" s="26">
        <v>2.23</v>
      </c>
      <c r="L81" s="174">
        <f>E81*Prices!B$2</f>
        <v>50600</v>
      </c>
      <c r="M81" s="174">
        <f>F81*Prices!C$2</f>
        <v>0</v>
      </c>
      <c r="N81" s="174">
        <f>G81*Prices!D$2</f>
        <v>0</v>
      </c>
      <c r="O81" s="174">
        <f>H81*Prices!E$2</f>
        <v>0</v>
      </c>
      <c r="P81" s="174">
        <f t="shared" si="14"/>
        <v>4014</v>
      </c>
      <c r="Q81" s="174">
        <f>D81*Prices!A$2</f>
        <v>49578.375</v>
      </c>
      <c r="R81" s="174">
        <f t="shared" si="4"/>
        <v>50600</v>
      </c>
      <c r="S81" s="174">
        <f t="shared" si="5"/>
        <v>104192.375</v>
      </c>
      <c r="T81" s="26">
        <v>82.0</v>
      </c>
      <c r="U81" s="26" t="s">
        <v>80</v>
      </c>
      <c r="V81" s="93" t="s">
        <v>81</v>
      </c>
      <c r="W81" s="93"/>
      <c r="X81" s="93"/>
      <c r="Y81" s="93"/>
      <c r="Z81" s="93"/>
    </row>
    <row r="82">
      <c r="A82" s="26">
        <v>83.0</v>
      </c>
      <c r="B82" s="26">
        <v>2.284</v>
      </c>
      <c r="C82" s="26">
        <f t="shared" si="1"/>
        <v>0.571</v>
      </c>
      <c r="D82" s="26">
        <f t="shared" si="2"/>
        <v>2.855</v>
      </c>
      <c r="E82" s="26">
        <v>0.6</v>
      </c>
      <c r="F82" s="26"/>
      <c r="G82" s="26"/>
      <c r="H82" s="26"/>
      <c r="I82" s="26"/>
      <c r="J82" s="26"/>
      <c r="K82" s="26">
        <v>1.43</v>
      </c>
      <c r="L82" s="174">
        <f>E82*Prices!B$2</f>
        <v>66000</v>
      </c>
      <c r="M82" s="174">
        <f>F82*Prices!C$2</f>
        <v>0</v>
      </c>
      <c r="N82" s="174">
        <f>G82*Prices!D$2</f>
        <v>0</v>
      </c>
      <c r="O82" s="174">
        <f>H82*Prices!E$2</f>
        <v>0</v>
      </c>
      <c r="P82" s="174">
        <f t="shared" si="14"/>
        <v>2574</v>
      </c>
      <c r="Q82" s="174">
        <f>D82*Prices!A$2</f>
        <v>50961.75</v>
      </c>
      <c r="R82" s="174">
        <f t="shared" si="4"/>
        <v>66000</v>
      </c>
      <c r="S82" s="174">
        <f t="shared" si="5"/>
        <v>119535.75</v>
      </c>
      <c r="T82" s="26">
        <v>83.0</v>
      </c>
      <c r="U82" s="26" t="s">
        <v>80</v>
      </c>
      <c r="V82" s="93" t="s">
        <v>81</v>
      </c>
      <c r="W82" s="93"/>
      <c r="X82" s="93"/>
      <c r="Y82" s="93"/>
      <c r="Z82" s="93"/>
    </row>
    <row r="83">
      <c r="A83" s="26">
        <v>84.0</v>
      </c>
      <c r="B83" s="26">
        <v>2.146</v>
      </c>
      <c r="C83" s="26">
        <f t="shared" si="1"/>
        <v>0.5365</v>
      </c>
      <c r="D83" s="26">
        <f t="shared" si="2"/>
        <v>2.6825</v>
      </c>
      <c r="E83" s="26">
        <v>0.27</v>
      </c>
      <c r="F83" s="26"/>
      <c r="G83" s="26"/>
      <c r="H83" s="26"/>
      <c r="I83" s="26">
        <v>1.2</v>
      </c>
      <c r="J83" s="26"/>
      <c r="K83" s="26"/>
      <c r="L83" s="174">
        <f>E83*Prices!B$2</f>
        <v>29700</v>
      </c>
      <c r="M83" s="174">
        <f>F83*Prices!C$2</f>
        <v>0</v>
      </c>
      <c r="N83" s="174">
        <f>G83*Prices!D$2</f>
        <v>0</v>
      </c>
      <c r="O83" s="174">
        <f>H83*Prices!E$2</f>
        <v>0</v>
      </c>
      <c r="P83" s="174">
        <f t="shared" si="14"/>
        <v>2400</v>
      </c>
      <c r="Q83" s="174">
        <f>D83*Prices!A$2</f>
        <v>47882.625</v>
      </c>
      <c r="R83" s="174">
        <f t="shared" si="4"/>
        <v>29700</v>
      </c>
      <c r="S83" s="174">
        <f t="shared" si="5"/>
        <v>79982.625</v>
      </c>
      <c r="T83" s="26">
        <v>84.0</v>
      </c>
      <c r="U83" s="93" t="s">
        <v>82</v>
      </c>
      <c r="V83" s="93"/>
      <c r="W83" s="93"/>
      <c r="X83" s="93"/>
      <c r="Y83" s="93"/>
      <c r="Z83" s="93"/>
    </row>
    <row r="84">
      <c r="A84" s="26">
        <v>85.0</v>
      </c>
      <c r="B84" s="26">
        <v>2.26</v>
      </c>
      <c r="C84" s="26">
        <f t="shared" si="1"/>
        <v>0.565</v>
      </c>
      <c r="D84" s="26">
        <f t="shared" si="2"/>
        <v>2.825</v>
      </c>
      <c r="E84" s="26">
        <v>0.36</v>
      </c>
      <c r="F84" s="26"/>
      <c r="G84" s="26"/>
      <c r="H84" s="26"/>
      <c r="I84" s="26">
        <v>1.79</v>
      </c>
      <c r="J84" s="26"/>
      <c r="K84" s="26"/>
      <c r="L84" s="174">
        <f>E84*Prices!B$2</f>
        <v>39600</v>
      </c>
      <c r="M84" s="174">
        <f>F84*Prices!C$2</f>
        <v>0</v>
      </c>
      <c r="N84" s="174">
        <f>G84*Prices!D$2</f>
        <v>0</v>
      </c>
      <c r="O84" s="174">
        <f>H84*Prices!E$2</f>
        <v>0</v>
      </c>
      <c r="P84" s="174">
        <f t="shared" si="14"/>
        <v>3580</v>
      </c>
      <c r="Q84" s="174">
        <f>D84*Prices!A$2</f>
        <v>50426.25</v>
      </c>
      <c r="R84" s="174">
        <f t="shared" si="4"/>
        <v>39600</v>
      </c>
      <c r="S84" s="174">
        <f t="shared" si="5"/>
        <v>93606.25</v>
      </c>
      <c r="T84" s="26">
        <v>85.0</v>
      </c>
      <c r="U84" s="26" t="s">
        <v>80</v>
      </c>
      <c r="V84" s="93" t="s">
        <v>81</v>
      </c>
      <c r="W84" s="93"/>
      <c r="X84" s="93"/>
      <c r="Y84" s="93"/>
      <c r="Z84" s="93"/>
    </row>
    <row r="85">
      <c r="A85" s="26">
        <v>86.0</v>
      </c>
      <c r="B85" s="26">
        <v>2.02</v>
      </c>
      <c r="C85" s="26">
        <f t="shared" si="1"/>
        <v>0.505</v>
      </c>
      <c r="D85" s="26">
        <f t="shared" si="2"/>
        <v>2.525</v>
      </c>
      <c r="E85" s="26">
        <v>0.4</v>
      </c>
      <c r="F85" s="26"/>
      <c r="G85" s="26"/>
      <c r="H85" s="26"/>
      <c r="I85" s="26">
        <v>1.75</v>
      </c>
      <c r="J85" s="26"/>
      <c r="K85" s="26"/>
      <c r="L85" s="174">
        <f>E85*Prices!B$2</f>
        <v>44000</v>
      </c>
      <c r="M85" s="174">
        <f>F85*Prices!C$2</f>
        <v>0</v>
      </c>
      <c r="N85" s="174">
        <f>G85*Prices!D$2</f>
        <v>0</v>
      </c>
      <c r="O85" s="174">
        <f>H85*Prices!E$2</f>
        <v>0</v>
      </c>
      <c r="P85" s="174">
        <f t="shared" si="14"/>
        <v>3500</v>
      </c>
      <c r="Q85" s="174">
        <f>D85*Prices!A$2</f>
        <v>45071.25</v>
      </c>
      <c r="R85" s="174">
        <f t="shared" si="4"/>
        <v>44000</v>
      </c>
      <c r="S85" s="174">
        <f t="shared" si="5"/>
        <v>92571.25</v>
      </c>
      <c r="T85" s="26">
        <v>86.0</v>
      </c>
      <c r="U85" s="26" t="s">
        <v>80</v>
      </c>
      <c r="V85" s="93" t="s">
        <v>81</v>
      </c>
      <c r="W85" s="93"/>
      <c r="X85" s="93"/>
      <c r="Y85" s="93"/>
      <c r="Z85" s="93"/>
    </row>
    <row r="86">
      <c r="A86" s="26">
        <v>87.0</v>
      </c>
      <c r="B86" s="26">
        <v>1.568</v>
      </c>
      <c r="C86" s="26">
        <f t="shared" si="1"/>
        <v>0.392</v>
      </c>
      <c r="D86" s="26">
        <f t="shared" si="2"/>
        <v>1.96</v>
      </c>
      <c r="E86" s="26">
        <v>0.16</v>
      </c>
      <c r="F86" s="26"/>
      <c r="G86" s="26"/>
      <c r="H86" s="26"/>
      <c r="I86" s="26">
        <v>0.7</v>
      </c>
      <c r="J86" s="26"/>
      <c r="K86" s="26"/>
      <c r="L86" s="174">
        <f>E86*Prices!B$2</f>
        <v>17600</v>
      </c>
      <c r="M86" s="174">
        <f>F86*Prices!C$2</f>
        <v>0</v>
      </c>
      <c r="N86" s="174">
        <f>G86*Prices!D$2</f>
        <v>0</v>
      </c>
      <c r="O86" s="174">
        <f>H86*Prices!E$2</f>
        <v>0</v>
      </c>
      <c r="P86" s="174">
        <f t="shared" si="14"/>
        <v>1400</v>
      </c>
      <c r="Q86" s="174">
        <f>D86*Prices!A$2</f>
        <v>34986</v>
      </c>
      <c r="R86" s="174">
        <f t="shared" si="4"/>
        <v>17600</v>
      </c>
      <c r="S86" s="174">
        <f t="shared" si="5"/>
        <v>53986</v>
      </c>
      <c r="T86" s="26">
        <v>87.0</v>
      </c>
      <c r="U86" s="26" t="s">
        <v>82</v>
      </c>
      <c r="V86" s="93"/>
      <c r="W86" s="93"/>
      <c r="X86" s="93"/>
      <c r="Y86" s="93"/>
      <c r="Z86" s="93"/>
    </row>
    <row r="87">
      <c r="A87" s="26">
        <v>88.0</v>
      </c>
      <c r="B87" s="26">
        <v>1.528</v>
      </c>
      <c r="C87" s="26">
        <f t="shared" si="1"/>
        <v>0.382</v>
      </c>
      <c r="D87" s="26">
        <f t="shared" si="2"/>
        <v>1.91</v>
      </c>
      <c r="E87" s="26">
        <v>0.16</v>
      </c>
      <c r="F87" s="26"/>
      <c r="G87" s="26"/>
      <c r="H87" s="26"/>
      <c r="I87" s="26">
        <v>0.65</v>
      </c>
      <c r="J87" s="26"/>
      <c r="K87" s="26"/>
      <c r="L87" s="174">
        <f>E87*Prices!B$2</f>
        <v>17600</v>
      </c>
      <c r="M87" s="174">
        <f>F87*Prices!C$2</f>
        <v>0</v>
      </c>
      <c r="N87" s="174">
        <f>G87*Prices!D$2</f>
        <v>0</v>
      </c>
      <c r="O87" s="174">
        <f>H87*Prices!E$2</f>
        <v>0</v>
      </c>
      <c r="P87" s="174">
        <f t="shared" si="14"/>
        <v>1300</v>
      </c>
      <c r="Q87" s="174">
        <f>D87*Prices!A$2</f>
        <v>34093.5</v>
      </c>
      <c r="R87" s="174">
        <f t="shared" si="4"/>
        <v>17600</v>
      </c>
      <c r="S87" s="174">
        <f t="shared" si="5"/>
        <v>52993.5</v>
      </c>
      <c r="T87" s="26">
        <v>88.0</v>
      </c>
      <c r="U87" s="26" t="s">
        <v>82</v>
      </c>
      <c r="V87" s="93"/>
      <c r="W87" s="93"/>
      <c r="X87" s="93"/>
      <c r="Y87" s="93"/>
      <c r="Z87" s="93"/>
    </row>
    <row r="88">
      <c r="A88" s="26">
        <v>89.0</v>
      </c>
      <c r="B88" s="26">
        <v>1.428</v>
      </c>
      <c r="C88" s="26">
        <f t="shared" si="1"/>
        <v>0.357</v>
      </c>
      <c r="D88" s="26">
        <f t="shared" si="2"/>
        <v>1.785</v>
      </c>
      <c r="E88" s="26">
        <v>0.14</v>
      </c>
      <c r="F88" s="26"/>
      <c r="G88" s="26"/>
      <c r="H88" s="26"/>
      <c r="I88" s="26">
        <v>0.97</v>
      </c>
      <c r="J88" s="26"/>
      <c r="K88" s="26"/>
      <c r="L88" s="174">
        <f>E88*Prices!B$2</f>
        <v>15400</v>
      </c>
      <c r="M88" s="174">
        <f>F88*Prices!C$2</f>
        <v>0</v>
      </c>
      <c r="N88" s="174">
        <f>G88*Prices!D$2</f>
        <v>0</v>
      </c>
      <c r="O88" s="174">
        <f>H88*Prices!E$2</f>
        <v>0</v>
      </c>
      <c r="P88" s="174">
        <f t="shared" si="14"/>
        <v>1940</v>
      </c>
      <c r="Q88" s="174">
        <f>D88*Prices!A$2</f>
        <v>31862.25</v>
      </c>
      <c r="R88" s="174">
        <f t="shared" si="4"/>
        <v>15400</v>
      </c>
      <c r="S88" s="174">
        <f t="shared" si="5"/>
        <v>49202.25</v>
      </c>
      <c r="T88" s="26">
        <v>89.0</v>
      </c>
      <c r="U88" s="26" t="s">
        <v>82</v>
      </c>
      <c r="V88" s="93"/>
      <c r="W88" s="93"/>
      <c r="X88" s="93"/>
      <c r="Y88" s="93"/>
      <c r="Z88" s="93"/>
    </row>
    <row r="89">
      <c r="A89" s="26">
        <v>90.0</v>
      </c>
      <c r="B89" s="26">
        <v>1.39</v>
      </c>
      <c r="C89" s="26">
        <f t="shared" si="1"/>
        <v>0.3475</v>
      </c>
      <c r="D89" s="26">
        <f t="shared" si="2"/>
        <v>1.7375</v>
      </c>
      <c r="E89" s="26">
        <v>0.15</v>
      </c>
      <c r="F89" s="26"/>
      <c r="G89" s="26"/>
      <c r="H89" s="26"/>
      <c r="I89" s="26">
        <v>0.45</v>
      </c>
      <c r="J89" s="26"/>
      <c r="K89" s="26"/>
      <c r="L89" s="174">
        <f>E89*Prices!B$2</f>
        <v>16500</v>
      </c>
      <c r="M89" s="174">
        <f>F89*Prices!C$2</f>
        <v>0</v>
      </c>
      <c r="N89" s="174">
        <f>G89*Prices!D$2</f>
        <v>0</v>
      </c>
      <c r="O89" s="174">
        <f>H89*Prices!E$2</f>
        <v>0</v>
      </c>
      <c r="P89" s="174">
        <f t="shared" si="14"/>
        <v>900</v>
      </c>
      <c r="Q89" s="174">
        <f>D89*Prices!A$2</f>
        <v>31014.375</v>
      </c>
      <c r="R89" s="174">
        <f t="shared" si="4"/>
        <v>16500</v>
      </c>
      <c r="S89" s="174">
        <f t="shared" si="5"/>
        <v>48414.375</v>
      </c>
      <c r="T89" s="26">
        <v>90.0</v>
      </c>
      <c r="U89" s="26" t="s">
        <v>80</v>
      </c>
      <c r="V89" s="93" t="s">
        <v>81</v>
      </c>
      <c r="W89" s="93"/>
      <c r="X89" s="93"/>
      <c r="Y89" s="93"/>
      <c r="Z89" s="93"/>
    </row>
    <row r="90">
      <c r="A90" s="26">
        <v>91.0</v>
      </c>
      <c r="B90" s="26">
        <v>1.452</v>
      </c>
      <c r="C90" s="26">
        <f t="shared" si="1"/>
        <v>0.363</v>
      </c>
      <c r="D90" s="26">
        <f t="shared" si="2"/>
        <v>1.815</v>
      </c>
      <c r="E90" s="26">
        <v>0.14</v>
      </c>
      <c r="F90" s="26"/>
      <c r="G90" s="26"/>
      <c r="H90" s="26"/>
      <c r="I90" s="26">
        <v>1.25</v>
      </c>
      <c r="J90" s="26"/>
      <c r="K90" s="26"/>
      <c r="L90" s="174">
        <f>E90*Prices!B$2</f>
        <v>15400</v>
      </c>
      <c r="M90" s="174">
        <f>F90*Prices!C$2</f>
        <v>0</v>
      </c>
      <c r="N90" s="174">
        <f>G90*Prices!D$2</f>
        <v>0</v>
      </c>
      <c r="O90" s="174">
        <f>H90*Prices!E$2</f>
        <v>0</v>
      </c>
      <c r="P90" s="174">
        <f t="shared" si="14"/>
        <v>2500</v>
      </c>
      <c r="Q90" s="174">
        <f>D90*Prices!A$2</f>
        <v>32397.75</v>
      </c>
      <c r="R90" s="174">
        <f t="shared" si="4"/>
        <v>15400</v>
      </c>
      <c r="S90" s="174">
        <f t="shared" si="5"/>
        <v>50297.75</v>
      </c>
      <c r="T90" s="26">
        <v>91.0</v>
      </c>
      <c r="U90" s="26" t="s">
        <v>82</v>
      </c>
      <c r="V90" s="93"/>
      <c r="W90" s="93"/>
      <c r="X90" s="93"/>
      <c r="Y90" s="93"/>
      <c r="Z90" s="93"/>
    </row>
    <row r="91">
      <c r="A91" s="26">
        <v>92.0</v>
      </c>
      <c r="B91" s="26">
        <v>1.558</v>
      </c>
      <c r="C91" s="26">
        <f t="shared" si="1"/>
        <v>0.3895</v>
      </c>
      <c r="D91" s="26">
        <f t="shared" si="2"/>
        <v>1.9475</v>
      </c>
      <c r="E91" s="26">
        <v>0.36</v>
      </c>
      <c r="F91" s="26"/>
      <c r="G91" s="26"/>
      <c r="H91" s="26"/>
      <c r="I91" s="26"/>
      <c r="J91" s="26">
        <v>2.08</v>
      </c>
      <c r="K91" s="26"/>
      <c r="L91" s="174">
        <f>E91*Prices!B$2</f>
        <v>39600</v>
      </c>
      <c r="M91" s="174">
        <f>F91*Prices!C$2</f>
        <v>0</v>
      </c>
      <c r="N91" s="174">
        <f>G91*Prices!D$2</f>
        <v>0</v>
      </c>
      <c r="O91" s="174">
        <f>H91*Prices!E$2</f>
        <v>0</v>
      </c>
      <c r="P91" s="174">
        <f t="shared" si="14"/>
        <v>20800</v>
      </c>
      <c r="Q91" s="174">
        <f>D91*Prices!A$2</f>
        <v>34762.875</v>
      </c>
      <c r="R91" s="174">
        <f t="shared" si="4"/>
        <v>39600</v>
      </c>
      <c r="S91" s="174">
        <f t="shared" si="5"/>
        <v>95162.875</v>
      </c>
      <c r="T91" s="26">
        <v>92.0</v>
      </c>
      <c r="U91" s="26" t="s">
        <v>80</v>
      </c>
      <c r="V91" s="93" t="s">
        <v>81</v>
      </c>
      <c r="W91" s="93"/>
      <c r="X91" s="93"/>
      <c r="Y91" s="93"/>
      <c r="Z91" s="93"/>
    </row>
    <row r="92">
      <c r="A92" s="26">
        <v>93.0</v>
      </c>
      <c r="B92" s="26">
        <v>1.488</v>
      </c>
      <c r="C92" s="26">
        <f t="shared" si="1"/>
        <v>0.372</v>
      </c>
      <c r="D92" s="26">
        <f t="shared" si="2"/>
        <v>1.86</v>
      </c>
      <c r="E92" s="26">
        <v>0.61</v>
      </c>
      <c r="F92" s="93"/>
      <c r="G92" s="93"/>
      <c r="H92" s="93"/>
      <c r="I92" s="93"/>
      <c r="J92" s="93"/>
      <c r="K92" s="93"/>
      <c r="L92" s="174">
        <f>E92*Prices!B$2</f>
        <v>67100</v>
      </c>
      <c r="M92" s="174">
        <f>F92*Prices!C$2</f>
        <v>0</v>
      </c>
      <c r="N92" s="174">
        <f>G92*Prices!D$2</f>
        <v>0</v>
      </c>
      <c r="O92" s="174">
        <f>H92*Prices!E$2</f>
        <v>0</v>
      </c>
      <c r="P92" s="174">
        <f t="shared" si="14"/>
        <v>0</v>
      </c>
      <c r="Q92" s="174">
        <f>D92*Prices!A$2</f>
        <v>33201</v>
      </c>
      <c r="R92" s="174">
        <f t="shared" si="4"/>
        <v>67100</v>
      </c>
      <c r="S92" s="174">
        <f t="shared" si="5"/>
        <v>100301</v>
      </c>
      <c r="T92" s="26">
        <v>93.0</v>
      </c>
      <c r="U92" s="26" t="s">
        <v>80</v>
      </c>
      <c r="V92" s="93" t="s">
        <v>81</v>
      </c>
      <c r="W92" s="93"/>
      <c r="X92" s="93"/>
      <c r="Y92" s="93"/>
      <c r="Z92" s="93"/>
    </row>
    <row r="93">
      <c r="A93" s="26">
        <v>94.0</v>
      </c>
      <c r="B93" s="26">
        <v>2.052</v>
      </c>
      <c r="C93" s="26">
        <f t="shared" si="1"/>
        <v>0.513</v>
      </c>
      <c r="D93" s="26">
        <f t="shared" si="2"/>
        <v>2.565</v>
      </c>
      <c r="E93" s="26">
        <v>0.74</v>
      </c>
      <c r="F93" s="93"/>
      <c r="G93" s="93"/>
      <c r="H93" s="93"/>
      <c r="I93" s="93"/>
      <c r="J93" s="93"/>
      <c r="K93" s="93"/>
      <c r="L93" s="174">
        <f>E93*Prices!B$2</f>
        <v>81400</v>
      </c>
      <c r="M93" s="174">
        <f>F93*Prices!C$2</f>
        <v>0</v>
      </c>
      <c r="N93" s="174">
        <f>G93*Prices!D$2</f>
        <v>0</v>
      </c>
      <c r="O93" s="174">
        <f>H93*Prices!E$2</f>
        <v>0</v>
      </c>
      <c r="P93" s="174">
        <f t="shared" si="14"/>
        <v>0</v>
      </c>
      <c r="Q93" s="174">
        <f>D93*Prices!A$2</f>
        <v>45785.25</v>
      </c>
      <c r="R93" s="174">
        <f t="shared" si="4"/>
        <v>81400</v>
      </c>
      <c r="S93" s="174">
        <f t="shared" si="5"/>
        <v>127185.25</v>
      </c>
      <c r="T93" s="26">
        <v>94.0</v>
      </c>
      <c r="U93" s="26" t="s">
        <v>82</v>
      </c>
      <c r="V93" s="93"/>
      <c r="W93" s="93"/>
      <c r="X93" s="93"/>
      <c r="Y93" s="93"/>
      <c r="Z93" s="93"/>
    </row>
    <row r="94">
      <c r="A94" s="26">
        <v>95.0</v>
      </c>
      <c r="B94" s="26">
        <v>1.772</v>
      </c>
      <c r="C94" s="26">
        <f t="shared" si="1"/>
        <v>0.443</v>
      </c>
      <c r="D94" s="26">
        <f t="shared" si="2"/>
        <v>2.215</v>
      </c>
      <c r="E94" s="26">
        <v>1.14</v>
      </c>
      <c r="F94" s="93"/>
      <c r="G94" s="93"/>
      <c r="H94" s="93"/>
      <c r="I94" s="93"/>
      <c r="J94" s="93"/>
      <c r="K94" s="93"/>
      <c r="L94" s="174">
        <f>E94*Prices!B$2</f>
        <v>125400</v>
      </c>
      <c r="M94" s="174">
        <f>F94*Prices!C$2</f>
        <v>0</v>
      </c>
      <c r="N94" s="174">
        <f>G94*Prices!D$2</f>
        <v>0</v>
      </c>
      <c r="O94" s="174">
        <f>H94*Prices!E$2</f>
        <v>0</v>
      </c>
      <c r="P94" s="174">
        <f t="shared" si="14"/>
        <v>0</v>
      </c>
      <c r="Q94" s="174">
        <f>D94*Prices!A$2</f>
        <v>39537.75</v>
      </c>
      <c r="R94" s="174">
        <f t="shared" si="4"/>
        <v>125400</v>
      </c>
      <c r="S94" s="174">
        <f t="shared" si="5"/>
        <v>164937.75</v>
      </c>
      <c r="T94" s="26">
        <v>95.0</v>
      </c>
      <c r="U94" s="26" t="s">
        <v>82</v>
      </c>
      <c r="V94" s="93"/>
      <c r="W94" s="93"/>
      <c r="X94" s="93"/>
      <c r="Y94" s="93"/>
      <c r="Z94" s="93"/>
    </row>
    <row r="95">
      <c r="A95" s="26">
        <v>96.0</v>
      </c>
      <c r="B95" s="26">
        <v>2.568</v>
      </c>
      <c r="C95" s="26">
        <f t="shared" si="1"/>
        <v>0.642</v>
      </c>
      <c r="D95" s="26">
        <f t="shared" si="2"/>
        <v>3.21</v>
      </c>
      <c r="E95" s="26">
        <v>0.66</v>
      </c>
      <c r="F95" s="93"/>
      <c r="G95" s="93"/>
      <c r="H95" s="93"/>
      <c r="I95" s="93"/>
      <c r="J95" s="93"/>
      <c r="K95" s="93"/>
      <c r="L95" s="174">
        <f>E95*Prices!B$2</f>
        <v>72600</v>
      </c>
      <c r="M95" s="174">
        <f>F95*Prices!C$2</f>
        <v>0</v>
      </c>
      <c r="N95" s="174">
        <f>G95*Prices!D$2</f>
        <v>0</v>
      </c>
      <c r="O95" s="174">
        <f>H95*Prices!E$2</f>
        <v>0</v>
      </c>
      <c r="P95" s="174">
        <f t="shared" si="14"/>
        <v>0</v>
      </c>
      <c r="Q95" s="174">
        <f>D95*Prices!A$2</f>
        <v>57298.5</v>
      </c>
      <c r="R95" s="174">
        <f t="shared" si="4"/>
        <v>72600</v>
      </c>
      <c r="S95" s="174">
        <f t="shared" si="5"/>
        <v>129898.5</v>
      </c>
      <c r="T95" s="26">
        <v>96.0</v>
      </c>
      <c r="U95" s="26" t="s">
        <v>80</v>
      </c>
      <c r="V95" s="93" t="s">
        <v>81</v>
      </c>
      <c r="W95" s="93"/>
      <c r="X95" s="93"/>
      <c r="Y95" s="93"/>
      <c r="Z95" s="93"/>
    </row>
    <row r="96">
      <c r="A96" s="26">
        <v>97.0</v>
      </c>
      <c r="B96" s="26">
        <v>1.848</v>
      </c>
      <c r="C96" s="26">
        <f t="shared" si="1"/>
        <v>0.462</v>
      </c>
      <c r="D96" s="26">
        <f t="shared" si="2"/>
        <v>2.31</v>
      </c>
      <c r="E96" s="26">
        <v>0.71</v>
      </c>
      <c r="F96" s="93"/>
      <c r="G96" s="93"/>
      <c r="H96" s="93"/>
      <c r="I96" s="93"/>
      <c r="J96" s="93"/>
      <c r="K96" s="93"/>
      <c r="L96" s="174">
        <f>E96*Prices!B$2</f>
        <v>78100</v>
      </c>
      <c r="M96" s="174">
        <f>F96*Prices!C$2</f>
        <v>0</v>
      </c>
      <c r="N96" s="174">
        <f>G96*Prices!D$2</f>
        <v>0</v>
      </c>
      <c r="O96" s="174">
        <f>H96*Prices!E$2</f>
        <v>0</v>
      </c>
      <c r="P96" s="174">
        <f t="shared" si="14"/>
        <v>0</v>
      </c>
      <c r="Q96" s="174">
        <f>D96*Prices!A$2</f>
        <v>41233.5</v>
      </c>
      <c r="R96" s="174">
        <f t="shared" si="4"/>
        <v>78100</v>
      </c>
      <c r="S96" s="174">
        <f t="shared" si="5"/>
        <v>119333.5</v>
      </c>
      <c r="T96" s="26">
        <v>97.0</v>
      </c>
      <c r="U96" s="26" t="s">
        <v>80</v>
      </c>
      <c r="V96" s="93" t="s">
        <v>81</v>
      </c>
      <c r="W96" s="93"/>
      <c r="X96" s="93"/>
      <c r="Y96" s="93"/>
      <c r="Z96" s="93"/>
    </row>
    <row r="97">
      <c r="A97" s="26">
        <v>98.0</v>
      </c>
      <c r="B97" s="26">
        <v>2.086</v>
      </c>
      <c r="C97" s="26">
        <f t="shared" si="1"/>
        <v>0.5215</v>
      </c>
      <c r="D97" s="26">
        <f t="shared" si="2"/>
        <v>2.6075</v>
      </c>
      <c r="E97" s="26">
        <v>0.77</v>
      </c>
      <c r="F97" s="93"/>
      <c r="G97" s="93"/>
      <c r="H97" s="93"/>
      <c r="I97" s="93"/>
      <c r="J97" s="93"/>
      <c r="K97" s="93"/>
      <c r="L97" s="174">
        <f>E97*Prices!B$2</f>
        <v>84700</v>
      </c>
      <c r="M97" s="174">
        <f>F97*Prices!C$2</f>
        <v>0</v>
      </c>
      <c r="N97" s="174">
        <f>G97*Prices!D$2</f>
        <v>0</v>
      </c>
      <c r="O97" s="174">
        <f>H97*Prices!E$2</f>
        <v>0</v>
      </c>
      <c r="P97" s="174">
        <f t="shared" si="14"/>
        <v>0</v>
      </c>
      <c r="Q97" s="174">
        <f>D97*Prices!A$2</f>
        <v>46543.875</v>
      </c>
      <c r="R97" s="174">
        <f t="shared" si="4"/>
        <v>84700</v>
      </c>
      <c r="S97" s="174">
        <f t="shared" si="5"/>
        <v>131243.875</v>
      </c>
      <c r="T97" s="26">
        <v>98.0</v>
      </c>
      <c r="U97" s="26" t="s">
        <v>80</v>
      </c>
      <c r="V97" s="93" t="s">
        <v>81</v>
      </c>
      <c r="W97" s="93"/>
      <c r="X97" s="93"/>
      <c r="Y97" s="93"/>
      <c r="Z97" s="93"/>
    </row>
    <row r="98">
      <c r="A98" s="26">
        <v>99.0</v>
      </c>
      <c r="B98" s="26">
        <v>2.478</v>
      </c>
      <c r="C98" s="26">
        <f t="shared" si="1"/>
        <v>0.6195</v>
      </c>
      <c r="D98" s="26">
        <f t="shared" si="2"/>
        <v>3.0975</v>
      </c>
      <c r="E98" s="26">
        <v>0.86</v>
      </c>
      <c r="F98" s="93"/>
      <c r="G98" s="93"/>
      <c r="H98" s="93"/>
      <c r="I98" s="93"/>
      <c r="J98" s="93"/>
      <c r="K98" s="93"/>
      <c r="L98" s="174">
        <f>E98*Prices!B$2</f>
        <v>94600</v>
      </c>
      <c r="M98" s="174">
        <f>F98*Prices!C$2</f>
        <v>0</v>
      </c>
      <c r="N98" s="174">
        <f>G98*Prices!D$2</f>
        <v>0</v>
      </c>
      <c r="O98" s="174">
        <f>H98*Prices!E$2</f>
        <v>0</v>
      </c>
      <c r="P98" s="174">
        <f t="shared" si="14"/>
        <v>0</v>
      </c>
      <c r="Q98" s="174">
        <f>D98*Prices!A$2</f>
        <v>55290.375</v>
      </c>
      <c r="R98" s="174">
        <f t="shared" si="4"/>
        <v>94600</v>
      </c>
      <c r="S98" s="174">
        <f t="shared" si="5"/>
        <v>149890.375</v>
      </c>
      <c r="T98" s="26">
        <v>99.0</v>
      </c>
      <c r="U98" s="26" t="s">
        <v>80</v>
      </c>
      <c r="V98" s="93" t="s">
        <v>81</v>
      </c>
      <c r="W98" s="93"/>
      <c r="X98" s="93"/>
      <c r="Y98" s="93"/>
      <c r="Z98" s="93"/>
    </row>
    <row r="99">
      <c r="A99" s="26">
        <v>100.0</v>
      </c>
      <c r="B99" s="26">
        <v>2.772</v>
      </c>
      <c r="C99" s="26">
        <f t="shared" si="1"/>
        <v>0.693</v>
      </c>
      <c r="D99" s="26">
        <f t="shared" si="2"/>
        <v>3.465</v>
      </c>
      <c r="E99" s="26">
        <v>0.45</v>
      </c>
      <c r="F99" s="93"/>
      <c r="G99" s="93"/>
      <c r="H99" s="93"/>
      <c r="I99" s="93">
        <v>1.99</v>
      </c>
      <c r="J99" s="93"/>
      <c r="K99" s="93"/>
      <c r="L99" s="174">
        <f>E99*Prices!B$2</f>
        <v>49500</v>
      </c>
      <c r="M99" s="174">
        <f>F99*Prices!C$2</f>
        <v>0</v>
      </c>
      <c r="N99" s="174">
        <f>G99*Prices!D$2</f>
        <v>0</v>
      </c>
      <c r="O99" s="174">
        <f>H99*Prices!E$2</f>
        <v>0</v>
      </c>
      <c r="P99" s="174">
        <f>I99*4000+J99*10000+K99*1800</f>
        <v>7960</v>
      </c>
      <c r="Q99" s="174">
        <f>D99*Prices!A$2</f>
        <v>61850.25</v>
      </c>
      <c r="R99" s="174">
        <f t="shared" si="4"/>
        <v>49500</v>
      </c>
      <c r="S99" s="174">
        <f t="shared" si="5"/>
        <v>119310.25</v>
      </c>
      <c r="T99" s="26">
        <v>100.0</v>
      </c>
      <c r="U99" s="26" t="s">
        <v>80</v>
      </c>
      <c r="V99" s="93" t="s">
        <v>81</v>
      </c>
      <c r="W99" s="93"/>
      <c r="X99" s="93"/>
      <c r="Y99" s="93"/>
      <c r="Z99" s="93"/>
    </row>
    <row r="100">
      <c r="A100" s="26">
        <v>101.0</v>
      </c>
      <c r="B100" s="26">
        <v>2.134</v>
      </c>
      <c r="C100" s="26">
        <f t="shared" si="1"/>
        <v>0.5335</v>
      </c>
      <c r="D100" s="26">
        <f t="shared" si="2"/>
        <v>2.6675</v>
      </c>
      <c r="E100" s="26">
        <v>0.83</v>
      </c>
      <c r="F100" s="93"/>
      <c r="G100" s="93"/>
      <c r="H100" s="93"/>
      <c r="I100" s="93"/>
      <c r="J100" s="93"/>
      <c r="K100" s="93"/>
      <c r="L100" s="174">
        <f>E100*Prices!B$2</f>
        <v>91300</v>
      </c>
      <c r="M100" s="174">
        <f>F100*Prices!C$2</f>
        <v>0</v>
      </c>
      <c r="N100" s="174">
        <f>G100*Prices!D$2</f>
        <v>0</v>
      </c>
      <c r="O100" s="174">
        <f>H100*Prices!E$2</f>
        <v>0</v>
      </c>
      <c r="P100" s="174">
        <f>I100*2000+J100*10000+K100*1800</f>
        <v>0</v>
      </c>
      <c r="Q100" s="174">
        <f>D100*Prices!A$2</f>
        <v>47614.875</v>
      </c>
      <c r="R100" s="174">
        <f t="shared" si="4"/>
        <v>91300</v>
      </c>
      <c r="S100" s="174">
        <f t="shared" si="5"/>
        <v>138914.875</v>
      </c>
      <c r="T100" s="26">
        <v>101.0</v>
      </c>
      <c r="U100" s="26" t="s">
        <v>80</v>
      </c>
      <c r="V100" s="93" t="s">
        <v>81</v>
      </c>
      <c r="W100" s="93"/>
      <c r="X100" s="93"/>
      <c r="Y100" s="93"/>
      <c r="Z100" s="93"/>
    </row>
    <row r="101">
      <c r="A101" s="26">
        <v>102.0</v>
      </c>
      <c r="B101" s="26">
        <v>1.438</v>
      </c>
      <c r="C101" s="26">
        <f t="shared" si="1"/>
        <v>0.3595</v>
      </c>
      <c r="D101" s="26">
        <f t="shared" si="2"/>
        <v>1.7975</v>
      </c>
      <c r="E101" s="26">
        <v>0.16</v>
      </c>
      <c r="F101" s="93"/>
      <c r="G101" s="93">
        <v>0.13</v>
      </c>
      <c r="H101" s="93"/>
      <c r="I101" s="93"/>
      <c r="J101" s="93"/>
      <c r="K101" s="93">
        <v>8.12</v>
      </c>
      <c r="L101" s="174">
        <f>E101*Prices!B$2</f>
        <v>17600</v>
      </c>
      <c r="M101" s="174">
        <f>F101*Prices!C$2</f>
        <v>0</v>
      </c>
      <c r="N101" s="174">
        <f>G101*Prices!D$2</f>
        <v>25350</v>
      </c>
      <c r="O101" s="174">
        <f>H101*Prices!E$2</f>
        <v>0</v>
      </c>
      <c r="P101" s="174">
        <f>I101*2000+J101*10000+K101*1200</f>
        <v>9744</v>
      </c>
      <c r="Q101" s="174">
        <f>D101*Prices!A$2</f>
        <v>32085.375</v>
      </c>
      <c r="R101" s="174">
        <f t="shared" si="4"/>
        <v>42950</v>
      </c>
      <c r="S101" s="174">
        <f t="shared" si="5"/>
        <v>84779.375</v>
      </c>
      <c r="T101" s="26">
        <v>102.0</v>
      </c>
      <c r="U101" s="26" t="s">
        <v>80</v>
      </c>
      <c r="V101" s="93" t="s">
        <v>81</v>
      </c>
      <c r="W101" s="93"/>
      <c r="X101" s="93"/>
      <c r="Y101" s="93"/>
      <c r="Z101" s="93"/>
    </row>
    <row r="102">
      <c r="A102" s="26">
        <v>103.0</v>
      </c>
      <c r="B102" s="26">
        <v>1.084</v>
      </c>
      <c r="C102" s="26">
        <f t="shared" si="1"/>
        <v>0.271</v>
      </c>
      <c r="D102" s="26">
        <f t="shared" si="2"/>
        <v>1.355</v>
      </c>
      <c r="E102" s="26">
        <v>0.48</v>
      </c>
      <c r="F102" s="93"/>
      <c r="G102" s="93"/>
      <c r="H102" s="93"/>
      <c r="I102" s="93"/>
      <c r="J102" s="93"/>
      <c r="K102" s="93"/>
      <c r="L102" s="174">
        <f>E102*Prices!B$2</f>
        <v>52800</v>
      </c>
      <c r="M102" s="174">
        <f>F102*Prices!C$2</f>
        <v>0</v>
      </c>
      <c r="N102" s="174">
        <f>G102*Prices!D$2</f>
        <v>0</v>
      </c>
      <c r="O102" s="174">
        <f>H102*Prices!E$2</f>
        <v>0</v>
      </c>
      <c r="P102" s="174">
        <f t="shared" ref="P102:P114" si="15">I102*2000+J102*10000+K102*800</f>
        <v>0</v>
      </c>
      <c r="Q102" s="174">
        <f>D102*Prices!A$2</f>
        <v>24186.75</v>
      </c>
      <c r="R102" s="174">
        <f t="shared" si="4"/>
        <v>52800</v>
      </c>
      <c r="S102" s="174">
        <f t="shared" si="5"/>
        <v>76986.75</v>
      </c>
      <c r="T102" s="26">
        <v>103.0</v>
      </c>
      <c r="U102" s="26" t="s">
        <v>80</v>
      </c>
      <c r="V102" s="93" t="s">
        <v>81</v>
      </c>
      <c r="W102" s="93"/>
      <c r="X102" s="93"/>
      <c r="Y102" s="93"/>
      <c r="Z102" s="93"/>
    </row>
    <row r="103">
      <c r="A103" s="26">
        <v>104.0</v>
      </c>
      <c r="B103" s="26">
        <v>1.35</v>
      </c>
      <c r="C103" s="26">
        <f t="shared" si="1"/>
        <v>0.3375</v>
      </c>
      <c r="D103" s="26">
        <f t="shared" si="2"/>
        <v>1.6875</v>
      </c>
      <c r="E103" s="26">
        <v>0.6</v>
      </c>
      <c r="F103" s="93"/>
      <c r="G103" s="93"/>
      <c r="H103" s="93"/>
      <c r="I103" s="93"/>
      <c r="J103" s="93"/>
      <c r="K103" s="93"/>
      <c r="L103" s="174">
        <f>E103*Prices!B$2</f>
        <v>66000</v>
      </c>
      <c r="M103" s="174">
        <f>F103*Prices!C$2</f>
        <v>0</v>
      </c>
      <c r="N103" s="174">
        <f>G103*Prices!D$2</f>
        <v>0</v>
      </c>
      <c r="O103" s="174">
        <f>H103*Prices!E$2</f>
        <v>0</v>
      </c>
      <c r="P103" s="174">
        <f t="shared" si="15"/>
        <v>0</v>
      </c>
      <c r="Q103" s="174">
        <f>D103*Prices!A$2</f>
        <v>30121.875</v>
      </c>
      <c r="R103" s="174">
        <f t="shared" si="4"/>
        <v>66000</v>
      </c>
      <c r="S103" s="174">
        <f t="shared" si="5"/>
        <v>96121.875</v>
      </c>
      <c r="T103" s="26">
        <v>104.0</v>
      </c>
      <c r="U103" s="26" t="s">
        <v>82</v>
      </c>
      <c r="V103" s="93"/>
      <c r="W103" s="93"/>
      <c r="X103" s="93"/>
      <c r="Y103" s="93"/>
      <c r="Z103" s="93"/>
    </row>
    <row r="104">
      <c r="A104" s="26">
        <v>105.0</v>
      </c>
      <c r="B104" s="26">
        <v>1.4</v>
      </c>
      <c r="C104" s="26">
        <f t="shared" si="1"/>
        <v>0.35</v>
      </c>
      <c r="D104" s="26">
        <f t="shared" si="2"/>
        <v>1.75</v>
      </c>
      <c r="E104" s="26">
        <v>0.7</v>
      </c>
      <c r="F104" s="93"/>
      <c r="G104" s="93"/>
      <c r="H104" s="93"/>
      <c r="I104" s="93"/>
      <c r="J104" s="93"/>
      <c r="K104" s="93"/>
      <c r="L104" s="174">
        <f>E104*Prices!B$2</f>
        <v>77000</v>
      </c>
      <c r="M104" s="174">
        <f>F104*Prices!C$2</f>
        <v>0</v>
      </c>
      <c r="N104" s="174">
        <f>G104*Prices!D$2</f>
        <v>0</v>
      </c>
      <c r="O104" s="174">
        <f>H104*Prices!E$2</f>
        <v>0</v>
      </c>
      <c r="P104" s="174">
        <f t="shared" si="15"/>
        <v>0</v>
      </c>
      <c r="Q104" s="174">
        <f>D104*Prices!A$2</f>
        <v>31237.5</v>
      </c>
      <c r="R104" s="174">
        <f t="shared" si="4"/>
        <v>77000</v>
      </c>
      <c r="S104" s="174">
        <f t="shared" si="5"/>
        <v>108237.5</v>
      </c>
      <c r="T104" s="26">
        <v>105.0</v>
      </c>
      <c r="U104" s="26" t="s">
        <v>80</v>
      </c>
      <c r="V104" s="93" t="s">
        <v>81</v>
      </c>
      <c r="W104" s="93"/>
      <c r="X104" s="93"/>
      <c r="Y104" s="93"/>
      <c r="Z104" s="93"/>
    </row>
    <row r="105">
      <c r="A105" s="26">
        <v>106.0</v>
      </c>
      <c r="B105" s="26">
        <v>4.166</v>
      </c>
      <c r="C105" s="26">
        <f t="shared" si="1"/>
        <v>1.0415</v>
      </c>
      <c r="D105" s="26">
        <f t="shared" si="2"/>
        <v>5.2075</v>
      </c>
      <c r="E105" s="26">
        <v>1.32</v>
      </c>
      <c r="F105" s="93"/>
      <c r="G105" s="93"/>
      <c r="H105" s="93"/>
      <c r="I105" s="93"/>
      <c r="J105" s="93"/>
      <c r="K105" s="93"/>
      <c r="L105" s="174">
        <f>E105*Prices!B$2</f>
        <v>145200</v>
      </c>
      <c r="M105" s="174">
        <f>F105*Prices!C$2</f>
        <v>0</v>
      </c>
      <c r="N105" s="174">
        <f>G105*Prices!D$2</f>
        <v>0</v>
      </c>
      <c r="O105" s="174">
        <f>H105*Prices!E$2</f>
        <v>0</v>
      </c>
      <c r="P105" s="174">
        <f t="shared" si="15"/>
        <v>0</v>
      </c>
      <c r="Q105" s="174">
        <f>D105*Prices!A$2</f>
        <v>92953.875</v>
      </c>
      <c r="R105" s="174">
        <f t="shared" si="4"/>
        <v>145200</v>
      </c>
      <c r="S105" s="174">
        <f t="shared" si="5"/>
        <v>238153.875</v>
      </c>
      <c r="T105" s="26">
        <v>106.0</v>
      </c>
      <c r="U105" s="26" t="s">
        <v>82</v>
      </c>
      <c r="V105" s="93"/>
      <c r="W105" s="93"/>
      <c r="X105" s="93"/>
      <c r="Y105" s="93"/>
      <c r="Z105" s="93"/>
    </row>
    <row r="106">
      <c r="A106" s="26">
        <v>107.0</v>
      </c>
      <c r="B106" s="26">
        <v>2.198</v>
      </c>
      <c r="C106" s="26">
        <f t="shared" si="1"/>
        <v>0.5495</v>
      </c>
      <c r="D106" s="26">
        <f t="shared" si="2"/>
        <v>2.7475</v>
      </c>
      <c r="E106" s="26">
        <v>0.36</v>
      </c>
      <c r="F106" s="93"/>
      <c r="G106" s="93"/>
      <c r="H106" s="93"/>
      <c r="I106" s="93"/>
      <c r="J106" s="93"/>
      <c r="K106" s="93"/>
      <c r="L106" s="174">
        <f>E106*Prices!B$2</f>
        <v>39600</v>
      </c>
      <c r="M106" s="174">
        <f>F106*Prices!C$2</f>
        <v>0</v>
      </c>
      <c r="N106" s="174">
        <f>G106*Prices!D$2</f>
        <v>0</v>
      </c>
      <c r="O106" s="174">
        <f>H106*Prices!E$2</f>
        <v>0</v>
      </c>
      <c r="P106" s="174">
        <f t="shared" si="15"/>
        <v>0</v>
      </c>
      <c r="Q106" s="174">
        <f>D106*Prices!A$2</f>
        <v>49042.875</v>
      </c>
      <c r="R106" s="174">
        <f t="shared" si="4"/>
        <v>39600</v>
      </c>
      <c r="S106" s="174">
        <f t="shared" si="5"/>
        <v>88642.875</v>
      </c>
      <c r="T106" s="26">
        <v>107.0</v>
      </c>
      <c r="U106" s="26" t="s">
        <v>82</v>
      </c>
      <c r="V106" s="93"/>
      <c r="W106" s="93"/>
      <c r="X106" s="93"/>
      <c r="Y106" s="93"/>
      <c r="Z106" s="93"/>
    </row>
    <row r="107" ht="15.0" customHeight="1">
      <c r="A107" s="26">
        <v>108.0</v>
      </c>
      <c r="B107" s="26">
        <v>1.534</v>
      </c>
      <c r="C107" s="26">
        <f t="shared" si="1"/>
        <v>0.3835</v>
      </c>
      <c r="D107" s="26">
        <f t="shared" si="2"/>
        <v>1.9175</v>
      </c>
      <c r="E107" s="26">
        <v>0.58</v>
      </c>
      <c r="F107" s="93"/>
      <c r="G107" s="93"/>
      <c r="H107" s="93"/>
      <c r="I107" s="93"/>
      <c r="J107" s="93"/>
      <c r="K107" s="93"/>
      <c r="L107" s="174">
        <f>E107*Prices!B$2</f>
        <v>63800</v>
      </c>
      <c r="M107" s="174">
        <f>F107*Prices!C$2</f>
        <v>0</v>
      </c>
      <c r="N107" s="174">
        <f>G107*Prices!D$2</f>
        <v>0</v>
      </c>
      <c r="O107" s="174">
        <f>H107*Prices!E$2</f>
        <v>0</v>
      </c>
      <c r="P107" s="174">
        <f t="shared" si="15"/>
        <v>0</v>
      </c>
      <c r="Q107" s="174">
        <f>D107*Prices!A$2</f>
        <v>34227.375</v>
      </c>
      <c r="R107" s="174">
        <f t="shared" si="4"/>
        <v>63800</v>
      </c>
      <c r="S107" s="174">
        <f t="shared" si="5"/>
        <v>98027.375</v>
      </c>
      <c r="T107" s="26">
        <v>108.0</v>
      </c>
      <c r="U107" s="26" t="s">
        <v>82</v>
      </c>
      <c r="V107" s="93"/>
      <c r="W107" s="93"/>
      <c r="X107" s="93"/>
      <c r="Y107" s="93"/>
      <c r="Z107" s="93"/>
    </row>
    <row r="108" ht="15.0" customHeight="1">
      <c r="A108" s="26">
        <v>109.0</v>
      </c>
      <c r="B108" s="26">
        <v>0.88</v>
      </c>
      <c r="C108" s="26">
        <f t="shared" si="1"/>
        <v>0.22</v>
      </c>
      <c r="D108" s="26">
        <f t="shared" si="2"/>
        <v>1.1</v>
      </c>
      <c r="E108" s="26">
        <v>0.24</v>
      </c>
      <c r="F108" s="93"/>
      <c r="G108" s="93"/>
      <c r="H108" s="93"/>
      <c r="I108" s="93"/>
      <c r="J108" s="93"/>
      <c r="K108" s="93"/>
      <c r="L108" s="174">
        <f>E108*Prices!B$2</f>
        <v>26400</v>
      </c>
      <c r="M108" s="174">
        <f>F108*Prices!C$2</f>
        <v>0</v>
      </c>
      <c r="N108" s="174">
        <f>G108*Prices!D$2</f>
        <v>0</v>
      </c>
      <c r="O108" s="174">
        <f>H108*Prices!E$2</f>
        <v>0</v>
      </c>
      <c r="P108" s="174">
        <f t="shared" si="15"/>
        <v>0</v>
      </c>
      <c r="Q108" s="174">
        <f>D108*Prices!A$2</f>
        <v>19635</v>
      </c>
      <c r="R108" s="174">
        <f t="shared" si="4"/>
        <v>26400</v>
      </c>
      <c r="S108" s="174">
        <f t="shared" si="5"/>
        <v>46035</v>
      </c>
      <c r="T108" s="26">
        <v>109.0</v>
      </c>
      <c r="U108" s="26" t="s">
        <v>82</v>
      </c>
      <c r="V108" s="93"/>
      <c r="W108" s="93"/>
      <c r="X108" s="93"/>
      <c r="Y108" s="93"/>
      <c r="Z108" s="93"/>
    </row>
    <row r="109">
      <c r="A109" s="26">
        <v>110.0</v>
      </c>
      <c r="B109" s="93">
        <v>11.11</v>
      </c>
      <c r="C109" s="26">
        <f t="shared" si="1"/>
        <v>2.7775</v>
      </c>
      <c r="D109" s="26">
        <f t="shared" si="2"/>
        <v>13.8875</v>
      </c>
      <c r="E109" s="93">
        <v>3.16</v>
      </c>
      <c r="F109" s="93"/>
      <c r="G109" s="93"/>
      <c r="H109" s="93"/>
      <c r="I109" s="93"/>
      <c r="J109" s="93"/>
      <c r="K109" s="93">
        <f>0.9+6.46</f>
        <v>7.36</v>
      </c>
      <c r="L109" s="174">
        <f>E109*Prices!B$2</f>
        <v>347600</v>
      </c>
      <c r="M109" s="174">
        <f>F109*Prices!C$2</f>
        <v>0</v>
      </c>
      <c r="N109" s="174">
        <f>G109*Prices!D$2</f>
        <v>0</v>
      </c>
      <c r="O109" s="174">
        <f>H109*Prices!E$2</f>
        <v>0</v>
      </c>
      <c r="P109" s="174">
        <f t="shared" si="15"/>
        <v>5888</v>
      </c>
      <c r="Q109" s="174">
        <f>D109*Prices!A$2</f>
        <v>247891.875</v>
      </c>
      <c r="R109" s="174">
        <f t="shared" si="4"/>
        <v>347600</v>
      </c>
      <c r="S109" s="174">
        <f t="shared" si="5"/>
        <v>601379.875</v>
      </c>
      <c r="T109" s="26">
        <v>110.0</v>
      </c>
      <c r="U109" s="26" t="s">
        <v>80</v>
      </c>
      <c r="V109" s="93" t="s">
        <v>81</v>
      </c>
      <c r="W109" s="93"/>
      <c r="X109" s="93"/>
      <c r="Y109" s="93"/>
      <c r="Z109" s="93"/>
    </row>
    <row r="110">
      <c r="A110" s="93">
        <v>111.0</v>
      </c>
      <c r="B110" s="93">
        <v>1.95</v>
      </c>
      <c r="C110" s="93">
        <f t="shared" si="1"/>
        <v>0.4875</v>
      </c>
      <c r="D110" s="93">
        <f t="shared" si="2"/>
        <v>2.4375</v>
      </c>
      <c r="E110" s="93">
        <v>0.22</v>
      </c>
      <c r="F110" s="93"/>
      <c r="G110" s="93"/>
      <c r="H110" s="93"/>
      <c r="I110" s="93"/>
      <c r="J110" s="93"/>
      <c r="K110" s="93"/>
      <c r="L110" s="174">
        <f>E110*Prices!B$2</f>
        <v>24200</v>
      </c>
      <c r="M110" s="174">
        <f>F110*Prices!C$2</f>
        <v>0</v>
      </c>
      <c r="N110" s="174">
        <f>G110*Prices!D$2</f>
        <v>0</v>
      </c>
      <c r="O110" s="174">
        <f>H110*Prices!E$2</f>
        <v>0</v>
      </c>
      <c r="P110" s="174">
        <f t="shared" si="15"/>
        <v>0</v>
      </c>
      <c r="Q110" s="174">
        <f>D110*Prices!A$2</f>
        <v>43509.375</v>
      </c>
      <c r="R110" s="174">
        <f t="shared" si="4"/>
        <v>24200</v>
      </c>
      <c r="S110" s="174">
        <f t="shared" si="5"/>
        <v>67709.375</v>
      </c>
      <c r="T110" s="93">
        <v>111.0</v>
      </c>
      <c r="U110" s="26" t="s">
        <v>80</v>
      </c>
      <c r="V110" s="93" t="s">
        <v>81</v>
      </c>
      <c r="W110" s="93"/>
      <c r="X110" s="93"/>
      <c r="Y110" s="93"/>
      <c r="Z110" s="93"/>
    </row>
    <row r="111">
      <c r="A111" s="93">
        <v>112.0</v>
      </c>
      <c r="B111" s="93">
        <v>4.398</v>
      </c>
      <c r="C111" s="93">
        <f t="shared" si="1"/>
        <v>1.0995</v>
      </c>
      <c r="D111" s="93">
        <f t="shared" si="2"/>
        <v>5.4975</v>
      </c>
      <c r="E111" s="93">
        <v>1.16</v>
      </c>
      <c r="F111" s="93"/>
      <c r="G111" s="93"/>
      <c r="H111" s="93"/>
      <c r="I111" s="93"/>
      <c r="J111" s="93"/>
      <c r="K111" s="93"/>
      <c r="L111" s="174">
        <f>E111*Prices!B$2</f>
        <v>127600</v>
      </c>
      <c r="M111" s="174">
        <f>F111*Prices!C$2</f>
        <v>0</v>
      </c>
      <c r="N111" s="174">
        <f>G111*Prices!D$2</f>
        <v>0</v>
      </c>
      <c r="O111" s="174">
        <f>H111*Prices!E$2</f>
        <v>0</v>
      </c>
      <c r="P111" s="174">
        <f t="shared" si="15"/>
        <v>0</v>
      </c>
      <c r="Q111" s="174">
        <f>D111*Prices!A$2</f>
        <v>98130.375</v>
      </c>
      <c r="R111" s="174">
        <f t="shared" si="4"/>
        <v>127600</v>
      </c>
      <c r="S111" s="174">
        <f t="shared" si="5"/>
        <v>225730.375</v>
      </c>
      <c r="T111" s="93">
        <v>112.0</v>
      </c>
      <c r="U111" s="26" t="s">
        <v>82</v>
      </c>
      <c r="V111" s="93"/>
      <c r="W111" s="93"/>
      <c r="X111" s="93"/>
      <c r="Y111" s="93"/>
      <c r="Z111" s="93"/>
    </row>
    <row r="112">
      <c r="A112" s="93">
        <v>113.0</v>
      </c>
      <c r="B112" s="93">
        <v>2.752</v>
      </c>
      <c r="C112" s="93">
        <f t="shared" si="1"/>
        <v>0.688</v>
      </c>
      <c r="D112" s="93">
        <f t="shared" si="2"/>
        <v>3.44</v>
      </c>
      <c r="E112" s="93">
        <v>0.24</v>
      </c>
      <c r="F112" s="93"/>
      <c r="G112" s="93"/>
      <c r="H112" s="93"/>
      <c r="I112" s="93"/>
      <c r="J112" s="93"/>
      <c r="K112" s="93"/>
      <c r="L112" s="174">
        <f>E112*Prices!B$2</f>
        <v>26400</v>
      </c>
      <c r="M112" s="174">
        <f>F112*Prices!C$2</f>
        <v>0</v>
      </c>
      <c r="N112" s="174">
        <f>G112*Prices!D$2</f>
        <v>0</v>
      </c>
      <c r="O112" s="174">
        <f>H112*Prices!E$2</f>
        <v>0</v>
      </c>
      <c r="P112" s="174">
        <f t="shared" si="15"/>
        <v>0</v>
      </c>
      <c r="Q112" s="174">
        <f>D112*Prices!A$2</f>
        <v>61404</v>
      </c>
      <c r="R112" s="174">
        <f t="shared" si="4"/>
        <v>26400</v>
      </c>
      <c r="S112" s="174">
        <f t="shared" si="5"/>
        <v>87804</v>
      </c>
      <c r="T112" s="93">
        <v>113.0</v>
      </c>
      <c r="U112" s="26" t="s">
        <v>82</v>
      </c>
      <c r="V112" s="93"/>
      <c r="W112" s="93"/>
      <c r="X112" s="93"/>
      <c r="Y112" s="93"/>
      <c r="Z112" s="93"/>
    </row>
    <row r="113">
      <c r="A113" s="93">
        <v>114.0</v>
      </c>
      <c r="B113" s="93">
        <v>1.488</v>
      </c>
      <c r="C113" s="93">
        <f t="shared" si="1"/>
        <v>0.372</v>
      </c>
      <c r="D113" s="93">
        <f t="shared" si="2"/>
        <v>1.86</v>
      </c>
      <c r="E113" s="93">
        <v>0.06</v>
      </c>
      <c r="F113" s="93"/>
      <c r="G113" s="93"/>
      <c r="H113" s="93"/>
      <c r="I113" s="93"/>
      <c r="J113" s="93"/>
      <c r="K113" s="93"/>
      <c r="L113" s="174">
        <f>E113*Prices!B$2</f>
        <v>6600</v>
      </c>
      <c r="M113" s="174">
        <f>F113*Prices!C$2</f>
        <v>0</v>
      </c>
      <c r="N113" s="174">
        <f>G113*Prices!D$2</f>
        <v>0</v>
      </c>
      <c r="O113" s="174">
        <f>H113*Prices!E$2</f>
        <v>0</v>
      </c>
      <c r="P113" s="174">
        <f t="shared" si="15"/>
        <v>0</v>
      </c>
      <c r="Q113" s="174">
        <f>D113*Prices!A$2</f>
        <v>33201</v>
      </c>
      <c r="R113" s="174">
        <f t="shared" si="4"/>
        <v>6600</v>
      </c>
      <c r="S113" s="174">
        <f t="shared" si="5"/>
        <v>39801</v>
      </c>
      <c r="T113" s="93">
        <v>114.0</v>
      </c>
      <c r="U113" s="26" t="s">
        <v>82</v>
      </c>
      <c r="V113" s="93"/>
      <c r="W113" s="93"/>
      <c r="X113" s="93"/>
      <c r="Y113" s="93"/>
      <c r="Z113" s="93"/>
    </row>
    <row r="114">
      <c r="A114" s="93">
        <v>115.0</v>
      </c>
      <c r="B114" s="93">
        <v>1.184</v>
      </c>
      <c r="C114" s="93">
        <f t="shared" si="1"/>
        <v>0.296</v>
      </c>
      <c r="D114" s="93">
        <f t="shared" si="2"/>
        <v>1.48</v>
      </c>
      <c r="E114" s="93">
        <v>0.23</v>
      </c>
      <c r="F114" s="93"/>
      <c r="G114" s="93"/>
      <c r="H114" s="93"/>
      <c r="I114" s="93"/>
      <c r="J114" s="93"/>
      <c r="K114" s="93"/>
      <c r="L114" s="174">
        <f>E114*Prices!B$2</f>
        <v>25300</v>
      </c>
      <c r="M114" s="174">
        <f>F114*Prices!C$2</f>
        <v>0</v>
      </c>
      <c r="N114" s="174">
        <f>G114*Prices!D$2</f>
        <v>0</v>
      </c>
      <c r="O114" s="174">
        <f>H114*Prices!E$2</f>
        <v>0</v>
      </c>
      <c r="P114" s="174">
        <f t="shared" si="15"/>
        <v>0</v>
      </c>
      <c r="Q114" s="174">
        <f>D114*Prices!A$2</f>
        <v>26418</v>
      </c>
      <c r="R114" s="174">
        <f t="shared" si="4"/>
        <v>25300</v>
      </c>
      <c r="S114" s="174">
        <f t="shared" si="5"/>
        <v>51718</v>
      </c>
      <c r="T114" s="93">
        <v>115.0</v>
      </c>
      <c r="U114" s="26" t="s">
        <v>82</v>
      </c>
      <c r="V114" s="93"/>
      <c r="W114" s="93"/>
      <c r="X114" s="93"/>
      <c r="Y114" s="93"/>
      <c r="Z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conditionalFormatting sqref="U2:U114">
    <cfRule type="containsText" dxfId="4" priority="1" operator="containsText" text="Available">
      <formula>NOT(ISERROR(SEARCH(("Available"),(U2))))</formula>
    </cfRule>
  </conditionalFormatting>
  <conditionalFormatting sqref="U2:U114">
    <cfRule type="containsText" dxfId="5" priority="2" operator="containsText" text="Sold">
      <formula>NOT(ISERROR(SEARCH(("Sold"),(U2))))</formula>
    </cfRule>
  </conditionalFormatting>
  <conditionalFormatting sqref="U2:U114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25" right="0.25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4.71"/>
    <col customWidth="1" min="3" max="3" width="15.14"/>
    <col customWidth="1" min="4" max="4" width="16.86"/>
    <col customWidth="1" min="5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4.29"/>
    <col customWidth="1" min="21" max="21" width="11.0"/>
    <col customWidth="1" min="22" max="26" width="8.71"/>
  </cols>
  <sheetData>
    <row r="1">
      <c r="A1" s="171" t="s">
        <v>2</v>
      </c>
      <c r="B1" s="171" t="s">
        <v>4</v>
      </c>
      <c r="C1" s="171" t="s">
        <v>63</v>
      </c>
      <c r="D1" s="171" t="s">
        <v>74</v>
      </c>
      <c r="E1" s="171" t="s">
        <v>65</v>
      </c>
      <c r="F1" s="171" t="s">
        <v>87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2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1" t="s">
        <v>69</v>
      </c>
      <c r="R1" s="171" t="s">
        <v>70</v>
      </c>
      <c r="S1" s="172" t="s">
        <v>55</v>
      </c>
      <c r="T1" s="171" t="s">
        <v>2</v>
      </c>
      <c r="U1" s="26"/>
      <c r="V1" s="12"/>
      <c r="W1" s="12"/>
      <c r="X1" s="12"/>
      <c r="Y1" s="12"/>
      <c r="Z1" s="12"/>
    </row>
    <row r="2">
      <c r="A2" s="26" t="s">
        <v>88</v>
      </c>
      <c r="B2" s="26">
        <v>1.348</v>
      </c>
      <c r="C2" s="26">
        <f t="shared" ref="C2:C55" si="1">B2*(25/100)</f>
        <v>0.337</v>
      </c>
      <c r="D2" s="26">
        <f t="shared" ref="D2:D55" si="2">C2+B2</f>
        <v>1.685</v>
      </c>
      <c r="E2" s="26">
        <v>0.11</v>
      </c>
      <c r="F2" s="26"/>
      <c r="G2" s="26"/>
      <c r="H2" s="26"/>
      <c r="I2" s="26"/>
      <c r="J2" s="26"/>
      <c r="K2" s="26"/>
      <c r="L2" s="174">
        <f>E2*Prices!B$2</f>
        <v>12100</v>
      </c>
      <c r="M2" s="174">
        <f>F2*Prices!C$2</f>
        <v>0</v>
      </c>
      <c r="N2" s="174">
        <f>G2*Prices!D$2</f>
        <v>0</v>
      </c>
      <c r="O2" s="174">
        <f>H2*Prices!E$2</f>
        <v>0</v>
      </c>
      <c r="P2" s="174">
        <f t="shared" ref="P2:P36" si="3">I2*2000+J2*4000+K2*650</f>
        <v>0</v>
      </c>
      <c r="Q2" s="174">
        <f>D2*Prices!A$2</f>
        <v>30077.25</v>
      </c>
      <c r="R2" s="175">
        <f t="shared" ref="R2:R55" si="4">L2+M2+N2+O2</f>
        <v>12100</v>
      </c>
      <c r="S2" s="174">
        <f t="shared" ref="S2:S55" si="5">R2+Q2+P2</f>
        <v>42177.25</v>
      </c>
      <c r="T2" s="26">
        <v>10.0</v>
      </c>
      <c r="U2" s="26" t="s">
        <v>82</v>
      </c>
      <c r="V2" s="12"/>
      <c r="W2" s="12"/>
      <c r="X2" s="12"/>
      <c r="Y2" s="12"/>
      <c r="Z2" s="12"/>
    </row>
    <row r="3">
      <c r="A3" s="26" t="s">
        <v>89</v>
      </c>
      <c r="B3" s="26">
        <v>8.98</v>
      </c>
      <c r="C3" s="26">
        <f t="shared" si="1"/>
        <v>2.245</v>
      </c>
      <c r="D3" s="26">
        <f t="shared" si="2"/>
        <v>11.225</v>
      </c>
      <c r="E3" s="26">
        <v>1.2</v>
      </c>
      <c r="F3" s="26"/>
      <c r="G3" s="26"/>
      <c r="H3" s="26"/>
      <c r="I3" s="26"/>
      <c r="J3" s="26"/>
      <c r="K3" s="26"/>
      <c r="L3" s="174">
        <f>E3*Prices!B$2</f>
        <v>132000</v>
      </c>
      <c r="M3" s="174">
        <f>F3*Prices!C$2</f>
        <v>0</v>
      </c>
      <c r="N3" s="174">
        <f>G3*Prices!D$2</f>
        <v>0</v>
      </c>
      <c r="O3" s="174">
        <f>H3*Prices!E$2</f>
        <v>0</v>
      </c>
      <c r="P3" s="174">
        <f t="shared" si="3"/>
        <v>0</v>
      </c>
      <c r="Q3" s="174">
        <f>D3*Prices!A$2</f>
        <v>200366.25</v>
      </c>
      <c r="R3" s="175">
        <f t="shared" si="4"/>
        <v>132000</v>
      </c>
      <c r="S3" s="174">
        <f t="shared" si="5"/>
        <v>332366.25</v>
      </c>
      <c r="T3" s="26" t="s">
        <v>89</v>
      </c>
      <c r="U3" s="26" t="s">
        <v>82</v>
      </c>
      <c r="V3" s="12"/>
      <c r="W3" s="12"/>
      <c r="X3" s="12"/>
      <c r="Y3" s="12"/>
      <c r="Z3" s="12"/>
    </row>
    <row r="4">
      <c r="A4" s="26">
        <v>1.0</v>
      </c>
      <c r="B4" s="26">
        <v>3.23</v>
      </c>
      <c r="C4" s="26">
        <f t="shared" si="1"/>
        <v>0.8075</v>
      </c>
      <c r="D4" s="26">
        <f t="shared" si="2"/>
        <v>4.0375</v>
      </c>
      <c r="E4" s="26">
        <v>0.81</v>
      </c>
      <c r="F4" s="26"/>
      <c r="G4" s="26"/>
      <c r="H4" s="26"/>
      <c r="I4" s="26"/>
      <c r="J4" s="26"/>
      <c r="K4" s="26"/>
      <c r="L4" s="174">
        <f>E4*Prices!B$2</f>
        <v>89100</v>
      </c>
      <c r="M4" s="174">
        <f>F4*Prices!C$2</f>
        <v>0</v>
      </c>
      <c r="N4" s="174">
        <f>G4*Prices!D$2</f>
        <v>0</v>
      </c>
      <c r="O4" s="174">
        <f>H4*Prices!E$2</f>
        <v>0</v>
      </c>
      <c r="P4" s="174">
        <f t="shared" si="3"/>
        <v>0</v>
      </c>
      <c r="Q4" s="174">
        <f>D4*Prices!A$2</f>
        <v>72069.375</v>
      </c>
      <c r="R4" s="175">
        <f t="shared" si="4"/>
        <v>89100</v>
      </c>
      <c r="S4" s="174">
        <f t="shared" si="5"/>
        <v>161169.375</v>
      </c>
      <c r="T4" s="26">
        <v>1.0</v>
      </c>
      <c r="U4" s="93" t="s">
        <v>82</v>
      </c>
      <c r="V4" s="12"/>
      <c r="W4" s="12"/>
      <c r="X4" s="12"/>
      <c r="Y4" s="12"/>
      <c r="Z4" s="12"/>
    </row>
    <row r="5">
      <c r="A5" s="26">
        <v>2.0</v>
      </c>
      <c r="B5" s="26">
        <v>4.14</v>
      </c>
      <c r="C5" s="26">
        <f t="shared" si="1"/>
        <v>1.035</v>
      </c>
      <c r="D5" s="26">
        <f t="shared" si="2"/>
        <v>5.175</v>
      </c>
      <c r="E5" s="26">
        <v>1.0</v>
      </c>
      <c r="F5" s="26"/>
      <c r="G5" s="26"/>
      <c r="H5" s="26"/>
      <c r="I5" s="26"/>
      <c r="J5" s="26"/>
      <c r="K5" s="26"/>
      <c r="L5" s="174">
        <f>E5*Prices!B$2</f>
        <v>110000</v>
      </c>
      <c r="M5" s="174">
        <f>F5*Prices!C$2</f>
        <v>0</v>
      </c>
      <c r="N5" s="174">
        <f>G5*Prices!D$2</f>
        <v>0</v>
      </c>
      <c r="O5" s="174">
        <f>H5*Prices!E$2</f>
        <v>0</v>
      </c>
      <c r="P5" s="174">
        <f t="shared" si="3"/>
        <v>0</v>
      </c>
      <c r="Q5" s="174">
        <f>D5*Prices!A$2</f>
        <v>92373.75</v>
      </c>
      <c r="R5" s="175">
        <f t="shared" si="4"/>
        <v>110000</v>
      </c>
      <c r="S5" s="174">
        <f t="shared" si="5"/>
        <v>202373.75</v>
      </c>
      <c r="T5" s="26">
        <v>2.0</v>
      </c>
      <c r="U5" s="93" t="s">
        <v>82</v>
      </c>
      <c r="V5" s="12"/>
      <c r="W5" s="12"/>
      <c r="X5" s="12"/>
      <c r="Y5" s="12"/>
      <c r="Z5" s="12"/>
    </row>
    <row r="6">
      <c r="A6" s="26">
        <v>3.0</v>
      </c>
      <c r="B6" s="26">
        <v>2.59</v>
      </c>
      <c r="C6" s="26">
        <f t="shared" si="1"/>
        <v>0.6475</v>
      </c>
      <c r="D6" s="26">
        <f t="shared" si="2"/>
        <v>3.2375</v>
      </c>
      <c r="E6" s="26">
        <v>0.5</v>
      </c>
      <c r="F6" s="26"/>
      <c r="G6" s="26"/>
      <c r="H6" s="26"/>
      <c r="I6" s="26"/>
      <c r="J6" s="26"/>
      <c r="K6" s="26"/>
      <c r="L6" s="174">
        <f>E6*Prices!B$2</f>
        <v>55000</v>
      </c>
      <c r="M6" s="174">
        <f>F6*Prices!C$2</f>
        <v>0</v>
      </c>
      <c r="N6" s="174">
        <f>G6*Prices!D$2</f>
        <v>0</v>
      </c>
      <c r="O6" s="174">
        <f>H6*Prices!E$2</f>
        <v>0</v>
      </c>
      <c r="P6" s="174">
        <f t="shared" si="3"/>
        <v>0</v>
      </c>
      <c r="Q6" s="174">
        <f>D6*Prices!A$2</f>
        <v>57789.375</v>
      </c>
      <c r="R6" s="175">
        <f t="shared" si="4"/>
        <v>55000</v>
      </c>
      <c r="S6" s="174">
        <f t="shared" si="5"/>
        <v>112789.375</v>
      </c>
      <c r="T6" s="26">
        <v>3.0</v>
      </c>
      <c r="U6" s="26" t="s">
        <v>82</v>
      </c>
      <c r="V6" s="12"/>
      <c r="W6" s="12"/>
      <c r="X6" s="12"/>
      <c r="Y6" s="12"/>
      <c r="Z6" s="12"/>
    </row>
    <row r="7">
      <c r="A7" s="26">
        <v>4.0</v>
      </c>
      <c r="B7" s="26">
        <v>2.97</v>
      </c>
      <c r="C7" s="26">
        <f t="shared" si="1"/>
        <v>0.7425</v>
      </c>
      <c r="D7" s="26">
        <f t="shared" si="2"/>
        <v>3.7125</v>
      </c>
      <c r="E7" s="26">
        <v>0.85</v>
      </c>
      <c r="F7" s="26"/>
      <c r="G7" s="26"/>
      <c r="H7" s="26"/>
      <c r="I7" s="26"/>
      <c r="J7" s="26"/>
      <c r="K7" s="26"/>
      <c r="L7" s="174">
        <f>E7*Prices!B$2</f>
        <v>93500</v>
      </c>
      <c r="M7" s="174">
        <f>F7*Prices!C$2</f>
        <v>0</v>
      </c>
      <c r="N7" s="174">
        <f>G7*Prices!D$2</f>
        <v>0</v>
      </c>
      <c r="O7" s="174">
        <f>H7*Prices!E$2</f>
        <v>0</v>
      </c>
      <c r="P7" s="174">
        <f t="shared" si="3"/>
        <v>0</v>
      </c>
      <c r="Q7" s="174">
        <f>D7*Prices!A$2</f>
        <v>66268.125</v>
      </c>
      <c r="R7" s="175">
        <f t="shared" si="4"/>
        <v>93500</v>
      </c>
      <c r="S7" s="174">
        <f t="shared" si="5"/>
        <v>159768.125</v>
      </c>
      <c r="T7" s="26">
        <v>4.0</v>
      </c>
      <c r="U7" s="26" t="s">
        <v>80</v>
      </c>
      <c r="V7" s="12" t="s">
        <v>81</v>
      </c>
      <c r="W7" s="12"/>
      <c r="X7" s="12"/>
      <c r="Y7" s="12"/>
      <c r="Z7" s="12"/>
    </row>
    <row r="8">
      <c r="A8" s="26">
        <v>5.0</v>
      </c>
      <c r="B8" s="26">
        <v>4.27</v>
      </c>
      <c r="C8" s="26">
        <f t="shared" si="1"/>
        <v>1.0675</v>
      </c>
      <c r="D8" s="26">
        <f t="shared" si="2"/>
        <v>5.3375</v>
      </c>
      <c r="E8" s="26">
        <v>1.44</v>
      </c>
      <c r="F8" s="26"/>
      <c r="G8" s="26"/>
      <c r="H8" s="26"/>
      <c r="I8" s="26"/>
      <c r="J8" s="26"/>
      <c r="K8" s="26"/>
      <c r="L8" s="174">
        <f>E8*Prices!B$2</f>
        <v>158400</v>
      </c>
      <c r="M8" s="174">
        <f>F8*Prices!C$2</f>
        <v>0</v>
      </c>
      <c r="N8" s="174">
        <f>G8*Prices!D$2</f>
        <v>0</v>
      </c>
      <c r="O8" s="174">
        <f>H8*Prices!E$2</f>
        <v>0</v>
      </c>
      <c r="P8" s="174">
        <f t="shared" si="3"/>
        <v>0</v>
      </c>
      <c r="Q8" s="174">
        <f>D8*Prices!A$2</f>
        <v>95274.375</v>
      </c>
      <c r="R8" s="175">
        <f t="shared" si="4"/>
        <v>158400</v>
      </c>
      <c r="S8" s="174">
        <f t="shared" si="5"/>
        <v>253674.375</v>
      </c>
      <c r="T8" s="26">
        <v>5.0</v>
      </c>
      <c r="U8" s="26" t="s">
        <v>82</v>
      </c>
      <c r="V8" s="12"/>
      <c r="W8" s="12"/>
      <c r="X8" s="12"/>
      <c r="Y8" s="12"/>
      <c r="Z8" s="12"/>
    </row>
    <row r="9">
      <c r="A9" s="26">
        <v>6.0</v>
      </c>
      <c r="B9" s="26">
        <v>2.96</v>
      </c>
      <c r="C9" s="26">
        <f t="shared" si="1"/>
        <v>0.74</v>
      </c>
      <c r="D9" s="26">
        <f t="shared" si="2"/>
        <v>3.7</v>
      </c>
      <c r="E9" s="26">
        <v>0.4</v>
      </c>
      <c r="F9" s="26"/>
      <c r="G9" s="26"/>
      <c r="H9" s="26"/>
      <c r="I9" s="26"/>
      <c r="J9" s="26"/>
      <c r="K9" s="26"/>
      <c r="L9" s="174">
        <f>E9*Prices!B$2</f>
        <v>44000</v>
      </c>
      <c r="M9" s="174">
        <f>F9*Prices!C$2</f>
        <v>0</v>
      </c>
      <c r="N9" s="174">
        <f>G9*Prices!D$2</f>
        <v>0</v>
      </c>
      <c r="O9" s="174">
        <f>H9*Prices!E$2</f>
        <v>0</v>
      </c>
      <c r="P9" s="174">
        <f t="shared" si="3"/>
        <v>0</v>
      </c>
      <c r="Q9" s="174">
        <f>D9*Prices!A$2</f>
        <v>66045</v>
      </c>
      <c r="R9" s="175">
        <f t="shared" si="4"/>
        <v>44000</v>
      </c>
      <c r="S9" s="174">
        <f t="shared" si="5"/>
        <v>110045</v>
      </c>
      <c r="T9" s="26">
        <v>6.0</v>
      </c>
      <c r="U9" s="26" t="s">
        <v>82</v>
      </c>
      <c r="V9" s="12"/>
      <c r="W9" s="12"/>
      <c r="X9" s="12"/>
      <c r="Y9" s="12"/>
      <c r="Z9" s="12"/>
    </row>
    <row r="10">
      <c r="A10" s="26">
        <v>7.0</v>
      </c>
      <c r="B10" s="26">
        <v>3.55</v>
      </c>
      <c r="C10" s="26">
        <f t="shared" si="1"/>
        <v>0.8875</v>
      </c>
      <c r="D10" s="26">
        <f t="shared" si="2"/>
        <v>4.4375</v>
      </c>
      <c r="E10" s="26">
        <v>0.83</v>
      </c>
      <c r="F10" s="26"/>
      <c r="G10" s="26"/>
      <c r="H10" s="26"/>
      <c r="I10" s="26"/>
      <c r="J10" s="26"/>
      <c r="K10" s="26"/>
      <c r="L10" s="174">
        <f>E10*Prices!B$2</f>
        <v>91300</v>
      </c>
      <c r="M10" s="174">
        <f>F10*Prices!C$2</f>
        <v>0</v>
      </c>
      <c r="N10" s="174">
        <f>G10*Prices!D$2</f>
        <v>0</v>
      </c>
      <c r="O10" s="174">
        <f>H10*Prices!E$2</f>
        <v>0</v>
      </c>
      <c r="P10" s="174">
        <f t="shared" si="3"/>
        <v>0</v>
      </c>
      <c r="Q10" s="174">
        <f>D10*Prices!A$2</f>
        <v>79209.375</v>
      </c>
      <c r="R10" s="175">
        <f t="shared" si="4"/>
        <v>91300</v>
      </c>
      <c r="S10" s="174">
        <f t="shared" si="5"/>
        <v>170509.375</v>
      </c>
      <c r="T10" s="26">
        <v>7.0</v>
      </c>
      <c r="U10" s="26" t="s">
        <v>80</v>
      </c>
      <c r="V10" s="12" t="s">
        <v>81</v>
      </c>
      <c r="W10" s="12"/>
      <c r="X10" s="12"/>
      <c r="Y10" s="12"/>
      <c r="Z10" s="12"/>
    </row>
    <row r="11">
      <c r="A11" s="26">
        <v>8.0</v>
      </c>
      <c r="B11" s="26">
        <v>7.16</v>
      </c>
      <c r="C11" s="26">
        <f t="shared" si="1"/>
        <v>1.79</v>
      </c>
      <c r="D11" s="26">
        <f t="shared" si="2"/>
        <v>8.95</v>
      </c>
      <c r="E11" s="26">
        <v>1.58</v>
      </c>
      <c r="F11" s="26"/>
      <c r="G11" s="26"/>
      <c r="H11" s="26"/>
      <c r="I11" s="26"/>
      <c r="J11" s="26"/>
      <c r="K11" s="26"/>
      <c r="L11" s="174">
        <f>E11*Prices!B$2</f>
        <v>173800</v>
      </c>
      <c r="M11" s="174">
        <f>F11*Prices!C$2</f>
        <v>0</v>
      </c>
      <c r="N11" s="174">
        <f>G11*Prices!D$2</f>
        <v>0</v>
      </c>
      <c r="O11" s="174">
        <f>H11*Prices!E$2</f>
        <v>0</v>
      </c>
      <c r="P11" s="174">
        <f t="shared" si="3"/>
        <v>0</v>
      </c>
      <c r="Q11" s="174">
        <f>D11*Prices!A$2</f>
        <v>159757.5</v>
      </c>
      <c r="R11" s="175">
        <f t="shared" si="4"/>
        <v>173800</v>
      </c>
      <c r="S11" s="174">
        <f t="shared" si="5"/>
        <v>333557.5</v>
      </c>
      <c r="T11" s="26">
        <v>8.0</v>
      </c>
      <c r="U11" s="26" t="s">
        <v>80</v>
      </c>
      <c r="V11" s="12" t="s">
        <v>81</v>
      </c>
      <c r="W11" s="12"/>
      <c r="X11" s="12"/>
      <c r="Y11" s="12"/>
      <c r="Z11" s="12"/>
    </row>
    <row r="12">
      <c r="A12" s="26">
        <v>9.0</v>
      </c>
      <c r="B12" s="26">
        <v>3.57</v>
      </c>
      <c r="C12" s="26">
        <f t="shared" si="1"/>
        <v>0.8925</v>
      </c>
      <c r="D12" s="26">
        <f t="shared" si="2"/>
        <v>4.4625</v>
      </c>
      <c r="E12" s="26">
        <v>0.62</v>
      </c>
      <c r="F12" s="26"/>
      <c r="G12" s="26"/>
      <c r="H12" s="26"/>
      <c r="I12" s="26"/>
      <c r="J12" s="26"/>
      <c r="K12" s="26"/>
      <c r="L12" s="174">
        <f>E12*Prices!B$2</f>
        <v>68200</v>
      </c>
      <c r="M12" s="174">
        <f>F12*Prices!C$2</f>
        <v>0</v>
      </c>
      <c r="N12" s="174">
        <f>G12*Prices!D$2</f>
        <v>0</v>
      </c>
      <c r="O12" s="174">
        <f>H12*Prices!E$2</f>
        <v>0</v>
      </c>
      <c r="P12" s="174">
        <f t="shared" si="3"/>
        <v>0</v>
      </c>
      <c r="Q12" s="174">
        <f>D12*Prices!A$2</f>
        <v>79655.625</v>
      </c>
      <c r="R12" s="175">
        <f t="shared" si="4"/>
        <v>68200</v>
      </c>
      <c r="S12" s="174">
        <f t="shared" si="5"/>
        <v>147855.625</v>
      </c>
      <c r="T12" s="26">
        <v>9.0</v>
      </c>
      <c r="U12" s="26" t="s">
        <v>82</v>
      </c>
      <c r="V12" s="12"/>
      <c r="W12" s="12"/>
      <c r="X12" s="12"/>
      <c r="Y12" s="12"/>
      <c r="Z12" s="12"/>
    </row>
    <row r="13">
      <c r="A13" s="26">
        <v>10.0</v>
      </c>
      <c r="B13" s="26">
        <v>2.9</v>
      </c>
      <c r="C13" s="26">
        <f t="shared" si="1"/>
        <v>0.725</v>
      </c>
      <c r="D13" s="26">
        <f t="shared" si="2"/>
        <v>3.625</v>
      </c>
      <c r="E13" s="26">
        <v>0.3</v>
      </c>
      <c r="F13" s="26"/>
      <c r="G13" s="26"/>
      <c r="H13" s="26"/>
      <c r="I13" s="26"/>
      <c r="J13" s="26"/>
      <c r="K13" s="26"/>
      <c r="L13" s="174">
        <f>E13*Prices!B$2</f>
        <v>33000</v>
      </c>
      <c r="M13" s="174">
        <f>F13*Prices!C$2</f>
        <v>0</v>
      </c>
      <c r="N13" s="174">
        <f>G13*Prices!D$2</f>
        <v>0</v>
      </c>
      <c r="O13" s="174">
        <f>H13*Prices!E$2</f>
        <v>0</v>
      </c>
      <c r="P13" s="174">
        <f t="shared" si="3"/>
        <v>0</v>
      </c>
      <c r="Q13" s="174">
        <f>D13*Prices!A$2</f>
        <v>64706.25</v>
      </c>
      <c r="R13" s="175">
        <f t="shared" si="4"/>
        <v>33000</v>
      </c>
      <c r="S13" s="174">
        <f t="shared" si="5"/>
        <v>97706.25</v>
      </c>
      <c r="T13" s="26">
        <v>10.0</v>
      </c>
      <c r="U13" s="93" t="s">
        <v>82</v>
      </c>
      <c r="V13" s="12"/>
      <c r="W13" s="12"/>
      <c r="X13" s="12"/>
      <c r="Y13" s="12"/>
      <c r="Z13" s="12"/>
    </row>
    <row r="14">
      <c r="A14" s="26">
        <v>11.0</v>
      </c>
      <c r="B14" s="26">
        <v>3.51</v>
      </c>
      <c r="C14" s="26">
        <f t="shared" si="1"/>
        <v>0.8775</v>
      </c>
      <c r="D14" s="26">
        <f t="shared" si="2"/>
        <v>4.3875</v>
      </c>
      <c r="E14" s="26">
        <v>0.53</v>
      </c>
      <c r="F14" s="26"/>
      <c r="G14" s="26"/>
      <c r="H14" s="26"/>
      <c r="I14" s="26"/>
      <c r="J14" s="26"/>
      <c r="K14" s="26"/>
      <c r="L14" s="174">
        <f>E14*Prices!B$2</f>
        <v>58300</v>
      </c>
      <c r="M14" s="174">
        <f>F14*Prices!C$2</f>
        <v>0</v>
      </c>
      <c r="N14" s="174">
        <f>G14*Prices!D$2</f>
        <v>0</v>
      </c>
      <c r="O14" s="174">
        <f>H14*Prices!E$2</f>
        <v>0</v>
      </c>
      <c r="P14" s="174">
        <f t="shared" si="3"/>
        <v>0</v>
      </c>
      <c r="Q14" s="174">
        <f>D14*Prices!A$2</f>
        <v>78316.875</v>
      </c>
      <c r="R14" s="175">
        <f t="shared" si="4"/>
        <v>58300</v>
      </c>
      <c r="S14" s="174">
        <f t="shared" si="5"/>
        <v>136616.875</v>
      </c>
      <c r="T14" s="26">
        <v>11.0</v>
      </c>
      <c r="U14" s="26" t="s">
        <v>80</v>
      </c>
      <c r="V14" s="12" t="s">
        <v>81</v>
      </c>
      <c r="W14" s="12"/>
      <c r="X14" s="12"/>
      <c r="Y14" s="12"/>
      <c r="Z14" s="12"/>
    </row>
    <row r="15">
      <c r="A15" s="26">
        <v>12.0</v>
      </c>
      <c r="B15" s="26">
        <v>8.26</v>
      </c>
      <c r="C15" s="26">
        <f t="shared" si="1"/>
        <v>2.065</v>
      </c>
      <c r="D15" s="26">
        <f t="shared" si="2"/>
        <v>10.325</v>
      </c>
      <c r="E15" s="26">
        <v>1.85</v>
      </c>
      <c r="F15" s="26"/>
      <c r="G15" s="26"/>
      <c r="H15" s="26"/>
      <c r="I15" s="26"/>
      <c r="J15" s="26"/>
      <c r="K15" s="26"/>
      <c r="L15" s="174">
        <f>E15*Prices!B$2</f>
        <v>203500</v>
      </c>
      <c r="M15" s="174">
        <f>F15*Prices!C$2</f>
        <v>0</v>
      </c>
      <c r="N15" s="174">
        <f>G15*Prices!D$2</f>
        <v>0</v>
      </c>
      <c r="O15" s="174">
        <f>H15*Prices!E$2</f>
        <v>0</v>
      </c>
      <c r="P15" s="174">
        <f t="shared" si="3"/>
        <v>0</v>
      </c>
      <c r="Q15" s="174">
        <f>D15*Prices!A$2</f>
        <v>184301.25</v>
      </c>
      <c r="R15" s="175">
        <f t="shared" si="4"/>
        <v>203500</v>
      </c>
      <c r="S15" s="174">
        <f t="shared" si="5"/>
        <v>387801.25</v>
      </c>
      <c r="T15" s="26">
        <v>12.0</v>
      </c>
      <c r="U15" s="26" t="s">
        <v>82</v>
      </c>
      <c r="V15" s="12"/>
      <c r="W15" s="12"/>
      <c r="X15" s="12"/>
      <c r="Y15" s="12"/>
      <c r="Z15" s="12"/>
    </row>
    <row r="16">
      <c r="A16" s="26">
        <v>13.0</v>
      </c>
      <c r="B16" s="26">
        <v>16.0</v>
      </c>
      <c r="C16" s="26">
        <f t="shared" si="1"/>
        <v>4</v>
      </c>
      <c r="D16" s="26">
        <f t="shared" si="2"/>
        <v>20</v>
      </c>
      <c r="E16" s="26">
        <v>2.68</v>
      </c>
      <c r="F16" s="26"/>
      <c r="G16" s="26"/>
      <c r="H16" s="26"/>
      <c r="I16" s="26"/>
      <c r="J16" s="26"/>
      <c r="K16" s="26"/>
      <c r="L16" s="174">
        <f>E16*Prices!B$2</f>
        <v>294800</v>
      </c>
      <c r="M16" s="174">
        <f>F16*Prices!C$2</f>
        <v>0</v>
      </c>
      <c r="N16" s="174">
        <f>G16*Prices!D$2</f>
        <v>0</v>
      </c>
      <c r="O16" s="174">
        <f>H16*Prices!E$2</f>
        <v>0</v>
      </c>
      <c r="P16" s="174">
        <f t="shared" si="3"/>
        <v>0</v>
      </c>
      <c r="Q16" s="174">
        <f>D16*Prices!A$2</f>
        <v>357000</v>
      </c>
      <c r="R16" s="175">
        <f t="shared" si="4"/>
        <v>294800</v>
      </c>
      <c r="S16" s="174">
        <f t="shared" si="5"/>
        <v>651800</v>
      </c>
      <c r="T16" s="26">
        <v>13.0</v>
      </c>
      <c r="U16" s="26" t="s">
        <v>82</v>
      </c>
      <c r="V16" s="12"/>
      <c r="W16" s="12"/>
      <c r="X16" s="12"/>
      <c r="Y16" s="12"/>
      <c r="Z16" s="12"/>
    </row>
    <row r="17">
      <c r="A17" s="26">
        <v>14.0</v>
      </c>
      <c r="B17" s="26">
        <v>3.18</v>
      </c>
      <c r="C17" s="26">
        <f t="shared" si="1"/>
        <v>0.795</v>
      </c>
      <c r="D17" s="26">
        <f t="shared" si="2"/>
        <v>3.975</v>
      </c>
      <c r="E17" s="26">
        <v>0.85</v>
      </c>
      <c r="F17" s="26"/>
      <c r="G17" s="26"/>
      <c r="H17" s="26"/>
      <c r="I17" s="26"/>
      <c r="J17" s="26"/>
      <c r="K17" s="26"/>
      <c r="L17" s="174">
        <f>E17*Prices!B$2</f>
        <v>93500</v>
      </c>
      <c r="M17" s="174">
        <f>F17*Prices!C$2</f>
        <v>0</v>
      </c>
      <c r="N17" s="174">
        <f>G17*Prices!D$2</f>
        <v>0</v>
      </c>
      <c r="O17" s="174">
        <f>H17*Prices!E$2</f>
        <v>0</v>
      </c>
      <c r="P17" s="174">
        <f t="shared" si="3"/>
        <v>0</v>
      </c>
      <c r="Q17" s="174">
        <f>D17*Prices!A$2</f>
        <v>70953.75</v>
      </c>
      <c r="R17" s="175">
        <f t="shared" si="4"/>
        <v>93500</v>
      </c>
      <c r="S17" s="174">
        <f t="shared" si="5"/>
        <v>164453.75</v>
      </c>
      <c r="T17" s="26">
        <v>14.0</v>
      </c>
      <c r="U17" s="26" t="s">
        <v>80</v>
      </c>
      <c r="V17" s="12" t="s">
        <v>81</v>
      </c>
      <c r="W17" s="12"/>
      <c r="X17" s="12"/>
      <c r="Y17" s="12"/>
      <c r="Z17" s="12"/>
    </row>
    <row r="18">
      <c r="A18" s="26">
        <v>15.0</v>
      </c>
      <c r="B18" s="26">
        <v>3.17</v>
      </c>
      <c r="C18" s="26">
        <f t="shared" si="1"/>
        <v>0.7925</v>
      </c>
      <c r="D18" s="26">
        <f t="shared" si="2"/>
        <v>3.9625</v>
      </c>
      <c r="E18" s="26">
        <v>0.83</v>
      </c>
      <c r="F18" s="26"/>
      <c r="G18" s="26"/>
      <c r="H18" s="26"/>
      <c r="I18" s="26"/>
      <c r="J18" s="26"/>
      <c r="K18" s="26"/>
      <c r="L18" s="174">
        <f>E18*Prices!B$2</f>
        <v>91300</v>
      </c>
      <c r="M18" s="174">
        <f>F18*Prices!C$2</f>
        <v>0</v>
      </c>
      <c r="N18" s="174">
        <f>G18*Prices!D$2</f>
        <v>0</v>
      </c>
      <c r="O18" s="174">
        <f>H18*Prices!E$2</f>
        <v>0</v>
      </c>
      <c r="P18" s="174">
        <f t="shared" si="3"/>
        <v>0</v>
      </c>
      <c r="Q18" s="174">
        <f>D18*Prices!A$2</f>
        <v>70730.625</v>
      </c>
      <c r="R18" s="175">
        <f t="shared" si="4"/>
        <v>91300</v>
      </c>
      <c r="S18" s="174">
        <f t="shared" si="5"/>
        <v>162030.625</v>
      </c>
      <c r="T18" s="26">
        <v>15.0</v>
      </c>
      <c r="U18" s="26" t="s">
        <v>80</v>
      </c>
      <c r="V18" s="12" t="s">
        <v>81</v>
      </c>
      <c r="W18" s="12"/>
      <c r="X18" s="12"/>
      <c r="Y18" s="12"/>
      <c r="Z18" s="12"/>
    </row>
    <row r="19">
      <c r="A19" s="26">
        <v>16.0</v>
      </c>
      <c r="B19" s="26">
        <v>3.78</v>
      </c>
      <c r="C19" s="26">
        <f t="shared" si="1"/>
        <v>0.945</v>
      </c>
      <c r="D19" s="26">
        <f t="shared" si="2"/>
        <v>4.725</v>
      </c>
      <c r="E19" s="26">
        <v>0.68</v>
      </c>
      <c r="F19" s="26"/>
      <c r="G19" s="26"/>
      <c r="H19" s="26"/>
      <c r="I19" s="26"/>
      <c r="J19" s="26"/>
      <c r="K19" s="26"/>
      <c r="L19" s="174">
        <f>E19*Prices!B$2</f>
        <v>74800</v>
      </c>
      <c r="M19" s="174">
        <f>F19*Prices!C$2</f>
        <v>0</v>
      </c>
      <c r="N19" s="174">
        <f>G19*Prices!D$2</f>
        <v>0</v>
      </c>
      <c r="O19" s="174">
        <f>H19*Prices!E$2</f>
        <v>0</v>
      </c>
      <c r="P19" s="174">
        <f t="shared" si="3"/>
        <v>0</v>
      </c>
      <c r="Q19" s="174">
        <f>D19*Prices!A$2</f>
        <v>84341.25</v>
      </c>
      <c r="R19" s="175">
        <f t="shared" si="4"/>
        <v>74800</v>
      </c>
      <c r="S19" s="174">
        <f t="shared" si="5"/>
        <v>159141.25</v>
      </c>
      <c r="T19" s="26">
        <v>16.0</v>
      </c>
      <c r="U19" s="26" t="s">
        <v>80</v>
      </c>
      <c r="V19" s="12" t="s">
        <v>81</v>
      </c>
      <c r="W19" s="12"/>
      <c r="X19" s="12"/>
      <c r="Y19" s="12"/>
      <c r="Z19" s="12"/>
    </row>
    <row r="20">
      <c r="A20" s="26">
        <v>17.0</v>
      </c>
      <c r="B20" s="26">
        <v>2.7</v>
      </c>
      <c r="C20" s="26">
        <f t="shared" si="1"/>
        <v>0.675</v>
      </c>
      <c r="D20" s="26">
        <f t="shared" si="2"/>
        <v>3.375</v>
      </c>
      <c r="E20" s="26">
        <v>0.38</v>
      </c>
      <c r="F20" s="26"/>
      <c r="G20" s="26"/>
      <c r="H20" s="26"/>
      <c r="I20" s="26"/>
      <c r="J20" s="26"/>
      <c r="K20" s="26"/>
      <c r="L20" s="174">
        <f>E20*Prices!B$2</f>
        <v>41800</v>
      </c>
      <c r="M20" s="174">
        <f>F20*Prices!C$2</f>
        <v>0</v>
      </c>
      <c r="N20" s="174">
        <f>G20*Prices!D$2</f>
        <v>0</v>
      </c>
      <c r="O20" s="174">
        <f>H20*Prices!E$2</f>
        <v>0</v>
      </c>
      <c r="P20" s="174">
        <f t="shared" si="3"/>
        <v>0</v>
      </c>
      <c r="Q20" s="174">
        <f>D20*Prices!A$2</f>
        <v>60243.75</v>
      </c>
      <c r="R20" s="175">
        <f t="shared" si="4"/>
        <v>41800</v>
      </c>
      <c r="S20" s="174">
        <f t="shared" si="5"/>
        <v>102043.75</v>
      </c>
      <c r="T20" s="26">
        <v>17.0</v>
      </c>
      <c r="U20" s="26" t="s">
        <v>80</v>
      </c>
      <c r="V20" s="12" t="s">
        <v>81</v>
      </c>
      <c r="W20" s="12"/>
      <c r="X20" s="12"/>
      <c r="Y20" s="12"/>
      <c r="Z20" s="12"/>
    </row>
    <row r="21">
      <c r="A21" s="26">
        <v>18.0</v>
      </c>
      <c r="B21" s="26">
        <v>1.15</v>
      </c>
      <c r="C21" s="26">
        <f t="shared" si="1"/>
        <v>0.2875</v>
      </c>
      <c r="D21" s="26">
        <f t="shared" si="2"/>
        <v>1.4375</v>
      </c>
      <c r="E21" s="26">
        <v>0.08</v>
      </c>
      <c r="F21" s="26"/>
      <c r="G21" s="26"/>
      <c r="H21" s="26"/>
      <c r="I21" s="26"/>
      <c r="J21" s="26"/>
      <c r="K21" s="26"/>
      <c r="L21" s="174">
        <f>E21*Prices!B$2</f>
        <v>8800</v>
      </c>
      <c r="M21" s="174">
        <f>F21*Prices!C$2</f>
        <v>0</v>
      </c>
      <c r="N21" s="174">
        <f>G21*Prices!D$2</f>
        <v>0</v>
      </c>
      <c r="O21" s="174">
        <f>H21*Prices!E$2</f>
        <v>0</v>
      </c>
      <c r="P21" s="174">
        <f t="shared" si="3"/>
        <v>0</v>
      </c>
      <c r="Q21" s="174">
        <f>D21*Prices!A$2</f>
        <v>25659.375</v>
      </c>
      <c r="R21" s="175">
        <f t="shared" si="4"/>
        <v>8800</v>
      </c>
      <c r="S21" s="174">
        <f t="shared" si="5"/>
        <v>34459.375</v>
      </c>
      <c r="T21" s="26">
        <v>18.0</v>
      </c>
      <c r="U21" s="26" t="s">
        <v>80</v>
      </c>
      <c r="V21" s="12" t="s">
        <v>81</v>
      </c>
      <c r="W21" s="12"/>
      <c r="X21" s="12"/>
      <c r="Y21" s="12"/>
      <c r="Z21" s="12"/>
    </row>
    <row r="22">
      <c r="A22" s="26">
        <v>19.0</v>
      </c>
      <c r="B22" s="26">
        <v>2.04</v>
      </c>
      <c r="C22" s="26">
        <f t="shared" si="1"/>
        <v>0.51</v>
      </c>
      <c r="D22" s="26">
        <f t="shared" si="2"/>
        <v>2.55</v>
      </c>
      <c r="E22" s="26">
        <v>0.39</v>
      </c>
      <c r="F22" s="26"/>
      <c r="G22" s="26"/>
      <c r="H22" s="26"/>
      <c r="I22" s="26"/>
      <c r="J22" s="26"/>
      <c r="K22" s="26"/>
      <c r="L22" s="174">
        <f>E22*Prices!B$2</f>
        <v>42900</v>
      </c>
      <c r="M22" s="174">
        <f>F22*Prices!C$2</f>
        <v>0</v>
      </c>
      <c r="N22" s="174">
        <f>G22*Prices!D$2</f>
        <v>0</v>
      </c>
      <c r="O22" s="174">
        <f>H22*Prices!E$2</f>
        <v>0</v>
      </c>
      <c r="P22" s="174">
        <f t="shared" si="3"/>
        <v>0</v>
      </c>
      <c r="Q22" s="174">
        <f>D22*Prices!A$2</f>
        <v>45517.5</v>
      </c>
      <c r="R22" s="175">
        <f t="shared" si="4"/>
        <v>42900</v>
      </c>
      <c r="S22" s="174">
        <f t="shared" si="5"/>
        <v>88417.5</v>
      </c>
      <c r="T22" s="26">
        <v>19.0</v>
      </c>
      <c r="U22" s="93" t="s">
        <v>82</v>
      </c>
      <c r="V22" s="12"/>
      <c r="W22" s="12"/>
      <c r="X22" s="12"/>
      <c r="Y22" s="12"/>
      <c r="Z22" s="12"/>
    </row>
    <row r="23">
      <c r="A23" s="26">
        <v>20.0</v>
      </c>
      <c r="B23" s="26">
        <v>2.68</v>
      </c>
      <c r="C23" s="26">
        <f t="shared" si="1"/>
        <v>0.67</v>
      </c>
      <c r="D23" s="26">
        <f t="shared" si="2"/>
        <v>3.35</v>
      </c>
      <c r="E23" s="26">
        <v>0.33</v>
      </c>
      <c r="F23" s="26"/>
      <c r="G23" s="26"/>
      <c r="H23" s="26"/>
      <c r="I23" s="26"/>
      <c r="J23" s="26"/>
      <c r="K23" s="26"/>
      <c r="L23" s="174">
        <f>E23*Prices!B$2</f>
        <v>36300</v>
      </c>
      <c r="M23" s="174">
        <f>F23*Prices!C$2</f>
        <v>0</v>
      </c>
      <c r="N23" s="174">
        <f>G23*Prices!D$2</f>
        <v>0</v>
      </c>
      <c r="O23" s="174">
        <f>H23*Prices!E$2</f>
        <v>0</v>
      </c>
      <c r="P23" s="174">
        <f t="shared" si="3"/>
        <v>0</v>
      </c>
      <c r="Q23" s="174">
        <f>D23*Prices!A$2</f>
        <v>59797.5</v>
      </c>
      <c r="R23" s="175">
        <f t="shared" si="4"/>
        <v>36300</v>
      </c>
      <c r="S23" s="174">
        <f t="shared" si="5"/>
        <v>96097.5</v>
      </c>
      <c r="T23" s="26">
        <v>20.0</v>
      </c>
      <c r="U23" s="26" t="s">
        <v>80</v>
      </c>
      <c r="V23" s="12"/>
      <c r="W23" s="12"/>
      <c r="X23" s="12"/>
      <c r="Y23" s="12"/>
      <c r="Z23" s="12"/>
    </row>
    <row r="24">
      <c r="A24" s="26">
        <v>21.0</v>
      </c>
      <c r="B24" s="26">
        <v>1.55</v>
      </c>
      <c r="C24" s="26">
        <f t="shared" si="1"/>
        <v>0.3875</v>
      </c>
      <c r="D24" s="26">
        <f t="shared" si="2"/>
        <v>1.9375</v>
      </c>
      <c r="E24" s="26">
        <v>0.37</v>
      </c>
      <c r="F24" s="26"/>
      <c r="G24" s="26"/>
      <c r="H24" s="26"/>
      <c r="I24" s="26"/>
      <c r="J24" s="26"/>
      <c r="K24" s="26"/>
      <c r="L24" s="174">
        <f>E24*Prices!B$2</f>
        <v>40700</v>
      </c>
      <c r="M24" s="174">
        <f>F24*Prices!C$2</f>
        <v>0</v>
      </c>
      <c r="N24" s="174">
        <f>G24*Prices!D$2</f>
        <v>0</v>
      </c>
      <c r="O24" s="174">
        <f>H24*Prices!E$2</f>
        <v>0</v>
      </c>
      <c r="P24" s="174">
        <f t="shared" si="3"/>
        <v>0</v>
      </c>
      <c r="Q24" s="174">
        <f>D24*Prices!A$2</f>
        <v>34584.375</v>
      </c>
      <c r="R24" s="175">
        <f t="shared" si="4"/>
        <v>40700</v>
      </c>
      <c r="S24" s="174">
        <f t="shared" si="5"/>
        <v>75284.375</v>
      </c>
      <c r="T24" s="26">
        <v>21.0</v>
      </c>
      <c r="U24" s="26" t="s">
        <v>80</v>
      </c>
      <c r="V24" s="12" t="s">
        <v>81</v>
      </c>
      <c r="W24" s="12"/>
      <c r="X24" s="12"/>
      <c r="Y24" s="12"/>
      <c r="Z24" s="12"/>
    </row>
    <row r="25">
      <c r="A25" s="26">
        <v>22.0</v>
      </c>
      <c r="B25" s="26">
        <v>0.81</v>
      </c>
      <c r="C25" s="26">
        <f t="shared" si="1"/>
        <v>0.2025</v>
      </c>
      <c r="D25" s="26">
        <f t="shared" si="2"/>
        <v>1.0125</v>
      </c>
      <c r="E25" s="26">
        <v>0.42</v>
      </c>
      <c r="F25" s="26"/>
      <c r="G25" s="26"/>
      <c r="H25" s="26"/>
      <c r="I25" s="26"/>
      <c r="J25" s="26"/>
      <c r="K25" s="26"/>
      <c r="L25" s="174">
        <f>E25*Prices!B$2</f>
        <v>46200</v>
      </c>
      <c r="M25" s="174">
        <f>F25*Prices!C$2</f>
        <v>0</v>
      </c>
      <c r="N25" s="174">
        <f>G25*Prices!D$2</f>
        <v>0</v>
      </c>
      <c r="O25" s="174">
        <f>H25*Prices!E$2</f>
        <v>0</v>
      </c>
      <c r="P25" s="174">
        <f t="shared" si="3"/>
        <v>0</v>
      </c>
      <c r="Q25" s="174">
        <f>D25*Prices!A$2</f>
        <v>18073.125</v>
      </c>
      <c r="R25" s="175">
        <f t="shared" si="4"/>
        <v>46200</v>
      </c>
      <c r="S25" s="174">
        <f t="shared" si="5"/>
        <v>64273.125</v>
      </c>
      <c r="T25" s="26">
        <v>22.0</v>
      </c>
      <c r="U25" s="26" t="s">
        <v>80</v>
      </c>
      <c r="V25" s="12" t="s">
        <v>81</v>
      </c>
      <c r="W25" s="12"/>
      <c r="X25" s="12"/>
      <c r="Y25" s="12"/>
      <c r="Z25" s="12"/>
    </row>
    <row r="26">
      <c r="A26" s="26">
        <v>23.0</v>
      </c>
      <c r="B26" s="26">
        <v>1.88</v>
      </c>
      <c r="C26" s="26">
        <f t="shared" si="1"/>
        <v>0.47</v>
      </c>
      <c r="D26" s="26">
        <f t="shared" si="2"/>
        <v>2.35</v>
      </c>
      <c r="E26" s="26">
        <v>0.27</v>
      </c>
      <c r="F26" s="26"/>
      <c r="G26" s="26"/>
      <c r="H26" s="26"/>
      <c r="I26" s="26"/>
      <c r="J26" s="26"/>
      <c r="K26" s="26"/>
      <c r="L26" s="174">
        <f>E26*Prices!B$2</f>
        <v>29700</v>
      </c>
      <c r="M26" s="174">
        <f>F26*Prices!C$2</f>
        <v>0</v>
      </c>
      <c r="N26" s="174">
        <f>G26*Prices!D$2</f>
        <v>0</v>
      </c>
      <c r="O26" s="174">
        <f>H26*Prices!E$2</f>
        <v>0</v>
      </c>
      <c r="P26" s="174">
        <f t="shared" si="3"/>
        <v>0</v>
      </c>
      <c r="Q26" s="174">
        <f>D26*Prices!A$2</f>
        <v>41947.5</v>
      </c>
      <c r="R26" s="175">
        <f t="shared" si="4"/>
        <v>29700</v>
      </c>
      <c r="S26" s="174">
        <f t="shared" si="5"/>
        <v>71647.5</v>
      </c>
      <c r="T26" s="26">
        <v>23.0</v>
      </c>
      <c r="U26" s="93" t="s">
        <v>82</v>
      </c>
      <c r="V26" s="12"/>
      <c r="W26" s="12"/>
      <c r="X26" s="12"/>
      <c r="Y26" s="12"/>
      <c r="Z26" s="12"/>
    </row>
    <row r="27">
      <c r="A27" s="26">
        <v>24.0</v>
      </c>
      <c r="B27" s="26">
        <v>0.54</v>
      </c>
      <c r="C27" s="26">
        <f t="shared" si="1"/>
        <v>0.135</v>
      </c>
      <c r="D27" s="26">
        <f t="shared" si="2"/>
        <v>0.675</v>
      </c>
      <c r="E27" s="26">
        <v>0.11</v>
      </c>
      <c r="F27" s="26"/>
      <c r="G27" s="26"/>
      <c r="H27" s="26"/>
      <c r="I27" s="26"/>
      <c r="J27" s="26"/>
      <c r="K27" s="26"/>
      <c r="L27" s="174">
        <f>E27*Prices!B$2</f>
        <v>12100</v>
      </c>
      <c r="M27" s="174">
        <f>F27*Prices!C$2</f>
        <v>0</v>
      </c>
      <c r="N27" s="174">
        <f>G27*Prices!D$2</f>
        <v>0</v>
      </c>
      <c r="O27" s="174">
        <f>H27*Prices!E$2</f>
        <v>0</v>
      </c>
      <c r="P27" s="174">
        <f t="shared" si="3"/>
        <v>0</v>
      </c>
      <c r="Q27" s="174">
        <f>D27*Prices!A$2</f>
        <v>12048.75</v>
      </c>
      <c r="R27" s="175">
        <f t="shared" si="4"/>
        <v>12100</v>
      </c>
      <c r="S27" s="174">
        <f t="shared" si="5"/>
        <v>24148.75</v>
      </c>
      <c r="T27" s="26">
        <v>24.0</v>
      </c>
      <c r="U27" s="93" t="s">
        <v>82</v>
      </c>
      <c r="V27" s="12"/>
      <c r="W27" s="12"/>
      <c r="X27" s="12"/>
      <c r="Y27" s="12"/>
      <c r="Z27" s="12"/>
    </row>
    <row r="28">
      <c r="A28" s="26">
        <v>25.0</v>
      </c>
      <c r="B28" s="26">
        <v>1.61</v>
      </c>
      <c r="C28" s="26">
        <f t="shared" si="1"/>
        <v>0.4025</v>
      </c>
      <c r="D28" s="26">
        <f t="shared" si="2"/>
        <v>2.0125</v>
      </c>
      <c r="E28" s="26">
        <v>0.24</v>
      </c>
      <c r="F28" s="12"/>
      <c r="G28" s="12"/>
      <c r="H28" s="12"/>
      <c r="I28" s="12"/>
      <c r="J28" s="12"/>
      <c r="K28" s="12"/>
      <c r="L28" s="174">
        <f>E28*Prices!B$2</f>
        <v>26400</v>
      </c>
      <c r="M28" s="174">
        <f>F28*Prices!C$2</f>
        <v>0</v>
      </c>
      <c r="N28" s="174">
        <f>G28*Prices!D$2</f>
        <v>0</v>
      </c>
      <c r="O28" s="174">
        <f>H28*Prices!E$2</f>
        <v>0</v>
      </c>
      <c r="P28" s="174">
        <f t="shared" si="3"/>
        <v>0</v>
      </c>
      <c r="Q28" s="174">
        <f>D28*Prices!A$2</f>
        <v>35923.125</v>
      </c>
      <c r="R28" s="175">
        <f t="shared" si="4"/>
        <v>26400</v>
      </c>
      <c r="S28" s="174">
        <f t="shared" si="5"/>
        <v>62323.125</v>
      </c>
      <c r="T28" s="26">
        <v>25.0</v>
      </c>
      <c r="U28" s="26" t="s">
        <v>82</v>
      </c>
      <c r="V28" s="12"/>
      <c r="W28" s="12"/>
      <c r="X28" s="12"/>
      <c r="Y28" s="12"/>
      <c r="Z28" s="12"/>
    </row>
    <row r="29">
      <c r="A29" s="26">
        <v>26.0</v>
      </c>
      <c r="B29" s="26">
        <v>1.25</v>
      </c>
      <c r="C29" s="26">
        <f t="shared" si="1"/>
        <v>0.3125</v>
      </c>
      <c r="D29" s="26">
        <f t="shared" si="2"/>
        <v>1.5625</v>
      </c>
      <c r="E29" s="26">
        <v>0.2</v>
      </c>
      <c r="F29" s="12"/>
      <c r="G29" s="12"/>
      <c r="H29" s="12"/>
      <c r="I29" s="12"/>
      <c r="J29" s="12"/>
      <c r="K29" s="12"/>
      <c r="L29" s="174">
        <f>E29*Prices!B$2</f>
        <v>22000</v>
      </c>
      <c r="M29" s="174">
        <f>F29*Prices!C$2</f>
        <v>0</v>
      </c>
      <c r="N29" s="174">
        <f>G29*Prices!D$2</f>
        <v>0</v>
      </c>
      <c r="O29" s="174">
        <f>H29*Prices!E$2</f>
        <v>0</v>
      </c>
      <c r="P29" s="174">
        <f t="shared" si="3"/>
        <v>0</v>
      </c>
      <c r="Q29" s="174">
        <f>D29*Prices!A$2</f>
        <v>27890.625</v>
      </c>
      <c r="R29" s="175">
        <f t="shared" si="4"/>
        <v>22000</v>
      </c>
      <c r="S29" s="174">
        <f t="shared" si="5"/>
        <v>49890.625</v>
      </c>
      <c r="T29" s="26">
        <v>26.0</v>
      </c>
      <c r="U29" s="26" t="s">
        <v>82</v>
      </c>
      <c r="V29" s="12"/>
      <c r="W29" s="12"/>
      <c r="X29" s="12"/>
      <c r="Y29" s="12"/>
      <c r="Z29" s="12"/>
    </row>
    <row r="30">
      <c r="A30" s="26">
        <v>27.0</v>
      </c>
      <c r="B30" s="26">
        <v>1.3</v>
      </c>
      <c r="C30" s="26">
        <f t="shared" si="1"/>
        <v>0.325</v>
      </c>
      <c r="D30" s="26">
        <f t="shared" si="2"/>
        <v>1.625</v>
      </c>
      <c r="E30" s="26">
        <v>0.19</v>
      </c>
      <c r="F30" s="12"/>
      <c r="G30" s="12"/>
      <c r="H30" s="12"/>
      <c r="I30" s="12"/>
      <c r="J30" s="12"/>
      <c r="K30" s="12"/>
      <c r="L30" s="174">
        <f>E30*Prices!B$2</f>
        <v>20900</v>
      </c>
      <c r="M30" s="174">
        <f>F30*Prices!C$2</f>
        <v>0</v>
      </c>
      <c r="N30" s="174">
        <f>G30*Prices!D$2</f>
        <v>0</v>
      </c>
      <c r="O30" s="174">
        <f>H30*Prices!E$2</f>
        <v>0</v>
      </c>
      <c r="P30" s="174">
        <f t="shared" si="3"/>
        <v>0</v>
      </c>
      <c r="Q30" s="174">
        <f>D30*Prices!A$2</f>
        <v>29006.25</v>
      </c>
      <c r="R30" s="175">
        <f t="shared" si="4"/>
        <v>20900</v>
      </c>
      <c r="S30" s="174">
        <f t="shared" si="5"/>
        <v>49906.25</v>
      </c>
      <c r="T30" s="26">
        <v>27.0</v>
      </c>
      <c r="U30" s="93" t="s">
        <v>82</v>
      </c>
      <c r="V30" s="12"/>
      <c r="W30" s="12"/>
      <c r="X30" s="12"/>
      <c r="Y30" s="12"/>
      <c r="Z30" s="12"/>
    </row>
    <row r="31">
      <c r="A31" s="26">
        <v>28.0</v>
      </c>
      <c r="B31" s="26">
        <v>1.09</v>
      </c>
      <c r="C31" s="26">
        <f t="shared" si="1"/>
        <v>0.2725</v>
      </c>
      <c r="D31" s="26">
        <f t="shared" si="2"/>
        <v>1.3625</v>
      </c>
      <c r="E31" s="26">
        <v>0.21</v>
      </c>
      <c r="F31" s="12"/>
      <c r="G31" s="12"/>
      <c r="H31" s="12"/>
      <c r="I31" s="12"/>
      <c r="J31" s="12"/>
      <c r="K31" s="12"/>
      <c r="L31" s="174">
        <f>E31*Prices!B$2</f>
        <v>23100</v>
      </c>
      <c r="M31" s="174">
        <f>F31*Prices!C$2</f>
        <v>0</v>
      </c>
      <c r="N31" s="174">
        <f>G31*Prices!D$2</f>
        <v>0</v>
      </c>
      <c r="O31" s="174">
        <f>H31*Prices!E$2</f>
        <v>0</v>
      </c>
      <c r="P31" s="174">
        <f t="shared" si="3"/>
        <v>0</v>
      </c>
      <c r="Q31" s="174">
        <f>D31*Prices!A$2</f>
        <v>24320.625</v>
      </c>
      <c r="R31" s="175">
        <f t="shared" si="4"/>
        <v>23100</v>
      </c>
      <c r="S31" s="174">
        <f t="shared" si="5"/>
        <v>47420.625</v>
      </c>
      <c r="T31" s="26">
        <v>28.0</v>
      </c>
      <c r="U31" s="26" t="s">
        <v>80</v>
      </c>
      <c r="V31" s="12" t="s">
        <v>81</v>
      </c>
      <c r="W31" s="12"/>
      <c r="X31" s="12"/>
      <c r="Y31" s="12"/>
      <c r="Z31" s="12"/>
    </row>
    <row r="32">
      <c r="A32" s="26">
        <v>29.0</v>
      </c>
      <c r="B32" s="26">
        <v>1.15</v>
      </c>
      <c r="C32" s="26">
        <f t="shared" si="1"/>
        <v>0.2875</v>
      </c>
      <c r="D32" s="26">
        <f t="shared" si="2"/>
        <v>1.4375</v>
      </c>
      <c r="E32" s="26">
        <v>0.17</v>
      </c>
      <c r="F32" s="12"/>
      <c r="G32" s="12"/>
      <c r="H32" s="12"/>
      <c r="I32" s="12"/>
      <c r="J32" s="12"/>
      <c r="K32" s="12"/>
      <c r="L32" s="174">
        <f>E32*Prices!B$2</f>
        <v>18700</v>
      </c>
      <c r="M32" s="174">
        <f>F32*Prices!C$2</f>
        <v>0</v>
      </c>
      <c r="N32" s="174">
        <f>G32*Prices!D$2</f>
        <v>0</v>
      </c>
      <c r="O32" s="174">
        <f>H32*Prices!E$2</f>
        <v>0</v>
      </c>
      <c r="P32" s="174">
        <f t="shared" si="3"/>
        <v>0</v>
      </c>
      <c r="Q32" s="174">
        <f>D32*Prices!A$2</f>
        <v>25659.375</v>
      </c>
      <c r="R32" s="175">
        <f t="shared" si="4"/>
        <v>18700</v>
      </c>
      <c r="S32" s="174">
        <f t="shared" si="5"/>
        <v>44359.375</v>
      </c>
      <c r="T32" s="26">
        <v>29.0</v>
      </c>
      <c r="U32" s="26" t="s">
        <v>80</v>
      </c>
      <c r="V32" s="12" t="s">
        <v>81</v>
      </c>
      <c r="W32" s="12"/>
      <c r="X32" s="12"/>
      <c r="Y32" s="12"/>
      <c r="Z32" s="12"/>
    </row>
    <row r="33">
      <c r="A33" s="26">
        <v>30.0</v>
      </c>
      <c r="B33" s="26">
        <v>15.85</v>
      </c>
      <c r="C33" s="26">
        <f t="shared" si="1"/>
        <v>3.9625</v>
      </c>
      <c r="D33" s="26">
        <f t="shared" si="2"/>
        <v>19.8125</v>
      </c>
      <c r="E33" s="26">
        <v>2.9</v>
      </c>
      <c r="F33" s="12"/>
      <c r="G33" s="12"/>
      <c r="H33" s="12"/>
      <c r="I33" s="12"/>
      <c r="J33" s="12"/>
      <c r="K33" s="12"/>
      <c r="L33" s="174">
        <f>E33*Prices!B$2</f>
        <v>319000</v>
      </c>
      <c r="M33" s="174">
        <f>F33*Prices!C$2</f>
        <v>0</v>
      </c>
      <c r="N33" s="174">
        <f>G33*Prices!D$2</f>
        <v>0</v>
      </c>
      <c r="O33" s="174">
        <f>H33*Prices!E$2</f>
        <v>0</v>
      </c>
      <c r="P33" s="174">
        <f t="shared" si="3"/>
        <v>0</v>
      </c>
      <c r="Q33" s="174">
        <f>D33*Prices!A$2</f>
        <v>353653.125</v>
      </c>
      <c r="R33" s="175">
        <f t="shared" si="4"/>
        <v>319000</v>
      </c>
      <c r="S33" s="174">
        <f t="shared" si="5"/>
        <v>672653.125</v>
      </c>
      <c r="T33" s="26">
        <v>30.0</v>
      </c>
      <c r="U33" s="26" t="s">
        <v>82</v>
      </c>
      <c r="V33" s="12"/>
      <c r="W33" s="12"/>
      <c r="X33" s="12"/>
      <c r="Y33" s="12"/>
      <c r="Z33" s="12"/>
    </row>
    <row r="34">
      <c r="A34" s="26">
        <v>31.0</v>
      </c>
      <c r="B34" s="26">
        <v>8.64</v>
      </c>
      <c r="C34" s="26">
        <f t="shared" si="1"/>
        <v>2.16</v>
      </c>
      <c r="D34" s="26">
        <f t="shared" si="2"/>
        <v>10.8</v>
      </c>
      <c r="E34" s="26">
        <v>1.67</v>
      </c>
      <c r="F34" s="12"/>
      <c r="G34" s="12"/>
      <c r="H34" s="12"/>
      <c r="I34" s="12"/>
      <c r="J34" s="12"/>
      <c r="K34" s="12"/>
      <c r="L34" s="174">
        <f>E34*Prices!B$2</f>
        <v>183700</v>
      </c>
      <c r="M34" s="174">
        <f>F34*Prices!C$2</f>
        <v>0</v>
      </c>
      <c r="N34" s="174">
        <f>G34*Prices!D$2</f>
        <v>0</v>
      </c>
      <c r="O34" s="174">
        <f>H34*Prices!E$2</f>
        <v>0</v>
      </c>
      <c r="P34" s="174">
        <f t="shared" si="3"/>
        <v>0</v>
      </c>
      <c r="Q34" s="174">
        <f>D34*Prices!A$2</f>
        <v>192780</v>
      </c>
      <c r="R34" s="175">
        <f t="shared" si="4"/>
        <v>183700</v>
      </c>
      <c r="S34" s="174">
        <f t="shared" si="5"/>
        <v>376480</v>
      </c>
      <c r="T34" s="26">
        <v>31.0</v>
      </c>
      <c r="U34" s="26" t="s">
        <v>80</v>
      </c>
      <c r="V34" s="12" t="s">
        <v>81</v>
      </c>
      <c r="W34" s="12"/>
      <c r="X34" s="12"/>
      <c r="Y34" s="12"/>
      <c r="Z34" s="12"/>
    </row>
    <row r="35">
      <c r="A35" s="26">
        <v>32.0</v>
      </c>
      <c r="B35" s="26">
        <v>16.59</v>
      </c>
      <c r="C35" s="26">
        <f t="shared" si="1"/>
        <v>4.1475</v>
      </c>
      <c r="D35" s="26">
        <f t="shared" si="2"/>
        <v>20.7375</v>
      </c>
      <c r="E35" s="26">
        <v>3.86</v>
      </c>
      <c r="F35" s="12"/>
      <c r="G35" s="12"/>
      <c r="H35" s="12"/>
      <c r="I35" s="12"/>
      <c r="J35" s="12"/>
      <c r="K35" s="12"/>
      <c r="L35" s="174">
        <f>E35*Prices!B$2</f>
        <v>424600</v>
      </c>
      <c r="M35" s="174">
        <f>F35*Prices!C$2</f>
        <v>0</v>
      </c>
      <c r="N35" s="174">
        <f>G35*Prices!D$2</f>
        <v>0</v>
      </c>
      <c r="O35" s="174">
        <f>H35*Prices!E$2</f>
        <v>0</v>
      </c>
      <c r="P35" s="174">
        <f t="shared" si="3"/>
        <v>0</v>
      </c>
      <c r="Q35" s="174">
        <f>D35*Prices!A$2</f>
        <v>370164.375</v>
      </c>
      <c r="R35" s="175">
        <f t="shared" si="4"/>
        <v>424600</v>
      </c>
      <c r="S35" s="174">
        <f t="shared" si="5"/>
        <v>794764.375</v>
      </c>
      <c r="T35" s="26">
        <v>32.0</v>
      </c>
      <c r="U35" s="26" t="s">
        <v>82</v>
      </c>
      <c r="V35" s="12"/>
      <c r="W35" s="12"/>
      <c r="X35" s="12"/>
      <c r="Y35" s="12"/>
      <c r="Z35" s="12"/>
    </row>
    <row r="36">
      <c r="A36" s="26">
        <v>33.0</v>
      </c>
      <c r="B36" s="26">
        <v>4.35</v>
      </c>
      <c r="C36" s="26">
        <f t="shared" si="1"/>
        <v>1.0875</v>
      </c>
      <c r="D36" s="26">
        <f t="shared" si="2"/>
        <v>5.4375</v>
      </c>
      <c r="E36" s="26">
        <v>1.18</v>
      </c>
      <c r="F36" s="12"/>
      <c r="G36" s="12"/>
      <c r="H36" s="12"/>
      <c r="I36" s="12"/>
      <c r="J36" s="12"/>
      <c r="K36" s="12"/>
      <c r="L36" s="174">
        <f>E36*Prices!B$2</f>
        <v>129800</v>
      </c>
      <c r="M36" s="174">
        <f>F36*Prices!C$2</f>
        <v>0</v>
      </c>
      <c r="N36" s="174">
        <f>G36*Prices!D$2</f>
        <v>0</v>
      </c>
      <c r="O36" s="174">
        <f>H36*Prices!E$2</f>
        <v>0</v>
      </c>
      <c r="P36" s="174">
        <f t="shared" si="3"/>
        <v>0</v>
      </c>
      <c r="Q36" s="174">
        <f>D36*Prices!A$2</f>
        <v>97059.375</v>
      </c>
      <c r="R36" s="175">
        <f t="shared" si="4"/>
        <v>129800</v>
      </c>
      <c r="S36" s="174">
        <f t="shared" si="5"/>
        <v>226859.375</v>
      </c>
      <c r="T36" s="26">
        <v>33.0</v>
      </c>
      <c r="U36" s="26" t="s">
        <v>82</v>
      </c>
      <c r="V36" s="12"/>
      <c r="W36" s="12"/>
      <c r="X36" s="12"/>
      <c r="Y36" s="12"/>
      <c r="Z36" s="12"/>
    </row>
    <row r="37">
      <c r="A37" s="26">
        <v>34.0</v>
      </c>
      <c r="B37" s="26">
        <v>16.42</v>
      </c>
      <c r="C37" s="26">
        <f t="shared" si="1"/>
        <v>4.105</v>
      </c>
      <c r="D37" s="26">
        <f t="shared" si="2"/>
        <v>20.525</v>
      </c>
      <c r="E37" s="26">
        <v>4.02</v>
      </c>
      <c r="F37" s="12"/>
      <c r="G37" s="12"/>
      <c r="H37" s="12"/>
      <c r="I37" s="12"/>
      <c r="J37" s="12">
        <v>3.7</v>
      </c>
      <c r="K37" s="12"/>
      <c r="L37" s="174">
        <f>E37*Prices!B$2</f>
        <v>442200</v>
      </c>
      <c r="M37" s="174">
        <f>F37*Prices!C$2</f>
        <v>0</v>
      </c>
      <c r="N37" s="174">
        <f>G37*Prices!D$2</f>
        <v>0</v>
      </c>
      <c r="O37" s="174">
        <f>H37*Prices!E$2</f>
        <v>0</v>
      </c>
      <c r="P37" s="174">
        <f t="shared" ref="P37:P38" si="6">I37*2000+J37*5000+K37*650</f>
        <v>18500</v>
      </c>
      <c r="Q37" s="174">
        <f>D37*Prices!A$2</f>
        <v>366371.25</v>
      </c>
      <c r="R37" s="175">
        <f t="shared" si="4"/>
        <v>442200</v>
      </c>
      <c r="S37" s="174">
        <f t="shared" si="5"/>
        <v>827071.25</v>
      </c>
      <c r="T37" s="26">
        <v>34.0</v>
      </c>
      <c r="U37" s="26" t="s">
        <v>80</v>
      </c>
      <c r="V37" s="12" t="s">
        <v>81</v>
      </c>
      <c r="W37" s="12"/>
      <c r="X37" s="12"/>
      <c r="Y37" s="12"/>
      <c r="Z37" s="12"/>
    </row>
    <row r="38">
      <c r="A38" s="26">
        <v>35.0</v>
      </c>
      <c r="B38" s="26">
        <v>6.68</v>
      </c>
      <c r="C38" s="26">
        <f t="shared" si="1"/>
        <v>1.67</v>
      </c>
      <c r="D38" s="26">
        <f t="shared" si="2"/>
        <v>8.35</v>
      </c>
      <c r="E38" s="26">
        <v>2.42</v>
      </c>
      <c r="F38" s="12"/>
      <c r="G38" s="12"/>
      <c r="H38" s="12"/>
      <c r="I38" s="12"/>
      <c r="J38" s="12">
        <v>5.18</v>
      </c>
      <c r="K38" s="12"/>
      <c r="L38" s="174">
        <f>E38*Prices!B$2</f>
        <v>266200</v>
      </c>
      <c r="M38" s="174">
        <f>F38*Prices!C$2</f>
        <v>0</v>
      </c>
      <c r="N38" s="174">
        <f>G38*Prices!D$2</f>
        <v>0</v>
      </c>
      <c r="O38" s="174">
        <f>H38*Prices!E$2</f>
        <v>0</v>
      </c>
      <c r="P38" s="174">
        <f t="shared" si="6"/>
        <v>25900</v>
      </c>
      <c r="Q38" s="174">
        <f>D38*Prices!A$2</f>
        <v>149047.5</v>
      </c>
      <c r="R38" s="175">
        <f t="shared" si="4"/>
        <v>266200</v>
      </c>
      <c r="S38" s="174">
        <f t="shared" si="5"/>
        <v>441147.5</v>
      </c>
      <c r="T38" s="26">
        <v>35.0</v>
      </c>
      <c r="U38" s="26" t="s">
        <v>80</v>
      </c>
      <c r="V38" s="12" t="s">
        <v>81</v>
      </c>
      <c r="W38" s="12"/>
      <c r="X38" s="12"/>
      <c r="Y38" s="12"/>
      <c r="Z38" s="12"/>
    </row>
    <row r="39">
      <c r="A39" s="26">
        <v>36.0</v>
      </c>
      <c r="B39" s="26">
        <v>2.15</v>
      </c>
      <c r="C39" s="26">
        <f t="shared" si="1"/>
        <v>0.5375</v>
      </c>
      <c r="D39" s="26">
        <f t="shared" si="2"/>
        <v>2.6875</v>
      </c>
      <c r="E39" s="26">
        <v>0.32</v>
      </c>
      <c r="F39" s="12"/>
      <c r="G39" s="12"/>
      <c r="H39" s="12"/>
      <c r="I39" s="12"/>
      <c r="J39" s="12"/>
      <c r="K39" s="12"/>
      <c r="L39" s="174">
        <f>E39*Prices!B$2</f>
        <v>35200</v>
      </c>
      <c r="M39" s="174">
        <f>F39*Prices!C$2</f>
        <v>0</v>
      </c>
      <c r="N39" s="174">
        <f>G39*Prices!D$2</f>
        <v>0</v>
      </c>
      <c r="O39" s="174">
        <f>H39*Prices!E$2</f>
        <v>0</v>
      </c>
      <c r="P39" s="174">
        <f t="shared" ref="P39:P41" si="7">I39*2000+J39*4000+K39*650</f>
        <v>0</v>
      </c>
      <c r="Q39" s="174">
        <f>D39*Prices!A$2</f>
        <v>47971.875</v>
      </c>
      <c r="R39" s="175">
        <f t="shared" si="4"/>
        <v>35200</v>
      </c>
      <c r="S39" s="174">
        <f t="shared" si="5"/>
        <v>83171.875</v>
      </c>
      <c r="T39" s="26">
        <v>36.0</v>
      </c>
      <c r="U39" s="26" t="s">
        <v>82</v>
      </c>
      <c r="V39" s="12"/>
      <c r="W39" s="12"/>
      <c r="X39" s="12"/>
      <c r="Y39" s="12"/>
      <c r="Z39" s="12"/>
    </row>
    <row r="40">
      <c r="A40" s="26">
        <v>37.0</v>
      </c>
      <c r="B40" s="26">
        <v>19.89</v>
      </c>
      <c r="C40" s="26">
        <f t="shared" si="1"/>
        <v>4.9725</v>
      </c>
      <c r="D40" s="26">
        <f t="shared" si="2"/>
        <v>24.8625</v>
      </c>
      <c r="E40" s="26">
        <v>4.34</v>
      </c>
      <c r="F40" s="12"/>
      <c r="G40" s="12"/>
      <c r="H40" s="12"/>
      <c r="I40" s="12"/>
      <c r="J40" s="12"/>
      <c r="K40" s="12"/>
      <c r="L40" s="174">
        <f>E40*Prices!B$2</f>
        <v>477400</v>
      </c>
      <c r="M40" s="174">
        <f>F40*Prices!C$2</f>
        <v>0</v>
      </c>
      <c r="N40" s="174">
        <f>G40*Prices!D$2</f>
        <v>0</v>
      </c>
      <c r="O40" s="174">
        <f>H40*Prices!E$2</f>
        <v>0</v>
      </c>
      <c r="P40" s="174">
        <f t="shared" si="7"/>
        <v>0</v>
      </c>
      <c r="Q40" s="174">
        <f>D40*Prices!A$2</f>
        <v>443795.625</v>
      </c>
      <c r="R40" s="175">
        <f t="shared" si="4"/>
        <v>477400</v>
      </c>
      <c r="S40" s="174">
        <f t="shared" si="5"/>
        <v>921195.625</v>
      </c>
      <c r="T40" s="26">
        <v>37.0</v>
      </c>
      <c r="U40" s="26" t="s">
        <v>82</v>
      </c>
      <c r="V40" s="12"/>
      <c r="W40" s="12"/>
      <c r="X40" s="12"/>
      <c r="Y40" s="12"/>
      <c r="Z40" s="12"/>
    </row>
    <row r="41">
      <c r="A41" s="26">
        <v>38.0</v>
      </c>
      <c r="B41" s="26">
        <v>7.56</v>
      </c>
      <c r="C41" s="26">
        <f t="shared" si="1"/>
        <v>1.89</v>
      </c>
      <c r="D41" s="26">
        <f t="shared" si="2"/>
        <v>9.45</v>
      </c>
      <c r="E41" s="26">
        <v>1.77</v>
      </c>
      <c r="F41" s="12"/>
      <c r="G41" s="12"/>
      <c r="H41" s="12"/>
      <c r="I41" s="12"/>
      <c r="J41" s="12"/>
      <c r="K41" s="12"/>
      <c r="L41" s="174">
        <f>E41*Prices!B$2</f>
        <v>194700</v>
      </c>
      <c r="M41" s="174">
        <f>F41*Prices!C$2</f>
        <v>0</v>
      </c>
      <c r="N41" s="174">
        <f>G41*Prices!D$2</f>
        <v>0</v>
      </c>
      <c r="O41" s="174">
        <f>H41*Prices!E$2</f>
        <v>0</v>
      </c>
      <c r="P41" s="174">
        <f t="shared" si="7"/>
        <v>0</v>
      </c>
      <c r="Q41" s="174">
        <f>D41*Prices!A$2</f>
        <v>168682.5</v>
      </c>
      <c r="R41" s="175">
        <f t="shared" si="4"/>
        <v>194700</v>
      </c>
      <c r="S41" s="174">
        <f t="shared" si="5"/>
        <v>363382.5</v>
      </c>
      <c r="T41" s="26">
        <v>38.0</v>
      </c>
      <c r="U41" s="26" t="s">
        <v>82</v>
      </c>
      <c r="V41" s="12"/>
      <c r="W41" s="12"/>
      <c r="X41" s="12"/>
      <c r="Y41" s="12"/>
      <c r="Z41" s="12"/>
    </row>
    <row r="42">
      <c r="A42" s="26">
        <v>39.0</v>
      </c>
      <c r="B42" s="26">
        <v>17.24</v>
      </c>
      <c r="C42" s="26">
        <f t="shared" si="1"/>
        <v>4.31</v>
      </c>
      <c r="D42" s="26">
        <f t="shared" si="2"/>
        <v>21.55</v>
      </c>
      <c r="E42" s="26">
        <v>4.2</v>
      </c>
      <c r="F42" s="12"/>
      <c r="G42" s="12"/>
      <c r="H42" s="12"/>
      <c r="I42" s="12"/>
      <c r="J42" s="12">
        <v>4.219</v>
      </c>
      <c r="K42" s="12"/>
      <c r="L42" s="174">
        <f>E42*Prices!B$2</f>
        <v>462000</v>
      </c>
      <c r="M42" s="174">
        <f>F42*Prices!C$2</f>
        <v>0</v>
      </c>
      <c r="N42" s="174">
        <f>G42*Prices!D$2</f>
        <v>0</v>
      </c>
      <c r="O42" s="174">
        <f>H42*Prices!E$2</f>
        <v>0</v>
      </c>
      <c r="P42" s="174">
        <f t="shared" ref="P42:P43" si="8">I42*2000+J42*5000+K42*650</f>
        <v>21095</v>
      </c>
      <c r="Q42" s="174">
        <f>D42*Prices!A$2</f>
        <v>384667.5</v>
      </c>
      <c r="R42" s="175">
        <f t="shared" si="4"/>
        <v>462000</v>
      </c>
      <c r="S42" s="174">
        <f t="shared" si="5"/>
        <v>867762.5</v>
      </c>
      <c r="T42" s="26">
        <v>39.0</v>
      </c>
      <c r="U42" s="26" t="s">
        <v>80</v>
      </c>
      <c r="V42" s="12" t="s">
        <v>81</v>
      </c>
      <c r="W42" s="12"/>
      <c r="X42" s="12"/>
      <c r="Y42" s="12"/>
      <c r="Z42" s="12"/>
    </row>
    <row r="43">
      <c r="A43" s="26">
        <v>40.0</v>
      </c>
      <c r="B43" s="26">
        <v>5.94</v>
      </c>
      <c r="C43" s="26">
        <f t="shared" si="1"/>
        <v>1.485</v>
      </c>
      <c r="D43" s="26">
        <f t="shared" si="2"/>
        <v>7.425</v>
      </c>
      <c r="E43" s="26">
        <v>1.12</v>
      </c>
      <c r="F43" s="12"/>
      <c r="G43" s="12"/>
      <c r="H43" s="12"/>
      <c r="I43" s="12"/>
      <c r="J43" s="12">
        <v>3.36</v>
      </c>
      <c r="K43" s="12"/>
      <c r="L43" s="174">
        <f>E43*Prices!B$2</f>
        <v>123200</v>
      </c>
      <c r="M43" s="174">
        <f>F43*Prices!C$2</f>
        <v>0</v>
      </c>
      <c r="N43" s="174">
        <f>G43*Prices!D$2</f>
        <v>0</v>
      </c>
      <c r="O43" s="174">
        <f>H43*Prices!E$2</f>
        <v>0</v>
      </c>
      <c r="P43" s="174">
        <f t="shared" si="8"/>
        <v>16800</v>
      </c>
      <c r="Q43" s="174">
        <f>D43*Prices!A$2</f>
        <v>132536.25</v>
      </c>
      <c r="R43" s="175">
        <f t="shared" si="4"/>
        <v>123200</v>
      </c>
      <c r="S43" s="174">
        <f t="shared" si="5"/>
        <v>272536.25</v>
      </c>
      <c r="T43" s="26">
        <v>40.0</v>
      </c>
      <c r="U43" s="26" t="s">
        <v>80</v>
      </c>
      <c r="V43" s="12" t="s">
        <v>81</v>
      </c>
      <c r="W43" s="12"/>
      <c r="X43" s="12"/>
      <c r="Y43" s="12"/>
      <c r="Z43" s="12"/>
    </row>
    <row r="44" ht="15.0" customHeight="1">
      <c r="A44" s="26">
        <v>41.0</v>
      </c>
      <c r="B44" s="26">
        <v>22.63</v>
      </c>
      <c r="C44" s="26">
        <f t="shared" si="1"/>
        <v>5.6575</v>
      </c>
      <c r="D44" s="26">
        <f t="shared" si="2"/>
        <v>28.2875</v>
      </c>
      <c r="E44" s="26">
        <v>3.97</v>
      </c>
      <c r="F44" s="12"/>
      <c r="G44" s="12"/>
      <c r="H44" s="12"/>
      <c r="I44" s="12"/>
      <c r="J44" s="12"/>
      <c r="K44" s="12">
        <v>12.58</v>
      </c>
      <c r="L44" s="174">
        <f>E44*Prices!B$2</f>
        <v>436700</v>
      </c>
      <c r="M44" s="174">
        <f>F44*Prices!C$2</f>
        <v>0</v>
      </c>
      <c r="N44" s="174">
        <f>G44*Prices!D$2</f>
        <v>0</v>
      </c>
      <c r="O44" s="174">
        <f>H44*Prices!E$2</f>
        <v>0</v>
      </c>
      <c r="P44" s="174">
        <f t="shared" ref="P44:P45" si="9">I44*2000+J44*4000+K44*2000</f>
        <v>25160</v>
      </c>
      <c r="Q44" s="174">
        <f>D44*Prices!A$2</f>
        <v>504931.875</v>
      </c>
      <c r="R44" s="175">
        <f t="shared" si="4"/>
        <v>436700</v>
      </c>
      <c r="S44" s="174">
        <f t="shared" si="5"/>
        <v>966791.875</v>
      </c>
      <c r="T44" s="26">
        <v>41.0</v>
      </c>
      <c r="U44" s="26" t="s">
        <v>80</v>
      </c>
      <c r="V44" s="12" t="s">
        <v>81</v>
      </c>
      <c r="W44" s="12"/>
      <c r="X44" s="12"/>
      <c r="Y44" s="12"/>
      <c r="Z44" s="12"/>
    </row>
    <row r="45" ht="15.0" customHeight="1">
      <c r="A45" s="26">
        <v>42.0</v>
      </c>
      <c r="B45" s="26">
        <v>9.19</v>
      </c>
      <c r="C45" s="26">
        <f t="shared" si="1"/>
        <v>2.2975</v>
      </c>
      <c r="D45" s="26">
        <f t="shared" si="2"/>
        <v>11.4875</v>
      </c>
      <c r="E45" s="26">
        <v>1.44</v>
      </c>
      <c r="F45" s="12"/>
      <c r="G45" s="12"/>
      <c r="H45" s="12"/>
      <c r="I45" s="12"/>
      <c r="J45" s="12"/>
      <c r="K45" s="12">
        <v>5.52</v>
      </c>
      <c r="L45" s="174">
        <f>E45*Prices!B$2</f>
        <v>158400</v>
      </c>
      <c r="M45" s="174">
        <f>F45*Prices!C$2</f>
        <v>0</v>
      </c>
      <c r="N45" s="174">
        <f>G45*Prices!D$2</f>
        <v>0</v>
      </c>
      <c r="O45" s="174">
        <f>H45*Prices!E$2</f>
        <v>0</v>
      </c>
      <c r="P45" s="174">
        <f t="shared" si="9"/>
        <v>11040</v>
      </c>
      <c r="Q45" s="174">
        <f>D45*Prices!A$2</f>
        <v>205051.875</v>
      </c>
      <c r="R45" s="175">
        <f t="shared" si="4"/>
        <v>158400</v>
      </c>
      <c r="S45" s="174">
        <f t="shared" si="5"/>
        <v>374491.875</v>
      </c>
      <c r="T45" s="26">
        <v>42.0</v>
      </c>
      <c r="U45" s="26" t="s">
        <v>80</v>
      </c>
      <c r="V45" s="12" t="s">
        <v>81</v>
      </c>
      <c r="W45" s="12"/>
      <c r="X45" s="12"/>
      <c r="Y45" s="12"/>
      <c r="Z45" s="12"/>
    </row>
    <row r="46" ht="15.0" customHeight="1">
      <c r="A46" s="26">
        <v>43.0</v>
      </c>
      <c r="B46" s="26">
        <v>31.08</v>
      </c>
      <c r="C46" s="26">
        <f t="shared" si="1"/>
        <v>7.77</v>
      </c>
      <c r="D46" s="26">
        <f t="shared" si="2"/>
        <v>38.85</v>
      </c>
      <c r="E46" s="26">
        <v>4.15</v>
      </c>
      <c r="F46" s="12"/>
      <c r="G46" s="12"/>
      <c r="H46" s="12"/>
      <c r="I46" s="12"/>
      <c r="J46" s="12"/>
      <c r="K46" s="12"/>
      <c r="L46" s="174">
        <f>E46*Prices!B$2</f>
        <v>456500</v>
      </c>
      <c r="M46" s="174">
        <f>F46*Prices!C$2</f>
        <v>0</v>
      </c>
      <c r="N46" s="174">
        <f>G46*Prices!D$2</f>
        <v>0</v>
      </c>
      <c r="O46" s="174">
        <f>H46*Prices!E$2</f>
        <v>0</v>
      </c>
      <c r="P46" s="174">
        <f t="shared" ref="P46:P55" si="10">I46*2000+J46*4000+K46*300</f>
        <v>0</v>
      </c>
      <c r="Q46" s="174">
        <f>D46*Prices!A$2</f>
        <v>693472.5</v>
      </c>
      <c r="R46" s="175">
        <f t="shared" si="4"/>
        <v>456500</v>
      </c>
      <c r="S46" s="174">
        <f t="shared" si="5"/>
        <v>1149972.5</v>
      </c>
      <c r="T46" s="26">
        <v>43.0</v>
      </c>
      <c r="U46" s="26" t="s">
        <v>80</v>
      </c>
      <c r="V46" s="12" t="s">
        <v>81</v>
      </c>
      <c r="W46" s="12"/>
      <c r="X46" s="12"/>
      <c r="Y46" s="12"/>
      <c r="Z46" s="12"/>
    </row>
    <row r="47" ht="15.0" customHeight="1">
      <c r="A47" s="26">
        <v>44.0</v>
      </c>
      <c r="B47" s="26">
        <v>9.252</v>
      </c>
      <c r="C47" s="26">
        <f t="shared" si="1"/>
        <v>2.313</v>
      </c>
      <c r="D47" s="26">
        <f t="shared" si="2"/>
        <v>11.565</v>
      </c>
      <c r="E47" s="26">
        <v>1.24</v>
      </c>
      <c r="F47" s="12"/>
      <c r="G47" s="12"/>
      <c r="H47" s="12"/>
      <c r="I47" s="12"/>
      <c r="J47" s="12"/>
      <c r="K47" s="12"/>
      <c r="L47" s="174">
        <f>E47*Prices!B$2</f>
        <v>136400</v>
      </c>
      <c r="M47" s="174">
        <f>F47*Prices!C$2</f>
        <v>0</v>
      </c>
      <c r="N47" s="174">
        <f>G47*Prices!D$2</f>
        <v>0</v>
      </c>
      <c r="O47" s="174">
        <f>H47*Prices!E$2</f>
        <v>0</v>
      </c>
      <c r="P47" s="174">
        <f t="shared" si="10"/>
        <v>0</v>
      </c>
      <c r="Q47" s="174">
        <f>D47*Prices!A$2</f>
        <v>206435.25</v>
      </c>
      <c r="R47" s="175">
        <f t="shared" si="4"/>
        <v>136400</v>
      </c>
      <c r="S47" s="174">
        <f t="shared" si="5"/>
        <v>342835.25</v>
      </c>
      <c r="T47" s="26">
        <v>44.0</v>
      </c>
      <c r="U47" s="26" t="s">
        <v>80</v>
      </c>
      <c r="V47" s="12" t="s">
        <v>81</v>
      </c>
      <c r="W47" s="12"/>
      <c r="X47" s="12"/>
      <c r="Y47" s="12"/>
      <c r="Z47" s="12"/>
    </row>
    <row r="48">
      <c r="A48" s="26">
        <v>45.0</v>
      </c>
      <c r="B48" s="12">
        <v>10.21</v>
      </c>
      <c r="C48" s="12">
        <f t="shared" si="1"/>
        <v>2.5525</v>
      </c>
      <c r="D48" s="12">
        <f t="shared" si="2"/>
        <v>12.7625</v>
      </c>
      <c r="E48" s="12">
        <v>1.33</v>
      </c>
      <c r="F48" s="12"/>
      <c r="G48" s="12"/>
      <c r="H48" s="12"/>
      <c r="I48" s="12"/>
      <c r="J48" s="12"/>
      <c r="K48" s="12">
        <v>9.2</v>
      </c>
      <c r="L48" s="174">
        <f>E48*Prices!B$2</f>
        <v>146300</v>
      </c>
      <c r="M48" s="174">
        <f>F48*Prices!C$2</f>
        <v>0</v>
      </c>
      <c r="N48" s="174">
        <f>G48*Prices!D$2</f>
        <v>0</v>
      </c>
      <c r="O48" s="174">
        <f>H48*Prices!E$2</f>
        <v>0</v>
      </c>
      <c r="P48" s="174">
        <f t="shared" si="10"/>
        <v>2760</v>
      </c>
      <c r="Q48" s="174">
        <f>D48*Prices!A$2</f>
        <v>227810.625</v>
      </c>
      <c r="R48" s="175">
        <f t="shared" si="4"/>
        <v>146300</v>
      </c>
      <c r="S48" s="174">
        <f t="shared" si="5"/>
        <v>376870.625</v>
      </c>
      <c r="T48" s="26">
        <v>45.0</v>
      </c>
      <c r="U48" s="26" t="s">
        <v>80</v>
      </c>
      <c r="V48" s="12" t="s">
        <v>81</v>
      </c>
      <c r="W48" s="12"/>
      <c r="X48" s="12"/>
      <c r="Y48" s="12"/>
      <c r="Z48" s="12"/>
    </row>
    <row r="49">
      <c r="A49" s="26">
        <v>46.0</v>
      </c>
      <c r="B49" s="12">
        <v>5.506</v>
      </c>
      <c r="C49" s="12">
        <f t="shared" si="1"/>
        <v>1.3765</v>
      </c>
      <c r="D49" s="12">
        <f t="shared" si="2"/>
        <v>6.8825</v>
      </c>
      <c r="E49" s="12">
        <v>1.07</v>
      </c>
      <c r="F49" s="12"/>
      <c r="G49" s="12"/>
      <c r="H49" s="12"/>
      <c r="I49" s="12"/>
      <c r="J49" s="12"/>
      <c r="K49" s="12">
        <v>4.15</v>
      </c>
      <c r="L49" s="174">
        <f>E49*Prices!B$2</f>
        <v>117700</v>
      </c>
      <c r="M49" s="174">
        <f>F49*Prices!C$2</f>
        <v>0</v>
      </c>
      <c r="N49" s="174">
        <f>G49*Prices!D$2</f>
        <v>0</v>
      </c>
      <c r="O49" s="174">
        <f>H49*Prices!E$2</f>
        <v>0</v>
      </c>
      <c r="P49" s="174">
        <f t="shared" si="10"/>
        <v>1245</v>
      </c>
      <c r="Q49" s="174">
        <f>D49*Prices!A$2</f>
        <v>122852.625</v>
      </c>
      <c r="R49" s="175">
        <f t="shared" si="4"/>
        <v>117700</v>
      </c>
      <c r="S49" s="174">
        <f t="shared" si="5"/>
        <v>241797.625</v>
      </c>
      <c r="T49" s="26">
        <v>46.0</v>
      </c>
      <c r="U49" s="26" t="s">
        <v>80</v>
      </c>
      <c r="V49" s="12" t="s">
        <v>81</v>
      </c>
      <c r="W49" s="12"/>
      <c r="X49" s="12"/>
      <c r="Y49" s="12"/>
      <c r="Z49" s="12"/>
    </row>
    <row r="50">
      <c r="A50" s="26">
        <v>47.0</v>
      </c>
      <c r="B50" s="12">
        <v>16.02</v>
      </c>
      <c r="C50" s="12">
        <f t="shared" si="1"/>
        <v>4.005</v>
      </c>
      <c r="D50" s="12">
        <f t="shared" si="2"/>
        <v>20.025</v>
      </c>
      <c r="E50" s="12">
        <v>3.54</v>
      </c>
      <c r="F50" s="12"/>
      <c r="G50" s="12"/>
      <c r="H50" s="12"/>
      <c r="I50" s="12"/>
      <c r="J50" s="12"/>
      <c r="K50" s="12"/>
      <c r="L50" s="174">
        <f>E50*Prices!B$2</f>
        <v>389400</v>
      </c>
      <c r="M50" s="174">
        <f>F50*Prices!C$2</f>
        <v>0</v>
      </c>
      <c r="N50" s="174">
        <f>G50*Prices!D$2</f>
        <v>0</v>
      </c>
      <c r="O50" s="174">
        <f>H50*Prices!E$2</f>
        <v>0</v>
      </c>
      <c r="P50" s="174">
        <f t="shared" si="10"/>
        <v>0</v>
      </c>
      <c r="Q50" s="174">
        <f>D50*Prices!A$2</f>
        <v>357446.25</v>
      </c>
      <c r="R50" s="175">
        <f t="shared" si="4"/>
        <v>389400</v>
      </c>
      <c r="S50" s="174">
        <f t="shared" si="5"/>
        <v>746846.25</v>
      </c>
      <c r="T50" s="26">
        <v>47.0</v>
      </c>
      <c r="U50" s="26" t="s">
        <v>80</v>
      </c>
      <c r="V50" s="12" t="s">
        <v>81</v>
      </c>
      <c r="W50" s="12"/>
      <c r="X50" s="12"/>
      <c r="Y50" s="12"/>
      <c r="Z50" s="12"/>
    </row>
    <row r="51">
      <c r="A51" s="26">
        <v>48.0</v>
      </c>
      <c r="B51" s="12">
        <v>5.44</v>
      </c>
      <c r="C51" s="12">
        <f t="shared" si="1"/>
        <v>1.36</v>
      </c>
      <c r="D51" s="12">
        <f t="shared" si="2"/>
        <v>6.8</v>
      </c>
      <c r="E51" s="12">
        <v>0.89</v>
      </c>
      <c r="F51" s="12"/>
      <c r="G51" s="12"/>
      <c r="H51" s="12"/>
      <c r="I51" s="12"/>
      <c r="J51" s="12"/>
      <c r="K51" s="12"/>
      <c r="L51" s="174">
        <f>E51*Prices!B$2</f>
        <v>97900</v>
      </c>
      <c r="M51" s="174">
        <f>F51*Prices!C$2</f>
        <v>0</v>
      </c>
      <c r="N51" s="174">
        <f>G51*Prices!D$2</f>
        <v>0</v>
      </c>
      <c r="O51" s="174">
        <f>H51*Prices!E$2</f>
        <v>0</v>
      </c>
      <c r="P51" s="174">
        <f t="shared" si="10"/>
        <v>0</v>
      </c>
      <c r="Q51" s="174">
        <f>D51*Prices!A$2</f>
        <v>121380</v>
      </c>
      <c r="R51" s="175">
        <f t="shared" si="4"/>
        <v>97900</v>
      </c>
      <c r="S51" s="174">
        <f t="shared" si="5"/>
        <v>219280</v>
      </c>
      <c r="T51" s="26">
        <v>48.0</v>
      </c>
      <c r="U51" s="26" t="s">
        <v>80</v>
      </c>
      <c r="V51" s="12" t="s">
        <v>81</v>
      </c>
      <c r="W51" s="12"/>
      <c r="X51" s="12"/>
      <c r="Y51" s="12"/>
      <c r="Z51" s="12"/>
    </row>
    <row r="52">
      <c r="A52" s="26">
        <v>49.0</v>
      </c>
      <c r="B52" s="12">
        <v>9.298</v>
      </c>
      <c r="C52" s="12">
        <f t="shared" si="1"/>
        <v>2.3245</v>
      </c>
      <c r="D52" s="12">
        <f t="shared" si="2"/>
        <v>11.6225</v>
      </c>
      <c r="E52" s="12">
        <v>1.41</v>
      </c>
      <c r="F52" s="12"/>
      <c r="G52" s="12"/>
      <c r="H52" s="12"/>
      <c r="I52" s="12"/>
      <c r="J52" s="12"/>
      <c r="K52" s="12"/>
      <c r="L52" s="174">
        <f>E52*Prices!B$2</f>
        <v>155100</v>
      </c>
      <c r="M52" s="174">
        <f>F52*Prices!C$2</f>
        <v>0</v>
      </c>
      <c r="N52" s="174">
        <f>G52*Prices!D$2</f>
        <v>0</v>
      </c>
      <c r="O52" s="174">
        <f>H52*Prices!E$2</f>
        <v>0</v>
      </c>
      <c r="P52" s="174">
        <f t="shared" si="10"/>
        <v>0</v>
      </c>
      <c r="Q52" s="174">
        <f>D52*Prices!A$2</f>
        <v>207461.625</v>
      </c>
      <c r="R52" s="175">
        <f t="shared" si="4"/>
        <v>155100</v>
      </c>
      <c r="S52" s="174">
        <f t="shared" si="5"/>
        <v>362561.625</v>
      </c>
      <c r="T52" s="26">
        <v>49.0</v>
      </c>
      <c r="U52" s="26" t="s">
        <v>80</v>
      </c>
      <c r="V52" s="12" t="s">
        <v>81</v>
      </c>
      <c r="W52" s="12"/>
      <c r="X52" s="12"/>
      <c r="Y52" s="12"/>
      <c r="Z52" s="12"/>
    </row>
    <row r="53">
      <c r="A53" s="26">
        <v>50.0</v>
      </c>
      <c r="B53" s="12"/>
      <c r="C53" s="12">
        <f t="shared" si="1"/>
        <v>0</v>
      </c>
      <c r="D53" s="12">
        <f t="shared" si="2"/>
        <v>0</v>
      </c>
      <c r="E53" s="12"/>
      <c r="F53" s="12"/>
      <c r="G53" s="12"/>
      <c r="H53" s="12"/>
      <c r="I53" s="12"/>
      <c r="J53" s="12"/>
      <c r="K53" s="12"/>
      <c r="L53" s="174">
        <f>E53*Prices!B$2</f>
        <v>0</v>
      </c>
      <c r="M53" s="174">
        <f>F53*Prices!C$2</f>
        <v>0</v>
      </c>
      <c r="N53" s="174">
        <f>G53*Prices!D$2</f>
        <v>0</v>
      </c>
      <c r="O53" s="174">
        <f>H53*Prices!E$2</f>
        <v>0</v>
      </c>
      <c r="P53" s="174">
        <f t="shared" si="10"/>
        <v>0</v>
      </c>
      <c r="Q53" s="174">
        <f>D53*Prices!A$2</f>
        <v>0</v>
      </c>
      <c r="R53" s="175">
        <f t="shared" si="4"/>
        <v>0</v>
      </c>
      <c r="S53" s="174">
        <f t="shared" si="5"/>
        <v>0</v>
      </c>
      <c r="T53" s="26">
        <v>50.0</v>
      </c>
      <c r="U53" s="26"/>
      <c r="V53" s="12"/>
      <c r="W53" s="12"/>
      <c r="X53" s="12"/>
      <c r="Y53" s="12"/>
      <c r="Z53" s="12"/>
    </row>
    <row r="54">
      <c r="A54" s="26">
        <v>51.0</v>
      </c>
      <c r="B54" s="12">
        <v>11.634</v>
      </c>
      <c r="C54" s="12">
        <f t="shared" si="1"/>
        <v>2.9085</v>
      </c>
      <c r="D54" s="12">
        <f t="shared" si="2"/>
        <v>14.5425</v>
      </c>
      <c r="E54" s="12">
        <v>2.58</v>
      </c>
      <c r="F54" s="12"/>
      <c r="G54" s="12"/>
      <c r="H54" s="12"/>
      <c r="I54" s="12"/>
      <c r="J54" s="12"/>
      <c r="K54" s="12"/>
      <c r="L54" s="174">
        <f>E54*Prices!B$2</f>
        <v>283800</v>
      </c>
      <c r="M54" s="174">
        <f>F54*Prices!C$2</f>
        <v>0</v>
      </c>
      <c r="N54" s="174">
        <f>G54*Prices!D$2</f>
        <v>0</v>
      </c>
      <c r="O54" s="174">
        <f>H54*Prices!E$2</f>
        <v>0</v>
      </c>
      <c r="P54" s="174">
        <f t="shared" si="10"/>
        <v>0</v>
      </c>
      <c r="Q54" s="174">
        <f>D54*Prices!A$2</f>
        <v>259583.625</v>
      </c>
      <c r="R54" s="175">
        <f t="shared" si="4"/>
        <v>283800</v>
      </c>
      <c r="S54" s="174">
        <f t="shared" si="5"/>
        <v>543383.625</v>
      </c>
      <c r="T54" s="26">
        <v>51.0</v>
      </c>
      <c r="U54" s="26" t="s">
        <v>80</v>
      </c>
      <c r="V54" s="12" t="s">
        <v>81</v>
      </c>
      <c r="W54" s="12"/>
      <c r="X54" s="12"/>
      <c r="Y54" s="12"/>
      <c r="Z54" s="12"/>
    </row>
    <row r="55">
      <c r="A55" s="26">
        <v>52.0</v>
      </c>
      <c r="B55" s="12"/>
      <c r="C55" s="12">
        <f t="shared" si="1"/>
        <v>0</v>
      </c>
      <c r="D55" s="12">
        <f t="shared" si="2"/>
        <v>0</v>
      </c>
      <c r="E55" s="12"/>
      <c r="F55" s="12"/>
      <c r="G55" s="12"/>
      <c r="H55" s="12"/>
      <c r="I55" s="12"/>
      <c r="J55" s="12"/>
      <c r="K55" s="12"/>
      <c r="L55" s="174">
        <f>E55*Prices!B$2</f>
        <v>0</v>
      </c>
      <c r="M55" s="174">
        <f>F55*Prices!C$2</f>
        <v>0</v>
      </c>
      <c r="N55" s="174">
        <f>G55*Prices!D$2</f>
        <v>0</v>
      </c>
      <c r="O55" s="174">
        <f>H55*Prices!E$2</f>
        <v>0</v>
      </c>
      <c r="P55" s="174">
        <f t="shared" si="10"/>
        <v>0</v>
      </c>
      <c r="Q55" s="174">
        <f>D55*Prices!A$2</f>
        <v>0</v>
      </c>
      <c r="R55" s="175">
        <f t="shared" si="4"/>
        <v>0</v>
      </c>
      <c r="S55" s="174">
        <f t="shared" si="5"/>
        <v>0</v>
      </c>
      <c r="T55" s="26">
        <v>52.0</v>
      </c>
      <c r="U55" s="26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U2:U55">
    <cfRule type="containsText" dxfId="4" priority="1" operator="containsText" text="Available">
      <formula>NOT(ISERROR(SEARCH(("Available"),(U2))))</formula>
    </cfRule>
  </conditionalFormatting>
  <conditionalFormatting sqref="U2:U55">
    <cfRule type="containsText" dxfId="5" priority="2" operator="containsText" text="Sold">
      <formula>NOT(ISERROR(SEARCH(("Sold"),(U2))))</formula>
    </cfRule>
  </conditionalFormatting>
  <conditionalFormatting sqref="U2:U55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9.0"/>
    <col customWidth="1" min="21" max="21" width="11.0"/>
    <col customWidth="1" min="22" max="26" width="8.71"/>
  </cols>
  <sheetData>
    <row r="1" ht="15.0" customHeight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2</v>
      </c>
    </row>
    <row r="2">
      <c r="A2" s="26">
        <v>85370.0</v>
      </c>
      <c r="B2" s="26">
        <v>4.731</v>
      </c>
      <c r="C2" s="26">
        <f t="shared" ref="C2:C9" si="1">B2*(25/100)</f>
        <v>1.18275</v>
      </c>
      <c r="D2" s="26">
        <f t="shared" ref="D2:D9" si="2">C2+B2</f>
        <v>5.91375</v>
      </c>
      <c r="E2" s="26">
        <v>0.53</v>
      </c>
      <c r="F2" s="26"/>
      <c r="G2" s="26"/>
      <c r="H2" s="26"/>
      <c r="I2" s="26"/>
      <c r="J2" s="26"/>
      <c r="K2" s="26"/>
      <c r="L2" s="174">
        <f>E2*Prices!B$2</f>
        <v>58300</v>
      </c>
      <c r="M2" s="174">
        <f>F2*Prices!C$2</f>
        <v>0</v>
      </c>
      <c r="N2" s="174">
        <f>G2*Prices!D$2</f>
        <v>0</v>
      </c>
      <c r="O2" s="174">
        <f>H2*Prices!E$2</f>
        <v>0</v>
      </c>
      <c r="P2" s="174">
        <f t="shared" ref="P2:P10" si="3">I2*2000+J2*4000+K2*650</f>
        <v>0</v>
      </c>
      <c r="Q2" s="174">
        <f>D2*Prices!A$2</f>
        <v>105560.4375</v>
      </c>
      <c r="R2" s="175">
        <f t="shared" ref="R2:R10" si="4">L2+M2+N2+O2</f>
        <v>58300</v>
      </c>
      <c r="S2" s="174">
        <f t="shared" ref="S2:S10" si="5">R2+Q2+P2</f>
        <v>163860.4375</v>
      </c>
      <c r="T2" s="26">
        <v>85370.0</v>
      </c>
      <c r="U2" s="26" t="s">
        <v>80</v>
      </c>
    </row>
    <row r="3">
      <c r="A3" s="26">
        <v>85743.0</v>
      </c>
      <c r="B3" s="26">
        <v>4.512</v>
      </c>
      <c r="C3" s="26">
        <f t="shared" si="1"/>
        <v>1.128</v>
      </c>
      <c r="D3" s="26">
        <f t="shared" si="2"/>
        <v>5.64</v>
      </c>
      <c r="E3" s="26">
        <v>0.41</v>
      </c>
      <c r="F3" s="26"/>
      <c r="G3" s="26"/>
      <c r="H3" s="26"/>
      <c r="I3" s="26"/>
      <c r="J3" s="26"/>
      <c r="K3" s="26"/>
      <c r="L3" s="174">
        <f>E3*Prices!B$2</f>
        <v>45100</v>
      </c>
      <c r="M3" s="174">
        <f>F3*Prices!C$2</f>
        <v>0</v>
      </c>
      <c r="N3" s="174">
        <f>G3*Prices!D$2</f>
        <v>0</v>
      </c>
      <c r="O3" s="174">
        <f>H3*Prices!E$2</f>
        <v>0</v>
      </c>
      <c r="P3" s="174">
        <f t="shared" si="3"/>
        <v>0</v>
      </c>
      <c r="Q3" s="174">
        <f>D3*Prices!A$2</f>
        <v>100674</v>
      </c>
      <c r="R3" s="175">
        <f t="shared" si="4"/>
        <v>45100</v>
      </c>
      <c r="S3" s="174">
        <f t="shared" si="5"/>
        <v>145774</v>
      </c>
      <c r="T3" s="26">
        <v>85743.0</v>
      </c>
      <c r="U3" s="26" t="s">
        <v>82</v>
      </c>
    </row>
    <row r="4">
      <c r="A4" s="26">
        <v>85753.0</v>
      </c>
      <c r="B4" s="26">
        <v>4.538</v>
      </c>
      <c r="C4" s="26">
        <f t="shared" si="1"/>
        <v>1.1345</v>
      </c>
      <c r="D4" s="26">
        <f t="shared" si="2"/>
        <v>5.6725</v>
      </c>
      <c r="E4" s="26">
        <v>0.25</v>
      </c>
      <c r="F4" s="26"/>
      <c r="G4" s="26"/>
      <c r="H4" s="26"/>
      <c r="I4" s="26"/>
      <c r="J4" s="26"/>
      <c r="K4" s="26"/>
      <c r="L4" s="174">
        <f>E4*Prices!B$2</f>
        <v>27500</v>
      </c>
      <c r="M4" s="174">
        <f>F4*Prices!C$2</f>
        <v>0</v>
      </c>
      <c r="N4" s="174">
        <f>G4*Prices!D$2</f>
        <v>0</v>
      </c>
      <c r="O4" s="174">
        <f>H4*Prices!E$2</f>
        <v>0</v>
      </c>
      <c r="P4" s="174">
        <f t="shared" si="3"/>
        <v>0</v>
      </c>
      <c r="Q4" s="174">
        <f>D4*Prices!A$2</f>
        <v>101254.125</v>
      </c>
      <c r="R4" s="175">
        <f t="shared" si="4"/>
        <v>27500</v>
      </c>
      <c r="S4" s="174">
        <f t="shared" si="5"/>
        <v>128754.125</v>
      </c>
      <c r="T4" s="26">
        <v>85753.0</v>
      </c>
      <c r="U4" s="26" t="s">
        <v>80</v>
      </c>
    </row>
    <row r="5">
      <c r="A5" s="26">
        <v>85720.0</v>
      </c>
      <c r="B5" s="26">
        <v>1.878</v>
      </c>
      <c r="C5" s="26">
        <f t="shared" si="1"/>
        <v>0.4695</v>
      </c>
      <c r="D5" s="26">
        <f t="shared" si="2"/>
        <v>2.3475</v>
      </c>
      <c r="E5" s="26">
        <v>0.37</v>
      </c>
      <c r="F5" s="26"/>
      <c r="G5" s="26"/>
      <c r="H5" s="26"/>
      <c r="I5" s="26"/>
      <c r="J5" s="26"/>
      <c r="K5" s="26"/>
      <c r="L5" s="174">
        <f>E5*Prices!B$2</f>
        <v>40700</v>
      </c>
      <c r="M5" s="174">
        <f>F5*Prices!C$2</f>
        <v>0</v>
      </c>
      <c r="N5" s="174">
        <f>G5*Prices!D$2</f>
        <v>0</v>
      </c>
      <c r="O5" s="174">
        <f>H5*Prices!E$2</f>
        <v>0</v>
      </c>
      <c r="P5" s="174">
        <f t="shared" si="3"/>
        <v>0</v>
      </c>
      <c r="Q5" s="174">
        <f>D5*Prices!A$2</f>
        <v>41902.875</v>
      </c>
      <c r="R5" s="175">
        <f t="shared" si="4"/>
        <v>40700</v>
      </c>
      <c r="S5" s="174">
        <f t="shared" si="5"/>
        <v>82602.875</v>
      </c>
      <c r="T5" s="26">
        <v>85720.0</v>
      </c>
      <c r="U5" s="93" t="s">
        <v>82</v>
      </c>
    </row>
    <row r="6">
      <c r="A6" s="26">
        <v>140782.0</v>
      </c>
      <c r="B6" s="26">
        <v>8.964</v>
      </c>
      <c r="C6" s="26">
        <f t="shared" si="1"/>
        <v>2.241</v>
      </c>
      <c r="D6" s="26">
        <f t="shared" si="2"/>
        <v>11.205</v>
      </c>
      <c r="E6" s="26">
        <v>0.87</v>
      </c>
      <c r="F6" s="26"/>
      <c r="G6" s="26"/>
      <c r="H6" s="26"/>
      <c r="I6" s="26"/>
      <c r="J6" s="26"/>
      <c r="K6" s="26"/>
      <c r="L6" s="174">
        <f>E6*Prices!B$2</f>
        <v>95700</v>
      </c>
      <c r="M6" s="174">
        <f>F6*Prices!C$2</f>
        <v>0</v>
      </c>
      <c r="N6" s="174">
        <f>G6*Prices!D$2</f>
        <v>0</v>
      </c>
      <c r="O6" s="174">
        <f>H6*Prices!E$2</f>
        <v>0</v>
      </c>
      <c r="P6" s="174">
        <f t="shared" si="3"/>
        <v>0</v>
      </c>
      <c r="Q6" s="174">
        <f>D6*Prices!A$2</f>
        <v>200009.25</v>
      </c>
      <c r="R6" s="175">
        <f t="shared" si="4"/>
        <v>95700</v>
      </c>
      <c r="S6" s="174">
        <f t="shared" si="5"/>
        <v>295709.25</v>
      </c>
      <c r="T6" s="26">
        <v>140782.0</v>
      </c>
      <c r="U6" s="26" t="s">
        <v>80</v>
      </c>
    </row>
    <row r="7">
      <c r="A7" s="26">
        <v>140785.0</v>
      </c>
      <c r="B7" s="26">
        <v>1.3</v>
      </c>
      <c r="C7" s="26">
        <f t="shared" si="1"/>
        <v>0.325</v>
      </c>
      <c r="D7" s="26">
        <f t="shared" si="2"/>
        <v>1.625</v>
      </c>
      <c r="E7" s="26">
        <v>0.12</v>
      </c>
      <c r="F7" s="26"/>
      <c r="G7" s="26"/>
      <c r="H7" s="26"/>
      <c r="I7" s="26"/>
      <c r="J7" s="26"/>
      <c r="K7" s="26"/>
      <c r="L7" s="174">
        <f>E7*Prices!B$2</f>
        <v>13200</v>
      </c>
      <c r="M7" s="174">
        <f>F7*Prices!C$2</f>
        <v>0</v>
      </c>
      <c r="N7" s="174">
        <f>G7*Prices!D$2</f>
        <v>0</v>
      </c>
      <c r="O7" s="174">
        <f>H7*Prices!E$2</f>
        <v>0</v>
      </c>
      <c r="P7" s="174">
        <f t="shared" si="3"/>
        <v>0</v>
      </c>
      <c r="Q7" s="174">
        <f>D7*Prices!A$2</f>
        <v>29006.25</v>
      </c>
      <c r="R7" s="175">
        <f t="shared" si="4"/>
        <v>13200</v>
      </c>
      <c r="S7" s="174">
        <f t="shared" si="5"/>
        <v>42206.25</v>
      </c>
      <c r="T7" s="26">
        <v>140785.0</v>
      </c>
      <c r="U7" s="26" t="s">
        <v>80</v>
      </c>
    </row>
    <row r="8">
      <c r="A8" s="26">
        <v>140818.0</v>
      </c>
      <c r="B8" s="26">
        <v>9.879</v>
      </c>
      <c r="C8" s="26">
        <f t="shared" si="1"/>
        <v>2.46975</v>
      </c>
      <c r="D8" s="26">
        <f t="shared" si="2"/>
        <v>12.34875</v>
      </c>
      <c r="E8" s="26">
        <v>1.25</v>
      </c>
      <c r="J8" s="26"/>
      <c r="K8" s="26"/>
      <c r="L8" s="174">
        <f>E8*Prices!B$2</f>
        <v>137500</v>
      </c>
      <c r="M8" s="174">
        <f>F8*Prices!C$2</f>
        <v>0</v>
      </c>
      <c r="N8" s="174">
        <f>G8*Prices!D$2</f>
        <v>0</v>
      </c>
      <c r="O8" s="174">
        <f>H8*Prices!E$2</f>
        <v>0</v>
      </c>
      <c r="P8" s="174">
        <f t="shared" si="3"/>
        <v>0</v>
      </c>
      <c r="Q8" s="174">
        <f>D8*Prices!A$2</f>
        <v>220425.1875</v>
      </c>
      <c r="R8" s="175">
        <f t="shared" si="4"/>
        <v>137500</v>
      </c>
      <c r="S8" s="174">
        <f t="shared" si="5"/>
        <v>357925.1875</v>
      </c>
      <c r="T8" s="26">
        <v>140818.0</v>
      </c>
      <c r="U8" s="93" t="s">
        <v>82</v>
      </c>
    </row>
    <row r="9">
      <c r="A9" s="26">
        <v>140819.0</v>
      </c>
      <c r="B9" s="26">
        <v>2.122</v>
      </c>
      <c r="C9" s="26">
        <f t="shared" si="1"/>
        <v>0.5305</v>
      </c>
      <c r="D9" s="26">
        <f t="shared" si="2"/>
        <v>2.6525</v>
      </c>
      <c r="E9" s="26">
        <v>0.23</v>
      </c>
      <c r="J9" s="26"/>
      <c r="K9" s="26"/>
      <c r="L9" s="174">
        <f>E9*Prices!B$2</f>
        <v>25300</v>
      </c>
      <c r="M9" s="174">
        <f>F9*Prices!C$2</f>
        <v>0</v>
      </c>
      <c r="N9" s="174">
        <f>G9*Prices!D$2</f>
        <v>0</v>
      </c>
      <c r="O9" s="174">
        <f>H9*Prices!E$2</f>
        <v>0</v>
      </c>
      <c r="P9" s="174">
        <f t="shared" si="3"/>
        <v>0</v>
      </c>
      <c r="Q9" s="174">
        <f>D9*Prices!A$2</f>
        <v>47347.125</v>
      </c>
      <c r="R9" s="175">
        <f t="shared" si="4"/>
        <v>25300</v>
      </c>
      <c r="S9" s="174">
        <f t="shared" si="5"/>
        <v>72647.125</v>
      </c>
      <c r="T9" s="26">
        <v>140819.0</v>
      </c>
      <c r="U9" s="26" t="s">
        <v>80</v>
      </c>
    </row>
    <row r="10">
      <c r="L10" s="174">
        <f>E10*Prices!B$2</f>
        <v>0</v>
      </c>
      <c r="M10" s="174">
        <f>F10*Prices!C$2</f>
        <v>0</v>
      </c>
      <c r="N10" s="174">
        <f>G10*Prices!D$2</f>
        <v>0</v>
      </c>
      <c r="O10" s="174">
        <f>H10*Prices!E$2</f>
        <v>0</v>
      </c>
      <c r="P10" s="174">
        <f t="shared" si="3"/>
        <v>0</v>
      </c>
      <c r="Q10" s="174">
        <f>D10*Prices!A$2</f>
        <v>0</v>
      </c>
      <c r="R10" s="175">
        <f t="shared" si="4"/>
        <v>0</v>
      </c>
      <c r="S10" s="174">
        <f t="shared" si="5"/>
        <v>0</v>
      </c>
    </row>
  </sheetData>
  <conditionalFormatting sqref="U2:U9">
    <cfRule type="containsText" dxfId="4" priority="1" operator="containsText" text="Available">
      <formula>NOT(ISERROR(SEARCH(("Available"),(U2))))</formula>
    </cfRule>
  </conditionalFormatting>
  <conditionalFormatting sqref="U2:U9">
    <cfRule type="containsText" dxfId="5" priority="2" operator="containsText" text="Sold">
      <formula>NOT(ISERROR(SEARCH(("Sold"),(U2))))</formula>
    </cfRule>
  </conditionalFormatting>
  <conditionalFormatting sqref="U2:U9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4.29"/>
    <col customWidth="1" min="21" max="21" width="11.0"/>
    <col customWidth="1" min="22" max="26" width="15.29"/>
  </cols>
  <sheetData>
    <row r="1">
      <c r="A1" s="201" t="s">
        <v>2</v>
      </c>
      <c r="B1" s="201" t="s">
        <v>4</v>
      </c>
      <c r="C1" s="201" t="s">
        <v>63</v>
      </c>
      <c r="D1" s="201" t="s">
        <v>64</v>
      </c>
      <c r="E1" s="201" t="s">
        <v>65</v>
      </c>
      <c r="F1" s="201" t="s">
        <v>6</v>
      </c>
      <c r="G1" s="201" t="s">
        <v>66</v>
      </c>
      <c r="H1" s="201" t="s">
        <v>8</v>
      </c>
      <c r="I1" s="201" t="s">
        <v>9</v>
      </c>
      <c r="J1" s="201" t="s">
        <v>10</v>
      </c>
      <c r="K1" s="201" t="s">
        <v>11</v>
      </c>
      <c r="L1" s="201" t="s">
        <v>67</v>
      </c>
      <c r="M1" s="201" t="s">
        <v>67</v>
      </c>
      <c r="N1" s="201" t="s">
        <v>67</v>
      </c>
      <c r="O1" s="201" t="s">
        <v>67</v>
      </c>
      <c r="P1" s="201" t="s">
        <v>68</v>
      </c>
      <c r="Q1" s="202" t="s">
        <v>69</v>
      </c>
      <c r="R1" s="201" t="s">
        <v>70</v>
      </c>
      <c r="S1" s="202" t="s">
        <v>55</v>
      </c>
      <c r="T1" s="201" t="s">
        <v>2</v>
      </c>
      <c r="U1" s="203"/>
    </row>
    <row r="2">
      <c r="A2" s="204">
        <v>1.0</v>
      </c>
      <c r="B2" s="204">
        <v>23.132</v>
      </c>
      <c r="C2" s="204">
        <f>B2*(25/100)</f>
        <v>5.783</v>
      </c>
      <c r="D2" s="204">
        <f>C2+B2</f>
        <v>28.915</v>
      </c>
      <c r="E2" s="204">
        <v>6.1</v>
      </c>
      <c r="F2" s="204"/>
      <c r="G2" s="204"/>
      <c r="H2" s="204"/>
      <c r="I2" s="204"/>
      <c r="J2" s="204"/>
      <c r="K2" s="204">
        <v>2.79</v>
      </c>
      <c r="L2" s="174">
        <f>E2*Prices!B$2</f>
        <v>671000</v>
      </c>
      <c r="M2" s="174">
        <f>F2*Prices!C$2</f>
        <v>0</v>
      </c>
      <c r="N2" s="174">
        <f>G2*Prices!D$2</f>
        <v>0</v>
      </c>
      <c r="O2" s="174">
        <f>H2*Prices!E$2</f>
        <v>0</v>
      </c>
      <c r="P2" s="174">
        <f>I2*2000+J2*4000+K2*650</f>
        <v>1813.5</v>
      </c>
      <c r="Q2" s="174">
        <f>D2*Prices!A$2</f>
        <v>516132.75</v>
      </c>
      <c r="R2" s="205">
        <f>L2+M2+N2+O2</f>
        <v>671000</v>
      </c>
      <c r="S2" s="206">
        <f>R2+Q2+P2</f>
        <v>1188946.25</v>
      </c>
      <c r="T2" s="204">
        <v>1.0</v>
      </c>
      <c r="U2" s="204" t="s">
        <v>80</v>
      </c>
    </row>
  </sheetData>
  <conditionalFormatting sqref="U1:U6">
    <cfRule type="containsText" dxfId="4" priority="1" operator="containsText" text="Available">
      <formula>NOT(ISERROR(SEARCH(("Available"),(U1))))</formula>
    </cfRule>
  </conditionalFormatting>
  <conditionalFormatting sqref="U2:U6">
    <cfRule type="containsText" dxfId="5" priority="2" operator="containsText" text="Sold">
      <formula>NOT(ISERROR(SEARCH(("Sold"),(U2))))</formula>
    </cfRule>
  </conditionalFormatting>
  <conditionalFormatting sqref="U2:U6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5" width="13.86"/>
    <col customWidth="1" min="16" max="16" width="12.0"/>
    <col customWidth="1" min="17" max="17" width="14.0"/>
    <col customWidth="1" min="18" max="18" width="17.57"/>
    <col customWidth="1" min="19" max="19" width="14.57"/>
    <col customWidth="1" min="20" max="20" width="13.71"/>
    <col customWidth="1" min="21" max="21" width="11.0"/>
    <col customWidth="1" min="22" max="26" width="9.29"/>
  </cols>
  <sheetData>
    <row r="1" ht="15.0" customHeight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2</v>
      </c>
    </row>
    <row r="2">
      <c r="A2" s="26">
        <v>268.0</v>
      </c>
      <c r="B2" s="26">
        <v>33.17</v>
      </c>
      <c r="C2" s="26">
        <f t="shared" ref="C2:C3" si="1">B2*0.25</f>
        <v>8.2925</v>
      </c>
      <c r="D2" s="26">
        <f t="shared" ref="D2:D3" si="2">C2+B2</f>
        <v>41.4625</v>
      </c>
      <c r="E2" s="26">
        <v>4.59</v>
      </c>
      <c r="F2" s="26"/>
      <c r="G2" s="26"/>
      <c r="H2" s="26"/>
      <c r="I2" s="26"/>
      <c r="J2" s="26"/>
      <c r="K2" s="26"/>
      <c r="L2" s="174">
        <f>E2*Prices!B$2</f>
        <v>504900</v>
      </c>
      <c r="M2" s="174">
        <f>F2*Prices!C$2</f>
        <v>0</v>
      </c>
      <c r="N2" s="174">
        <f>G2*Prices!D$2</f>
        <v>0</v>
      </c>
      <c r="O2" s="174">
        <f>H2*Prices!E$2</f>
        <v>0</v>
      </c>
      <c r="P2" s="174">
        <f t="shared" ref="P2:P3" si="3">I2*2000+J2*4000+K2*650</f>
        <v>0</v>
      </c>
      <c r="Q2" s="174">
        <f>D2*Prices!A$2</f>
        <v>740105.625</v>
      </c>
      <c r="R2" s="175">
        <f t="shared" ref="R2:R3" si="4">L2+M2+N2+O2</f>
        <v>504900</v>
      </c>
      <c r="S2" s="174">
        <f t="shared" ref="S2:S3" si="5">R2+Q2+P2</f>
        <v>1245005.625</v>
      </c>
      <c r="T2" s="30">
        <v>268.0</v>
      </c>
      <c r="U2" s="26" t="s">
        <v>80</v>
      </c>
    </row>
    <row r="3">
      <c r="A3" s="26">
        <v>462.0</v>
      </c>
      <c r="B3" s="26">
        <v>11.0</v>
      </c>
      <c r="C3" s="26">
        <f t="shared" si="1"/>
        <v>2.75</v>
      </c>
      <c r="D3" s="26">
        <f t="shared" si="2"/>
        <v>13.75</v>
      </c>
      <c r="E3" s="26">
        <v>1.25</v>
      </c>
      <c r="F3" s="26"/>
      <c r="G3" s="26"/>
      <c r="H3" s="26"/>
      <c r="I3" s="26"/>
      <c r="J3" s="26"/>
      <c r="K3" s="26"/>
      <c r="L3" s="174">
        <f>E3*Prices!B$2</f>
        <v>137500</v>
      </c>
      <c r="M3" s="174">
        <f>F3*Prices!C$2</f>
        <v>0</v>
      </c>
      <c r="N3" s="174">
        <f>G3*Prices!D$2</f>
        <v>0</v>
      </c>
      <c r="O3" s="174">
        <f>H3*Prices!E$2</f>
        <v>0</v>
      </c>
      <c r="P3" s="174">
        <f t="shared" si="3"/>
        <v>0</v>
      </c>
      <c r="Q3" s="174">
        <f>D3*Prices!A$2</f>
        <v>245437.5</v>
      </c>
      <c r="R3" s="175">
        <f t="shared" si="4"/>
        <v>137500</v>
      </c>
      <c r="S3" s="174">
        <f t="shared" si="5"/>
        <v>382937.5</v>
      </c>
      <c r="T3" s="30">
        <v>462.0</v>
      </c>
      <c r="U3" s="26" t="s">
        <v>82</v>
      </c>
    </row>
    <row r="31">
      <c r="C31" s="93" t="s">
        <v>90</v>
      </c>
    </row>
  </sheetData>
  <conditionalFormatting sqref="T4:T5">
    <cfRule type="containsText" dxfId="4" priority="1" operator="containsText" text="Available">
      <formula>NOT(ISERROR(SEARCH(("Available"),(T4))))</formula>
    </cfRule>
  </conditionalFormatting>
  <conditionalFormatting sqref="T4:T5">
    <cfRule type="containsText" dxfId="5" priority="2" operator="containsText" text="Sold">
      <formula>NOT(ISERROR(SEARCH(("Sold"),(T4))))</formula>
    </cfRule>
  </conditionalFormatting>
  <conditionalFormatting sqref="T4:T5">
    <cfRule type="containsText" dxfId="6" priority="3" operator="containsText" text="Return">
      <formula>NOT(ISERROR(SEARCH(("Return"),(T4))))</formula>
    </cfRule>
  </conditionalFormatting>
  <conditionalFormatting sqref="U1:U3">
    <cfRule type="containsText" dxfId="4" priority="4" operator="containsText" text="Available">
      <formula>NOT(ISERROR(SEARCH(("Available"),(U1))))</formula>
    </cfRule>
  </conditionalFormatting>
  <conditionalFormatting sqref="U2:U3">
    <cfRule type="containsText" dxfId="5" priority="5" operator="containsText" text="Sold">
      <formula>NOT(ISERROR(SEARCH(("Sold"),(U2))))</formula>
    </cfRule>
  </conditionalFormatting>
  <conditionalFormatting sqref="U2:U3">
    <cfRule type="containsText" dxfId="6" priority="6" operator="containsText" text="Return">
      <formula>NOT(ISERROR(SEARCH(("Return"),(U2))))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14.71"/>
    <col customWidth="1" min="3" max="3" width="15.14"/>
    <col customWidth="1" min="4" max="4" width="17.71"/>
    <col customWidth="1" min="5" max="6" width="14.29"/>
    <col customWidth="1" min="7" max="8" width="13.86"/>
    <col customWidth="1" min="9" max="9" width="14.0"/>
    <col customWidth="1" min="10" max="10" width="14.57"/>
    <col customWidth="1" min="11" max="11" width="4.29"/>
    <col customWidth="1" min="12" max="12" width="11.0"/>
    <col customWidth="1" min="13" max="13" width="2.57"/>
    <col customWidth="1" min="14" max="17" width="8.71"/>
  </cols>
  <sheetData>
    <row r="1">
      <c r="A1" s="201" t="s">
        <v>2</v>
      </c>
      <c r="B1" s="201" t="s">
        <v>4</v>
      </c>
      <c r="C1" s="201" t="s">
        <v>63</v>
      </c>
      <c r="D1" s="201" t="s">
        <v>64</v>
      </c>
      <c r="E1" s="201" t="s">
        <v>65</v>
      </c>
      <c r="F1" s="201" t="s">
        <v>91</v>
      </c>
      <c r="G1" s="201" t="s">
        <v>67</v>
      </c>
      <c r="H1" s="201" t="s">
        <v>67</v>
      </c>
      <c r="I1" s="202" t="s">
        <v>69</v>
      </c>
      <c r="J1" s="202" t="s">
        <v>55</v>
      </c>
      <c r="K1" s="201" t="s">
        <v>2</v>
      </c>
      <c r="L1" s="207"/>
      <c r="M1" s="207"/>
    </row>
    <row r="2">
      <c r="A2" s="208">
        <v>1.0</v>
      </c>
      <c r="B2" s="26">
        <v>0.5</v>
      </c>
      <c r="C2" s="26">
        <f t="shared" ref="C2:C27" si="1">B2*(25/100)</f>
        <v>0.125</v>
      </c>
      <c r="D2" s="26">
        <f t="shared" ref="D2:D27" si="2">C2+B2</f>
        <v>0.625</v>
      </c>
      <c r="E2" s="26"/>
      <c r="F2" s="26">
        <v>0.4</v>
      </c>
      <c r="G2" s="174">
        <f>E2*225000</f>
        <v>0</v>
      </c>
      <c r="H2" s="174">
        <f>F2*200000</f>
        <v>80000</v>
      </c>
      <c r="I2" s="209">
        <f>(D2*Prices!$A$2)+3000</f>
        <v>14156.25</v>
      </c>
      <c r="J2" s="209">
        <f t="shared" ref="J2:J27" si="3">G2+I2+H2</f>
        <v>94156.25</v>
      </c>
      <c r="K2" s="208"/>
      <c r="L2" s="26"/>
      <c r="M2" s="207"/>
    </row>
    <row r="3">
      <c r="A3" s="208">
        <v>2.0</v>
      </c>
      <c r="B3" s="26">
        <v>0.39</v>
      </c>
      <c r="C3" s="26">
        <f t="shared" si="1"/>
        <v>0.0975</v>
      </c>
      <c r="D3" s="26">
        <f t="shared" si="2"/>
        <v>0.4875</v>
      </c>
      <c r="E3" s="26"/>
      <c r="F3" s="26">
        <v>0.35</v>
      </c>
      <c r="G3" s="174">
        <f t="shared" ref="G3:G4" si="4">E3*215000</f>
        <v>0</v>
      </c>
      <c r="H3" s="174">
        <f t="shared" ref="H3:H4" si="5">F3*185000</f>
        <v>64750</v>
      </c>
      <c r="I3" s="209">
        <f>(D3*Prices!$A$2)+3000</f>
        <v>11701.875</v>
      </c>
      <c r="J3" s="209">
        <f t="shared" si="3"/>
        <v>76451.875</v>
      </c>
      <c r="K3" s="208"/>
      <c r="L3" s="26"/>
      <c r="M3" s="207"/>
    </row>
    <row r="4">
      <c r="A4" s="208">
        <v>3.0</v>
      </c>
      <c r="B4" s="26">
        <v>0.326</v>
      </c>
      <c r="C4" s="26">
        <f t="shared" si="1"/>
        <v>0.0815</v>
      </c>
      <c r="D4" s="26">
        <f t="shared" si="2"/>
        <v>0.4075</v>
      </c>
      <c r="E4" s="26"/>
      <c r="F4" s="26">
        <v>0.32</v>
      </c>
      <c r="G4" s="174">
        <f t="shared" si="4"/>
        <v>0</v>
      </c>
      <c r="H4" s="174">
        <f t="shared" si="5"/>
        <v>59200</v>
      </c>
      <c r="I4" s="209">
        <f>(D4*Prices!$A$2)+3000</f>
        <v>10273.875</v>
      </c>
      <c r="J4" s="209">
        <f t="shared" si="3"/>
        <v>69473.875</v>
      </c>
      <c r="K4" s="208"/>
      <c r="L4" s="26"/>
      <c r="M4" s="207"/>
    </row>
    <row r="5">
      <c r="A5" s="208">
        <v>4.0</v>
      </c>
      <c r="B5" s="26">
        <v>0.37</v>
      </c>
      <c r="C5" s="26">
        <f t="shared" si="1"/>
        <v>0.0925</v>
      </c>
      <c r="D5" s="26">
        <f t="shared" si="2"/>
        <v>0.4625</v>
      </c>
      <c r="E5" s="26"/>
      <c r="F5" s="26">
        <v>0.25</v>
      </c>
      <c r="G5" s="174">
        <f>E5*180000</f>
        <v>0</v>
      </c>
      <c r="H5" s="174">
        <f t="shared" ref="H5:H6" si="6">F5*165000</f>
        <v>41250</v>
      </c>
      <c r="I5" s="209">
        <f>(D5*Prices!$A$2)+3000</f>
        <v>11255.625</v>
      </c>
      <c r="J5" s="209">
        <f t="shared" si="3"/>
        <v>52505.625</v>
      </c>
      <c r="K5" s="208"/>
      <c r="L5" s="26"/>
      <c r="M5" s="207"/>
    </row>
    <row r="6">
      <c r="A6" s="208">
        <v>5.0</v>
      </c>
      <c r="B6" s="26">
        <v>0.36</v>
      </c>
      <c r="C6" s="26">
        <f t="shared" si="1"/>
        <v>0.09</v>
      </c>
      <c r="D6" s="26">
        <f t="shared" si="2"/>
        <v>0.45</v>
      </c>
      <c r="E6" s="26"/>
      <c r="F6" s="26">
        <v>0.25</v>
      </c>
      <c r="G6" s="174">
        <f t="shared" ref="G6:G27" si="7">E6*225000</f>
        <v>0</v>
      </c>
      <c r="H6" s="174">
        <f t="shared" si="6"/>
        <v>41250</v>
      </c>
      <c r="I6" s="209">
        <f>(D6*Prices!$A$2)+3000</f>
        <v>11032.5</v>
      </c>
      <c r="J6" s="209">
        <f t="shared" si="3"/>
        <v>52282.5</v>
      </c>
      <c r="K6" s="208"/>
      <c r="L6" s="26"/>
      <c r="M6" s="207"/>
    </row>
    <row r="7">
      <c r="A7" s="208">
        <v>6.0</v>
      </c>
      <c r="B7" s="26">
        <v>0.406</v>
      </c>
      <c r="C7" s="26">
        <f t="shared" si="1"/>
        <v>0.1015</v>
      </c>
      <c r="D7" s="26">
        <f t="shared" si="2"/>
        <v>0.5075</v>
      </c>
      <c r="E7" s="26"/>
      <c r="F7" s="26">
        <v>0.22</v>
      </c>
      <c r="G7" s="174">
        <f t="shared" si="7"/>
        <v>0</v>
      </c>
      <c r="H7" s="174">
        <f>F7*155000</f>
        <v>34100</v>
      </c>
      <c r="I7" s="209">
        <f>(D7*Prices!$A$2)+3000</f>
        <v>12058.875</v>
      </c>
      <c r="J7" s="209">
        <f t="shared" si="3"/>
        <v>46158.875</v>
      </c>
      <c r="K7" s="208"/>
      <c r="L7" s="26"/>
      <c r="M7" s="207"/>
    </row>
    <row r="8">
      <c r="A8" s="208">
        <v>7.0</v>
      </c>
      <c r="B8" s="26">
        <v>0.286</v>
      </c>
      <c r="C8" s="26">
        <f t="shared" si="1"/>
        <v>0.0715</v>
      </c>
      <c r="D8" s="26">
        <f t="shared" si="2"/>
        <v>0.3575</v>
      </c>
      <c r="E8" s="26"/>
      <c r="F8" s="26">
        <v>0.17</v>
      </c>
      <c r="G8" s="174">
        <f t="shared" si="7"/>
        <v>0</v>
      </c>
      <c r="H8" s="174">
        <f t="shared" ref="H8:H9" si="8">F8*125000</f>
        <v>21250</v>
      </c>
      <c r="I8" s="209">
        <f>(D8*Prices!$A$2)+3000</f>
        <v>9381.375</v>
      </c>
      <c r="J8" s="209">
        <f t="shared" si="3"/>
        <v>30631.375</v>
      </c>
      <c r="K8" s="208"/>
      <c r="L8" s="26"/>
      <c r="M8" s="207"/>
    </row>
    <row r="9">
      <c r="A9" s="208">
        <v>8.0</v>
      </c>
      <c r="B9" s="26">
        <v>0.28</v>
      </c>
      <c r="C9" s="26">
        <f t="shared" si="1"/>
        <v>0.07</v>
      </c>
      <c r="D9" s="26">
        <f t="shared" si="2"/>
        <v>0.35</v>
      </c>
      <c r="E9" s="26"/>
      <c r="F9" s="26">
        <v>0.15</v>
      </c>
      <c r="G9" s="174">
        <f t="shared" si="7"/>
        <v>0</v>
      </c>
      <c r="H9" s="174">
        <f t="shared" si="8"/>
        <v>18750</v>
      </c>
      <c r="I9" s="209">
        <f>(D9*Prices!$A$2)+3000</f>
        <v>9247.5</v>
      </c>
      <c r="J9" s="209">
        <f t="shared" si="3"/>
        <v>27997.5</v>
      </c>
      <c r="K9" s="208"/>
      <c r="L9" s="26"/>
      <c r="M9" s="207"/>
    </row>
    <row r="10">
      <c r="A10" s="208">
        <v>9.0</v>
      </c>
      <c r="B10" s="26">
        <v>0.316</v>
      </c>
      <c r="C10" s="26">
        <f t="shared" si="1"/>
        <v>0.079</v>
      </c>
      <c r="D10" s="26">
        <f t="shared" si="2"/>
        <v>0.395</v>
      </c>
      <c r="E10" s="26"/>
      <c r="F10" s="26">
        <v>0.12</v>
      </c>
      <c r="G10" s="174">
        <f t="shared" si="7"/>
        <v>0</v>
      </c>
      <c r="H10" s="174">
        <f t="shared" ref="H10:H12" si="9">F10*105000</f>
        <v>12600</v>
      </c>
      <c r="I10" s="209">
        <f>(D10*Prices!$A$2)+3000</f>
        <v>10050.75</v>
      </c>
      <c r="J10" s="209">
        <f t="shared" si="3"/>
        <v>22650.75</v>
      </c>
      <c r="K10" s="208"/>
      <c r="L10" s="26"/>
      <c r="M10" s="207"/>
    </row>
    <row r="11">
      <c r="A11" s="208">
        <v>10.0</v>
      </c>
      <c r="B11" s="26">
        <v>0.247</v>
      </c>
      <c r="C11" s="26">
        <f t="shared" si="1"/>
        <v>0.06175</v>
      </c>
      <c r="D11" s="26">
        <f t="shared" si="2"/>
        <v>0.30875</v>
      </c>
      <c r="E11" s="26"/>
      <c r="F11" s="26">
        <v>0.09</v>
      </c>
      <c r="G11" s="174">
        <f t="shared" si="7"/>
        <v>0</v>
      </c>
      <c r="H11" s="174">
        <f t="shared" si="9"/>
        <v>9450</v>
      </c>
      <c r="I11" s="209">
        <f>(D11*Prices!$A$2)+3000</f>
        <v>8511.1875</v>
      </c>
      <c r="J11" s="209">
        <f t="shared" si="3"/>
        <v>17961.1875</v>
      </c>
      <c r="K11" s="208"/>
      <c r="L11" s="26"/>
      <c r="M11" s="207"/>
    </row>
    <row r="12">
      <c r="A12" s="208">
        <v>11.0</v>
      </c>
      <c r="B12" s="26">
        <v>0.247</v>
      </c>
      <c r="C12" s="26">
        <f t="shared" si="1"/>
        <v>0.06175</v>
      </c>
      <c r="D12" s="26">
        <f t="shared" si="2"/>
        <v>0.30875</v>
      </c>
      <c r="E12" s="26"/>
      <c r="F12" s="26">
        <v>0.09</v>
      </c>
      <c r="G12" s="174">
        <f t="shared" si="7"/>
        <v>0</v>
      </c>
      <c r="H12" s="174">
        <f t="shared" si="9"/>
        <v>9450</v>
      </c>
      <c r="I12" s="209">
        <f>(D12*Prices!$A$2)+3000</f>
        <v>8511.1875</v>
      </c>
      <c r="J12" s="209">
        <f t="shared" si="3"/>
        <v>17961.1875</v>
      </c>
      <c r="K12" s="208"/>
      <c r="L12" s="26"/>
      <c r="M12" s="207"/>
    </row>
    <row r="13">
      <c r="A13" s="208">
        <v>12.0</v>
      </c>
      <c r="B13" s="26">
        <v>0.255</v>
      </c>
      <c r="C13" s="26">
        <f t="shared" si="1"/>
        <v>0.06375</v>
      </c>
      <c r="D13" s="26">
        <f t="shared" si="2"/>
        <v>0.31875</v>
      </c>
      <c r="E13" s="26"/>
      <c r="F13" s="26">
        <v>0.06</v>
      </c>
      <c r="G13" s="174">
        <f t="shared" si="7"/>
        <v>0</v>
      </c>
      <c r="H13" s="174">
        <f>F13*65000</f>
        <v>3900</v>
      </c>
      <c r="I13" s="209">
        <f>(D13*Prices!$A$2)+3000</f>
        <v>8689.6875</v>
      </c>
      <c r="J13" s="209">
        <f t="shared" si="3"/>
        <v>12589.6875</v>
      </c>
      <c r="K13" s="208"/>
      <c r="L13" s="26"/>
      <c r="M13" s="207"/>
    </row>
    <row r="14">
      <c r="A14" s="208">
        <v>13.0</v>
      </c>
      <c r="B14" s="26">
        <v>0.23</v>
      </c>
      <c r="C14" s="26">
        <f t="shared" si="1"/>
        <v>0.0575</v>
      </c>
      <c r="D14" s="26">
        <f t="shared" si="2"/>
        <v>0.2875</v>
      </c>
      <c r="E14" s="26"/>
      <c r="F14" s="26">
        <v>0.05</v>
      </c>
      <c r="G14" s="174">
        <f t="shared" si="7"/>
        <v>0</v>
      </c>
      <c r="H14" s="174">
        <f>F14*100000</f>
        <v>5000</v>
      </c>
      <c r="I14" s="209">
        <f>(D14*Prices!$A$2)+3000</f>
        <v>8131.875</v>
      </c>
      <c r="J14" s="209">
        <f t="shared" si="3"/>
        <v>13131.875</v>
      </c>
      <c r="K14" s="208" t="s">
        <v>92</v>
      </c>
      <c r="L14" s="26"/>
      <c r="M14" s="207"/>
    </row>
    <row r="15">
      <c r="A15" s="208">
        <v>14.0</v>
      </c>
      <c r="B15" s="26">
        <v>0.255</v>
      </c>
      <c r="C15" s="26">
        <f t="shared" si="1"/>
        <v>0.06375</v>
      </c>
      <c r="D15" s="26">
        <f t="shared" si="2"/>
        <v>0.31875</v>
      </c>
      <c r="E15" s="26"/>
      <c r="F15" s="26">
        <v>0.06</v>
      </c>
      <c r="G15" s="174">
        <f t="shared" si="7"/>
        <v>0</v>
      </c>
      <c r="H15" s="174">
        <f t="shared" ref="H15:H16" si="10">F15*65000</f>
        <v>3900</v>
      </c>
      <c r="I15" s="209">
        <f>(D15*Prices!$A$2)+3000</f>
        <v>8689.6875</v>
      </c>
      <c r="J15" s="209">
        <f t="shared" si="3"/>
        <v>12589.6875</v>
      </c>
      <c r="K15" s="208"/>
      <c r="L15" s="26"/>
      <c r="M15" s="207"/>
    </row>
    <row r="16">
      <c r="A16" s="208">
        <v>15.0</v>
      </c>
      <c r="B16" s="26">
        <v>0.255</v>
      </c>
      <c r="C16" s="26">
        <f t="shared" si="1"/>
        <v>0.06375</v>
      </c>
      <c r="D16" s="26">
        <f t="shared" si="2"/>
        <v>0.31875</v>
      </c>
      <c r="E16" s="26"/>
      <c r="F16" s="26">
        <v>0.06</v>
      </c>
      <c r="G16" s="174">
        <f t="shared" si="7"/>
        <v>0</v>
      </c>
      <c r="H16" s="174">
        <f t="shared" si="10"/>
        <v>3900</v>
      </c>
      <c r="I16" s="209">
        <f>(D16*Prices!$A$2)+3000</f>
        <v>8689.6875</v>
      </c>
      <c r="J16" s="209">
        <f t="shared" si="3"/>
        <v>12589.6875</v>
      </c>
      <c r="K16" s="208"/>
      <c r="L16" s="26"/>
      <c r="M16" s="207"/>
    </row>
    <row r="17">
      <c r="A17" s="208">
        <v>16.0</v>
      </c>
      <c r="B17" s="26">
        <v>0.23</v>
      </c>
      <c r="C17" s="26">
        <f t="shared" si="1"/>
        <v>0.0575</v>
      </c>
      <c r="D17" s="26">
        <f t="shared" si="2"/>
        <v>0.2875</v>
      </c>
      <c r="E17" s="26"/>
      <c r="F17" s="26">
        <v>0.05</v>
      </c>
      <c r="G17" s="174">
        <f t="shared" si="7"/>
        <v>0</v>
      </c>
      <c r="H17" s="174">
        <f t="shared" ref="H17:H27" si="11">F17*225000</f>
        <v>11250</v>
      </c>
      <c r="I17" s="209">
        <f>(D17*Prices!$A$2)+3000</f>
        <v>8131.875</v>
      </c>
      <c r="J17" s="209">
        <f t="shared" si="3"/>
        <v>19381.875</v>
      </c>
      <c r="K17" s="208" t="s">
        <v>92</v>
      </c>
      <c r="L17" s="26"/>
      <c r="M17" s="207"/>
    </row>
    <row r="18">
      <c r="A18" s="208">
        <v>17.0</v>
      </c>
      <c r="B18" s="26">
        <v>0.31</v>
      </c>
      <c r="C18" s="26">
        <f t="shared" si="1"/>
        <v>0.0775</v>
      </c>
      <c r="D18" s="26">
        <f t="shared" si="2"/>
        <v>0.3875</v>
      </c>
      <c r="E18" s="26"/>
      <c r="F18" s="26">
        <v>0.25</v>
      </c>
      <c r="G18" s="174">
        <f t="shared" si="7"/>
        <v>0</v>
      </c>
      <c r="H18" s="174">
        <f t="shared" si="11"/>
        <v>56250</v>
      </c>
      <c r="I18" s="209">
        <f>(D18*Prices!$A$2)+3000</f>
        <v>9916.875</v>
      </c>
      <c r="J18" s="209">
        <f t="shared" si="3"/>
        <v>66166.875</v>
      </c>
      <c r="K18" s="208" t="s">
        <v>92</v>
      </c>
      <c r="L18" s="26"/>
      <c r="M18" s="207"/>
    </row>
    <row r="19">
      <c r="A19" s="208">
        <v>18.0</v>
      </c>
      <c r="B19" s="26">
        <v>0.27</v>
      </c>
      <c r="C19" s="26">
        <f t="shared" si="1"/>
        <v>0.0675</v>
      </c>
      <c r="D19" s="26">
        <f t="shared" si="2"/>
        <v>0.3375</v>
      </c>
      <c r="E19" s="26"/>
      <c r="F19" s="26">
        <v>0.2</v>
      </c>
      <c r="G19" s="174">
        <f t="shared" si="7"/>
        <v>0</v>
      </c>
      <c r="H19" s="174">
        <f t="shared" si="11"/>
        <v>45000</v>
      </c>
      <c r="I19" s="209">
        <f>(D19*Prices!$A$2)+3000</f>
        <v>9024.375</v>
      </c>
      <c r="J19" s="209">
        <f t="shared" si="3"/>
        <v>54024.375</v>
      </c>
      <c r="K19" s="208" t="s">
        <v>92</v>
      </c>
      <c r="L19" s="26"/>
      <c r="M19" s="207"/>
    </row>
    <row r="20">
      <c r="A20" s="208">
        <v>19.0</v>
      </c>
      <c r="B20" s="26">
        <v>0.3</v>
      </c>
      <c r="C20" s="26">
        <f t="shared" si="1"/>
        <v>0.075</v>
      </c>
      <c r="D20" s="26">
        <f t="shared" si="2"/>
        <v>0.375</v>
      </c>
      <c r="E20" s="26"/>
      <c r="F20" s="26">
        <v>0.15</v>
      </c>
      <c r="G20" s="174">
        <f t="shared" si="7"/>
        <v>0</v>
      </c>
      <c r="H20" s="174">
        <f t="shared" si="11"/>
        <v>33750</v>
      </c>
      <c r="I20" s="209">
        <f>(D20*Prices!$A$2)+3000</f>
        <v>9693.75</v>
      </c>
      <c r="J20" s="209">
        <f t="shared" si="3"/>
        <v>43443.75</v>
      </c>
      <c r="K20" s="208" t="s">
        <v>92</v>
      </c>
      <c r="L20" s="26"/>
      <c r="M20" s="207"/>
    </row>
    <row r="21">
      <c r="A21" s="208">
        <v>20.0</v>
      </c>
      <c r="B21" s="26">
        <v>0.27</v>
      </c>
      <c r="C21" s="26">
        <f t="shared" si="1"/>
        <v>0.0675</v>
      </c>
      <c r="D21" s="26">
        <f t="shared" si="2"/>
        <v>0.3375</v>
      </c>
      <c r="E21" s="26"/>
      <c r="F21" s="26">
        <v>0.1</v>
      </c>
      <c r="G21" s="174">
        <f t="shared" si="7"/>
        <v>0</v>
      </c>
      <c r="H21" s="174">
        <f t="shared" si="11"/>
        <v>22500</v>
      </c>
      <c r="I21" s="209">
        <f>(D21*Prices!$A$2)+3000</f>
        <v>9024.375</v>
      </c>
      <c r="J21" s="209">
        <f t="shared" si="3"/>
        <v>31524.375</v>
      </c>
      <c r="K21" s="208" t="s">
        <v>92</v>
      </c>
      <c r="L21" s="26"/>
      <c r="M21" s="207"/>
    </row>
    <row r="22">
      <c r="A22" s="208">
        <v>21.0</v>
      </c>
      <c r="B22" s="26"/>
      <c r="C22" s="26">
        <f t="shared" si="1"/>
        <v>0</v>
      </c>
      <c r="D22" s="26">
        <f t="shared" si="2"/>
        <v>0</v>
      </c>
      <c r="E22" s="26"/>
      <c r="F22" s="26"/>
      <c r="G22" s="174">
        <f t="shared" si="7"/>
        <v>0</v>
      </c>
      <c r="H22" s="174">
        <f t="shared" si="11"/>
        <v>0</v>
      </c>
      <c r="I22" s="209">
        <f>(D22*Prices!$A$2)+3000</f>
        <v>3000</v>
      </c>
      <c r="J22" s="209">
        <f t="shared" si="3"/>
        <v>3000</v>
      </c>
    </row>
    <row r="23">
      <c r="A23" s="208">
        <v>22.0</v>
      </c>
      <c r="B23" s="26"/>
      <c r="C23" s="26">
        <f t="shared" si="1"/>
        <v>0</v>
      </c>
      <c r="D23" s="26">
        <f t="shared" si="2"/>
        <v>0</v>
      </c>
      <c r="E23" s="26"/>
      <c r="F23" s="26"/>
      <c r="G23" s="174">
        <f t="shared" si="7"/>
        <v>0</v>
      </c>
      <c r="H23" s="174">
        <f t="shared" si="11"/>
        <v>0</v>
      </c>
      <c r="I23" s="209">
        <f>(D23*Prices!$A$2)+3000</f>
        <v>3000</v>
      </c>
      <c r="J23" s="209">
        <f t="shared" si="3"/>
        <v>3000</v>
      </c>
    </row>
    <row r="24">
      <c r="A24" s="208">
        <v>23.0</v>
      </c>
      <c r="B24" s="26"/>
      <c r="C24" s="26">
        <f t="shared" si="1"/>
        <v>0</v>
      </c>
      <c r="D24" s="26">
        <f t="shared" si="2"/>
        <v>0</v>
      </c>
      <c r="E24" s="26"/>
      <c r="F24" s="26"/>
      <c r="G24" s="174">
        <f t="shared" si="7"/>
        <v>0</v>
      </c>
      <c r="H24" s="174">
        <f t="shared" si="11"/>
        <v>0</v>
      </c>
      <c r="I24" s="209">
        <f>(D24*Prices!$A$2)+3000</f>
        <v>3000</v>
      </c>
      <c r="J24" s="209">
        <f t="shared" si="3"/>
        <v>3000</v>
      </c>
    </row>
    <row r="25">
      <c r="A25" s="208">
        <v>24.0</v>
      </c>
      <c r="B25" s="26"/>
      <c r="C25" s="26">
        <f t="shared" si="1"/>
        <v>0</v>
      </c>
      <c r="D25" s="26">
        <f t="shared" si="2"/>
        <v>0</v>
      </c>
      <c r="E25" s="26"/>
      <c r="F25" s="26"/>
      <c r="G25" s="174">
        <f t="shared" si="7"/>
        <v>0</v>
      </c>
      <c r="H25" s="174">
        <f t="shared" si="11"/>
        <v>0</v>
      </c>
      <c r="I25" s="209">
        <f>(D25*Prices!$A$2)+3000</f>
        <v>3000</v>
      </c>
      <c r="J25" s="209">
        <f t="shared" si="3"/>
        <v>3000</v>
      </c>
    </row>
    <row r="26">
      <c r="A26" s="208">
        <v>25.0</v>
      </c>
      <c r="B26" s="26"/>
      <c r="C26" s="26">
        <f t="shared" si="1"/>
        <v>0</v>
      </c>
      <c r="D26" s="26">
        <f t="shared" si="2"/>
        <v>0</v>
      </c>
      <c r="E26" s="26"/>
      <c r="F26" s="26"/>
      <c r="G26" s="174">
        <f t="shared" si="7"/>
        <v>0</v>
      </c>
      <c r="H26" s="174">
        <f t="shared" si="11"/>
        <v>0</v>
      </c>
      <c r="I26" s="209">
        <f>(D26*Prices!$A$2)+3000</f>
        <v>3000</v>
      </c>
      <c r="J26" s="209">
        <f t="shared" si="3"/>
        <v>3000</v>
      </c>
    </row>
    <row r="27">
      <c r="A27" s="208">
        <v>26.0</v>
      </c>
      <c r="B27" s="26"/>
      <c r="C27" s="26">
        <f t="shared" si="1"/>
        <v>0</v>
      </c>
      <c r="D27" s="26">
        <f t="shared" si="2"/>
        <v>0</v>
      </c>
      <c r="E27" s="26"/>
      <c r="F27" s="26"/>
      <c r="G27" s="174">
        <f t="shared" si="7"/>
        <v>0</v>
      </c>
      <c r="H27" s="174">
        <f t="shared" si="11"/>
        <v>0</v>
      </c>
      <c r="I27" s="209">
        <f>(D27*Prices!$A$2)+3000</f>
        <v>3000</v>
      </c>
      <c r="J27" s="209">
        <f t="shared" si="3"/>
        <v>3000</v>
      </c>
    </row>
    <row r="28">
      <c r="B28" s="26"/>
      <c r="C28" s="26"/>
      <c r="D28" s="26"/>
      <c r="E28" s="26"/>
      <c r="F28" s="26"/>
      <c r="G28" s="174"/>
      <c r="H28" s="174"/>
      <c r="I28" s="209"/>
      <c r="J28" s="209"/>
    </row>
    <row r="29">
      <c r="B29" s="26"/>
      <c r="C29" s="26"/>
      <c r="D29" s="26"/>
      <c r="E29" s="26"/>
      <c r="F29" s="26"/>
      <c r="G29" s="174"/>
      <c r="H29" s="174"/>
      <c r="I29" s="209"/>
      <c r="J29" s="209"/>
    </row>
    <row r="30">
      <c r="B30" s="26"/>
      <c r="C30" s="26"/>
      <c r="D30" s="26"/>
      <c r="E30" s="26"/>
      <c r="F30" s="26"/>
      <c r="G30" s="174"/>
      <c r="H30" s="174"/>
      <c r="I30" s="209"/>
      <c r="J30" s="209"/>
    </row>
    <row r="31">
      <c r="B31" s="26"/>
      <c r="C31" s="26"/>
      <c r="D31" s="26"/>
      <c r="E31" s="26"/>
      <c r="F31" s="26"/>
      <c r="G31" s="174"/>
      <c r="H31" s="174"/>
      <c r="I31" s="209"/>
      <c r="J31" s="209"/>
    </row>
    <row r="32">
      <c r="B32" s="26"/>
      <c r="C32" s="26"/>
      <c r="D32" s="26"/>
      <c r="E32" s="26"/>
      <c r="F32" s="26"/>
      <c r="G32" s="174"/>
      <c r="H32" s="174"/>
      <c r="I32" s="209"/>
      <c r="J32" s="209"/>
    </row>
    <row r="33">
      <c r="B33" s="26"/>
      <c r="C33" s="26"/>
      <c r="D33" s="26"/>
      <c r="E33" s="26"/>
      <c r="F33" s="26"/>
      <c r="G33" s="174"/>
      <c r="H33" s="174"/>
      <c r="I33" s="209"/>
      <c r="J33" s="209"/>
    </row>
    <row r="34">
      <c r="B34" s="26"/>
      <c r="C34" s="26"/>
      <c r="D34" s="26"/>
      <c r="E34" s="26"/>
      <c r="F34" s="26"/>
      <c r="G34" s="174"/>
      <c r="H34" s="174"/>
      <c r="I34" s="209"/>
      <c r="J34" s="209"/>
    </row>
    <row r="35">
      <c r="C35" s="26"/>
      <c r="D35" s="26"/>
      <c r="E35" s="26"/>
      <c r="F35" s="26"/>
      <c r="G35" s="174"/>
      <c r="H35" s="174"/>
      <c r="I35" s="209"/>
      <c r="J35" s="209"/>
    </row>
    <row r="36">
      <c r="B36" s="26"/>
      <c r="C36" s="26"/>
      <c r="D36" s="26"/>
      <c r="E36" s="26"/>
      <c r="F36" s="26"/>
      <c r="I36" s="209"/>
      <c r="J36" s="209"/>
    </row>
    <row r="37">
      <c r="B37" s="26"/>
      <c r="C37" s="26"/>
      <c r="D37" s="26"/>
      <c r="E37" s="26"/>
      <c r="F37" s="26"/>
      <c r="I37" s="209"/>
      <c r="J37" s="209"/>
    </row>
    <row r="38">
      <c r="B38" s="26"/>
      <c r="C38" s="26"/>
      <c r="D38" s="26"/>
      <c r="E38" s="26"/>
      <c r="F38" s="26"/>
      <c r="I38" s="209"/>
      <c r="J38" s="209"/>
    </row>
    <row r="39">
      <c r="B39" s="26"/>
      <c r="C39" s="26"/>
      <c r="D39" s="26"/>
      <c r="E39" s="26"/>
      <c r="F39" s="26"/>
      <c r="I39" s="209"/>
      <c r="J39" s="209"/>
    </row>
    <row r="40">
      <c r="B40" s="26"/>
      <c r="C40" s="26"/>
      <c r="D40" s="26"/>
      <c r="E40" s="26"/>
      <c r="F40" s="26"/>
      <c r="I40" s="209"/>
      <c r="J40" s="209"/>
    </row>
    <row r="41">
      <c r="B41" s="26"/>
      <c r="C41" s="26"/>
      <c r="D41" s="26"/>
      <c r="E41" s="26"/>
      <c r="F41" s="26"/>
      <c r="I41" s="209"/>
      <c r="J41" s="209"/>
    </row>
    <row r="42">
      <c r="B42" s="26"/>
      <c r="C42" s="26"/>
      <c r="D42" s="26"/>
      <c r="E42" s="26"/>
      <c r="F42" s="26"/>
      <c r="I42" s="209"/>
      <c r="J42" s="209"/>
    </row>
    <row r="43">
      <c r="B43" s="26"/>
      <c r="C43" s="26"/>
      <c r="D43" s="26"/>
      <c r="E43" s="26"/>
      <c r="F43" s="26"/>
      <c r="I43" s="209"/>
      <c r="J43" s="209"/>
    </row>
    <row r="44">
      <c r="B44" s="26"/>
      <c r="C44" s="26"/>
      <c r="D44" s="26"/>
      <c r="E44" s="26"/>
      <c r="F44" s="26"/>
      <c r="I44" s="209"/>
      <c r="J44" s="209"/>
    </row>
    <row r="45">
      <c r="C45" s="26"/>
      <c r="D45" s="26"/>
      <c r="E45" s="26"/>
      <c r="F45" s="26"/>
      <c r="G45" s="174"/>
      <c r="H45" s="174"/>
      <c r="I45" s="209"/>
      <c r="J45" s="209"/>
    </row>
  </sheetData>
  <conditionalFormatting sqref="L2:L50">
    <cfRule type="containsText" dxfId="4" priority="1" operator="containsText" text="Available">
      <formula>NOT(ISERROR(SEARCH(("Available"),(L2))))</formula>
    </cfRule>
  </conditionalFormatting>
  <conditionalFormatting sqref="L2:L50">
    <cfRule type="containsText" dxfId="5" priority="2" operator="containsText" text="Sold">
      <formula>NOT(ISERROR(SEARCH(("Sold"),(L2))))</formula>
    </cfRule>
  </conditionalFormatting>
  <conditionalFormatting sqref="L2:L50">
    <cfRule type="containsText" dxfId="6" priority="3" operator="containsText" text="Return">
      <formula>NOT(ISERROR(SEARCH(("Return"),(L2))))</formula>
    </cfRule>
  </conditionalFormatting>
  <printOptions/>
  <pageMargins bottom="0.75" footer="0.0" header="0.0" left="0.25" right="0.25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43"/>
    <col customWidth="1" min="10" max="10" width="9.86"/>
    <col customWidth="1" min="11" max="11" width="8.14"/>
    <col customWidth="1" min="12" max="13" width="13.57"/>
    <col customWidth="1" min="14" max="15" width="12.71"/>
    <col customWidth="1" min="16" max="16" width="13.0"/>
    <col customWidth="1" min="17" max="18" width="14.0"/>
    <col customWidth="1" min="19" max="19" width="17.57"/>
    <col customWidth="1" min="20" max="20" width="14.57"/>
    <col customWidth="1" min="21" max="21" width="18.71"/>
    <col customWidth="1" min="22" max="22" width="12.29"/>
    <col customWidth="1" min="23" max="23" width="17.14"/>
    <col customWidth="1" min="24" max="24" width="9.86"/>
    <col customWidth="1" min="25" max="25" width="16.0"/>
    <col customWidth="1" min="26" max="26" width="4.14"/>
    <col customWidth="1" min="27" max="27" width="8.71"/>
  </cols>
  <sheetData>
    <row r="1" ht="15.0" customHeight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15" t="s">
        <v>67</v>
      </c>
      <c r="M1" s="115" t="s">
        <v>67</v>
      </c>
      <c r="N1" s="115" t="s">
        <v>67</v>
      </c>
      <c r="O1" s="115" t="s">
        <v>67</v>
      </c>
      <c r="P1" s="115" t="s">
        <v>68</v>
      </c>
      <c r="Q1" s="210" t="s">
        <v>69</v>
      </c>
      <c r="R1" s="210" t="s">
        <v>93</v>
      </c>
      <c r="S1" s="115" t="s">
        <v>70</v>
      </c>
      <c r="T1" s="210" t="s">
        <v>55</v>
      </c>
      <c r="U1" s="171" t="s">
        <v>94</v>
      </c>
      <c r="V1" s="26">
        <v>40.0</v>
      </c>
      <c r="W1" s="169" t="s">
        <v>95</v>
      </c>
      <c r="X1" s="169"/>
      <c r="Y1" s="169"/>
      <c r="Z1" s="169"/>
      <c r="AA1" s="169"/>
    </row>
    <row r="2" ht="15.0" customHeight="1">
      <c r="A2" s="169"/>
      <c r="B2" s="169">
        <v>2.0</v>
      </c>
      <c r="C2" s="169">
        <f t="shared" ref="C2:C34" si="1">B2*(25/100)</f>
        <v>0.5</v>
      </c>
      <c r="D2" s="26">
        <f t="shared" ref="D2:D34" si="2">C2+B2</f>
        <v>2.5</v>
      </c>
      <c r="E2" s="26">
        <v>0.15</v>
      </c>
      <c r="F2" s="26"/>
      <c r="G2" s="26"/>
      <c r="H2" s="26"/>
      <c r="I2" s="26"/>
      <c r="J2" s="26"/>
      <c r="K2" s="26"/>
      <c r="L2" s="174">
        <f>E2*Prices!B$2</f>
        <v>16500</v>
      </c>
      <c r="M2" s="174">
        <f t="shared" ref="M2:M35" si="3">F2*180000</f>
        <v>0</v>
      </c>
      <c r="N2" s="174">
        <f t="shared" ref="N2:N35" si="4">G2*375000</f>
        <v>0</v>
      </c>
      <c r="O2" s="174">
        <f>H2*Prices!E$2</f>
        <v>0</v>
      </c>
      <c r="P2" s="174">
        <f>I2*5000+J2*14000+K2*1800</f>
        <v>0</v>
      </c>
      <c r="Q2" s="174">
        <f>D2*Prices!$A$2</f>
        <v>44625</v>
      </c>
      <c r="R2" s="174">
        <f t="shared" ref="R2:R35" si="5">Q2*0.02</f>
        <v>892.5</v>
      </c>
      <c r="S2" s="174">
        <f t="shared" ref="S2:S35" si="6">L2+M2+N2+O2</f>
        <v>16500</v>
      </c>
      <c r="T2" s="174">
        <f t="shared" ref="T2:T35" si="7">S2+Q2+P2</f>
        <v>61125</v>
      </c>
      <c r="U2" s="175">
        <f t="shared" ref="U2:U35" si="8">P2+Q2+(S2-(S2*($V$1/100)))</f>
        <v>54525</v>
      </c>
      <c r="V2" s="174">
        <f t="shared" ref="V2:V35" si="9">T2-U2</f>
        <v>6600</v>
      </c>
      <c r="W2" s="211">
        <f>((D2*0.6)/11.664)*Prices!$A$4+E2*38000+F2*51900+G2*60900+K2*600</f>
        <v>45823.45679</v>
      </c>
      <c r="X2" s="26"/>
      <c r="Y2" s="26"/>
      <c r="Z2" s="26"/>
      <c r="AA2" s="26"/>
    </row>
    <row r="3" ht="15.0" customHeight="1">
      <c r="A3" s="169"/>
      <c r="B3" s="169">
        <v>2.808</v>
      </c>
      <c r="C3" s="169">
        <f t="shared" si="1"/>
        <v>0.702</v>
      </c>
      <c r="D3" s="26">
        <f t="shared" si="2"/>
        <v>3.51</v>
      </c>
      <c r="E3" s="26"/>
      <c r="F3" s="26">
        <v>0.6</v>
      </c>
      <c r="G3" s="26"/>
      <c r="H3" s="26"/>
      <c r="I3" s="26"/>
      <c r="J3" s="26">
        <v>4.66</v>
      </c>
      <c r="K3" s="26"/>
      <c r="L3" s="174">
        <f>E3*Prices!B$2</f>
        <v>0</v>
      </c>
      <c r="M3" s="174">
        <f t="shared" si="3"/>
        <v>108000</v>
      </c>
      <c r="N3" s="174">
        <f t="shared" si="4"/>
        <v>0</v>
      </c>
      <c r="O3" s="174">
        <f>H3*Prices!E$2</f>
        <v>0</v>
      </c>
      <c r="P3" s="174">
        <f>I3*5000+J3*18000+K3*1800</f>
        <v>83880</v>
      </c>
      <c r="Q3" s="174">
        <f>D3*Prices!$A$2</f>
        <v>62653.5</v>
      </c>
      <c r="R3" s="174">
        <f t="shared" si="5"/>
        <v>1253.07</v>
      </c>
      <c r="S3" s="174">
        <f t="shared" si="6"/>
        <v>108000</v>
      </c>
      <c r="T3" s="174">
        <f t="shared" si="7"/>
        <v>254533.5</v>
      </c>
      <c r="U3" s="175">
        <f t="shared" si="8"/>
        <v>211333.5</v>
      </c>
      <c r="V3" s="174">
        <f t="shared" si="9"/>
        <v>43200</v>
      </c>
      <c r="W3" s="211">
        <f>((D3*0.6)/11.664)*Prices!$A$4+E3*38000+F3*51900+G3*60900+K3*600</f>
        <v>87473.33333</v>
      </c>
      <c r="X3" s="26"/>
      <c r="Y3" s="26"/>
      <c r="Z3" s="26"/>
      <c r="AA3" s="26"/>
    </row>
    <row r="4" ht="15.0" customHeight="1">
      <c r="A4" s="169"/>
      <c r="B4" s="169">
        <v>4.5</v>
      </c>
      <c r="C4" s="169">
        <f t="shared" si="1"/>
        <v>1.125</v>
      </c>
      <c r="D4" s="26">
        <f t="shared" si="2"/>
        <v>5.625</v>
      </c>
      <c r="E4" s="26">
        <v>0.5</v>
      </c>
      <c r="F4" s="26"/>
      <c r="G4" s="26"/>
      <c r="H4" s="26"/>
      <c r="I4" s="26"/>
      <c r="J4" s="26">
        <v>16.0</v>
      </c>
      <c r="K4" s="26"/>
      <c r="L4" s="174">
        <f>E4*Prices!B$2</f>
        <v>55000</v>
      </c>
      <c r="M4" s="174">
        <f t="shared" si="3"/>
        <v>0</v>
      </c>
      <c r="N4" s="174">
        <f t="shared" si="4"/>
        <v>0</v>
      </c>
      <c r="O4" s="174">
        <f>H4*Prices!E$2</f>
        <v>0</v>
      </c>
      <c r="P4" s="174">
        <f>I4*5000+J4*8000+K4*1800</f>
        <v>128000</v>
      </c>
      <c r="Q4" s="174">
        <f>D4*Prices!$A$2</f>
        <v>100406.25</v>
      </c>
      <c r="R4" s="174">
        <f t="shared" si="5"/>
        <v>2008.125</v>
      </c>
      <c r="S4" s="174">
        <f t="shared" si="6"/>
        <v>55000</v>
      </c>
      <c r="T4" s="174">
        <f t="shared" si="7"/>
        <v>283406.25</v>
      </c>
      <c r="U4" s="175">
        <f t="shared" si="8"/>
        <v>261406.25</v>
      </c>
      <c r="V4" s="174">
        <f t="shared" si="9"/>
        <v>22000</v>
      </c>
      <c r="W4" s="211">
        <f>((D4*0.6)/11.664)*Prices!$A$4+E4*38000+F4*51900+G4*60900+K4*600</f>
        <v>109277.7778</v>
      </c>
      <c r="X4" s="26"/>
      <c r="Y4" s="26"/>
      <c r="Z4" s="26"/>
      <c r="AA4" s="26"/>
    </row>
    <row r="5" ht="15.0" customHeight="1">
      <c r="A5" s="169"/>
      <c r="B5" s="169"/>
      <c r="C5" s="169">
        <f t="shared" si="1"/>
        <v>0</v>
      </c>
      <c r="D5" s="26">
        <f t="shared" si="2"/>
        <v>0</v>
      </c>
      <c r="E5" s="26"/>
      <c r="F5" s="26"/>
      <c r="G5" s="26"/>
      <c r="H5" s="26"/>
      <c r="I5" s="26"/>
      <c r="J5" s="26"/>
      <c r="K5" s="26"/>
      <c r="L5" s="174">
        <f>E5*Prices!B$2</f>
        <v>0</v>
      </c>
      <c r="M5" s="174">
        <f t="shared" si="3"/>
        <v>0</v>
      </c>
      <c r="N5" s="174">
        <f t="shared" si="4"/>
        <v>0</v>
      </c>
      <c r="O5" s="174">
        <f>H5*Prices!E$2</f>
        <v>0</v>
      </c>
      <c r="P5" s="174">
        <f t="shared" ref="P5:P35" si="10">I5*5000+J5*14000+K5*1800</f>
        <v>0</v>
      </c>
      <c r="Q5" s="174">
        <f>D5*Prices!$A$2</f>
        <v>0</v>
      </c>
      <c r="R5" s="174">
        <f t="shared" si="5"/>
        <v>0</v>
      </c>
      <c r="S5" s="174">
        <f t="shared" si="6"/>
        <v>0</v>
      </c>
      <c r="T5" s="174">
        <f t="shared" si="7"/>
        <v>0</v>
      </c>
      <c r="U5" s="175">
        <f t="shared" si="8"/>
        <v>0</v>
      </c>
      <c r="V5" s="174">
        <f t="shared" si="9"/>
        <v>0</v>
      </c>
      <c r="W5" s="211">
        <f>((D5*0.6)/11.664)*Prices!$A$4+E5*38000+F5*51900+G5*60900+K5*600</f>
        <v>0</v>
      </c>
      <c r="X5" s="26"/>
      <c r="Y5" s="26"/>
      <c r="Z5" s="26"/>
      <c r="AA5" s="26"/>
    </row>
    <row r="6" ht="15.0" customHeight="1">
      <c r="A6" s="169"/>
      <c r="B6" s="169"/>
      <c r="C6" s="169">
        <f t="shared" si="1"/>
        <v>0</v>
      </c>
      <c r="D6" s="26">
        <f t="shared" si="2"/>
        <v>0</v>
      </c>
      <c r="E6" s="26"/>
      <c r="F6" s="26"/>
      <c r="G6" s="26"/>
      <c r="H6" s="26"/>
      <c r="I6" s="26"/>
      <c r="J6" s="26"/>
      <c r="K6" s="26"/>
      <c r="L6" s="174">
        <f>E6*Prices!B$2</f>
        <v>0</v>
      </c>
      <c r="M6" s="174">
        <f t="shared" si="3"/>
        <v>0</v>
      </c>
      <c r="N6" s="174">
        <f t="shared" si="4"/>
        <v>0</v>
      </c>
      <c r="O6" s="174">
        <f>H6*Prices!E$2</f>
        <v>0</v>
      </c>
      <c r="P6" s="174">
        <f t="shared" si="10"/>
        <v>0</v>
      </c>
      <c r="Q6" s="174">
        <f>D6*Prices!$A$2</f>
        <v>0</v>
      </c>
      <c r="R6" s="174">
        <f t="shared" si="5"/>
        <v>0</v>
      </c>
      <c r="S6" s="174">
        <f t="shared" si="6"/>
        <v>0</v>
      </c>
      <c r="T6" s="174">
        <f t="shared" si="7"/>
        <v>0</v>
      </c>
      <c r="U6" s="175">
        <f t="shared" si="8"/>
        <v>0</v>
      </c>
      <c r="V6" s="174">
        <f t="shared" si="9"/>
        <v>0</v>
      </c>
      <c r="W6" s="211">
        <f>((D6*0.6)/11.664)*Prices!$A$4+E6*38000+F6*51900+G6*60900+K6*600</f>
        <v>0</v>
      </c>
      <c r="X6" s="26"/>
      <c r="Y6" s="26"/>
      <c r="Z6" s="26"/>
      <c r="AA6" s="26"/>
    </row>
    <row r="7" ht="15.0" customHeight="1">
      <c r="A7" s="169"/>
      <c r="B7" s="169"/>
      <c r="C7" s="169">
        <f t="shared" si="1"/>
        <v>0</v>
      </c>
      <c r="D7" s="26">
        <f t="shared" si="2"/>
        <v>0</v>
      </c>
      <c r="E7" s="26"/>
      <c r="F7" s="26"/>
      <c r="G7" s="26"/>
      <c r="H7" s="26"/>
      <c r="I7" s="26"/>
      <c r="J7" s="26"/>
      <c r="K7" s="26"/>
      <c r="L7" s="174">
        <f>E7*Prices!B$2</f>
        <v>0</v>
      </c>
      <c r="M7" s="174">
        <f t="shared" si="3"/>
        <v>0</v>
      </c>
      <c r="N7" s="174">
        <f t="shared" si="4"/>
        <v>0</v>
      </c>
      <c r="O7" s="174">
        <f>H7*Prices!E$2</f>
        <v>0</v>
      </c>
      <c r="P7" s="174">
        <f t="shared" si="10"/>
        <v>0</v>
      </c>
      <c r="Q7" s="174">
        <f>D7*Prices!$A$2</f>
        <v>0</v>
      </c>
      <c r="R7" s="174">
        <f t="shared" si="5"/>
        <v>0</v>
      </c>
      <c r="S7" s="174">
        <f t="shared" si="6"/>
        <v>0</v>
      </c>
      <c r="T7" s="174">
        <f t="shared" si="7"/>
        <v>0</v>
      </c>
      <c r="U7" s="175">
        <f t="shared" si="8"/>
        <v>0</v>
      </c>
      <c r="V7" s="174">
        <f t="shared" si="9"/>
        <v>0</v>
      </c>
      <c r="W7" s="211">
        <f>((D7*0.6)/11.664)*Prices!$A$4+E7*38000+F7*51900+G7*60900+K7*600</f>
        <v>0</v>
      </c>
      <c r="X7" s="26"/>
      <c r="Y7" s="26"/>
      <c r="Z7" s="26"/>
      <c r="AA7" s="26"/>
    </row>
    <row r="8" ht="15.0" customHeight="1">
      <c r="A8" s="26"/>
      <c r="B8" s="169"/>
      <c r="C8" s="169">
        <f t="shared" si="1"/>
        <v>0</v>
      </c>
      <c r="D8" s="26">
        <f t="shared" si="2"/>
        <v>0</v>
      </c>
      <c r="E8" s="26"/>
      <c r="F8" s="26"/>
      <c r="G8" s="26"/>
      <c r="H8" s="26"/>
      <c r="I8" s="26"/>
      <c r="J8" s="26"/>
      <c r="K8" s="26"/>
      <c r="L8" s="174">
        <f>E8*Prices!B$2</f>
        <v>0</v>
      </c>
      <c r="M8" s="174">
        <f t="shared" si="3"/>
        <v>0</v>
      </c>
      <c r="N8" s="174">
        <f t="shared" si="4"/>
        <v>0</v>
      </c>
      <c r="O8" s="174">
        <f>H8*Prices!E$2</f>
        <v>0</v>
      </c>
      <c r="P8" s="174">
        <f t="shared" si="10"/>
        <v>0</v>
      </c>
      <c r="Q8" s="174">
        <f>D8*Prices!$A$2</f>
        <v>0</v>
      </c>
      <c r="R8" s="174">
        <f t="shared" si="5"/>
        <v>0</v>
      </c>
      <c r="S8" s="174">
        <f t="shared" si="6"/>
        <v>0</v>
      </c>
      <c r="T8" s="174">
        <f t="shared" si="7"/>
        <v>0</v>
      </c>
      <c r="U8" s="175">
        <f t="shared" si="8"/>
        <v>0</v>
      </c>
      <c r="V8" s="174">
        <f t="shared" si="9"/>
        <v>0</v>
      </c>
      <c r="W8" s="211">
        <f>((D8*0.6)/11.664)*Prices!$A$4+E8*38000+F8*51900+G8*60900+K8*600</f>
        <v>0</v>
      </c>
      <c r="X8" s="26"/>
      <c r="Y8" s="26"/>
      <c r="Z8" s="26"/>
      <c r="AA8" s="26"/>
    </row>
    <row r="9" ht="15.0" customHeight="1">
      <c r="A9" s="169"/>
      <c r="B9" s="169"/>
      <c r="C9" s="169">
        <f t="shared" si="1"/>
        <v>0</v>
      </c>
      <c r="D9" s="26">
        <f t="shared" si="2"/>
        <v>0</v>
      </c>
      <c r="E9" s="26"/>
      <c r="F9" s="26"/>
      <c r="G9" s="26"/>
      <c r="H9" s="26"/>
      <c r="I9" s="26"/>
      <c r="J9" s="26"/>
      <c r="K9" s="26"/>
      <c r="L9" s="174">
        <f>E9*Prices!B$2</f>
        <v>0</v>
      </c>
      <c r="M9" s="174">
        <f t="shared" si="3"/>
        <v>0</v>
      </c>
      <c r="N9" s="174">
        <f t="shared" si="4"/>
        <v>0</v>
      </c>
      <c r="O9" s="174">
        <f>H9*Prices!E$2</f>
        <v>0</v>
      </c>
      <c r="P9" s="174">
        <f t="shared" si="10"/>
        <v>0</v>
      </c>
      <c r="Q9" s="174">
        <f>D9*Prices!$A$2</f>
        <v>0</v>
      </c>
      <c r="R9" s="174">
        <f t="shared" si="5"/>
        <v>0</v>
      </c>
      <c r="S9" s="174">
        <f t="shared" si="6"/>
        <v>0</v>
      </c>
      <c r="T9" s="174">
        <f t="shared" si="7"/>
        <v>0</v>
      </c>
      <c r="U9" s="175">
        <f t="shared" si="8"/>
        <v>0</v>
      </c>
      <c r="V9" s="174">
        <f t="shared" si="9"/>
        <v>0</v>
      </c>
      <c r="W9" s="211">
        <f>((D9*0.6)/11.664)*Prices!$A$4+E9*38000+F9*51900+G9*60900+K9*600</f>
        <v>0</v>
      </c>
      <c r="X9" s="26"/>
      <c r="Y9" s="26"/>
      <c r="Z9" s="26"/>
      <c r="AA9" s="26"/>
    </row>
    <row r="10" ht="15.0" customHeight="1">
      <c r="A10" s="26"/>
      <c r="B10" s="169"/>
      <c r="C10" s="169">
        <f t="shared" si="1"/>
        <v>0</v>
      </c>
      <c r="D10" s="26">
        <f t="shared" si="2"/>
        <v>0</v>
      </c>
      <c r="E10" s="26"/>
      <c r="F10" s="26"/>
      <c r="G10" s="26"/>
      <c r="H10" s="26"/>
      <c r="I10" s="26"/>
      <c r="J10" s="26"/>
      <c r="K10" s="26"/>
      <c r="L10" s="174">
        <f>E10*Prices!B$2</f>
        <v>0</v>
      </c>
      <c r="M10" s="174">
        <f t="shared" si="3"/>
        <v>0</v>
      </c>
      <c r="N10" s="174">
        <f t="shared" si="4"/>
        <v>0</v>
      </c>
      <c r="O10" s="174">
        <f>H10*Prices!E$2</f>
        <v>0</v>
      </c>
      <c r="P10" s="174">
        <f t="shared" si="10"/>
        <v>0</v>
      </c>
      <c r="Q10" s="174">
        <f>D10*Prices!$A$2</f>
        <v>0</v>
      </c>
      <c r="R10" s="174">
        <f t="shared" si="5"/>
        <v>0</v>
      </c>
      <c r="S10" s="174">
        <f t="shared" si="6"/>
        <v>0</v>
      </c>
      <c r="T10" s="174">
        <f t="shared" si="7"/>
        <v>0</v>
      </c>
      <c r="U10" s="175">
        <f t="shared" si="8"/>
        <v>0</v>
      </c>
      <c r="V10" s="174">
        <f t="shared" si="9"/>
        <v>0</v>
      </c>
      <c r="W10" s="211">
        <f>((D10*0.6)/11.664)*Prices!$A$4+E10*38000+F10*51900+G10*60900+K10*600</f>
        <v>0</v>
      </c>
      <c r="X10" s="26"/>
      <c r="Y10" s="26"/>
      <c r="Z10" s="26"/>
      <c r="AA10" s="26"/>
    </row>
    <row r="11" ht="15.0" customHeight="1">
      <c r="A11" s="26"/>
      <c r="B11" s="169"/>
      <c r="C11" s="169">
        <f t="shared" si="1"/>
        <v>0</v>
      </c>
      <c r="D11" s="26">
        <f t="shared" si="2"/>
        <v>0</v>
      </c>
      <c r="E11" s="26"/>
      <c r="F11" s="26"/>
      <c r="G11" s="26"/>
      <c r="H11" s="26"/>
      <c r="I11" s="26"/>
      <c r="J11" s="26"/>
      <c r="K11" s="26"/>
      <c r="L11" s="174">
        <f>E11*Prices!B$2</f>
        <v>0</v>
      </c>
      <c r="M11" s="174">
        <f t="shared" si="3"/>
        <v>0</v>
      </c>
      <c r="N11" s="174">
        <f t="shared" si="4"/>
        <v>0</v>
      </c>
      <c r="O11" s="174">
        <f>H11*Prices!E$2</f>
        <v>0</v>
      </c>
      <c r="P11" s="174">
        <f t="shared" si="10"/>
        <v>0</v>
      </c>
      <c r="Q11" s="174">
        <f>D11*Prices!$A$2</f>
        <v>0</v>
      </c>
      <c r="R11" s="174">
        <f t="shared" si="5"/>
        <v>0</v>
      </c>
      <c r="S11" s="174">
        <f t="shared" si="6"/>
        <v>0</v>
      </c>
      <c r="T11" s="174">
        <f t="shared" si="7"/>
        <v>0</v>
      </c>
      <c r="U11" s="175">
        <f t="shared" si="8"/>
        <v>0</v>
      </c>
      <c r="V11" s="174">
        <f t="shared" si="9"/>
        <v>0</v>
      </c>
      <c r="W11" s="211">
        <f>((D11*0.6)/11.664)*Prices!$A$4+E11*38000+F11*51900+G11*60900+K11*600</f>
        <v>0</v>
      </c>
      <c r="X11" s="26"/>
      <c r="Y11" s="26"/>
      <c r="Z11" s="26"/>
      <c r="AA11" s="26"/>
    </row>
    <row r="12" ht="15.0" customHeight="1">
      <c r="A12" s="26"/>
      <c r="B12" s="169"/>
      <c r="C12" s="169">
        <f t="shared" si="1"/>
        <v>0</v>
      </c>
      <c r="D12" s="26">
        <f t="shared" si="2"/>
        <v>0</v>
      </c>
      <c r="E12" s="26"/>
      <c r="F12" s="26"/>
      <c r="G12" s="26"/>
      <c r="H12" s="26"/>
      <c r="I12" s="26"/>
      <c r="J12" s="26"/>
      <c r="K12" s="26"/>
      <c r="L12" s="174">
        <f>E12*Prices!B$2</f>
        <v>0</v>
      </c>
      <c r="M12" s="174">
        <f t="shared" si="3"/>
        <v>0</v>
      </c>
      <c r="N12" s="174">
        <f t="shared" si="4"/>
        <v>0</v>
      </c>
      <c r="O12" s="174">
        <f>H12*Prices!E$2</f>
        <v>0</v>
      </c>
      <c r="P12" s="174">
        <f t="shared" si="10"/>
        <v>0</v>
      </c>
      <c r="Q12" s="174">
        <f>D12*Prices!$A$2</f>
        <v>0</v>
      </c>
      <c r="R12" s="174">
        <f t="shared" si="5"/>
        <v>0</v>
      </c>
      <c r="S12" s="174">
        <f t="shared" si="6"/>
        <v>0</v>
      </c>
      <c r="T12" s="174">
        <f t="shared" si="7"/>
        <v>0</v>
      </c>
      <c r="U12" s="175">
        <f t="shared" si="8"/>
        <v>0</v>
      </c>
      <c r="V12" s="174">
        <f t="shared" si="9"/>
        <v>0</v>
      </c>
      <c r="W12" s="211">
        <f>((D12*0.6)/11.664)*Prices!$A$4+E12*38000+F12*51900+G12*60900+K12*600</f>
        <v>0</v>
      </c>
      <c r="X12" s="26"/>
      <c r="Y12" s="26"/>
      <c r="Z12" s="26"/>
      <c r="AA12" s="26"/>
    </row>
    <row r="13" ht="15.0" customHeight="1">
      <c r="A13" s="26"/>
      <c r="B13" s="169"/>
      <c r="C13" s="169">
        <f t="shared" si="1"/>
        <v>0</v>
      </c>
      <c r="D13" s="26">
        <f t="shared" si="2"/>
        <v>0</v>
      </c>
      <c r="E13" s="26"/>
      <c r="F13" s="26"/>
      <c r="G13" s="26"/>
      <c r="H13" s="26"/>
      <c r="I13" s="26"/>
      <c r="J13" s="26"/>
      <c r="K13" s="26"/>
      <c r="L13" s="174">
        <f>E13*Prices!B$2</f>
        <v>0</v>
      </c>
      <c r="M13" s="174">
        <f t="shared" si="3"/>
        <v>0</v>
      </c>
      <c r="N13" s="174">
        <f t="shared" si="4"/>
        <v>0</v>
      </c>
      <c r="O13" s="174">
        <f>H13*Prices!E$2</f>
        <v>0</v>
      </c>
      <c r="P13" s="174">
        <f t="shared" si="10"/>
        <v>0</v>
      </c>
      <c r="Q13" s="174">
        <f>D13*Prices!$A$2</f>
        <v>0</v>
      </c>
      <c r="R13" s="174">
        <f t="shared" si="5"/>
        <v>0</v>
      </c>
      <c r="S13" s="174">
        <f t="shared" si="6"/>
        <v>0</v>
      </c>
      <c r="T13" s="174">
        <f t="shared" si="7"/>
        <v>0</v>
      </c>
      <c r="U13" s="175">
        <f t="shared" si="8"/>
        <v>0</v>
      </c>
      <c r="V13" s="174">
        <f t="shared" si="9"/>
        <v>0</v>
      </c>
      <c r="W13" s="211">
        <f>((D13*0.6)/11.664)*Prices!$A$4+E13*38000+F13*51900+G13*60900+K13*600</f>
        <v>0</v>
      </c>
      <c r="X13" s="26"/>
      <c r="Y13" s="26"/>
      <c r="Z13" s="26"/>
      <c r="AA13" s="26"/>
    </row>
    <row r="14" ht="15.0" customHeight="1">
      <c r="A14" s="26"/>
      <c r="B14" s="169"/>
      <c r="C14" s="169">
        <f t="shared" si="1"/>
        <v>0</v>
      </c>
      <c r="D14" s="26">
        <f t="shared" si="2"/>
        <v>0</v>
      </c>
      <c r="E14" s="26"/>
      <c r="F14" s="26"/>
      <c r="G14" s="26"/>
      <c r="H14" s="26"/>
      <c r="I14" s="26"/>
      <c r="J14" s="26"/>
      <c r="K14" s="26"/>
      <c r="L14" s="174">
        <f>E14*Prices!B$2</f>
        <v>0</v>
      </c>
      <c r="M14" s="174">
        <f t="shared" si="3"/>
        <v>0</v>
      </c>
      <c r="N14" s="174">
        <f t="shared" si="4"/>
        <v>0</v>
      </c>
      <c r="O14" s="174">
        <f>H14*Prices!E$2</f>
        <v>0</v>
      </c>
      <c r="P14" s="174">
        <f t="shared" si="10"/>
        <v>0</v>
      </c>
      <c r="Q14" s="174">
        <f>D14*Prices!$A$2</f>
        <v>0</v>
      </c>
      <c r="R14" s="174">
        <f t="shared" si="5"/>
        <v>0</v>
      </c>
      <c r="S14" s="174">
        <f t="shared" si="6"/>
        <v>0</v>
      </c>
      <c r="T14" s="174">
        <f t="shared" si="7"/>
        <v>0</v>
      </c>
      <c r="U14" s="175">
        <f t="shared" si="8"/>
        <v>0</v>
      </c>
      <c r="V14" s="174">
        <f t="shared" si="9"/>
        <v>0</v>
      </c>
      <c r="W14" s="211">
        <f>((D14*0.6)/11.664)*Prices!$A$4+E14*38000+F14*51900+G14*60900+K14*600</f>
        <v>0</v>
      </c>
      <c r="X14" s="26"/>
      <c r="Y14" s="26"/>
      <c r="Z14" s="26"/>
      <c r="AA14" s="26"/>
    </row>
    <row r="15" ht="15.0" customHeight="1">
      <c r="A15" s="26"/>
      <c r="B15" s="169"/>
      <c r="C15" s="169">
        <f t="shared" si="1"/>
        <v>0</v>
      </c>
      <c r="D15" s="26">
        <f t="shared" si="2"/>
        <v>0</v>
      </c>
      <c r="E15" s="26"/>
      <c r="F15" s="26"/>
      <c r="G15" s="26"/>
      <c r="H15" s="26"/>
      <c r="I15" s="26"/>
      <c r="J15" s="26"/>
      <c r="K15" s="26"/>
      <c r="L15" s="174">
        <f>E15*Prices!B$2</f>
        <v>0</v>
      </c>
      <c r="M15" s="174">
        <f t="shared" si="3"/>
        <v>0</v>
      </c>
      <c r="N15" s="174">
        <f t="shared" si="4"/>
        <v>0</v>
      </c>
      <c r="O15" s="174">
        <f>H15*Prices!E$2</f>
        <v>0</v>
      </c>
      <c r="P15" s="174">
        <f t="shared" si="10"/>
        <v>0</v>
      </c>
      <c r="Q15" s="174">
        <f>D15*Prices!$A$2</f>
        <v>0</v>
      </c>
      <c r="R15" s="174">
        <f t="shared" si="5"/>
        <v>0</v>
      </c>
      <c r="S15" s="174">
        <f t="shared" si="6"/>
        <v>0</v>
      </c>
      <c r="T15" s="174">
        <f t="shared" si="7"/>
        <v>0</v>
      </c>
      <c r="U15" s="175">
        <f t="shared" si="8"/>
        <v>0</v>
      </c>
      <c r="V15" s="174">
        <f t="shared" si="9"/>
        <v>0</v>
      </c>
      <c r="W15" s="211">
        <f>((D15*0.6)/11.664)*Prices!$A$4+E15*38000+F15*51900+G15*60900+K15*600</f>
        <v>0</v>
      </c>
      <c r="X15" s="26"/>
      <c r="Y15" s="26"/>
      <c r="Z15" s="26"/>
      <c r="AA15" s="26"/>
    </row>
    <row r="16" ht="15.0" customHeight="1">
      <c r="A16" s="26"/>
      <c r="B16" s="169"/>
      <c r="C16" s="169">
        <f t="shared" si="1"/>
        <v>0</v>
      </c>
      <c r="D16" s="26">
        <f t="shared" si="2"/>
        <v>0</v>
      </c>
      <c r="E16" s="26"/>
      <c r="F16" s="26"/>
      <c r="G16" s="26"/>
      <c r="H16" s="26"/>
      <c r="I16" s="26"/>
      <c r="J16" s="26"/>
      <c r="K16" s="26"/>
      <c r="L16" s="174">
        <f>E16*Prices!B$2</f>
        <v>0</v>
      </c>
      <c r="M16" s="174">
        <f t="shared" si="3"/>
        <v>0</v>
      </c>
      <c r="N16" s="174">
        <f t="shared" si="4"/>
        <v>0</v>
      </c>
      <c r="O16" s="174">
        <f>H16*Prices!E$2</f>
        <v>0</v>
      </c>
      <c r="P16" s="174">
        <f t="shared" si="10"/>
        <v>0</v>
      </c>
      <c r="Q16" s="174">
        <f>D16*Prices!$A$2</f>
        <v>0</v>
      </c>
      <c r="R16" s="174">
        <f t="shared" si="5"/>
        <v>0</v>
      </c>
      <c r="S16" s="174">
        <f t="shared" si="6"/>
        <v>0</v>
      </c>
      <c r="T16" s="174">
        <f t="shared" si="7"/>
        <v>0</v>
      </c>
      <c r="U16" s="175">
        <f t="shared" si="8"/>
        <v>0</v>
      </c>
      <c r="V16" s="174">
        <f t="shared" si="9"/>
        <v>0</v>
      </c>
      <c r="W16" s="211">
        <f>((D16*0.6)/11.664)*Prices!$A$4+E16*38000+F16*51900+G16*60900+K16*600</f>
        <v>0</v>
      </c>
      <c r="X16" s="26"/>
      <c r="Y16" s="26"/>
      <c r="Z16" s="26"/>
      <c r="AA16" s="26"/>
    </row>
    <row r="17" ht="15.0" customHeight="1">
      <c r="A17" s="26"/>
      <c r="B17" s="169"/>
      <c r="C17" s="169">
        <f t="shared" si="1"/>
        <v>0</v>
      </c>
      <c r="D17" s="26">
        <f t="shared" si="2"/>
        <v>0</v>
      </c>
      <c r="E17" s="26"/>
      <c r="F17" s="26"/>
      <c r="G17" s="26"/>
      <c r="H17" s="26"/>
      <c r="I17" s="26"/>
      <c r="J17" s="26"/>
      <c r="K17" s="26"/>
      <c r="L17" s="174">
        <f>E17*Prices!B$2</f>
        <v>0</v>
      </c>
      <c r="M17" s="174">
        <f t="shared" si="3"/>
        <v>0</v>
      </c>
      <c r="N17" s="174">
        <f t="shared" si="4"/>
        <v>0</v>
      </c>
      <c r="O17" s="174">
        <f>H17*Prices!E$2</f>
        <v>0</v>
      </c>
      <c r="P17" s="174">
        <f t="shared" si="10"/>
        <v>0</v>
      </c>
      <c r="Q17" s="174">
        <f>D17*Prices!$A$2</f>
        <v>0</v>
      </c>
      <c r="R17" s="174">
        <f t="shared" si="5"/>
        <v>0</v>
      </c>
      <c r="S17" s="174">
        <f t="shared" si="6"/>
        <v>0</v>
      </c>
      <c r="T17" s="174">
        <f t="shared" si="7"/>
        <v>0</v>
      </c>
      <c r="U17" s="175">
        <f t="shared" si="8"/>
        <v>0</v>
      </c>
      <c r="V17" s="174">
        <f t="shared" si="9"/>
        <v>0</v>
      </c>
      <c r="W17" s="211">
        <f>((D17*0.6)/11.664)*Prices!$A$4+E17*38000+F17*51900+G17*60900+K17*600</f>
        <v>0</v>
      </c>
      <c r="X17" s="26"/>
      <c r="Y17" s="26"/>
      <c r="Z17" s="26"/>
      <c r="AA17" s="26"/>
    </row>
    <row r="18" ht="15.0" customHeight="1">
      <c r="A18" s="26"/>
      <c r="B18" s="169"/>
      <c r="C18" s="169">
        <f t="shared" si="1"/>
        <v>0</v>
      </c>
      <c r="D18" s="26">
        <f t="shared" si="2"/>
        <v>0</v>
      </c>
      <c r="E18" s="26"/>
      <c r="F18" s="26"/>
      <c r="G18" s="26"/>
      <c r="H18" s="26"/>
      <c r="I18" s="26"/>
      <c r="J18" s="26"/>
      <c r="K18" s="26"/>
      <c r="L18" s="174">
        <f>E18*Prices!B$2</f>
        <v>0</v>
      </c>
      <c r="M18" s="174">
        <f t="shared" si="3"/>
        <v>0</v>
      </c>
      <c r="N18" s="174">
        <f t="shared" si="4"/>
        <v>0</v>
      </c>
      <c r="O18" s="174">
        <f>H18*Prices!E$2</f>
        <v>0</v>
      </c>
      <c r="P18" s="174">
        <f t="shared" si="10"/>
        <v>0</v>
      </c>
      <c r="Q18" s="174">
        <f>D18*Prices!$A$2</f>
        <v>0</v>
      </c>
      <c r="R18" s="174">
        <f t="shared" si="5"/>
        <v>0</v>
      </c>
      <c r="S18" s="174">
        <f t="shared" si="6"/>
        <v>0</v>
      </c>
      <c r="T18" s="174">
        <f t="shared" si="7"/>
        <v>0</v>
      </c>
      <c r="U18" s="175">
        <f t="shared" si="8"/>
        <v>0</v>
      </c>
      <c r="V18" s="174">
        <f t="shared" si="9"/>
        <v>0</v>
      </c>
      <c r="W18" s="211">
        <f>((D18*0.6)/11.664)*Prices!$A$4+E18*38000+F18*51900+G18*60900+K18*600</f>
        <v>0</v>
      </c>
      <c r="X18" s="26"/>
      <c r="Y18" s="26"/>
      <c r="Z18" s="26"/>
      <c r="AA18" s="26"/>
    </row>
    <row r="19" ht="15.0" customHeight="1">
      <c r="A19" s="26"/>
      <c r="B19" s="169"/>
      <c r="C19" s="169">
        <f t="shared" si="1"/>
        <v>0</v>
      </c>
      <c r="D19" s="26">
        <f t="shared" si="2"/>
        <v>0</v>
      </c>
      <c r="E19" s="26"/>
      <c r="F19" s="26"/>
      <c r="G19" s="26"/>
      <c r="H19" s="26"/>
      <c r="I19" s="26"/>
      <c r="J19" s="26"/>
      <c r="K19" s="26"/>
      <c r="L19" s="174">
        <f>E19*Prices!B$2</f>
        <v>0</v>
      </c>
      <c r="M19" s="174">
        <f t="shared" si="3"/>
        <v>0</v>
      </c>
      <c r="N19" s="174">
        <f t="shared" si="4"/>
        <v>0</v>
      </c>
      <c r="O19" s="174">
        <f>H19*Prices!E$2</f>
        <v>0</v>
      </c>
      <c r="P19" s="174">
        <f t="shared" si="10"/>
        <v>0</v>
      </c>
      <c r="Q19" s="174">
        <f>D19*Prices!$A$2</f>
        <v>0</v>
      </c>
      <c r="R19" s="174">
        <f t="shared" si="5"/>
        <v>0</v>
      </c>
      <c r="S19" s="174">
        <f t="shared" si="6"/>
        <v>0</v>
      </c>
      <c r="T19" s="174">
        <f t="shared" si="7"/>
        <v>0</v>
      </c>
      <c r="U19" s="175">
        <f t="shared" si="8"/>
        <v>0</v>
      </c>
      <c r="V19" s="174">
        <f t="shared" si="9"/>
        <v>0</v>
      </c>
      <c r="W19" s="211">
        <f>((D19*0.6)/11.664)*Prices!$A$4+E19*38000+F19*51900+G19*60900+K19*600</f>
        <v>0</v>
      </c>
      <c r="X19" s="26"/>
      <c r="Y19" s="26"/>
      <c r="Z19" s="26"/>
      <c r="AA19" s="26"/>
    </row>
    <row r="20" ht="15.0" customHeight="1">
      <c r="A20" s="26"/>
      <c r="B20" s="169"/>
      <c r="C20" s="169">
        <f t="shared" si="1"/>
        <v>0</v>
      </c>
      <c r="D20" s="26">
        <f t="shared" si="2"/>
        <v>0</v>
      </c>
      <c r="E20" s="26"/>
      <c r="F20" s="26"/>
      <c r="G20" s="26"/>
      <c r="H20" s="26"/>
      <c r="I20" s="26"/>
      <c r="J20" s="26"/>
      <c r="K20" s="26"/>
      <c r="L20" s="174">
        <f>E20*Prices!B$2</f>
        <v>0</v>
      </c>
      <c r="M20" s="174">
        <f t="shared" si="3"/>
        <v>0</v>
      </c>
      <c r="N20" s="174">
        <f t="shared" si="4"/>
        <v>0</v>
      </c>
      <c r="O20" s="174">
        <f>H20*Prices!E$2</f>
        <v>0</v>
      </c>
      <c r="P20" s="174">
        <f t="shared" si="10"/>
        <v>0</v>
      </c>
      <c r="Q20" s="174">
        <f>D20*Prices!$A$2</f>
        <v>0</v>
      </c>
      <c r="R20" s="174">
        <f t="shared" si="5"/>
        <v>0</v>
      </c>
      <c r="S20" s="174">
        <f t="shared" si="6"/>
        <v>0</v>
      </c>
      <c r="T20" s="174">
        <f t="shared" si="7"/>
        <v>0</v>
      </c>
      <c r="U20" s="175">
        <f t="shared" si="8"/>
        <v>0</v>
      </c>
      <c r="V20" s="174">
        <f t="shared" si="9"/>
        <v>0</v>
      </c>
      <c r="W20" s="211">
        <f>((D20*0.6)/11.664)*Prices!$A$4+E20*38000+F20*51900+G20*60900+K20*600</f>
        <v>0</v>
      </c>
      <c r="X20" s="26"/>
      <c r="Y20" s="26"/>
      <c r="Z20" s="26"/>
      <c r="AA20" s="26"/>
    </row>
    <row r="21" ht="15.0" customHeight="1">
      <c r="A21" s="26"/>
      <c r="B21" s="169"/>
      <c r="C21" s="169">
        <f t="shared" si="1"/>
        <v>0</v>
      </c>
      <c r="D21" s="26">
        <f t="shared" si="2"/>
        <v>0</v>
      </c>
      <c r="E21" s="26"/>
      <c r="F21" s="26"/>
      <c r="G21" s="26"/>
      <c r="H21" s="26"/>
      <c r="I21" s="26"/>
      <c r="J21" s="26"/>
      <c r="K21" s="26"/>
      <c r="L21" s="174">
        <f>E21*Prices!B$2</f>
        <v>0</v>
      </c>
      <c r="M21" s="174">
        <f t="shared" si="3"/>
        <v>0</v>
      </c>
      <c r="N21" s="174">
        <f t="shared" si="4"/>
        <v>0</v>
      </c>
      <c r="O21" s="174">
        <f>H21*Prices!E$2</f>
        <v>0</v>
      </c>
      <c r="P21" s="174">
        <f t="shared" si="10"/>
        <v>0</v>
      </c>
      <c r="Q21" s="174">
        <f>D21*Prices!$A$2</f>
        <v>0</v>
      </c>
      <c r="R21" s="174">
        <f t="shared" si="5"/>
        <v>0</v>
      </c>
      <c r="S21" s="174">
        <f t="shared" si="6"/>
        <v>0</v>
      </c>
      <c r="T21" s="174">
        <f t="shared" si="7"/>
        <v>0</v>
      </c>
      <c r="U21" s="175">
        <f t="shared" si="8"/>
        <v>0</v>
      </c>
      <c r="V21" s="174">
        <f t="shared" si="9"/>
        <v>0</v>
      </c>
      <c r="W21" s="211">
        <f>((D21*0.6)/11.664)*Prices!$A$4+E21*38000+F21*51900+G21*60900+K21*600</f>
        <v>0</v>
      </c>
      <c r="X21" s="26"/>
      <c r="Y21" s="26"/>
      <c r="Z21" s="26"/>
      <c r="AA21" s="26"/>
    </row>
    <row r="22" ht="15.0" customHeight="1">
      <c r="A22" s="26"/>
      <c r="B22" s="169"/>
      <c r="C22" s="169">
        <f t="shared" si="1"/>
        <v>0</v>
      </c>
      <c r="D22" s="26">
        <f t="shared" si="2"/>
        <v>0</v>
      </c>
      <c r="E22" s="26"/>
      <c r="F22" s="26"/>
      <c r="G22" s="26"/>
      <c r="H22" s="26"/>
      <c r="I22" s="26"/>
      <c r="J22" s="26"/>
      <c r="K22" s="26"/>
      <c r="L22" s="174">
        <f>E22*Prices!B$2</f>
        <v>0</v>
      </c>
      <c r="M22" s="174">
        <f t="shared" si="3"/>
        <v>0</v>
      </c>
      <c r="N22" s="174">
        <f t="shared" si="4"/>
        <v>0</v>
      </c>
      <c r="O22" s="174">
        <f>H22*Prices!E$2</f>
        <v>0</v>
      </c>
      <c r="P22" s="174">
        <f t="shared" si="10"/>
        <v>0</v>
      </c>
      <c r="Q22" s="174">
        <f>D22*Prices!$A$2</f>
        <v>0</v>
      </c>
      <c r="R22" s="174">
        <f t="shared" si="5"/>
        <v>0</v>
      </c>
      <c r="S22" s="174">
        <f t="shared" si="6"/>
        <v>0</v>
      </c>
      <c r="T22" s="174">
        <f t="shared" si="7"/>
        <v>0</v>
      </c>
      <c r="U22" s="175">
        <f t="shared" si="8"/>
        <v>0</v>
      </c>
      <c r="V22" s="174">
        <f t="shared" si="9"/>
        <v>0</v>
      </c>
      <c r="W22" s="211">
        <f>((D22*0.6)/11.664)*Prices!$A$4+E22*38000+F22*51900+G22*60900+K22*600</f>
        <v>0</v>
      </c>
      <c r="X22" s="26"/>
      <c r="Y22" s="26"/>
      <c r="Z22" s="26"/>
      <c r="AA22" s="26"/>
    </row>
    <row r="23">
      <c r="A23" s="26"/>
      <c r="B23" s="169"/>
      <c r="C23" s="169">
        <f t="shared" si="1"/>
        <v>0</v>
      </c>
      <c r="D23" s="26">
        <f t="shared" si="2"/>
        <v>0</v>
      </c>
      <c r="E23" s="26"/>
      <c r="F23" s="26"/>
      <c r="G23" s="26"/>
      <c r="H23" s="26"/>
      <c r="I23" s="26"/>
      <c r="J23" s="26"/>
      <c r="K23" s="26"/>
      <c r="L23" s="174">
        <f>E23*Prices!B$2</f>
        <v>0</v>
      </c>
      <c r="M23" s="174">
        <f t="shared" si="3"/>
        <v>0</v>
      </c>
      <c r="N23" s="174">
        <f t="shared" si="4"/>
        <v>0</v>
      </c>
      <c r="O23" s="174">
        <f>H23*Prices!E$2</f>
        <v>0</v>
      </c>
      <c r="P23" s="174">
        <f t="shared" si="10"/>
        <v>0</v>
      </c>
      <c r="Q23" s="174">
        <f>D23*Prices!$A$2</f>
        <v>0</v>
      </c>
      <c r="R23" s="174">
        <f t="shared" si="5"/>
        <v>0</v>
      </c>
      <c r="S23" s="174">
        <f t="shared" si="6"/>
        <v>0</v>
      </c>
      <c r="T23" s="174">
        <f t="shared" si="7"/>
        <v>0</v>
      </c>
      <c r="U23" s="175">
        <f t="shared" si="8"/>
        <v>0</v>
      </c>
      <c r="V23" s="174">
        <f t="shared" si="9"/>
        <v>0</v>
      </c>
      <c r="W23" s="211">
        <f>((D23*0.6)/11.664)*Prices!$A$4+E23*38000+F23*51900+G23*60900+K23*600</f>
        <v>0</v>
      </c>
      <c r="X23" s="26"/>
      <c r="Y23" s="26"/>
      <c r="Z23" s="26"/>
      <c r="AA23" s="26"/>
    </row>
    <row r="24">
      <c r="A24" s="26"/>
      <c r="B24" s="169"/>
      <c r="C24" s="169">
        <f t="shared" si="1"/>
        <v>0</v>
      </c>
      <c r="D24" s="26">
        <f t="shared" si="2"/>
        <v>0</v>
      </c>
      <c r="E24" s="26"/>
      <c r="F24" s="26"/>
      <c r="G24" s="26"/>
      <c r="H24" s="26"/>
      <c r="I24" s="26"/>
      <c r="J24" s="26"/>
      <c r="K24" s="26"/>
      <c r="L24" s="174">
        <f>E24*Prices!B$2</f>
        <v>0</v>
      </c>
      <c r="M24" s="174">
        <f t="shared" si="3"/>
        <v>0</v>
      </c>
      <c r="N24" s="174">
        <f t="shared" si="4"/>
        <v>0</v>
      </c>
      <c r="O24" s="174">
        <f>H24*Prices!E$2</f>
        <v>0</v>
      </c>
      <c r="P24" s="174">
        <f t="shared" si="10"/>
        <v>0</v>
      </c>
      <c r="Q24" s="174">
        <f>D24*Prices!$A$2</f>
        <v>0</v>
      </c>
      <c r="R24" s="174">
        <f t="shared" si="5"/>
        <v>0</v>
      </c>
      <c r="S24" s="174">
        <f t="shared" si="6"/>
        <v>0</v>
      </c>
      <c r="T24" s="174">
        <f t="shared" si="7"/>
        <v>0</v>
      </c>
      <c r="U24" s="175">
        <f t="shared" si="8"/>
        <v>0</v>
      </c>
      <c r="V24" s="174">
        <f t="shared" si="9"/>
        <v>0</v>
      </c>
      <c r="W24" s="211">
        <f>((D24*0.6)/11.664)*Prices!$A$4+E24*38000+F24*51900+G24*60900+K24*600</f>
        <v>0</v>
      </c>
      <c r="X24" s="26"/>
      <c r="Y24" s="26"/>
      <c r="Z24" s="26"/>
      <c r="AA24" s="26"/>
    </row>
    <row r="25">
      <c r="A25" s="26"/>
      <c r="B25" s="169"/>
      <c r="C25" s="169">
        <f t="shared" si="1"/>
        <v>0</v>
      </c>
      <c r="D25" s="26">
        <f t="shared" si="2"/>
        <v>0</v>
      </c>
      <c r="E25" s="26"/>
      <c r="F25" s="26"/>
      <c r="G25" s="26"/>
      <c r="H25" s="26"/>
      <c r="I25" s="26"/>
      <c r="J25" s="26"/>
      <c r="K25" s="26"/>
      <c r="L25" s="174">
        <f>E25*Prices!B$2</f>
        <v>0</v>
      </c>
      <c r="M25" s="174">
        <f t="shared" si="3"/>
        <v>0</v>
      </c>
      <c r="N25" s="174">
        <f t="shared" si="4"/>
        <v>0</v>
      </c>
      <c r="O25" s="174">
        <f>H25*Prices!E$2</f>
        <v>0</v>
      </c>
      <c r="P25" s="174">
        <f t="shared" si="10"/>
        <v>0</v>
      </c>
      <c r="Q25" s="174">
        <f>D25*Prices!$A$2</f>
        <v>0</v>
      </c>
      <c r="R25" s="174">
        <f t="shared" si="5"/>
        <v>0</v>
      </c>
      <c r="S25" s="174">
        <f t="shared" si="6"/>
        <v>0</v>
      </c>
      <c r="T25" s="174">
        <f t="shared" si="7"/>
        <v>0</v>
      </c>
      <c r="U25" s="175">
        <f t="shared" si="8"/>
        <v>0</v>
      </c>
      <c r="V25" s="174">
        <f t="shared" si="9"/>
        <v>0</v>
      </c>
      <c r="W25" s="211">
        <f>((D25*0.6)/11.664)*Prices!$A$4+E25*38000+F25*51900+G25*60900+K25*600</f>
        <v>0</v>
      </c>
      <c r="X25" s="26"/>
      <c r="Y25" s="26"/>
      <c r="Z25" s="26"/>
      <c r="AA25" s="26"/>
    </row>
    <row r="26">
      <c r="A26" s="26"/>
      <c r="B26" s="169"/>
      <c r="C26" s="169">
        <f t="shared" si="1"/>
        <v>0</v>
      </c>
      <c r="D26" s="26">
        <f t="shared" si="2"/>
        <v>0</v>
      </c>
      <c r="E26" s="26"/>
      <c r="F26" s="26"/>
      <c r="G26" s="26"/>
      <c r="H26" s="26"/>
      <c r="I26" s="26"/>
      <c r="J26" s="26"/>
      <c r="K26" s="26"/>
      <c r="L26" s="174">
        <f>E26*Prices!B$2</f>
        <v>0</v>
      </c>
      <c r="M26" s="174">
        <f t="shared" si="3"/>
        <v>0</v>
      </c>
      <c r="N26" s="174">
        <f t="shared" si="4"/>
        <v>0</v>
      </c>
      <c r="O26" s="174">
        <f>H26*Prices!E$2</f>
        <v>0</v>
      </c>
      <c r="P26" s="174">
        <f t="shared" si="10"/>
        <v>0</v>
      </c>
      <c r="Q26" s="174">
        <f>D26*Prices!$A$2</f>
        <v>0</v>
      </c>
      <c r="R26" s="174">
        <f t="shared" si="5"/>
        <v>0</v>
      </c>
      <c r="S26" s="174">
        <f t="shared" si="6"/>
        <v>0</v>
      </c>
      <c r="T26" s="174">
        <f t="shared" si="7"/>
        <v>0</v>
      </c>
      <c r="U26" s="175">
        <f t="shared" si="8"/>
        <v>0</v>
      </c>
      <c r="V26" s="174">
        <f t="shared" si="9"/>
        <v>0</v>
      </c>
      <c r="W26" s="211">
        <f>((D26*0.6)/11.664)*Prices!$A$4+E26*38000+F26*51900+G26*60900+K26*600</f>
        <v>0</v>
      </c>
      <c r="X26" s="26"/>
      <c r="Y26" s="26"/>
      <c r="Z26" s="26"/>
      <c r="AA26" s="26"/>
    </row>
    <row r="27" ht="15.0" customHeight="1">
      <c r="A27" s="26"/>
      <c r="B27" s="169"/>
      <c r="C27" s="169">
        <f t="shared" si="1"/>
        <v>0</v>
      </c>
      <c r="D27" s="26">
        <f t="shared" si="2"/>
        <v>0</v>
      </c>
      <c r="E27" s="26"/>
      <c r="F27" s="26"/>
      <c r="G27" s="26"/>
      <c r="H27" s="26"/>
      <c r="I27" s="26"/>
      <c r="J27" s="26"/>
      <c r="K27" s="26"/>
      <c r="L27" s="174">
        <f>E27*Prices!B$2</f>
        <v>0</v>
      </c>
      <c r="M27" s="174">
        <f t="shared" si="3"/>
        <v>0</v>
      </c>
      <c r="N27" s="174">
        <f t="shared" si="4"/>
        <v>0</v>
      </c>
      <c r="O27" s="174">
        <f>H27*Prices!E$2</f>
        <v>0</v>
      </c>
      <c r="P27" s="174">
        <f t="shared" si="10"/>
        <v>0</v>
      </c>
      <c r="Q27" s="174">
        <f>D27*Prices!$A$2</f>
        <v>0</v>
      </c>
      <c r="R27" s="174">
        <f t="shared" si="5"/>
        <v>0</v>
      </c>
      <c r="S27" s="174">
        <f t="shared" si="6"/>
        <v>0</v>
      </c>
      <c r="T27" s="174">
        <f t="shared" si="7"/>
        <v>0</v>
      </c>
      <c r="U27" s="175">
        <f t="shared" si="8"/>
        <v>0</v>
      </c>
      <c r="V27" s="174">
        <f t="shared" si="9"/>
        <v>0</v>
      </c>
      <c r="W27" s="211">
        <f>((D27*0.6)/11.664)*Prices!$A$4+E27*38000+F27*51900+G27*60900+K27*600</f>
        <v>0</v>
      </c>
      <c r="X27" s="26"/>
      <c r="Y27" s="26"/>
      <c r="Z27" s="26"/>
      <c r="AA27" s="26"/>
    </row>
    <row r="28" ht="15.0" customHeight="1">
      <c r="A28" s="26"/>
      <c r="B28" s="169"/>
      <c r="C28" s="169">
        <f t="shared" si="1"/>
        <v>0</v>
      </c>
      <c r="D28" s="26">
        <f t="shared" si="2"/>
        <v>0</v>
      </c>
      <c r="E28" s="26"/>
      <c r="F28" s="26"/>
      <c r="G28" s="26"/>
      <c r="H28" s="26"/>
      <c r="I28" s="26"/>
      <c r="J28" s="26"/>
      <c r="K28" s="26"/>
      <c r="L28" s="174">
        <f>E28*Prices!B$2</f>
        <v>0</v>
      </c>
      <c r="M28" s="174">
        <f t="shared" si="3"/>
        <v>0</v>
      </c>
      <c r="N28" s="174">
        <f t="shared" si="4"/>
        <v>0</v>
      </c>
      <c r="O28" s="174">
        <f>H28*Prices!E$2</f>
        <v>0</v>
      </c>
      <c r="P28" s="174">
        <f t="shared" si="10"/>
        <v>0</v>
      </c>
      <c r="Q28" s="174">
        <f>D28*Prices!$A$2</f>
        <v>0</v>
      </c>
      <c r="R28" s="174">
        <f t="shared" si="5"/>
        <v>0</v>
      </c>
      <c r="S28" s="174">
        <f t="shared" si="6"/>
        <v>0</v>
      </c>
      <c r="T28" s="174">
        <f t="shared" si="7"/>
        <v>0</v>
      </c>
      <c r="U28" s="175">
        <f t="shared" si="8"/>
        <v>0</v>
      </c>
      <c r="V28" s="174">
        <f t="shared" si="9"/>
        <v>0</v>
      </c>
      <c r="W28" s="211">
        <f>((D28*0.6)/11.664)*Prices!$A$4+E28*38000+F28*51900+G28*60900+K28*600</f>
        <v>0</v>
      </c>
      <c r="X28" s="26"/>
      <c r="Y28" s="26"/>
      <c r="Z28" s="26"/>
      <c r="AA28" s="26"/>
    </row>
    <row r="29">
      <c r="A29" s="26"/>
      <c r="B29" s="169"/>
      <c r="C29" s="169">
        <f t="shared" si="1"/>
        <v>0</v>
      </c>
      <c r="D29" s="26">
        <f t="shared" si="2"/>
        <v>0</v>
      </c>
      <c r="E29" s="26"/>
      <c r="F29" s="26"/>
      <c r="G29" s="26"/>
      <c r="H29" s="26"/>
      <c r="I29" s="26"/>
      <c r="J29" s="26"/>
      <c r="K29" s="26"/>
      <c r="L29" s="174">
        <f>E29*Prices!B$2</f>
        <v>0</v>
      </c>
      <c r="M29" s="174">
        <f t="shared" si="3"/>
        <v>0</v>
      </c>
      <c r="N29" s="174">
        <f t="shared" si="4"/>
        <v>0</v>
      </c>
      <c r="O29" s="174">
        <f>H29*Prices!E$2</f>
        <v>0</v>
      </c>
      <c r="P29" s="174">
        <f t="shared" si="10"/>
        <v>0</v>
      </c>
      <c r="Q29" s="174">
        <f>D29*Prices!$A$2</f>
        <v>0</v>
      </c>
      <c r="R29" s="174">
        <f t="shared" si="5"/>
        <v>0</v>
      </c>
      <c r="S29" s="174">
        <f t="shared" si="6"/>
        <v>0</v>
      </c>
      <c r="T29" s="174">
        <f t="shared" si="7"/>
        <v>0</v>
      </c>
      <c r="U29" s="175">
        <f t="shared" si="8"/>
        <v>0</v>
      </c>
      <c r="V29" s="174">
        <f t="shared" si="9"/>
        <v>0</v>
      </c>
      <c r="W29" s="211">
        <f>((D29*0.6)/11.664)*Prices!$A$4+E29*38000+F29*51900+G29*60900+K29*600</f>
        <v>0</v>
      </c>
      <c r="X29" s="26"/>
      <c r="Y29" s="26"/>
      <c r="Z29" s="26"/>
      <c r="AA29" s="26"/>
    </row>
    <row r="30">
      <c r="A30" s="26"/>
      <c r="B30" s="169"/>
      <c r="C30" s="169">
        <f t="shared" si="1"/>
        <v>0</v>
      </c>
      <c r="D30" s="26">
        <f t="shared" si="2"/>
        <v>0</v>
      </c>
      <c r="E30" s="26"/>
      <c r="F30" s="26"/>
      <c r="G30" s="26"/>
      <c r="H30" s="26"/>
      <c r="I30" s="26"/>
      <c r="J30" s="26"/>
      <c r="K30" s="26"/>
      <c r="L30" s="174">
        <f>E30*Prices!B$2</f>
        <v>0</v>
      </c>
      <c r="M30" s="174">
        <f t="shared" si="3"/>
        <v>0</v>
      </c>
      <c r="N30" s="174">
        <f t="shared" si="4"/>
        <v>0</v>
      </c>
      <c r="O30" s="174">
        <f>H30*Prices!E$2</f>
        <v>0</v>
      </c>
      <c r="P30" s="174">
        <f t="shared" si="10"/>
        <v>0</v>
      </c>
      <c r="Q30" s="174">
        <f>D30*Prices!$A$2</f>
        <v>0</v>
      </c>
      <c r="R30" s="174">
        <f t="shared" si="5"/>
        <v>0</v>
      </c>
      <c r="S30" s="174">
        <f t="shared" si="6"/>
        <v>0</v>
      </c>
      <c r="T30" s="174">
        <f t="shared" si="7"/>
        <v>0</v>
      </c>
      <c r="U30" s="175">
        <f t="shared" si="8"/>
        <v>0</v>
      </c>
      <c r="V30" s="174">
        <f t="shared" si="9"/>
        <v>0</v>
      </c>
      <c r="W30" s="211">
        <f>((D30*0.6)/11.664)*Prices!$A$4+E30*38000+F30*51900+G30*60900+K30*600</f>
        <v>0</v>
      </c>
      <c r="X30" s="26"/>
      <c r="Y30" s="26"/>
      <c r="Z30" s="26"/>
      <c r="AA30" s="26"/>
    </row>
    <row r="31">
      <c r="A31" s="26"/>
      <c r="B31" s="169"/>
      <c r="C31" s="169">
        <f t="shared" si="1"/>
        <v>0</v>
      </c>
      <c r="D31" s="26">
        <f t="shared" si="2"/>
        <v>0</v>
      </c>
      <c r="E31" s="26"/>
      <c r="F31" s="26"/>
      <c r="G31" s="26"/>
      <c r="H31" s="26"/>
      <c r="I31" s="26"/>
      <c r="J31" s="26"/>
      <c r="K31" s="26"/>
      <c r="L31" s="174">
        <f>E31*Prices!B$2</f>
        <v>0</v>
      </c>
      <c r="M31" s="174">
        <f t="shared" si="3"/>
        <v>0</v>
      </c>
      <c r="N31" s="174">
        <f t="shared" si="4"/>
        <v>0</v>
      </c>
      <c r="O31" s="174">
        <f>H31*Prices!E$2</f>
        <v>0</v>
      </c>
      <c r="P31" s="174">
        <f t="shared" si="10"/>
        <v>0</v>
      </c>
      <c r="Q31" s="174">
        <f>D31*Prices!$A$2</f>
        <v>0</v>
      </c>
      <c r="R31" s="174">
        <f t="shared" si="5"/>
        <v>0</v>
      </c>
      <c r="S31" s="174">
        <f t="shared" si="6"/>
        <v>0</v>
      </c>
      <c r="T31" s="174">
        <f t="shared" si="7"/>
        <v>0</v>
      </c>
      <c r="U31" s="175">
        <f t="shared" si="8"/>
        <v>0</v>
      </c>
      <c r="V31" s="174">
        <f t="shared" si="9"/>
        <v>0</v>
      </c>
      <c r="W31" s="211">
        <f>((D31*0.6)/11.664)*Prices!$A$4+E31*38000+F31*51900+G31*60900+K31*600</f>
        <v>0</v>
      </c>
      <c r="X31" s="26"/>
      <c r="Y31" s="26"/>
      <c r="Z31" s="26"/>
      <c r="AA31" s="26"/>
    </row>
    <row r="32">
      <c r="A32" s="26"/>
      <c r="B32" s="169"/>
      <c r="C32" s="169">
        <f t="shared" si="1"/>
        <v>0</v>
      </c>
      <c r="D32" s="26">
        <f t="shared" si="2"/>
        <v>0</v>
      </c>
      <c r="E32" s="26"/>
      <c r="F32" s="26"/>
      <c r="G32" s="26"/>
      <c r="H32" s="26"/>
      <c r="I32" s="26"/>
      <c r="J32" s="26"/>
      <c r="K32" s="26"/>
      <c r="L32" s="174">
        <f>E32*Prices!B$2</f>
        <v>0</v>
      </c>
      <c r="M32" s="174">
        <f t="shared" si="3"/>
        <v>0</v>
      </c>
      <c r="N32" s="174">
        <f t="shared" si="4"/>
        <v>0</v>
      </c>
      <c r="O32" s="174">
        <f>H32*Prices!E$2</f>
        <v>0</v>
      </c>
      <c r="P32" s="174">
        <f t="shared" si="10"/>
        <v>0</v>
      </c>
      <c r="Q32" s="174">
        <f>D32*Prices!$A$2</f>
        <v>0</v>
      </c>
      <c r="R32" s="174">
        <f t="shared" si="5"/>
        <v>0</v>
      </c>
      <c r="S32" s="174">
        <f t="shared" si="6"/>
        <v>0</v>
      </c>
      <c r="T32" s="174">
        <f t="shared" si="7"/>
        <v>0</v>
      </c>
      <c r="U32" s="175">
        <f t="shared" si="8"/>
        <v>0</v>
      </c>
      <c r="V32" s="174">
        <f t="shared" si="9"/>
        <v>0</v>
      </c>
      <c r="W32" s="211">
        <f>((D32*0.6)/11.664)*Prices!$A$4+E32*38000+F32*51900+G32*60900+K32*600</f>
        <v>0</v>
      </c>
      <c r="X32" s="26"/>
      <c r="Y32" s="26"/>
      <c r="Z32" s="26"/>
      <c r="AA32" s="26"/>
    </row>
    <row r="33">
      <c r="A33" s="26"/>
      <c r="B33" s="169"/>
      <c r="C33" s="169">
        <f t="shared" si="1"/>
        <v>0</v>
      </c>
      <c r="D33" s="26">
        <f t="shared" si="2"/>
        <v>0</v>
      </c>
      <c r="E33" s="26"/>
      <c r="F33" s="26"/>
      <c r="G33" s="26"/>
      <c r="H33" s="26"/>
      <c r="I33" s="26"/>
      <c r="J33" s="26"/>
      <c r="K33" s="26"/>
      <c r="L33" s="174">
        <f>E33*Prices!B$2</f>
        <v>0</v>
      </c>
      <c r="M33" s="174">
        <f t="shared" si="3"/>
        <v>0</v>
      </c>
      <c r="N33" s="174">
        <f t="shared" si="4"/>
        <v>0</v>
      </c>
      <c r="O33" s="174">
        <f>H33*Prices!E$2</f>
        <v>0</v>
      </c>
      <c r="P33" s="174">
        <f t="shared" si="10"/>
        <v>0</v>
      </c>
      <c r="Q33" s="174">
        <f>D33*Prices!$A$2</f>
        <v>0</v>
      </c>
      <c r="R33" s="174">
        <f t="shared" si="5"/>
        <v>0</v>
      </c>
      <c r="S33" s="174">
        <f t="shared" si="6"/>
        <v>0</v>
      </c>
      <c r="T33" s="174">
        <f t="shared" si="7"/>
        <v>0</v>
      </c>
      <c r="U33" s="175">
        <f t="shared" si="8"/>
        <v>0</v>
      </c>
      <c r="V33" s="174">
        <f t="shared" si="9"/>
        <v>0</v>
      </c>
      <c r="W33" s="211">
        <f>((D33*0.6)/11.664)*Prices!$A$4+E33*38000+F33*51900+G33*60900+K33*600</f>
        <v>0</v>
      </c>
      <c r="X33" s="26"/>
      <c r="Y33" s="26"/>
      <c r="Z33" s="26"/>
      <c r="AA33" s="26"/>
    </row>
    <row r="34">
      <c r="A34" s="26"/>
      <c r="B34" s="169"/>
      <c r="C34" s="169">
        <f t="shared" si="1"/>
        <v>0</v>
      </c>
      <c r="D34" s="26">
        <f t="shared" si="2"/>
        <v>0</v>
      </c>
      <c r="E34" s="26"/>
      <c r="F34" s="26"/>
      <c r="G34" s="26"/>
      <c r="H34" s="26"/>
      <c r="I34" s="26"/>
      <c r="J34" s="26"/>
      <c r="K34" s="26"/>
      <c r="L34" s="174">
        <f>E34*Prices!B$2</f>
        <v>0</v>
      </c>
      <c r="M34" s="174">
        <f t="shared" si="3"/>
        <v>0</v>
      </c>
      <c r="N34" s="174">
        <f t="shared" si="4"/>
        <v>0</v>
      </c>
      <c r="O34" s="174">
        <f>H34*Prices!E$2</f>
        <v>0</v>
      </c>
      <c r="P34" s="174">
        <f t="shared" si="10"/>
        <v>0</v>
      </c>
      <c r="Q34" s="174">
        <f>D34*Prices!$A$2</f>
        <v>0</v>
      </c>
      <c r="R34" s="174">
        <f t="shared" si="5"/>
        <v>0</v>
      </c>
      <c r="S34" s="174">
        <f t="shared" si="6"/>
        <v>0</v>
      </c>
      <c r="T34" s="174">
        <f t="shared" si="7"/>
        <v>0</v>
      </c>
      <c r="U34" s="175">
        <f t="shared" si="8"/>
        <v>0</v>
      </c>
      <c r="V34" s="174">
        <f t="shared" si="9"/>
        <v>0</v>
      </c>
      <c r="W34" s="211">
        <f>((D34*0.6)/11.664)*Prices!$A$4+E34*38000+F34*51900+G34*60900+K34*600</f>
        <v>0</v>
      </c>
      <c r="X34" s="26"/>
      <c r="Y34" s="26"/>
      <c r="Z34" s="26"/>
      <c r="AA34" s="26"/>
    </row>
    <row r="35">
      <c r="A35" s="26"/>
      <c r="B35" s="169"/>
      <c r="C35" s="26"/>
      <c r="D35" s="26"/>
      <c r="E35" s="26"/>
      <c r="F35" s="26"/>
      <c r="G35" s="26"/>
      <c r="H35" s="26"/>
      <c r="I35" s="26"/>
      <c r="J35" s="26"/>
      <c r="K35" s="26"/>
      <c r="L35" s="174">
        <f>E35*Prices!B$2</f>
        <v>0</v>
      </c>
      <c r="M35" s="174">
        <f t="shared" si="3"/>
        <v>0</v>
      </c>
      <c r="N35" s="174">
        <f t="shared" si="4"/>
        <v>0</v>
      </c>
      <c r="O35" s="174">
        <f>H35*Prices!E$2</f>
        <v>0</v>
      </c>
      <c r="P35" s="174">
        <f t="shared" si="10"/>
        <v>0</v>
      </c>
      <c r="Q35" s="174">
        <f>D35*Prices!$A$2</f>
        <v>0</v>
      </c>
      <c r="R35" s="174">
        <f t="shared" si="5"/>
        <v>0</v>
      </c>
      <c r="S35" s="174">
        <f t="shared" si="6"/>
        <v>0</v>
      </c>
      <c r="T35" s="174">
        <f t="shared" si="7"/>
        <v>0</v>
      </c>
      <c r="U35" s="175">
        <f t="shared" si="8"/>
        <v>0</v>
      </c>
      <c r="V35" s="174">
        <f t="shared" si="9"/>
        <v>0</v>
      </c>
      <c r="W35" s="211">
        <f>((D35*0.6)/11.664)*Prices!$A$4+E35*38000+F35*51900+G35*60900+K35*600</f>
        <v>0</v>
      </c>
      <c r="X35" s="26"/>
      <c r="Y35" s="26"/>
      <c r="Z35" s="26"/>
      <c r="AA35" s="26"/>
    </row>
    <row r="36">
      <c r="A36" s="26"/>
      <c r="B36" s="169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169"/>
      <c r="X36" s="26"/>
      <c r="Y36" s="26"/>
      <c r="Z36" s="26"/>
      <c r="AA36" s="26"/>
    </row>
    <row r="37">
      <c r="A37" s="26"/>
      <c r="B37" s="169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169"/>
      <c r="X37" s="26"/>
      <c r="Y37" s="26"/>
      <c r="Z37" s="26"/>
      <c r="AA37" s="26"/>
    </row>
    <row r="38">
      <c r="A38" s="26"/>
      <c r="B38" s="169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169"/>
      <c r="X38" s="26"/>
      <c r="Y38" s="26"/>
      <c r="Z38" s="26"/>
      <c r="AA38" s="26"/>
    </row>
    <row r="39">
      <c r="A39" s="26"/>
      <c r="B39" s="169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169"/>
      <c r="X39" s="26"/>
      <c r="Y39" s="26"/>
      <c r="Z39" s="26"/>
      <c r="AA39" s="26"/>
    </row>
    <row r="40">
      <c r="A40" s="26"/>
      <c r="B40" s="169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169"/>
      <c r="X40" s="26"/>
      <c r="Y40" s="26"/>
      <c r="Z40" s="26"/>
      <c r="AA40" s="26"/>
    </row>
    <row r="41">
      <c r="A41" s="26"/>
      <c r="B41" s="169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169"/>
      <c r="X41" s="26"/>
      <c r="Y41" s="26"/>
      <c r="Z41" s="26"/>
      <c r="AA41" s="26"/>
    </row>
    <row r="42">
      <c r="A42" s="26"/>
      <c r="B42" s="169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169"/>
      <c r="X42" s="26"/>
      <c r="Y42" s="26"/>
      <c r="Z42" s="26"/>
      <c r="AA42" s="26"/>
    </row>
    <row r="43">
      <c r="A43" s="26"/>
      <c r="B43" s="169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169"/>
      <c r="X43" s="26"/>
      <c r="Y43" s="26"/>
      <c r="Z43" s="26"/>
      <c r="AA43" s="26"/>
    </row>
    <row r="44">
      <c r="A44" s="26"/>
      <c r="B44" s="169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169"/>
      <c r="X44" s="26"/>
      <c r="Y44" s="26"/>
      <c r="Z44" s="26"/>
      <c r="AA44" s="26"/>
    </row>
    <row r="45">
      <c r="A45" s="26"/>
      <c r="B45" s="169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169"/>
      <c r="X45" s="26"/>
      <c r="Y45" s="26"/>
      <c r="Z45" s="26"/>
      <c r="AA45" s="26"/>
    </row>
    <row r="46">
      <c r="A46" s="26"/>
      <c r="B46" s="169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169"/>
      <c r="X46" s="26"/>
      <c r="Y46" s="26"/>
      <c r="Z46" s="26"/>
      <c r="AA46" s="26"/>
    </row>
    <row r="47">
      <c r="A47" s="26"/>
      <c r="B47" s="169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169"/>
      <c r="X47" s="26"/>
      <c r="Y47" s="26"/>
      <c r="Z47" s="26"/>
      <c r="AA47" s="26"/>
    </row>
    <row r="48">
      <c r="A48" s="26"/>
      <c r="B48" s="16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169"/>
      <c r="X48" s="26"/>
      <c r="Y48" s="26"/>
      <c r="Z48" s="26"/>
      <c r="AA48" s="26"/>
    </row>
    <row r="49">
      <c r="A49" s="26"/>
      <c r="B49" s="169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169"/>
      <c r="X49" s="26"/>
      <c r="Y49" s="26"/>
      <c r="Z49" s="26"/>
      <c r="AA49" s="26"/>
    </row>
    <row r="50">
      <c r="A50" s="26"/>
      <c r="B50" s="169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169"/>
      <c r="X50" s="26"/>
      <c r="Y50" s="26"/>
      <c r="Z50" s="26"/>
      <c r="AA50" s="26"/>
    </row>
    <row r="51">
      <c r="A51" s="26"/>
      <c r="B51" s="169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169"/>
      <c r="X51" s="26"/>
      <c r="Y51" s="26"/>
      <c r="Z51" s="26"/>
      <c r="AA51" s="26"/>
    </row>
    <row r="52">
      <c r="A52" s="26"/>
      <c r="B52" s="169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169"/>
      <c r="X52" s="26"/>
      <c r="Y52" s="26"/>
      <c r="Z52" s="26"/>
      <c r="AA52" s="26"/>
    </row>
    <row r="53">
      <c r="A53" s="26"/>
      <c r="B53" s="169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169"/>
      <c r="X53" s="26"/>
      <c r="Y53" s="26"/>
      <c r="Z53" s="26"/>
      <c r="AA53" s="26"/>
    </row>
    <row r="54">
      <c r="A54" s="26"/>
      <c r="B54" s="169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169"/>
      <c r="X54" s="26"/>
      <c r="Y54" s="26"/>
      <c r="Z54" s="26"/>
      <c r="AA54" s="26"/>
    </row>
    <row r="55">
      <c r="A55" s="26"/>
      <c r="B55" s="169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169"/>
      <c r="X55" s="26"/>
      <c r="Y55" s="26"/>
      <c r="Z55" s="26"/>
      <c r="AA55" s="26"/>
    </row>
    <row r="56">
      <c r="A56" s="26"/>
      <c r="B56" s="169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169"/>
      <c r="X56" s="26"/>
      <c r="Y56" s="26"/>
      <c r="Z56" s="26"/>
      <c r="AA56" s="26"/>
    </row>
    <row r="57">
      <c r="A57" s="26"/>
      <c r="B57" s="169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169"/>
      <c r="X57" s="26"/>
      <c r="Y57" s="26"/>
      <c r="Z57" s="26"/>
      <c r="AA57" s="26"/>
    </row>
    <row r="58">
      <c r="A58" s="26"/>
      <c r="B58" s="16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169"/>
      <c r="X58" s="26"/>
      <c r="Y58" s="26"/>
      <c r="Z58" s="26"/>
      <c r="AA58" s="26"/>
    </row>
    <row r="59">
      <c r="A59" s="26"/>
      <c r="B59" s="16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169"/>
      <c r="X59" s="26"/>
      <c r="Y59" s="26"/>
      <c r="Z59" s="26"/>
      <c r="AA59" s="26"/>
    </row>
    <row r="60">
      <c r="A60" s="26"/>
      <c r="B60" s="169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169"/>
      <c r="X60" s="26"/>
      <c r="Y60" s="26"/>
      <c r="Z60" s="26"/>
      <c r="AA60" s="26"/>
    </row>
    <row r="61">
      <c r="A61" s="26"/>
      <c r="B61" s="169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169"/>
      <c r="X61" s="26"/>
      <c r="Y61" s="26"/>
      <c r="Z61" s="26"/>
      <c r="AA61" s="26"/>
    </row>
    <row r="62">
      <c r="A62" s="26"/>
      <c r="B62" s="169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169"/>
      <c r="X62" s="26"/>
      <c r="Y62" s="26"/>
      <c r="Z62" s="26"/>
      <c r="AA62" s="26"/>
    </row>
    <row r="63">
      <c r="A63" s="26"/>
      <c r="B63" s="169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169"/>
      <c r="X63" s="26"/>
      <c r="Y63" s="26"/>
      <c r="Z63" s="26"/>
      <c r="AA63" s="26"/>
    </row>
    <row r="64">
      <c r="A64" s="26"/>
      <c r="B64" s="169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169"/>
      <c r="X64" s="26"/>
      <c r="Y64" s="26"/>
      <c r="Z64" s="26"/>
      <c r="AA64" s="26"/>
    </row>
    <row r="65">
      <c r="A65" s="26"/>
      <c r="B65" s="169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169"/>
      <c r="X65" s="26"/>
      <c r="Y65" s="26"/>
      <c r="Z65" s="26"/>
      <c r="AA65" s="26"/>
    </row>
    <row r="66">
      <c r="A66" s="26"/>
      <c r="B66" s="169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169"/>
      <c r="X66" s="26"/>
      <c r="Y66" s="26"/>
      <c r="Z66" s="26"/>
      <c r="AA66" s="26"/>
    </row>
    <row r="67">
      <c r="A67" s="26"/>
      <c r="B67" s="169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169"/>
      <c r="X67" s="26"/>
      <c r="Y67" s="26"/>
      <c r="Z67" s="26"/>
      <c r="AA67" s="26"/>
    </row>
    <row r="68">
      <c r="A68" s="26"/>
      <c r="B68" s="169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169"/>
      <c r="X68" s="26"/>
      <c r="Y68" s="26"/>
      <c r="Z68" s="26"/>
      <c r="AA68" s="26"/>
    </row>
    <row r="69">
      <c r="A69" s="26"/>
      <c r="B69" s="169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169"/>
      <c r="X69" s="26"/>
      <c r="Y69" s="26"/>
      <c r="Z69" s="26"/>
      <c r="AA69" s="26"/>
    </row>
    <row r="70">
      <c r="A70" s="26"/>
      <c r="B70" s="169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169"/>
      <c r="X70" s="26"/>
      <c r="Y70" s="26"/>
      <c r="Z70" s="26"/>
      <c r="AA70" s="26"/>
    </row>
    <row r="71">
      <c r="A71" s="26"/>
      <c r="B71" s="169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169"/>
      <c r="X71" s="26"/>
      <c r="Y71" s="26"/>
      <c r="Z71" s="26"/>
      <c r="AA71" s="26"/>
    </row>
    <row r="72">
      <c r="A72" s="26"/>
      <c r="B72" s="169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169"/>
      <c r="X72" s="26"/>
      <c r="Y72" s="26"/>
      <c r="Z72" s="26"/>
      <c r="AA72" s="26"/>
    </row>
    <row r="73">
      <c r="A73" s="26"/>
      <c r="B73" s="169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169"/>
      <c r="X73" s="26"/>
      <c r="Y73" s="26"/>
      <c r="Z73" s="26"/>
      <c r="AA73" s="26"/>
    </row>
    <row r="74">
      <c r="A74" s="26"/>
      <c r="B74" s="169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169"/>
      <c r="X74" s="26"/>
      <c r="Y74" s="26"/>
      <c r="Z74" s="26"/>
      <c r="AA74" s="26"/>
    </row>
    <row r="75">
      <c r="A75" s="26"/>
      <c r="B75" s="169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169"/>
      <c r="X75" s="26"/>
      <c r="Y75" s="26"/>
      <c r="Z75" s="26"/>
      <c r="AA75" s="26"/>
    </row>
    <row r="76">
      <c r="A76" s="26"/>
      <c r="B76" s="169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169"/>
      <c r="X76" s="26"/>
      <c r="Y76" s="26"/>
      <c r="Z76" s="26"/>
      <c r="AA76" s="26"/>
    </row>
    <row r="77">
      <c r="A77" s="26"/>
      <c r="B77" s="169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169"/>
      <c r="X77" s="26"/>
      <c r="Y77" s="26"/>
      <c r="Z77" s="26"/>
      <c r="AA77" s="26"/>
    </row>
    <row r="78">
      <c r="A78" s="26"/>
      <c r="B78" s="169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169"/>
      <c r="X78" s="26"/>
      <c r="Y78" s="26"/>
      <c r="Z78" s="26"/>
      <c r="AA78" s="26"/>
    </row>
    <row r="79">
      <c r="A79" s="26"/>
      <c r="B79" s="169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169"/>
      <c r="X79" s="26"/>
      <c r="Y79" s="26"/>
      <c r="Z79" s="26"/>
      <c r="AA79" s="26"/>
    </row>
    <row r="80">
      <c r="A80" s="26"/>
      <c r="B80" s="169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169"/>
      <c r="X80" s="26"/>
      <c r="Y80" s="26"/>
      <c r="Z80" s="26"/>
      <c r="AA80" s="26"/>
    </row>
    <row r="81">
      <c r="A81" s="26"/>
      <c r="B81" s="169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169"/>
      <c r="X81" s="26"/>
      <c r="Y81" s="26"/>
      <c r="Z81" s="26"/>
      <c r="AA81" s="26"/>
    </row>
    <row r="82">
      <c r="A82" s="26"/>
      <c r="B82" s="169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169"/>
      <c r="X82" s="26"/>
      <c r="Y82" s="26"/>
      <c r="Z82" s="26"/>
      <c r="AA82" s="26"/>
    </row>
    <row r="83">
      <c r="A83" s="26"/>
      <c r="B83" s="169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169"/>
      <c r="X83" s="26"/>
      <c r="Y83" s="26"/>
      <c r="Z83" s="26"/>
      <c r="AA83" s="26"/>
    </row>
    <row r="84">
      <c r="A84" s="26"/>
      <c r="B84" s="169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169"/>
      <c r="X84" s="26"/>
      <c r="Y84" s="26"/>
      <c r="Z84" s="26"/>
      <c r="AA84" s="26"/>
    </row>
    <row r="85">
      <c r="A85" s="26"/>
      <c r="B85" s="169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169"/>
      <c r="X85" s="26"/>
      <c r="Y85" s="26"/>
      <c r="Z85" s="26"/>
      <c r="AA85" s="26"/>
    </row>
    <row r="86">
      <c r="A86" s="26"/>
      <c r="B86" s="169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169"/>
      <c r="X86" s="26"/>
      <c r="Y86" s="26"/>
      <c r="Z86" s="26"/>
      <c r="AA86" s="26"/>
    </row>
    <row r="87">
      <c r="A87" s="26"/>
      <c r="B87" s="169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169"/>
      <c r="X87" s="26"/>
      <c r="Y87" s="26"/>
      <c r="Z87" s="26"/>
      <c r="AA87" s="26"/>
    </row>
    <row r="88">
      <c r="A88" s="26"/>
      <c r="B88" s="169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169"/>
      <c r="X88" s="26"/>
      <c r="Y88" s="26"/>
      <c r="Z88" s="26"/>
      <c r="AA88" s="26"/>
    </row>
    <row r="89">
      <c r="A89" s="26"/>
      <c r="B89" s="169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169"/>
      <c r="X89" s="26"/>
      <c r="Y89" s="26"/>
      <c r="Z89" s="26"/>
      <c r="AA89" s="26"/>
    </row>
    <row r="90">
      <c r="A90" s="26"/>
      <c r="B90" s="169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169"/>
      <c r="X90" s="26"/>
      <c r="Y90" s="26"/>
      <c r="Z90" s="26"/>
      <c r="AA90" s="26"/>
    </row>
    <row r="91">
      <c r="A91" s="26"/>
      <c r="B91" s="169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169"/>
      <c r="X91" s="26"/>
      <c r="Y91" s="26"/>
      <c r="Z91" s="26"/>
      <c r="AA91" s="26"/>
    </row>
    <row r="92">
      <c r="A92" s="26"/>
      <c r="B92" s="169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169"/>
      <c r="X92" s="26"/>
      <c r="Y92" s="26"/>
      <c r="Z92" s="26"/>
      <c r="AA92" s="26"/>
    </row>
    <row r="93">
      <c r="A93" s="26"/>
      <c r="B93" s="169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169"/>
      <c r="X93" s="26"/>
      <c r="Y93" s="26"/>
      <c r="Z93" s="26"/>
      <c r="AA93" s="26"/>
    </row>
    <row r="94">
      <c r="A94" s="26"/>
      <c r="B94" s="169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169"/>
      <c r="X94" s="26"/>
      <c r="Y94" s="26"/>
      <c r="Z94" s="26"/>
      <c r="AA94" s="26"/>
    </row>
    <row r="95">
      <c r="A95" s="26"/>
      <c r="B95" s="169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169"/>
      <c r="X95" s="26"/>
      <c r="Y95" s="26"/>
      <c r="Z95" s="26"/>
      <c r="AA95" s="26"/>
    </row>
    <row r="96">
      <c r="A96" s="26"/>
      <c r="B96" s="169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169"/>
      <c r="X96" s="26"/>
      <c r="Y96" s="26"/>
      <c r="Z96" s="26"/>
      <c r="AA96" s="26"/>
    </row>
    <row r="97">
      <c r="A97" s="26"/>
      <c r="B97" s="169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169"/>
      <c r="X97" s="26"/>
      <c r="Y97" s="26"/>
      <c r="Z97" s="26"/>
      <c r="AA97" s="26"/>
    </row>
    <row r="98">
      <c r="A98" s="26"/>
      <c r="B98" s="169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169"/>
      <c r="X98" s="26"/>
      <c r="Y98" s="26"/>
      <c r="Z98" s="26"/>
      <c r="AA98" s="26"/>
    </row>
    <row r="99">
      <c r="A99" s="26"/>
      <c r="B99" s="169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169"/>
      <c r="X99" s="26"/>
      <c r="Y99" s="26"/>
      <c r="Z99" s="26"/>
      <c r="AA99" s="26"/>
    </row>
    <row r="100">
      <c r="A100" s="26"/>
      <c r="B100" s="169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169"/>
      <c r="X100" s="26"/>
      <c r="Y100" s="26"/>
      <c r="Z100" s="26"/>
      <c r="AA100" s="26"/>
    </row>
    <row r="101">
      <c r="A101" s="26"/>
      <c r="B101" s="169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169"/>
      <c r="X101" s="26"/>
      <c r="Y101" s="26"/>
      <c r="Z101" s="26"/>
      <c r="AA101" s="26"/>
    </row>
    <row r="102">
      <c r="A102" s="26"/>
      <c r="B102" s="169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169"/>
      <c r="X102" s="26"/>
      <c r="Y102" s="26"/>
      <c r="Z102" s="26"/>
      <c r="AA102" s="26"/>
    </row>
    <row r="103">
      <c r="A103" s="26"/>
      <c r="B103" s="169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169"/>
      <c r="X103" s="26"/>
      <c r="Y103" s="26"/>
      <c r="Z103" s="26"/>
      <c r="AA103" s="26"/>
    </row>
    <row r="104">
      <c r="A104" s="26"/>
      <c r="B104" s="169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169"/>
      <c r="X104" s="26"/>
      <c r="Y104" s="26"/>
      <c r="Z104" s="26"/>
      <c r="AA104" s="26"/>
    </row>
    <row r="105">
      <c r="A105" s="26"/>
      <c r="B105" s="169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169"/>
      <c r="X105" s="26"/>
      <c r="Y105" s="26"/>
      <c r="Z105" s="26"/>
      <c r="AA105" s="26"/>
    </row>
    <row r="106">
      <c r="A106" s="26"/>
      <c r="B106" s="169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169"/>
      <c r="X106" s="26"/>
      <c r="Y106" s="26"/>
      <c r="Z106" s="26"/>
      <c r="AA106" s="26"/>
    </row>
    <row r="107">
      <c r="A107" s="26"/>
      <c r="B107" s="169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169"/>
      <c r="X107" s="26"/>
      <c r="Y107" s="26"/>
      <c r="Z107" s="26"/>
      <c r="AA107" s="26"/>
    </row>
    <row r="108">
      <c r="A108" s="26"/>
      <c r="B108" s="169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169"/>
      <c r="X108" s="26"/>
      <c r="Y108" s="26"/>
      <c r="Z108" s="26"/>
      <c r="AA108" s="26"/>
    </row>
    <row r="109">
      <c r="A109" s="26"/>
      <c r="B109" s="169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169"/>
      <c r="X109" s="26"/>
      <c r="Y109" s="26"/>
      <c r="Z109" s="26"/>
      <c r="AA109" s="26"/>
    </row>
    <row r="110">
      <c r="A110" s="26"/>
      <c r="B110" s="169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169"/>
      <c r="X110" s="26"/>
      <c r="Y110" s="26"/>
      <c r="Z110" s="26"/>
      <c r="AA110" s="26"/>
    </row>
    <row r="111">
      <c r="A111" s="26"/>
      <c r="B111" s="169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169"/>
      <c r="X111" s="26"/>
      <c r="Y111" s="26"/>
      <c r="Z111" s="26"/>
      <c r="AA111" s="26"/>
    </row>
    <row r="112">
      <c r="A112" s="26"/>
      <c r="B112" s="169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169"/>
      <c r="X112" s="26"/>
      <c r="Y112" s="26"/>
      <c r="Z112" s="26"/>
      <c r="AA112" s="26"/>
    </row>
    <row r="113">
      <c r="A113" s="26"/>
      <c r="B113" s="169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169"/>
      <c r="X113" s="26"/>
      <c r="Y113" s="26"/>
      <c r="Z113" s="26"/>
      <c r="AA113" s="26"/>
    </row>
    <row r="114">
      <c r="A114" s="26"/>
      <c r="B114" s="169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169"/>
      <c r="X114" s="26"/>
      <c r="Y114" s="26"/>
      <c r="Z114" s="26"/>
      <c r="AA114" s="26"/>
    </row>
    <row r="115">
      <c r="A115" s="26"/>
      <c r="B115" s="169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169"/>
      <c r="X115" s="26"/>
      <c r="Y115" s="26"/>
      <c r="Z115" s="26"/>
      <c r="AA115" s="26"/>
    </row>
    <row r="116">
      <c r="A116" s="26"/>
      <c r="B116" s="169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169"/>
      <c r="X116" s="26"/>
      <c r="Y116" s="26"/>
      <c r="Z116" s="26"/>
      <c r="AA116" s="26"/>
    </row>
    <row r="117">
      <c r="A117" s="26"/>
      <c r="B117" s="169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169"/>
      <c r="X117" s="26"/>
      <c r="Y117" s="26"/>
      <c r="Z117" s="26"/>
      <c r="AA117" s="26"/>
    </row>
    <row r="118">
      <c r="A118" s="26"/>
      <c r="B118" s="169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169"/>
      <c r="X118" s="26"/>
      <c r="Y118" s="26"/>
      <c r="Z118" s="26"/>
      <c r="AA118" s="26"/>
    </row>
    <row r="119">
      <c r="A119" s="26"/>
      <c r="B119" s="169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169"/>
      <c r="X119" s="26"/>
      <c r="Y119" s="26"/>
      <c r="Z119" s="26"/>
      <c r="AA119" s="26"/>
    </row>
    <row r="120">
      <c r="A120" s="26"/>
      <c r="B120" s="169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169"/>
      <c r="X120" s="26"/>
      <c r="Y120" s="26"/>
      <c r="Z120" s="26"/>
      <c r="AA120" s="26"/>
    </row>
    <row r="121">
      <c r="A121" s="26"/>
      <c r="B121" s="169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169"/>
      <c r="X121" s="26"/>
      <c r="Y121" s="26"/>
      <c r="Z121" s="26"/>
      <c r="AA121" s="26"/>
    </row>
    <row r="122">
      <c r="A122" s="26"/>
      <c r="B122" s="169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169"/>
      <c r="X122" s="26"/>
      <c r="Y122" s="26"/>
      <c r="Z122" s="26"/>
      <c r="AA122" s="26"/>
    </row>
    <row r="123">
      <c r="A123" s="26"/>
      <c r="B123" s="169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169"/>
      <c r="X123" s="26"/>
      <c r="Y123" s="26"/>
      <c r="Z123" s="26"/>
      <c r="AA123" s="26"/>
    </row>
    <row r="124">
      <c r="A124" s="26"/>
      <c r="B124" s="169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169"/>
      <c r="X124" s="26"/>
      <c r="Y124" s="26"/>
      <c r="Z124" s="26"/>
      <c r="AA124" s="26"/>
    </row>
    <row r="125">
      <c r="A125" s="26"/>
      <c r="B125" s="169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169"/>
      <c r="X125" s="26"/>
      <c r="Y125" s="26"/>
      <c r="Z125" s="26"/>
      <c r="AA125" s="26"/>
    </row>
    <row r="126">
      <c r="A126" s="26"/>
      <c r="B126" s="169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169"/>
      <c r="X126" s="26"/>
      <c r="Y126" s="26"/>
      <c r="Z126" s="26"/>
      <c r="AA126" s="26"/>
    </row>
    <row r="127">
      <c r="A127" s="26"/>
      <c r="B127" s="169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169"/>
      <c r="X127" s="26"/>
      <c r="Y127" s="26"/>
      <c r="Z127" s="26"/>
      <c r="AA127" s="26"/>
    </row>
    <row r="128">
      <c r="A128" s="26"/>
      <c r="B128" s="169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169"/>
      <c r="X128" s="26"/>
      <c r="Y128" s="26"/>
      <c r="Z128" s="26"/>
      <c r="AA128" s="26"/>
    </row>
    <row r="129">
      <c r="A129" s="26"/>
      <c r="B129" s="169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169"/>
      <c r="X129" s="26"/>
      <c r="Y129" s="26"/>
      <c r="Z129" s="26"/>
      <c r="AA129" s="26"/>
    </row>
    <row r="130">
      <c r="A130" s="26"/>
      <c r="B130" s="169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169"/>
      <c r="X130" s="26"/>
      <c r="Y130" s="26"/>
      <c r="Z130" s="26"/>
      <c r="AA130" s="26"/>
    </row>
    <row r="131">
      <c r="A131" s="26"/>
      <c r="B131" s="169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169"/>
      <c r="X131" s="26"/>
      <c r="Y131" s="26"/>
      <c r="Z131" s="26"/>
      <c r="AA131" s="26"/>
    </row>
    <row r="132">
      <c r="A132" s="26"/>
      <c r="B132" s="169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169"/>
      <c r="X132" s="26"/>
      <c r="Y132" s="26"/>
      <c r="Z132" s="26"/>
      <c r="AA132" s="26"/>
    </row>
    <row r="133">
      <c r="A133" s="26"/>
      <c r="B133" s="169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169"/>
      <c r="X133" s="26"/>
      <c r="Y133" s="26"/>
      <c r="Z133" s="26"/>
      <c r="AA133" s="26"/>
    </row>
    <row r="134">
      <c r="A134" s="26"/>
      <c r="B134" s="169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169"/>
      <c r="X134" s="26"/>
      <c r="Y134" s="26"/>
      <c r="Z134" s="26"/>
      <c r="AA134" s="26"/>
    </row>
    <row r="135">
      <c r="A135" s="26"/>
      <c r="B135" s="169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169"/>
      <c r="X135" s="26"/>
      <c r="Y135" s="26"/>
      <c r="Z135" s="26"/>
      <c r="AA135" s="26"/>
    </row>
    <row r="136">
      <c r="A136" s="26"/>
      <c r="B136" s="169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169"/>
      <c r="X136" s="26"/>
      <c r="Y136" s="26"/>
      <c r="Z136" s="26"/>
      <c r="AA136" s="26"/>
    </row>
    <row r="137">
      <c r="A137" s="26"/>
      <c r="B137" s="169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169"/>
      <c r="X137" s="26"/>
      <c r="Y137" s="26"/>
      <c r="Z137" s="26"/>
      <c r="AA137" s="26"/>
    </row>
    <row r="138">
      <c r="A138" s="26"/>
      <c r="B138" s="169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169"/>
      <c r="X138" s="26"/>
      <c r="Y138" s="26"/>
      <c r="Z138" s="26"/>
      <c r="AA138" s="26"/>
    </row>
    <row r="139">
      <c r="A139" s="26"/>
      <c r="B139" s="169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169"/>
      <c r="X139" s="26"/>
      <c r="Y139" s="26"/>
      <c r="Z139" s="26"/>
      <c r="AA139" s="26"/>
    </row>
    <row r="140">
      <c r="A140" s="26"/>
      <c r="B140" s="169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169"/>
      <c r="X140" s="26"/>
      <c r="Y140" s="26"/>
      <c r="Z140" s="26"/>
      <c r="AA140" s="26"/>
    </row>
    <row r="141">
      <c r="A141" s="26"/>
      <c r="B141" s="169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169"/>
      <c r="X141" s="26"/>
      <c r="Y141" s="26"/>
      <c r="Z141" s="26"/>
      <c r="AA141" s="26"/>
    </row>
    <row r="142">
      <c r="A142" s="26"/>
      <c r="B142" s="169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169"/>
      <c r="X142" s="26"/>
      <c r="Y142" s="26"/>
      <c r="Z142" s="26"/>
      <c r="AA142" s="26"/>
    </row>
    <row r="143">
      <c r="A143" s="26"/>
      <c r="B143" s="169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169"/>
      <c r="X143" s="26"/>
      <c r="Y143" s="26"/>
      <c r="Z143" s="26"/>
      <c r="AA143" s="26"/>
    </row>
    <row r="144">
      <c r="A144" s="26"/>
      <c r="B144" s="169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169"/>
      <c r="X144" s="26"/>
      <c r="Y144" s="26"/>
      <c r="Z144" s="26"/>
      <c r="AA144" s="26"/>
    </row>
    <row r="145">
      <c r="A145" s="26"/>
      <c r="B145" s="169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169"/>
      <c r="X145" s="26"/>
      <c r="Y145" s="26"/>
      <c r="Z145" s="26"/>
      <c r="AA145" s="26"/>
    </row>
    <row r="146">
      <c r="A146" s="26"/>
      <c r="B146" s="169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169"/>
      <c r="X146" s="26"/>
      <c r="Y146" s="26"/>
      <c r="Z146" s="26"/>
      <c r="AA146" s="26"/>
    </row>
    <row r="147">
      <c r="A147" s="26"/>
      <c r="B147" s="169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169"/>
      <c r="X147" s="26"/>
      <c r="Y147" s="26"/>
      <c r="Z147" s="26"/>
      <c r="AA147" s="26"/>
    </row>
    <row r="148">
      <c r="A148" s="26"/>
      <c r="B148" s="169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169"/>
      <c r="X148" s="26"/>
      <c r="Y148" s="26"/>
      <c r="Z148" s="26"/>
      <c r="AA148" s="26"/>
    </row>
    <row r="149">
      <c r="A149" s="26"/>
      <c r="B149" s="169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169"/>
      <c r="X149" s="26"/>
      <c r="Y149" s="26"/>
      <c r="Z149" s="26"/>
      <c r="AA149" s="26"/>
    </row>
    <row r="150">
      <c r="A150" s="26"/>
      <c r="B150" s="169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169"/>
      <c r="X150" s="26"/>
      <c r="Y150" s="26"/>
      <c r="Z150" s="26"/>
      <c r="AA150" s="26"/>
    </row>
    <row r="151">
      <c r="A151" s="26"/>
      <c r="B151" s="169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169"/>
      <c r="X151" s="26"/>
      <c r="Y151" s="26"/>
      <c r="Z151" s="26"/>
      <c r="AA151" s="26"/>
    </row>
    <row r="152">
      <c r="A152" s="26"/>
      <c r="B152" s="169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169"/>
      <c r="X152" s="26"/>
      <c r="Y152" s="26"/>
      <c r="Z152" s="26"/>
      <c r="AA152" s="26"/>
    </row>
    <row r="153">
      <c r="A153" s="26"/>
      <c r="B153" s="169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169"/>
      <c r="X153" s="26"/>
      <c r="Y153" s="26"/>
      <c r="Z153" s="26"/>
      <c r="AA153" s="26"/>
    </row>
    <row r="154">
      <c r="A154" s="26"/>
      <c r="B154" s="169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169"/>
      <c r="X154" s="26"/>
      <c r="Y154" s="26"/>
      <c r="Z154" s="26"/>
      <c r="AA154" s="26"/>
    </row>
    <row r="155">
      <c r="A155" s="26"/>
      <c r="B155" s="169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169"/>
      <c r="X155" s="26"/>
      <c r="Y155" s="26"/>
      <c r="Z155" s="26"/>
      <c r="AA155" s="26"/>
    </row>
    <row r="156">
      <c r="A156" s="26"/>
      <c r="B156" s="169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169"/>
      <c r="X156" s="26"/>
      <c r="Y156" s="26"/>
      <c r="Z156" s="26"/>
      <c r="AA156" s="26"/>
    </row>
    <row r="157">
      <c r="A157" s="26"/>
      <c r="B157" s="169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169"/>
      <c r="X157" s="26"/>
      <c r="Y157" s="26"/>
      <c r="Z157" s="26"/>
      <c r="AA157" s="26"/>
    </row>
    <row r="158">
      <c r="A158" s="26"/>
      <c r="B158" s="169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169"/>
      <c r="X158" s="26"/>
      <c r="Y158" s="26"/>
      <c r="Z158" s="26"/>
      <c r="AA158" s="26"/>
    </row>
    <row r="159">
      <c r="A159" s="26"/>
      <c r="B159" s="169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169"/>
      <c r="X159" s="26"/>
      <c r="Y159" s="26"/>
      <c r="Z159" s="26"/>
      <c r="AA159" s="26"/>
    </row>
    <row r="160">
      <c r="A160" s="26"/>
      <c r="B160" s="169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169"/>
      <c r="X160" s="26"/>
      <c r="Y160" s="26"/>
      <c r="Z160" s="26"/>
      <c r="AA160" s="26"/>
    </row>
    <row r="161">
      <c r="A161" s="26"/>
      <c r="B161" s="169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169"/>
      <c r="X161" s="26"/>
      <c r="Y161" s="26"/>
      <c r="Z161" s="26"/>
      <c r="AA161" s="26"/>
    </row>
    <row r="162">
      <c r="A162" s="26"/>
      <c r="B162" s="169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169"/>
      <c r="X162" s="26"/>
      <c r="Y162" s="26"/>
      <c r="Z162" s="26"/>
      <c r="AA162" s="26"/>
    </row>
    <row r="163">
      <c r="A163" s="26"/>
      <c r="B163" s="169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169"/>
      <c r="X163" s="26"/>
      <c r="Y163" s="26"/>
      <c r="Z163" s="26"/>
      <c r="AA163" s="26"/>
    </row>
    <row r="164">
      <c r="A164" s="26"/>
      <c r="B164" s="169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169"/>
      <c r="X164" s="26"/>
      <c r="Y164" s="26"/>
      <c r="Z164" s="26"/>
      <c r="AA164" s="26"/>
    </row>
    <row r="165">
      <c r="A165" s="26"/>
      <c r="B165" s="169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169"/>
      <c r="X165" s="26"/>
      <c r="Y165" s="26"/>
      <c r="Z165" s="26"/>
      <c r="AA165" s="26"/>
    </row>
    <row r="166">
      <c r="A166" s="26"/>
      <c r="B166" s="169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169"/>
      <c r="X166" s="26"/>
      <c r="Y166" s="26"/>
      <c r="Z166" s="26"/>
      <c r="AA166" s="26"/>
    </row>
    <row r="167">
      <c r="A167" s="26"/>
      <c r="B167" s="169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169"/>
      <c r="X167" s="26"/>
      <c r="Y167" s="26"/>
      <c r="Z167" s="26"/>
      <c r="AA167" s="26"/>
    </row>
    <row r="168">
      <c r="A168" s="26"/>
      <c r="B168" s="169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169"/>
      <c r="X168" s="26"/>
      <c r="Y168" s="26"/>
      <c r="Z168" s="26"/>
      <c r="AA168" s="26"/>
    </row>
    <row r="169">
      <c r="A169" s="26"/>
      <c r="B169" s="169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169"/>
      <c r="X169" s="26"/>
      <c r="Y169" s="26"/>
      <c r="Z169" s="26"/>
      <c r="AA169" s="26"/>
    </row>
    <row r="170">
      <c r="A170" s="26"/>
      <c r="B170" s="169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169"/>
      <c r="X170" s="26"/>
      <c r="Y170" s="26"/>
      <c r="Z170" s="26"/>
      <c r="AA170" s="26"/>
    </row>
    <row r="171">
      <c r="A171" s="26"/>
      <c r="B171" s="169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169"/>
      <c r="X171" s="26"/>
      <c r="Y171" s="26"/>
      <c r="Z171" s="26"/>
      <c r="AA171" s="26"/>
    </row>
    <row r="172">
      <c r="A172" s="26"/>
      <c r="B172" s="169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169"/>
      <c r="X172" s="26"/>
      <c r="Y172" s="26"/>
      <c r="Z172" s="26"/>
      <c r="AA172" s="26"/>
    </row>
    <row r="173">
      <c r="A173" s="26"/>
      <c r="B173" s="169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169"/>
      <c r="X173" s="26"/>
      <c r="Y173" s="26"/>
      <c r="Z173" s="26"/>
      <c r="AA173" s="26"/>
    </row>
    <row r="174">
      <c r="A174" s="26"/>
      <c r="B174" s="169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169"/>
      <c r="X174" s="26"/>
      <c r="Y174" s="26"/>
      <c r="Z174" s="26"/>
      <c r="AA174" s="26"/>
    </row>
    <row r="175">
      <c r="A175" s="26"/>
      <c r="B175" s="169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169"/>
      <c r="X175" s="26"/>
      <c r="Y175" s="26"/>
      <c r="Z175" s="26"/>
      <c r="AA175" s="26"/>
    </row>
    <row r="176">
      <c r="A176" s="26"/>
      <c r="B176" s="169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169"/>
      <c r="X176" s="26"/>
      <c r="Y176" s="26"/>
      <c r="Z176" s="26"/>
      <c r="AA176" s="26"/>
    </row>
    <row r="177">
      <c r="A177" s="26"/>
      <c r="B177" s="169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169"/>
      <c r="X177" s="26"/>
      <c r="Y177" s="26"/>
      <c r="Z177" s="26"/>
      <c r="AA177" s="26"/>
    </row>
    <row r="178">
      <c r="A178" s="26"/>
      <c r="B178" s="169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169"/>
      <c r="X178" s="26"/>
      <c r="Y178" s="26"/>
      <c r="Z178" s="26"/>
      <c r="AA178" s="26"/>
    </row>
    <row r="179">
      <c r="A179" s="26"/>
      <c r="B179" s="169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169"/>
      <c r="X179" s="26"/>
      <c r="Y179" s="26"/>
      <c r="Z179" s="26"/>
      <c r="AA179" s="26"/>
    </row>
    <row r="180">
      <c r="A180" s="26"/>
      <c r="B180" s="169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169"/>
      <c r="X180" s="26"/>
      <c r="Y180" s="26"/>
      <c r="Z180" s="26"/>
      <c r="AA180" s="26"/>
    </row>
    <row r="181">
      <c r="A181" s="26"/>
      <c r="B181" s="169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169"/>
      <c r="X181" s="26"/>
      <c r="Y181" s="26"/>
      <c r="Z181" s="26"/>
      <c r="AA181" s="26"/>
    </row>
    <row r="182">
      <c r="A182" s="26"/>
      <c r="B182" s="169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169"/>
      <c r="X182" s="26"/>
      <c r="Y182" s="26"/>
      <c r="Z182" s="26"/>
      <c r="AA182" s="26"/>
    </row>
    <row r="183">
      <c r="A183" s="26"/>
      <c r="B183" s="169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169"/>
      <c r="X183" s="26"/>
      <c r="Y183" s="26"/>
      <c r="Z183" s="26"/>
      <c r="AA183" s="26"/>
    </row>
    <row r="184">
      <c r="A184" s="26"/>
      <c r="B184" s="169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169"/>
      <c r="X184" s="26"/>
      <c r="Y184" s="26"/>
      <c r="Z184" s="26"/>
      <c r="AA184" s="26"/>
    </row>
    <row r="185">
      <c r="A185" s="26"/>
      <c r="B185" s="169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169"/>
      <c r="X185" s="26"/>
      <c r="Y185" s="26"/>
      <c r="Z185" s="26"/>
      <c r="AA185" s="26"/>
    </row>
    <row r="186">
      <c r="A186" s="26"/>
      <c r="B186" s="169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169"/>
      <c r="X186" s="26"/>
      <c r="Y186" s="26"/>
      <c r="Z186" s="26"/>
      <c r="AA186" s="26"/>
    </row>
    <row r="187">
      <c r="A187" s="26"/>
      <c r="B187" s="169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169"/>
      <c r="X187" s="26"/>
      <c r="Y187" s="26"/>
      <c r="Z187" s="26"/>
      <c r="AA187" s="26"/>
    </row>
    <row r="188">
      <c r="A188" s="26"/>
      <c r="B188" s="169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169"/>
      <c r="X188" s="26"/>
      <c r="Y188" s="26"/>
      <c r="Z188" s="26"/>
      <c r="AA188" s="26"/>
    </row>
    <row r="189">
      <c r="A189" s="26"/>
      <c r="B189" s="169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169"/>
      <c r="X189" s="26"/>
      <c r="Y189" s="26"/>
      <c r="Z189" s="26"/>
      <c r="AA189" s="26"/>
    </row>
    <row r="190">
      <c r="A190" s="26"/>
      <c r="B190" s="169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169"/>
      <c r="X190" s="26"/>
      <c r="Y190" s="26"/>
      <c r="Z190" s="26"/>
      <c r="AA190" s="26"/>
    </row>
    <row r="191">
      <c r="A191" s="26"/>
      <c r="B191" s="169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169"/>
      <c r="X191" s="26"/>
      <c r="Y191" s="26"/>
      <c r="Z191" s="26"/>
      <c r="AA191" s="26"/>
    </row>
    <row r="192">
      <c r="A192" s="26"/>
      <c r="B192" s="169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169"/>
      <c r="X192" s="26"/>
      <c r="Y192" s="26"/>
      <c r="Z192" s="26"/>
      <c r="AA192" s="26"/>
    </row>
    <row r="193">
      <c r="A193" s="26"/>
      <c r="B193" s="169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169"/>
      <c r="X193" s="26"/>
      <c r="Y193" s="26"/>
      <c r="Z193" s="26"/>
      <c r="AA193" s="26"/>
    </row>
    <row r="194">
      <c r="A194" s="26"/>
      <c r="B194" s="169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169"/>
      <c r="X194" s="26"/>
      <c r="Y194" s="26"/>
      <c r="Z194" s="26"/>
      <c r="AA194" s="26"/>
    </row>
    <row r="195">
      <c r="A195" s="26"/>
      <c r="B195" s="169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169"/>
      <c r="X195" s="26"/>
      <c r="Y195" s="26"/>
      <c r="Z195" s="26"/>
      <c r="AA195" s="26"/>
    </row>
    <row r="196">
      <c r="A196" s="26"/>
      <c r="B196" s="169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169"/>
      <c r="X196" s="26"/>
      <c r="Y196" s="26"/>
      <c r="Z196" s="26"/>
      <c r="AA196" s="26"/>
    </row>
    <row r="197">
      <c r="A197" s="26"/>
      <c r="B197" s="169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169"/>
      <c r="X197" s="26"/>
      <c r="Y197" s="26"/>
      <c r="Z197" s="26"/>
      <c r="AA197" s="26"/>
    </row>
    <row r="198">
      <c r="A198" s="26"/>
      <c r="B198" s="169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169"/>
      <c r="X198" s="26"/>
      <c r="Y198" s="26"/>
      <c r="Z198" s="26"/>
      <c r="AA198" s="26"/>
    </row>
    <row r="199">
      <c r="A199" s="26"/>
      <c r="B199" s="169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169"/>
      <c r="X199" s="26"/>
      <c r="Y199" s="26"/>
      <c r="Z199" s="26"/>
      <c r="AA199" s="26"/>
    </row>
    <row r="200">
      <c r="A200" s="26"/>
      <c r="B200" s="169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169"/>
      <c r="X200" s="26"/>
      <c r="Y200" s="26"/>
      <c r="Z200" s="26"/>
      <c r="AA200" s="26"/>
    </row>
    <row r="201">
      <c r="A201" s="26"/>
      <c r="B201" s="169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169"/>
      <c r="X201" s="26"/>
      <c r="Y201" s="26"/>
      <c r="Z201" s="26"/>
      <c r="AA201" s="26"/>
    </row>
    <row r="202">
      <c r="A202" s="26"/>
      <c r="B202" s="169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169"/>
      <c r="X202" s="26"/>
      <c r="Y202" s="26"/>
      <c r="Z202" s="26"/>
      <c r="AA202" s="26"/>
    </row>
    <row r="203">
      <c r="A203" s="26"/>
      <c r="B203" s="169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169"/>
      <c r="X203" s="26"/>
      <c r="Y203" s="26"/>
      <c r="Z203" s="26"/>
      <c r="AA203" s="26"/>
    </row>
    <row r="204">
      <c r="A204" s="26"/>
      <c r="B204" s="169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169"/>
      <c r="X204" s="26"/>
      <c r="Y204" s="26"/>
      <c r="Z204" s="26"/>
      <c r="AA204" s="26"/>
    </row>
    <row r="205">
      <c r="A205" s="26"/>
      <c r="B205" s="169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169"/>
      <c r="X205" s="26"/>
      <c r="Y205" s="26"/>
      <c r="Z205" s="26"/>
      <c r="AA205" s="26"/>
    </row>
    <row r="206">
      <c r="A206" s="26"/>
      <c r="B206" s="169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169"/>
      <c r="X206" s="26"/>
      <c r="Y206" s="26"/>
      <c r="Z206" s="26"/>
      <c r="AA206" s="26"/>
    </row>
    <row r="207">
      <c r="A207" s="26"/>
      <c r="B207" s="169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169"/>
      <c r="X207" s="26"/>
      <c r="Y207" s="26"/>
      <c r="Z207" s="26"/>
      <c r="AA207" s="26"/>
    </row>
    <row r="208">
      <c r="A208" s="26"/>
      <c r="B208" s="169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169"/>
      <c r="X208" s="26"/>
      <c r="Y208" s="26"/>
      <c r="Z208" s="26"/>
      <c r="AA208" s="26"/>
    </row>
    <row r="209">
      <c r="A209" s="26"/>
      <c r="B209" s="169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169"/>
      <c r="X209" s="26"/>
      <c r="Y209" s="26"/>
      <c r="Z209" s="26"/>
      <c r="AA209" s="26"/>
    </row>
    <row r="210">
      <c r="A210" s="26"/>
      <c r="B210" s="169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169"/>
      <c r="X210" s="26"/>
      <c r="Y210" s="26"/>
      <c r="Z210" s="26"/>
      <c r="AA210" s="26"/>
    </row>
    <row r="211">
      <c r="A211" s="26"/>
      <c r="B211" s="169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169"/>
      <c r="X211" s="26"/>
      <c r="Y211" s="26"/>
      <c r="Z211" s="26"/>
      <c r="AA211" s="26"/>
    </row>
    <row r="212">
      <c r="A212" s="26"/>
      <c r="B212" s="169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169"/>
      <c r="X212" s="26"/>
      <c r="Y212" s="26"/>
      <c r="Z212" s="26"/>
      <c r="AA212" s="26"/>
    </row>
    <row r="213">
      <c r="A213" s="26"/>
      <c r="B213" s="169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169"/>
      <c r="X213" s="26"/>
      <c r="Y213" s="26"/>
      <c r="Z213" s="26"/>
      <c r="AA213" s="26"/>
    </row>
    <row r="214">
      <c r="A214" s="26"/>
      <c r="B214" s="169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169"/>
      <c r="X214" s="26"/>
      <c r="Y214" s="26"/>
      <c r="Z214" s="26"/>
      <c r="AA214" s="26"/>
    </row>
    <row r="215">
      <c r="A215" s="26"/>
      <c r="B215" s="169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169"/>
      <c r="X215" s="26"/>
      <c r="Y215" s="26"/>
      <c r="Z215" s="26"/>
      <c r="AA215" s="26"/>
    </row>
    <row r="216">
      <c r="A216" s="26"/>
      <c r="B216" s="169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169"/>
      <c r="X216" s="26"/>
      <c r="Y216" s="26"/>
      <c r="Z216" s="26"/>
      <c r="AA216" s="26"/>
    </row>
    <row r="217">
      <c r="A217" s="26"/>
      <c r="B217" s="169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169"/>
      <c r="X217" s="26"/>
      <c r="Y217" s="26"/>
      <c r="Z217" s="26"/>
      <c r="AA217" s="26"/>
    </row>
    <row r="218">
      <c r="A218" s="26"/>
      <c r="B218" s="169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169"/>
      <c r="X218" s="26"/>
      <c r="Y218" s="26"/>
      <c r="Z218" s="26"/>
      <c r="AA218" s="26"/>
    </row>
    <row r="219">
      <c r="A219" s="26"/>
      <c r="B219" s="169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169"/>
      <c r="X219" s="26"/>
      <c r="Y219" s="26"/>
      <c r="Z219" s="26"/>
      <c r="AA219" s="26"/>
    </row>
    <row r="220">
      <c r="A220" s="26"/>
      <c r="B220" s="169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169"/>
      <c r="X220" s="26"/>
      <c r="Y220" s="26"/>
      <c r="Z220" s="26"/>
      <c r="AA220" s="26"/>
    </row>
    <row r="221">
      <c r="A221" s="26"/>
      <c r="B221" s="169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169"/>
      <c r="X221" s="26"/>
      <c r="Y221" s="26"/>
      <c r="Z221" s="26"/>
      <c r="AA221" s="26"/>
    </row>
    <row r="222">
      <c r="A222" s="26"/>
      <c r="B222" s="169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169"/>
      <c r="X222" s="26"/>
      <c r="Y222" s="26"/>
      <c r="Z222" s="26"/>
      <c r="AA222" s="26"/>
    </row>
    <row r="223">
      <c r="A223" s="26"/>
      <c r="B223" s="169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169"/>
      <c r="X223" s="26"/>
      <c r="Y223" s="26"/>
      <c r="Z223" s="26"/>
      <c r="AA223" s="26"/>
    </row>
    <row r="224">
      <c r="A224" s="26"/>
      <c r="B224" s="169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169"/>
      <c r="X224" s="26"/>
      <c r="Y224" s="26"/>
      <c r="Z224" s="26"/>
      <c r="AA224" s="26"/>
    </row>
    <row r="225">
      <c r="A225" s="26"/>
      <c r="B225" s="169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169"/>
      <c r="X225" s="26"/>
      <c r="Y225" s="26"/>
      <c r="Z225" s="26"/>
      <c r="AA225" s="26"/>
    </row>
    <row r="226">
      <c r="A226" s="26"/>
      <c r="B226" s="169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169"/>
      <c r="X226" s="26"/>
      <c r="Y226" s="26"/>
      <c r="Z226" s="26"/>
      <c r="AA226" s="26"/>
    </row>
    <row r="227">
      <c r="A227" s="26"/>
      <c r="B227" s="169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169"/>
      <c r="X227" s="26"/>
      <c r="Y227" s="26"/>
      <c r="Z227" s="26"/>
      <c r="AA227" s="26"/>
    </row>
    <row r="228">
      <c r="A228" s="26"/>
      <c r="B228" s="169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169"/>
      <c r="X228" s="26"/>
      <c r="Y228" s="26"/>
      <c r="Z228" s="26"/>
      <c r="AA228" s="26"/>
    </row>
    <row r="229">
      <c r="A229" s="26"/>
      <c r="B229" s="169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169"/>
      <c r="X229" s="26"/>
      <c r="Y229" s="26"/>
      <c r="Z229" s="26"/>
      <c r="AA229" s="26"/>
    </row>
    <row r="230">
      <c r="A230" s="26"/>
      <c r="B230" s="169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169"/>
      <c r="X230" s="26"/>
      <c r="Y230" s="26"/>
      <c r="Z230" s="26"/>
      <c r="AA230" s="26"/>
    </row>
    <row r="231">
      <c r="A231" s="26"/>
      <c r="B231" s="169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169"/>
      <c r="X231" s="26"/>
      <c r="Y231" s="26"/>
      <c r="Z231" s="26"/>
      <c r="AA231" s="26"/>
    </row>
    <row r="232">
      <c r="A232" s="26"/>
      <c r="B232" s="169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169"/>
      <c r="X232" s="26"/>
      <c r="Y232" s="26"/>
      <c r="Z232" s="26"/>
      <c r="AA232" s="26"/>
    </row>
    <row r="233">
      <c r="A233" s="26"/>
      <c r="B233" s="169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169"/>
      <c r="X233" s="26"/>
      <c r="Y233" s="26"/>
      <c r="Z233" s="26"/>
      <c r="AA233" s="26"/>
    </row>
    <row r="234">
      <c r="A234" s="26"/>
      <c r="B234" s="169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169"/>
      <c r="X234" s="26"/>
      <c r="Y234" s="26"/>
      <c r="Z234" s="26"/>
      <c r="AA234" s="26"/>
    </row>
    <row r="235">
      <c r="A235" s="26"/>
      <c r="B235" s="169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169"/>
      <c r="X235" s="26"/>
      <c r="Y235" s="26"/>
      <c r="Z235" s="26"/>
      <c r="AA235" s="26"/>
    </row>
    <row r="236">
      <c r="A236" s="26"/>
      <c r="B236" s="169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169"/>
      <c r="X236" s="26"/>
      <c r="Y236" s="26"/>
      <c r="Z236" s="26"/>
      <c r="AA236" s="26"/>
    </row>
    <row r="237">
      <c r="A237" s="26"/>
      <c r="B237" s="169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169"/>
      <c r="X237" s="26"/>
      <c r="Y237" s="26"/>
      <c r="Z237" s="26"/>
      <c r="AA237" s="26"/>
    </row>
    <row r="238">
      <c r="A238" s="26"/>
      <c r="B238" s="169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169"/>
      <c r="X238" s="26"/>
      <c r="Y238" s="26"/>
      <c r="Z238" s="26"/>
      <c r="AA238" s="26"/>
    </row>
    <row r="239">
      <c r="A239" s="26"/>
      <c r="B239" s="169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169"/>
      <c r="X239" s="26"/>
      <c r="Y239" s="26"/>
      <c r="Z239" s="26"/>
      <c r="AA239" s="26"/>
    </row>
    <row r="240">
      <c r="A240" s="26"/>
      <c r="B240" s="169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169"/>
      <c r="X240" s="26"/>
      <c r="Y240" s="26"/>
      <c r="Z240" s="26"/>
      <c r="AA240" s="26"/>
    </row>
    <row r="241">
      <c r="A241" s="26"/>
      <c r="B241" s="169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169"/>
      <c r="X241" s="26"/>
      <c r="Y241" s="26"/>
      <c r="Z241" s="26"/>
      <c r="AA241" s="26"/>
    </row>
    <row r="242">
      <c r="A242" s="26"/>
      <c r="B242" s="169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169"/>
      <c r="X242" s="26"/>
      <c r="Y242" s="26"/>
      <c r="Z242" s="26"/>
      <c r="AA242" s="26"/>
    </row>
    <row r="243">
      <c r="A243" s="26"/>
      <c r="B243" s="169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169"/>
      <c r="X243" s="26"/>
      <c r="Y243" s="26"/>
      <c r="Z243" s="26"/>
      <c r="AA243" s="26"/>
    </row>
    <row r="244">
      <c r="A244" s="26"/>
      <c r="B244" s="169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169"/>
      <c r="X244" s="26"/>
      <c r="Y244" s="26"/>
      <c r="Z244" s="26"/>
      <c r="AA244" s="26"/>
    </row>
    <row r="245">
      <c r="A245" s="26"/>
      <c r="B245" s="169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169"/>
      <c r="X245" s="26"/>
      <c r="Y245" s="26"/>
      <c r="Z245" s="26"/>
      <c r="AA245" s="26"/>
    </row>
    <row r="246">
      <c r="A246" s="26"/>
      <c r="B246" s="169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169"/>
      <c r="X246" s="26"/>
      <c r="Y246" s="26"/>
      <c r="Z246" s="26"/>
      <c r="AA246" s="26"/>
    </row>
    <row r="247">
      <c r="A247" s="26"/>
      <c r="B247" s="169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169"/>
      <c r="X247" s="26"/>
      <c r="Y247" s="26"/>
      <c r="Z247" s="26"/>
      <c r="AA247" s="26"/>
    </row>
    <row r="248">
      <c r="A248" s="26"/>
      <c r="B248" s="169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169"/>
      <c r="X248" s="26"/>
      <c r="Y248" s="26"/>
      <c r="Z248" s="26"/>
      <c r="AA248" s="26"/>
    </row>
    <row r="249">
      <c r="A249" s="26"/>
      <c r="B249" s="169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169"/>
      <c r="X249" s="26"/>
      <c r="Y249" s="26"/>
      <c r="Z249" s="26"/>
      <c r="AA249" s="26"/>
    </row>
    <row r="250">
      <c r="A250" s="26"/>
      <c r="B250" s="169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169"/>
      <c r="X250" s="26"/>
      <c r="Y250" s="26"/>
      <c r="Z250" s="26"/>
      <c r="AA250" s="26"/>
    </row>
    <row r="251">
      <c r="A251" s="26"/>
      <c r="B251" s="169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169"/>
      <c r="X251" s="26"/>
      <c r="Y251" s="26"/>
      <c r="Z251" s="26"/>
      <c r="AA251" s="26"/>
    </row>
    <row r="252">
      <c r="A252" s="26"/>
      <c r="B252" s="169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169"/>
      <c r="X252" s="26"/>
      <c r="Y252" s="26"/>
      <c r="Z252" s="26"/>
      <c r="AA252" s="26"/>
    </row>
    <row r="253">
      <c r="A253" s="26"/>
      <c r="B253" s="169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169"/>
      <c r="X253" s="26"/>
      <c r="Y253" s="26"/>
      <c r="Z253" s="26"/>
      <c r="AA253" s="26"/>
    </row>
    <row r="254">
      <c r="A254" s="26"/>
      <c r="B254" s="169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169"/>
      <c r="X254" s="26"/>
      <c r="Y254" s="26"/>
      <c r="Z254" s="26"/>
      <c r="AA254" s="26"/>
    </row>
    <row r="255">
      <c r="A255" s="26"/>
      <c r="B255" s="169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169"/>
      <c r="X255" s="26"/>
      <c r="Y255" s="26"/>
      <c r="Z255" s="26"/>
      <c r="AA255" s="26"/>
    </row>
    <row r="256">
      <c r="A256" s="26"/>
      <c r="B256" s="169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169"/>
      <c r="X256" s="26"/>
      <c r="Y256" s="26"/>
      <c r="Z256" s="26"/>
      <c r="AA256" s="26"/>
    </row>
    <row r="257">
      <c r="A257" s="26"/>
      <c r="B257" s="169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169"/>
      <c r="X257" s="26"/>
      <c r="Y257" s="26"/>
      <c r="Z257" s="26"/>
      <c r="AA257" s="26"/>
    </row>
    <row r="258">
      <c r="A258" s="26"/>
      <c r="B258" s="169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169"/>
      <c r="X258" s="26"/>
      <c r="Y258" s="26"/>
      <c r="Z258" s="26"/>
      <c r="AA258" s="26"/>
    </row>
    <row r="259">
      <c r="A259" s="26"/>
      <c r="B259" s="169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169"/>
      <c r="X259" s="26"/>
      <c r="Y259" s="26"/>
      <c r="Z259" s="26"/>
      <c r="AA259" s="26"/>
    </row>
    <row r="260">
      <c r="A260" s="26"/>
      <c r="B260" s="169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169"/>
      <c r="X260" s="26"/>
      <c r="Y260" s="26"/>
      <c r="Z260" s="26"/>
      <c r="AA260" s="26"/>
    </row>
    <row r="261">
      <c r="A261" s="26"/>
      <c r="B261" s="169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169"/>
      <c r="X261" s="26"/>
      <c r="Y261" s="26"/>
      <c r="Z261" s="26"/>
      <c r="AA261" s="26"/>
    </row>
    <row r="262">
      <c r="A262" s="26"/>
      <c r="B262" s="169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169"/>
      <c r="X262" s="26"/>
      <c r="Y262" s="26"/>
      <c r="Z262" s="26"/>
      <c r="AA262" s="26"/>
    </row>
    <row r="263">
      <c r="A263" s="26"/>
      <c r="B263" s="169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169"/>
      <c r="X263" s="26"/>
      <c r="Y263" s="26"/>
      <c r="Z263" s="26"/>
      <c r="AA263" s="26"/>
    </row>
    <row r="264">
      <c r="A264" s="26"/>
      <c r="B264" s="169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169"/>
      <c r="X264" s="26"/>
      <c r="Y264" s="26"/>
      <c r="Z264" s="26"/>
      <c r="AA264" s="26"/>
    </row>
    <row r="265">
      <c r="A265" s="26"/>
      <c r="B265" s="169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169"/>
      <c r="X265" s="26"/>
      <c r="Y265" s="26"/>
      <c r="Z265" s="26"/>
      <c r="AA265" s="26"/>
    </row>
    <row r="266">
      <c r="A266" s="26"/>
      <c r="B266" s="169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169"/>
      <c r="X266" s="26"/>
      <c r="Y266" s="26"/>
      <c r="Z266" s="26"/>
      <c r="AA266" s="26"/>
    </row>
    <row r="267">
      <c r="A267" s="26"/>
      <c r="B267" s="169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169"/>
      <c r="X267" s="26"/>
      <c r="Y267" s="26"/>
      <c r="Z267" s="26"/>
      <c r="AA267" s="26"/>
    </row>
    <row r="268">
      <c r="A268" s="26"/>
      <c r="B268" s="169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169"/>
      <c r="X268" s="26"/>
      <c r="Y268" s="26"/>
      <c r="Z268" s="26"/>
      <c r="AA268" s="26"/>
    </row>
    <row r="269">
      <c r="A269" s="26"/>
      <c r="B269" s="169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169"/>
      <c r="X269" s="26"/>
      <c r="Y269" s="26"/>
      <c r="Z269" s="26"/>
      <c r="AA269" s="26"/>
    </row>
    <row r="270">
      <c r="A270" s="26"/>
      <c r="B270" s="169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169"/>
      <c r="X270" s="26"/>
      <c r="Y270" s="26"/>
      <c r="Z270" s="26"/>
      <c r="AA270" s="26"/>
    </row>
    <row r="271">
      <c r="A271" s="26"/>
      <c r="B271" s="169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169"/>
      <c r="X271" s="26"/>
      <c r="Y271" s="26"/>
      <c r="Z271" s="26"/>
      <c r="AA271" s="26"/>
    </row>
    <row r="272">
      <c r="A272" s="26"/>
      <c r="B272" s="169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169"/>
      <c r="X272" s="26"/>
      <c r="Y272" s="26"/>
      <c r="Z272" s="26"/>
      <c r="AA272" s="26"/>
    </row>
    <row r="273">
      <c r="A273" s="26"/>
      <c r="B273" s="169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169"/>
      <c r="X273" s="26"/>
      <c r="Y273" s="26"/>
      <c r="Z273" s="26"/>
      <c r="AA273" s="26"/>
    </row>
    <row r="274">
      <c r="A274" s="26"/>
      <c r="B274" s="169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169"/>
      <c r="X274" s="26"/>
      <c r="Y274" s="26"/>
      <c r="Z274" s="26"/>
      <c r="AA274" s="26"/>
    </row>
    <row r="275">
      <c r="A275" s="26"/>
      <c r="B275" s="169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169"/>
      <c r="X275" s="26"/>
      <c r="Y275" s="26"/>
      <c r="Z275" s="26"/>
      <c r="AA275" s="26"/>
    </row>
    <row r="276">
      <c r="A276" s="26"/>
      <c r="B276" s="169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169"/>
      <c r="X276" s="26"/>
      <c r="Y276" s="26"/>
      <c r="Z276" s="26"/>
      <c r="AA276" s="26"/>
    </row>
    <row r="277">
      <c r="A277" s="26"/>
      <c r="B277" s="169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169"/>
      <c r="X277" s="26"/>
      <c r="Y277" s="26"/>
      <c r="Z277" s="26"/>
      <c r="AA277" s="26"/>
    </row>
    <row r="278">
      <c r="A278" s="26"/>
      <c r="B278" s="169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169"/>
      <c r="X278" s="26"/>
      <c r="Y278" s="26"/>
      <c r="Z278" s="26"/>
      <c r="AA278" s="26"/>
    </row>
    <row r="279">
      <c r="A279" s="26"/>
      <c r="B279" s="169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169"/>
      <c r="X279" s="26"/>
      <c r="Y279" s="26"/>
      <c r="Z279" s="26"/>
      <c r="AA279" s="26"/>
    </row>
    <row r="280">
      <c r="A280" s="26"/>
      <c r="B280" s="169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169"/>
      <c r="X280" s="26"/>
      <c r="Y280" s="26"/>
      <c r="Z280" s="26"/>
      <c r="AA280" s="26"/>
    </row>
    <row r="281">
      <c r="A281" s="26"/>
      <c r="B281" s="169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169"/>
      <c r="X281" s="26"/>
      <c r="Y281" s="26"/>
      <c r="Z281" s="26"/>
      <c r="AA281" s="26"/>
    </row>
    <row r="282">
      <c r="A282" s="26"/>
      <c r="B282" s="169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169"/>
      <c r="X282" s="26"/>
      <c r="Y282" s="26"/>
      <c r="Z282" s="26"/>
      <c r="AA282" s="26"/>
    </row>
    <row r="283">
      <c r="A283" s="26"/>
      <c r="B283" s="169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169"/>
      <c r="X283" s="26"/>
      <c r="Y283" s="26"/>
      <c r="Z283" s="26"/>
      <c r="AA283" s="26"/>
    </row>
    <row r="284">
      <c r="A284" s="26"/>
      <c r="B284" s="169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169"/>
      <c r="X284" s="26"/>
      <c r="Y284" s="26"/>
      <c r="Z284" s="26"/>
      <c r="AA284" s="26"/>
    </row>
    <row r="285">
      <c r="A285" s="26"/>
      <c r="B285" s="169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169"/>
      <c r="X285" s="26"/>
      <c r="Y285" s="26"/>
      <c r="Z285" s="26"/>
      <c r="AA285" s="26"/>
    </row>
    <row r="286">
      <c r="A286" s="26"/>
      <c r="B286" s="169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169"/>
      <c r="X286" s="26"/>
      <c r="Y286" s="26"/>
      <c r="Z286" s="26"/>
      <c r="AA286" s="26"/>
    </row>
    <row r="287">
      <c r="A287" s="26"/>
      <c r="B287" s="169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169"/>
      <c r="X287" s="26"/>
      <c r="Y287" s="26"/>
      <c r="Z287" s="26"/>
      <c r="AA287" s="26"/>
    </row>
    <row r="288">
      <c r="A288" s="26"/>
      <c r="B288" s="169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169"/>
      <c r="X288" s="26"/>
      <c r="Y288" s="26"/>
      <c r="Z288" s="26"/>
      <c r="AA288" s="26"/>
    </row>
    <row r="289">
      <c r="A289" s="26"/>
      <c r="B289" s="169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169"/>
      <c r="X289" s="26"/>
      <c r="Y289" s="26"/>
      <c r="Z289" s="26"/>
      <c r="AA289" s="26"/>
    </row>
    <row r="290">
      <c r="A290" s="26"/>
      <c r="B290" s="169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169"/>
      <c r="X290" s="26"/>
      <c r="Y290" s="26"/>
      <c r="Z290" s="26"/>
      <c r="AA290" s="26"/>
    </row>
    <row r="291">
      <c r="A291" s="26"/>
      <c r="B291" s="169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169"/>
      <c r="X291" s="26"/>
      <c r="Y291" s="26"/>
      <c r="Z291" s="26"/>
      <c r="AA291" s="26"/>
    </row>
    <row r="292">
      <c r="A292" s="26"/>
      <c r="B292" s="169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169"/>
      <c r="X292" s="26"/>
      <c r="Y292" s="26"/>
      <c r="Z292" s="26"/>
      <c r="AA292" s="26"/>
    </row>
    <row r="293">
      <c r="A293" s="26"/>
      <c r="B293" s="169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169"/>
      <c r="X293" s="26"/>
      <c r="Y293" s="26"/>
      <c r="Z293" s="26"/>
      <c r="AA293" s="26"/>
    </row>
    <row r="294">
      <c r="A294" s="26"/>
      <c r="B294" s="169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169"/>
      <c r="X294" s="26"/>
      <c r="Y294" s="26"/>
      <c r="Z294" s="26"/>
      <c r="AA294" s="26"/>
    </row>
    <row r="295">
      <c r="A295" s="26"/>
      <c r="B295" s="169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169"/>
      <c r="X295" s="26"/>
      <c r="Y295" s="26"/>
      <c r="Z295" s="26"/>
      <c r="AA295" s="26"/>
    </row>
    <row r="296">
      <c r="A296" s="26"/>
      <c r="B296" s="169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169"/>
      <c r="X296" s="26"/>
      <c r="Y296" s="26"/>
      <c r="Z296" s="26"/>
      <c r="AA296" s="26"/>
    </row>
    <row r="297">
      <c r="A297" s="26"/>
      <c r="B297" s="169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169"/>
      <c r="X297" s="26"/>
      <c r="Y297" s="26"/>
      <c r="Z297" s="26"/>
      <c r="AA297" s="26"/>
    </row>
    <row r="298">
      <c r="A298" s="26"/>
      <c r="B298" s="169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169"/>
      <c r="X298" s="26"/>
      <c r="Y298" s="26"/>
      <c r="Z298" s="26"/>
      <c r="AA298" s="26"/>
    </row>
    <row r="299">
      <c r="A299" s="26"/>
      <c r="B299" s="169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169"/>
      <c r="X299" s="26"/>
      <c r="Y299" s="26"/>
      <c r="Z299" s="26"/>
      <c r="AA299" s="26"/>
    </row>
    <row r="300">
      <c r="A300" s="26"/>
      <c r="B300" s="169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169"/>
      <c r="X300" s="26"/>
      <c r="Y300" s="26"/>
      <c r="Z300" s="26"/>
      <c r="AA300" s="26"/>
    </row>
    <row r="301">
      <c r="A301" s="26"/>
      <c r="B301" s="169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169"/>
      <c r="X301" s="26"/>
      <c r="Y301" s="26"/>
      <c r="Z301" s="26"/>
      <c r="AA301" s="26"/>
    </row>
    <row r="302">
      <c r="A302" s="26"/>
      <c r="B302" s="169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169"/>
      <c r="X302" s="26"/>
      <c r="Y302" s="26"/>
      <c r="Z302" s="26"/>
      <c r="AA302" s="26"/>
    </row>
    <row r="303">
      <c r="A303" s="26"/>
      <c r="B303" s="169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169"/>
      <c r="X303" s="26"/>
      <c r="Y303" s="26"/>
      <c r="Z303" s="26"/>
      <c r="AA303" s="26"/>
    </row>
    <row r="304">
      <c r="A304" s="26"/>
      <c r="B304" s="169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169"/>
      <c r="X304" s="26"/>
      <c r="Y304" s="26"/>
      <c r="Z304" s="26"/>
      <c r="AA304" s="26"/>
    </row>
    <row r="305">
      <c r="A305" s="26"/>
      <c r="B305" s="169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169"/>
      <c r="X305" s="26"/>
      <c r="Y305" s="26"/>
      <c r="Z305" s="26"/>
      <c r="AA305" s="26"/>
    </row>
    <row r="306">
      <c r="A306" s="26"/>
      <c r="B306" s="169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169"/>
      <c r="X306" s="26"/>
      <c r="Y306" s="26"/>
      <c r="Z306" s="26"/>
      <c r="AA306" s="26"/>
    </row>
    <row r="307">
      <c r="A307" s="26"/>
      <c r="B307" s="169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169"/>
      <c r="X307" s="26"/>
      <c r="Y307" s="26"/>
      <c r="Z307" s="26"/>
      <c r="AA307" s="26"/>
    </row>
    <row r="308">
      <c r="A308" s="26"/>
      <c r="B308" s="169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169"/>
      <c r="X308" s="26"/>
      <c r="Y308" s="26"/>
      <c r="Z308" s="26"/>
      <c r="AA308" s="26"/>
    </row>
    <row r="309">
      <c r="A309" s="26"/>
      <c r="B309" s="169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169"/>
      <c r="X309" s="26"/>
      <c r="Y309" s="26"/>
      <c r="Z309" s="26"/>
      <c r="AA309" s="26"/>
    </row>
    <row r="310">
      <c r="A310" s="26"/>
      <c r="B310" s="169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169"/>
      <c r="X310" s="26"/>
      <c r="Y310" s="26"/>
      <c r="Z310" s="26"/>
      <c r="AA310" s="26"/>
    </row>
    <row r="311">
      <c r="A311" s="26"/>
      <c r="B311" s="169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169"/>
      <c r="X311" s="26"/>
      <c r="Y311" s="26"/>
      <c r="Z311" s="26"/>
      <c r="AA311" s="26"/>
    </row>
    <row r="312">
      <c r="A312" s="26"/>
      <c r="B312" s="169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169"/>
      <c r="X312" s="26"/>
      <c r="Y312" s="26"/>
      <c r="Z312" s="26"/>
      <c r="AA312" s="26"/>
    </row>
    <row r="313">
      <c r="A313" s="26"/>
      <c r="B313" s="169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169"/>
      <c r="X313" s="26"/>
      <c r="Y313" s="26"/>
      <c r="Z313" s="26"/>
      <c r="AA313" s="26"/>
    </row>
    <row r="314">
      <c r="A314" s="26"/>
      <c r="B314" s="169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169"/>
      <c r="X314" s="26"/>
      <c r="Y314" s="26"/>
      <c r="Z314" s="26"/>
      <c r="AA314" s="26"/>
    </row>
    <row r="315">
      <c r="A315" s="26"/>
      <c r="B315" s="169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169"/>
      <c r="X315" s="26"/>
      <c r="Y315" s="26"/>
      <c r="Z315" s="26"/>
      <c r="AA315" s="26"/>
    </row>
    <row r="316">
      <c r="A316" s="26"/>
      <c r="B316" s="169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169"/>
      <c r="X316" s="26"/>
      <c r="Y316" s="26"/>
      <c r="Z316" s="26"/>
      <c r="AA316" s="26"/>
    </row>
    <row r="317">
      <c r="A317" s="26"/>
      <c r="B317" s="169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169"/>
      <c r="X317" s="26"/>
      <c r="Y317" s="26"/>
      <c r="Z317" s="26"/>
      <c r="AA317" s="26"/>
    </row>
    <row r="318">
      <c r="A318" s="26"/>
      <c r="B318" s="169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169"/>
      <c r="X318" s="26"/>
      <c r="Y318" s="26"/>
      <c r="Z318" s="26"/>
      <c r="AA318" s="26"/>
    </row>
    <row r="319">
      <c r="A319" s="26"/>
      <c r="B319" s="169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169"/>
      <c r="X319" s="26"/>
      <c r="Y319" s="26"/>
      <c r="Z319" s="26"/>
      <c r="AA319" s="26"/>
    </row>
    <row r="320">
      <c r="A320" s="26"/>
      <c r="B320" s="169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169"/>
      <c r="X320" s="26"/>
      <c r="Y320" s="26"/>
      <c r="Z320" s="26"/>
      <c r="AA320" s="26"/>
    </row>
    <row r="321">
      <c r="A321" s="26"/>
      <c r="B321" s="169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169"/>
      <c r="X321" s="26"/>
      <c r="Y321" s="26"/>
      <c r="Z321" s="26"/>
      <c r="AA321" s="26"/>
    </row>
    <row r="322">
      <c r="A322" s="26"/>
      <c r="B322" s="169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169"/>
      <c r="X322" s="26"/>
      <c r="Y322" s="26"/>
      <c r="Z322" s="26"/>
      <c r="AA322" s="26"/>
    </row>
    <row r="323">
      <c r="A323" s="26"/>
      <c r="B323" s="169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169"/>
      <c r="X323" s="26"/>
      <c r="Y323" s="26"/>
      <c r="Z323" s="26"/>
      <c r="AA323" s="26"/>
    </row>
    <row r="324">
      <c r="A324" s="26"/>
      <c r="B324" s="169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169"/>
      <c r="X324" s="26"/>
      <c r="Y324" s="26"/>
      <c r="Z324" s="26"/>
      <c r="AA324" s="26"/>
    </row>
    <row r="325">
      <c r="A325" s="26"/>
      <c r="B325" s="169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169"/>
      <c r="X325" s="26"/>
      <c r="Y325" s="26"/>
      <c r="Z325" s="26"/>
      <c r="AA325" s="26"/>
    </row>
    <row r="326">
      <c r="A326" s="26"/>
      <c r="B326" s="169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169"/>
      <c r="X326" s="26"/>
      <c r="Y326" s="26"/>
      <c r="Z326" s="26"/>
      <c r="AA326" s="26"/>
    </row>
    <row r="327">
      <c r="A327" s="26"/>
      <c r="B327" s="169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169"/>
      <c r="X327" s="26"/>
      <c r="Y327" s="26"/>
      <c r="Z327" s="26"/>
      <c r="AA327" s="26"/>
    </row>
    <row r="328">
      <c r="A328" s="26"/>
      <c r="B328" s="169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169"/>
      <c r="X328" s="26"/>
      <c r="Y328" s="26"/>
      <c r="Z328" s="26"/>
      <c r="AA328" s="26"/>
    </row>
    <row r="329">
      <c r="A329" s="26"/>
      <c r="B329" s="169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169"/>
      <c r="X329" s="26"/>
      <c r="Y329" s="26"/>
      <c r="Z329" s="26"/>
      <c r="AA329" s="26"/>
    </row>
    <row r="330">
      <c r="A330" s="26"/>
      <c r="B330" s="169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169"/>
      <c r="X330" s="26"/>
      <c r="Y330" s="26"/>
      <c r="Z330" s="26"/>
      <c r="AA330" s="26"/>
    </row>
    <row r="331">
      <c r="A331" s="26"/>
      <c r="B331" s="169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169"/>
      <c r="X331" s="26"/>
      <c r="Y331" s="26"/>
      <c r="Z331" s="26"/>
      <c r="AA331" s="26"/>
    </row>
    <row r="332">
      <c r="A332" s="26"/>
      <c r="B332" s="169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169"/>
      <c r="X332" s="26"/>
      <c r="Y332" s="26"/>
      <c r="Z332" s="26"/>
      <c r="AA332" s="26"/>
    </row>
    <row r="333">
      <c r="A333" s="26"/>
      <c r="B333" s="169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169"/>
      <c r="X333" s="26"/>
      <c r="Y333" s="26"/>
      <c r="Z333" s="26"/>
      <c r="AA333" s="26"/>
    </row>
    <row r="334">
      <c r="A334" s="26"/>
      <c r="B334" s="169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169"/>
      <c r="X334" s="26"/>
      <c r="Y334" s="26"/>
      <c r="Z334" s="26"/>
      <c r="AA334" s="26"/>
    </row>
    <row r="335">
      <c r="A335" s="26"/>
      <c r="B335" s="169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169"/>
      <c r="X335" s="26"/>
      <c r="Y335" s="26"/>
      <c r="Z335" s="26"/>
      <c r="AA335" s="26"/>
    </row>
    <row r="336">
      <c r="A336" s="26"/>
      <c r="B336" s="169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169"/>
      <c r="X336" s="26"/>
      <c r="Y336" s="26"/>
      <c r="Z336" s="26"/>
      <c r="AA336" s="26"/>
    </row>
    <row r="337">
      <c r="A337" s="26"/>
      <c r="B337" s="169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169"/>
      <c r="X337" s="26"/>
      <c r="Y337" s="26"/>
      <c r="Z337" s="26"/>
      <c r="AA337" s="26"/>
    </row>
    <row r="338">
      <c r="A338" s="26"/>
      <c r="B338" s="169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169"/>
      <c r="X338" s="26"/>
      <c r="Y338" s="26"/>
      <c r="Z338" s="26"/>
      <c r="AA338" s="26"/>
    </row>
    <row r="339">
      <c r="A339" s="26"/>
      <c r="B339" s="169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169"/>
      <c r="X339" s="26"/>
      <c r="Y339" s="26"/>
      <c r="Z339" s="26"/>
      <c r="AA339" s="26"/>
    </row>
    <row r="340">
      <c r="A340" s="26"/>
      <c r="B340" s="169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169"/>
      <c r="X340" s="26"/>
      <c r="Y340" s="26"/>
      <c r="Z340" s="26"/>
      <c r="AA340" s="26"/>
    </row>
    <row r="341">
      <c r="A341" s="26"/>
      <c r="B341" s="169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169"/>
      <c r="X341" s="26"/>
      <c r="Y341" s="26"/>
      <c r="Z341" s="26"/>
      <c r="AA341" s="26"/>
    </row>
    <row r="342">
      <c r="A342" s="26"/>
      <c r="B342" s="169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169"/>
      <c r="X342" s="26"/>
      <c r="Y342" s="26"/>
      <c r="Z342" s="26"/>
      <c r="AA342" s="26"/>
    </row>
    <row r="343">
      <c r="A343" s="26"/>
      <c r="B343" s="169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169"/>
      <c r="X343" s="26"/>
      <c r="Y343" s="26"/>
      <c r="Z343" s="26"/>
      <c r="AA343" s="26"/>
    </row>
    <row r="344">
      <c r="A344" s="26"/>
      <c r="B344" s="169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169"/>
      <c r="X344" s="26"/>
      <c r="Y344" s="26"/>
      <c r="Z344" s="26"/>
      <c r="AA344" s="26"/>
    </row>
    <row r="345">
      <c r="A345" s="26"/>
      <c r="B345" s="169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169"/>
      <c r="X345" s="26"/>
      <c r="Y345" s="26"/>
      <c r="Z345" s="26"/>
      <c r="AA345" s="26"/>
    </row>
    <row r="346">
      <c r="A346" s="26"/>
      <c r="B346" s="169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169"/>
      <c r="X346" s="26"/>
      <c r="Y346" s="26"/>
      <c r="Z346" s="26"/>
      <c r="AA346" s="26"/>
    </row>
    <row r="347">
      <c r="A347" s="26"/>
      <c r="B347" s="169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169"/>
      <c r="X347" s="26"/>
      <c r="Y347" s="26"/>
      <c r="Z347" s="26"/>
      <c r="AA347" s="26"/>
    </row>
    <row r="348">
      <c r="A348" s="26"/>
      <c r="B348" s="169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169"/>
      <c r="X348" s="26"/>
      <c r="Y348" s="26"/>
      <c r="Z348" s="26"/>
      <c r="AA348" s="26"/>
    </row>
    <row r="349">
      <c r="A349" s="26"/>
      <c r="B349" s="169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169"/>
      <c r="X349" s="26"/>
      <c r="Y349" s="26"/>
      <c r="Z349" s="26"/>
      <c r="AA349" s="26"/>
    </row>
    <row r="350">
      <c r="A350" s="26"/>
      <c r="B350" s="169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169"/>
      <c r="X350" s="26"/>
      <c r="Y350" s="26"/>
      <c r="Z350" s="26"/>
      <c r="AA350" s="26"/>
    </row>
    <row r="351">
      <c r="A351" s="26"/>
      <c r="B351" s="169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169"/>
      <c r="X351" s="26"/>
      <c r="Y351" s="26"/>
      <c r="Z351" s="26"/>
      <c r="AA351" s="26"/>
    </row>
    <row r="352">
      <c r="A352" s="26"/>
      <c r="B352" s="169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169"/>
      <c r="X352" s="26"/>
      <c r="Y352" s="26"/>
      <c r="Z352" s="26"/>
      <c r="AA352" s="26"/>
    </row>
    <row r="353">
      <c r="A353" s="26"/>
      <c r="B353" s="169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169"/>
      <c r="X353" s="26"/>
      <c r="Y353" s="26"/>
      <c r="Z353" s="26"/>
      <c r="AA353" s="26"/>
    </row>
    <row r="354">
      <c r="A354" s="26"/>
      <c r="B354" s="169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169"/>
      <c r="X354" s="26"/>
      <c r="Y354" s="26"/>
      <c r="Z354" s="26"/>
      <c r="AA354" s="26"/>
    </row>
    <row r="355">
      <c r="A355" s="26"/>
      <c r="B355" s="169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169"/>
      <c r="X355" s="26"/>
      <c r="Y355" s="26"/>
      <c r="Z355" s="26"/>
      <c r="AA355" s="26"/>
    </row>
    <row r="356">
      <c r="A356" s="26"/>
      <c r="B356" s="169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169"/>
      <c r="X356" s="26"/>
      <c r="Y356" s="26"/>
      <c r="Z356" s="26"/>
      <c r="AA356" s="26"/>
    </row>
    <row r="357">
      <c r="A357" s="26"/>
      <c r="B357" s="169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169"/>
      <c r="X357" s="26"/>
      <c r="Y357" s="26"/>
      <c r="Z357" s="26"/>
      <c r="AA357" s="26"/>
    </row>
    <row r="358">
      <c r="A358" s="26"/>
      <c r="B358" s="169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169"/>
      <c r="X358" s="26"/>
      <c r="Y358" s="26"/>
      <c r="Z358" s="26"/>
      <c r="AA358" s="26"/>
    </row>
    <row r="359">
      <c r="A359" s="26"/>
      <c r="B359" s="169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169"/>
      <c r="X359" s="26"/>
      <c r="Y359" s="26"/>
      <c r="Z359" s="26"/>
      <c r="AA359" s="26"/>
    </row>
    <row r="360">
      <c r="A360" s="26"/>
      <c r="B360" s="169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169"/>
      <c r="X360" s="26"/>
      <c r="Y360" s="26"/>
      <c r="Z360" s="26"/>
      <c r="AA360" s="26"/>
    </row>
    <row r="361">
      <c r="A361" s="26"/>
      <c r="B361" s="169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169"/>
      <c r="X361" s="26"/>
      <c r="Y361" s="26"/>
      <c r="Z361" s="26"/>
      <c r="AA361" s="26"/>
    </row>
    <row r="362">
      <c r="A362" s="26"/>
      <c r="B362" s="169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169"/>
      <c r="X362" s="26"/>
      <c r="Y362" s="26"/>
      <c r="Z362" s="26"/>
      <c r="AA362" s="26"/>
    </row>
    <row r="363">
      <c r="A363" s="26"/>
      <c r="B363" s="169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169"/>
      <c r="X363" s="26"/>
      <c r="Y363" s="26"/>
      <c r="Z363" s="26"/>
      <c r="AA363" s="26"/>
    </row>
    <row r="364">
      <c r="A364" s="26"/>
      <c r="B364" s="169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169"/>
      <c r="X364" s="26"/>
      <c r="Y364" s="26"/>
      <c r="Z364" s="26"/>
      <c r="AA364" s="26"/>
    </row>
    <row r="365">
      <c r="A365" s="26"/>
      <c r="B365" s="169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169"/>
      <c r="X365" s="26"/>
      <c r="Y365" s="26"/>
      <c r="Z365" s="26"/>
      <c r="AA365" s="26"/>
    </row>
    <row r="366">
      <c r="A366" s="26"/>
      <c r="B366" s="169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169"/>
      <c r="X366" s="26"/>
      <c r="Y366" s="26"/>
      <c r="Z366" s="26"/>
      <c r="AA366" s="26"/>
    </row>
    <row r="367">
      <c r="A367" s="26"/>
      <c r="B367" s="169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169"/>
      <c r="X367" s="26"/>
      <c r="Y367" s="26"/>
      <c r="Z367" s="26"/>
      <c r="AA367" s="26"/>
    </row>
    <row r="368">
      <c r="A368" s="26"/>
      <c r="B368" s="169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169"/>
      <c r="X368" s="26"/>
      <c r="Y368" s="26"/>
      <c r="Z368" s="26"/>
      <c r="AA368" s="26"/>
    </row>
    <row r="369">
      <c r="A369" s="26"/>
      <c r="B369" s="169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169"/>
      <c r="X369" s="26"/>
      <c r="Y369" s="26"/>
      <c r="Z369" s="26"/>
      <c r="AA369" s="26"/>
    </row>
    <row r="370">
      <c r="A370" s="26"/>
      <c r="B370" s="169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169"/>
      <c r="X370" s="26"/>
      <c r="Y370" s="26"/>
      <c r="Z370" s="26"/>
      <c r="AA370" s="26"/>
    </row>
    <row r="371">
      <c r="A371" s="26"/>
      <c r="B371" s="169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169"/>
      <c r="X371" s="26"/>
      <c r="Y371" s="26"/>
      <c r="Z371" s="26"/>
      <c r="AA371" s="26"/>
    </row>
    <row r="372">
      <c r="A372" s="26"/>
      <c r="B372" s="169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169"/>
      <c r="X372" s="26"/>
      <c r="Y372" s="26"/>
      <c r="Z372" s="26"/>
      <c r="AA372" s="26"/>
    </row>
    <row r="373">
      <c r="A373" s="26"/>
      <c r="B373" s="169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169"/>
      <c r="X373" s="26"/>
      <c r="Y373" s="26"/>
      <c r="Z373" s="26"/>
      <c r="AA373" s="26"/>
    </row>
    <row r="374">
      <c r="A374" s="26"/>
      <c r="B374" s="169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169"/>
      <c r="X374" s="26"/>
      <c r="Y374" s="26"/>
      <c r="Z374" s="26"/>
      <c r="AA374" s="26"/>
    </row>
    <row r="375">
      <c r="A375" s="26"/>
      <c r="B375" s="169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169"/>
      <c r="X375" s="26"/>
      <c r="Y375" s="26"/>
      <c r="Z375" s="26"/>
      <c r="AA375" s="26"/>
    </row>
    <row r="376">
      <c r="A376" s="26"/>
      <c r="B376" s="169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169"/>
      <c r="X376" s="26"/>
      <c r="Y376" s="26"/>
      <c r="Z376" s="26"/>
      <c r="AA376" s="26"/>
    </row>
    <row r="377">
      <c r="A377" s="26"/>
      <c r="B377" s="169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169"/>
      <c r="X377" s="26"/>
      <c r="Y377" s="26"/>
      <c r="Z377" s="26"/>
      <c r="AA377" s="26"/>
    </row>
    <row r="378">
      <c r="A378" s="26"/>
      <c r="B378" s="169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169"/>
      <c r="X378" s="26"/>
      <c r="Y378" s="26"/>
      <c r="Z378" s="26"/>
      <c r="AA378" s="26"/>
    </row>
    <row r="379">
      <c r="A379" s="26"/>
      <c r="B379" s="169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169"/>
      <c r="X379" s="26"/>
      <c r="Y379" s="26"/>
      <c r="Z379" s="26"/>
      <c r="AA379" s="26"/>
    </row>
    <row r="380">
      <c r="A380" s="26"/>
      <c r="B380" s="169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169"/>
      <c r="X380" s="26"/>
      <c r="Y380" s="26"/>
      <c r="Z380" s="26"/>
      <c r="AA380" s="26"/>
    </row>
    <row r="381">
      <c r="A381" s="26"/>
      <c r="B381" s="169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169"/>
      <c r="X381" s="26"/>
      <c r="Y381" s="26"/>
      <c r="Z381" s="26"/>
      <c r="AA381" s="26"/>
    </row>
    <row r="382">
      <c r="A382" s="26"/>
      <c r="B382" s="169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169"/>
      <c r="X382" s="26"/>
      <c r="Y382" s="26"/>
      <c r="Z382" s="26"/>
      <c r="AA382" s="26"/>
    </row>
    <row r="383">
      <c r="A383" s="26"/>
      <c r="B383" s="169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169"/>
      <c r="X383" s="26"/>
      <c r="Y383" s="26"/>
      <c r="Z383" s="26"/>
      <c r="AA383" s="26"/>
    </row>
    <row r="384">
      <c r="A384" s="26"/>
      <c r="B384" s="169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169"/>
      <c r="X384" s="26"/>
      <c r="Y384" s="26"/>
      <c r="Z384" s="26"/>
      <c r="AA384" s="26"/>
    </row>
    <row r="385">
      <c r="A385" s="26"/>
      <c r="B385" s="169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169"/>
      <c r="X385" s="26"/>
      <c r="Y385" s="26"/>
      <c r="Z385" s="26"/>
      <c r="AA385" s="26"/>
    </row>
    <row r="386">
      <c r="A386" s="26"/>
      <c r="B386" s="169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169"/>
      <c r="X386" s="26"/>
      <c r="Y386" s="26"/>
      <c r="Z386" s="26"/>
      <c r="AA386" s="26"/>
    </row>
    <row r="387">
      <c r="A387" s="26"/>
      <c r="B387" s="169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169"/>
      <c r="X387" s="26"/>
      <c r="Y387" s="26"/>
      <c r="Z387" s="26"/>
      <c r="AA387" s="26"/>
    </row>
    <row r="388">
      <c r="A388" s="26"/>
      <c r="B388" s="169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169"/>
      <c r="X388" s="26"/>
      <c r="Y388" s="26"/>
      <c r="Z388" s="26"/>
      <c r="AA388" s="26"/>
    </row>
    <row r="389">
      <c r="A389" s="26"/>
      <c r="B389" s="169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169"/>
      <c r="X389" s="26"/>
      <c r="Y389" s="26"/>
      <c r="Z389" s="26"/>
      <c r="AA389" s="26"/>
    </row>
    <row r="390">
      <c r="A390" s="26"/>
      <c r="B390" s="169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169"/>
      <c r="X390" s="26"/>
      <c r="Y390" s="26"/>
      <c r="Z390" s="26"/>
      <c r="AA390" s="26"/>
    </row>
    <row r="391">
      <c r="A391" s="26"/>
      <c r="B391" s="169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169"/>
      <c r="X391" s="26"/>
      <c r="Y391" s="26"/>
      <c r="Z391" s="26"/>
      <c r="AA391" s="26"/>
    </row>
    <row r="392">
      <c r="A392" s="26"/>
      <c r="B392" s="169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169"/>
      <c r="X392" s="26"/>
      <c r="Y392" s="26"/>
      <c r="Z392" s="26"/>
      <c r="AA392" s="26"/>
    </row>
    <row r="393">
      <c r="A393" s="26"/>
      <c r="B393" s="169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169"/>
      <c r="X393" s="26"/>
      <c r="Y393" s="26"/>
      <c r="Z393" s="26"/>
      <c r="AA393" s="26"/>
    </row>
    <row r="394">
      <c r="A394" s="26"/>
      <c r="B394" s="169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169"/>
      <c r="X394" s="26"/>
      <c r="Y394" s="26"/>
      <c r="Z394" s="26"/>
      <c r="AA394" s="26"/>
    </row>
    <row r="395">
      <c r="A395" s="26"/>
      <c r="B395" s="169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169"/>
      <c r="X395" s="26"/>
      <c r="Y395" s="26"/>
      <c r="Z395" s="26"/>
      <c r="AA395" s="26"/>
    </row>
    <row r="396">
      <c r="A396" s="26"/>
      <c r="B396" s="169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169"/>
      <c r="X396" s="26"/>
      <c r="Y396" s="26"/>
      <c r="Z396" s="26"/>
      <c r="AA396" s="26"/>
    </row>
    <row r="397">
      <c r="A397" s="26"/>
      <c r="B397" s="169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169"/>
      <c r="X397" s="26"/>
      <c r="Y397" s="26"/>
      <c r="Z397" s="26"/>
      <c r="AA397" s="26"/>
    </row>
    <row r="398">
      <c r="A398" s="26"/>
      <c r="B398" s="169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169"/>
      <c r="X398" s="26"/>
      <c r="Y398" s="26"/>
      <c r="Z398" s="26"/>
      <c r="AA398" s="26"/>
    </row>
    <row r="399">
      <c r="A399" s="26"/>
      <c r="B399" s="169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169"/>
      <c r="X399" s="26"/>
      <c r="Y399" s="26"/>
      <c r="Z399" s="26"/>
      <c r="AA399" s="26"/>
    </row>
    <row r="400">
      <c r="A400" s="26"/>
      <c r="B400" s="169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169"/>
      <c r="X400" s="26"/>
      <c r="Y400" s="26"/>
      <c r="Z400" s="26"/>
      <c r="AA400" s="26"/>
    </row>
    <row r="401">
      <c r="A401" s="26"/>
      <c r="B401" s="169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169"/>
      <c r="X401" s="26"/>
      <c r="Y401" s="26"/>
      <c r="Z401" s="26"/>
      <c r="AA401" s="26"/>
    </row>
    <row r="402">
      <c r="A402" s="26"/>
      <c r="B402" s="169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169"/>
      <c r="X402" s="26"/>
      <c r="Y402" s="26"/>
      <c r="Z402" s="26"/>
      <c r="AA402" s="26"/>
    </row>
    <row r="403">
      <c r="A403" s="26"/>
      <c r="B403" s="169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169"/>
      <c r="X403" s="26"/>
      <c r="Y403" s="26"/>
      <c r="Z403" s="26"/>
      <c r="AA403" s="26"/>
    </row>
    <row r="404">
      <c r="A404" s="26"/>
      <c r="B404" s="169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169"/>
      <c r="X404" s="26"/>
      <c r="Y404" s="26"/>
      <c r="Z404" s="26"/>
      <c r="AA404" s="26"/>
    </row>
    <row r="405">
      <c r="A405" s="26"/>
      <c r="B405" s="169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169"/>
      <c r="X405" s="26"/>
      <c r="Y405" s="26"/>
      <c r="Z405" s="26"/>
      <c r="AA405" s="26"/>
    </row>
    <row r="406">
      <c r="A406" s="26"/>
      <c r="B406" s="169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169"/>
      <c r="X406" s="26"/>
      <c r="Y406" s="26"/>
      <c r="Z406" s="26"/>
      <c r="AA406" s="26"/>
    </row>
    <row r="407">
      <c r="A407" s="26"/>
      <c r="B407" s="169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169"/>
      <c r="X407" s="26"/>
      <c r="Y407" s="26"/>
      <c r="Z407" s="26"/>
      <c r="AA407" s="26"/>
    </row>
    <row r="408">
      <c r="A408" s="26"/>
      <c r="B408" s="169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169"/>
      <c r="X408" s="26"/>
      <c r="Y408" s="26"/>
      <c r="Z408" s="26"/>
      <c r="AA408" s="26"/>
    </row>
    <row r="409">
      <c r="A409" s="26"/>
      <c r="B409" s="169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169"/>
      <c r="X409" s="26"/>
      <c r="Y409" s="26"/>
      <c r="Z409" s="26"/>
      <c r="AA409" s="26"/>
    </row>
    <row r="410">
      <c r="A410" s="26"/>
      <c r="B410" s="169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169"/>
      <c r="X410" s="26"/>
      <c r="Y410" s="26"/>
      <c r="Z410" s="26"/>
      <c r="AA410" s="26"/>
    </row>
    <row r="411">
      <c r="A411" s="26"/>
      <c r="B411" s="169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169"/>
      <c r="X411" s="26"/>
      <c r="Y411" s="26"/>
      <c r="Z411" s="26"/>
      <c r="AA411" s="26"/>
    </row>
    <row r="412">
      <c r="A412" s="26"/>
      <c r="B412" s="169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169"/>
      <c r="X412" s="26"/>
      <c r="Y412" s="26"/>
      <c r="Z412" s="26"/>
      <c r="AA412" s="26"/>
    </row>
    <row r="413">
      <c r="A413" s="26"/>
      <c r="B413" s="169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169"/>
      <c r="X413" s="26"/>
      <c r="Y413" s="26"/>
      <c r="Z413" s="26"/>
      <c r="AA413" s="26"/>
    </row>
    <row r="414">
      <c r="A414" s="26"/>
      <c r="B414" s="169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169"/>
      <c r="X414" s="26"/>
      <c r="Y414" s="26"/>
      <c r="Z414" s="26"/>
      <c r="AA414" s="26"/>
    </row>
    <row r="415">
      <c r="A415" s="26"/>
      <c r="B415" s="169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169"/>
      <c r="X415" s="26"/>
      <c r="Y415" s="26"/>
      <c r="Z415" s="26"/>
      <c r="AA415" s="26"/>
    </row>
    <row r="416">
      <c r="A416" s="26"/>
      <c r="B416" s="169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169"/>
      <c r="X416" s="26"/>
      <c r="Y416" s="26"/>
      <c r="Z416" s="26"/>
      <c r="AA416" s="26"/>
    </row>
    <row r="417">
      <c r="A417" s="26"/>
      <c r="B417" s="169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169"/>
      <c r="X417" s="26"/>
      <c r="Y417" s="26"/>
      <c r="Z417" s="26"/>
      <c r="AA417" s="26"/>
    </row>
    <row r="418">
      <c r="A418" s="26"/>
      <c r="B418" s="169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169"/>
      <c r="X418" s="26"/>
      <c r="Y418" s="26"/>
      <c r="Z418" s="26"/>
      <c r="AA418" s="26"/>
    </row>
    <row r="419">
      <c r="A419" s="26"/>
      <c r="B419" s="169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169"/>
      <c r="X419" s="26"/>
      <c r="Y419" s="26"/>
      <c r="Z419" s="26"/>
      <c r="AA419" s="26"/>
    </row>
    <row r="420">
      <c r="A420" s="26"/>
      <c r="B420" s="169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169"/>
      <c r="X420" s="26"/>
      <c r="Y420" s="26"/>
      <c r="Z420" s="26"/>
      <c r="AA420" s="26"/>
    </row>
    <row r="421">
      <c r="A421" s="26"/>
      <c r="B421" s="169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169"/>
      <c r="X421" s="26"/>
      <c r="Y421" s="26"/>
      <c r="Z421" s="26"/>
      <c r="AA421" s="26"/>
    </row>
    <row r="422">
      <c r="A422" s="26"/>
      <c r="B422" s="169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169"/>
      <c r="X422" s="26"/>
      <c r="Y422" s="26"/>
      <c r="Z422" s="26"/>
      <c r="AA422" s="26"/>
    </row>
    <row r="423">
      <c r="A423" s="26"/>
      <c r="B423" s="169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169"/>
      <c r="X423" s="26"/>
      <c r="Y423" s="26"/>
      <c r="Z423" s="26"/>
      <c r="AA423" s="26"/>
    </row>
    <row r="424">
      <c r="A424" s="26"/>
      <c r="B424" s="169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169"/>
      <c r="X424" s="26"/>
      <c r="Y424" s="26"/>
      <c r="Z424" s="26"/>
      <c r="AA424" s="26"/>
    </row>
    <row r="425">
      <c r="A425" s="26"/>
      <c r="B425" s="169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169"/>
      <c r="X425" s="26"/>
      <c r="Y425" s="26"/>
      <c r="Z425" s="26"/>
      <c r="AA425" s="26"/>
    </row>
    <row r="426">
      <c r="A426" s="26"/>
      <c r="B426" s="169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169"/>
      <c r="X426" s="26"/>
      <c r="Y426" s="26"/>
      <c r="Z426" s="26"/>
      <c r="AA426" s="26"/>
    </row>
    <row r="427">
      <c r="A427" s="26"/>
      <c r="B427" s="169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169"/>
      <c r="X427" s="26"/>
      <c r="Y427" s="26"/>
      <c r="Z427" s="26"/>
      <c r="AA427" s="26"/>
    </row>
    <row r="428">
      <c r="A428" s="26"/>
      <c r="B428" s="169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169"/>
      <c r="X428" s="26"/>
      <c r="Y428" s="26"/>
      <c r="Z428" s="26"/>
      <c r="AA428" s="26"/>
    </row>
    <row r="429">
      <c r="A429" s="26"/>
      <c r="B429" s="169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169"/>
      <c r="X429" s="26"/>
      <c r="Y429" s="26"/>
      <c r="Z429" s="26"/>
      <c r="AA429" s="26"/>
    </row>
    <row r="430">
      <c r="A430" s="26"/>
      <c r="B430" s="169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169"/>
      <c r="X430" s="26"/>
      <c r="Y430" s="26"/>
      <c r="Z430" s="26"/>
      <c r="AA430" s="26"/>
    </row>
    <row r="431">
      <c r="A431" s="26"/>
      <c r="B431" s="169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169"/>
      <c r="X431" s="26"/>
      <c r="Y431" s="26"/>
      <c r="Z431" s="26"/>
      <c r="AA431" s="26"/>
    </row>
    <row r="432">
      <c r="A432" s="26"/>
      <c r="B432" s="169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169"/>
      <c r="X432" s="26"/>
      <c r="Y432" s="26"/>
      <c r="Z432" s="26"/>
      <c r="AA432" s="26"/>
    </row>
    <row r="433">
      <c r="A433" s="26"/>
      <c r="B433" s="169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169"/>
      <c r="X433" s="26"/>
      <c r="Y433" s="26"/>
      <c r="Z433" s="26"/>
      <c r="AA433" s="26"/>
    </row>
    <row r="434">
      <c r="A434" s="26"/>
      <c r="B434" s="169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169"/>
      <c r="X434" s="26"/>
      <c r="Y434" s="26"/>
      <c r="Z434" s="26"/>
      <c r="AA434" s="26"/>
    </row>
    <row r="435">
      <c r="A435" s="26"/>
      <c r="B435" s="169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169"/>
      <c r="X435" s="26"/>
      <c r="Y435" s="26"/>
      <c r="Z435" s="26"/>
      <c r="AA435" s="26"/>
    </row>
    <row r="436">
      <c r="A436" s="26"/>
      <c r="B436" s="169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169"/>
      <c r="X436" s="26"/>
      <c r="Y436" s="26"/>
      <c r="Z436" s="26"/>
      <c r="AA436" s="26"/>
    </row>
    <row r="437">
      <c r="A437" s="26"/>
      <c r="B437" s="169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169"/>
      <c r="X437" s="26"/>
      <c r="Y437" s="26"/>
      <c r="Z437" s="26"/>
      <c r="AA437" s="26"/>
    </row>
    <row r="438">
      <c r="A438" s="26"/>
      <c r="B438" s="169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169"/>
      <c r="X438" s="26"/>
      <c r="Y438" s="26"/>
      <c r="Z438" s="26"/>
      <c r="AA438" s="26"/>
    </row>
    <row r="439">
      <c r="A439" s="26"/>
      <c r="B439" s="169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169"/>
      <c r="X439" s="26"/>
      <c r="Y439" s="26"/>
      <c r="Z439" s="26"/>
      <c r="AA439" s="26"/>
    </row>
    <row r="440">
      <c r="A440" s="26"/>
      <c r="B440" s="169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169"/>
      <c r="X440" s="26"/>
      <c r="Y440" s="26"/>
      <c r="Z440" s="26"/>
      <c r="AA440" s="26"/>
    </row>
    <row r="441">
      <c r="A441" s="26"/>
      <c r="B441" s="169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169"/>
      <c r="X441" s="26"/>
      <c r="Y441" s="26"/>
      <c r="Z441" s="26"/>
      <c r="AA441" s="26"/>
    </row>
    <row r="442">
      <c r="A442" s="26"/>
      <c r="B442" s="169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169"/>
      <c r="X442" s="26"/>
      <c r="Y442" s="26"/>
      <c r="Z442" s="26"/>
      <c r="AA442" s="26"/>
    </row>
    <row r="443">
      <c r="A443" s="26"/>
      <c r="B443" s="169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169"/>
      <c r="X443" s="26"/>
      <c r="Y443" s="26"/>
      <c r="Z443" s="26"/>
      <c r="AA443" s="26"/>
    </row>
    <row r="444">
      <c r="A444" s="26"/>
      <c r="B444" s="169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169"/>
      <c r="X444" s="26"/>
      <c r="Y444" s="26"/>
      <c r="Z444" s="26"/>
      <c r="AA444" s="26"/>
    </row>
    <row r="445">
      <c r="A445" s="26"/>
      <c r="B445" s="169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169"/>
      <c r="X445" s="26"/>
      <c r="Y445" s="26"/>
      <c r="Z445" s="26"/>
      <c r="AA445" s="26"/>
    </row>
    <row r="446">
      <c r="A446" s="26"/>
      <c r="B446" s="169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169"/>
      <c r="X446" s="26"/>
      <c r="Y446" s="26"/>
      <c r="Z446" s="26"/>
      <c r="AA446" s="26"/>
    </row>
    <row r="447">
      <c r="A447" s="26"/>
      <c r="B447" s="169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169"/>
      <c r="X447" s="26"/>
      <c r="Y447" s="26"/>
      <c r="Z447" s="26"/>
      <c r="AA447" s="26"/>
    </row>
    <row r="448">
      <c r="A448" s="26"/>
      <c r="B448" s="169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169"/>
      <c r="X448" s="26"/>
      <c r="Y448" s="26"/>
      <c r="Z448" s="26"/>
      <c r="AA448" s="26"/>
    </row>
    <row r="449">
      <c r="A449" s="26"/>
      <c r="B449" s="169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169"/>
      <c r="X449" s="26"/>
      <c r="Y449" s="26"/>
      <c r="Z449" s="26"/>
      <c r="AA449" s="26"/>
    </row>
    <row r="450">
      <c r="A450" s="26"/>
      <c r="B450" s="169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169"/>
      <c r="X450" s="26"/>
      <c r="Y450" s="26"/>
      <c r="Z450" s="26"/>
      <c r="AA450" s="26"/>
    </row>
    <row r="451">
      <c r="A451" s="26"/>
      <c r="B451" s="169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169"/>
      <c r="X451" s="26"/>
      <c r="Y451" s="26"/>
      <c r="Z451" s="26"/>
      <c r="AA451" s="26"/>
    </row>
    <row r="452">
      <c r="A452" s="26"/>
      <c r="B452" s="169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169"/>
      <c r="X452" s="26"/>
      <c r="Y452" s="26"/>
      <c r="Z452" s="26"/>
      <c r="AA452" s="26"/>
    </row>
    <row r="453">
      <c r="A453" s="26"/>
      <c r="B453" s="169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169"/>
      <c r="X453" s="26"/>
      <c r="Y453" s="26"/>
      <c r="Z453" s="26"/>
      <c r="AA453" s="26"/>
    </row>
    <row r="454">
      <c r="A454" s="26"/>
      <c r="B454" s="169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169"/>
      <c r="X454" s="26"/>
      <c r="Y454" s="26"/>
      <c r="Z454" s="26"/>
      <c r="AA454" s="26"/>
    </row>
    <row r="455">
      <c r="A455" s="26"/>
      <c r="B455" s="169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169"/>
      <c r="X455" s="26"/>
      <c r="Y455" s="26"/>
      <c r="Z455" s="26"/>
      <c r="AA455" s="26"/>
    </row>
    <row r="456">
      <c r="A456" s="26"/>
      <c r="B456" s="169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169"/>
      <c r="X456" s="26"/>
      <c r="Y456" s="26"/>
      <c r="Z456" s="26"/>
      <c r="AA456" s="26"/>
    </row>
    <row r="457">
      <c r="A457" s="26"/>
      <c r="B457" s="169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169"/>
      <c r="X457" s="26"/>
      <c r="Y457" s="26"/>
      <c r="Z457" s="26"/>
      <c r="AA457" s="26"/>
    </row>
    <row r="458">
      <c r="A458" s="26"/>
      <c r="B458" s="169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169"/>
      <c r="X458" s="26"/>
      <c r="Y458" s="26"/>
      <c r="Z458" s="26"/>
      <c r="AA458" s="26"/>
    </row>
    <row r="459">
      <c r="A459" s="26"/>
      <c r="B459" s="169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169"/>
      <c r="X459" s="26"/>
      <c r="Y459" s="26"/>
      <c r="Z459" s="26"/>
      <c r="AA459" s="26"/>
    </row>
    <row r="460">
      <c r="A460" s="26"/>
      <c r="B460" s="169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169"/>
      <c r="X460" s="26"/>
      <c r="Y460" s="26"/>
      <c r="Z460" s="26"/>
      <c r="AA460" s="26"/>
    </row>
    <row r="461">
      <c r="A461" s="26"/>
      <c r="B461" s="169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169"/>
      <c r="X461" s="26"/>
      <c r="Y461" s="26"/>
      <c r="Z461" s="26"/>
      <c r="AA461" s="26"/>
    </row>
    <row r="462">
      <c r="A462" s="26"/>
      <c r="B462" s="169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169"/>
      <c r="X462" s="26"/>
      <c r="Y462" s="26"/>
      <c r="Z462" s="26"/>
      <c r="AA462" s="26"/>
    </row>
    <row r="463">
      <c r="A463" s="26"/>
      <c r="B463" s="169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169"/>
      <c r="X463" s="26"/>
      <c r="Y463" s="26"/>
      <c r="Z463" s="26"/>
      <c r="AA463" s="26"/>
    </row>
    <row r="464">
      <c r="A464" s="26"/>
      <c r="B464" s="169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169"/>
      <c r="X464" s="26"/>
      <c r="Y464" s="26"/>
      <c r="Z464" s="26"/>
      <c r="AA464" s="26"/>
    </row>
    <row r="465">
      <c r="A465" s="26"/>
      <c r="B465" s="169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169"/>
      <c r="X465" s="26"/>
      <c r="Y465" s="26"/>
      <c r="Z465" s="26"/>
      <c r="AA465" s="26"/>
    </row>
    <row r="466">
      <c r="A466" s="26"/>
      <c r="B466" s="169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169"/>
      <c r="X466" s="26"/>
      <c r="Y466" s="26"/>
      <c r="Z466" s="26"/>
      <c r="AA466" s="26"/>
    </row>
    <row r="467">
      <c r="A467" s="26"/>
      <c r="B467" s="169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169"/>
      <c r="X467" s="26"/>
      <c r="Y467" s="26"/>
      <c r="Z467" s="26"/>
      <c r="AA467" s="26"/>
    </row>
    <row r="468">
      <c r="A468" s="26"/>
      <c r="B468" s="169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169"/>
      <c r="X468" s="26"/>
      <c r="Y468" s="26"/>
      <c r="Z468" s="26"/>
      <c r="AA468" s="26"/>
    </row>
    <row r="469">
      <c r="A469" s="26"/>
      <c r="B469" s="169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169"/>
      <c r="X469" s="26"/>
      <c r="Y469" s="26"/>
      <c r="Z469" s="26"/>
      <c r="AA469" s="26"/>
    </row>
    <row r="470">
      <c r="A470" s="26"/>
      <c r="B470" s="169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169"/>
      <c r="X470" s="26"/>
      <c r="Y470" s="26"/>
      <c r="Z470" s="26"/>
      <c r="AA470" s="26"/>
    </row>
    <row r="471">
      <c r="A471" s="26"/>
      <c r="B471" s="169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169"/>
      <c r="X471" s="26"/>
      <c r="Y471" s="26"/>
      <c r="Z471" s="26"/>
      <c r="AA471" s="26"/>
    </row>
    <row r="472">
      <c r="A472" s="26"/>
      <c r="B472" s="169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169"/>
      <c r="X472" s="26"/>
      <c r="Y472" s="26"/>
      <c r="Z472" s="26"/>
      <c r="AA472" s="26"/>
    </row>
    <row r="473">
      <c r="A473" s="26"/>
      <c r="B473" s="169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169"/>
      <c r="X473" s="26"/>
      <c r="Y473" s="26"/>
      <c r="Z473" s="26"/>
      <c r="AA473" s="26"/>
    </row>
    <row r="474">
      <c r="A474" s="26"/>
      <c r="B474" s="169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169"/>
      <c r="X474" s="26"/>
      <c r="Y474" s="26"/>
      <c r="Z474" s="26"/>
      <c r="AA474" s="26"/>
    </row>
    <row r="475">
      <c r="A475" s="26"/>
      <c r="B475" s="169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169"/>
      <c r="X475" s="26"/>
      <c r="Y475" s="26"/>
      <c r="Z475" s="26"/>
      <c r="AA475" s="26"/>
    </row>
    <row r="476">
      <c r="A476" s="26"/>
      <c r="B476" s="169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169"/>
      <c r="X476" s="26"/>
      <c r="Y476" s="26"/>
      <c r="Z476" s="26"/>
      <c r="AA476" s="26"/>
    </row>
    <row r="477">
      <c r="A477" s="26"/>
      <c r="B477" s="169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169"/>
      <c r="X477" s="26"/>
      <c r="Y477" s="26"/>
      <c r="Z477" s="26"/>
      <c r="AA477" s="26"/>
    </row>
    <row r="478">
      <c r="A478" s="26"/>
      <c r="B478" s="169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169"/>
      <c r="X478" s="26"/>
      <c r="Y478" s="26"/>
      <c r="Z478" s="26"/>
      <c r="AA478" s="26"/>
    </row>
    <row r="479">
      <c r="A479" s="26"/>
      <c r="B479" s="169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169"/>
      <c r="X479" s="26"/>
      <c r="Y479" s="26"/>
      <c r="Z479" s="26"/>
      <c r="AA479" s="26"/>
    </row>
    <row r="480">
      <c r="A480" s="26"/>
      <c r="B480" s="169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169"/>
      <c r="X480" s="26"/>
      <c r="Y480" s="26"/>
      <c r="Z480" s="26"/>
      <c r="AA480" s="26"/>
    </row>
    <row r="481">
      <c r="A481" s="26"/>
      <c r="B481" s="169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169"/>
      <c r="X481" s="26"/>
      <c r="Y481" s="26"/>
      <c r="Z481" s="26"/>
      <c r="AA481" s="26"/>
    </row>
    <row r="482">
      <c r="A482" s="26"/>
      <c r="B482" s="169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169"/>
      <c r="X482" s="26"/>
      <c r="Y482" s="26"/>
      <c r="Z482" s="26"/>
      <c r="AA482" s="26"/>
    </row>
    <row r="483">
      <c r="A483" s="26"/>
      <c r="B483" s="169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169"/>
      <c r="X483" s="26"/>
      <c r="Y483" s="26"/>
      <c r="Z483" s="26"/>
      <c r="AA483" s="26"/>
    </row>
    <row r="484">
      <c r="A484" s="26"/>
      <c r="B484" s="169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169"/>
      <c r="X484" s="26"/>
      <c r="Y484" s="26"/>
      <c r="Z484" s="26"/>
      <c r="AA484" s="26"/>
    </row>
    <row r="485">
      <c r="A485" s="26"/>
      <c r="B485" s="169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169"/>
      <c r="X485" s="26"/>
      <c r="Y485" s="26"/>
      <c r="Z485" s="26"/>
      <c r="AA485" s="26"/>
    </row>
    <row r="486">
      <c r="A486" s="26"/>
      <c r="B486" s="169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169"/>
      <c r="X486" s="26"/>
      <c r="Y486" s="26"/>
      <c r="Z486" s="26"/>
      <c r="AA486" s="26"/>
    </row>
    <row r="487">
      <c r="A487" s="26"/>
      <c r="B487" s="169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169"/>
      <c r="X487" s="26"/>
      <c r="Y487" s="26"/>
      <c r="Z487" s="26"/>
      <c r="AA487" s="26"/>
    </row>
    <row r="488">
      <c r="A488" s="26"/>
      <c r="B488" s="169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169"/>
      <c r="X488" s="26"/>
      <c r="Y488" s="26"/>
      <c r="Z488" s="26"/>
      <c r="AA488" s="26"/>
    </row>
    <row r="489">
      <c r="A489" s="26"/>
      <c r="B489" s="169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169"/>
      <c r="X489" s="26"/>
      <c r="Y489" s="26"/>
      <c r="Z489" s="26"/>
      <c r="AA489" s="26"/>
    </row>
    <row r="490">
      <c r="A490" s="26"/>
      <c r="B490" s="169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169"/>
      <c r="X490" s="26"/>
      <c r="Y490" s="26"/>
      <c r="Z490" s="26"/>
      <c r="AA490" s="26"/>
    </row>
    <row r="491">
      <c r="A491" s="26"/>
      <c r="B491" s="169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169"/>
      <c r="X491" s="26"/>
      <c r="Y491" s="26"/>
      <c r="Z491" s="26"/>
      <c r="AA491" s="26"/>
    </row>
    <row r="492">
      <c r="A492" s="26"/>
      <c r="B492" s="169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169"/>
      <c r="X492" s="26"/>
      <c r="Y492" s="26"/>
      <c r="Z492" s="26"/>
      <c r="AA492" s="26"/>
    </row>
    <row r="493">
      <c r="A493" s="26"/>
      <c r="B493" s="169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169"/>
      <c r="X493" s="26"/>
      <c r="Y493" s="26"/>
      <c r="Z493" s="26"/>
      <c r="AA493" s="26"/>
    </row>
    <row r="494">
      <c r="A494" s="26"/>
      <c r="B494" s="169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169"/>
      <c r="X494" s="26"/>
      <c r="Y494" s="26"/>
      <c r="Z494" s="26"/>
      <c r="AA494" s="26"/>
    </row>
    <row r="495">
      <c r="A495" s="26"/>
      <c r="B495" s="169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169"/>
      <c r="X495" s="26"/>
      <c r="Y495" s="26"/>
      <c r="Z495" s="26"/>
      <c r="AA495" s="26"/>
    </row>
    <row r="496">
      <c r="A496" s="26"/>
      <c r="B496" s="169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169"/>
      <c r="X496" s="26"/>
      <c r="Y496" s="26"/>
      <c r="Z496" s="26"/>
      <c r="AA496" s="26"/>
    </row>
    <row r="497">
      <c r="A497" s="26"/>
      <c r="B497" s="169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169"/>
      <c r="X497" s="26"/>
      <c r="Y497" s="26"/>
      <c r="Z497" s="26"/>
      <c r="AA497" s="26"/>
    </row>
    <row r="498">
      <c r="A498" s="26"/>
      <c r="B498" s="169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169"/>
      <c r="X498" s="26"/>
      <c r="Y498" s="26"/>
      <c r="Z498" s="26"/>
      <c r="AA498" s="26"/>
    </row>
    <row r="499">
      <c r="A499" s="26"/>
      <c r="B499" s="169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169"/>
      <c r="X499" s="26"/>
      <c r="Y499" s="26"/>
      <c r="Z499" s="26"/>
      <c r="AA499" s="26"/>
    </row>
    <row r="500">
      <c r="A500" s="26"/>
      <c r="B500" s="169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169"/>
      <c r="X500" s="26"/>
      <c r="Y500" s="26"/>
      <c r="Z500" s="26"/>
      <c r="AA500" s="26"/>
    </row>
    <row r="501">
      <c r="A501" s="26"/>
      <c r="B501" s="169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169"/>
      <c r="X501" s="26"/>
      <c r="Y501" s="26"/>
      <c r="Z501" s="26"/>
      <c r="AA501" s="26"/>
    </row>
    <row r="502">
      <c r="A502" s="26"/>
      <c r="B502" s="169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169"/>
      <c r="X502" s="26"/>
      <c r="Y502" s="26"/>
      <c r="Z502" s="26"/>
      <c r="AA502" s="26"/>
    </row>
    <row r="503">
      <c r="A503" s="26"/>
      <c r="B503" s="169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169"/>
      <c r="X503" s="26"/>
      <c r="Y503" s="26"/>
      <c r="Z503" s="26"/>
      <c r="AA503" s="26"/>
    </row>
    <row r="504">
      <c r="A504" s="26"/>
      <c r="B504" s="169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169"/>
      <c r="X504" s="26"/>
      <c r="Y504" s="26"/>
      <c r="Z504" s="26"/>
      <c r="AA504" s="26"/>
    </row>
    <row r="505">
      <c r="A505" s="26"/>
      <c r="B505" s="169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169"/>
      <c r="X505" s="26"/>
      <c r="Y505" s="26"/>
      <c r="Z505" s="26"/>
      <c r="AA505" s="26"/>
    </row>
    <row r="506">
      <c r="A506" s="26"/>
      <c r="B506" s="169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169"/>
      <c r="X506" s="26"/>
      <c r="Y506" s="26"/>
      <c r="Z506" s="26"/>
      <c r="AA506" s="26"/>
    </row>
    <row r="507">
      <c r="A507" s="26"/>
      <c r="B507" s="169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169"/>
      <c r="X507" s="26"/>
      <c r="Y507" s="26"/>
      <c r="Z507" s="26"/>
      <c r="AA507" s="26"/>
    </row>
    <row r="508">
      <c r="A508" s="26"/>
      <c r="B508" s="169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169"/>
      <c r="X508" s="26"/>
      <c r="Y508" s="26"/>
      <c r="Z508" s="26"/>
      <c r="AA508" s="26"/>
    </row>
    <row r="509">
      <c r="A509" s="26"/>
      <c r="B509" s="169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169"/>
      <c r="X509" s="26"/>
      <c r="Y509" s="26"/>
      <c r="Z509" s="26"/>
      <c r="AA509" s="26"/>
    </row>
    <row r="510">
      <c r="A510" s="26"/>
      <c r="B510" s="169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169"/>
      <c r="X510" s="26"/>
      <c r="Y510" s="26"/>
      <c r="Z510" s="26"/>
      <c r="AA510" s="26"/>
    </row>
    <row r="511">
      <c r="A511" s="26"/>
      <c r="B511" s="169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169"/>
      <c r="X511" s="26"/>
      <c r="Y511" s="26"/>
      <c r="Z511" s="26"/>
      <c r="AA511" s="26"/>
    </row>
    <row r="512">
      <c r="A512" s="26"/>
      <c r="B512" s="169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169"/>
      <c r="X512" s="26"/>
      <c r="Y512" s="26"/>
      <c r="Z512" s="26"/>
      <c r="AA512" s="26"/>
    </row>
    <row r="513">
      <c r="A513" s="26"/>
      <c r="B513" s="169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169"/>
      <c r="X513" s="26"/>
      <c r="Y513" s="26"/>
      <c r="Z513" s="26"/>
      <c r="AA513" s="26"/>
    </row>
    <row r="514">
      <c r="A514" s="26"/>
      <c r="B514" s="169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169"/>
      <c r="X514" s="26"/>
      <c r="Y514" s="26"/>
      <c r="Z514" s="26"/>
      <c r="AA514" s="26"/>
    </row>
    <row r="515">
      <c r="A515" s="26"/>
      <c r="B515" s="169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169"/>
      <c r="X515" s="26"/>
      <c r="Y515" s="26"/>
      <c r="Z515" s="26"/>
      <c r="AA515" s="26"/>
    </row>
    <row r="516">
      <c r="A516" s="26"/>
      <c r="B516" s="169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169"/>
      <c r="X516" s="26"/>
      <c r="Y516" s="26"/>
      <c r="Z516" s="26"/>
      <c r="AA516" s="26"/>
    </row>
    <row r="517">
      <c r="A517" s="26"/>
      <c r="B517" s="169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169"/>
      <c r="X517" s="26"/>
      <c r="Y517" s="26"/>
      <c r="Z517" s="26"/>
      <c r="AA517" s="26"/>
    </row>
    <row r="518">
      <c r="A518" s="26"/>
      <c r="B518" s="169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169"/>
      <c r="X518" s="26"/>
      <c r="Y518" s="26"/>
      <c r="Z518" s="26"/>
      <c r="AA518" s="26"/>
    </row>
    <row r="519">
      <c r="A519" s="26"/>
      <c r="B519" s="169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169"/>
      <c r="X519" s="26"/>
      <c r="Y519" s="26"/>
      <c r="Z519" s="26"/>
      <c r="AA519" s="26"/>
    </row>
    <row r="520">
      <c r="A520" s="26"/>
      <c r="B520" s="169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169"/>
      <c r="X520" s="26"/>
      <c r="Y520" s="26"/>
      <c r="Z520" s="26"/>
      <c r="AA520" s="26"/>
    </row>
    <row r="521">
      <c r="A521" s="26"/>
      <c r="B521" s="169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169"/>
      <c r="X521" s="26"/>
      <c r="Y521" s="26"/>
      <c r="Z521" s="26"/>
      <c r="AA521" s="26"/>
    </row>
    <row r="522">
      <c r="A522" s="26"/>
      <c r="B522" s="169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169"/>
      <c r="X522" s="26"/>
      <c r="Y522" s="26"/>
      <c r="Z522" s="26"/>
      <c r="AA522" s="26"/>
    </row>
    <row r="523">
      <c r="A523" s="26"/>
      <c r="B523" s="169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169"/>
      <c r="X523" s="26"/>
      <c r="Y523" s="26"/>
      <c r="Z523" s="26"/>
      <c r="AA523" s="26"/>
    </row>
    <row r="524">
      <c r="A524" s="26"/>
      <c r="B524" s="169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169"/>
      <c r="X524" s="26"/>
      <c r="Y524" s="26"/>
      <c r="Z524" s="26"/>
      <c r="AA524" s="26"/>
    </row>
    <row r="525">
      <c r="A525" s="26"/>
      <c r="B525" s="169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169"/>
      <c r="X525" s="26"/>
      <c r="Y525" s="26"/>
      <c r="Z525" s="26"/>
      <c r="AA525" s="26"/>
    </row>
    <row r="526">
      <c r="A526" s="26"/>
      <c r="B526" s="169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169"/>
      <c r="X526" s="26"/>
      <c r="Y526" s="26"/>
      <c r="Z526" s="26"/>
      <c r="AA526" s="26"/>
    </row>
    <row r="527">
      <c r="A527" s="26"/>
      <c r="B527" s="169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169"/>
      <c r="X527" s="26"/>
      <c r="Y527" s="26"/>
      <c r="Z527" s="26"/>
      <c r="AA527" s="26"/>
    </row>
    <row r="528">
      <c r="A528" s="26"/>
      <c r="B528" s="169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169"/>
      <c r="X528" s="26"/>
      <c r="Y528" s="26"/>
      <c r="Z528" s="26"/>
      <c r="AA528" s="26"/>
    </row>
    <row r="529">
      <c r="A529" s="26"/>
      <c r="B529" s="169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169"/>
      <c r="X529" s="26"/>
      <c r="Y529" s="26"/>
      <c r="Z529" s="26"/>
      <c r="AA529" s="26"/>
    </row>
    <row r="530">
      <c r="A530" s="26"/>
      <c r="B530" s="169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169"/>
      <c r="X530" s="26"/>
      <c r="Y530" s="26"/>
      <c r="Z530" s="26"/>
      <c r="AA530" s="26"/>
    </row>
    <row r="531">
      <c r="A531" s="26"/>
      <c r="B531" s="169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169"/>
      <c r="X531" s="26"/>
      <c r="Y531" s="26"/>
      <c r="Z531" s="26"/>
      <c r="AA531" s="26"/>
    </row>
    <row r="532">
      <c r="A532" s="26"/>
      <c r="B532" s="169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169"/>
      <c r="X532" s="26"/>
      <c r="Y532" s="26"/>
      <c r="Z532" s="26"/>
      <c r="AA532" s="26"/>
    </row>
    <row r="533">
      <c r="A533" s="26"/>
      <c r="B533" s="169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169"/>
      <c r="X533" s="26"/>
      <c r="Y533" s="26"/>
      <c r="Z533" s="26"/>
      <c r="AA533" s="26"/>
    </row>
    <row r="534">
      <c r="A534" s="26"/>
      <c r="B534" s="169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169"/>
      <c r="X534" s="26"/>
      <c r="Y534" s="26"/>
      <c r="Z534" s="26"/>
      <c r="AA534" s="26"/>
    </row>
    <row r="535">
      <c r="A535" s="26"/>
      <c r="B535" s="169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169"/>
      <c r="X535" s="26"/>
      <c r="Y535" s="26"/>
      <c r="Z535" s="26"/>
      <c r="AA535" s="26"/>
    </row>
    <row r="536">
      <c r="A536" s="26"/>
      <c r="B536" s="169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169"/>
      <c r="X536" s="26"/>
      <c r="Y536" s="26"/>
      <c r="Z536" s="26"/>
      <c r="AA536" s="26"/>
    </row>
    <row r="537">
      <c r="A537" s="26"/>
      <c r="B537" s="169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169"/>
      <c r="X537" s="26"/>
      <c r="Y537" s="26"/>
      <c r="Z537" s="26"/>
      <c r="AA537" s="26"/>
    </row>
    <row r="538">
      <c r="A538" s="26"/>
      <c r="B538" s="169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169"/>
      <c r="X538" s="26"/>
      <c r="Y538" s="26"/>
      <c r="Z538" s="26"/>
      <c r="AA538" s="26"/>
    </row>
    <row r="539">
      <c r="A539" s="26"/>
      <c r="B539" s="169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169"/>
      <c r="X539" s="26"/>
      <c r="Y539" s="26"/>
      <c r="Z539" s="26"/>
      <c r="AA539" s="26"/>
    </row>
    <row r="540">
      <c r="A540" s="26"/>
      <c r="B540" s="169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169"/>
      <c r="X540" s="26"/>
      <c r="Y540" s="26"/>
      <c r="Z540" s="26"/>
      <c r="AA540" s="26"/>
    </row>
    <row r="541">
      <c r="A541" s="26"/>
      <c r="B541" s="169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169"/>
      <c r="X541" s="26"/>
      <c r="Y541" s="26"/>
      <c r="Z541" s="26"/>
      <c r="AA541" s="26"/>
    </row>
    <row r="542">
      <c r="A542" s="26"/>
      <c r="B542" s="169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169"/>
      <c r="X542" s="26"/>
      <c r="Y542" s="26"/>
      <c r="Z542" s="26"/>
      <c r="AA542" s="26"/>
    </row>
    <row r="543">
      <c r="A543" s="26"/>
      <c r="B543" s="169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169"/>
      <c r="X543" s="26"/>
      <c r="Y543" s="26"/>
      <c r="Z543" s="26"/>
      <c r="AA543" s="26"/>
    </row>
    <row r="544">
      <c r="A544" s="26"/>
      <c r="B544" s="169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169"/>
      <c r="X544" s="26"/>
      <c r="Y544" s="26"/>
      <c r="Z544" s="26"/>
      <c r="AA544" s="26"/>
    </row>
    <row r="545">
      <c r="A545" s="26"/>
      <c r="B545" s="169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169"/>
      <c r="X545" s="26"/>
      <c r="Y545" s="26"/>
      <c r="Z545" s="26"/>
      <c r="AA545" s="26"/>
    </row>
    <row r="546">
      <c r="A546" s="26"/>
      <c r="B546" s="169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169"/>
      <c r="X546" s="26"/>
      <c r="Y546" s="26"/>
      <c r="Z546" s="26"/>
      <c r="AA546" s="26"/>
    </row>
    <row r="547">
      <c r="A547" s="26"/>
      <c r="B547" s="169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169"/>
      <c r="X547" s="26"/>
      <c r="Y547" s="26"/>
      <c r="Z547" s="26"/>
      <c r="AA547" s="26"/>
    </row>
    <row r="548">
      <c r="A548" s="26"/>
      <c r="B548" s="169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169"/>
      <c r="X548" s="26"/>
      <c r="Y548" s="26"/>
      <c r="Z548" s="26"/>
      <c r="AA548" s="26"/>
    </row>
    <row r="549">
      <c r="A549" s="26"/>
      <c r="B549" s="169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169"/>
      <c r="X549" s="26"/>
      <c r="Y549" s="26"/>
      <c r="Z549" s="26"/>
      <c r="AA549" s="26"/>
    </row>
    <row r="550">
      <c r="A550" s="26"/>
      <c r="B550" s="169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169"/>
      <c r="X550" s="26"/>
      <c r="Y550" s="26"/>
      <c r="Z550" s="26"/>
      <c r="AA550" s="26"/>
    </row>
    <row r="551">
      <c r="A551" s="26"/>
      <c r="B551" s="169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169"/>
      <c r="X551" s="26"/>
      <c r="Y551" s="26"/>
      <c r="Z551" s="26"/>
      <c r="AA551" s="26"/>
    </row>
    <row r="552">
      <c r="A552" s="26"/>
      <c r="B552" s="169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169"/>
      <c r="X552" s="26"/>
      <c r="Y552" s="26"/>
      <c r="Z552" s="26"/>
      <c r="AA552" s="26"/>
    </row>
    <row r="553">
      <c r="A553" s="26"/>
      <c r="B553" s="169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169"/>
      <c r="X553" s="26"/>
      <c r="Y553" s="26"/>
      <c r="Z553" s="26"/>
      <c r="AA553" s="26"/>
    </row>
    <row r="554">
      <c r="A554" s="26"/>
      <c r="B554" s="169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169"/>
      <c r="X554" s="26"/>
      <c r="Y554" s="26"/>
      <c r="Z554" s="26"/>
      <c r="AA554" s="26"/>
    </row>
    <row r="555">
      <c r="A555" s="26"/>
      <c r="B555" s="169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169"/>
      <c r="X555" s="26"/>
      <c r="Y555" s="26"/>
      <c r="Z555" s="26"/>
      <c r="AA555" s="26"/>
    </row>
    <row r="556">
      <c r="A556" s="26"/>
      <c r="B556" s="169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169"/>
      <c r="X556" s="26"/>
      <c r="Y556" s="26"/>
      <c r="Z556" s="26"/>
      <c r="AA556" s="26"/>
    </row>
    <row r="557">
      <c r="A557" s="26"/>
      <c r="B557" s="169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169"/>
      <c r="X557" s="26"/>
      <c r="Y557" s="26"/>
      <c r="Z557" s="26"/>
      <c r="AA557" s="26"/>
    </row>
    <row r="558">
      <c r="A558" s="26"/>
      <c r="B558" s="169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169"/>
      <c r="X558" s="26"/>
      <c r="Y558" s="26"/>
      <c r="Z558" s="26"/>
      <c r="AA558" s="26"/>
    </row>
    <row r="559">
      <c r="A559" s="26"/>
      <c r="B559" s="169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169"/>
      <c r="X559" s="26"/>
      <c r="Y559" s="26"/>
      <c r="Z559" s="26"/>
      <c r="AA559" s="26"/>
    </row>
    <row r="560">
      <c r="A560" s="26"/>
      <c r="B560" s="169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169"/>
      <c r="X560" s="26"/>
      <c r="Y560" s="26"/>
      <c r="Z560" s="26"/>
      <c r="AA560" s="26"/>
    </row>
    <row r="561">
      <c r="A561" s="26"/>
      <c r="B561" s="169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169"/>
      <c r="X561" s="26"/>
      <c r="Y561" s="26"/>
      <c r="Z561" s="26"/>
      <c r="AA561" s="26"/>
    </row>
    <row r="562">
      <c r="A562" s="26"/>
      <c r="B562" s="169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169"/>
      <c r="X562" s="26"/>
      <c r="Y562" s="26"/>
      <c r="Z562" s="26"/>
      <c r="AA562" s="26"/>
    </row>
    <row r="563">
      <c r="A563" s="26"/>
      <c r="B563" s="169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169"/>
      <c r="X563" s="26"/>
      <c r="Y563" s="26"/>
      <c r="Z563" s="26"/>
      <c r="AA563" s="26"/>
    </row>
    <row r="564">
      <c r="A564" s="26"/>
      <c r="B564" s="169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169"/>
      <c r="X564" s="26"/>
      <c r="Y564" s="26"/>
      <c r="Z564" s="26"/>
      <c r="AA564" s="26"/>
    </row>
    <row r="565">
      <c r="A565" s="26"/>
      <c r="B565" s="169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169"/>
      <c r="X565" s="26"/>
      <c r="Y565" s="26"/>
      <c r="Z565" s="26"/>
      <c r="AA565" s="26"/>
    </row>
    <row r="566">
      <c r="A566" s="26"/>
      <c r="B566" s="169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169"/>
      <c r="X566" s="26"/>
      <c r="Y566" s="26"/>
      <c r="Z566" s="26"/>
      <c r="AA566" s="26"/>
    </row>
    <row r="567">
      <c r="A567" s="26"/>
      <c r="B567" s="169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169"/>
      <c r="X567" s="26"/>
      <c r="Y567" s="26"/>
      <c r="Z567" s="26"/>
      <c r="AA567" s="26"/>
    </row>
    <row r="568">
      <c r="A568" s="26"/>
      <c r="B568" s="169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169"/>
      <c r="X568" s="26"/>
      <c r="Y568" s="26"/>
      <c r="Z568" s="26"/>
      <c r="AA568" s="26"/>
    </row>
    <row r="569">
      <c r="A569" s="26"/>
      <c r="B569" s="169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169"/>
      <c r="X569" s="26"/>
      <c r="Y569" s="26"/>
      <c r="Z569" s="26"/>
      <c r="AA569" s="26"/>
    </row>
    <row r="570">
      <c r="A570" s="26"/>
      <c r="B570" s="169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169"/>
      <c r="X570" s="26"/>
      <c r="Y570" s="26"/>
      <c r="Z570" s="26"/>
      <c r="AA570" s="26"/>
    </row>
    <row r="571">
      <c r="A571" s="26"/>
      <c r="B571" s="169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169"/>
      <c r="X571" s="26"/>
      <c r="Y571" s="26"/>
      <c r="Z571" s="26"/>
      <c r="AA571" s="26"/>
    </row>
    <row r="572">
      <c r="A572" s="26"/>
      <c r="B572" s="169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169"/>
      <c r="X572" s="26"/>
      <c r="Y572" s="26"/>
      <c r="Z572" s="26"/>
      <c r="AA572" s="26"/>
    </row>
    <row r="573">
      <c r="A573" s="26"/>
      <c r="B573" s="169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169"/>
      <c r="X573" s="26"/>
      <c r="Y573" s="26"/>
      <c r="Z573" s="26"/>
      <c r="AA573" s="26"/>
    </row>
    <row r="574">
      <c r="A574" s="26"/>
      <c r="B574" s="169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169"/>
      <c r="X574" s="26"/>
      <c r="Y574" s="26"/>
      <c r="Z574" s="26"/>
      <c r="AA574" s="26"/>
    </row>
    <row r="575">
      <c r="A575" s="26"/>
      <c r="B575" s="169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169"/>
      <c r="X575" s="26"/>
      <c r="Y575" s="26"/>
      <c r="Z575" s="26"/>
      <c r="AA575" s="26"/>
    </row>
    <row r="576">
      <c r="A576" s="26"/>
      <c r="B576" s="169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169"/>
      <c r="X576" s="26"/>
      <c r="Y576" s="26"/>
      <c r="Z576" s="26"/>
      <c r="AA576" s="26"/>
    </row>
    <row r="577">
      <c r="A577" s="26"/>
      <c r="B577" s="169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169"/>
      <c r="X577" s="26"/>
      <c r="Y577" s="26"/>
      <c r="Z577" s="26"/>
      <c r="AA577" s="26"/>
    </row>
    <row r="578">
      <c r="A578" s="26"/>
      <c r="B578" s="169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169"/>
      <c r="X578" s="26"/>
      <c r="Y578" s="26"/>
      <c r="Z578" s="26"/>
      <c r="AA578" s="26"/>
    </row>
    <row r="579">
      <c r="A579" s="26"/>
      <c r="B579" s="169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169"/>
      <c r="X579" s="26"/>
      <c r="Y579" s="26"/>
      <c r="Z579" s="26"/>
      <c r="AA579" s="26"/>
    </row>
    <row r="580">
      <c r="A580" s="26"/>
      <c r="B580" s="169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169"/>
      <c r="X580" s="26"/>
      <c r="Y580" s="26"/>
      <c r="Z580" s="26"/>
      <c r="AA580" s="26"/>
    </row>
    <row r="581">
      <c r="A581" s="26"/>
      <c r="B581" s="169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169"/>
      <c r="X581" s="26"/>
      <c r="Y581" s="26"/>
      <c r="Z581" s="26"/>
      <c r="AA581" s="26"/>
    </row>
    <row r="582">
      <c r="A582" s="26"/>
      <c r="B582" s="169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169"/>
      <c r="X582" s="26"/>
      <c r="Y582" s="26"/>
      <c r="Z582" s="26"/>
      <c r="AA582" s="26"/>
    </row>
    <row r="583">
      <c r="A583" s="26"/>
      <c r="B583" s="169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169"/>
      <c r="X583" s="26"/>
      <c r="Y583" s="26"/>
      <c r="Z583" s="26"/>
      <c r="AA583" s="26"/>
    </row>
    <row r="584">
      <c r="A584" s="26"/>
      <c r="B584" s="169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169"/>
      <c r="X584" s="26"/>
      <c r="Y584" s="26"/>
      <c r="Z584" s="26"/>
      <c r="AA584" s="26"/>
    </row>
    <row r="585">
      <c r="A585" s="26"/>
      <c r="B585" s="169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169"/>
      <c r="X585" s="26"/>
      <c r="Y585" s="26"/>
      <c r="Z585" s="26"/>
      <c r="AA585" s="26"/>
    </row>
    <row r="586">
      <c r="A586" s="26"/>
      <c r="B586" s="169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169"/>
      <c r="X586" s="26"/>
      <c r="Y586" s="26"/>
      <c r="Z586" s="26"/>
      <c r="AA586" s="26"/>
    </row>
    <row r="587">
      <c r="A587" s="26"/>
      <c r="B587" s="169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169"/>
      <c r="X587" s="26"/>
      <c r="Y587" s="26"/>
      <c r="Z587" s="26"/>
      <c r="AA587" s="26"/>
    </row>
    <row r="588">
      <c r="A588" s="26"/>
      <c r="B588" s="169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169"/>
      <c r="X588" s="26"/>
      <c r="Y588" s="26"/>
      <c r="Z588" s="26"/>
      <c r="AA588" s="26"/>
    </row>
    <row r="589">
      <c r="A589" s="26"/>
      <c r="B589" s="169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169"/>
      <c r="X589" s="26"/>
      <c r="Y589" s="26"/>
      <c r="Z589" s="26"/>
      <c r="AA589" s="26"/>
    </row>
    <row r="590">
      <c r="A590" s="26"/>
      <c r="B590" s="169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169"/>
      <c r="X590" s="26"/>
      <c r="Y590" s="26"/>
      <c r="Z590" s="26"/>
      <c r="AA590" s="26"/>
    </row>
    <row r="591">
      <c r="A591" s="26"/>
      <c r="B591" s="169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169"/>
      <c r="X591" s="26"/>
      <c r="Y591" s="26"/>
      <c r="Z591" s="26"/>
      <c r="AA591" s="26"/>
    </row>
    <row r="592">
      <c r="A592" s="26"/>
      <c r="B592" s="169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169"/>
      <c r="X592" s="26"/>
      <c r="Y592" s="26"/>
      <c r="Z592" s="26"/>
      <c r="AA592" s="26"/>
    </row>
    <row r="593">
      <c r="A593" s="26"/>
      <c r="B593" s="169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169"/>
      <c r="X593" s="26"/>
      <c r="Y593" s="26"/>
      <c r="Z593" s="26"/>
      <c r="AA593" s="26"/>
    </row>
    <row r="594">
      <c r="A594" s="26"/>
      <c r="B594" s="169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169"/>
      <c r="X594" s="26"/>
      <c r="Y594" s="26"/>
      <c r="Z594" s="26"/>
      <c r="AA594" s="26"/>
    </row>
    <row r="595">
      <c r="A595" s="26"/>
      <c r="B595" s="169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169"/>
      <c r="X595" s="26"/>
      <c r="Y595" s="26"/>
      <c r="Z595" s="26"/>
      <c r="AA595" s="26"/>
    </row>
    <row r="596">
      <c r="A596" s="26"/>
      <c r="B596" s="169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169"/>
      <c r="X596" s="26"/>
      <c r="Y596" s="26"/>
      <c r="Z596" s="26"/>
      <c r="AA596" s="26"/>
    </row>
    <row r="597">
      <c r="A597" s="26"/>
      <c r="B597" s="169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169"/>
      <c r="X597" s="26"/>
      <c r="Y597" s="26"/>
      <c r="Z597" s="26"/>
      <c r="AA597" s="26"/>
    </row>
    <row r="598">
      <c r="A598" s="26"/>
      <c r="B598" s="169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169"/>
      <c r="X598" s="26"/>
      <c r="Y598" s="26"/>
      <c r="Z598" s="26"/>
      <c r="AA598" s="26"/>
    </row>
    <row r="599">
      <c r="A599" s="26"/>
      <c r="B599" s="169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169"/>
      <c r="X599" s="26"/>
      <c r="Y599" s="26"/>
      <c r="Z599" s="26"/>
      <c r="AA599" s="26"/>
    </row>
    <row r="600">
      <c r="A600" s="26"/>
      <c r="B600" s="169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169"/>
      <c r="X600" s="26"/>
      <c r="Y600" s="26"/>
      <c r="Z600" s="26"/>
      <c r="AA600" s="26"/>
    </row>
    <row r="601">
      <c r="A601" s="26"/>
      <c r="B601" s="169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169"/>
      <c r="X601" s="26"/>
      <c r="Y601" s="26"/>
      <c r="Z601" s="26"/>
      <c r="AA601" s="26"/>
    </row>
    <row r="602">
      <c r="A602" s="26"/>
      <c r="B602" s="169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169"/>
      <c r="X602" s="26"/>
      <c r="Y602" s="26"/>
      <c r="Z602" s="26"/>
      <c r="AA602" s="26"/>
    </row>
    <row r="603">
      <c r="A603" s="26"/>
      <c r="B603" s="169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169"/>
      <c r="X603" s="26"/>
      <c r="Y603" s="26"/>
      <c r="Z603" s="26"/>
      <c r="AA603" s="26"/>
    </row>
    <row r="604">
      <c r="A604" s="26"/>
      <c r="B604" s="169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169"/>
      <c r="X604" s="26"/>
      <c r="Y604" s="26"/>
      <c r="Z604" s="26"/>
      <c r="AA604" s="26"/>
    </row>
    <row r="605">
      <c r="A605" s="26"/>
      <c r="B605" s="169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169"/>
      <c r="X605" s="26"/>
      <c r="Y605" s="26"/>
      <c r="Z605" s="26"/>
      <c r="AA605" s="26"/>
    </row>
    <row r="606">
      <c r="A606" s="26"/>
      <c r="B606" s="169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169"/>
      <c r="X606" s="26"/>
      <c r="Y606" s="26"/>
      <c r="Z606" s="26"/>
      <c r="AA606" s="26"/>
    </row>
    <row r="607">
      <c r="A607" s="26"/>
      <c r="B607" s="169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169"/>
      <c r="X607" s="26"/>
      <c r="Y607" s="26"/>
      <c r="Z607" s="26"/>
      <c r="AA607" s="26"/>
    </row>
    <row r="608">
      <c r="A608" s="26"/>
      <c r="B608" s="169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169"/>
      <c r="X608" s="26"/>
      <c r="Y608" s="26"/>
      <c r="Z608" s="26"/>
      <c r="AA608" s="26"/>
    </row>
    <row r="609">
      <c r="A609" s="26"/>
      <c r="B609" s="169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169"/>
      <c r="X609" s="26"/>
      <c r="Y609" s="26"/>
      <c r="Z609" s="26"/>
      <c r="AA609" s="26"/>
    </row>
    <row r="610">
      <c r="A610" s="26"/>
      <c r="B610" s="169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169"/>
      <c r="X610" s="26"/>
      <c r="Y610" s="26"/>
      <c r="Z610" s="26"/>
      <c r="AA610" s="26"/>
    </row>
    <row r="611">
      <c r="A611" s="26"/>
      <c r="B611" s="169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169"/>
      <c r="X611" s="26"/>
      <c r="Y611" s="26"/>
      <c r="Z611" s="26"/>
      <c r="AA611" s="26"/>
    </row>
    <row r="612">
      <c r="A612" s="26"/>
      <c r="B612" s="169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169"/>
      <c r="X612" s="26"/>
      <c r="Y612" s="26"/>
      <c r="Z612" s="26"/>
      <c r="AA612" s="26"/>
    </row>
    <row r="613">
      <c r="A613" s="26"/>
      <c r="B613" s="169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169"/>
      <c r="X613" s="26"/>
      <c r="Y613" s="26"/>
      <c r="Z613" s="26"/>
      <c r="AA613" s="26"/>
    </row>
    <row r="614">
      <c r="A614" s="26"/>
      <c r="B614" s="169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169"/>
      <c r="X614" s="26"/>
      <c r="Y614" s="26"/>
      <c r="Z614" s="26"/>
      <c r="AA614" s="26"/>
    </row>
    <row r="615">
      <c r="A615" s="26"/>
      <c r="B615" s="169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169"/>
      <c r="X615" s="26"/>
      <c r="Y615" s="26"/>
      <c r="Z615" s="26"/>
      <c r="AA615" s="26"/>
    </row>
    <row r="616">
      <c r="A616" s="26"/>
      <c r="B616" s="169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169"/>
      <c r="X616" s="26"/>
      <c r="Y616" s="26"/>
      <c r="Z616" s="26"/>
      <c r="AA616" s="26"/>
    </row>
    <row r="617">
      <c r="A617" s="26"/>
      <c r="B617" s="169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169"/>
      <c r="X617" s="26"/>
      <c r="Y617" s="26"/>
      <c r="Z617" s="26"/>
      <c r="AA617" s="26"/>
    </row>
    <row r="618">
      <c r="A618" s="26"/>
      <c r="B618" s="169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169"/>
      <c r="X618" s="26"/>
      <c r="Y618" s="26"/>
      <c r="Z618" s="26"/>
      <c r="AA618" s="26"/>
    </row>
    <row r="619">
      <c r="A619" s="26"/>
      <c r="B619" s="169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169"/>
      <c r="X619" s="26"/>
      <c r="Y619" s="26"/>
      <c r="Z619" s="26"/>
      <c r="AA619" s="26"/>
    </row>
    <row r="620">
      <c r="A620" s="26"/>
      <c r="B620" s="169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169"/>
      <c r="X620" s="26"/>
      <c r="Y620" s="26"/>
      <c r="Z620" s="26"/>
      <c r="AA620" s="26"/>
    </row>
    <row r="621">
      <c r="A621" s="26"/>
      <c r="B621" s="169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169"/>
      <c r="X621" s="26"/>
      <c r="Y621" s="26"/>
      <c r="Z621" s="26"/>
      <c r="AA621" s="26"/>
    </row>
    <row r="622">
      <c r="A622" s="26"/>
      <c r="B622" s="169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169"/>
      <c r="X622" s="26"/>
      <c r="Y622" s="26"/>
      <c r="Z622" s="26"/>
      <c r="AA622" s="26"/>
    </row>
    <row r="623">
      <c r="A623" s="26"/>
      <c r="B623" s="169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169"/>
      <c r="X623" s="26"/>
      <c r="Y623" s="26"/>
      <c r="Z623" s="26"/>
      <c r="AA623" s="26"/>
    </row>
    <row r="624">
      <c r="A624" s="26"/>
      <c r="B624" s="169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169"/>
      <c r="X624" s="26"/>
      <c r="Y624" s="26"/>
      <c r="Z624" s="26"/>
      <c r="AA624" s="26"/>
    </row>
    <row r="625">
      <c r="A625" s="26"/>
      <c r="B625" s="169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169"/>
      <c r="X625" s="26"/>
      <c r="Y625" s="26"/>
      <c r="Z625" s="26"/>
      <c r="AA625" s="26"/>
    </row>
    <row r="626">
      <c r="A626" s="26"/>
      <c r="B626" s="169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169"/>
      <c r="X626" s="26"/>
      <c r="Y626" s="26"/>
      <c r="Z626" s="26"/>
      <c r="AA626" s="26"/>
    </row>
    <row r="627">
      <c r="A627" s="26"/>
      <c r="B627" s="169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169"/>
      <c r="X627" s="26"/>
      <c r="Y627" s="26"/>
      <c r="Z627" s="26"/>
      <c r="AA627" s="26"/>
    </row>
    <row r="628">
      <c r="A628" s="26"/>
      <c r="B628" s="169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169"/>
      <c r="X628" s="26"/>
      <c r="Y628" s="26"/>
      <c r="Z628" s="26"/>
      <c r="AA628" s="26"/>
    </row>
    <row r="629">
      <c r="A629" s="26"/>
      <c r="B629" s="169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169"/>
      <c r="X629" s="26"/>
      <c r="Y629" s="26"/>
      <c r="Z629" s="26"/>
      <c r="AA629" s="26"/>
    </row>
    <row r="630">
      <c r="A630" s="26"/>
      <c r="B630" s="169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169"/>
      <c r="X630" s="26"/>
      <c r="Y630" s="26"/>
      <c r="Z630" s="26"/>
      <c r="AA630" s="26"/>
    </row>
    <row r="631">
      <c r="A631" s="26"/>
      <c r="B631" s="169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169"/>
      <c r="X631" s="26"/>
      <c r="Y631" s="26"/>
      <c r="Z631" s="26"/>
      <c r="AA631" s="26"/>
    </row>
    <row r="632">
      <c r="A632" s="26"/>
      <c r="B632" s="169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169"/>
      <c r="X632" s="26"/>
      <c r="Y632" s="26"/>
      <c r="Z632" s="26"/>
      <c r="AA632" s="26"/>
    </row>
    <row r="633">
      <c r="A633" s="26"/>
      <c r="B633" s="169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169"/>
      <c r="X633" s="26"/>
      <c r="Y633" s="26"/>
      <c r="Z633" s="26"/>
      <c r="AA633" s="26"/>
    </row>
    <row r="634">
      <c r="A634" s="26"/>
      <c r="B634" s="169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169"/>
      <c r="X634" s="26"/>
      <c r="Y634" s="26"/>
      <c r="Z634" s="26"/>
      <c r="AA634" s="26"/>
    </row>
    <row r="635">
      <c r="A635" s="26"/>
      <c r="B635" s="169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169"/>
      <c r="X635" s="26"/>
      <c r="Y635" s="26"/>
      <c r="Z635" s="26"/>
      <c r="AA635" s="26"/>
    </row>
    <row r="636">
      <c r="A636" s="26"/>
      <c r="B636" s="169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169"/>
      <c r="X636" s="26"/>
      <c r="Y636" s="26"/>
      <c r="Z636" s="26"/>
      <c r="AA636" s="26"/>
    </row>
    <row r="637">
      <c r="A637" s="26"/>
      <c r="B637" s="169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169"/>
      <c r="X637" s="26"/>
      <c r="Y637" s="26"/>
      <c r="Z637" s="26"/>
      <c r="AA637" s="26"/>
    </row>
    <row r="638">
      <c r="A638" s="26"/>
      <c r="B638" s="169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169"/>
      <c r="X638" s="26"/>
      <c r="Y638" s="26"/>
      <c r="Z638" s="26"/>
      <c r="AA638" s="26"/>
    </row>
    <row r="639">
      <c r="A639" s="26"/>
      <c r="B639" s="169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169"/>
      <c r="X639" s="26"/>
      <c r="Y639" s="26"/>
      <c r="Z639" s="26"/>
      <c r="AA639" s="26"/>
    </row>
    <row r="640">
      <c r="A640" s="26"/>
      <c r="B640" s="169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169"/>
      <c r="X640" s="26"/>
      <c r="Y640" s="26"/>
      <c r="Z640" s="26"/>
      <c r="AA640" s="26"/>
    </row>
    <row r="641">
      <c r="A641" s="26"/>
      <c r="B641" s="169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169"/>
      <c r="X641" s="26"/>
      <c r="Y641" s="26"/>
      <c r="Z641" s="26"/>
      <c r="AA641" s="26"/>
    </row>
    <row r="642">
      <c r="A642" s="26"/>
      <c r="B642" s="169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169"/>
      <c r="X642" s="26"/>
      <c r="Y642" s="26"/>
      <c r="Z642" s="26"/>
      <c r="AA642" s="26"/>
    </row>
    <row r="643">
      <c r="A643" s="26"/>
      <c r="B643" s="169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169"/>
      <c r="X643" s="26"/>
      <c r="Y643" s="26"/>
      <c r="Z643" s="26"/>
      <c r="AA643" s="26"/>
    </row>
    <row r="644">
      <c r="A644" s="26"/>
      <c r="B644" s="169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169"/>
      <c r="X644" s="26"/>
      <c r="Y644" s="26"/>
      <c r="Z644" s="26"/>
      <c r="AA644" s="26"/>
    </row>
    <row r="645">
      <c r="A645" s="26"/>
      <c r="B645" s="169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169"/>
      <c r="X645" s="26"/>
      <c r="Y645" s="26"/>
      <c r="Z645" s="26"/>
      <c r="AA645" s="26"/>
    </row>
    <row r="646">
      <c r="A646" s="26"/>
      <c r="B646" s="169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169"/>
      <c r="X646" s="26"/>
      <c r="Y646" s="26"/>
      <c r="Z646" s="26"/>
      <c r="AA646" s="26"/>
    </row>
    <row r="647">
      <c r="A647" s="26"/>
      <c r="B647" s="169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169"/>
      <c r="X647" s="26"/>
      <c r="Y647" s="26"/>
      <c r="Z647" s="26"/>
      <c r="AA647" s="26"/>
    </row>
    <row r="648">
      <c r="A648" s="26"/>
      <c r="B648" s="169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169"/>
      <c r="X648" s="26"/>
      <c r="Y648" s="26"/>
      <c r="Z648" s="26"/>
      <c r="AA648" s="26"/>
    </row>
    <row r="649">
      <c r="A649" s="26"/>
      <c r="B649" s="169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169"/>
      <c r="X649" s="26"/>
      <c r="Y649" s="26"/>
      <c r="Z649" s="26"/>
      <c r="AA649" s="26"/>
    </row>
    <row r="650">
      <c r="A650" s="26"/>
      <c r="B650" s="169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169"/>
      <c r="X650" s="26"/>
      <c r="Y650" s="26"/>
      <c r="Z650" s="26"/>
      <c r="AA650" s="26"/>
    </row>
    <row r="651">
      <c r="A651" s="26"/>
      <c r="B651" s="169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169"/>
      <c r="X651" s="26"/>
      <c r="Y651" s="26"/>
      <c r="Z651" s="26"/>
      <c r="AA651" s="26"/>
    </row>
    <row r="652">
      <c r="A652" s="26"/>
      <c r="B652" s="169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169"/>
      <c r="X652" s="26"/>
      <c r="Y652" s="26"/>
      <c r="Z652" s="26"/>
      <c r="AA652" s="26"/>
    </row>
    <row r="653">
      <c r="A653" s="26"/>
      <c r="B653" s="169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169"/>
      <c r="X653" s="26"/>
      <c r="Y653" s="26"/>
      <c r="Z653" s="26"/>
      <c r="AA653" s="26"/>
    </row>
    <row r="654">
      <c r="A654" s="26"/>
      <c r="B654" s="169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169"/>
      <c r="X654" s="26"/>
      <c r="Y654" s="26"/>
      <c r="Z654" s="26"/>
      <c r="AA654" s="26"/>
    </row>
    <row r="655">
      <c r="A655" s="26"/>
      <c r="B655" s="169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169"/>
      <c r="X655" s="26"/>
      <c r="Y655" s="26"/>
      <c r="Z655" s="26"/>
      <c r="AA655" s="26"/>
    </row>
    <row r="656">
      <c r="A656" s="26"/>
      <c r="B656" s="169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169"/>
      <c r="X656" s="26"/>
      <c r="Y656" s="26"/>
      <c r="Z656" s="26"/>
      <c r="AA656" s="26"/>
    </row>
    <row r="657">
      <c r="A657" s="26"/>
      <c r="B657" s="169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169"/>
      <c r="X657" s="26"/>
      <c r="Y657" s="26"/>
      <c r="Z657" s="26"/>
      <c r="AA657" s="26"/>
    </row>
    <row r="658">
      <c r="A658" s="26"/>
      <c r="B658" s="169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169"/>
      <c r="X658" s="26"/>
      <c r="Y658" s="26"/>
      <c r="Z658" s="26"/>
      <c r="AA658" s="26"/>
    </row>
    <row r="659">
      <c r="A659" s="26"/>
      <c r="B659" s="169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169"/>
      <c r="X659" s="26"/>
      <c r="Y659" s="26"/>
      <c r="Z659" s="26"/>
      <c r="AA659" s="26"/>
    </row>
    <row r="660">
      <c r="A660" s="26"/>
      <c r="B660" s="169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169"/>
      <c r="X660" s="26"/>
      <c r="Y660" s="26"/>
      <c r="Z660" s="26"/>
      <c r="AA660" s="26"/>
    </row>
    <row r="661">
      <c r="A661" s="26"/>
      <c r="B661" s="169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169"/>
      <c r="X661" s="26"/>
      <c r="Y661" s="26"/>
      <c r="Z661" s="26"/>
      <c r="AA661" s="26"/>
    </row>
    <row r="662">
      <c r="A662" s="26"/>
      <c r="B662" s="169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169"/>
      <c r="X662" s="26"/>
      <c r="Y662" s="26"/>
      <c r="Z662" s="26"/>
      <c r="AA662" s="26"/>
    </row>
    <row r="663">
      <c r="A663" s="26"/>
      <c r="B663" s="169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169"/>
      <c r="X663" s="26"/>
      <c r="Y663" s="26"/>
      <c r="Z663" s="26"/>
      <c r="AA663" s="26"/>
    </row>
    <row r="664">
      <c r="A664" s="26"/>
      <c r="B664" s="169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169"/>
      <c r="X664" s="26"/>
      <c r="Y664" s="26"/>
      <c r="Z664" s="26"/>
      <c r="AA664" s="26"/>
    </row>
    <row r="665">
      <c r="A665" s="26"/>
      <c r="B665" s="169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169"/>
      <c r="X665" s="26"/>
      <c r="Y665" s="26"/>
      <c r="Z665" s="26"/>
      <c r="AA665" s="26"/>
    </row>
    <row r="666">
      <c r="A666" s="26"/>
      <c r="B666" s="169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169"/>
      <c r="X666" s="26"/>
      <c r="Y666" s="26"/>
      <c r="Z666" s="26"/>
      <c r="AA666" s="26"/>
    </row>
    <row r="667">
      <c r="A667" s="26"/>
      <c r="B667" s="169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169"/>
      <c r="X667" s="26"/>
      <c r="Y667" s="26"/>
      <c r="Z667" s="26"/>
      <c r="AA667" s="26"/>
    </row>
    <row r="668">
      <c r="A668" s="26"/>
      <c r="B668" s="169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169"/>
      <c r="X668" s="26"/>
      <c r="Y668" s="26"/>
      <c r="Z668" s="26"/>
      <c r="AA668" s="26"/>
    </row>
    <row r="669">
      <c r="A669" s="26"/>
      <c r="B669" s="169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169"/>
      <c r="X669" s="26"/>
      <c r="Y669" s="26"/>
      <c r="Z669" s="26"/>
      <c r="AA669" s="26"/>
    </row>
    <row r="670">
      <c r="A670" s="26"/>
      <c r="B670" s="169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169"/>
      <c r="X670" s="26"/>
      <c r="Y670" s="26"/>
      <c r="Z670" s="26"/>
      <c r="AA670" s="26"/>
    </row>
    <row r="671">
      <c r="A671" s="26"/>
      <c r="B671" s="169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169"/>
      <c r="X671" s="26"/>
      <c r="Y671" s="26"/>
      <c r="Z671" s="26"/>
      <c r="AA671" s="26"/>
    </row>
    <row r="672">
      <c r="A672" s="26"/>
      <c r="B672" s="169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169"/>
      <c r="X672" s="26"/>
      <c r="Y672" s="26"/>
      <c r="Z672" s="26"/>
      <c r="AA672" s="26"/>
    </row>
    <row r="673">
      <c r="A673" s="26"/>
      <c r="B673" s="169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169"/>
      <c r="X673" s="26"/>
      <c r="Y673" s="26"/>
      <c r="Z673" s="26"/>
      <c r="AA673" s="26"/>
    </row>
    <row r="674">
      <c r="A674" s="26"/>
      <c r="B674" s="169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169"/>
      <c r="X674" s="26"/>
      <c r="Y674" s="26"/>
      <c r="Z674" s="26"/>
      <c r="AA674" s="26"/>
    </row>
    <row r="675">
      <c r="A675" s="26"/>
      <c r="B675" s="169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169"/>
      <c r="X675" s="26"/>
      <c r="Y675" s="26"/>
      <c r="Z675" s="26"/>
      <c r="AA675" s="26"/>
    </row>
    <row r="676">
      <c r="A676" s="26"/>
      <c r="B676" s="169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169"/>
      <c r="X676" s="26"/>
      <c r="Y676" s="26"/>
      <c r="Z676" s="26"/>
      <c r="AA676" s="26"/>
    </row>
    <row r="677">
      <c r="A677" s="26"/>
      <c r="B677" s="169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169"/>
      <c r="X677" s="26"/>
      <c r="Y677" s="26"/>
      <c r="Z677" s="26"/>
      <c r="AA677" s="26"/>
    </row>
    <row r="678">
      <c r="A678" s="26"/>
      <c r="B678" s="169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169"/>
      <c r="X678" s="26"/>
      <c r="Y678" s="26"/>
      <c r="Z678" s="26"/>
      <c r="AA678" s="26"/>
    </row>
    <row r="679">
      <c r="A679" s="26"/>
      <c r="B679" s="169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169"/>
      <c r="X679" s="26"/>
      <c r="Y679" s="26"/>
      <c r="Z679" s="26"/>
      <c r="AA679" s="26"/>
    </row>
    <row r="680">
      <c r="A680" s="26"/>
      <c r="B680" s="169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169"/>
      <c r="X680" s="26"/>
      <c r="Y680" s="26"/>
      <c r="Z680" s="26"/>
      <c r="AA680" s="26"/>
    </row>
    <row r="681">
      <c r="A681" s="26"/>
      <c r="B681" s="169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169"/>
      <c r="X681" s="26"/>
      <c r="Y681" s="26"/>
      <c r="Z681" s="26"/>
      <c r="AA681" s="26"/>
    </row>
    <row r="682">
      <c r="A682" s="26"/>
      <c r="B682" s="169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169"/>
      <c r="X682" s="26"/>
      <c r="Y682" s="26"/>
      <c r="Z682" s="26"/>
      <c r="AA682" s="26"/>
    </row>
    <row r="683">
      <c r="A683" s="26"/>
      <c r="B683" s="169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169"/>
      <c r="X683" s="26"/>
      <c r="Y683" s="26"/>
      <c r="Z683" s="26"/>
      <c r="AA683" s="26"/>
    </row>
    <row r="684">
      <c r="A684" s="26"/>
      <c r="B684" s="169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169"/>
      <c r="X684" s="26"/>
      <c r="Y684" s="26"/>
      <c r="Z684" s="26"/>
      <c r="AA684" s="26"/>
    </row>
    <row r="685">
      <c r="A685" s="26"/>
      <c r="B685" s="169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169"/>
      <c r="X685" s="26"/>
      <c r="Y685" s="26"/>
      <c r="Z685" s="26"/>
      <c r="AA685" s="26"/>
    </row>
    <row r="686">
      <c r="A686" s="26"/>
      <c r="B686" s="169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169"/>
      <c r="X686" s="26"/>
      <c r="Y686" s="26"/>
      <c r="Z686" s="26"/>
      <c r="AA686" s="26"/>
    </row>
    <row r="687">
      <c r="A687" s="26"/>
      <c r="B687" s="169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169"/>
      <c r="X687" s="26"/>
      <c r="Y687" s="26"/>
      <c r="Z687" s="26"/>
      <c r="AA687" s="26"/>
    </row>
    <row r="688">
      <c r="A688" s="26"/>
      <c r="B688" s="169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169"/>
      <c r="X688" s="26"/>
      <c r="Y688" s="26"/>
      <c r="Z688" s="26"/>
      <c r="AA688" s="26"/>
    </row>
    <row r="689">
      <c r="A689" s="26"/>
      <c r="B689" s="169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169"/>
      <c r="X689" s="26"/>
      <c r="Y689" s="26"/>
      <c r="Z689" s="26"/>
      <c r="AA689" s="26"/>
    </row>
    <row r="690">
      <c r="A690" s="26"/>
      <c r="B690" s="169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169"/>
      <c r="X690" s="26"/>
      <c r="Y690" s="26"/>
      <c r="Z690" s="26"/>
      <c r="AA690" s="26"/>
    </row>
    <row r="691">
      <c r="A691" s="26"/>
      <c r="B691" s="169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169"/>
      <c r="X691" s="26"/>
      <c r="Y691" s="26"/>
      <c r="Z691" s="26"/>
      <c r="AA691" s="26"/>
    </row>
    <row r="692">
      <c r="A692" s="26"/>
      <c r="B692" s="169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169"/>
      <c r="X692" s="26"/>
      <c r="Y692" s="26"/>
      <c r="Z692" s="26"/>
      <c r="AA692" s="26"/>
    </row>
    <row r="693">
      <c r="A693" s="26"/>
      <c r="B693" s="169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169"/>
      <c r="X693" s="26"/>
      <c r="Y693" s="26"/>
      <c r="Z693" s="26"/>
      <c r="AA693" s="26"/>
    </row>
    <row r="694">
      <c r="A694" s="26"/>
      <c r="B694" s="169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169"/>
      <c r="X694" s="26"/>
      <c r="Y694" s="26"/>
      <c r="Z694" s="26"/>
      <c r="AA694" s="26"/>
    </row>
    <row r="695">
      <c r="A695" s="26"/>
      <c r="B695" s="169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169"/>
      <c r="X695" s="26"/>
      <c r="Y695" s="26"/>
      <c r="Z695" s="26"/>
      <c r="AA695" s="26"/>
    </row>
    <row r="696">
      <c r="A696" s="26"/>
      <c r="B696" s="169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169"/>
      <c r="X696" s="26"/>
      <c r="Y696" s="26"/>
      <c r="Z696" s="26"/>
      <c r="AA696" s="26"/>
    </row>
    <row r="697">
      <c r="A697" s="26"/>
      <c r="B697" s="169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169"/>
      <c r="X697" s="26"/>
      <c r="Y697" s="26"/>
      <c r="Z697" s="26"/>
      <c r="AA697" s="26"/>
    </row>
    <row r="698">
      <c r="A698" s="26"/>
      <c r="B698" s="169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169"/>
      <c r="X698" s="26"/>
      <c r="Y698" s="26"/>
      <c r="Z698" s="26"/>
      <c r="AA698" s="26"/>
    </row>
    <row r="699">
      <c r="A699" s="26"/>
      <c r="B699" s="169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169"/>
      <c r="X699" s="26"/>
      <c r="Y699" s="26"/>
      <c r="Z699" s="26"/>
      <c r="AA699" s="26"/>
    </row>
    <row r="700">
      <c r="A700" s="26"/>
      <c r="B700" s="169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169"/>
      <c r="X700" s="26"/>
      <c r="Y700" s="26"/>
      <c r="Z700" s="26"/>
      <c r="AA700" s="26"/>
    </row>
    <row r="701">
      <c r="A701" s="26"/>
      <c r="B701" s="169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169"/>
      <c r="X701" s="26"/>
      <c r="Y701" s="26"/>
      <c r="Z701" s="26"/>
      <c r="AA701" s="26"/>
    </row>
    <row r="702">
      <c r="A702" s="26"/>
      <c r="B702" s="169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169"/>
      <c r="X702" s="26"/>
      <c r="Y702" s="26"/>
      <c r="Z702" s="26"/>
      <c r="AA702" s="26"/>
    </row>
    <row r="703">
      <c r="A703" s="26"/>
      <c r="B703" s="169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169"/>
      <c r="X703" s="26"/>
      <c r="Y703" s="26"/>
      <c r="Z703" s="26"/>
      <c r="AA703" s="26"/>
    </row>
    <row r="704">
      <c r="A704" s="26"/>
      <c r="B704" s="169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169"/>
      <c r="X704" s="26"/>
      <c r="Y704" s="26"/>
      <c r="Z704" s="26"/>
      <c r="AA704" s="26"/>
    </row>
    <row r="705">
      <c r="A705" s="26"/>
      <c r="B705" s="169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169"/>
      <c r="X705" s="26"/>
      <c r="Y705" s="26"/>
      <c r="Z705" s="26"/>
      <c r="AA705" s="26"/>
    </row>
    <row r="706">
      <c r="A706" s="26"/>
      <c r="B706" s="169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169"/>
      <c r="X706" s="26"/>
      <c r="Y706" s="26"/>
      <c r="Z706" s="26"/>
      <c r="AA706" s="26"/>
    </row>
    <row r="707">
      <c r="A707" s="26"/>
      <c r="B707" s="169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169"/>
      <c r="X707" s="26"/>
      <c r="Y707" s="26"/>
      <c r="Z707" s="26"/>
      <c r="AA707" s="26"/>
    </row>
    <row r="708">
      <c r="A708" s="26"/>
      <c r="B708" s="169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169"/>
      <c r="X708" s="26"/>
      <c r="Y708" s="26"/>
      <c r="Z708" s="26"/>
      <c r="AA708" s="26"/>
    </row>
    <row r="709">
      <c r="A709" s="26"/>
      <c r="B709" s="169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169"/>
      <c r="X709" s="26"/>
      <c r="Y709" s="26"/>
      <c r="Z709" s="26"/>
      <c r="AA709" s="26"/>
    </row>
    <row r="710">
      <c r="A710" s="26"/>
      <c r="B710" s="169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169"/>
      <c r="X710" s="26"/>
      <c r="Y710" s="26"/>
      <c r="Z710" s="26"/>
      <c r="AA710" s="26"/>
    </row>
    <row r="711">
      <c r="A711" s="26"/>
      <c r="B711" s="169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169"/>
      <c r="X711" s="26"/>
      <c r="Y711" s="26"/>
      <c r="Z711" s="26"/>
      <c r="AA711" s="26"/>
    </row>
    <row r="712">
      <c r="A712" s="26"/>
      <c r="B712" s="169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169"/>
      <c r="X712" s="26"/>
      <c r="Y712" s="26"/>
      <c r="Z712" s="26"/>
      <c r="AA712" s="26"/>
    </row>
    <row r="713">
      <c r="A713" s="26"/>
      <c r="B713" s="169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169"/>
      <c r="X713" s="26"/>
      <c r="Y713" s="26"/>
      <c r="Z713" s="26"/>
      <c r="AA713" s="26"/>
    </row>
    <row r="714">
      <c r="A714" s="26"/>
      <c r="B714" s="169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169"/>
      <c r="X714" s="26"/>
      <c r="Y714" s="26"/>
      <c r="Z714" s="26"/>
      <c r="AA714" s="26"/>
    </row>
    <row r="715">
      <c r="A715" s="26"/>
      <c r="B715" s="169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169"/>
      <c r="X715" s="26"/>
      <c r="Y715" s="26"/>
      <c r="Z715" s="26"/>
      <c r="AA715" s="26"/>
    </row>
    <row r="716">
      <c r="A716" s="26"/>
      <c r="B716" s="169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169"/>
      <c r="X716" s="26"/>
      <c r="Y716" s="26"/>
      <c r="Z716" s="26"/>
      <c r="AA716" s="26"/>
    </row>
    <row r="717">
      <c r="A717" s="26"/>
      <c r="B717" s="169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169"/>
      <c r="X717" s="26"/>
      <c r="Y717" s="26"/>
      <c r="Z717" s="26"/>
      <c r="AA717" s="26"/>
    </row>
    <row r="718">
      <c r="A718" s="26"/>
      <c r="B718" s="169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169"/>
      <c r="X718" s="26"/>
      <c r="Y718" s="26"/>
      <c r="Z718" s="26"/>
      <c r="AA718" s="26"/>
    </row>
    <row r="719">
      <c r="A719" s="26"/>
      <c r="B719" s="169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169"/>
      <c r="X719" s="26"/>
      <c r="Y719" s="26"/>
      <c r="Z719" s="26"/>
      <c r="AA719" s="26"/>
    </row>
    <row r="720">
      <c r="A720" s="26"/>
      <c r="B720" s="169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169"/>
      <c r="X720" s="26"/>
      <c r="Y720" s="26"/>
      <c r="Z720" s="26"/>
      <c r="AA720" s="26"/>
    </row>
    <row r="721">
      <c r="A721" s="26"/>
      <c r="B721" s="169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169"/>
      <c r="X721" s="26"/>
      <c r="Y721" s="26"/>
      <c r="Z721" s="26"/>
      <c r="AA721" s="26"/>
    </row>
    <row r="722">
      <c r="A722" s="26"/>
      <c r="B722" s="169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169"/>
      <c r="X722" s="26"/>
      <c r="Y722" s="26"/>
      <c r="Z722" s="26"/>
      <c r="AA722" s="26"/>
    </row>
    <row r="723">
      <c r="A723" s="26"/>
      <c r="B723" s="169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169"/>
      <c r="X723" s="26"/>
      <c r="Y723" s="26"/>
      <c r="Z723" s="26"/>
      <c r="AA723" s="26"/>
    </row>
    <row r="724">
      <c r="A724" s="26"/>
      <c r="B724" s="169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169"/>
      <c r="X724" s="26"/>
      <c r="Y724" s="26"/>
      <c r="Z724" s="26"/>
      <c r="AA724" s="26"/>
    </row>
    <row r="725">
      <c r="A725" s="26"/>
      <c r="B725" s="169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169"/>
      <c r="X725" s="26"/>
      <c r="Y725" s="26"/>
      <c r="Z725" s="26"/>
      <c r="AA725" s="26"/>
    </row>
    <row r="726">
      <c r="A726" s="26"/>
      <c r="B726" s="169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169"/>
      <c r="X726" s="26"/>
      <c r="Y726" s="26"/>
      <c r="Z726" s="26"/>
      <c r="AA726" s="26"/>
    </row>
    <row r="727">
      <c r="A727" s="26"/>
      <c r="B727" s="169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169"/>
      <c r="X727" s="26"/>
      <c r="Y727" s="26"/>
      <c r="Z727" s="26"/>
      <c r="AA727" s="26"/>
    </row>
    <row r="728">
      <c r="A728" s="26"/>
      <c r="B728" s="169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169"/>
      <c r="X728" s="26"/>
      <c r="Y728" s="26"/>
      <c r="Z728" s="26"/>
      <c r="AA728" s="26"/>
    </row>
    <row r="729">
      <c r="A729" s="26"/>
      <c r="B729" s="169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169"/>
      <c r="X729" s="26"/>
      <c r="Y729" s="26"/>
      <c r="Z729" s="26"/>
      <c r="AA729" s="26"/>
    </row>
    <row r="730">
      <c r="A730" s="26"/>
      <c r="B730" s="169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169"/>
      <c r="X730" s="26"/>
      <c r="Y730" s="26"/>
      <c r="Z730" s="26"/>
      <c r="AA730" s="26"/>
    </row>
    <row r="731">
      <c r="A731" s="26"/>
      <c r="B731" s="169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169"/>
      <c r="X731" s="26"/>
      <c r="Y731" s="26"/>
      <c r="Z731" s="26"/>
      <c r="AA731" s="26"/>
    </row>
    <row r="732">
      <c r="A732" s="26"/>
      <c r="B732" s="169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169"/>
      <c r="X732" s="26"/>
      <c r="Y732" s="26"/>
      <c r="Z732" s="26"/>
      <c r="AA732" s="26"/>
    </row>
    <row r="733">
      <c r="A733" s="26"/>
      <c r="B733" s="169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169"/>
      <c r="X733" s="26"/>
      <c r="Y733" s="26"/>
      <c r="Z733" s="26"/>
      <c r="AA733" s="26"/>
    </row>
    <row r="734">
      <c r="A734" s="26"/>
      <c r="B734" s="169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169"/>
      <c r="X734" s="26"/>
      <c r="Y734" s="26"/>
      <c r="Z734" s="26"/>
      <c r="AA734" s="26"/>
    </row>
    <row r="735">
      <c r="A735" s="26"/>
      <c r="B735" s="169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169"/>
      <c r="X735" s="26"/>
      <c r="Y735" s="26"/>
      <c r="Z735" s="26"/>
      <c r="AA735" s="26"/>
    </row>
    <row r="736">
      <c r="A736" s="26"/>
      <c r="B736" s="169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169"/>
      <c r="X736" s="26"/>
      <c r="Y736" s="26"/>
      <c r="Z736" s="26"/>
      <c r="AA736" s="26"/>
    </row>
    <row r="737">
      <c r="A737" s="26"/>
      <c r="B737" s="169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169"/>
      <c r="X737" s="26"/>
      <c r="Y737" s="26"/>
      <c r="Z737" s="26"/>
      <c r="AA737" s="26"/>
    </row>
    <row r="738">
      <c r="A738" s="26"/>
      <c r="B738" s="169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169"/>
      <c r="X738" s="26"/>
      <c r="Y738" s="26"/>
      <c r="Z738" s="26"/>
      <c r="AA738" s="26"/>
    </row>
    <row r="739">
      <c r="A739" s="26"/>
      <c r="B739" s="169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169"/>
      <c r="X739" s="26"/>
      <c r="Y739" s="26"/>
      <c r="Z739" s="26"/>
      <c r="AA739" s="26"/>
    </row>
    <row r="740">
      <c r="A740" s="26"/>
      <c r="B740" s="169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169"/>
      <c r="X740" s="26"/>
      <c r="Y740" s="26"/>
      <c r="Z740" s="26"/>
      <c r="AA740" s="26"/>
    </row>
    <row r="741">
      <c r="A741" s="26"/>
      <c r="B741" s="169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169"/>
      <c r="X741" s="26"/>
      <c r="Y741" s="26"/>
      <c r="Z741" s="26"/>
      <c r="AA741" s="26"/>
    </row>
    <row r="742">
      <c r="A742" s="26"/>
      <c r="B742" s="169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169"/>
      <c r="X742" s="26"/>
      <c r="Y742" s="26"/>
      <c r="Z742" s="26"/>
      <c r="AA742" s="26"/>
    </row>
    <row r="743">
      <c r="A743" s="26"/>
      <c r="B743" s="169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169"/>
      <c r="X743" s="26"/>
      <c r="Y743" s="26"/>
      <c r="Z743" s="26"/>
      <c r="AA743" s="26"/>
    </row>
    <row r="744">
      <c r="A744" s="26"/>
      <c r="B744" s="169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169"/>
      <c r="X744" s="26"/>
      <c r="Y744" s="26"/>
      <c r="Z744" s="26"/>
      <c r="AA744" s="26"/>
    </row>
    <row r="745">
      <c r="A745" s="26"/>
      <c r="B745" s="169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169"/>
      <c r="X745" s="26"/>
      <c r="Y745" s="26"/>
      <c r="Z745" s="26"/>
      <c r="AA745" s="26"/>
    </row>
    <row r="746">
      <c r="A746" s="26"/>
      <c r="B746" s="169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169"/>
      <c r="X746" s="26"/>
      <c r="Y746" s="26"/>
      <c r="Z746" s="26"/>
      <c r="AA746" s="26"/>
    </row>
    <row r="747">
      <c r="A747" s="26"/>
      <c r="B747" s="169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169"/>
      <c r="X747" s="26"/>
      <c r="Y747" s="26"/>
      <c r="Z747" s="26"/>
      <c r="AA747" s="26"/>
    </row>
    <row r="748">
      <c r="A748" s="26"/>
      <c r="B748" s="169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169"/>
      <c r="X748" s="26"/>
      <c r="Y748" s="26"/>
      <c r="Z748" s="26"/>
      <c r="AA748" s="26"/>
    </row>
    <row r="749">
      <c r="A749" s="26"/>
      <c r="B749" s="169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169"/>
      <c r="X749" s="26"/>
      <c r="Y749" s="26"/>
      <c r="Z749" s="26"/>
      <c r="AA749" s="26"/>
    </row>
    <row r="750">
      <c r="A750" s="26"/>
      <c r="B750" s="169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169"/>
      <c r="X750" s="26"/>
      <c r="Y750" s="26"/>
      <c r="Z750" s="26"/>
      <c r="AA750" s="26"/>
    </row>
    <row r="751">
      <c r="A751" s="26"/>
      <c r="B751" s="169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169"/>
      <c r="X751" s="26"/>
      <c r="Y751" s="26"/>
      <c r="Z751" s="26"/>
      <c r="AA751" s="26"/>
    </row>
    <row r="752">
      <c r="A752" s="26"/>
      <c r="B752" s="169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169"/>
      <c r="X752" s="26"/>
      <c r="Y752" s="26"/>
      <c r="Z752" s="26"/>
      <c r="AA752" s="26"/>
    </row>
    <row r="753">
      <c r="A753" s="26"/>
      <c r="B753" s="169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169"/>
      <c r="X753" s="26"/>
      <c r="Y753" s="26"/>
      <c r="Z753" s="26"/>
      <c r="AA753" s="26"/>
    </row>
    <row r="754">
      <c r="A754" s="26"/>
      <c r="B754" s="169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169"/>
      <c r="X754" s="26"/>
      <c r="Y754" s="26"/>
      <c r="Z754" s="26"/>
      <c r="AA754" s="26"/>
    </row>
    <row r="755">
      <c r="A755" s="26"/>
      <c r="B755" s="169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169"/>
      <c r="X755" s="26"/>
      <c r="Y755" s="26"/>
      <c r="Z755" s="26"/>
      <c r="AA755" s="26"/>
    </row>
    <row r="756">
      <c r="A756" s="26"/>
      <c r="B756" s="169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169"/>
      <c r="X756" s="26"/>
      <c r="Y756" s="26"/>
      <c r="Z756" s="26"/>
      <c r="AA756" s="26"/>
    </row>
    <row r="757">
      <c r="A757" s="26"/>
      <c r="B757" s="169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169"/>
      <c r="X757" s="26"/>
      <c r="Y757" s="26"/>
      <c r="Z757" s="26"/>
      <c r="AA757" s="26"/>
    </row>
    <row r="758">
      <c r="A758" s="26"/>
      <c r="B758" s="169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169"/>
      <c r="X758" s="26"/>
      <c r="Y758" s="26"/>
      <c r="Z758" s="26"/>
      <c r="AA758" s="26"/>
    </row>
    <row r="759">
      <c r="A759" s="26"/>
      <c r="B759" s="169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169"/>
      <c r="X759" s="26"/>
      <c r="Y759" s="26"/>
      <c r="Z759" s="26"/>
      <c r="AA759" s="26"/>
    </row>
    <row r="760">
      <c r="A760" s="26"/>
      <c r="B760" s="169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169"/>
      <c r="X760" s="26"/>
      <c r="Y760" s="26"/>
      <c r="Z760" s="26"/>
      <c r="AA760" s="26"/>
    </row>
    <row r="761">
      <c r="A761" s="26"/>
      <c r="B761" s="169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169"/>
      <c r="X761" s="26"/>
      <c r="Y761" s="26"/>
      <c r="Z761" s="26"/>
      <c r="AA761" s="26"/>
    </row>
    <row r="762">
      <c r="A762" s="26"/>
      <c r="B762" s="169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169"/>
      <c r="X762" s="26"/>
      <c r="Y762" s="26"/>
      <c r="Z762" s="26"/>
      <c r="AA762" s="26"/>
    </row>
    <row r="763">
      <c r="A763" s="26"/>
      <c r="B763" s="169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169"/>
      <c r="X763" s="26"/>
      <c r="Y763" s="26"/>
      <c r="Z763" s="26"/>
      <c r="AA763" s="26"/>
    </row>
    <row r="764">
      <c r="A764" s="26"/>
      <c r="B764" s="169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169"/>
      <c r="X764" s="26"/>
      <c r="Y764" s="26"/>
      <c r="Z764" s="26"/>
      <c r="AA764" s="26"/>
    </row>
    <row r="765">
      <c r="A765" s="26"/>
      <c r="B765" s="169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169"/>
      <c r="X765" s="26"/>
      <c r="Y765" s="26"/>
      <c r="Z765" s="26"/>
      <c r="AA765" s="26"/>
    </row>
    <row r="766">
      <c r="A766" s="26"/>
      <c r="B766" s="169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169"/>
      <c r="X766" s="26"/>
      <c r="Y766" s="26"/>
      <c r="Z766" s="26"/>
      <c r="AA766" s="26"/>
    </row>
    <row r="767">
      <c r="A767" s="26"/>
      <c r="B767" s="169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169"/>
      <c r="X767" s="26"/>
      <c r="Y767" s="26"/>
      <c r="Z767" s="26"/>
      <c r="AA767" s="26"/>
    </row>
    <row r="768">
      <c r="A768" s="26"/>
      <c r="B768" s="169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169"/>
      <c r="X768" s="26"/>
      <c r="Y768" s="26"/>
      <c r="Z768" s="26"/>
      <c r="AA768" s="26"/>
    </row>
    <row r="769">
      <c r="A769" s="26"/>
      <c r="B769" s="169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169"/>
      <c r="X769" s="26"/>
      <c r="Y769" s="26"/>
      <c r="Z769" s="26"/>
      <c r="AA769" s="26"/>
    </row>
    <row r="770">
      <c r="A770" s="26"/>
      <c r="B770" s="169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169"/>
      <c r="X770" s="26"/>
      <c r="Y770" s="26"/>
      <c r="Z770" s="26"/>
      <c r="AA770" s="26"/>
    </row>
    <row r="771">
      <c r="A771" s="26"/>
      <c r="B771" s="169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169"/>
      <c r="X771" s="26"/>
      <c r="Y771" s="26"/>
      <c r="Z771" s="26"/>
      <c r="AA771" s="26"/>
    </row>
    <row r="772">
      <c r="A772" s="26"/>
      <c r="B772" s="169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169"/>
      <c r="X772" s="26"/>
      <c r="Y772" s="26"/>
      <c r="Z772" s="26"/>
      <c r="AA772" s="26"/>
    </row>
    <row r="773">
      <c r="A773" s="26"/>
      <c r="B773" s="169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169"/>
      <c r="X773" s="26"/>
      <c r="Y773" s="26"/>
      <c r="Z773" s="26"/>
      <c r="AA773" s="26"/>
    </row>
    <row r="774">
      <c r="A774" s="26"/>
      <c r="B774" s="169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169"/>
      <c r="X774" s="26"/>
      <c r="Y774" s="26"/>
      <c r="Z774" s="26"/>
      <c r="AA774" s="26"/>
    </row>
    <row r="775">
      <c r="A775" s="26"/>
      <c r="B775" s="169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169"/>
      <c r="X775" s="26"/>
      <c r="Y775" s="26"/>
      <c r="Z775" s="26"/>
      <c r="AA775" s="26"/>
    </row>
    <row r="776">
      <c r="A776" s="26"/>
      <c r="B776" s="169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169"/>
      <c r="X776" s="26"/>
      <c r="Y776" s="26"/>
      <c r="Z776" s="26"/>
      <c r="AA776" s="26"/>
    </row>
    <row r="777">
      <c r="A777" s="26"/>
      <c r="B777" s="169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169"/>
      <c r="X777" s="26"/>
      <c r="Y777" s="26"/>
      <c r="Z777" s="26"/>
      <c r="AA777" s="26"/>
    </row>
    <row r="778">
      <c r="A778" s="26"/>
      <c r="B778" s="169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169"/>
      <c r="X778" s="26"/>
      <c r="Y778" s="26"/>
      <c r="Z778" s="26"/>
      <c r="AA778" s="26"/>
    </row>
    <row r="779">
      <c r="A779" s="26"/>
      <c r="B779" s="169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169"/>
      <c r="X779" s="26"/>
      <c r="Y779" s="26"/>
      <c r="Z779" s="26"/>
      <c r="AA779" s="26"/>
    </row>
    <row r="780">
      <c r="A780" s="26"/>
      <c r="B780" s="169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169"/>
      <c r="X780" s="26"/>
      <c r="Y780" s="26"/>
      <c r="Z780" s="26"/>
      <c r="AA780" s="26"/>
    </row>
    <row r="781">
      <c r="A781" s="26"/>
      <c r="B781" s="169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169"/>
      <c r="X781" s="26"/>
      <c r="Y781" s="26"/>
      <c r="Z781" s="26"/>
      <c r="AA781" s="26"/>
    </row>
    <row r="782">
      <c r="A782" s="26"/>
      <c r="B782" s="169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169"/>
      <c r="X782" s="26"/>
      <c r="Y782" s="26"/>
      <c r="Z782" s="26"/>
      <c r="AA782" s="26"/>
    </row>
    <row r="783">
      <c r="A783" s="26"/>
      <c r="B783" s="169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169"/>
      <c r="X783" s="26"/>
      <c r="Y783" s="26"/>
      <c r="Z783" s="26"/>
      <c r="AA783" s="26"/>
    </row>
    <row r="784">
      <c r="A784" s="26"/>
      <c r="B784" s="169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169"/>
      <c r="X784" s="26"/>
      <c r="Y784" s="26"/>
      <c r="Z784" s="26"/>
      <c r="AA784" s="26"/>
    </row>
    <row r="785">
      <c r="A785" s="26"/>
      <c r="B785" s="169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169"/>
      <c r="X785" s="26"/>
      <c r="Y785" s="26"/>
      <c r="Z785" s="26"/>
      <c r="AA785" s="26"/>
    </row>
    <row r="786">
      <c r="A786" s="26"/>
      <c r="B786" s="169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169"/>
      <c r="X786" s="26"/>
      <c r="Y786" s="26"/>
      <c r="Z786" s="26"/>
      <c r="AA786" s="26"/>
    </row>
    <row r="787">
      <c r="A787" s="26"/>
      <c r="B787" s="169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169"/>
      <c r="X787" s="26"/>
      <c r="Y787" s="26"/>
      <c r="Z787" s="26"/>
      <c r="AA787" s="26"/>
    </row>
    <row r="788">
      <c r="A788" s="26"/>
      <c r="B788" s="169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169"/>
      <c r="X788" s="26"/>
      <c r="Y788" s="26"/>
      <c r="Z788" s="26"/>
      <c r="AA788" s="26"/>
    </row>
    <row r="789">
      <c r="A789" s="26"/>
      <c r="B789" s="169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169"/>
      <c r="X789" s="26"/>
      <c r="Y789" s="26"/>
      <c r="Z789" s="26"/>
      <c r="AA789" s="26"/>
    </row>
    <row r="790">
      <c r="A790" s="26"/>
      <c r="B790" s="169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169"/>
      <c r="X790" s="26"/>
      <c r="Y790" s="26"/>
      <c r="Z790" s="26"/>
      <c r="AA790" s="26"/>
    </row>
    <row r="791">
      <c r="A791" s="26"/>
      <c r="B791" s="169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169"/>
      <c r="X791" s="26"/>
      <c r="Y791" s="26"/>
      <c r="Z791" s="26"/>
      <c r="AA791" s="26"/>
    </row>
    <row r="792">
      <c r="A792" s="26"/>
      <c r="B792" s="169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169"/>
      <c r="X792" s="26"/>
      <c r="Y792" s="26"/>
      <c r="Z792" s="26"/>
      <c r="AA792" s="26"/>
    </row>
    <row r="793">
      <c r="A793" s="26"/>
      <c r="B793" s="169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169"/>
      <c r="X793" s="26"/>
      <c r="Y793" s="26"/>
      <c r="Z793" s="26"/>
      <c r="AA793" s="26"/>
    </row>
    <row r="794">
      <c r="A794" s="26"/>
      <c r="B794" s="169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169"/>
      <c r="X794" s="26"/>
      <c r="Y794" s="26"/>
      <c r="Z794" s="26"/>
      <c r="AA794" s="26"/>
    </row>
    <row r="795">
      <c r="A795" s="26"/>
      <c r="B795" s="169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169"/>
      <c r="X795" s="26"/>
      <c r="Y795" s="26"/>
      <c r="Z795" s="26"/>
      <c r="AA795" s="26"/>
    </row>
    <row r="796">
      <c r="A796" s="26"/>
      <c r="B796" s="169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169"/>
      <c r="X796" s="26"/>
      <c r="Y796" s="26"/>
      <c r="Z796" s="26"/>
      <c r="AA796" s="26"/>
    </row>
    <row r="797">
      <c r="A797" s="26"/>
      <c r="B797" s="169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169"/>
      <c r="X797" s="26"/>
      <c r="Y797" s="26"/>
      <c r="Z797" s="26"/>
      <c r="AA797" s="26"/>
    </row>
    <row r="798">
      <c r="A798" s="26"/>
      <c r="B798" s="169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169"/>
      <c r="X798" s="26"/>
      <c r="Y798" s="26"/>
      <c r="Z798" s="26"/>
      <c r="AA798" s="26"/>
    </row>
    <row r="799">
      <c r="A799" s="26"/>
      <c r="B799" s="169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169"/>
      <c r="X799" s="26"/>
      <c r="Y799" s="26"/>
      <c r="Z799" s="26"/>
      <c r="AA799" s="26"/>
    </row>
    <row r="800">
      <c r="A800" s="26"/>
      <c r="B800" s="169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169"/>
      <c r="X800" s="26"/>
      <c r="Y800" s="26"/>
      <c r="Z800" s="26"/>
      <c r="AA800" s="26"/>
    </row>
    <row r="801">
      <c r="A801" s="26"/>
      <c r="B801" s="169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169"/>
      <c r="X801" s="26"/>
      <c r="Y801" s="26"/>
      <c r="Z801" s="26"/>
      <c r="AA801" s="26"/>
    </row>
    <row r="802">
      <c r="A802" s="26"/>
      <c r="B802" s="169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169"/>
      <c r="X802" s="26"/>
      <c r="Y802" s="26"/>
      <c r="Z802" s="26"/>
      <c r="AA802" s="26"/>
    </row>
    <row r="803">
      <c r="A803" s="26"/>
      <c r="B803" s="169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169"/>
      <c r="X803" s="26"/>
      <c r="Y803" s="26"/>
      <c r="Z803" s="26"/>
      <c r="AA803" s="26"/>
    </row>
    <row r="804">
      <c r="A804" s="26"/>
      <c r="B804" s="169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169"/>
      <c r="X804" s="26"/>
      <c r="Y804" s="26"/>
      <c r="Z804" s="26"/>
      <c r="AA804" s="26"/>
    </row>
    <row r="805">
      <c r="A805" s="26"/>
      <c r="B805" s="169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169"/>
      <c r="X805" s="26"/>
      <c r="Y805" s="26"/>
      <c r="Z805" s="26"/>
      <c r="AA805" s="26"/>
    </row>
    <row r="806">
      <c r="A806" s="26"/>
      <c r="B806" s="169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169"/>
      <c r="X806" s="26"/>
      <c r="Y806" s="26"/>
      <c r="Z806" s="26"/>
      <c r="AA806" s="26"/>
    </row>
    <row r="807">
      <c r="A807" s="26"/>
      <c r="B807" s="169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169"/>
      <c r="X807" s="26"/>
      <c r="Y807" s="26"/>
      <c r="Z807" s="26"/>
      <c r="AA807" s="26"/>
    </row>
    <row r="808">
      <c r="A808" s="26"/>
      <c r="B808" s="169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169"/>
      <c r="X808" s="26"/>
      <c r="Y808" s="26"/>
      <c r="Z808" s="26"/>
      <c r="AA808" s="26"/>
    </row>
    <row r="809">
      <c r="A809" s="26"/>
      <c r="B809" s="169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169"/>
      <c r="X809" s="26"/>
      <c r="Y809" s="26"/>
      <c r="Z809" s="26"/>
      <c r="AA809" s="26"/>
    </row>
    <row r="810">
      <c r="A810" s="26"/>
      <c r="B810" s="169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169"/>
      <c r="X810" s="26"/>
      <c r="Y810" s="26"/>
      <c r="Z810" s="26"/>
      <c r="AA810" s="26"/>
    </row>
    <row r="811">
      <c r="A811" s="26"/>
      <c r="B811" s="169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169"/>
      <c r="X811" s="26"/>
      <c r="Y811" s="26"/>
      <c r="Z811" s="26"/>
      <c r="AA811" s="26"/>
    </row>
    <row r="812">
      <c r="A812" s="26"/>
      <c r="B812" s="169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169"/>
      <c r="X812" s="26"/>
      <c r="Y812" s="26"/>
      <c r="Z812" s="26"/>
      <c r="AA812" s="26"/>
    </row>
    <row r="813">
      <c r="A813" s="26"/>
      <c r="B813" s="169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169"/>
      <c r="X813" s="26"/>
      <c r="Y813" s="26"/>
      <c r="Z813" s="26"/>
      <c r="AA813" s="26"/>
    </row>
    <row r="814">
      <c r="A814" s="26"/>
      <c r="B814" s="169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169"/>
      <c r="X814" s="26"/>
      <c r="Y814" s="26"/>
      <c r="Z814" s="26"/>
      <c r="AA814" s="26"/>
    </row>
    <row r="815">
      <c r="A815" s="26"/>
      <c r="B815" s="169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169"/>
      <c r="X815" s="26"/>
      <c r="Y815" s="26"/>
      <c r="Z815" s="26"/>
      <c r="AA815" s="26"/>
    </row>
    <row r="816">
      <c r="A816" s="26"/>
      <c r="B816" s="169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169"/>
      <c r="X816" s="26"/>
      <c r="Y816" s="26"/>
      <c r="Z816" s="26"/>
      <c r="AA816" s="26"/>
    </row>
    <row r="817">
      <c r="A817" s="26"/>
      <c r="B817" s="169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169"/>
      <c r="X817" s="26"/>
      <c r="Y817" s="26"/>
      <c r="Z817" s="26"/>
      <c r="AA817" s="26"/>
    </row>
    <row r="818">
      <c r="A818" s="26"/>
      <c r="B818" s="169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169"/>
      <c r="X818" s="26"/>
      <c r="Y818" s="26"/>
      <c r="Z818" s="26"/>
      <c r="AA818" s="26"/>
    </row>
    <row r="819">
      <c r="A819" s="26"/>
      <c r="B819" s="169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169"/>
      <c r="X819" s="26"/>
      <c r="Y819" s="26"/>
      <c r="Z819" s="26"/>
      <c r="AA819" s="26"/>
    </row>
    <row r="820">
      <c r="A820" s="26"/>
      <c r="B820" s="169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169"/>
      <c r="X820" s="26"/>
      <c r="Y820" s="26"/>
      <c r="Z820" s="26"/>
      <c r="AA820" s="26"/>
    </row>
    <row r="821">
      <c r="A821" s="26"/>
      <c r="B821" s="169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169"/>
      <c r="X821" s="26"/>
      <c r="Y821" s="26"/>
      <c r="Z821" s="26"/>
      <c r="AA821" s="26"/>
    </row>
    <row r="822">
      <c r="A822" s="26"/>
      <c r="B822" s="169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169"/>
      <c r="X822" s="26"/>
      <c r="Y822" s="26"/>
      <c r="Z822" s="26"/>
      <c r="AA822" s="26"/>
    </row>
    <row r="823">
      <c r="A823" s="26"/>
      <c r="B823" s="169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169"/>
      <c r="X823" s="26"/>
      <c r="Y823" s="26"/>
      <c r="Z823" s="26"/>
      <c r="AA823" s="26"/>
    </row>
    <row r="824">
      <c r="A824" s="26"/>
      <c r="B824" s="169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169"/>
      <c r="X824" s="26"/>
      <c r="Y824" s="26"/>
      <c r="Z824" s="26"/>
      <c r="AA824" s="26"/>
    </row>
    <row r="825">
      <c r="A825" s="26"/>
      <c r="B825" s="169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169"/>
      <c r="X825" s="26"/>
      <c r="Y825" s="26"/>
      <c r="Z825" s="26"/>
      <c r="AA825" s="26"/>
    </row>
    <row r="826">
      <c r="A826" s="26"/>
      <c r="B826" s="169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169"/>
      <c r="X826" s="26"/>
      <c r="Y826" s="26"/>
      <c r="Z826" s="26"/>
      <c r="AA826" s="26"/>
    </row>
    <row r="827">
      <c r="A827" s="26"/>
      <c r="B827" s="169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169"/>
      <c r="X827" s="26"/>
      <c r="Y827" s="26"/>
      <c r="Z827" s="26"/>
      <c r="AA827" s="26"/>
    </row>
    <row r="828">
      <c r="A828" s="26"/>
      <c r="B828" s="169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169"/>
      <c r="X828" s="26"/>
      <c r="Y828" s="26"/>
      <c r="Z828" s="26"/>
      <c r="AA828" s="26"/>
    </row>
    <row r="829">
      <c r="A829" s="26"/>
      <c r="B829" s="169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169"/>
      <c r="X829" s="26"/>
      <c r="Y829" s="26"/>
      <c r="Z829" s="26"/>
      <c r="AA829" s="26"/>
    </row>
    <row r="830">
      <c r="A830" s="26"/>
      <c r="B830" s="169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169"/>
      <c r="X830" s="26"/>
      <c r="Y830" s="26"/>
      <c r="Z830" s="26"/>
      <c r="AA830" s="26"/>
    </row>
    <row r="831">
      <c r="A831" s="26"/>
      <c r="B831" s="169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169"/>
      <c r="X831" s="26"/>
      <c r="Y831" s="26"/>
      <c r="Z831" s="26"/>
      <c r="AA831" s="26"/>
    </row>
    <row r="832">
      <c r="A832" s="26"/>
      <c r="B832" s="169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169"/>
      <c r="X832" s="26"/>
      <c r="Y832" s="26"/>
      <c r="Z832" s="26"/>
      <c r="AA832" s="26"/>
    </row>
    <row r="833">
      <c r="A833" s="26"/>
      <c r="B833" s="169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169"/>
      <c r="X833" s="26"/>
      <c r="Y833" s="26"/>
      <c r="Z833" s="26"/>
      <c r="AA833" s="26"/>
    </row>
    <row r="834">
      <c r="A834" s="26"/>
      <c r="B834" s="169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169"/>
      <c r="X834" s="26"/>
      <c r="Y834" s="26"/>
      <c r="Z834" s="26"/>
      <c r="AA834" s="26"/>
    </row>
    <row r="835">
      <c r="A835" s="26"/>
      <c r="B835" s="169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169"/>
      <c r="X835" s="26"/>
      <c r="Y835" s="26"/>
      <c r="Z835" s="26"/>
      <c r="AA835" s="26"/>
    </row>
    <row r="836">
      <c r="A836" s="26"/>
      <c r="B836" s="169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169"/>
      <c r="X836" s="26"/>
      <c r="Y836" s="26"/>
      <c r="Z836" s="26"/>
      <c r="AA836" s="26"/>
    </row>
    <row r="837">
      <c r="A837" s="26"/>
      <c r="B837" s="169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169"/>
      <c r="X837" s="26"/>
      <c r="Y837" s="26"/>
      <c r="Z837" s="26"/>
      <c r="AA837" s="26"/>
    </row>
    <row r="838">
      <c r="A838" s="26"/>
      <c r="B838" s="169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169"/>
      <c r="X838" s="26"/>
      <c r="Y838" s="26"/>
      <c r="Z838" s="26"/>
      <c r="AA838" s="26"/>
    </row>
    <row r="839">
      <c r="A839" s="26"/>
      <c r="B839" s="169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169"/>
      <c r="X839" s="26"/>
      <c r="Y839" s="26"/>
      <c r="Z839" s="26"/>
      <c r="AA839" s="26"/>
    </row>
    <row r="840">
      <c r="A840" s="26"/>
      <c r="B840" s="169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169"/>
      <c r="X840" s="26"/>
      <c r="Y840" s="26"/>
      <c r="Z840" s="26"/>
      <c r="AA840" s="26"/>
    </row>
    <row r="841">
      <c r="A841" s="26"/>
      <c r="B841" s="169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169"/>
      <c r="X841" s="26"/>
      <c r="Y841" s="26"/>
      <c r="Z841" s="26"/>
      <c r="AA841" s="26"/>
    </row>
    <row r="842">
      <c r="A842" s="26"/>
      <c r="B842" s="169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169"/>
      <c r="X842" s="26"/>
      <c r="Y842" s="26"/>
      <c r="Z842" s="26"/>
      <c r="AA842" s="26"/>
    </row>
    <row r="843">
      <c r="A843" s="26"/>
      <c r="B843" s="169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169"/>
      <c r="X843" s="26"/>
      <c r="Y843" s="26"/>
      <c r="Z843" s="26"/>
      <c r="AA843" s="26"/>
    </row>
    <row r="844">
      <c r="A844" s="26"/>
      <c r="B844" s="169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169"/>
      <c r="X844" s="26"/>
      <c r="Y844" s="26"/>
      <c r="Z844" s="26"/>
      <c r="AA844" s="26"/>
    </row>
    <row r="845">
      <c r="A845" s="26"/>
      <c r="B845" s="169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169"/>
      <c r="X845" s="26"/>
      <c r="Y845" s="26"/>
      <c r="Z845" s="26"/>
      <c r="AA845" s="26"/>
    </row>
    <row r="846">
      <c r="A846" s="26"/>
      <c r="B846" s="169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169"/>
      <c r="X846" s="26"/>
      <c r="Y846" s="26"/>
      <c r="Z846" s="26"/>
      <c r="AA846" s="26"/>
    </row>
    <row r="847">
      <c r="A847" s="26"/>
      <c r="B847" s="169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169"/>
      <c r="X847" s="26"/>
      <c r="Y847" s="26"/>
      <c r="Z847" s="26"/>
      <c r="AA847" s="26"/>
    </row>
    <row r="848">
      <c r="A848" s="26"/>
      <c r="B848" s="169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169"/>
      <c r="X848" s="26"/>
      <c r="Y848" s="26"/>
      <c r="Z848" s="26"/>
      <c r="AA848" s="26"/>
    </row>
    <row r="849">
      <c r="A849" s="26"/>
      <c r="B849" s="169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169"/>
      <c r="X849" s="26"/>
      <c r="Y849" s="26"/>
      <c r="Z849" s="26"/>
      <c r="AA849" s="26"/>
    </row>
    <row r="850">
      <c r="A850" s="26"/>
      <c r="B850" s="169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169"/>
      <c r="X850" s="26"/>
      <c r="Y850" s="26"/>
      <c r="Z850" s="26"/>
      <c r="AA850" s="26"/>
    </row>
    <row r="851">
      <c r="A851" s="26"/>
      <c r="B851" s="169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169"/>
      <c r="X851" s="26"/>
      <c r="Y851" s="26"/>
      <c r="Z851" s="26"/>
      <c r="AA851" s="26"/>
    </row>
    <row r="852">
      <c r="A852" s="26"/>
      <c r="B852" s="169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169"/>
      <c r="X852" s="26"/>
      <c r="Y852" s="26"/>
      <c r="Z852" s="26"/>
      <c r="AA852" s="26"/>
    </row>
    <row r="853">
      <c r="A853" s="26"/>
      <c r="B853" s="169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169"/>
      <c r="X853" s="26"/>
      <c r="Y853" s="26"/>
      <c r="Z853" s="26"/>
      <c r="AA853" s="26"/>
    </row>
    <row r="854">
      <c r="A854" s="26"/>
      <c r="B854" s="169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169"/>
      <c r="X854" s="26"/>
      <c r="Y854" s="26"/>
      <c r="Z854" s="26"/>
      <c r="AA854" s="26"/>
    </row>
    <row r="855">
      <c r="A855" s="26"/>
      <c r="B855" s="169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169"/>
      <c r="X855" s="26"/>
      <c r="Y855" s="26"/>
      <c r="Z855" s="26"/>
      <c r="AA855" s="26"/>
    </row>
    <row r="856">
      <c r="A856" s="26"/>
      <c r="B856" s="169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169"/>
      <c r="X856" s="26"/>
      <c r="Y856" s="26"/>
      <c r="Z856" s="26"/>
      <c r="AA856" s="26"/>
    </row>
    <row r="857">
      <c r="A857" s="26"/>
      <c r="B857" s="169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169"/>
      <c r="X857" s="26"/>
      <c r="Y857" s="26"/>
      <c r="Z857" s="26"/>
      <c r="AA857" s="26"/>
    </row>
    <row r="858">
      <c r="A858" s="26"/>
      <c r="B858" s="169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169"/>
      <c r="X858" s="26"/>
      <c r="Y858" s="26"/>
      <c r="Z858" s="26"/>
      <c r="AA858" s="26"/>
    </row>
    <row r="859">
      <c r="A859" s="26"/>
      <c r="B859" s="169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169"/>
      <c r="X859" s="26"/>
      <c r="Y859" s="26"/>
      <c r="Z859" s="26"/>
      <c r="AA859" s="26"/>
    </row>
    <row r="860">
      <c r="A860" s="26"/>
      <c r="B860" s="169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169"/>
      <c r="X860" s="26"/>
      <c r="Y860" s="26"/>
      <c r="Z860" s="26"/>
      <c r="AA860" s="26"/>
    </row>
    <row r="861">
      <c r="A861" s="26"/>
      <c r="B861" s="169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169"/>
      <c r="X861" s="26"/>
      <c r="Y861" s="26"/>
      <c r="Z861" s="26"/>
      <c r="AA861" s="26"/>
    </row>
    <row r="862">
      <c r="A862" s="26"/>
      <c r="B862" s="169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169"/>
      <c r="X862" s="26"/>
      <c r="Y862" s="26"/>
      <c r="Z862" s="26"/>
      <c r="AA862" s="26"/>
    </row>
    <row r="863">
      <c r="A863" s="26"/>
      <c r="B863" s="169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169"/>
      <c r="X863" s="26"/>
      <c r="Y863" s="26"/>
      <c r="Z863" s="26"/>
      <c r="AA863" s="26"/>
    </row>
    <row r="864">
      <c r="A864" s="26"/>
      <c r="B864" s="169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169"/>
      <c r="X864" s="26"/>
      <c r="Y864" s="26"/>
      <c r="Z864" s="26"/>
      <c r="AA864" s="26"/>
    </row>
    <row r="865">
      <c r="A865" s="26"/>
      <c r="B865" s="169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169"/>
      <c r="X865" s="26"/>
      <c r="Y865" s="26"/>
      <c r="Z865" s="26"/>
      <c r="AA865" s="26"/>
    </row>
    <row r="866">
      <c r="A866" s="26"/>
      <c r="B866" s="169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169"/>
      <c r="X866" s="26"/>
      <c r="Y866" s="26"/>
      <c r="Z866" s="26"/>
      <c r="AA866" s="26"/>
    </row>
    <row r="867">
      <c r="A867" s="26"/>
      <c r="B867" s="169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169"/>
      <c r="X867" s="26"/>
      <c r="Y867" s="26"/>
      <c r="Z867" s="26"/>
      <c r="AA867" s="26"/>
    </row>
    <row r="868">
      <c r="A868" s="26"/>
      <c r="B868" s="169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169"/>
      <c r="X868" s="26"/>
      <c r="Y868" s="26"/>
      <c r="Z868" s="26"/>
      <c r="AA868" s="26"/>
    </row>
    <row r="869">
      <c r="A869" s="26"/>
      <c r="B869" s="169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169"/>
      <c r="X869" s="26"/>
      <c r="Y869" s="26"/>
      <c r="Z869" s="26"/>
      <c r="AA869" s="26"/>
    </row>
    <row r="870">
      <c r="A870" s="26"/>
      <c r="B870" s="169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169"/>
      <c r="X870" s="26"/>
      <c r="Y870" s="26"/>
      <c r="Z870" s="26"/>
      <c r="AA870" s="26"/>
    </row>
    <row r="871">
      <c r="A871" s="26"/>
      <c r="B871" s="169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169"/>
      <c r="X871" s="26"/>
      <c r="Y871" s="26"/>
      <c r="Z871" s="26"/>
      <c r="AA871" s="26"/>
    </row>
    <row r="872">
      <c r="A872" s="26"/>
      <c r="B872" s="169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169"/>
      <c r="X872" s="26"/>
      <c r="Y872" s="26"/>
      <c r="Z872" s="26"/>
      <c r="AA872" s="26"/>
    </row>
    <row r="873">
      <c r="A873" s="26"/>
      <c r="B873" s="169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169"/>
      <c r="X873" s="26"/>
      <c r="Y873" s="26"/>
      <c r="Z873" s="26"/>
      <c r="AA873" s="26"/>
    </row>
    <row r="874">
      <c r="A874" s="26"/>
      <c r="B874" s="169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169"/>
      <c r="X874" s="26"/>
      <c r="Y874" s="26"/>
      <c r="Z874" s="26"/>
      <c r="AA874" s="26"/>
    </row>
    <row r="875">
      <c r="A875" s="26"/>
      <c r="B875" s="169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169"/>
      <c r="X875" s="26"/>
      <c r="Y875" s="26"/>
      <c r="Z875" s="26"/>
      <c r="AA875" s="26"/>
    </row>
    <row r="876">
      <c r="A876" s="26"/>
      <c r="B876" s="169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169"/>
      <c r="X876" s="26"/>
      <c r="Y876" s="26"/>
      <c r="Z876" s="26"/>
      <c r="AA876" s="26"/>
    </row>
    <row r="877">
      <c r="A877" s="26"/>
      <c r="B877" s="169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169"/>
      <c r="X877" s="26"/>
      <c r="Y877" s="26"/>
      <c r="Z877" s="26"/>
      <c r="AA877" s="26"/>
    </row>
    <row r="878">
      <c r="A878" s="26"/>
      <c r="B878" s="169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169"/>
      <c r="X878" s="26"/>
      <c r="Y878" s="26"/>
      <c r="Z878" s="26"/>
      <c r="AA878" s="26"/>
    </row>
    <row r="879">
      <c r="A879" s="26"/>
      <c r="B879" s="169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169"/>
      <c r="X879" s="26"/>
      <c r="Y879" s="26"/>
      <c r="Z879" s="26"/>
      <c r="AA879" s="26"/>
    </row>
    <row r="880">
      <c r="A880" s="26"/>
      <c r="B880" s="169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169"/>
      <c r="X880" s="26"/>
      <c r="Y880" s="26"/>
      <c r="Z880" s="26"/>
      <c r="AA880" s="26"/>
    </row>
    <row r="881">
      <c r="A881" s="26"/>
      <c r="B881" s="169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169"/>
      <c r="X881" s="26"/>
      <c r="Y881" s="26"/>
      <c r="Z881" s="26"/>
      <c r="AA881" s="26"/>
    </row>
    <row r="882">
      <c r="A882" s="26"/>
      <c r="B882" s="169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169"/>
      <c r="X882" s="26"/>
      <c r="Y882" s="26"/>
      <c r="Z882" s="26"/>
      <c r="AA882" s="26"/>
    </row>
    <row r="883">
      <c r="A883" s="26"/>
      <c r="B883" s="169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169"/>
      <c r="X883" s="26"/>
      <c r="Y883" s="26"/>
      <c r="Z883" s="26"/>
      <c r="AA883" s="26"/>
    </row>
    <row r="884">
      <c r="A884" s="26"/>
      <c r="B884" s="169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169"/>
      <c r="X884" s="26"/>
      <c r="Y884" s="26"/>
      <c r="Z884" s="26"/>
      <c r="AA884" s="26"/>
    </row>
    <row r="885">
      <c r="A885" s="26"/>
      <c r="B885" s="169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169"/>
      <c r="X885" s="26"/>
      <c r="Y885" s="26"/>
      <c r="Z885" s="26"/>
      <c r="AA885" s="26"/>
    </row>
    <row r="886">
      <c r="A886" s="26"/>
      <c r="B886" s="169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169"/>
      <c r="X886" s="26"/>
      <c r="Y886" s="26"/>
      <c r="Z886" s="26"/>
      <c r="AA886" s="26"/>
    </row>
    <row r="887">
      <c r="A887" s="26"/>
      <c r="B887" s="169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169"/>
      <c r="X887" s="26"/>
      <c r="Y887" s="26"/>
      <c r="Z887" s="26"/>
      <c r="AA887" s="26"/>
    </row>
    <row r="888">
      <c r="A888" s="26"/>
      <c r="B888" s="169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169"/>
      <c r="X888" s="26"/>
      <c r="Y888" s="26"/>
      <c r="Z888" s="26"/>
      <c r="AA888" s="26"/>
    </row>
    <row r="889">
      <c r="A889" s="26"/>
      <c r="B889" s="169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169"/>
      <c r="X889" s="26"/>
      <c r="Y889" s="26"/>
      <c r="Z889" s="26"/>
      <c r="AA889" s="26"/>
    </row>
    <row r="890">
      <c r="A890" s="26"/>
      <c r="B890" s="169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169"/>
      <c r="X890" s="26"/>
      <c r="Y890" s="26"/>
      <c r="Z890" s="26"/>
      <c r="AA890" s="26"/>
    </row>
    <row r="891">
      <c r="A891" s="26"/>
      <c r="B891" s="169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169"/>
      <c r="X891" s="26"/>
      <c r="Y891" s="26"/>
      <c r="Z891" s="26"/>
      <c r="AA891" s="26"/>
    </row>
    <row r="892">
      <c r="A892" s="26"/>
      <c r="B892" s="169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169"/>
      <c r="X892" s="26"/>
      <c r="Y892" s="26"/>
      <c r="Z892" s="26"/>
      <c r="AA892" s="26"/>
    </row>
    <row r="893">
      <c r="A893" s="26"/>
      <c r="B893" s="169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169"/>
      <c r="X893" s="26"/>
      <c r="Y893" s="26"/>
      <c r="Z893" s="26"/>
      <c r="AA893" s="26"/>
    </row>
    <row r="894">
      <c r="A894" s="26"/>
      <c r="B894" s="169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169"/>
      <c r="X894" s="26"/>
      <c r="Y894" s="26"/>
      <c r="Z894" s="26"/>
      <c r="AA894" s="26"/>
    </row>
    <row r="895">
      <c r="A895" s="26"/>
      <c r="B895" s="169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169"/>
      <c r="X895" s="26"/>
      <c r="Y895" s="26"/>
      <c r="Z895" s="26"/>
      <c r="AA895" s="26"/>
    </row>
    <row r="896">
      <c r="A896" s="26"/>
      <c r="B896" s="169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169"/>
      <c r="X896" s="26"/>
      <c r="Y896" s="26"/>
      <c r="Z896" s="26"/>
      <c r="AA896" s="26"/>
    </row>
    <row r="897">
      <c r="A897" s="26"/>
      <c r="B897" s="169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169"/>
      <c r="X897" s="26"/>
      <c r="Y897" s="26"/>
      <c r="Z897" s="26"/>
      <c r="AA897" s="26"/>
    </row>
    <row r="898">
      <c r="A898" s="26"/>
      <c r="B898" s="169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169"/>
      <c r="X898" s="26"/>
      <c r="Y898" s="26"/>
      <c r="Z898" s="26"/>
      <c r="AA898" s="26"/>
    </row>
    <row r="899">
      <c r="A899" s="26"/>
      <c r="B899" s="169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169"/>
      <c r="X899" s="26"/>
      <c r="Y899" s="26"/>
      <c r="Z899" s="26"/>
      <c r="AA899" s="26"/>
    </row>
    <row r="900">
      <c r="A900" s="26"/>
      <c r="B900" s="169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169"/>
      <c r="X900" s="26"/>
      <c r="Y900" s="26"/>
      <c r="Z900" s="26"/>
      <c r="AA900" s="26"/>
    </row>
    <row r="901">
      <c r="A901" s="26"/>
      <c r="B901" s="169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169"/>
      <c r="X901" s="26"/>
      <c r="Y901" s="26"/>
      <c r="Z901" s="26"/>
      <c r="AA901" s="26"/>
    </row>
    <row r="902">
      <c r="A902" s="26"/>
      <c r="B902" s="169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169"/>
      <c r="X902" s="26"/>
      <c r="Y902" s="26"/>
      <c r="Z902" s="26"/>
      <c r="AA902" s="26"/>
    </row>
    <row r="903">
      <c r="A903" s="26"/>
      <c r="B903" s="169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169"/>
      <c r="X903" s="26"/>
      <c r="Y903" s="26"/>
      <c r="Z903" s="26"/>
      <c r="AA903" s="26"/>
    </row>
    <row r="904">
      <c r="A904" s="26"/>
      <c r="B904" s="169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169"/>
      <c r="X904" s="26"/>
      <c r="Y904" s="26"/>
      <c r="Z904" s="26"/>
      <c r="AA904" s="26"/>
    </row>
    <row r="905">
      <c r="A905" s="26"/>
      <c r="B905" s="169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169"/>
      <c r="X905" s="26"/>
      <c r="Y905" s="26"/>
      <c r="Z905" s="26"/>
      <c r="AA905" s="26"/>
    </row>
    <row r="906">
      <c r="A906" s="26"/>
      <c r="B906" s="169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169"/>
      <c r="X906" s="26"/>
      <c r="Y906" s="26"/>
      <c r="Z906" s="26"/>
      <c r="AA906" s="26"/>
    </row>
    <row r="907">
      <c r="A907" s="26"/>
      <c r="B907" s="169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169"/>
      <c r="X907" s="26"/>
      <c r="Y907" s="26"/>
      <c r="Z907" s="26"/>
      <c r="AA907" s="26"/>
    </row>
    <row r="908">
      <c r="A908" s="26"/>
      <c r="B908" s="169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169"/>
      <c r="X908" s="26"/>
      <c r="Y908" s="26"/>
      <c r="Z908" s="26"/>
      <c r="AA908" s="26"/>
    </row>
    <row r="909">
      <c r="A909" s="26"/>
      <c r="B909" s="169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169"/>
      <c r="X909" s="26"/>
      <c r="Y909" s="26"/>
      <c r="Z909" s="26"/>
      <c r="AA909" s="26"/>
    </row>
    <row r="910">
      <c r="A910" s="26"/>
      <c r="B910" s="169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169"/>
      <c r="X910" s="26"/>
      <c r="Y910" s="26"/>
      <c r="Z910" s="26"/>
      <c r="AA910" s="26"/>
    </row>
    <row r="911">
      <c r="A911" s="26"/>
      <c r="B911" s="169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169"/>
      <c r="X911" s="26"/>
      <c r="Y911" s="26"/>
      <c r="Z911" s="26"/>
      <c r="AA911" s="26"/>
    </row>
    <row r="912">
      <c r="A912" s="26"/>
      <c r="B912" s="169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169"/>
      <c r="X912" s="26"/>
      <c r="Y912" s="26"/>
      <c r="Z912" s="26"/>
      <c r="AA912" s="26"/>
    </row>
    <row r="913">
      <c r="A913" s="26"/>
      <c r="B913" s="169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169"/>
      <c r="X913" s="26"/>
      <c r="Y913" s="26"/>
      <c r="Z913" s="26"/>
      <c r="AA913" s="26"/>
    </row>
    <row r="914">
      <c r="A914" s="26"/>
      <c r="B914" s="169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169"/>
      <c r="X914" s="26"/>
      <c r="Y914" s="26"/>
      <c r="Z914" s="26"/>
      <c r="AA914" s="26"/>
    </row>
    <row r="915">
      <c r="A915" s="26"/>
      <c r="B915" s="169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169"/>
      <c r="X915" s="26"/>
      <c r="Y915" s="26"/>
      <c r="Z915" s="26"/>
      <c r="AA915" s="26"/>
    </row>
    <row r="916">
      <c r="A916" s="26"/>
      <c r="B916" s="169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169"/>
      <c r="X916" s="26"/>
      <c r="Y916" s="26"/>
      <c r="Z916" s="26"/>
      <c r="AA916" s="26"/>
    </row>
    <row r="917">
      <c r="A917" s="26"/>
      <c r="B917" s="169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169"/>
      <c r="X917" s="26"/>
      <c r="Y917" s="26"/>
      <c r="Z917" s="26"/>
      <c r="AA917" s="26"/>
    </row>
    <row r="918">
      <c r="A918" s="26"/>
      <c r="B918" s="169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169"/>
      <c r="X918" s="26"/>
      <c r="Y918" s="26"/>
      <c r="Z918" s="26"/>
      <c r="AA918" s="26"/>
    </row>
    <row r="919">
      <c r="A919" s="26"/>
      <c r="B919" s="169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169"/>
      <c r="X919" s="26"/>
      <c r="Y919" s="26"/>
      <c r="Z919" s="26"/>
      <c r="AA919" s="26"/>
    </row>
    <row r="920">
      <c r="A920" s="26"/>
      <c r="B920" s="169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169"/>
      <c r="X920" s="26"/>
      <c r="Y920" s="26"/>
      <c r="Z920" s="26"/>
      <c r="AA920" s="26"/>
    </row>
    <row r="921">
      <c r="A921" s="26"/>
      <c r="B921" s="169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169"/>
      <c r="X921" s="26"/>
      <c r="Y921" s="26"/>
      <c r="Z921" s="26"/>
      <c r="AA921" s="26"/>
    </row>
    <row r="922">
      <c r="A922" s="26"/>
      <c r="B922" s="169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169"/>
      <c r="X922" s="26"/>
      <c r="Y922" s="26"/>
      <c r="Z922" s="26"/>
      <c r="AA922" s="26"/>
    </row>
    <row r="923">
      <c r="A923" s="26"/>
      <c r="B923" s="169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169"/>
      <c r="X923" s="26"/>
      <c r="Y923" s="26"/>
      <c r="Z923" s="26"/>
      <c r="AA923" s="26"/>
    </row>
    <row r="924">
      <c r="A924" s="26"/>
      <c r="B924" s="169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169"/>
      <c r="X924" s="26"/>
      <c r="Y924" s="26"/>
      <c r="Z924" s="26"/>
      <c r="AA924" s="26"/>
    </row>
    <row r="925">
      <c r="A925" s="26"/>
      <c r="B925" s="169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169"/>
      <c r="X925" s="26"/>
      <c r="Y925" s="26"/>
      <c r="Z925" s="26"/>
      <c r="AA925" s="26"/>
    </row>
    <row r="926">
      <c r="A926" s="26"/>
      <c r="B926" s="169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169"/>
      <c r="X926" s="26"/>
      <c r="Y926" s="26"/>
      <c r="Z926" s="26"/>
      <c r="AA926" s="26"/>
    </row>
    <row r="927">
      <c r="A927" s="26"/>
      <c r="B927" s="169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169"/>
      <c r="X927" s="26"/>
      <c r="Y927" s="26"/>
      <c r="Z927" s="26"/>
      <c r="AA927" s="26"/>
    </row>
    <row r="928">
      <c r="A928" s="26"/>
      <c r="B928" s="169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169"/>
      <c r="X928" s="26"/>
      <c r="Y928" s="26"/>
      <c r="Z928" s="26"/>
      <c r="AA928" s="26"/>
    </row>
    <row r="929">
      <c r="A929" s="26"/>
      <c r="B929" s="169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169"/>
      <c r="X929" s="26"/>
      <c r="Y929" s="26"/>
      <c r="Z929" s="26"/>
      <c r="AA929" s="26"/>
    </row>
    <row r="930">
      <c r="A930" s="26"/>
      <c r="B930" s="169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169"/>
      <c r="X930" s="26"/>
      <c r="Y930" s="26"/>
      <c r="Z930" s="26"/>
      <c r="AA930" s="26"/>
    </row>
    <row r="931">
      <c r="A931" s="26"/>
      <c r="B931" s="169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169"/>
      <c r="X931" s="26"/>
      <c r="Y931" s="26"/>
      <c r="Z931" s="26"/>
      <c r="AA931" s="26"/>
    </row>
    <row r="932">
      <c r="A932" s="26"/>
      <c r="B932" s="169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169"/>
      <c r="X932" s="26"/>
      <c r="Y932" s="26"/>
      <c r="Z932" s="26"/>
      <c r="AA932" s="26"/>
    </row>
    <row r="933">
      <c r="A933" s="26"/>
      <c r="B933" s="169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169"/>
      <c r="X933" s="26"/>
      <c r="Y933" s="26"/>
      <c r="Z933" s="26"/>
      <c r="AA933" s="26"/>
    </row>
    <row r="934">
      <c r="A934" s="26"/>
      <c r="B934" s="169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169"/>
      <c r="X934" s="26"/>
      <c r="Y934" s="26"/>
      <c r="Z934" s="26"/>
      <c r="AA934" s="26"/>
    </row>
    <row r="935">
      <c r="A935" s="26"/>
      <c r="B935" s="169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169"/>
      <c r="X935" s="26"/>
      <c r="Y935" s="26"/>
      <c r="Z935" s="26"/>
      <c r="AA935" s="26"/>
    </row>
    <row r="936">
      <c r="A936" s="26"/>
      <c r="B936" s="169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169"/>
      <c r="X936" s="26"/>
      <c r="Y936" s="26"/>
      <c r="Z936" s="26"/>
      <c r="AA936" s="26"/>
    </row>
    <row r="937">
      <c r="A937" s="26"/>
      <c r="B937" s="169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169"/>
      <c r="X937" s="26"/>
      <c r="Y937" s="26"/>
      <c r="Z937" s="26"/>
      <c r="AA937" s="26"/>
    </row>
    <row r="938">
      <c r="A938" s="26"/>
      <c r="B938" s="169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169"/>
      <c r="X938" s="26"/>
      <c r="Y938" s="26"/>
      <c r="Z938" s="26"/>
      <c r="AA938" s="26"/>
    </row>
    <row r="939">
      <c r="A939" s="26"/>
      <c r="B939" s="169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169"/>
      <c r="X939" s="26"/>
      <c r="Y939" s="26"/>
      <c r="Z939" s="26"/>
      <c r="AA939" s="26"/>
    </row>
    <row r="940">
      <c r="A940" s="26"/>
      <c r="B940" s="169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169"/>
      <c r="X940" s="26"/>
      <c r="Y940" s="26"/>
      <c r="Z940" s="26"/>
      <c r="AA940" s="26"/>
    </row>
    <row r="941">
      <c r="A941" s="26"/>
      <c r="B941" s="169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169"/>
      <c r="X941" s="26"/>
      <c r="Y941" s="26"/>
      <c r="Z941" s="26"/>
      <c r="AA941" s="26"/>
    </row>
    <row r="942">
      <c r="A942" s="26"/>
      <c r="B942" s="169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169"/>
      <c r="X942" s="26"/>
      <c r="Y942" s="26"/>
      <c r="Z942" s="26"/>
      <c r="AA942" s="26"/>
    </row>
    <row r="943">
      <c r="A943" s="26"/>
      <c r="B943" s="169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169"/>
      <c r="X943" s="26"/>
      <c r="Y943" s="26"/>
      <c r="Z943" s="26"/>
      <c r="AA943" s="26"/>
    </row>
    <row r="944">
      <c r="A944" s="26"/>
      <c r="B944" s="169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169"/>
      <c r="X944" s="26"/>
      <c r="Y944" s="26"/>
      <c r="Z944" s="26"/>
      <c r="AA944" s="26"/>
    </row>
    <row r="945">
      <c r="A945" s="26"/>
      <c r="B945" s="169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169"/>
      <c r="X945" s="26"/>
      <c r="Y945" s="26"/>
      <c r="Z945" s="26"/>
      <c r="AA945" s="26"/>
    </row>
    <row r="946">
      <c r="A946" s="26"/>
      <c r="B946" s="169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169"/>
      <c r="X946" s="26"/>
      <c r="Y946" s="26"/>
      <c r="Z946" s="26"/>
      <c r="AA946" s="26"/>
    </row>
    <row r="947">
      <c r="A947" s="26"/>
      <c r="B947" s="169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169"/>
      <c r="X947" s="26"/>
      <c r="Y947" s="26"/>
      <c r="Z947" s="26"/>
      <c r="AA947" s="26"/>
    </row>
    <row r="948">
      <c r="A948" s="26"/>
      <c r="B948" s="169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169"/>
      <c r="X948" s="26"/>
      <c r="Y948" s="26"/>
      <c r="Z948" s="26"/>
      <c r="AA948" s="26"/>
    </row>
    <row r="949">
      <c r="A949" s="26"/>
      <c r="B949" s="169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169"/>
      <c r="X949" s="26"/>
      <c r="Y949" s="26"/>
      <c r="Z949" s="26"/>
      <c r="AA949" s="26"/>
    </row>
    <row r="950">
      <c r="A950" s="26"/>
      <c r="B950" s="169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169"/>
      <c r="X950" s="26"/>
      <c r="Y950" s="26"/>
      <c r="Z950" s="26"/>
      <c r="AA950" s="26"/>
    </row>
    <row r="951">
      <c r="A951" s="26"/>
      <c r="B951" s="169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169"/>
      <c r="X951" s="26"/>
      <c r="Y951" s="26"/>
      <c r="Z951" s="26"/>
      <c r="AA951" s="26"/>
    </row>
    <row r="952">
      <c r="A952" s="26"/>
      <c r="B952" s="169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169"/>
      <c r="X952" s="26"/>
      <c r="Y952" s="26"/>
      <c r="Z952" s="26"/>
      <c r="AA952" s="26"/>
    </row>
    <row r="953">
      <c r="A953" s="26"/>
      <c r="B953" s="169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169"/>
      <c r="X953" s="26"/>
      <c r="Y953" s="26"/>
      <c r="Z953" s="26"/>
      <c r="AA953" s="26"/>
    </row>
    <row r="954">
      <c r="A954" s="26"/>
      <c r="B954" s="169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169"/>
      <c r="X954" s="26"/>
      <c r="Y954" s="26"/>
      <c r="Z954" s="26"/>
      <c r="AA954" s="26"/>
    </row>
    <row r="955">
      <c r="A955" s="26"/>
      <c r="B955" s="169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169"/>
      <c r="X955" s="26"/>
      <c r="Y955" s="26"/>
      <c r="Z955" s="26"/>
      <c r="AA955" s="26"/>
    </row>
    <row r="956">
      <c r="A956" s="26"/>
      <c r="B956" s="169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169"/>
      <c r="X956" s="26"/>
      <c r="Y956" s="26"/>
      <c r="Z956" s="26"/>
      <c r="AA956" s="26"/>
    </row>
    <row r="957">
      <c r="A957" s="26"/>
      <c r="B957" s="169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169"/>
      <c r="X957" s="26"/>
      <c r="Y957" s="26"/>
      <c r="Z957" s="26"/>
      <c r="AA957" s="26"/>
    </row>
    <row r="958">
      <c r="A958" s="26"/>
      <c r="B958" s="169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169"/>
      <c r="X958" s="26"/>
      <c r="Y958" s="26"/>
      <c r="Z958" s="26"/>
      <c r="AA958" s="26"/>
    </row>
    <row r="959">
      <c r="A959" s="26"/>
      <c r="B959" s="169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169"/>
      <c r="X959" s="26"/>
      <c r="Y959" s="26"/>
      <c r="Z959" s="26"/>
      <c r="AA959" s="26"/>
    </row>
    <row r="960">
      <c r="A960" s="26"/>
      <c r="B960" s="169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169"/>
      <c r="X960" s="26"/>
      <c r="Y960" s="26"/>
      <c r="Z960" s="26"/>
      <c r="AA960" s="26"/>
    </row>
    <row r="961">
      <c r="A961" s="26"/>
      <c r="B961" s="169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169"/>
      <c r="X961" s="26"/>
      <c r="Y961" s="26"/>
      <c r="Z961" s="26"/>
      <c r="AA961" s="26"/>
    </row>
    <row r="962">
      <c r="A962" s="26"/>
      <c r="B962" s="169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169"/>
      <c r="X962" s="26"/>
      <c r="Y962" s="26"/>
      <c r="Z962" s="26"/>
      <c r="AA962" s="26"/>
    </row>
    <row r="963">
      <c r="A963" s="26"/>
      <c r="B963" s="169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169"/>
      <c r="X963" s="26"/>
      <c r="Y963" s="26"/>
      <c r="Z963" s="26"/>
      <c r="AA963" s="26"/>
    </row>
    <row r="964">
      <c r="A964" s="26"/>
      <c r="B964" s="169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169"/>
      <c r="X964" s="26"/>
      <c r="Y964" s="26"/>
      <c r="Z964" s="26"/>
      <c r="AA964" s="26"/>
    </row>
    <row r="965">
      <c r="A965" s="26"/>
      <c r="B965" s="169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169"/>
      <c r="X965" s="26"/>
      <c r="Y965" s="26"/>
      <c r="Z965" s="26"/>
      <c r="AA965" s="26"/>
    </row>
    <row r="966">
      <c r="A966" s="26"/>
      <c r="B966" s="169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169"/>
      <c r="X966" s="26"/>
      <c r="Y966" s="26"/>
      <c r="Z966" s="26"/>
      <c r="AA966" s="26"/>
    </row>
    <row r="967">
      <c r="A967" s="26"/>
      <c r="B967" s="169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169"/>
      <c r="X967" s="26"/>
      <c r="Y967" s="26"/>
      <c r="Z967" s="26"/>
      <c r="AA967" s="26"/>
    </row>
    <row r="968">
      <c r="A968" s="26"/>
      <c r="B968" s="169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169"/>
      <c r="X968" s="26"/>
      <c r="Y968" s="26"/>
      <c r="Z968" s="26"/>
      <c r="AA968" s="26"/>
    </row>
    <row r="969">
      <c r="A969" s="26"/>
      <c r="B969" s="169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169"/>
      <c r="X969" s="26"/>
      <c r="Y969" s="26"/>
      <c r="Z969" s="26"/>
      <c r="AA969" s="26"/>
    </row>
    <row r="970">
      <c r="A970" s="26"/>
      <c r="B970" s="169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169"/>
      <c r="X970" s="26"/>
      <c r="Y970" s="26"/>
      <c r="Z970" s="26"/>
      <c r="AA970" s="26"/>
    </row>
    <row r="971">
      <c r="A971" s="26"/>
      <c r="B971" s="169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169"/>
      <c r="X971" s="26"/>
      <c r="Y971" s="26"/>
      <c r="Z971" s="26"/>
      <c r="AA971" s="26"/>
    </row>
    <row r="972">
      <c r="A972" s="26"/>
      <c r="B972" s="169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169"/>
      <c r="X972" s="26"/>
      <c r="Y972" s="26"/>
      <c r="Z972" s="26"/>
      <c r="AA972" s="26"/>
    </row>
    <row r="973">
      <c r="A973" s="26"/>
      <c r="B973" s="169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169"/>
      <c r="X973" s="26"/>
      <c r="Y973" s="26"/>
      <c r="Z973" s="26"/>
      <c r="AA973" s="26"/>
    </row>
    <row r="974">
      <c r="A974" s="26"/>
      <c r="B974" s="169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169"/>
      <c r="X974" s="26"/>
      <c r="Y974" s="26"/>
      <c r="Z974" s="26"/>
      <c r="AA974" s="26"/>
    </row>
    <row r="975">
      <c r="A975" s="26"/>
      <c r="B975" s="169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169"/>
      <c r="X975" s="26"/>
      <c r="Y975" s="26"/>
      <c r="Z975" s="26"/>
      <c r="AA975" s="26"/>
    </row>
    <row r="976">
      <c r="A976" s="26"/>
      <c r="B976" s="169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169"/>
      <c r="X976" s="26"/>
      <c r="Y976" s="26"/>
      <c r="Z976" s="26"/>
      <c r="AA976" s="26"/>
    </row>
    <row r="977">
      <c r="A977" s="26"/>
      <c r="B977" s="169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169"/>
      <c r="X977" s="26"/>
      <c r="Y977" s="26"/>
      <c r="Z977" s="26"/>
      <c r="AA977" s="26"/>
    </row>
    <row r="978">
      <c r="A978" s="26"/>
      <c r="B978" s="169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169"/>
      <c r="X978" s="26"/>
      <c r="Y978" s="26"/>
      <c r="Z978" s="26"/>
      <c r="AA978" s="26"/>
    </row>
    <row r="979">
      <c r="A979" s="26"/>
      <c r="B979" s="169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169"/>
      <c r="X979" s="26"/>
      <c r="Y979" s="26"/>
      <c r="Z979" s="26"/>
      <c r="AA979" s="26"/>
    </row>
    <row r="980">
      <c r="A980" s="26"/>
      <c r="B980" s="169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169"/>
      <c r="X980" s="26"/>
      <c r="Y980" s="26"/>
      <c r="Z980" s="26"/>
      <c r="AA980" s="26"/>
    </row>
    <row r="981">
      <c r="A981" s="26"/>
      <c r="B981" s="169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169"/>
      <c r="X981" s="26"/>
      <c r="Y981" s="26"/>
      <c r="Z981" s="26"/>
      <c r="AA981" s="26"/>
    </row>
    <row r="982">
      <c r="A982" s="26"/>
      <c r="B982" s="169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169"/>
      <c r="X982" s="26"/>
      <c r="Y982" s="26"/>
      <c r="Z982" s="26"/>
      <c r="AA982" s="26"/>
    </row>
    <row r="983">
      <c r="A983" s="26"/>
      <c r="B983" s="169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169"/>
      <c r="X983" s="26"/>
      <c r="Y983" s="26"/>
      <c r="Z983" s="26"/>
      <c r="AA983" s="26"/>
    </row>
    <row r="984">
      <c r="A984" s="26"/>
      <c r="B984" s="169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169"/>
      <c r="X984" s="26"/>
      <c r="Y984" s="26"/>
      <c r="Z984" s="26"/>
      <c r="AA984" s="26"/>
    </row>
    <row r="985">
      <c r="A985" s="26"/>
      <c r="B985" s="169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169"/>
      <c r="X985" s="26"/>
      <c r="Y985" s="26"/>
      <c r="Z985" s="26"/>
      <c r="AA985" s="26"/>
    </row>
    <row r="986">
      <c r="A986" s="26"/>
      <c r="B986" s="169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169"/>
      <c r="X986" s="26"/>
      <c r="Y986" s="26"/>
      <c r="Z986" s="26"/>
      <c r="AA986" s="26"/>
    </row>
    <row r="987">
      <c r="A987" s="26"/>
      <c r="B987" s="169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169"/>
      <c r="X987" s="26"/>
      <c r="Y987" s="26"/>
      <c r="Z987" s="26"/>
      <c r="AA987" s="26"/>
    </row>
    <row r="988">
      <c r="A988" s="26"/>
      <c r="B988" s="169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169"/>
      <c r="X988" s="26"/>
      <c r="Y988" s="26"/>
      <c r="Z988" s="26"/>
      <c r="AA988" s="26"/>
    </row>
    <row r="989">
      <c r="A989" s="26"/>
      <c r="B989" s="169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169"/>
      <c r="X989" s="26"/>
      <c r="Y989" s="26"/>
      <c r="Z989" s="26"/>
      <c r="AA989" s="26"/>
    </row>
    <row r="990">
      <c r="A990" s="26"/>
      <c r="B990" s="169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169"/>
      <c r="X990" s="26"/>
      <c r="Y990" s="26"/>
      <c r="Z990" s="26"/>
      <c r="AA990" s="26"/>
    </row>
    <row r="991">
      <c r="A991" s="26"/>
      <c r="B991" s="169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169"/>
      <c r="X991" s="26"/>
      <c r="Y991" s="26"/>
      <c r="Z991" s="26"/>
      <c r="AA991" s="26"/>
    </row>
    <row r="992">
      <c r="A992" s="26"/>
      <c r="B992" s="169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169"/>
      <c r="X992" s="26"/>
      <c r="Y992" s="26"/>
      <c r="Z992" s="26"/>
      <c r="AA992" s="26"/>
    </row>
    <row r="993">
      <c r="A993" s="26"/>
      <c r="B993" s="169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169"/>
      <c r="X993" s="26"/>
      <c r="Y993" s="26"/>
      <c r="Z993" s="26"/>
      <c r="AA993" s="26"/>
    </row>
    <row r="994">
      <c r="A994" s="26"/>
      <c r="B994" s="169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169"/>
      <c r="X994" s="26"/>
      <c r="Y994" s="26"/>
      <c r="Z994" s="26"/>
      <c r="AA994" s="26"/>
    </row>
    <row r="995">
      <c r="A995" s="26"/>
      <c r="B995" s="169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169"/>
      <c r="X995" s="26"/>
      <c r="Y995" s="26"/>
      <c r="Z995" s="26"/>
      <c r="AA995" s="26"/>
    </row>
    <row r="996">
      <c r="A996" s="26"/>
      <c r="B996" s="169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169"/>
      <c r="X996" s="26"/>
      <c r="Y996" s="26"/>
      <c r="Z996" s="26"/>
      <c r="AA996" s="26"/>
    </row>
    <row r="997">
      <c r="A997" s="26"/>
      <c r="B997" s="169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169"/>
      <c r="X997" s="26"/>
      <c r="Y997" s="26"/>
      <c r="Z997" s="26"/>
      <c r="AA997" s="26"/>
    </row>
    <row r="998">
      <c r="A998" s="26"/>
      <c r="B998" s="169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169"/>
      <c r="X998" s="26"/>
      <c r="Y998" s="26"/>
      <c r="Z998" s="26"/>
      <c r="AA998" s="26"/>
    </row>
    <row r="999">
      <c r="A999" s="26"/>
      <c r="B999" s="169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169"/>
      <c r="X999" s="26"/>
      <c r="Y999" s="26"/>
      <c r="Z999" s="26"/>
      <c r="AA999" s="26"/>
    </row>
    <row r="1000">
      <c r="A1000" s="26"/>
      <c r="B1000" s="169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169"/>
      <c r="X1000" s="26"/>
      <c r="Y1000" s="26"/>
      <c r="Z1000" s="26"/>
      <c r="AA1000" s="26"/>
    </row>
  </sheetData>
  <conditionalFormatting sqref="V2:V57">
    <cfRule type="containsText" dxfId="4" priority="1" operator="containsText" text="Available">
      <formula>NOT(ISERROR(SEARCH(("Available"),(V2))))</formula>
    </cfRule>
  </conditionalFormatting>
  <conditionalFormatting sqref="V2:V57">
    <cfRule type="containsText" dxfId="5" priority="2" operator="containsText" text="Sold">
      <formula>NOT(ISERROR(SEARCH(("Sold"),(V2))))</formula>
    </cfRule>
  </conditionalFormatting>
  <conditionalFormatting sqref="V2:V57">
    <cfRule type="containsText" dxfId="6" priority="3" operator="containsText" text="Return">
      <formula>NOT(ISERROR(SEARCH(("Return"),(V2))))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14.71"/>
    <col customWidth="1" min="3" max="3" width="15.14"/>
    <col customWidth="1" min="4" max="4" width="17.71"/>
    <col customWidth="1" min="5" max="5" width="14.29"/>
    <col customWidth="1" min="6" max="6" width="15.0"/>
    <col customWidth="1" min="7" max="7" width="14.29"/>
    <col customWidth="1" min="8" max="8" width="11.57"/>
    <col customWidth="1" min="9" max="9" width="7.86"/>
    <col customWidth="1" min="10" max="10" width="9.86"/>
    <col customWidth="1" min="11" max="11" width="8.14"/>
    <col customWidth="1" min="12" max="15" width="13.86"/>
    <col customWidth="1" min="16" max="16" width="12.29"/>
    <col customWidth="1" min="17" max="17" width="14.0"/>
    <col customWidth="1" min="18" max="18" width="17.57"/>
    <col customWidth="1" min="19" max="19" width="14.57"/>
    <col customWidth="1" min="20" max="20" width="18.71"/>
    <col customWidth="1" min="21" max="21" width="12.29"/>
    <col customWidth="1" min="22" max="22" width="13.57"/>
  </cols>
  <sheetData>
    <row r="1" ht="15.0" customHeight="1">
      <c r="A1" s="171" t="s">
        <v>2</v>
      </c>
      <c r="B1" s="171" t="s">
        <v>4</v>
      </c>
      <c r="C1" s="171" t="s">
        <v>63</v>
      </c>
      <c r="D1" s="171" t="s">
        <v>64</v>
      </c>
      <c r="E1" s="171" t="s">
        <v>65</v>
      </c>
      <c r="F1" s="171" t="s">
        <v>6</v>
      </c>
      <c r="G1" s="171" t="s">
        <v>66</v>
      </c>
      <c r="H1" s="171" t="s">
        <v>8</v>
      </c>
      <c r="I1" s="171" t="s">
        <v>9</v>
      </c>
      <c r="J1" s="171" t="s">
        <v>10</v>
      </c>
      <c r="K1" s="171" t="s">
        <v>11</v>
      </c>
      <c r="L1" s="171" t="s">
        <v>67</v>
      </c>
      <c r="M1" s="171" t="s">
        <v>67</v>
      </c>
      <c r="N1" s="171" t="s">
        <v>67</v>
      </c>
      <c r="O1" s="171" t="s">
        <v>67</v>
      </c>
      <c r="P1" s="171" t="s">
        <v>68</v>
      </c>
      <c r="Q1" s="172" t="s">
        <v>69</v>
      </c>
      <c r="R1" s="171" t="s">
        <v>70</v>
      </c>
      <c r="S1" s="172" t="s">
        <v>55</v>
      </c>
      <c r="T1" s="171" t="s">
        <v>94</v>
      </c>
      <c r="U1" s="188">
        <v>35.0</v>
      </c>
      <c r="V1" s="188" t="s">
        <v>95</v>
      </c>
      <c r="W1" s="90"/>
      <c r="X1" s="90"/>
      <c r="Y1" s="90"/>
      <c r="Z1" s="90"/>
    </row>
    <row r="2" ht="15.0" customHeight="1">
      <c r="A2" s="115" t="s">
        <v>96</v>
      </c>
      <c r="B2" s="115">
        <v>3.672</v>
      </c>
      <c r="C2" s="115">
        <f t="shared" ref="C2:C95" si="1">B2*(25/100)</f>
        <v>0.918</v>
      </c>
      <c r="D2" s="115">
        <f t="shared" ref="D2:D95" si="2">C2+B2</f>
        <v>4.59</v>
      </c>
      <c r="E2" s="115">
        <v>0.44</v>
      </c>
      <c r="F2" s="115"/>
      <c r="G2" s="115"/>
      <c r="H2" s="115"/>
      <c r="I2" s="115"/>
      <c r="J2" s="115"/>
      <c r="K2" s="115"/>
      <c r="L2" s="212">
        <f>E2*Prices!B$2</f>
        <v>48400</v>
      </c>
      <c r="M2" s="212">
        <f>F2*Prices!C$2</f>
        <v>0</v>
      </c>
      <c r="N2" s="212">
        <f>G2*Prices!D$2</f>
        <v>0</v>
      </c>
      <c r="O2" s="212">
        <f>H2*Prices!E$2</f>
        <v>0</v>
      </c>
      <c r="P2" s="212">
        <f t="shared" ref="P2:P13" si="3">I2*5000+J2*8000+K2*1800</f>
        <v>0</v>
      </c>
      <c r="Q2" s="212">
        <f>D2*Prices!$A$2</f>
        <v>81931.5</v>
      </c>
      <c r="R2" s="212">
        <f t="shared" ref="R2:R100" si="4">L2+M2+N2+O2</f>
        <v>48400</v>
      </c>
      <c r="S2" s="212">
        <f t="shared" ref="S2:S100" si="5">R2+Q2+P2</f>
        <v>130331.5</v>
      </c>
      <c r="T2" s="212">
        <f t="shared" ref="T2:T100" si="6">P2+Q2+(R2-(R2*($U$1/100)))</f>
        <v>113391.5</v>
      </c>
      <c r="U2" s="212">
        <f t="shared" ref="U2:U100" si="7">S2-T2</f>
        <v>16940</v>
      </c>
      <c r="V2" s="213">
        <f>((D2*0.6)/11.664)*Prices!$A$4+E2*38000+F2*51900+G2*60900</f>
        <v>90386.66667</v>
      </c>
      <c r="W2" s="115"/>
      <c r="X2" s="115"/>
      <c r="Y2" s="115"/>
      <c r="Z2" s="115"/>
    </row>
    <row r="3" ht="15.0" customHeight="1">
      <c r="A3" s="115" t="s">
        <v>97</v>
      </c>
      <c r="B3" s="115">
        <v>3.876</v>
      </c>
      <c r="C3" s="115">
        <f t="shared" si="1"/>
        <v>0.969</v>
      </c>
      <c r="D3" s="115">
        <f t="shared" si="2"/>
        <v>4.845</v>
      </c>
      <c r="E3" s="115">
        <v>0.42</v>
      </c>
      <c r="F3" s="115"/>
      <c r="G3" s="115"/>
      <c r="H3" s="115"/>
      <c r="I3" s="115"/>
      <c r="J3" s="115"/>
      <c r="K3" s="115"/>
      <c r="L3" s="212">
        <f>E3*Prices!B$2</f>
        <v>46200</v>
      </c>
      <c r="M3" s="212">
        <f>F3*Prices!C$2</f>
        <v>0</v>
      </c>
      <c r="N3" s="212">
        <f>G3*Prices!D$2</f>
        <v>0</v>
      </c>
      <c r="O3" s="212">
        <f>H3*Prices!E$2</f>
        <v>0</v>
      </c>
      <c r="P3" s="212">
        <f t="shared" si="3"/>
        <v>0</v>
      </c>
      <c r="Q3" s="212">
        <f>D3*Prices!$A$2</f>
        <v>86483.25</v>
      </c>
      <c r="R3" s="212">
        <f t="shared" si="4"/>
        <v>46200</v>
      </c>
      <c r="S3" s="212">
        <f t="shared" si="5"/>
        <v>132683.25</v>
      </c>
      <c r="T3" s="212">
        <f t="shared" si="6"/>
        <v>116513.25</v>
      </c>
      <c r="U3" s="212">
        <f t="shared" si="7"/>
        <v>16170</v>
      </c>
      <c r="V3" s="213">
        <f>((D3*0.6)/11.664)*Prices!$A$4+E3*38000+F3*51900+G3*60900</f>
        <v>93719.25926</v>
      </c>
      <c r="W3" s="115"/>
      <c r="X3" s="115"/>
      <c r="Y3" s="115"/>
      <c r="Z3" s="115"/>
    </row>
    <row r="4" ht="15.0" customHeight="1">
      <c r="A4" s="115" t="s">
        <v>98</v>
      </c>
      <c r="B4" s="115">
        <v>3.145</v>
      </c>
      <c r="C4" s="115">
        <f t="shared" si="1"/>
        <v>0.78625</v>
      </c>
      <c r="D4" s="115">
        <f t="shared" si="2"/>
        <v>3.93125</v>
      </c>
      <c r="E4" s="115">
        <v>1.05</v>
      </c>
      <c r="F4" s="115"/>
      <c r="G4" s="115"/>
      <c r="H4" s="115"/>
      <c r="I4" s="115"/>
      <c r="J4" s="115"/>
      <c r="K4" s="115"/>
      <c r="L4" s="212">
        <f>E4*Prices!B$2</f>
        <v>115500</v>
      </c>
      <c r="M4" s="212">
        <f>F4*Prices!C$2</f>
        <v>0</v>
      </c>
      <c r="N4" s="212">
        <f>G4*Prices!D$2</f>
        <v>0</v>
      </c>
      <c r="O4" s="212">
        <f>H4*Prices!E$2</f>
        <v>0</v>
      </c>
      <c r="P4" s="212">
        <f t="shared" si="3"/>
        <v>0</v>
      </c>
      <c r="Q4" s="212">
        <f>D4*Prices!$A$2</f>
        <v>70172.8125</v>
      </c>
      <c r="R4" s="212">
        <f t="shared" si="4"/>
        <v>115500</v>
      </c>
      <c r="S4" s="212">
        <f t="shared" si="5"/>
        <v>185672.8125</v>
      </c>
      <c r="T4" s="212">
        <f t="shared" si="6"/>
        <v>145247.8125</v>
      </c>
      <c r="U4" s="212">
        <f t="shared" si="7"/>
        <v>40425</v>
      </c>
      <c r="V4" s="213">
        <f>((D4*0.6)/11.664)*Prices!$A$4+E4*38000+F4*51900+G4*60900</f>
        <v>102994.1358</v>
      </c>
      <c r="W4" s="115"/>
      <c r="X4" s="115"/>
      <c r="Y4" s="115"/>
      <c r="Z4" s="115"/>
    </row>
    <row r="5" ht="15.0" customHeight="1">
      <c r="A5" s="115" t="s">
        <v>99</v>
      </c>
      <c r="B5" s="115">
        <v>5.131</v>
      </c>
      <c r="C5" s="115">
        <f t="shared" si="1"/>
        <v>1.28275</v>
      </c>
      <c r="D5" s="115">
        <f t="shared" si="2"/>
        <v>6.41375</v>
      </c>
      <c r="E5" s="115">
        <v>1.83</v>
      </c>
      <c r="F5" s="115"/>
      <c r="G5" s="115"/>
      <c r="H5" s="115"/>
      <c r="I5" s="115"/>
      <c r="J5" s="115"/>
      <c r="K5" s="115"/>
      <c r="L5" s="212">
        <f>E5*Prices!B$2</f>
        <v>201300</v>
      </c>
      <c r="M5" s="212">
        <f>F5*Prices!C$2</f>
        <v>0</v>
      </c>
      <c r="N5" s="212">
        <f>G5*Prices!D$2</f>
        <v>0</v>
      </c>
      <c r="O5" s="212">
        <f>H5*Prices!E$2</f>
        <v>0</v>
      </c>
      <c r="P5" s="212">
        <f t="shared" si="3"/>
        <v>0</v>
      </c>
      <c r="Q5" s="212">
        <f>D5*Prices!$A$2</f>
        <v>114485.4375</v>
      </c>
      <c r="R5" s="212">
        <f t="shared" si="4"/>
        <v>201300</v>
      </c>
      <c r="S5" s="212">
        <f t="shared" si="5"/>
        <v>315785.4375</v>
      </c>
      <c r="T5" s="212">
        <f t="shared" si="6"/>
        <v>245330.4375</v>
      </c>
      <c r="U5" s="212">
        <f t="shared" si="7"/>
        <v>70455</v>
      </c>
      <c r="V5" s="213">
        <f>((D5*0.6)/11.664)*Prices!$A$4+E5*38000+F5*51900+G5*60900</f>
        <v>172476.7284</v>
      </c>
      <c r="W5" s="115"/>
      <c r="X5" s="115"/>
      <c r="Y5" s="115"/>
      <c r="Z5" s="115"/>
    </row>
    <row r="6" ht="15.0" customHeight="1">
      <c r="A6" s="115" t="s">
        <v>100</v>
      </c>
      <c r="B6" s="115">
        <v>6.37</v>
      </c>
      <c r="C6" s="115">
        <f t="shared" si="1"/>
        <v>1.5925</v>
      </c>
      <c r="D6" s="115">
        <f t="shared" si="2"/>
        <v>7.9625</v>
      </c>
      <c r="E6" s="115">
        <f>1.21+0.47</f>
        <v>1.68</v>
      </c>
      <c r="F6" s="115"/>
      <c r="G6" s="115"/>
      <c r="H6" s="115"/>
      <c r="I6" s="115"/>
      <c r="J6" s="115"/>
      <c r="K6" s="115"/>
      <c r="L6" s="212">
        <f>E6*Prices!B$2</f>
        <v>184800</v>
      </c>
      <c r="M6" s="212">
        <f>F6*Prices!C$2</f>
        <v>0</v>
      </c>
      <c r="N6" s="212">
        <f>G6*Prices!D$2</f>
        <v>0</v>
      </c>
      <c r="O6" s="212">
        <f>H6*Prices!E$2</f>
        <v>0</v>
      </c>
      <c r="P6" s="212">
        <f t="shared" si="3"/>
        <v>0</v>
      </c>
      <c r="Q6" s="212">
        <f>D6*Prices!$A$2</f>
        <v>142130.625</v>
      </c>
      <c r="R6" s="212">
        <f t="shared" si="4"/>
        <v>184800</v>
      </c>
      <c r="S6" s="212">
        <f t="shared" si="5"/>
        <v>326930.625</v>
      </c>
      <c r="T6" s="212">
        <f t="shared" si="6"/>
        <v>262250.625</v>
      </c>
      <c r="U6" s="212">
        <f t="shared" si="7"/>
        <v>64680</v>
      </c>
      <c r="V6" s="213">
        <f>((D6*0.6)/11.664)*Prices!$A$4+E6*38000+F6*51900+G6*60900</f>
        <v>191633.2099</v>
      </c>
      <c r="W6" s="115"/>
      <c r="X6" s="115"/>
      <c r="Y6" s="115"/>
      <c r="Z6" s="115"/>
    </row>
    <row r="7" ht="15.0" customHeight="1">
      <c r="A7" s="115" t="s">
        <v>101</v>
      </c>
      <c r="B7" s="115">
        <v>6.65</v>
      </c>
      <c r="C7" s="115">
        <f t="shared" si="1"/>
        <v>1.6625</v>
      </c>
      <c r="D7" s="115">
        <f t="shared" si="2"/>
        <v>8.3125</v>
      </c>
      <c r="E7" s="115">
        <f>0.86+0.51</f>
        <v>1.37</v>
      </c>
      <c r="F7" s="115"/>
      <c r="G7" s="115"/>
      <c r="H7" s="115"/>
      <c r="I7" s="115"/>
      <c r="J7" s="115"/>
      <c r="K7" s="115"/>
      <c r="L7" s="212">
        <f>E7*Prices!B$2</f>
        <v>150700</v>
      </c>
      <c r="M7" s="212">
        <f>F7*Prices!C$2</f>
        <v>0</v>
      </c>
      <c r="N7" s="212">
        <f>G7*Prices!D$2</f>
        <v>0</v>
      </c>
      <c r="O7" s="212">
        <f>H7*Prices!E$2</f>
        <v>0</v>
      </c>
      <c r="P7" s="212">
        <f t="shared" si="3"/>
        <v>0</v>
      </c>
      <c r="Q7" s="212">
        <f>D7*Prices!$A$2</f>
        <v>148378.125</v>
      </c>
      <c r="R7" s="212">
        <f t="shared" si="4"/>
        <v>150700</v>
      </c>
      <c r="S7" s="212">
        <f t="shared" si="5"/>
        <v>299078.125</v>
      </c>
      <c r="T7" s="212">
        <f t="shared" si="6"/>
        <v>246333.125</v>
      </c>
      <c r="U7" s="212">
        <f t="shared" si="7"/>
        <v>52745</v>
      </c>
      <c r="V7" s="213">
        <f>((D7*0.6)/11.664)*Prices!$A$4+E7*38000+F7*51900+G7*60900</f>
        <v>185470.4938</v>
      </c>
      <c r="W7" s="115"/>
      <c r="X7" s="115"/>
      <c r="Y7" s="115"/>
      <c r="Z7" s="115"/>
    </row>
    <row r="8" ht="15.0" customHeight="1">
      <c r="A8" s="115" t="s">
        <v>102</v>
      </c>
      <c r="B8" s="115">
        <v>4.93</v>
      </c>
      <c r="C8" s="115">
        <f t="shared" si="1"/>
        <v>1.2325</v>
      </c>
      <c r="D8" s="115">
        <f t="shared" si="2"/>
        <v>6.1625</v>
      </c>
      <c r="E8" s="115">
        <v>1.85</v>
      </c>
      <c r="F8" s="115"/>
      <c r="G8" s="115"/>
      <c r="H8" s="115"/>
      <c r="I8" s="115"/>
      <c r="J8" s="115"/>
      <c r="K8" s="115"/>
      <c r="L8" s="212">
        <f>E8*Prices!B$2</f>
        <v>203500</v>
      </c>
      <c r="M8" s="212">
        <f>F8*Prices!C$2</f>
        <v>0</v>
      </c>
      <c r="N8" s="212">
        <f>G8*Prices!D$2</f>
        <v>0</v>
      </c>
      <c r="O8" s="212">
        <f>H8*Prices!E$2</f>
        <v>0</v>
      </c>
      <c r="P8" s="212">
        <f t="shared" si="3"/>
        <v>0</v>
      </c>
      <c r="Q8" s="212">
        <f>D8*Prices!$A$2</f>
        <v>110000.625</v>
      </c>
      <c r="R8" s="212">
        <f t="shared" si="4"/>
        <v>203500</v>
      </c>
      <c r="S8" s="212">
        <f t="shared" si="5"/>
        <v>313500.625</v>
      </c>
      <c r="T8" s="212">
        <f t="shared" si="6"/>
        <v>242275.625</v>
      </c>
      <c r="U8" s="212">
        <f t="shared" si="7"/>
        <v>71225</v>
      </c>
      <c r="V8" s="213">
        <f>((D8*0.6)/11.664)*Prices!$A$4+E8*38000+F8*51900+G8*60900</f>
        <v>169204.321</v>
      </c>
      <c r="W8" s="115"/>
      <c r="X8" s="115"/>
      <c r="Y8" s="115"/>
      <c r="Z8" s="115"/>
    </row>
    <row r="9" ht="15.0" customHeight="1">
      <c r="A9" s="115" t="s">
        <v>103</v>
      </c>
      <c r="B9" s="115">
        <v>4.224</v>
      </c>
      <c r="C9" s="115">
        <f t="shared" si="1"/>
        <v>1.056</v>
      </c>
      <c r="D9" s="115">
        <f t="shared" si="2"/>
        <v>5.28</v>
      </c>
      <c r="E9" s="115">
        <v>0.88</v>
      </c>
      <c r="F9" s="115"/>
      <c r="G9" s="115"/>
      <c r="H9" s="115"/>
      <c r="I9" s="115"/>
      <c r="J9" s="115"/>
      <c r="K9" s="115"/>
      <c r="L9" s="212">
        <f>E9*Prices!B$2</f>
        <v>96800</v>
      </c>
      <c r="M9" s="212">
        <f>F9*Prices!C$2</f>
        <v>0</v>
      </c>
      <c r="N9" s="212">
        <f>G9*Prices!D$2</f>
        <v>0</v>
      </c>
      <c r="O9" s="212">
        <f>H9*Prices!E$2</f>
        <v>0</v>
      </c>
      <c r="P9" s="212">
        <f t="shared" si="3"/>
        <v>0</v>
      </c>
      <c r="Q9" s="212">
        <f>D9*Prices!$A$2</f>
        <v>94248</v>
      </c>
      <c r="R9" s="212">
        <f t="shared" si="4"/>
        <v>96800</v>
      </c>
      <c r="S9" s="212">
        <f t="shared" si="5"/>
        <v>191048</v>
      </c>
      <c r="T9" s="212">
        <f t="shared" si="6"/>
        <v>157168</v>
      </c>
      <c r="U9" s="212">
        <f t="shared" si="7"/>
        <v>33880</v>
      </c>
      <c r="V9" s="213">
        <f>((D9*0.6)/11.664)*Prices!$A$4+E9*38000+F9*51900+G9*60900</f>
        <v>118180.7407</v>
      </c>
      <c r="W9" s="115"/>
      <c r="X9" s="115"/>
      <c r="Y9" s="115"/>
      <c r="Z9" s="115"/>
    </row>
    <row r="10" ht="15.0" customHeight="1">
      <c r="A10" s="115" t="s">
        <v>104</v>
      </c>
      <c r="B10" s="115">
        <v>5.12</v>
      </c>
      <c r="C10" s="115">
        <f t="shared" si="1"/>
        <v>1.28</v>
      </c>
      <c r="D10" s="115">
        <f t="shared" si="2"/>
        <v>6.4</v>
      </c>
      <c r="E10" s="115">
        <f>0.9+0.32</f>
        <v>1.22</v>
      </c>
      <c r="F10" s="115"/>
      <c r="G10" s="115"/>
      <c r="H10" s="115"/>
      <c r="I10" s="115"/>
      <c r="J10" s="115"/>
      <c r="K10" s="115"/>
      <c r="L10" s="212">
        <f>E10*Prices!B$2</f>
        <v>134200</v>
      </c>
      <c r="M10" s="212">
        <f>F10*Prices!C$2</f>
        <v>0</v>
      </c>
      <c r="N10" s="212">
        <f>G10*Prices!D$2</f>
        <v>0</v>
      </c>
      <c r="O10" s="212">
        <f>H10*Prices!E$2</f>
        <v>0</v>
      </c>
      <c r="P10" s="212">
        <f t="shared" si="3"/>
        <v>0</v>
      </c>
      <c r="Q10" s="212">
        <f>D10*Prices!$A$2</f>
        <v>114240</v>
      </c>
      <c r="R10" s="212">
        <f t="shared" si="4"/>
        <v>134200</v>
      </c>
      <c r="S10" s="212">
        <f t="shared" si="5"/>
        <v>248440</v>
      </c>
      <c r="T10" s="212">
        <f t="shared" si="6"/>
        <v>201470</v>
      </c>
      <c r="U10" s="212">
        <f t="shared" si="7"/>
        <v>46970</v>
      </c>
      <c r="V10" s="213">
        <f>((D10*0.6)/11.664)*Prices!$A$4+E10*38000+F10*51900+G10*60900</f>
        <v>149076.0494</v>
      </c>
      <c r="W10" s="115"/>
      <c r="X10" s="115"/>
      <c r="Y10" s="115"/>
      <c r="Z10" s="115"/>
    </row>
    <row r="11" ht="15.0" customHeight="1">
      <c r="A11" s="115" t="s">
        <v>105</v>
      </c>
      <c r="B11" s="115">
        <v>5.332</v>
      </c>
      <c r="C11" s="115">
        <f t="shared" si="1"/>
        <v>1.333</v>
      </c>
      <c r="D11" s="115">
        <f t="shared" si="2"/>
        <v>6.665</v>
      </c>
      <c r="E11" s="115">
        <f>0.96+0.38</f>
        <v>1.34</v>
      </c>
      <c r="F11" s="115"/>
      <c r="G11" s="115"/>
      <c r="H11" s="115"/>
      <c r="I11" s="115"/>
      <c r="J11" s="115"/>
      <c r="K11" s="115"/>
      <c r="L11" s="212">
        <f>E11*Prices!B$2</f>
        <v>147400</v>
      </c>
      <c r="M11" s="212">
        <f>F11*Prices!C$2</f>
        <v>0</v>
      </c>
      <c r="N11" s="212">
        <f>G11*Prices!D$2</f>
        <v>0</v>
      </c>
      <c r="O11" s="212">
        <f>H11*Prices!E$2</f>
        <v>0</v>
      </c>
      <c r="P11" s="212">
        <f t="shared" si="3"/>
        <v>0</v>
      </c>
      <c r="Q11" s="212">
        <f>D11*Prices!$A$2</f>
        <v>118970.25</v>
      </c>
      <c r="R11" s="212">
        <f t="shared" si="4"/>
        <v>147400</v>
      </c>
      <c r="S11" s="212">
        <f t="shared" si="5"/>
        <v>266370.25</v>
      </c>
      <c r="T11" s="212">
        <f t="shared" si="6"/>
        <v>214780.25</v>
      </c>
      <c r="U11" s="212">
        <f t="shared" si="7"/>
        <v>51590</v>
      </c>
      <c r="V11" s="213">
        <f>((D11*0.6)/11.664)*Prices!$A$4+E11*38000+F11*51900+G11*60900</f>
        <v>157889.1358</v>
      </c>
      <c r="W11" s="115"/>
      <c r="X11" s="115"/>
      <c r="Y11" s="115"/>
      <c r="Z11" s="115"/>
    </row>
    <row r="12" ht="15.0" customHeight="1">
      <c r="A12" s="115" t="s">
        <v>106</v>
      </c>
      <c r="B12" s="115">
        <v>2.64</v>
      </c>
      <c r="C12" s="115">
        <f t="shared" si="1"/>
        <v>0.66</v>
      </c>
      <c r="D12" s="115">
        <f t="shared" si="2"/>
        <v>3.3</v>
      </c>
      <c r="E12" s="115">
        <v>0.7</v>
      </c>
      <c r="F12" s="115"/>
      <c r="G12" s="115"/>
      <c r="H12" s="115"/>
      <c r="I12" s="115"/>
      <c r="J12" s="115"/>
      <c r="K12" s="115"/>
      <c r="L12" s="212">
        <f>E12*Prices!B$2</f>
        <v>77000</v>
      </c>
      <c r="M12" s="212">
        <f>F12*Prices!C$2</f>
        <v>0</v>
      </c>
      <c r="N12" s="212">
        <f>G12*Prices!D$2</f>
        <v>0</v>
      </c>
      <c r="O12" s="212">
        <f>H12*Prices!E$2</f>
        <v>0</v>
      </c>
      <c r="P12" s="212">
        <f t="shared" si="3"/>
        <v>0</v>
      </c>
      <c r="Q12" s="212">
        <f>D12*Prices!$A$2</f>
        <v>58905</v>
      </c>
      <c r="R12" s="212">
        <f t="shared" si="4"/>
        <v>77000</v>
      </c>
      <c r="S12" s="212">
        <f t="shared" si="5"/>
        <v>135905</v>
      </c>
      <c r="T12" s="212">
        <f t="shared" si="6"/>
        <v>108955</v>
      </c>
      <c r="U12" s="212">
        <f t="shared" si="7"/>
        <v>26950</v>
      </c>
      <c r="V12" s="213">
        <f>((D12*0.6)/11.664)*Prices!$A$4+E12*38000+F12*51900+G12*60900</f>
        <v>79562.96296</v>
      </c>
      <c r="W12" s="115"/>
      <c r="X12" s="115"/>
      <c r="Y12" s="115"/>
      <c r="Z12" s="115"/>
    </row>
    <row r="13" ht="15.0" customHeight="1">
      <c r="A13" s="115" t="s">
        <v>107</v>
      </c>
      <c r="B13" s="115">
        <v>2.68</v>
      </c>
      <c r="C13" s="115">
        <f t="shared" si="1"/>
        <v>0.67</v>
      </c>
      <c r="D13" s="115">
        <f t="shared" si="2"/>
        <v>3.35</v>
      </c>
      <c r="E13" s="115">
        <v>0.68</v>
      </c>
      <c r="F13" s="115"/>
      <c r="G13" s="115"/>
      <c r="H13" s="115"/>
      <c r="I13" s="115"/>
      <c r="J13" s="115"/>
      <c r="K13" s="115"/>
      <c r="L13" s="212">
        <f>E13*Prices!B$2</f>
        <v>74800</v>
      </c>
      <c r="M13" s="212">
        <f>F13*Prices!C$2</f>
        <v>0</v>
      </c>
      <c r="N13" s="212">
        <f>G13*Prices!D$2</f>
        <v>0</v>
      </c>
      <c r="O13" s="212">
        <f>H13*Prices!E$2</f>
        <v>0</v>
      </c>
      <c r="P13" s="212">
        <f t="shared" si="3"/>
        <v>0</v>
      </c>
      <c r="Q13" s="212">
        <f>D13*Prices!$A$2</f>
        <v>59797.5</v>
      </c>
      <c r="R13" s="212">
        <f t="shared" si="4"/>
        <v>74800</v>
      </c>
      <c r="S13" s="212">
        <f t="shared" si="5"/>
        <v>134597.5</v>
      </c>
      <c r="T13" s="212">
        <f t="shared" si="6"/>
        <v>108417.5</v>
      </c>
      <c r="U13" s="212">
        <f t="shared" si="7"/>
        <v>26180</v>
      </c>
      <c r="V13" s="213">
        <f>((D13*0.6)/11.664)*Prices!$A$4+E13*38000+F13*51900+G13*60900</f>
        <v>79605.4321</v>
      </c>
      <c r="W13" s="115"/>
      <c r="X13" s="115"/>
      <c r="Y13" s="115"/>
      <c r="Z13" s="115"/>
    </row>
    <row r="14" ht="15.0" customHeight="1">
      <c r="A14" s="26" t="s">
        <v>108</v>
      </c>
      <c r="B14" s="26">
        <v>7.79</v>
      </c>
      <c r="C14" s="26">
        <f t="shared" si="1"/>
        <v>1.9475</v>
      </c>
      <c r="D14" s="26">
        <f t="shared" si="2"/>
        <v>9.7375</v>
      </c>
      <c r="E14" s="26">
        <v>1.61</v>
      </c>
      <c r="F14" s="26"/>
      <c r="G14" s="26"/>
      <c r="H14" s="26"/>
      <c r="I14" s="26"/>
      <c r="J14" s="26">
        <v>3.43</v>
      </c>
      <c r="K14" s="115"/>
      <c r="L14" s="212">
        <f>E14*Prices!B$2</f>
        <v>177100</v>
      </c>
      <c r="M14" s="212">
        <f>F14*Prices!C$2</f>
        <v>0</v>
      </c>
      <c r="N14" s="212">
        <f>G14*Prices!D$2</f>
        <v>0</v>
      </c>
      <c r="O14" s="212">
        <f>H14*Prices!E$2</f>
        <v>0</v>
      </c>
      <c r="P14" s="212">
        <f t="shared" ref="P14:P17" si="8">I14*5000+J14*15000+K14*1800</f>
        <v>51450</v>
      </c>
      <c r="Q14" s="212">
        <f>D14*Prices!$A$2</f>
        <v>173814.375</v>
      </c>
      <c r="R14" s="212">
        <f t="shared" si="4"/>
        <v>177100</v>
      </c>
      <c r="S14" s="212">
        <f t="shared" si="5"/>
        <v>402364.375</v>
      </c>
      <c r="T14" s="212">
        <f t="shared" si="6"/>
        <v>340379.375</v>
      </c>
      <c r="U14" s="212">
        <f t="shared" si="7"/>
        <v>61985</v>
      </c>
      <c r="V14" s="213">
        <f>((D14*0.6)/11.664)*Prices!$A$4+E14*38000+F14*51900+G14*60900</f>
        <v>217460.8642</v>
      </c>
      <c r="W14" s="115"/>
      <c r="X14" s="115"/>
      <c r="Y14" s="115"/>
      <c r="Z14" s="115"/>
    </row>
    <row r="15" ht="15.0" customHeight="1">
      <c r="A15" s="26" t="s">
        <v>109</v>
      </c>
      <c r="B15" s="26">
        <v>10.166</v>
      </c>
      <c r="C15" s="26">
        <f t="shared" si="1"/>
        <v>2.5415</v>
      </c>
      <c r="D15" s="26">
        <f t="shared" si="2"/>
        <v>12.7075</v>
      </c>
      <c r="E15" s="26">
        <f>1.5+0.24</f>
        <v>1.74</v>
      </c>
      <c r="F15" s="26"/>
      <c r="G15" s="26"/>
      <c r="H15" s="26"/>
      <c r="I15" s="26"/>
      <c r="J15" s="26">
        <v>2.0</v>
      </c>
      <c r="K15" s="115"/>
      <c r="L15" s="212">
        <f>E15*Prices!B$2</f>
        <v>191400</v>
      </c>
      <c r="M15" s="212">
        <f>F15*Prices!C$2</f>
        <v>0</v>
      </c>
      <c r="N15" s="212">
        <f>G15*Prices!D$2</f>
        <v>0</v>
      </c>
      <c r="O15" s="212">
        <f>H15*Prices!E$2</f>
        <v>0</v>
      </c>
      <c r="P15" s="212">
        <f t="shared" si="8"/>
        <v>30000</v>
      </c>
      <c r="Q15" s="212">
        <f>D15*Prices!$A$2</f>
        <v>226828.875</v>
      </c>
      <c r="R15" s="212">
        <f t="shared" si="4"/>
        <v>191400</v>
      </c>
      <c r="S15" s="212">
        <f t="shared" si="5"/>
        <v>448228.875</v>
      </c>
      <c r="T15" s="212">
        <f t="shared" si="6"/>
        <v>381238.875</v>
      </c>
      <c r="U15" s="212">
        <f t="shared" si="7"/>
        <v>66990</v>
      </c>
      <c r="V15" s="213">
        <f>((D15*0.6)/11.664)*Prices!$A$4+E15*38000+F15*51900+G15*60900</f>
        <v>270067.5309</v>
      </c>
      <c r="W15" s="115"/>
      <c r="X15" s="115"/>
      <c r="Y15" s="115"/>
      <c r="Z15" s="115"/>
    </row>
    <row r="16" ht="15.0" customHeight="1">
      <c r="A16" s="26" t="s">
        <v>110</v>
      </c>
      <c r="B16" s="26">
        <v>8.188</v>
      </c>
      <c r="C16" s="26">
        <f t="shared" si="1"/>
        <v>2.047</v>
      </c>
      <c r="D16" s="26">
        <f t="shared" si="2"/>
        <v>10.235</v>
      </c>
      <c r="E16" s="26">
        <v>1.72</v>
      </c>
      <c r="F16" s="26"/>
      <c r="G16" s="26"/>
      <c r="H16" s="26"/>
      <c r="I16" s="26"/>
      <c r="J16" s="26">
        <v>4.84</v>
      </c>
      <c r="K16" s="115"/>
      <c r="L16" s="212">
        <f>E16*Prices!B$2</f>
        <v>189200</v>
      </c>
      <c r="M16" s="212">
        <f>F16*Prices!C$2</f>
        <v>0</v>
      </c>
      <c r="N16" s="212">
        <f>G16*Prices!D$2</f>
        <v>0</v>
      </c>
      <c r="O16" s="212">
        <f>H16*Prices!E$2</f>
        <v>0</v>
      </c>
      <c r="P16" s="212">
        <f t="shared" si="8"/>
        <v>72600</v>
      </c>
      <c r="Q16" s="212">
        <f>D16*Prices!$A$2</f>
        <v>182694.75</v>
      </c>
      <c r="R16" s="212">
        <f t="shared" si="4"/>
        <v>189200</v>
      </c>
      <c r="S16" s="212">
        <f t="shared" si="5"/>
        <v>444494.75</v>
      </c>
      <c r="T16" s="212">
        <f t="shared" si="6"/>
        <v>378274.75</v>
      </c>
      <c r="U16" s="212">
        <f t="shared" si="7"/>
        <v>66220</v>
      </c>
      <c r="V16" s="213">
        <f>((D16*0.6)/11.664)*Prices!$A$4+E16*38000+F16*51900+G16*60900</f>
        <v>229625.4321</v>
      </c>
      <c r="W16" s="115"/>
      <c r="X16" s="115"/>
      <c r="Y16" s="115"/>
      <c r="Z16" s="115"/>
    </row>
    <row r="17" ht="15.0" customHeight="1">
      <c r="A17" s="26" t="s">
        <v>111</v>
      </c>
      <c r="B17" s="26">
        <v>8.048</v>
      </c>
      <c r="C17" s="26">
        <f t="shared" si="1"/>
        <v>2.012</v>
      </c>
      <c r="D17" s="26">
        <f t="shared" si="2"/>
        <v>10.06</v>
      </c>
      <c r="E17" s="26">
        <f>0.37</f>
        <v>0.37</v>
      </c>
      <c r="F17" s="26">
        <v>0.96</v>
      </c>
      <c r="G17" s="26"/>
      <c r="H17" s="26">
        <v>0.59</v>
      </c>
      <c r="I17" s="26"/>
      <c r="J17" s="26">
        <v>4.84</v>
      </c>
      <c r="K17" s="115"/>
      <c r="L17" s="212">
        <f>E17*Prices!B$2</f>
        <v>40700</v>
      </c>
      <c r="M17" s="212">
        <f>F17*Prices!C$2</f>
        <v>153600</v>
      </c>
      <c r="N17" s="212">
        <f>G17*Prices!D$2</f>
        <v>0</v>
      </c>
      <c r="O17" s="212">
        <f>H17*Prices!E$2</f>
        <v>206500</v>
      </c>
      <c r="P17" s="212">
        <f t="shared" si="8"/>
        <v>72600</v>
      </c>
      <c r="Q17" s="212">
        <f>D17*Prices!$A$2</f>
        <v>179571</v>
      </c>
      <c r="R17" s="212">
        <f t="shared" si="4"/>
        <v>400800</v>
      </c>
      <c r="S17" s="212">
        <f t="shared" si="5"/>
        <v>652971</v>
      </c>
      <c r="T17" s="212">
        <f t="shared" si="6"/>
        <v>512691</v>
      </c>
      <c r="U17" s="212">
        <f t="shared" si="7"/>
        <v>140280</v>
      </c>
      <c r="V17" s="213">
        <f>((D17*0.6)/11.664)*Prices!$A$4+E17*38000+F17*51900+G17*60900</f>
        <v>225340.7901</v>
      </c>
      <c r="W17" s="115"/>
      <c r="X17" s="115"/>
      <c r="Y17" s="115"/>
      <c r="Z17" s="115"/>
    </row>
    <row r="18" ht="15.0" customHeight="1">
      <c r="A18" s="115" t="s">
        <v>112</v>
      </c>
      <c r="B18" s="115">
        <v>10.772</v>
      </c>
      <c r="C18" s="115">
        <f t="shared" si="1"/>
        <v>2.693</v>
      </c>
      <c r="D18" s="115">
        <f t="shared" si="2"/>
        <v>13.465</v>
      </c>
      <c r="E18" s="115">
        <v>0.99</v>
      </c>
      <c r="F18" s="115"/>
      <c r="G18" s="115"/>
      <c r="H18" s="115"/>
      <c r="I18" s="115"/>
      <c r="J18" s="115"/>
      <c r="K18" s="115"/>
      <c r="L18" s="212">
        <f>E18*Prices!B$2</f>
        <v>108900</v>
      </c>
      <c r="M18" s="212">
        <f>F18*Prices!C$2</f>
        <v>0</v>
      </c>
      <c r="N18" s="212">
        <f>G18*Prices!D$2</f>
        <v>0</v>
      </c>
      <c r="O18" s="212">
        <f>H18*Prices!E$2</f>
        <v>0</v>
      </c>
      <c r="P18" s="212">
        <f t="shared" ref="P18:P31" si="9">I18*5000+J18*8000+K18*1800</f>
        <v>0</v>
      </c>
      <c r="Q18" s="212">
        <f>D18*Prices!$A$2</f>
        <v>240350.25</v>
      </c>
      <c r="R18" s="212">
        <f t="shared" si="4"/>
        <v>108900</v>
      </c>
      <c r="S18" s="212">
        <f t="shared" si="5"/>
        <v>349250.25</v>
      </c>
      <c r="T18" s="212">
        <f t="shared" si="6"/>
        <v>311135.25</v>
      </c>
      <c r="U18" s="212">
        <f t="shared" si="7"/>
        <v>38115</v>
      </c>
      <c r="V18" s="213">
        <f>((D18*0.6)/11.664)*Prices!$A$4+E18*38000+F18*51900+G18*60900</f>
        <v>253724.9383</v>
      </c>
      <c r="W18" s="115"/>
      <c r="X18" s="115"/>
      <c r="Y18" s="115"/>
      <c r="Z18" s="115"/>
    </row>
    <row r="19" ht="15.0" customHeight="1">
      <c r="A19" s="115" t="s">
        <v>113</v>
      </c>
      <c r="B19" s="115">
        <v>7.3</v>
      </c>
      <c r="C19" s="115">
        <f t="shared" si="1"/>
        <v>1.825</v>
      </c>
      <c r="D19" s="115">
        <f t="shared" si="2"/>
        <v>9.125</v>
      </c>
      <c r="E19" s="115">
        <v>0.5</v>
      </c>
      <c r="F19" s="115"/>
      <c r="G19" s="115"/>
      <c r="H19" s="115"/>
      <c r="I19" s="115"/>
      <c r="J19" s="115"/>
      <c r="K19" s="115"/>
      <c r="L19" s="212">
        <f>E19*Prices!B$2</f>
        <v>55000</v>
      </c>
      <c r="M19" s="212">
        <f>F19*Prices!C$2</f>
        <v>0</v>
      </c>
      <c r="N19" s="212">
        <f>G19*Prices!D$2</f>
        <v>0</v>
      </c>
      <c r="O19" s="212">
        <f>H19*Prices!E$2</f>
        <v>0</v>
      </c>
      <c r="P19" s="212">
        <f t="shared" si="9"/>
        <v>0</v>
      </c>
      <c r="Q19" s="212">
        <f>D19*Prices!$A$2</f>
        <v>162881.25</v>
      </c>
      <c r="R19" s="212">
        <f t="shared" si="4"/>
        <v>55000</v>
      </c>
      <c r="S19" s="212">
        <f t="shared" si="5"/>
        <v>217881.25</v>
      </c>
      <c r="T19" s="212">
        <f t="shared" si="6"/>
        <v>198631.25</v>
      </c>
      <c r="U19" s="212">
        <f t="shared" si="7"/>
        <v>19250</v>
      </c>
      <c r="V19" s="213">
        <f>((D19*0.6)/11.664)*Prices!$A$4+E19*38000+F19*51900+G19*60900</f>
        <v>165450.6173</v>
      </c>
      <c r="W19" s="115"/>
      <c r="X19" s="115"/>
      <c r="Y19" s="115"/>
      <c r="Z19" s="115"/>
    </row>
    <row r="20" ht="15.0" customHeight="1">
      <c r="A20" s="115" t="s">
        <v>114</v>
      </c>
      <c r="B20" s="115">
        <v>6.216</v>
      </c>
      <c r="C20" s="115">
        <f t="shared" si="1"/>
        <v>1.554</v>
      </c>
      <c r="D20" s="115">
        <f t="shared" si="2"/>
        <v>7.77</v>
      </c>
      <c r="E20" s="115">
        <v>0.42</v>
      </c>
      <c r="F20" s="115"/>
      <c r="G20" s="115"/>
      <c r="H20" s="115"/>
      <c r="I20" s="115"/>
      <c r="J20" s="115"/>
      <c r="K20" s="115"/>
      <c r="L20" s="212">
        <f>E20*Prices!B$2</f>
        <v>46200</v>
      </c>
      <c r="M20" s="212">
        <f>F20*Prices!C$2</f>
        <v>0</v>
      </c>
      <c r="N20" s="212">
        <f>G20*Prices!D$2</f>
        <v>0</v>
      </c>
      <c r="O20" s="212">
        <f>H20*Prices!E$2</f>
        <v>0</v>
      </c>
      <c r="P20" s="212">
        <f t="shared" si="9"/>
        <v>0</v>
      </c>
      <c r="Q20" s="212">
        <f>D20*Prices!$A$2</f>
        <v>138694.5</v>
      </c>
      <c r="R20" s="212">
        <f t="shared" si="4"/>
        <v>46200</v>
      </c>
      <c r="S20" s="212">
        <f t="shared" si="5"/>
        <v>184894.5</v>
      </c>
      <c r="T20" s="212">
        <f t="shared" si="6"/>
        <v>168724.5</v>
      </c>
      <c r="U20" s="212">
        <f t="shared" si="7"/>
        <v>16170</v>
      </c>
      <c r="V20" s="213">
        <f>((D20*0.6)/11.664)*Prices!$A$4+E20*38000+F20*51900+G20*60900</f>
        <v>140663.7037</v>
      </c>
      <c r="W20" s="115"/>
      <c r="X20" s="115"/>
      <c r="Y20" s="115"/>
      <c r="Z20" s="115"/>
    </row>
    <row r="21" ht="15.0" customHeight="1">
      <c r="A21" s="115" t="s">
        <v>115</v>
      </c>
      <c r="B21" s="115">
        <v>7.826</v>
      </c>
      <c r="C21" s="115">
        <f t="shared" si="1"/>
        <v>1.9565</v>
      </c>
      <c r="D21" s="115">
        <f t="shared" si="2"/>
        <v>9.7825</v>
      </c>
      <c r="E21" s="115">
        <v>0.67</v>
      </c>
      <c r="F21" s="115"/>
      <c r="G21" s="115"/>
      <c r="H21" s="115"/>
      <c r="I21" s="115"/>
      <c r="J21" s="115"/>
      <c r="K21" s="115"/>
      <c r="L21" s="212">
        <f>E21*Prices!B$2</f>
        <v>73700</v>
      </c>
      <c r="M21" s="212">
        <f>F21*Prices!C$2</f>
        <v>0</v>
      </c>
      <c r="N21" s="212">
        <f>G21*Prices!D$2</f>
        <v>0</v>
      </c>
      <c r="O21" s="212">
        <f>H21*Prices!E$2</f>
        <v>0</v>
      </c>
      <c r="P21" s="212">
        <f t="shared" si="9"/>
        <v>0</v>
      </c>
      <c r="Q21" s="212">
        <f>D21*Prices!$A$2</f>
        <v>174617.625</v>
      </c>
      <c r="R21" s="212">
        <f t="shared" si="4"/>
        <v>73700</v>
      </c>
      <c r="S21" s="212">
        <f t="shared" si="5"/>
        <v>248317.625</v>
      </c>
      <c r="T21" s="212">
        <f t="shared" si="6"/>
        <v>222522.625</v>
      </c>
      <c r="U21" s="212">
        <f t="shared" si="7"/>
        <v>25795</v>
      </c>
      <c r="V21" s="213">
        <f>((D21*0.6)/11.664)*Prices!$A$4+E21*38000+F21*51900+G21*60900</f>
        <v>182463.0864</v>
      </c>
      <c r="W21" s="115"/>
      <c r="X21" s="115"/>
      <c r="Y21" s="115"/>
      <c r="Z21" s="115"/>
    </row>
    <row r="22" ht="15.0" customHeight="1">
      <c r="A22" s="115" t="s">
        <v>116</v>
      </c>
      <c r="B22" s="115">
        <v>9.462</v>
      </c>
      <c r="C22" s="115">
        <f t="shared" si="1"/>
        <v>2.3655</v>
      </c>
      <c r="D22" s="115">
        <f t="shared" si="2"/>
        <v>11.8275</v>
      </c>
      <c r="E22" s="115">
        <v>2.78</v>
      </c>
      <c r="F22" s="115"/>
      <c r="G22" s="115"/>
      <c r="H22" s="115"/>
      <c r="I22" s="115">
        <v>1.66</v>
      </c>
      <c r="J22" s="115"/>
      <c r="K22" s="115"/>
      <c r="L22" s="212">
        <f>E22*Prices!B$2</f>
        <v>305800</v>
      </c>
      <c r="M22" s="212">
        <f>F22*Prices!C$2</f>
        <v>0</v>
      </c>
      <c r="N22" s="212">
        <f>G22*Prices!D$2</f>
        <v>0</v>
      </c>
      <c r="O22" s="212">
        <f>H22*Prices!E$2</f>
        <v>0</v>
      </c>
      <c r="P22" s="212">
        <f t="shared" si="9"/>
        <v>8300</v>
      </c>
      <c r="Q22" s="212">
        <f>D22*Prices!$A$2</f>
        <v>211120.875</v>
      </c>
      <c r="R22" s="212">
        <f t="shared" si="4"/>
        <v>305800</v>
      </c>
      <c r="S22" s="212">
        <f t="shared" si="5"/>
        <v>525220.875</v>
      </c>
      <c r="T22" s="212">
        <f t="shared" si="6"/>
        <v>418190.875</v>
      </c>
      <c r="U22" s="212">
        <f t="shared" si="7"/>
        <v>107030</v>
      </c>
      <c r="V22" s="213">
        <f>((D22*0.6)/11.664)*Prices!$A$4+E22*38000+F22*51900+G22*60900</f>
        <v>295464.0741</v>
      </c>
      <c r="W22" s="115"/>
      <c r="X22" s="115"/>
      <c r="Y22" s="115"/>
      <c r="Z22" s="115"/>
    </row>
    <row r="23" ht="15.0" customHeight="1">
      <c r="A23" s="115" t="s">
        <v>117</v>
      </c>
      <c r="B23" s="115">
        <v>2.852</v>
      </c>
      <c r="C23" s="115">
        <f t="shared" si="1"/>
        <v>0.713</v>
      </c>
      <c r="D23" s="115">
        <f t="shared" si="2"/>
        <v>3.565</v>
      </c>
      <c r="E23" s="115">
        <v>0.34</v>
      </c>
      <c r="F23" s="115"/>
      <c r="G23" s="115"/>
      <c r="H23" s="115"/>
      <c r="I23" s="115"/>
      <c r="J23" s="115"/>
      <c r="K23" s="115"/>
      <c r="L23" s="212">
        <f>E23*Prices!B$2</f>
        <v>37400</v>
      </c>
      <c r="M23" s="212">
        <f>F23*Prices!C$2</f>
        <v>0</v>
      </c>
      <c r="N23" s="212">
        <f>G23*Prices!D$2</f>
        <v>0</v>
      </c>
      <c r="O23" s="212">
        <f>H23*Prices!E$2</f>
        <v>0</v>
      </c>
      <c r="P23" s="212">
        <f t="shared" si="9"/>
        <v>0</v>
      </c>
      <c r="Q23" s="212">
        <f>D23*Prices!$A$2</f>
        <v>63635.25</v>
      </c>
      <c r="R23" s="212">
        <f t="shared" si="4"/>
        <v>37400</v>
      </c>
      <c r="S23" s="212">
        <f t="shared" si="5"/>
        <v>101035.25</v>
      </c>
      <c r="T23" s="212">
        <f t="shared" si="6"/>
        <v>87945.25</v>
      </c>
      <c r="U23" s="212">
        <f t="shared" si="7"/>
        <v>13090</v>
      </c>
      <c r="V23" s="213">
        <f>((D23*0.6)/11.664)*Prices!$A$4+E23*38000+F23*51900+G23*60900</f>
        <v>70136.04938</v>
      </c>
      <c r="W23" s="115"/>
      <c r="X23" s="115"/>
      <c r="Y23" s="115"/>
      <c r="Z23" s="115"/>
    </row>
    <row r="24" ht="15.0" customHeight="1">
      <c r="A24" s="115" t="s">
        <v>118</v>
      </c>
      <c r="B24" s="115">
        <v>2.456</v>
      </c>
      <c r="C24" s="115">
        <f t="shared" si="1"/>
        <v>0.614</v>
      </c>
      <c r="D24" s="115">
        <f t="shared" si="2"/>
        <v>3.07</v>
      </c>
      <c r="E24" s="115">
        <v>0.27</v>
      </c>
      <c r="F24" s="115"/>
      <c r="G24" s="115"/>
      <c r="H24" s="115"/>
      <c r="I24" s="115"/>
      <c r="J24" s="115"/>
      <c r="K24" s="115"/>
      <c r="L24" s="212">
        <f>E24*Prices!B$2</f>
        <v>29700</v>
      </c>
      <c r="M24" s="212">
        <f>F24*Prices!C$2</f>
        <v>0</v>
      </c>
      <c r="N24" s="212">
        <f>G24*Prices!D$2</f>
        <v>0</v>
      </c>
      <c r="O24" s="212">
        <f>H24*Prices!E$2</f>
        <v>0</v>
      </c>
      <c r="P24" s="212">
        <f t="shared" si="9"/>
        <v>0</v>
      </c>
      <c r="Q24" s="212">
        <f>D24*Prices!$A$2</f>
        <v>54799.5</v>
      </c>
      <c r="R24" s="212">
        <f t="shared" si="4"/>
        <v>29700</v>
      </c>
      <c r="S24" s="212">
        <f t="shared" si="5"/>
        <v>84499.5</v>
      </c>
      <c r="T24" s="212">
        <f t="shared" si="6"/>
        <v>74104.5</v>
      </c>
      <c r="U24" s="212">
        <f t="shared" si="7"/>
        <v>10395</v>
      </c>
      <c r="V24" s="213">
        <f>((D24*0.6)/11.664)*Prices!$A$4+E24*38000+F24*51900+G24*60900</f>
        <v>59531.60494</v>
      </c>
      <c r="W24" s="115"/>
      <c r="X24" s="115"/>
      <c r="Y24" s="115"/>
      <c r="Z24" s="115"/>
    </row>
    <row r="25" ht="15.0" customHeight="1">
      <c r="A25" s="115" t="s">
        <v>119</v>
      </c>
      <c r="B25" s="115">
        <v>4.504</v>
      </c>
      <c r="C25" s="115">
        <f t="shared" si="1"/>
        <v>1.126</v>
      </c>
      <c r="D25" s="115">
        <f t="shared" si="2"/>
        <v>5.63</v>
      </c>
      <c r="E25" s="115">
        <v>0.53</v>
      </c>
      <c r="F25" s="115"/>
      <c r="G25" s="115"/>
      <c r="H25" s="115"/>
      <c r="I25" s="115"/>
      <c r="J25" s="115"/>
      <c r="K25" s="115"/>
      <c r="L25" s="212">
        <f>E25*Prices!B$2</f>
        <v>58300</v>
      </c>
      <c r="M25" s="212">
        <f>F25*Prices!C$2</f>
        <v>0</v>
      </c>
      <c r="N25" s="212">
        <f>G25*Prices!D$2</f>
        <v>0</v>
      </c>
      <c r="O25" s="212">
        <f>H25*Prices!E$2</f>
        <v>0</v>
      </c>
      <c r="P25" s="212">
        <f t="shared" si="9"/>
        <v>0</v>
      </c>
      <c r="Q25" s="212">
        <f>D25*Prices!$A$2</f>
        <v>100495.5</v>
      </c>
      <c r="R25" s="212">
        <f t="shared" si="4"/>
        <v>58300</v>
      </c>
      <c r="S25" s="212">
        <f t="shared" si="5"/>
        <v>158795.5</v>
      </c>
      <c r="T25" s="212">
        <f t="shared" si="6"/>
        <v>138390.5</v>
      </c>
      <c r="U25" s="212">
        <f t="shared" si="7"/>
        <v>20405</v>
      </c>
      <c r="V25" s="213">
        <f>((D25*0.6)/11.664)*Prices!$A$4+E25*38000+F25*51900+G25*60900</f>
        <v>110498.0247</v>
      </c>
      <c r="W25" s="115"/>
      <c r="X25" s="115"/>
      <c r="Y25" s="115"/>
      <c r="Z25" s="115"/>
    </row>
    <row r="26" ht="15.0" customHeight="1">
      <c r="A26" s="90" t="s">
        <v>120</v>
      </c>
      <c r="B26" s="90">
        <v>3.024</v>
      </c>
      <c r="C26" s="115">
        <f t="shared" si="1"/>
        <v>0.756</v>
      </c>
      <c r="D26" s="115">
        <f t="shared" si="2"/>
        <v>3.78</v>
      </c>
      <c r="E26" s="90">
        <v>0.43</v>
      </c>
      <c r="F26" s="90"/>
      <c r="G26" s="90"/>
      <c r="H26" s="90"/>
      <c r="I26" s="90"/>
      <c r="J26" s="90"/>
      <c r="K26" s="90"/>
      <c r="L26" s="212">
        <f>E26*Prices!B$2</f>
        <v>47300</v>
      </c>
      <c r="M26" s="212">
        <f>F26*Prices!C$2</f>
        <v>0</v>
      </c>
      <c r="N26" s="212">
        <f>G26*Prices!D$2</f>
        <v>0</v>
      </c>
      <c r="O26" s="212">
        <f>H26*Prices!E$2</f>
        <v>0</v>
      </c>
      <c r="P26" s="212">
        <f t="shared" si="9"/>
        <v>0</v>
      </c>
      <c r="Q26" s="212">
        <f>D26*Prices!$A$2</f>
        <v>67473</v>
      </c>
      <c r="R26" s="212">
        <f t="shared" si="4"/>
        <v>47300</v>
      </c>
      <c r="S26" s="212">
        <f t="shared" si="5"/>
        <v>114773</v>
      </c>
      <c r="T26" s="212">
        <f t="shared" si="6"/>
        <v>98218</v>
      </c>
      <c r="U26" s="212">
        <f t="shared" si="7"/>
        <v>16555</v>
      </c>
      <c r="V26" s="213">
        <f>((D26*0.6)/11.664)*Prices!$A$4+E26*38000+F26*51900+G26*60900</f>
        <v>77006.66667</v>
      </c>
      <c r="W26" s="90"/>
      <c r="X26" s="90"/>
      <c r="Y26" s="90"/>
      <c r="Z26" s="90"/>
    </row>
    <row r="27" ht="15.0" customHeight="1">
      <c r="A27" s="115" t="s">
        <v>121</v>
      </c>
      <c r="B27" s="90">
        <v>4.584</v>
      </c>
      <c r="C27" s="115">
        <f t="shared" si="1"/>
        <v>1.146</v>
      </c>
      <c r="D27" s="115">
        <f t="shared" si="2"/>
        <v>5.73</v>
      </c>
      <c r="E27" s="90">
        <v>0.48</v>
      </c>
      <c r="F27" s="90"/>
      <c r="G27" s="90"/>
      <c r="H27" s="90"/>
      <c r="I27" s="90"/>
      <c r="J27" s="90"/>
      <c r="K27" s="90"/>
      <c r="L27" s="212">
        <f>E27*Prices!B$2</f>
        <v>52800</v>
      </c>
      <c r="M27" s="212">
        <f>F27*Prices!C$2</f>
        <v>0</v>
      </c>
      <c r="N27" s="212">
        <f>G27*Prices!D$2</f>
        <v>0</v>
      </c>
      <c r="O27" s="212">
        <f>H27*Prices!E$2</f>
        <v>0</v>
      </c>
      <c r="P27" s="212">
        <f t="shared" si="9"/>
        <v>0</v>
      </c>
      <c r="Q27" s="212">
        <f>D27*Prices!$A$2</f>
        <v>102280.5</v>
      </c>
      <c r="R27" s="212">
        <f t="shared" si="4"/>
        <v>52800</v>
      </c>
      <c r="S27" s="212">
        <f t="shared" si="5"/>
        <v>155080.5</v>
      </c>
      <c r="T27" s="212">
        <f t="shared" si="6"/>
        <v>136600.5</v>
      </c>
      <c r="U27" s="212">
        <f t="shared" si="7"/>
        <v>18480</v>
      </c>
      <c r="V27" s="213">
        <f>((D27*0.6)/11.664)*Prices!$A$4+E27*38000+F27*51900+G27*60900</f>
        <v>110202.963</v>
      </c>
      <c r="W27" s="90"/>
      <c r="X27" s="90"/>
      <c r="Y27" s="90"/>
      <c r="Z27" s="90"/>
    </row>
    <row r="28" ht="15.0" customHeight="1">
      <c r="A28" s="90" t="s">
        <v>122</v>
      </c>
      <c r="B28" s="90">
        <v>3.282</v>
      </c>
      <c r="C28" s="115">
        <f t="shared" si="1"/>
        <v>0.8205</v>
      </c>
      <c r="D28" s="115">
        <f t="shared" si="2"/>
        <v>4.1025</v>
      </c>
      <c r="E28" s="90">
        <v>0.44</v>
      </c>
      <c r="F28" s="90"/>
      <c r="G28" s="90"/>
      <c r="H28" s="90"/>
      <c r="I28" s="90"/>
      <c r="J28" s="90"/>
      <c r="K28" s="90"/>
      <c r="L28" s="212">
        <f>E28*Prices!B$2</f>
        <v>48400</v>
      </c>
      <c r="M28" s="212">
        <f>F28*Prices!C$2</f>
        <v>0</v>
      </c>
      <c r="N28" s="212">
        <f>G28*Prices!D$2</f>
        <v>0</v>
      </c>
      <c r="O28" s="212">
        <f>H28*Prices!E$2</f>
        <v>0</v>
      </c>
      <c r="P28" s="212">
        <f t="shared" si="9"/>
        <v>0</v>
      </c>
      <c r="Q28" s="212">
        <f>D28*Prices!$A$2</f>
        <v>73229.625</v>
      </c>
      <c r="R28" s="212">
        <f t="shared" si="4"/>
        <v>48400</v>
      </c>
      <c r="S28" s="212">
        <f t="shared" si="5"/>
        <v>121629.625</v>
      </c>
      <c r="T28" s="212">
        <f t="shared" si="6"/>
        <v>104689.625</v>
      </c>
      <c r="U28" s="212">
        <f t="shared" si="7"/>
        <v>16940</v>
      </c>
      <c r="V28" s="213">
        <f>((D28*0.6)/11.664)*Prices!$A$4+E28*38000+F28*51900+G28*60900</f>
        <v>82562.59259</v>
      </c>
      <c r="W28" s="90"/>
      <c r="X28" s="90"/>
      <c r="Y28" s="90"/>
      <c r="Z28" s="90"/>
    </row>
    <row r="29" ht="15.0" customHeight="1">
      <c r="A29" s="90" t="s">
        <v>123</v>
      </c>
      <c r="B29" s="90">
        <v>4.404</v>
      </c>
      <c r="C29" s="115">
        <f t="shared" si="1"/>
        <v>1.101</v>
      </c>
      <c r="D29" s="115">
        <f t="shared" si="2"/>
        <v>5.505</v>
      </c>
      <c r="E29" s="90">
        <v>0.68</v>
      </c>
      <c r="F29" s="90"/>
      <c r="G29" s="90"/>
      <c r="H29" s="90"/>
      <c r="I29" s="90"/>
      <c r="J29" s="90"/>
      <c r="K29" s="90"/>
      <c r="L29" s="212">
        <f>E29*Prices!B$2</f>
        <v>74800</v>
      </c>
      <c r="M29" s="212">
        <f>F29*Prices!C$2</f>
        <v>0</v>
      </c>
      <c r="N29" s="212">
        <f>G29*Prices!D$2</f>
        <v>0</v>
      </c>
      <c r="O29" s="212">
        <f>H29*Prices!E$2</f>
        <v>0</v>
      </c>
      <c r="P29" s="212">
        <f t="shared" si="9"/>
        <v>0</v>
      </c>
      <c r="Q29" s="212">
        <f>D29*Prices!$A$2</f>
        <v>98264.25</v>
      </c>
      <c r="R29" s="212">
        <f t="shared" si="4"/>
        <v>74800</v>
      </c>
      <c r="S29" s="212">
        <f t="shared" si="5"/>
        <v>173064.25</v>
      </c>
      <c r="T29" s="212">
        <f t="shared" si="6"/>
        <v>146884.25</v>
      </c>
      <c r="U29" s="212">
        <f t="shared" si="7"/>
        <v>26180</v>
      </c>
      <c r="V29" s="213">
        <f>((D29*0.6)/11.664)*Prices!$A$4+E29*38000+F29*51900+G29*60900</f>
        <v>114191.8519</v>
      </c>
      <c r="W29" s="90"/>
      <c r="X29" s="90"/>
      <c r="Y29" s="90"/>
      <c r="Z29" s="90"/>
    </row>
    <row r="30" ht="15.0" customHeight="1">
      <c r="A30" s="90" t="s">
        <v>124</v>
      </c>
      <c r="B30" s="90">
        <v>8.43</v>
      </c>
      <c r="C30" s="115">
        <f t="shared" si="1"/>
        <v>2.1075</v>
      </c>
      <c r="D30" s="115">
        <f t="shared" si="2"/>
        <v>10.5375</v>
      </c>
      <c r="E30" s="90">
        <v>1.53</v>
      </c>
      <c r="F30" s="90"/>
      <c r="G30" s="90"/>
      <c r="H30" s="90"/>
      <c r="I30" s="90"/>
      <c r="J30" s="90"/>
      <c r="K30" s="90"/>
      <c r="L30" s="212">
        <f>E30*Prices!B$2</f>
        <v>168300</v>
      </c>
      <c r="M30" s="212">
        <f>F30*Prices!C$2</f>
        <v>0</v>
      </c>
      <c r="N30" s="212">
        <f>G30*Prices!D$2</f>
        <v>0</v>
      </c>
      <c r="O30" s="212">
        <f>H30*Prices!E$2</f>
        <v>0</v>
      </c>
      <c r="P30" s="212">
        <f t="shared" si="9"/>
        <v>0</v>
      </c>
      <c r="Q30" s="212">
        <f>D30*Prices!$A$2</f>
        <v>188094.375</v>
      </c>
      <c r="R30" s="212">
        <f t="shared" si="4"/>
        <v>168300</v>
      </c>
      <c r="S30" s="212">
        <f t="shared" si="5"/>
        <v>356394.375</v>
      </c>
      <c r="T30" s="212">
        <f t="shared" si="6"/>
        <v>297489.375</v>
      </c>
      <c r="U30" s="212">
        <f t="shared" si="7"/>
        <v>58905</v>
      </c>
      <c r="V30" s="213">
        <f>((D30*0.6)/11.664)*Prices!$A$4+E30*38000+F30*51900+G30*60900</f>
        <v>227260.3704</v>
      </c>
      <c r="W30" s="90"/>
      <c r="X30" s="90"/>
      <c r="Y30" s="90"/>
      <c r="Z30" s="90"/>
    </row>
    <row r="31" ht="15.0" customHeight="1">
      <c r="A31" s="90" t="s">
        <v>125</v>
      </c>
      <c r="B31" s="90">
        <v>6.67</v>
      </c>
      <c r="C31" s="115">
        <f t="shared" si="1"/>
        <v>1.6675</v>
      </c>
      <c r="D31" s="115">
        <f t="shared" si="2"/>
        <v>8.3375</v>
      </c>
      <c r="E31" s="90">
        <v>1.37</v>
      </c>
      <c r="F31" s="90"/>
      <c r="G31" s="90"/>
      <c r="H31" s="90"/>
      <c r="I31" s="90"/>
      <c r="J31" s="90"/>
      <c r="K31" s="90"/>
      <c r="L31" s="212">
        <f>E31*Prices!B$2</f>
        <v>150700</v>
      </c>
      <c r="M31" s="212">
        <f>F31*Prices!C$2</f>
        <v>0</v>
      </c>
      <c r="N31" s="212">
        <f>G31*Prices!D$2</f>
        <v>0</v>
      </c>
      <c r="O31" s="212">
        <f>H31*Prices!E$2</f>
        <v>0</v>
      </c>
      <c r="P31" s="212">
        <f t="shared" si="9"/>
        <v>0</v>
      </c>
      <c r="Q31" s="212">
        <f>D31*Prices!$A$2</f>
        <v>148824.375</v>
      </c>
      <c r="R31" s="212">
        <f t="shared" si="4"/>
        <v>150700</v>
      </c>
      <c r="S31" s="212">
        <f t="shared" si="5"/>
        <v>299524.375</v>
      </c>
      <c r="T31" s="212">
        <f t="shared" si="6"/>
        <v>246779.375</v>
      </c>
      <c r="U31" s="212">
        <f t="shared" si="7"/>
        <v>52745</v>
      </c>
      <c r="V31" s="213">
        <f>((D31*0.6)/11.664)*Prices!$A$4+E31*38000+F31*51900+G31*60900</f>
        <v>185871.7284</v>
      </c>
      <c r="W31" s="90"/>
      <c r="X31" s="90"/>
      <c r="Y31" s="90"/>
      <c r="Z31" s="90"/>
    </row>
    <row r="32" ht="15.0" customHeight="1">
      <c r="A32" s="90" t="s">
        <v>126</v>
      </c>
      <c r="B32" s="90">
        <v>2.146</v>
      </c>
      <c r="C32" s="115">
        <f t="shared" si="1"/>
        <v>0.5365</v>
      </c>
      <c r="D32" s="115">
        <f t="shared" si="2"/>
        <v>2.6825</v>
      </c>
      <c r="E32" s="90">
        <v>0.18</v>
      </c>
      <c r="F32" s="90"/>
      <c r="G32" s="90"/>
      <c r="H32" s="90"/>
      <c r="I32" s="90"/>
      <c r="J32" s="90">
        <v>0.47</v>
      </c>
      <c r="K32" s="90">
        <v>5.92</v>
      </c>
      <c r="L32" s="212">
        <f>E32*Prices!B$2</f>
        <v>19800</v>
      </c>
      <c r="M32" s="212">
        <f>F32*Prices!C$2</f>
        <v>0</v>
      </c>
      <c r="N32" s="212">
        <f>G32*Prices!D$2</f>
        <v>0</v>
      </c>
      <c r="O32" s="212">
        <f>H32*Prices!E$2</f>
        <v>0</v>
      </c>
      <c r="P32" s="212">
        <f>I32*5000+J32*8000+K32*300</f>
        <v>5536</v>
      </c>
      <c r="Q32" s="212">
        <f>D32*Prices!$A$2</f>
        <v>47882.625</v>
      </c>
      <c r="R32" s="212">
        <f t="shared" si="4"/>
        <v>19800</v>
      </c>
      <c r="S32" s="212">
        <f t="shared" si="5"/>
        <v>73218.625</v>
      </c>
      <c r="T32" s="212">
        <f t="shared" si="6"/>
        <v>66288.625</v>
      </c>
      <c r="U32" s="212">
        <f t="shared" si="7"/>
        <v>6930</v>
      </c>
      <c r="V32" s="213">
        <f>((D32*0.6)/11.664)*Prices!$A$4+E32*38000+F32*51900+G32*60900</f>
        <v>49892.46914</v>
      </c>
      <c r="W32" s="90"/>
      <c r="X32" s="90"/>
      <c r="Y32" s="90"/>
      <c r="Z32" s="90"/>
    </row>
    <row r="33" ht="15.0" customHeight="1">
      <c r="A33" s="90" t="s">
        <v>127</v>
      </c>
      <c r="B33" s="90">
        <v>1.742</v>
      </c>
      <c r="C33" s="115">
        <f t="shared" si="1"/>
        <v>0.4355</v>
      </c>
      <c r="D33" s="115">
        <f t="shared" si="2"/>
        <v>2.1775</v>
      </c>
      <c r="E33" s="90">
        <v>0.17</v>
      </c>
      <c r="F33" s="90"/>
      <c r="G33" s="90"/>
      <c r="H33" s="90"/>
      <c r="I33" s="90"/>
      <c r="J33" s="90"/>
      <c r="K33" s="90">
        <v>3.82</v>
      </c>
      <c r="L33" s="212">
        <f>E33*Prices!B$2</f>
        <v>18700</v>
      </c>
      <c r="M33" s="212">
        <f>F33*Prices!C$2</f>
        <v>0</v>
      </c>
      <c r="N33" s="212">
        <f>G33*Prices!D$2</f>
        <v>0</v>
      </c>
      <c r="O33" s="212">
        <f>H33*Prices!E$2</f>
        <v>0</v>
      </c>
      <c r="P33" s="212">
        <f>I33*5000+J33*8000+K33*500</f>
        <v>1910</v>
      </c>
      <c r="Q33" s="212">
        <f>D33*Prices!$A$2</f>
        <v>38868.375</v>
      </c>
      <c r="R33" s="212">
        <f t="shared" si="4"/>
        <v>18700</v>
      </c>
      <c r="S33" s="212">
        <f t="shared" si="5"/>
        <v>59478.375</v>
      </c>
      <c r="T33" s="212">
        <f t="shared" si="6"/>
        <v>52933.375</v>
      </c>
      <c r="U33" s="212">
        <f t="shared" si="7"/>
        <v>6545</v>
      </c>
      <c r="V33" s="213">
        <f>((D33*0.6)/11.664)*Prices!$A$4+E33*38000+F33*51900+G33*60900</f>
        <v>41407.53086</v>
      </c>
      <c r="W33" s="90"/>
      <c r="X33" s="90"/>
      <c r="Y33" s="90"/>
      <c r="Z33" s="90"/>
    </row>
    <row r="34" ht="15.0" customHeight="1">
      <c r="A34" s="90" t="s">
        <v>128</v>
      </c>
      <c r="B34" s="90">
        <v>3.786</v>
      </c>
      <c r="C34" s="115">
        <f t="shared" si="1"/>
        <v>0.9465</v>
      </c>
      <c r="D34" s="115">
        <f t="shared" si="2"/>
        <v>4.7325</v>
      </c>
      <c r="E34" s="90">
        <v>0.9</v>
      </c>
      <c r="F34" s="90"/>
      <c r="G34" s="90"/>
      <c r="H34" s="90"/>
      <c r="I34" s="90"/>
      <c r="J34" s="90"/>
      <c r="K34" s="90">
        <v>3.97</v>
      </c>
      <c r="L34" s="212">
        <f>E34*Prices!B$2</f>
        <v>99000</v>
      </c>
      <c r="M34" s="212">
        <f>F34*Prices!C$2</f>
        <v>0</v>
      </c>
      <c r="N34" s="212">
        <f>G34*Prices!D$2</f>
        <v>0</v>
      </c>
      <c r="O34" s="212">
        <f>H34*Prices!E$2</f>
        <v>0</v>
      </c>
      <c r="P34" s="212">
        <f t="shared" ref="P34:P48" si="10">I34*5000+J34*8000+K34*3000</f>
        <v>11910</v>
      </c>
      <c r="Q34" s="212">
        <f>D34*Prices!$A$2</f>
        <v>84475.125</v>
      </c>
      <c r="R34" s="212">
        <f t="shared" si="4"/>
        <v>99000</v>
      </c>
      <c r="S34" s="212">
        <f t="shared" si="5"/>
        <v>195385.125</v>
      </c>
      <c r="T34" s="212">
        <f t="shared" si="6"/>
        <v>160735.125</v>
      </c>
      <c r="U34" s="212">
        <f t="shared" si="7"/>
        <v>34650</v>
      </c>
      <c r="V34" s="213">
        <f>((D34*0.6)/11.664)*Prices!$A$4+E34*38000+F34*51900+G34*60900</f>
        <v>110153.7037</v>
      </c>
      <c r="W34" s="90"/>
      <c r="X34" s="90"/>
      <c r="Y34" s="90"/>
      <c r="Z34" s="90"/>
    </row>
    <row r="35" ht="15.0" customHeight="1">
      <c r="A35" s="90" t="s">
        <v>129</v>
      </c>
      <c r="B35" s="90">
        <v>3.744</v>
      </c>
      <c r="C35" s="115">
        <f t="shared" si="1"/>
        <v>0.936</v>
      </c>
      <c r="D35" s="115">
        <f t="shared" si="2"/>
        <v>4.68</v>
      </c>
      <c r="E35" s="90">
        <v>0.89</v>
      </c>
      <c r="F35" s="90"/>
      <c r="G35" s="90"/>
      <c r="H35" s="90"/>
      <c r="I35" s="90"/>
      <c r="J35" s="90"/>
      <c r="K35" s="90">
        <v>4.04</v>
      </c>
      <c r="L35" s="212">
        <f>E35*Prices!B$2</f>
        <v>97900</v>
      </c>
      <c r="M35" s="212">
        <f>F35*Prices!C$2</f>
        <v>0</v>
      </c>
      <c r="N35" s="212">
        <f>G35*Prices!D$2</f>
        <v>0</v>
      </c>
      <c r="O35" s="212">
        <f>H35*Prices!E$2</f>
        <v>0</v>
      </c>
      <c r="P35" s="212">
        <f t="shared" si="10"/>
        <v>12120</v>
      </c>
      <c r="Q35" s="212">
        <f>D35*Prices!$A$2</f>
        <v>83538</v>
      </c>
      <c r="R35" s="212">
        <f t="shared" si="4"/>
        <v>97900</v>
      </c>
      <c r="S35" s="212">
        <f t="shared" si="5"/>
        <v>193558</v>
      </c>
      <c r="T35" s="212">
        <f t="shared" si="6"/>
        <v>159293</v>
      </c>
      <c r="U35" s="212">
        <f t="shared" si="7"/>
        <v>34265</v>
      </c>
      <c r="V35" s="213">
        <f>((D35*0.6)/11.664)*Prices!$A$4+E35*38000+F35*51900+G35*60900</f>
        <v>108931.1111</v>
      </c>
      <c r="W35" s="90"/>
      <c r="X35" s="90"/>
      <c r="Y35" s="90"/>
      <c r="Z35" s="90"/>
    </row>
    <row r="36" ht="15.0" customHeight="1">
      <c r="A36" s="90" t="s">
        <v>130</v>
      </c>
      <c r="B36" s="90">
        <v>6.76</v>
      </c>
      <c r="C36" s="115">
        <f t="shared" si="1"/>
        <v>1.69</v>
      </c>
      <c r="D36" s="115">
        <f t="shared" si="2"/>
        <v>8.45</v>
      </c>
      <c r="E36" s="90">
        <v>0.35</v>
      </c>
      <c r="F36" s="90"/>
      <c r="G36" s="90"/>
      <c r="H36" s="90"/>
      <c r="I36" s="90"/>
      <c r="J36" s="90"/>
      <c r="K36" s="90">
        <v>7.85</v>
      </c>
      <c r="L36" s="212">
        <f>E36*Prices!B$2</f>
        <v>38500</v>
      </c>
      <c r="M36" s="212">
        <f>F36*Prices!C$2</f>
        <v>0</v>
      </c>
      <c r="N36" s="212">
        <f>G36*Prices!D$2</f>
        <v>0</v>
      </c>
      <c r="O36" s="212">
        <f>H36*Prices!E$2</f>
        <v>0</v>
      </c>
      <c r="P36" s="212">
        <f t="shared" si="10"/>
        <v>23550</v>
      </c>
      <c r="Q36" s="212">
        <f>D36*Prices!$A$2</f>
        <v>150832.5</v>
      </c>
      <c r="R36" s="212">
        <f t="shared" si="4"/>
        <v>38500</v>
      </c>
      <c r="S36" s="212">
        <f t="shared" si="5"/>
        <v>212882.5</v>
      </c>
      <c r="T36" s="212">
        <f t="shared" si="6"/>
        <v>199407.5</v>
      </c>
      <c r="U36" s="212">
        <f t="shared" si="7"/>
        <v>13475</v>
      </c>
      <c r="V36" s="213">
        <f>((D36*0.6)/11.664)*Prices!$A$4+E36*38000+F36*51900+G36*60900</f>
        <v>148917.284</v>
      </c>
      <c r="W36" s="90"/>
      <c r="X36" s="90"/>
      <c r="Y36" s="90"/>
      <c r="Z36" s="90"/>
    </row>
    <row r="37" ht="15.0" customHeight="1">
      <c r="A37" s="90" t="s">
        <v>131</v>
      </c>
      <c r="B37" s="90">
        <v>18.278</v>
      </c>
      <c r="C37" s="115">
        <f t="shared" si="1"/>
        <v>4.5695</v>
      </c>
      <c r="D37" s="115">
        <f t="shared" si="2"/>
        <v>22.8475</v>
      </c>
      <c r="E37" s="90">
        <v>4.06</v>
      </c>
      <c r="F37" s="90"/>
      <c r="G37" s="90"/>
      <c r="H37" s="90"/>
      <c r="I37" s="90"/>
      <c r="J37" s="90"/>
      <c r="K37" s="90">
        <v>16.3</v>
      </c>
      <c r="L37" s="212">
        <f>E37*Prices!B$2</f>
        <v>446600</v>
      </c>
      <c r="M37" s="212">
        <f>F37*Prices!C$2</f>
        <v>0</v>
      </c>
      <c r="N37" s="212">
        <f>G37*Prices!D$2</f>
        <v>0</v>
      </c>
      <c r="O37" s="212">
        <f>H37*Prices!E$2</f>
        <v>0</v>
      </c>
      <c r="P37" s="212">
        <f t="shared" si="10"/>
        <v>48900</v>
      </c>
      <c r="Q37" s="212">
        <f>D37*Prices!$A$2</f>
        <v>407827.875</v>
      </c>
      <c r="R37" s="212">
        <f t="shared" si="4"/>
        <v>446600</v>
      </c>
      <c r="S37" s="212">
        <f t="shared" si="5"/>
        <v>903327.875</v>
      </c>
      <c r="T37" s="212">
        <f t="shared" si="6"/>
        <v>747017.875</v>
      </c>
      <c r="U37" s="212">
        <f t="shared" si="7"/>
        <v>156310</v>
      </c>
      <c r="V37" s="213">
        <f>((D37*0.6)/11.664)*Prices!$A$4+E37*38000+F37*51900+G37*60900</f>
        <v>520968.2716</v>
      </c>
      <c r="W37" s="90"/>
      <c r="X37" s="90"/>
      <c r="Y37" s="90"/>
      <c r="Z37" s="90"/>
    </row>
    <row r="38" ht="15.0" customHeight="1">
      <c r="A38" s="90" t="s">
        <v>132</v>
      </c>
      <c r="B38" s="90">
        <v>13.728</v>
      </c>
      <c r="C38" s="115">
        <f t="shared" si="1"/>
        <v>3.432</v>
      </c>
      <c r="D38" s="115">
        <f t="shared" si="2"/>
        <v>17.16</v>
      </c>
      <c r="E38" s="90">
        <v>0.28</v>
      </c>
      <c r="F38" s="90">
        <v>1.65</v>
      </c>
      <c r="G38" s="90"/>
      <c r="H38" s="90"/>
      <c r="I38" s="90">
        <v>43.47</v>
      </c>
      <c r="J38" s="90"/>
      <c r="K38" s="90">
        <v>5.06</v>
      </c>
      <c r="L38" s="212">
        <f>E38*Prices!B$2</f>
        <v>30800</v>
      </c>
      <c r="M38" s="212">
        <f>F38*Prices!C$2</f>
        <v>264000</v>
      </c>
      <c r="N38" s="212">
        <f>G38*Prices!D$2</f>
        <v>0</v>
      </c>
      <c r="O38" s="212">
        <f>H38*Prices!E$2</f>
        <v>0</v>
      </c>
      <c r="P38" s="212">
        <f t="shared" si="10"/>
        <v>232530</v>
      </c>
      <c r="Q38" s="212">
        <f>D38*Prices!$A$2</f>
        <v>306306</v>
      </c>
      <c r="R38" s="212">
        <f t="shared" si="4"/>
        <v>294800</v>
      </c>
      <c r="S38" s="212">
        <f t="shared" si="5"/>
        <v>833636</v>
      </c>
      <c r="T38" s="212">
        <f t="shared" si="6"/>
        <v>730456</v>
      </c>
      <c r="U38" s="212">
        <f t="shared" si="7"/>
        <v>103180</v>
      </c>
      <c r="V38" s="213">
        <f>((D38*0.6)/11.664)*Prices!$A$4+E38*38000+F38*51900+G38*60900</f>
        <v>371682.4074</v>
      </c>
      <c r="W38" s="90"/>
      <c r="X38" s="90"/>
      <c r="Y38" s="90"/>
      <c r="Z38" s="90"/>
    </row>
    <row r="39" ht="15.0" customHeight="1">
      <c r="A39" s="90" t="s">
        <v>133</v>
      </c>
      <c r="B39" s="90">
        <v>6.036</v>
      </c>
      <c r="C39" s="115">
        <f t="shared" si="1"/>
        <v>1.509</v>
      </c>
      <c r="D39" s="115">
        <f t="shared" si="2"/>
        <v>7.545</v>
      </c>
      <c r="E39" s="90">
        <v>1.38</v>
      </c>
      <c r="F39" s="90"/>
      <c r="G39" s="90"/>
      <c r="H39" s="90"/>
      <c r="I39" s="90"/>
      <c r="J39" s="90"/>
      <c r="K39" s="90">
        <v>4.44</v>
      </c>
      <c r="L39" s="212">
        <f>E39*Prices!B$2</f>
        <v>151800</v>
      </c>
      <c r="M39" s="212">
        <f>F39*Prices!C$2</f>
        <v>0</v>
      </c>
      <c r="N39" s="212">
        <f>G39*Prices!D$2</f>
        <v>0</v>
      </c>
      <c r="O39" s="212">
        <f>H39*Prices!E$2</f>
        <v>0</v>
      </c>
      <c r="P39" s="212">
        <f t="shared" si="10"/>
        <v>13320</v>
      </c>
      <c r="Q39" s="212">
        <f>D39*Prices!$A$2</f>
        <v>134678.25</v>
      </c>
      <c r="R39" s="212">
        <f t="shared" si="4"/>
        <v>151800</v>
      </c>
      <c r="S39" s="212">
        <f t="shared" si="5"/>
        <v>299798.25</v>
      </c>
      <c r="T39" s="212">
        <f t="shared" si="6"/>
        <v>246668.25</v>
      </c>
      <c r="U39" s="212">
        <f t="shared" si="7"/>
        <v>53130</v>
      </c>
      <c r="V39" s="213">
        <f>((D39*0.6)/11.664)*Prices!$A$4+E39*38000+F39*51900+G39*60900</f>
        <v>173532.5926</v>
      </c>
      <c r="W39" s="90"/>
      <c r="X39" s="90"/>
      <c r="Y39" s="90"/>
      <c r="Z39" s="90"/>
    </row>
    <row r="40">
      <c r="A40" s="90" t="s">
        <v>134</v>
      </c>
      <c r="B40" s="90">
        <v>15.692</v>
      </c>
      <c r="C40" s="115">
        <f t="shared" si="1"/>
        <v>3.923</v>
      </c>
      <c r="D40" s="115">
        <f t="shared" si="2"/>
        <v>19.615</v>
      </c>
      <c r="E40" s="90">
        <v>2.38</v>
      </c>
      <c r="F40" s="90"/>
      <c r="G40" s="90"/>
      <c r="H40" s="90"/>
      <c r="I40" s="90"/>
      <c r="J40" s="90"/>
      <c r="K40" s="90">
        <f>11.78+5.68</f>
        <v>17.46</v>
      </c>
      <c r="L40" s="212">
        <f>E40*Prices!B$2</f>
        <v>261800</v>
      </c>
      <c r="M40" s="212">
        <f>F40*Prices!C$2</f>
        <v>0</v>
      </c>
      <c r="N40" s="212">
        <f>G40*Prices!D$2</f>
        <v>0</v>
      </c>
      <c r="O40" s="212">
        <f>H40*Prices!E$2</f>
        <v>0</v>
      </c>
      <c r="P40" s="212">
        <f t="shared" si="10"/>
        <v>52380</v>
      </c>
      <c r="Q40" s="212">
        <f>D40*Prices!$A$2</f>
        <v>350127.75</v>
      </c>
      <c r="R40" s="212">
        <f t="shared" si="4"/>
        <v>261800</v>
      </c>
      <c r="S40" s="212">
        <f t="shared" si="5"/>
        <v>664307.75</v>
      </c>
      <c r="T40" s="212">
        <f t="shared" si="6"/>
        <v>572677.75</v>
      </c>
      <c r="U40" s="212">
        <f t="shared" si="7"/>
        <v>91630</v>
      </c>
      <c r="V40" s="213">
        <f>((D40*0.6)/11.664)*Prices!$A$4+E40*38000+F40*51900+G40*60900</f>
        <v>405248.642</v>
      </c>
      <c r="W40" s="90"/>
      <c r="X40" s="90"/>
      <c r="Y40" s="90"/>
      <c r="Z40" s="90"/>
    </row>
    <row r="41">
      <c r="A41" s="90" t="s">
        <v>135</v>
      </c>
      <c r="B41" s="90">
        <v>5.94</v>
      </c>
      <c r="C41" s="115">
        <f t="shared" si="1"/>
        <v>1.485</v>
      </c>
      <c r="D41" s="115">
        <f t="shared" si="2"/>
        <v>7.425</v>
      </c>
      <c r="E41" s="90">
        <v>0.49</v>
      </c>
      <c r="F41" s="90"/>
      <c r="G41" s="90"/>
      <c r="H41" s="90"/>
      <c r="I41" s="90"/>
      <c r="J41" s="90"/>
      <c r="K41" s="90">
        <f>6.32+3.44</f>
        <v>9.76</v>
      </c>
      <c r="L41" s="212">
        <f>E41*Prices!B$2</f>
        <v>53900</v>
      </c>
      <c r="M41" s="212">
        <f>F41*Prices!C$2</f>
        <v>0</v>
      </c>
      <c r="N41" s="212">
        <f>G41*Prices!D$2</f>
        <v>0</v>
      </c>
      <c r="O41" s="212">
        <f>H41*Prices!E$2</f>
        <v>0</v>
      </c>
      <c r="P41" s="212">
        <f t="shared" si="10"/>
        <v>29280</v>
      </c>
      <c r="Q41" s="212">
        <f>D41*Prices!$A$2</f>
        <v>132536.25</v>
      </c>
      <c r="R41" s="212">
        <f t="shared" si="4"/>
        <v>53900</v>
      </c>
      <c r="S41" s="212">
        <f t="shared" si="5"/>
        <v>215716.25</v>
      </c>
      <c r="T41" s="212">
        <f t="shared" si="6"/>
        <v>196851.25</v>
      </c>
      <c r="U41" s="212">
        <f t="shared" si="7"/>
        <v>18865</v>
      </c>
      <c r="V41" s="213">
        <f>((D41*0.6)/11.664)*Prices!$A$4+E41*38000+F41*51900+G41*60900</f>
        <v>137786.6667</v>
      </c>
      <c r="W41" s="90"/>
      <c r="X41" s="90"/>
      <c r="Y41" s="90"/>
      <c r="Z41" s="90"/>
    </row>
    <row r="42">
      <c r="A42" s="90" t="s">
        <v>136</v>
      </c>
      <c r="B42" s="90">
        <v>8.904</v>
      </c>
      <c r="C42" s="115">
        <f t="shared" si="1"/>
        <v>2.226</v>
      </c>
      <c r="D42" s="115">
        <f t="shared" si="2"/>
        <v>11.13</v>
      </c>
      <c r="E42" s="90">
        <v>2.97</v>
      </c>
      <c r="F42" s="90"/>
      <c r="G42" s="90"/>
      <c r="H42" s="90"/>
      <c r="I42" s="90"/>
      <c r="J42" s="90"/>
      <c r="K42" s="90">
        <v>7.66</v>
      </c>
      <c r="L42" s="212">
        <f>E42*Prices!B$2</f>
        <v>326700</v>
      </c>
      <c r="M42" s="212">
        <f>F42*Prices!C$2</f>
        <v>0</v>
      </c>
      <c r="N42" s="212">
        <f>G42*Prices!D$2</f>
        <v>0</v>
      </c>
      <c r="O42" s="212">
        <f>H42*Prices!E$2</f>
        <v>0</v>
      </c>
      <c r="P42" s="212">
        <f t="shared" si="10"/>
        <v>22980</v>
      </c>
      <c r="Q42" s="212">
        <f>D42*Prices!$A$2</f>
        <v>198670.5</v>
      </c>
      <c r="R42" s="212">
        <f t="shared" si="4"/>
        <v>326700</v>
      </c>
      <c r="S42" s="212">
        <f t="shared" si="5"/>
        <v>548350.5</v>
      </c>
      <c r="T42" s="212">
        <f t="shared" si="6"/>
        <v>434005.5</v>
      </c>
      <c r="U42" s="212">
        <f t="shared" si="7"/>
        <v>114345</v>
      </c>
      <c r="V42" s="213">
        <f>((D42*0.6)/11.664)*Prices!$A$4+E42*38000+F42*51900+G42*60900</f>
        <v>291489.6296</v>
      </c>
      <c r="W42" s="90"/>
      <c r="X42" s="90"/>
      <c r="Y42" s="90"/>
      <c r="Z42" s="90"/>
    </row>
    <row r="43">
      <c r="A43" s="90" t="s">
        <v>137</v>
      </c>
      <c r="B43" s="90">
        <v>11.13</v>
      </c>
      <c r="C43" s="115">
        <f t="shared" si="1"/>
        <v>2.7825</v>
      </c>
      <c r="D43" s="115">
        <f t="shared" si="2"/>
        <v>13.9125</v>
      </c>
      <c r="E43" s="90">
        <v>2.8</v>
      </c>
      <c r="F43" s="90"/>
      <c r="G43" s="90"/>
      <c r="H43" s="90"/>
      <c r="I43" s="90"/>
      <c r="J43" s="90"/>
      <c r="K43" s="90">
        <v>7.1</v>
      </c>
      <c r="L43" s="212">
        <f>E43*Prices!B$2</f>
        <v>308000</v>
      </c>
      <c r="M43" s="212">
        <f>F43*Prices!C$2</f>
        <v>0</v>
      </c>
      <c r="N43" s="212">
        <f>G43*Prices!D$2</f>
        <v>0</v>
      </c>
      <c r="O43" s="212">
        <f>H43*Prices!E$2</f>
        <v>0</v>
      </c>
      <c r="P43" s="212">
        <f t="shared" si="10"/>
        <v>21300</v>
      </c>
      <c r="Q43" s="212">
        <f>D43*Prices!$A$2</f>
        <v>248338.125</v>
      </c>
      <c r="R43" s="212">
        <f t="shared" si="4"/>
        <v>308000</v>
      </c>
      <c r="S43" s="212">
        <f t="shared" si="5"/>
        <v>577638.125</v>
      </c>
      <c r="T43" s="212">
        <f t="shared" si="6"/>
        <v>469838.125</v>
      </c>
      <c r="U43" s="212">
        <f t="shared" si="7"/>
        <v>107800</v>
      </c>
      <c r="V43" s="213">
        <f>((D43*0.6)/11.664)*Prices!$A$4+E43*38000+F43*51900+G43*60900</f>
        <v>329687.037</v>
      </c>
      <c r="W43" s="90"/>
      <c r="X43" s="90"/>
      <c r="Y43" s="90"/>
      <c r="Z43" s="90"/>
    </row>
    <row r="44">
      <c r="A44" s="90" t="s">
        <v>138</v>
      </c>
      <c r="B44" s="90">
        <v>6.046</v>
      </c>
      <c r="C44" s="115">
        <f t="shared" si="1"/>
        <v>1.5115</v>
      </c>
      <c r="D44" s="115">
        <f t="shared" si="2"/>
        <v>7.5575</v>
      </c>
      <c r="E44" s="90">
        <v>1.21</v>
      </c>
      <c r="F44" s="90"/>
      <c r="G44" s="90"/>
      <c r="H44" s="90"/>
      <c r="I44" s="90"/>
      <c r="J44" s="90"/>
      <c r="K44" s="90">
        <f>2.51+1.65</f>
        <v>4.16</v>
      </c>
      <c r="L44" s="212">
        <f>E44*Prices!B$2</f>
        <v>133100</v>
      </c>
      <c r="M44" s="212">
        <f>F44*Prices!C$2</f>
        <v>0</v>
      </c>
      <c r="N44" s="212">
        <f>G44*Prices!D$2</f>
        <v>0</v>
      </c>
      <c r="O44" s="212">
        <f>H44*Prices!E$2</f>
        <v>0</v>
      </c>
      <c r="P44" s="212">
        <f t="shared" si="10"/>
        <v>12480</v>
      </c>
      <c r="Q44" s="212">
        <f>D44*Prices!$A$2</f>
        <v>134901.375</v>
      </c>
      <c r="R44" s="212">
        <f t="shared" si="4"/>
        <v>133100</v>
      </c>
      <c r="S44" s="212">
        <f t="shared" si="5"/>
        <v>280481.375</v>
      </c>
      <c r="T44" s="212">
        <f t="shared" si="6"/>
        <v>233896.375</v>
      </c>
      <c r="U44" s="212">
        <f t="shared" si="7"/>
        <v>46585</v>
      </c>
      <c r="V44" s="213">
        <f>((D44*0.6)/11.664)*Prices!$A$4+E44*38000+F44*51900+G44*60900</f>
        <v>167273.2099</v>
      </c>
      <c r="W44" s="90"/>
      <c r="X44" s="90"/>
      <c r="Y44" s="90"/>
      <c r="Z44" s="90"/>
    </row>
    <row r="45">
      <c r="A45" s="90" t="s">
        <v>139</v>
      </c>
      <c r="B45" s="90">
        <v>7.342</v>
      </c>
      <c r="C45" s="115">
        <f t="shared" si="1"/>
        <v>1.8355</v>
      </c>
      <c r="D45" s="115">
        <f t="shared" si="2"/>
        <v>9.1775</v>
      </c>
      <c r="E45" s="90">
        <v>0.89</v>
      </c>
      <c r="F45" s="90"/>
      <c r="G45" s="90"/>
      <c r="H45" s="90"/>
      <c r="I45" s="90"/>
      <c r="J45" s="90"/>
      <c r="K45" s="90">
        <f>2.87+5.18</f>
        <v>8.05</v>
      </c>
      <c r="L45" s="212">
        <f>E45*Prices!B$2</f>
        <v>97900</v>
      </c>
      <c r="M45" s="212">
        <f>F45*Prices!C$2</f>
        <v>0</v>
      </c>
      <c r="N45" s="212">
        <f>G45*Prices!D$2</f>
        <v>0</v>
      </c>
      <c r="O45" s="212">
        <f>H45*Prices!E$2</f>
        <v>0</v>
      </c>
      <c r="P45" s="212">
        <f t="shared" si="10"/>
        <v>24150</v>
      </c>
      <c r="Q45" s="212">
        <f>D45*Prices!$A$2</f>
        <v>163818.375</v>
      </c>
      <c r="R45" s="212">
        <f t="shared" si="4"/>
        <v>97900</v>
      </c>
      <c r="S45" s="212">
        <f t="shared" si="5"/>
        <v>285868.375</v>
      </c>
      <c r="T45" s="212">
        <f t="shared" si="6"/>
        <v>251603.375</v>
      </c>
      <c r="U45" s="212">
        <f t="shared" si="7"/>
        <v>34265</v>
      </c>
      <c r="V45" s="213">
        <f>((D45*0.6)/11.664)*Prices!$A$4+E45*38000+F45*51900+G45*60900</f>
        <v>181113.2099</v>
      </c>
      <c r="W45" s="90"/>
      <c r="X45" s="90"/>
      <c r="Y45" s="90"/>
      <c r="Z45" s="90"/>
    </row>
    <row r="46">
      <c r="A46" s="90" t="s">
        <v>140</v>
      </c>
      <c r="B46" s="90">
        <v>11.382</v>
      </c>
      <c r="C46" s="115">
        <f t="shared" si="1"/>
        <v>2.8455</v>
      </c>
      <c r="D46" s="115">
        <f t="shared" si="2"/>
        <v>14.2275</v>
      </c>
      <c r="E46" s="90">
        <v>2.15</v>
      </c>
      <c r="F46" s="90"/>
      <c r="G46" s="90"/>
      <c r="H46" s="90"/>
      <c r="I46" s="90"/>
      <c r="J46" s="90"/>
      <c r="K46" s="90">
        <f>5.4+6.49</f>
        <v>11.89</v>
      </c>
      <c r="L46" s="212">
        <f>E46*Prices!B$2</f>
        <v>236500</v>
      </c>
      <c r="M46" s="212">
        <f>F46*Prices!C$2</f>
        <v>0</v>
      </c>
      <c r="N46" s="212">
        <f>G46*Prices!D$2</f>
        <v>0</v>
      </c>
      <c r="O46" s="212">
        <f>H46*Prices!E$2</f>
        <v>0</v>
      </c>
      <c r="P46" s="212">
        <f t="shared" si="10"/>
        <v>35670</v>
      </c>
      <c r="Q46" s="212">
        <f>D46*Prices!$A$2</f>
        <v>253960.875</v>
      </c>
      <c r="R46" s="212">
        <f t="shared" si="4"/>
        <v>236500</v>
      </c>
      <c r="S46" s="212">
        <f t="shared" si="5"/>
        <v>526130.875</v>
      </c>
      <c r="T46" s="212">
        <f t="shared" si="6"/>
        <v>443355.875</v>
      </c>
      <c r="U46" s="212">
        <f t="shared" si="7"/>
        <v>82775</v>
      </c>
      <c r="V46" s="213">
        <f>((D46*0.6)/11.664)*Prices!$A$4+E46*38000+F46*51900+G46*60900</f>
        <v>310042.5926</v>
      </c>
      <c r="W46" s="90"/>
      <c r="X46" s="90"/>
      <c r="Y46" s="90"/>
      <c r="Z46" s="90"/>
    </row>
    <row r="47">
      <c r="A47" s="90" t="s">
        <v>138</v>
      </c>
      <c r="B47" s="90">
        <v>6.046</v>
      </c>
      <c r="C47" s="115">
        <f t="shared" si="1"/>
        <v>1.5115</v>
      </c>
      <c r="D47" s="115">
        <f t="shared" si="2"/>
        <v>7.5575</v>
      </c>
      <c r="E47" s="90">
        <v>1.21</v>
      </c>
      <c r="F47" s="90"/>
      <c r="G47" s="90"/>
      <c r="H47" s="90"/>
      <c r="I47" s="90"/>
      <c r="J47" s="90"/>
      <c r="K47" s="90">
        <f>2.51+1.67</f>
        <v>4.18</v>
      </c>
      <c r="L47" s="212">
        <f>E47*Prices!B$2</f>
        <v>133100</v>
      </c>
      <c r="M47" s="212">
        <f>F47*Prices!C$2</f>
        <v>0</v>
      </c>
      <c r="N47" s="212">
        <f>G47*Prices!D$2</f>
        <v>0</v>
      </c>
      <c r="O47" s="212">
        <f>H47*Prices!E$2</f>
        <v>0</v>
      </c>
      <c r="P47" s="212">
        <f t="shared" si="10"/>
        <v>12540</v>
      </c>
      <c r="Q47" s="212">
        <f>D47*Prices!$A$2</f>
        <v>134901.375</v>
      </c>
      <c r="R47" s="212">
        <f t="shared" si="4"/>
        <v>133100</v>
      </c>
      <c r="S47" s="212">
        <f t="shared" si="5"/>
        <v>280541.375</v>
      </c>
      <c r="T47" s="212">
        <f t="shared" si="6"/>
        <v>233956.375</v>
      </c>
      <c r="U47" s="212">
        <f t="shared" si="7"/>
        <v>46585</v>
      </c>
      <c r="V47" s="213">
        <f>((D47*0.6)/11.664)*Prices!$A$4+E47*38000+F47*51900+G47*60900</f>
        <v>167273.2099</v>
      </c>
      <c r="W47" s="90"/>
      <c r="X47" s="90"/>
      <c r="Y47" s="90"/>
      <c r="Z47" s="90"/>
    </row>
    <row r="48">
      <c r="A48" s="90" t="s">
        <v>135</v>
      </c>
      <c r="B48" s="90">
        <v>5.94</v>
      </c>
      <c r="C48" s="115">
        <f t="shared" si="1"/>
        <v>1.485</v>
      </c>
      <c r="D48" s="115">
        <f t="shared" si="2"/>
        <v>7.425</v>
      </c>
      <c r="E48" s="90">
        <v>0.49</v>
      </c>
      <c r="F48" s="90"/>
      <c r="G48" s="90"/>
      <c r="H48" s="90"/>
      <c r="I48" s="90"/>
      <c r="J48" s="90"/>
      <c r="K48" s="90">
        <f>3.44+6.32</f>
        <v>9.76</v>
      </c>
      <c r="L48" s="212">
        <f>E48*Prices!B$2</f>
        <v>53900</v>
      </c>
      <c r="M48" s="212">
        <f>F48*Prices!C$2</f>
        <v>0</v>
      </c>
      <c r="N48" s="212">
        <f>G48*Prices!D$2</f>
        <v>0</v>
      </c>
      <c r="O48" s="212">
        <f>H48*Prices!E$2</f>
        <v>0</v>
      </c>
      <c r="P48" s="212">
        <f t="shared" si="10"/>
        <v>29280</v>
      </c>
      <c r="Q48" s="212">
        <f>D48*Prices!$A$2</f>
        <v>132536.25</v>
      </c>
      <c r="R48" s="212">
        <f t="shared" si="4"/>
        <v>53900</v>
      </c>
      <c r="S48" s="212">
        <f t="shared" si="5"/>
        <v>215716.25</v>
      </c>
      <c r="T48" s="212">
        <f t="shared" si="6"/>
        <v>196851.25</v>
      </c>
      <c r="U48" s="212">
        <f t="shared" si="7"/>
        <v>18865</v>
      </c>
      <c r="V48" s="213">
        <f>((D48*0.6)/11.664)*Prices!$A$4+E48*38000+F48*51900+G48*60900</f>
        <v>137786.6667</v>
      </c>
      <c r="W48" s="90"/>
      <c r="X48" s="90"/>
      <c r="Y48" s="90"/>
      <c r="Z48" s="90"/>
    </row>
    <row r="49">
      <c r="A49" s="90" t="s">
        <v>129</v>
      </c>
      <c r="B49" s="90">
        <v>3.744</v>
      </c>
      <c r="C49" s="115">
        <f t="shared" si="1"/>
        <v>0.936</v>
      </c>
      <c r="D49" s="115">
        <f t="shared" si="2"/>
        <v>4.68</v>
      </c>
      <c r="E49" s="90">
        <v>0.89</v>
      </c>
      <c r="F49" s="90"/>
      <c r="G49" s="90"/>
      <c r="H49" s="90"/>
      <c r="I49" s="90"/>
      <c r="J49" s="90"/>
      <c r="K49" s="90">
        <v>4.04</v>
      </c>
      <c r="L49" s="212">
        <f>E49*Prices!B$2</f>
        <v>97900</v>
      </c>
      <c r="M49" s="212">
        <f>F49*Prices!C$2</f>
        <v>0</v>
      </c>
      <c r="N49" s="212">
        <f>G49*Prices!D$2</f>
        <v>0</v>
      </c>
      <c r="O49" s="212">
        <f>H49*Prices!E$2</f>
        <v>0</v>
      </c>
      <c r="P49" s="212">
        <f t="shared" ref="P49:P100" si="11">I49*5000+J49*8000+K49*1800</f>
        <v>7272</v>
      </c>
      <c r="Q49" s="212">
        <f>D49*Prices!$A$2</f>
        <v>83538</v>
      </c>
      <c r="R49" s="212">
        <f t="shared" si="4"/>
        <v>97900</v>
      </c>
      <c r="S49" s="212">
        <f t="shared" si="5"/>
        <v>188710</v>
      </c>
      <c r="T49" s="212">
        <f t="shared" si="6"/>
        <v>154445</v>
      </c>
      <c r="U49" s="212">
        <f t="shared" si="7"/>
        <v>34265</v>
      </c>
      <c r="V49" s="213">
        <f>((D49*0.6)/11.664)*Prices!$A$4+E49*38000+F49*51900+G49*60900</f>
        <v>108931.1111</v>
      </c>
      <c r="W49" s="90"/>
      <c r="X49" s="90"/>
      <c r="Y49" s="90"/>
      <c r="Z49" s="90"/>
    </row>
    <row r="50">
      <c r="A50" s="90" t="s">
        <v>128</v>
      </c>
      <c r="B50" s="90">
        <v>3.786</v>
      </c>
      <c r="C50" s="115">
        <f t="shared" si="1"/>
        <v>0.9465</v>
      </c>
      <c r="D50" s="115">
        <f t="shared" si="2"/>
        <v>4.7325</v>
      </c>
      <c r="E50" s="90">
        <v>0.9</v>
      </c>
      <c r="F50" s="90"/>
      <c r="G50" s="90"/>
      <c r="H50" s="90"/>
      <c r="I50" s="90"/>
      <c r="J50" s="90"/>
      <c r="K50" s="90">
        <v>3.97</v>
      </c>
      <c r="L50" s="212">
        <f>E50*Prices!B$2</f>
        <v>99000</v>
      </c>
      <c r="M50" s="212">
        <f>F50*Prices!C$2</f>
        <v>0</v>
      </c>
      <c r="N50" s="212">
        <f>G50*Prices!D$2</f>
        <v>0</v>
      </c>
      <c r="O50" s="212">
        <f>H50*Prices!E$2</f>
        <v>0</v>
      </c>
      <c r="P50" s="212">
        <f t="shared" si="11"/>
        <v>7146</v>
      </c>
      <c r="Q50" s="212">
        <f>D50*Prices!$A$2</f>
        <v>84475.125</v>
      </c>
      <c r="R50" s="212">
        <f t="shared" si="4"/>
        <v>99000</v>
      </c>
      <c r="S50" s="212">
        <f t="shared" si="5"/>
        <v>190621.125</v>
      </c>
      <c r="T50" s="212">
        <f t="shared" si="6"/>
        <v>155971.125</v>
      </c>
      <c r="U50" s="212">
        <f t="shared" si="7"/>
        <v>34650</v>
      </c>
      <c r="V50" s="213">
        <f>((D50*0.6)/11.664)*Prices!$A$4+E50*38000+F50*51900+G50*60900</f>
        <v>110153.7037</v>
      </c>
      <c r="W50" s="90"/>
      <c r="X50" s="90"/>
      <c r="Y50" s="90"/>
      <c r="Z50" s="90"/>
    </row>
    <row r="51">
      <c r="A51" s="90" t="s">
        <v>130</v>
      </c>
      <c r="B51" s="90">
        <v>6.76</v>
      </c>
      <c r="C51" s="115">
        <f t="shared" si="1"/>
        <v>1.69</v>
      </c>
      <c r="D51" s="115">
        <f t="shared" si="2"/>
        <v>8.45</v>
      </c>
      <c r="E51" s="90">
        <v>0.35</v>
      </c>
      <c r="F51" s="90"/>
      <c r="G51" s="90"/>
      <c r="H51" s="90"/>
      <c r="I51" s="90"/>
      <c r="J51" s="90"/>
      <c r="K51" s="90">
        <v>7.85</v>
      </c>
      <c r="L51" s="212">
        <f>E51*Prices!B$2</f>
        <v>38500</v>
      </c>
      <c r="M51" s="212">
        <f>F51*Prices!C$2</f>
        <v>0</v>
      </c>
      <c r="N51" s="212">
        <f>G51*Prices!D$2</f>
        <v>0</v>
      </c>
      <c r="O51" s="212">
        <f>H51*Prices!E$2</f>
        <v>0</v>
      </c>
      <c r="P51" s="212">
        <f t="shared" si="11"/>
        <v>14130</v>
      </c>
      <c r="Q51" s="212">
        <f>D51*Prices!$A$2</f>
        <v>150832.5</v>
      </c>
      <c r="R51" s="212">
        <f t="shared" si="4"/>
        <v>38500</v>
      </c>
      <c r="S51" s="212">
        <f t="shared" si="5"/>
        <v>203462.5</v>
      </c>
      <c r="T51" s="212">
        <f t="shared" si="6"/>
        <v>189987.5</v>
      </c>
      <c r="U51" s="212">
        <f t="shared" si="7"/>
        <v>13475</v>
      </c>
      <c r="V51" s="213">
        <f>((D51*0.6)/11.664)*Prices!$A$4+E51*38000+F51*51900+G51*60900</f>
        <v>148917.284</v>
      </c>
      <c r="W51" s="90"/>
      <c r="X51" s="90"/>
      <c r="Y51" s="90"/>
      <c r="Z51" s="90"/>
    </row>
    <row r="52">
      <c r="A52" s="90" t="s">
        <v>131</v>
      </c>
      <c r="B52" s="90">
        <v>18.278</v>
      </c>
      <c r="C52" s="115">
        <f t="shared" si="1"/>
        <v>4.5695</v>
      </c>
      <c r="D52" s="90">
        <f t="shared" si="2"/>
        <v>22.8475</v>
      </c>
      <c r="E52" s="90">
        <v>4.06</v>
      </c>
      <c r="F52" s="90"/>
      <c r="G52" s="90"/>
      <c r="H52" s="90"/>
      <c r="I52" s="90"/>
      <c r="J52" s="90"/>
      <c r="K52" s="90">
        <v>16.3</v>
      </c>
      <c r="L52" s="212">
        <f>E52*Prices!B$2</f>
        <v>446600</v>
      </c>
      <c r="M52" s="212">
        <f>F52*Prices!C$2</f>
        <v>0</v>
      </c>
      <c r="N52" s="212">
        <f>G52*Prices!D$2</f>
        <v>0</v>
      </c>
      <c r="O52" s="212">
        <f>H52*Prices!E$2</f>
        <v>0</v>
      </c>
      <c r="P52" s="212">
        <f t="shared" si="11"/>
        <v>29340</v>
      </c>
      <c r="Q52" s="212">
        <f>D52*Prices!$A$2</f>
        <v>407827.875</v>
      </c>
      <c r="R52" s="212">
        <f t="shared" si="4"/>
        <v>446600</v>
      </c>
      <c r="S52" s="212">
        <f t="shared" si="5"/>
        <v>883767.875</v>
      </c>
      <c r="T52" s="212">
        <f t="shared" si="6"/>
        <v>727457.875</v>
      </c>
      <c r="U52" s="212">
        <f t="shared" si="7"/>
        <v>156310</v>
      </c>
      <c r="V52" s="213">
        <f>((D52*0.6)/11.664)*Prices!$A$4+E52*38000+F52*51900+G52*60900</f>
        <v>520968.2716</v>
      </c>
      <c r="W52" s="90"/>
      <c r="X52" s="90"/>
      <c r="Y52" s="90"/>
      <c r="Z52" s="90"/>
    </row>
    <row r="53">
      <c r="A53" s="90" t="s">
        <v>132</v>
      </c>
      <c r="B53" s="90">
        <v>13.728</v>
      </c>
      <c r="C53" s="115">
        <f t="shared" si="1"/>
        <v>3.432</v>
      </c>
      <c r="D53" s="90">
        <f t="shared" si="2"/>
        <v>17.16</v>
      </c>
      <c r="E53" s="90">
        <v>0.28</v>
      </c>
      <c r="F53" s="90">
        <v>1.65</v>
      </c>
      <c r="G53" s="90"/>
      <c r="H53" s="90"/>
      <c r="I53" s="90"/>
      <c r="J53" s="90"/>
      <c r="K53" s="90">
        <f>5.06+43.47</f>
        <v>48.53</v>
      </c>
      <c r="L53" s="212">
        <f>E53*Prices!B$2</f>
        <v>30800</v>
      </c>
      <c r="M53" s="212">
        <f>F53*Prices!C$2</f>
        <v>264000</v>
      </c>
      <c r="N53" s="212">
        <f>G53*Prices!D$2</f>
        <v>0</v>
      </c>
      <c r="O53" s="212">
        <f>H53*Prices!E$2</f>
        <v>0</v>
      </c>
      <c r="P53" s="212">
        <f t="shared" si="11"/>
        <v>87354</v>
      </c>
      <c r="Q53" s="212">
        <f>D53*Prices!$A$2</f>
        <v>306306</v>
      </c>
      <c r="R53" s="212">
        <f t="shared" si="4"/>
        <v>294800</v>
      </c>
      <c r="S53" s="212">
        <f t="shared" si="5"/>
        <v>688460</v>
      </c>
      <c r="T53" s="212">
        <f t="shared" si="6"/>
        <v>585280</v>
      </c>
      <c r="U53" s="212">
        <f t="shared" si="7"/>
        <v>103180</v>
      </c>
      <c r="V53" s="213">
        <f>((D53*0.6)/11.664)*Prices!$A$4+E53*38000+F53*51900+G53*60900</f>
        <v>371682.4074</v>
      </c>
      <c r="W53" s="90"/>
      <c r="X53" s="90"/>
      <c r="Y53" s="90"/>
      <c r="Z53" s="90"/>
    </row>
    <row r="54">
      <c r="A54" s="90" t="s">
        <v>133</v>
      </c>
      <c r="B54" s="90">
        <v>6.036</v>
      </c>
      <c r="C54" s="115">
        <f t="shared" si="1"/>
        <v>1.509</v>
      </c>
      <c r="D54" s="90">
        <f t="shared" si="2"/>
        <v>7.545</v>
      </c>
      <c r="E54" s="90">
        <v>1.38</v>
      </c>
      <c r="F54" s="90"/>
      <c r="G54" s="90"/>
      <c r="H54" s="90"/>
      <c r="I54" s="90"/>
      <c r="J54" s="90"/>
      <c r="K54" s="90">
        <v>4.44</v>
      </c>
      <c r="L54" s="212">
        <f>E54*Prices!B$2</f>
        <v>151800</v>
      </c>
      <c r="M54" s="212">
        <f>F54*Prices!C$2</f>
        <v>0</v>
      </c>
      <c r="N54" s="212">
        <f>G54*Prices!D$2</f>
        <v>0</v>
      </c>
      <c r="O54" s="212">
        <f>H54*Prices!E$2</f>
        <v>0</v>
      </c>
      <c r="P54" s="212">
        <f t="shared" si="11"/>
        <v>7992</v>
      </c>
      <c r="Q54" s="212">
        <f>D54*Prices!$A$2</f>
        <v>134678.25</v>
      </c>
      <c r="R54" s="212">
        <f t="shared" si="4"/>
        <v>151800</v>
      </c>
      <c r="S54" s="212">
        <f t="shared" si="5"/>
        <v>294470.25</v>
      </c>
      <c r="T54" s="212">
        <f t="shared" si="6"/>
        <v>241340.25</v>
      </c>
      <c r="U54" s="212">
        <f t="shared" si="7"/>
        <v>53130</v>
      </c>
      <c r="V54" s="213">
        <f>((D54*0.6)/11.664)*Prices!$A$4+E54*38000+F54*51900+G54*60900</f>
        <v>173532.5926</v>
      </c>
      <c r="W54" s="90"/>
      <c r="X54" s="90"/>
      <c r="Y54" s="90"/>
      <c r="Z54" s="90"/>
    </row>
    <row r="55">
      <c r="A55" s="90" t="s">
        <v>134</v>
      </c>
      <c r="B55" s="90">
        <v>15.692</v>
      </c>
      <c r="C55" s="115">
        <f t="shared" si="1"/>
        <v>3.923</v>
      </c>
      <c r="D55" s="90">
        <f t="shared" si="2"/>
        <v>19.615</v>
      </c>
      <c r="E55" s="90">
        <v>2.38</v>
      </c>
      <c r="F55" s="90"/>
      <c r="G55" s="90"/>
      <c r="H55" s="90"/>
      <c r="I55" s="90"/>
      <c r="J55" s="90"/>
      <c r="K55" s="90">
        <f>5.68+11.78</f>
        <v>17.46</v>
      </c>
      <c r="L55" s="212">
        <f>E55*Prices!B$2</f>
        <v>261800</v>
      </c>
      <c r="M55" s="212">
        <f>F55*Prices!C$2</f>
        <v>0</v>
      </c>
      <c r="N55" s="212">
        <f>G55*Prices!D$2</f>
        <v>0</v>
      </c>
      <c r="O55" s="212">
        <f>H55*Prices!E$2</f>
        <v>0</v>
      </c>
      <c r="P55" s="212">
        <f t="shared" si="11"/>
        <v>31428</v>
      </c>
      <c r="Q55" s="212">
        <f>D55*Prices!$A$2</f>
        <v>350127.75</v>
      </c>
      <c r="R55" s="212">
        <f t="shared" si="4"/>
        <v>261800</v>
      </c>
      <c r="S55" s="212">
        <f t="shared" si="5"/>
        <v>643355.75</v>
      </c>
      <c r="T55" s="212">
        <f t="shared" si="6"/>
        <v>551725.75</v>
      </c>
      <c r="U55" s="212">
        <f t="shared" si="7"/>
        <v>91630</v>
      </c>
      <c r="V55" s="213">
        <f>((D55*0.6)/11.664)*Prices!$A$4+E55*38000+F55*51900+G55*60900</f>
        <v>405248.642</v>
      </c>
      <c r="W55" s="90"/>
      <c r="X55" s="90"/>
      <c r="Y55" s="90"/>
      <c r="Z55" s="90"/>
    </row>
    <row r="56">
      <c r="A56" s="90" t="s">
        <v>136</v>
      </c>
      <c r="B56" s="90">
        <v>8.904</v>
      </c>
      <c r="C56" s="115">
        <f t="shared" si="1"/>
        <v>2.226</v>
      </c>
      <c r="D56" s="90">
        <f t="shared" si="2"/>
        <v>11.13</v>
      </c>
      <c r="E56" s="90">
        <v>2.97</v>
      </c>
      <c r="F56" s="90"/>
      <c r="G56" s="90"/>
      <c r="H56" s="90"/>
      <c r="I56" s="90"/>
      <c r="J56" s="90"/>
      <c r="K56" s="90">
        <v>7.66</v>
      </c>
      <c r="L56" s="212">
        <f>E56*Prices!B$2</f>
        <v>326700</v>
      </c>
      <c r="M56" s="212">
        <f>F56*Prices!C$2</f>
        <v>0</v>
      </c>
      <c r="N56" s="212">
        <f>G56*Prices!D$2</f>
        <v>0</v>
      </c>
      <c r="O56" s="212">
        <f>H56*Prices!E$2</f>
        <v>0</v>
      </c>
      <c r="P56" s="212">
        <f t="shared" si="11"/>
        <v>13788</v>
      </c>
      <c r="Q56" s="212">
        <f>D56*Prices!$A$2</f>
        <v>198670.5</v>
      </c>
      <c r="R56" s="212">
        <f t="shared" si="4"/>
        <v>326700</v>
      </c>
      <c r="S56" s="212">
        <f t="shared" si="5"/>
        <v>539158.5</v>
      </c>
      <c r="T56" s="212">
        <f t="shared" si="6"/>
        <v>424813.5</v>
      </c>
      <c r="U56" s="212">
        <f t="shared" si="7"/>
        <v>114345</v>
      </c>
      <c r="V56" s="213">
        <f>((D56*0.6)/11.664)*Prices!$A$4+E56*38000+F56*51900+G56*60900</f>
        <v>291489.6296</v>
      </c>
      <c r="W56" s="90"/>
      <c r="X56" s="90"/>
      <c r="Y56" s="90"/>
      <c r="Z56" s="90"/>
    </row>
    <row r="57">
      <c r="A57" s="90" t="s">
        <v>137</v>
      </c>
      <c r="B57" s="90">
        <v>11.13</v>
      </c>
      <c r="C57" s="115">
        <f t="shared" si="1"/>
        <v>2.7825</v>
      </c>
      <c r="D57" s="90">
        <f t="shared" si="2"/>
        <v>13.9125</v>
      </c>
      <c r="E57" s="90">
        <v>2.8</v>
      </c>
      <c r="F57" s="90"/>
      <c r="G57" s="90"/>
      <c r="H57" s="90"/>
      <c r="I57" s="90"/>
      <c r="J57" s="90"/>
      <c r="K57" s="90">
        <v>7.1</v>
      </c>
      <c r="L57" s="212">
        <f>E57*Prices!B$2</f>
        <v>308000</v>
      </c>
      <c r="M57" s="212">
        <f>F57*Prices!C$2</f>
        <v>0</v>
      </c>
      <c r="N57" s="212">
        <f>G57*Prices!D$2</f>
        <v>0</v>
      </c>
      <c r="O57" s="212">
        <f>H57*Prices!E$2</f>
        <v>0</v>
      </c>
      <c r="P57" s="212">
        <f t="shared" si="11"/>
        <v>12780</v>
      </c>
      <c r="Q57" s="212">
        <f>D57*Prices!$A$2</f>
        <v>248338.125</v>
      </c>
      <c r="R57" s="212">
        <f t="shared" si="4"/>
        <v>308000</v>
      </c>
      <c r="S57" s="212">
        <f t="shared" si="5"/>
        <v>569118.125</v>
      </c>
      <c r="T57" s="212">
        <f t="shared" si="6"/>
        <v>461318.125</v>
      </c>
      <c r="U57" s="212">
        <f t="shared" si="7"/>
        <v>107800</v>
      </c>
      <c r="V57" s="213">
        <f>((D57*0.6)/11.664)*Prices!$A$4+E57*38000+F57*51900+G57*60900</f>
        <v>329687.037</v>
      </c>
      <c r="W57" s="90"/>
      <c r="X57" s="90"/>
      <c r="Y57" s="90"/>
      <c r="Z57" s="90"/>
    </row>
    <row r="58">
      <c r="A58" s="90" t="s">
        <v>138</v>
      </c>
      <c r="B58" s="90">
        <v>6.046</v>
      </c>
      <c r="C58" s="115">
        <f t="shared" si="1"/>
        <v>1.5115</v>
      </c>
      <c r="D58" s="90">
        <f t="shared" si="2"/>
        <v>7.5575</v>
      </c>
      <c r="E58" s="90">
        <v>1.21</v>
      </c>
      <c r="F58" s="90"/>
      <c r="G58" s="90"/>
      <c r="H58" s="90"/>
      <c r="I58" s="90"/>
      <c r="J58" s="90"/>
      <c r="K58" s="90">
        <f>2.51+1.65</f>
        <v>4.16</v>
      </c>
      <c r="L58" s="212">
        <f>E58*Prices!B$2</f>
        <v>133100</v>
      </c>
      <c r="M58" s="212">
        <f>F58*Prices!C$2</f>
        <v>0</v>
      </c>
      <c r="N58" s="212">
        <f>G58*Prices!D$2</f>
        <v>0</v>
      </c>
      <c r="O58" s="212">
        <f>H58*Prices!E$2</f>
        <v>0</v>
      </c>
      <c r="P58" s="212">
        <f t="shared" si="11"/>
        <v>7488</v>
      </c>
      <c r="Q58" s="212">
        <f>D58*Prices!$A$2</f>
        <v>134901.375</v>
      </c>
      <c r="R58" s="212">
        <f t="shared" si="4"/>
        <v>133100</v>
      </c>
      <c r="S58" s="212">
        <f t="shared" si="5"/>
        <v>275489.375</v>
      </c>
      <c r="T58" s="212">
        <f t="shared" si="6"/>
        <v>228904.375</v>
      </c>
      <c r="U58" s="212">
        <f t="shared" si="7"/>
        <v>46585</v>
      </c>
      <c r="V58" s="213">
        <f>((D58*0.6)/11.664)*Prices!$A$4+E58*38000+F58*51900+G58*60900</f>
        <v>167273.2099</v>
      </c>
      <c r="W58" s="90"/>
      <c r="X58" s="90"/>
      <c r="Y58" s="90"/>
      <c r="Z58" s="90"/>
    </row>
    <row r="59">
      <c r="A59" s="90" t="s">
        <v>139</v>
      </c>
      <c r="B59" s="90">
        <v>7.342</v>
      </c>
      <c r="C59" s="115">
        <f t="shared" si="1"/>
        <v>1.8355</v>
      </c>
      <c r="D59" s="90">
        <f t="shared" si="2"/>
        <v>9.1775</v>
      </c>
      <c r="E59" s="90">
        <v>0.89</v>
      </c>
      <c r="F59" s="90"/>
      <c r="G59" s="90"/>
      <c r="H59" s="90"/>
      <c r="I59" s="90"/>
      <c r="J59" s="90"/>
      <c r="K59" s="90">
        <f>2.87+5.18</f>
        <v>8.05</v>
      </c>
      <c r="L59" s="212">
        <f>E59*Prices!B$2</f>
        <v>97900</v>
      </c>
      <c r="M59" s="212">
        <f>F59*Prices!C$2</f>
        <v>0</v>
      </c>
      <c r="N59" s="212">
        <f>G59*Prices!D$2</f>
        <v>0</v>
      </c>
      <c r="O59" s="212">
        <f>H59*Prices!E$2</f>
        <v>0</v>
      </c>
      <c r="P59" s="212">
        <f t="shared" si="11"/>
        <v>14490</v>
      </c>
      <c r="Q59" s="212">
        <f>D59*Prices!$A$2</f>
        <v>163818.375</v>
      </c>
      <c r="R59" s="212">
        <f t="shared" si="4"/>
        <v>97900</v>
      </c>
      <c r="S59" s="212">
        <f t="shared" si="5"/>
        <v>276208.375</v>
      </c>
      <c r="T59" s="212">
        <f t="shared" si="6"/>
        <v>241943.375</v>
      </c>
      <c r="U59" s="212">
        <f t="shared" si="7"/>
        <v>34265</v>
      </c>
      <c r="V59" s="213">
        <f>((D59*0.6)/11.664)*Prices!$A$4+E59*38000+F59*51900+G59*60900</f>
        <v>181113.2099</v>
      </c>
      <c r="W59" s="90"/>
      <c r="X59" s="90"/>
      <c r="Y59" s="90"/>
      <c r="Z59" s="90"/>
    </row>
    <row r="60">
      <c r="A60" s="90" t="s">
        <v>140</v>
      </c>
      <c r="B60" s="90">
        <v>11.38</v>
      </c>
      <c r="C60" s="115">
        <f t="shared" si="1"/>
        <v>2.845</v>
      </c>
      <c r="D60" s="90">
        <f t="shared" si="2"/>
        <v>14.225</v>
      </c>
      <c r="E60" s="90">
        <v>2.15</v>
      </c>
      <c r="F60" s="90"/>
      <c r="G60" s="90"/>
      <c r="H60" s="90"/>
      <c r="I60" s="90"/>
      <c r="J60" s="90"/>
      <c r="K60" s="90">
        <f>5.4+6.49</f>
        <v>11.89</v>
      </c>
      <c r="L60" s="212">
        <f>E60*Prices!B$2</f>
        <v>236500</v>
      </c>
      <c r="M60" s="212">
        <f>F60*Prices!C$2</f>
        <v>0</v>
      </c>
      <c r="N60" s="212">
        <f>G60*Prices!D$2</f>
        <v>0</v>
      </c>
      <c r="O60" s="212">
        <f>H60*Prices!E$2</f>
        <v>0</v>
      </c>
      <c r="P60" s="212">
        <f t="shared" si="11"/>
        <v>21402</v>
      </c>
      <c r="Q60" s="212">
        <f>D60*Prices!$A$2</f>
        <v>253916.25</v>
      </c>
      <c r="R60" s="212">
        <f t="shared" si="4"/>
        <v>236500</v>
      </c>
      <c r="S60" s="212">
        <f t="shared" si="5"/>
        <v>511818.25</v>
      </c>
      <c r="T60" s="212">
        <f t="shared" si="6"/>
        <v>429043.25</v>
      </c>
      <c r="U60" s="212">
        <f t="shared" si="7"/>
        <v>82775</v>
      </c>
      <c r="V60" s="213">
        <f>((D60*0.6)/11.664)*Prices!$A$4+E60*38000+F60*51900+G60*60900</f>
        <v>310002.4691</v>
      </c>
      <c r="W60" s="90"/>
      <c r="X60" s="90"/>
      <c r="Y60" s="90"/>
      <c r="Z60" s="90"/>
    </row>
    <row r="61">
      <c r="A61" s="26" t="s">
        <v>141</v>
      </c>
      <c r="B61" s="26">
        <f>34.07+6.572</f>
        <v>40.642</v>
      </c>
      <c r="C61" s="26">
        <f t="shared" si="1"/>
        <v>10.1605</v>
      </c>
      <c r="D61" s="26">
        <f t="shared" si="2"/>
        <v>50.8025</v>
      </c>
      <c r="E61" s="26">
        <f>6.55+1.19</f>
        <v>7.74</v>
      </c>
      <c r="F61" s="90"/>
      <c r="G61" s="90"/>
      <c r="H61" s="90"/>
      <c r="I61" s="90"/>
      <c r="J61" s="90"/>
      <c r="K61" s="90"/>
      <c r="L61" s="212">
        <f>E61*Prices!B$2</f>
        <v>851400</v>
      </c>
      <c r="M61" s="212">
        <f>F61*Prices!C$2</f>
        <v>0</v>
      </c>
      <c r="N61" s="212">
        <f>G61*Prices!D$2</f>
        <v>0</v>
      </c>
      <c r="O61" s="212">
        <f>H61*Prices!E$2</f>
        <v>0</v>
      </c>
      <c r="P61" s="212">
        <f t="shared" si="11"/>
        <v>0</v>
      </c>
      <c r="Q61" s="212">
        <f>D61*Prices!$A$2</f>
        <v>906824.625</v>
      </c>
      <c r="R61" s="212">
        <f t="shared" si="4"/>
        <v>851400</v>
      </c>
      <c r="S61" s="212">
        <f t="shared" si="5"/>
        <v>1758224.625</v>
      </c>
      <c r="T61" s="212">
        <f t="shared" si="6"/>
        <v>1460234.625</v>
      </c>
      <c r="U61" s="212">
        <f t="shared" si="7"/>
        <v>297990</v>
      </c>
      <c r="V61" s="213">
        <f>((D61*0.6)/11.664)*Prices!$A$4+E61*38000+F61*51900+G61*60900</f>
        <v>1109468.765</v>
      </c>
      <c r="W61" s="90"/>
      <c r="X61" s="90"/>
      <c r="Y61" s="90"/>
      <c r="Z61" s="90"/>
    </row>
    <row r="62">
      <c r="A62" s="26" t="s">
        <v>142</v>
      </c>
      <c r="B62" s="26">
        <f>27.522+9.58</f>
        <v>37.102</v>
      </c>
      <c r="C62" s="26">
        <f t="shared" si="1"/>
        <v>9.2755</v>
      </c>
      <c r="D62" s="26">
        <f t="shared" si="2"/>
        <v>46.3775</v>
      </c>
      <c r="E62" s="26">
        <f>1.84+6.36</f>
        <v>8.2</v>
      </c>
      <c r="F62" s="90"/>
      <c r="G62" s="90"/>
      <c r="H62" s="90"/>
      <c r="I62" s="90"/>
      <c r="J62" s="90"/>
      <c r="K62" s="90"/>
      <c r="L62" s="212">
        <f>E62*Prices!B$2</f>
        <v>902000</v>
      </c>
      <c r="M62" s="212">
        <f>F62*Prices!C$2</f>
        <v>0</v>
      </c>
      <c r="N62" s="212">
        <f>G62*Prices!D$2</f>
        <v>0</v>
      </c>
      <c r="O62" s="212">
        <f>H62*Prices!E$2</f>
        <v>0</v>
      </c>
      <c r="P62" s="212">
        <f t="shared" si="11"/>
        <v>0</v>
      </c>
      <c r="Q62" s="212">
        <f>D62*Prices!$A$2</f>
        <v>827838.375</v>
      </c>
      <c r="R62" s="212">
        <f t="shared" si="4"/>
        <v>902000</v>
      </c>
      <c r="S62" s="212">
        <f t="shared" si="5"/>
        <v>1729838.375</v>
      </c>
      <c r="T62" s="212">
        <f t="shared" si="6"/>
        <v>1414138.375</v>
      </c>
      <c r="U62" s="212">
        <f t="shared" si="7"/>
        <v>315700</v>
      </c>
      <c r="V62" s="213">
        <f>((D62*0.6)/11.664)*Prices!$A$4+E62*38000+F62*51900+G62*60900</f>
        <v>1055930.247</v>
      </c>
      <c r="W62" s="90"/>
      <c r="X62" s="90"/>
      <c r="Y62" s="90"/>
      <c r="Z62" s="90"/>
    </row>
    <row r="63">
      <c r="A63" s="26" t="s">
        <v>143</v>
      </c>
      <c r="B63" s="26">
        <f>20.97+8.362</f>
        <v>29.332</v>
      </c>
      <c r="C63" s="26">
        <f t="shared" si="1"/>
        <v>7.333</v>
      </c>
      <c r="D63" s="26">
        <f t="shared" si="2"/>
        <v>36.665</v>
      </c>
      <c r="E63" s="26">
        <f>4.47+1.39</f>
        <v>5.86</v>
      </c>
      <c r="F63" s="90"/>
      <c r="G63" s="90"/>
      <c r="H63" s="90"/>
      <c r="I63" s="90"/>
      <c r="J63" s="90"/>
      <c r="K63" s="90"/>
      <c r="L63" s="212">
        <f>E63*Prices!B$2</f>
        <v>644600</v>
      </c>
      <c r="M63" s="212">
        <f>F63*Prices!C$2</f>
        <v>0</v>
      </c>
      <c r="N63" s="212">
        <f>G63*Prices!D$2</f>
        <v>0</v>
      </c>
      <c r="O63" s="212">
        <f>H63*Prices!E$2</f>
        <v>0</v>
      </c>
      <c r="P63" s="212">
        <f t="shared" si="11"/>
        <v>0</v>
      </c>
      <c r="Q63" s="212">
        <f>D63*Prices!$A$2</f>
        <v>654470.25</v>
      </c>
      <c r="R63" s="212">
        <f t="shared" si="4"/>
        <v>644600</v>
      </c>
      <c r="S63" s="212">
        <f t="shared" si="5"/>
        <v>1299070.25</v>
      </c>
      <c r="T63" s="212">
        <f t="shared" si="6"/>
        <v>1073460.25</v>
      </c>
      <c r="U63" s="212">
        <f t="shared" si="7"/>
        <v>225610</v>
      </c>
      <c r="V63" s="213">
        <f>((D63*0.6)/11.664)*Prices!$A$4+E63*38000+F63*51900+G63*60900</f>
        <v>811130.6173</v>
      </c>
      <c r="W63" s="90"/>
      <c r="X63" s="90"/>
      <c r="Y63" s="90"/>
      <c r="Z63" s="90"/>
    </row>
    <row r="64">
      <c r="A64" s="26" t="s">
        <v>144</v>
      </c>
      <c r="B64" s="26">
        <f>23.358+3.86</f>
        <v>27.218</v>
      </c>
      <c r="C64" s="26">
        <f t="shared" si="1"/>
        <v>6.8045</v>
      </c>
      <c r="D64" s="26">
        <f t="shared" si="2"/>
        <v>34.0225</v>
      </c>
      <c r="E64" s="26">
        <f>7.36+1.25</f>
        <v>8.61</v>
      </c>
      <c r="F64" s="90"/>
      <c r="G64" s="90"/>
      <c r="H64" s="90"/>
      <c r="I64" s="90"/>
      <c r="J64" s="90"/>
      <c r="K64" s="90"/>
      <c r="L64" s="212">
        <f>E64*Prices!B$2</f>
        <v>947100</v>
      </c>
      <c r="M64" s="212">
        <f>F64*Prices!C$2</f>
        <v>0</v>
      </c>
      <c r="N64" s="212">
        <f>G64*Prices!D$2</f>
        <v>0</v>
      </c>
      <c r="O64" s="212">
        <f>H64*Prices!E$2</f>
        <v>0</v>
      </c>
      <c r="P64" s="212">
        <f t="shared" si="11"/>
        <v>0</v>
      </c>
      <c r="Q64" s="212">
        <f>D64*Prices!$A$2</f>
        <v>607301.625</v>
      </c>
      <c r="R64" s="212">
        <f t="shared" si="4"/>
        <v>947100</v>
      </c>
      <c r="S64" s="212">
        <f t="shared" si="5"/>
        <v>1554401.625</v>
      </c>
      <c r="T64" s="212">
        <f t="shared" si="6"/>
        <v>1222916.625</v>
      </c>
      <c r="U64" s="212">
        <f t="shared" si="7"/>
        <v>331485</v>
      </c>
      <c r="V64" s="213">
        <f>((D64*0.6)/11.664)*Prices!$A$4+E64*38000+F64*51900+G64*60900</f>
        <v>873220.1235</v>
      </c>
      <c r="W64" s="90"/>
      <c r="X64" s="90"/>
      <c r="Y64" s="90"/>
      <c r="Z64" s="90"/>
    </row>
    <row r="65">
      <c r="A65" s="26" t="s">
        <v>145</v>
      </c>
      <c r="B65" s="26">
        <f>22.7+8.498</f>
        <v>31.198</v>
      </c>
      <c r="C65" s="26">
        <f t="shared" si="1"/>
        <v>7.7995</v>
      </c>
      <c r="D65" s="26">
        <f t="shared" si="2"/>
        <v>38.9975</v>
      </c>
      <c r="E65" s="26">
        <f>5.89+2.66</f>
        <v>8.55</v>
      </c>
      <c r="F65" s="90"/>
      <c r="G65" s="90"/>
      <c r="H65" s="90"/>
      <c r="I65" s="90"/>
      <c r="J65" s="90"/>
      <c r="K65" s="90"/>
      <c r="L65" s="212">
        <f>E65*Prices!B$2</f>
        <v>940500</v>
      </c>
      <c r="M65" s="212">
        <f>F65*Prices!C$2</f>
        <v>0</v>
      </c>
      <c r="N65" s="212">
        <f>G65*Prices!D$2</f>
        <v>0</v>
      </c>
      <c r="O65" s="212">
        <f>H65*Prices!E$2</f>
        <v>0</v>
      </c>
      <c r="P65" s="212">
        <f t="shared" si="11"/>
        <v>0</v>
      </c>
      <c r="Q65" s="212">
        <f>D65*Prices!$A$2</f>
        <v>696105.375</v>
      </c>
      <c r="R65" s="212">
        <f t="shared" si="4"/>
        <v>940500</v>
      </c>
      <c r="S65" s="212">
        <f t="shared" si="5"/>
        <v>1636605.375</v>
      </c>
      <c r="T65" s="212">
        <f t="shared" si="6"/>
        <v>1307430.375</v>
      </c>
      <c r="U65" s="212">
        <f t="shared" si="7"/>
        <v>329175</v>
      </c>
      <c r="V65" s="213">
        <f>((D65*0.6)/11.664)*Prices!$A$4+E65*38000+F65*51900+G65*60900</f>
        <v>950785.8025</v>
      </c>
      <c r="W65" s="90"/>
      <c r="X65" s="90"/>
      <c r="Y65" s="90"/>
      <c r="Z65" s="90"/>
    </row>
    <row r="66">
      <c r="A66" s="90" t="s">
        <v>146</v>
      </c>
      <c r="B66" s="90">
        <v>3.598</v>
      </c>
      <c r="C66" s="115">
        <f t="shared" si="1"/>
        <v>0.8995</v>
      </c>
      <c r="D66" s="26">
        <f t="shared" si="2"/>
        <v>4.4975</v>
      </c>
      <c r="E66" s="90">
        <v>0.61</v>
      </c>
      <c r="F66" s="90"/>
      <c r="G66" s="90"/>
      <c r="H66" s="90"/>
      <c r="I66" s="90"/>
      <c r="J66" s="90"/>
      <c r="K66" s="90"/>
      <c r="L66" s="212">
        <f>E66*Prices!B$2</f>
        <v>67100</v>
      </c>
      <c r="M66" s="212">
        <f>F66*Prices!C$2</f>
        <v>0</v>
      </c>
      <c r="N66" s="212">
        <f>G66*Prices!D$2</f>
        <v>0</v>
      </c>
      <c r="O66" s="212">
        <f>H66*Prices!E$2</f>
        <v>0</v>
      </c>
      <c r="P66" s="212">
        <f t="shared" si="11"/>
        <v>0</v>
      </c>
      <c r="Q66" s="212">
        <f>D66*Prices!$A$2</f>
        <v>80280.375</v>
      </c>
      <c r="R66" s="212">
        <f t="shared" si="4"/>
        <v>67100</v>
      </c>
      <c r="S66" s="212">
        <f t="shared" si="5"/>
        <v>147380.375</v>
      </c>
      <c r="T66" s="212">
        <f t="shared" si="6"/>
        <v>123895.375</v>
      </c>
      <c r="U66" s="212">
        <f t="shared" si="7"/>
        <v>23485</v>
      </c>
      <c r="V66" s="213">
        <f>((D66*0.6)/11.664)*Prices!$A$4+E66*38000+F66*51900+G66*60900</f>
        <v>95362.09877</v>
      </c>
      <c r="W66" s="90"/>
      <c r="X66" s="90"/>
      <c r="Y66" s="90"/>
      <c r="Z66" s="90"/>
    </row>
    <row r="67">
      <c r="A67" s="90" t="s">
        <v>147</v>
      </c>
      <c r="B67" s="90">
        <v>4.312</v>
      </c>
      <c r="C67" s="115">
        <f t="shared" si="1"/>
        <v>1.078</v>
      </c>
      <c r="D67" s="26">
        <f t="shared" si="2"/>
        <v>5.39</v>
      </c>
      <c r="E67" s="90">
        <v>0.88</v>
      </c>
      <c r="F67" s="90"/>
      <c r="G67" s="90"/>
      <c r="H67" s="90"/>
      <c r="I67" s="90"/>
      <c r="J67" s="90"/>
      <c r="K67" s="90"/>
      <c r="L67" s="212">
        <f>E67*Prices!B$2</f>
        <v>96800</v>
      </c>
      <c r="M67" s="212">
        <f>F67*Prices!C$2</f>
        <v>0</v>
      </c>
      <c r="N67" s="212">
        <f>G67*Prices!D$2</f>
        <v>0</v>
      </c>
      <c r="O67" s="212">
        <f>H67*Prices!E$2</f>
        <v>0</v>
      </c>
      <c r="P67" s="212">
        <f t="shared" si="11"/>
        <v>0</v>
      </c>
      <c r="Q67" s="212">
        <f>D67*Prices!$A$2</f>
        <v>96211.5</v>
      </c>
      <c r="R67" s="212">
        <f t="shared" si="4"/>
        <v>96800</v>
      </c>
      <c r="S67" s="212">
        <f t="shared" si="5"/>
        <v>193011.5</v>
      </c>
      <c r="T67" s="212">
        <f t="shared" si="6"/>
        <v>159131.5</v>
      </c>
      <c r="U67" s="212">
        <f t="shared" si="7"/>
        <v>33880</v>
      </c>
      <c r="V67" s="213">
        <f>((D67*0.6)/11.664)*Prices!$A$4+E67*38000+F67*51900+G67*60900</f>
        <v>119946.1728</v>
      </c>
      <c r="W67" s="90"/>
      <c r="X67" s="90"/>
      <c r="Y67" s="90"/>
      <c r="Z67" s="90"/>
    </row>
    <row r="68">
      <c r="A68" s="90" t="s">
        <v>148</v>
      </c>
      <c r="B68" s="90">
        <v>2.82</v>
      </c>
      <c r="C68" s="115">
        <f t="shared" si="1"/>
        <v>0.705</v>
      </c>
      <c r="D68" s="26">
        <f t="shared" si="2"/>
        <v>3.525</v>
      </c>
      <c r="E68" s="90">
        <v>0.4</v>
      </c>
      <c r="F68" s="90"/>
      <c r="G68" s="90"/>
      <c r="H68" s="90"/>
      <c r="I68" s="90"/>
      <c r="J68" s="90"/>
      <c r="K68" s="90"/>
      <c r="L68" s="212">
        <f>E68*Prices!B$2</f>
        <v>44000</v>
      </c>
      <c r="M68" s="212">
        <f>F68*Prices!C$2</f>
        <v>0</v>
      </c>
      <c r="N68" s="212">
        <f>G68*Prices!D$2</f>
        <v>0</v>
      </c>
      <c r="O68" s="212">
        <f>H68*Prices!E$2</f>
        <v>0</v>
      </c>
      <c r="P68" s="212">
        <f t="shared" si="11"/>
        <v>0</v>
      </c>
      <c r="Q68" s="212">
        <f>D68*Prices!$A$2</f>
        <v>62921.25</v>
      </c>
      <c r="R68" s="212">
        <f t="shared" si="4"/>
        <v>44000</v>
      </c>
      <c r="S68" s="212">
        <f t="shared" si="5"/>
        <v>106921.25</v>
      </c>
      <c r="T68" s="212">
        <f t="shared" si="6"/>
        <v>91521.25</v>
      </c>
      <c r="U68" s="212">
        <f t="shared" si="7"/>
        <v>15400</v>
      </c>
      <c r="V68" s="213">
        <f>((D68*0.6)/11.664)*Prices!$A$4+E68*38000+F68*51900+G68*60900</f>
        <v>71774.07407</v>
      </c>
      <c r="W68" s="90"/>
      <c r="X68" s="90"/>
      <c r="Y68" s="90"/>
      <c r="Z68" s="90"/>
    </row>
    <row r="69">
      <c r="A69" s="90" t="s">
        <v>149</v>
      </c>
      <c r="B69" s="90">
        <v>4.302</v>
      </c>
      <c r="C69" s="115">
        <f t="shared" si="1"/>
        <v>1.0755</v>
      </c>
      <c r="D69" s="26">
        <f t="shared" si="2"/>
        <v>5.3775</v>
      </c>
      <c r="E69" s="90">
        <v>1.24</v>
      </c>
      <c r="F69" s="90"/>
      <c r="G69" s="90"/>
      <c r="H69" s="90"/>
      <c r="I69" s="90"/>
      <c r="J69" s="90"/>
      <c r="K69" s="90"/>
      <c r="L69" s="212">
        <f>E69*Prices!B$2</f>
        <v>136400</v>
      </c>
      <c r="M69" s="212">
        <f>F69*Prices!C$2</f>
        <v>0</v>
      </c>
      <c r="N69" s="212">
        <f>G69*Prices!D$2</f>
        <v>0</v>
      </c>
      <c r="O69" s="212">
        <f>H69*Prices!E$2</f>
        <v>0</v>
      </c>
      <c r="P69" s="212">
        <f t="shared" si="11"/>
        <v>0</v>
      </c>
      <c r="Q69" s="212">
        <f>D69*Prices!$A$2</f>
        <v>95988.375</v>
      </c>
      <c r="R69" s="212">
        <f t="shared" si="4"/>
        <v>136400</v>
      </c>
      <c r="S69" s="212">
        <f t="shared" si="5"/>
        <v>232388.375</v>
      </c>
      <c r="T69" s="212">
        <f t="shared" si="6"/>
        <v>184648.375</v>
      </c>
      <c r="U69" s="212">
        <f t="shared" si="7"/>
        <v>47740</v>
      </c>
      <c r="V69" s="213">
        <f>((D69*0.6)/11.664)*Prices!$A$4+E69*38000+F69*51900+G69*60900</f>
        <v>133425.5556</v>
      </c>
      <c r="W69" s="90"/>
      <c r="X69" s="90"/>
      <c r="Y69" s="90"/>
      <c r="Z69" s="90"/>
    </row>
    <row r="70">
      <c r="A70" s="90" t="s">
        <v>150</v>
      </c>
      <c r="B70" s="90">
        <v>2.474</v>
      </c>
      <c r="C70" s="115">
        <f t="shared" si="1"/>
        <v>0.6185</v>
      </c>
      <c r="D70" s="26">
        <f t="shared" si="2"/>
        <v>3.0925</v>
      </c>
      <c r="E70" s="90">
        <v>0.43</v>
      </c>
      <c r="F70" s="90"/>
      <c r="G70" s="90"/>
      <c r="H70" s="90"/>
      <c r="I70" s="90"/>
      <c r="J70" s="90"/>
      <c r="K70" s="90"/>
      <c r="L70" s="212">
        <f>E70*Prices!B$2</f>
        <v>47300</v>
      </c>
      <c r="M70" s="212">
        <f>F70*Prices!C$2</f>
        <v>0</v>
      </c>
      <c r="N70" s="212">
        <f>G70*Prices!D$2</f>
        <v>0</v>
      </c>
      <c r="O70" s="212">
        <f>H70*Prices!E$2</f>
        <v>0</v>
      </c>
      <c r="P70" s="212">
        <f t="shared" si="11"/>
        <v>0</v>
      </c>
      <c r="Q70" s="212">
        <f>D70*Prices!$A$2</f>
        <v>55201.125</v>
      </c>
      <c r="R70" s="212">
        <f t="shared" si="4"/>
        <v>47300</v>
      </c>
      <c r="S70" s="212">
        <f t="shared" si="5"/>
        <v>102501.125</v>
      </c>
      <c r="T70" s="212">
        <f t="shared" si="6"/>
        <v>85946.125</v>
      </c>
      <c r="U70" s="212">
        <f t="shared" si="7"/>
        <v>16555</v>
      </c>
      <c r="V70" s="213">
        <f>((D70*0.6)/11.664)*Prices!$A$4+E70*38000+F70*51900+G70*60900</f>
        <v>65972.71605</v>
      </c>
      <c r="W70" s="90"/>
      <c r="X70" s="90"/>
      <c r="Y70" s="90"/>
      <c r="Z70" s="90"/>
    </row>
    <row r="71">
      <c r="A71" s="90" t="s">
        <v>151</v>
      </c>
      <c r="B71" s="90">
        <v>1.61</v>
      </c>
      <c r="C71" s="115">
        <f t="shared" si="1"/>
        <v>0.4025</v>
      </c>
      <c r="D71" s="26">
        <f t="shared" si="2"/>
        <v>2.0125</v>
      </c>
      <c r="E71" s="90">
        <v>0.2</v>
      </c>
      <c r="F71" s="90"/>
      <c r="G71" s="90"/>
      <c r="H71" s="90"/>
      <c r="I71" s="90"/>
      <c r="J71" s="90"/>
      <c r="K71" s="90"/>
      <c r="L71" s="212">
        <f>E71*Prices!B$2</f>
        <v>22000</v>
      </c>
      <c r="M71" s="212">
        <f>F71*Prices!C$2</f>
        <v>0</v>
      </c>
      <c r="N71" s="212">
        <f>G71*Prices!D$2</f>
        <v>0</v>
      </c>
      <c r="O71" s="212">
        <f>H71*Prices!E$2</f>
        <v>0</v>
      </c>
      <c r="P71" s="212">
        <f t="shared" si="11"/>
        <v>0</v>
      </c>
      <c r="Q71" s="212">
        <f>D71*Prices!$A$2</f>
        <v>35923.125</v>
      </c>
      <c r="R71" s="212">
        <f t="shared" si="4"/>
        <v>22000</v>
      </c>
      <c r="S71" s="212">
        <f t="shared" si="5"/>
        <v>57923.125</v>
      </c>
      <c r="T71" s="212">
        <f t="shared" si="6"/>
        <v>50223.125</v>
      </c>
      <c r="U71" s="212">
        <f t="shared" si="7"/>
        <v>7700</v>
      </c>
      <c r="V71" s="213">
        <f>((D71*0.6)/11.664)*Prices!$A$4+E71*38000+F71*51900+G71*60900</f>
        <v>39899.38272</v>
      </c>
      <c r="W71" s="90"/>
      <c r="X71" s="90"/>
      <c r="Y71" s="90"/>
      <c r="Z71" s="90"/>
    </row>
    <row r="72">
      <c r="A72" s="90" t="s">
        <v>152</v>
      </c>
      <c r="B72" s="90">
        <v>2.958</v>
      </c>
      <c r="C72" s="115">
        <f t="shared" si="1"/>
        <v>0.7395</v>
      </c>
      <c r="D72" s="26">
        <f t="shared" si="2"/>
        <v>3.6975</v>
      </c>
      <c r="E72" s="90">
        <v>0.76</v>
      </c>
      <c r="F72" s="90"/>
      <c r="G72" s="90"/>
      <c r="H72" s="90"/>
      <c r="I72" s="90"/>
      <c r="J72" s="90"/>
      <c r="K72" s="90"/>
      <c r="L72" s="212">
        <f>E72*Prices!B$2</f>
        <v>83600</v>
      </c>
      <c r="M72" s="212">
        <f>F72*Prices!C$2</f>
        <v>0</v>
      </c>
      <c r="N72" s="212">
        <f>G72*Prices!D$2</f>
        <v>0</v>
      </c>
      <c r="O72" s="212">
        <f>H72*Prices!E$2</f>
        <v>0</v>
      </c>
      <c r="P72" s="212">
        <f t="shared" si="11"/>
        <v>0</v>
      </c>
      <c r="Q72" s="212">
        <f>D72*Prices!$A$2</f>
        <v>66000.375</v>
      </c>
      <c r="R72" s="212">
        <f t="shared" si="4"/>
        <v>83600</v>
      </c>
      <c r="S72" s="212">
        <f t="shared" si="5"/>
        <v>149600.375</v>
      </c>
      <c r="T72" s="212">
        <f t="shared" si="6"/>
        <v>120340.375</v>
      </c>
      <c r="U72" s="212">
        <f t="shared" si="7"/>
        <v>29260</v>
      </c>
      <c r="V72" s="213">
        <f>((D72*0.6)/11.664)*Prices!$A$4+E72*38000+F72*51900+G72*60900</f>
        <v>88222.59259</v>
      </c>
      <c r="W72" s="90"/>
      <c r="X72" s="90"/>
      <c r="Y72" s="90"/>
      <c r="Z72" s="90"/>
    </row>
    <row r="73">
      <c r="A73" s="90" t="s">
        <v>153</v>
      </c>
      <c r="B73" s="90">
        <v>1.488</v>
      </c>
      <c r="C73" s="115">
        <f t="shared" si="1"/>
        <v>0.372</v>
      </c>
      <c r="D73" s="26">
        <f t="shared" si="2"/>
        <v>1.86</v>
      </c>
      <c r="E73" s="90">
        <v>0.26</v>
      </c>
      <c r="F73" s="90"/>
      <c r="G73" s="90"/>
      <c r="H73" s="90"/>
      <c r="I73" s="90"/>
      <c r="J73" s="90"/>
      <c r="K73" s="90"/>
      <c r="L73" s="212">
        <f>E73*Prices!B$2</f>
        <v>28600</v>
      </c>
      <c r="M73" s="212">
        <f>F73*Prices!C$2</f>
        <v>0</v>
      </c>
      <c r="N73" s="212">
        <f>G73*Prices!D$2</f>
        <v>0</v>
      </c>
      <c r="O73" s="212">
        <f>H73*Prices!E$2</f>
        <v>0</v>
      </c>
      <c r="P73" s="212">
        <f t="shared" si="11"/>
        <v>0</v>
      </c>
      <c r="Q73" s="212">
        <f>D73*Prices!$A$2</f>
        <v>33201</v>
      </c>
      <c r="R73" s="212">
        <f t="shared" si="4"/>
        <v>28600</v>
      </c>
      <c r="S73" s="212">
        <f t="shared" si="5"/>
        <v>61801</v>
      </c>
      <c r="T73" s="212">
        <f t="shared" si="6"/>
        <v>51791</v>
      </c>
      <c r="U73" s="212">
        <f t="shared" si="7"/>
        <v>10010</v>
      </c>
      <c r="V73" s="213">
        <f>((D73*0.6)/11.664)*Prices!$A$4+E73*38000+F73*51900+G73*60900</f>
        <v>39731.85185</v>
      </c>
      <c r="W73" s="90"/>
      <c r="X73" s="90"/>
      <c r="Y73" s="90"/>
      <c r="Z73" s="90"/>
    </row>
    <row r="74">
      <c r="A74" s="90" t="s">
        <v>154</v>
      </c>
      <c r="B74" s="90">
        <v>1.892</v>
      </c>
      <c r="C74" s="115">
        <f t="shared" si="1"/>
        <v>0.473</v>
      </c>
      <c r="D74" s="26">
        <f t="shared" si="2"/>
        <v>2.365</v>
      </c>
      <c r="E74" s="90">
        <v>0.19</v>
      </c>
      <c r="F74" s="90"/>
      <c r="G74" s="90"/>
      <c r="H74" s="90"/>
      <c r="I74" s="90"/>
      <c r="J74" s="90"/>
      <c r="K74" s="90"/>
      <c r="L74" s="212">
        <f>E74*Prices!B$2</f>
        <v>20900</v>
      </c>
      <c r="M74" s="212">
        <f>F74*Prices!C$2</f>
        <v>0</v>
      </c>
      <c r="N74" s="212">
        <f>G74*Prices!D$2</f>
        <v>0</v>
      </c>
      <c r="O74" s="212">
        <f>H74*Prices!E$2</f>
        <v>0</v>
      </c>
      <c r="P74" s="212">
        <f t="shared" si="11"/>
        <v>0</v>
      </c>
      <c r="Q74" s="212">
        <f>D74*Prices!$A$2</f>
        <v>42215.25</v>
      </c>
      <c r="R74" s="212">
        <f t="shared" si="4"/>
        <v>20900</v>
      </c>
      <c r="S74" s="212">
        <f t="shared" si="5"/>
        <v>63115.25</v>
      </c>
      <c r="T74" s="212">
        <f t="shared" si="6"/>
        <v>55800.25</v>
      </c>
      <c r="U74" s="212">
        <f t="shared" si="7"/>
        <v>7315</v>
      </c>
      <c r="V74" s="213">
        <f>((D74*0.6)/11.664)*Prices!$A$4+E74*38000+F74*51900+G74*60900</f>
        <v>45176.79012</v>
      </c>
      <c r="W74" s="90"/>
      <c r="X74" s="90"/>
      <c r="Y74" s="90"/>
      <c r="Z74" s="90"/>
    </row>
    <row r="75">
      <c r="A75" s="90" t="s">
        <v>155</v>
      </c>
      <c r="B75" s="90">
        <v>1.314</v>
      </c>
      <c r="C75" s="115">
        <f t="shared" si="1"/>
        <v>0.3285</v>
      </c>
      <c r="D75" s="26">
        <f t="shared" si="2"/>
        <v>1.6425</v>
      </c>
      <c r="E75" s="90">
        <v>0.23</v>
      </c>
      <c r="F75" s="90"/>
      <c r="G75" s="90"/>
      <c r="H75" s="90"/>
      <c r="I75" s="90"/>
      <c r="J75" s="90"/>
      <c r="K75" s="90"/>
      <c r="L75" s="212">
        <f>E75*Prices!B$2</f>
        <v>25300</v>
      </c>
      <c r="M75" s="212">
        <f>F75*Prices!C$2</f>
        <v>0</v>
      </c>
      <c r="N75" s="212">
        <f>G75*Prices!D$2</f>
        <v>0</v>
      </c>
      <c r="O75" s="212">
        <f>H75*Prices!E$2</f>
        <v>0</v>
      </c>
      <c r="P75" s="212">
        <f t="shared" si="11"/>
        <v>0</v>
      </c>
      <c r="Q75" s="212">
        <f>D75*Prices!$A$2</f>
        <v>29318.625</v>
      </c>
      <c r="R75" s="212">
        <f t="shared" si="4"/>
        <v>25300</v>
      </c>
      <c r="S75" s="212">
        <f t="shared" si="5"/>
        <v>54618.625</v>
      </c>
      <c r="T75" s="212">
        <f t="shared" si="6"/>
        <v>45763.625</v>
      </c>
      <c r="U75" s="212">
        <f t="shared" si="7"/>
        <v>8855</v>
      </c>
      <c r="V75" s="213">
        <f>((D75*0.6)/11.664)*Prices!$A$4+E75*38000+F75*51900+G75*60900</f>
        <v>35101.11111</v>
      </c>
      <c r="W75" s="90"/>
      <c r="X75" s="90"/>
      <c r="Y75" s="90"/>
      <c r="Z75" s="90"/>
    </row>
    <row r="76">
      <c r="A76" s="90" t="s">
        <v>156</v>
      </c>
      <c r="B76" s="90">
        <v>2.6</v>
      </c>
      <c r="C76" s="115">
        <f t="shared" si="1"/>
        <v>0.65</v>
      </c>
      <c r="D76" s="26">
        <f t="shared" si="2"/>
        <v>3.25</v>
      </c>
      <c r="E76" s="90">
        <v>0.18</v>
      </c>
      <c r="F76" s="90">
        <v>0.14</v>
      </c>
      <c r="G76" s="90"/>
      <c r="H76" s="90"/>
      <c r="I76" s="90"/>
      <c r="J76" s="90"/>
      <c r="K76" s="90">
        <v>8.18</v>
      </c>
      <c r="L76" s="212">
        <f>E76*Prices!B$2</f>
        <v>19800</v>
      </c>
      <c r="M76" s="212">
        <f>F76*Prices!C$2</f>
        <v>22400</v>
      </c>
      <c r="N76" s="212">
        <f>G76*Prices!D$2</f>
        <v>0</v>
      </c>
      <c r="O76" s="212">
        <f>H76*Prices!E$2</f>
        <v>0</v>
      </c>
      <c r="P76" s="212">
        <f t="shared" si="11"/>
        <v>14724</v>
      </c>
      <c r="Q76" s="212">
        <f>D76*Prices!$A$2</f>
        <v>58012.5</v>
      </c>
      <c r="R76" s="212">
        <f t="shared" si="4"/>
        <v>42200</v>
      </c>
      <c r="S76" s="212">
        <f t="shared" si="5"/>
        <v>114936.5</v>
      </c>
      <c r="T76" s="212">
        <f t="shared" si="6"/>
        <v>100166.5</v>
      </c>
      <c r="U76" s="212">
        <f t="shared" si="7"/>
        <v>14770</v>
      </c>
      <c r="V76" s="213">
        <f>((D76*0.6)/11.664)*Prices!$A$4+E76*38000+F76*51900+G76*60900</f>
        <v>66266.49383</v>
      </c>
      <c r="W76" s="90"/>
      <c r="X76" s="90"/>
      <c r="Y76" s="90"/>
      <c r="Z76" s="90"/>
    </row>
    <row r="77">
      <c r="A77" s="90" t="s">
        <v>157</v>
      </c>
      <c r="B77" s="90">
        <v>2.514</v>
      </c>
      <c r="C77" s="115">
        <f t="shared" si="1"/>
        <v>0.6285</v>
      </c>
      <c r="D77" s="26">
        <f t="shared" si="2"/>
        <v>3.1425</v>
      </c>
      <c r="E77" s="90">
        <v>0.62</v>
      </c>
      <c r="F77" s="90"/>
      <c r="G77" s="90"/>
      <c r="H77" s="90"/>
      <c r="I77" s="90"/>
      <c r="J77" s="90"/>
      <c r="K77" s="90">
        <v>3.66</v>
      </c>
      <c r="L77" s="212">
        <f>E77*Prices!B$2</f>
        <v>68200</v>
      </c>
      <c r="M77" s="212">
        <f>F77*Prices!C$2</f>
        <v>0</v>
      </c>
      <c r="N77" s="212">
        <f>G77*Prices!D$2</f>
        <v>0</v>
      </c>
      <c r="O77" s="212">
        <f>H77*Prices!E$2</f>
        <v>0</v>
      </c>
      <c r="P77" s="212">
        <f t="shared" si="11"/>
        <v>6588</v>
      </c>
      <c r="Q77" s="212">
        <f>D77*Prices!$A$2</f>
        <v>56093.625</v>
      </c>
      <c r="R77" s="212">
        <f t="shared" si="4"/>
        <v>68200</v>
      </c>
      <c r="S77" s="212">
        <f t="shared" si="5"/>
        <v>130881.625</v>
      </c>
      <c r="T77" s="212">
        <f t="shared" si="6"/>
        <v>107011.625</v>
      </c>
      <c r="U77" s="212">
        <f t="shared" si="7"/>
        <v>23870</v>
      </c>
      <c r="V77" s="213">
        <f>((D77*0.6)/11.664)*Prices!$A$4+E77*38000+F77*51900+G77*60900</f>
        <v>73995.18519</v>
      </c>
      <c r="W77" s="90"/>
      <c r="X77" s="90"/>
      <c r="Y77" s="90"/>
      <c r="Z77" s="90"/>
    </row>
    <row r="78">
      <c r="A78" s="90" t="s">
        <v>158</v>
      </c>
      <c r="B78" s="90">
        <v>4.466</v>
      </c>
      <c r="C78" s="115">
        <f t="shared" si="1"/>
        <v>1.1165</v>
      </c>
      <c r="D78" s="26">
        <f t="shared" si="2"/>
        <v>5.5825</v>
      </c>
      <c r="E78" s="90">
        <v>0.6</v>
      </c>
      <c r="F78" s="90"/>
      <c r="G78" s="90"/>
      <c r="H78" s="90"/>
      <c r="I78" s="90"/>
      <c r="J78" s="90"/>
      <c r="K78" s="90">
        <v>7.62</v>
      </c>
      <c r="L78" s="212">
        <f>E78*Prices!B$2</f>
        <v>66000</v>
      </c>
      <c r="M78" s="212">
        <f>F78*Prices!C$2</f>
        <v>0</v>
      </c>
      <c r="N78" s="212">
        <f>G78*Prices!D$2</f>
        <v>0</v>
      </c>
      <c r="O78" s="212">
        <f>H78*Prices!E$2</f>
        <v>0</v>
      </c>
      <c r="P78" s="212">
        <f t="shared" si="11"/>
        <v>13716</v>
      </c>
      <c r="Q78" s="212">
        <f>D78*Prices!$A$2</f>
        <v>99647.625</v>
      </c>
      <c r="R78" s="212">
        <f t="shared" si="4"/>
        <v>66000</v>
      </c>
      <c r="S78" s="212">
        <f t="shared" si="5"/>
        <v>179363.625</v>
      </c>
      <c r="T78" s="212">
        <f t="shared" si="6"/>
        <v>156263.625</v>
      </c>
      <c r="U78" s="212">
        <f t="shared" si="7"/>
        <v>23100</v>
      </c>
      <c r="V78" s="213">
        <f>((D78*0.6)/11.664)*Prices!$A$4+E78*38000+F78*51900+G78*60900</f>
        <v>112395.679</v>
      </c>
      <c r="W78" s="90"/>
      <c r="X78" s="90"/>
      <c r="Y78" s="90"/>
      <c r="Z78" s="90"/>
    </row>
    <row r="79">
      <c r="A79" s="90" t="s">
        <v>159</v>
      </c>
      <c r="B79" s="90">
        <v>1.692</v>
      </c>
      <c r="C79" s="115">
        <f t="shared" si="1"/>
        <v>0.423</v>
      </c>
      <c r="D79" s="26">
        <f t="shared" si="2"/>
        <v>2.115</v>
      </c>
      <c r="E79" s="90">
        <v>0.29</v>
      </c>
      <c r="F79" s="90"/>
      <c r="G79" s="90"/>
      <c r="H79" s="90"/>
      <c r="I79" s="90"/>
      <c r="J79" s="90"/>
      <c r="K79" s="90">
        <v>1.4</v>
      </c>
      <c r="L79" s="212">
        <f>E79*Prices!B$2</f>
        <v>31900</v>
      </c>
      <c r="M79" s="212">
        <f>F79*Prices!C$2</f>
        <v>0</v>
      </c>
      <c r="N79" s="212">
        <f>G79*Prices!D$2</f>
        <v>0</v>
      </c>
      <c r="O79" s="212">
        <f>H79*Prices!E$2</f>
        <v>0</v>
      </c>
      <c r="P79" s="212">
        <f t="shared" si="11"/>
        <v>2520</v>
      </c>
      <c r="Q79" s="212">
        <f>D79*Prices!$A$2</f>
        <v>37752.75</v>
      </c>
      <c r="R79" s="212">
        <f t="shared" si="4"/>
        <v>31900</v>
      </c>
      <c r="S79" s="212">
        <f t="shared" si="5"/>
        <v>72172.75</v>
      </c>
      <c r="T79" s="212">
        <f t="shared" si="6"/>
        <v>61007.75</v>
      </c>
      <c r="U79" s="212">
        <f t="shared" si="7"/>
        <v>11165</v>
      </c>
      <c r="V79" s="213">
        <f>((D79*0.6)/11.664)*Prices!$A$4+E79*38000+F79*51900+G79*60900</f>
        <v>44964.44444</v>
      </c>
      <c r="W79" s="90"/>
      <c r="X79" s="90"/>
      <c r="Y79" s="90"/>
      <c r="Z79" s="90"/>
    </row>
    <row r="80">
      <c r="A80" s="90" t="s">
        <v>30</v>
      </c>
      <c r="B80" s="169">
        <v>1.278</v>
      </c>
      <c r="C80" s="115">
        <f t="shared" si="1"/>
        <v>0.3195</v>
      </c>
      <c r="D80" s="26">
        <f t="shared" si="2"/>
        <v>1.5975</v>
      </c>
      <c r="E80" s="90">
        <f>0.205+0.055</f>
        <v>0.26</v>
      </c>
      <c r="F80" s="90"/>
      <c r="G80" s="90"/>
      <c r="H80" s="90"/>
      <c r="I80" s="90"/>
      <c r="J80" s="90"/>
      <c r="K80" s="90"/>
      <c r="L80" s="212">
        <f>E80*Prices!B$2</f>
        <v>28600</v>
      </c>
      <c r="M80" s="212">
        <f>F80*Prices!C$2</f>
        <v>0</v>
      </c>
      <c r="N80" s="212">
        <f>G80*Prices!D$2</f>
        <v>0</v>
      </c>
      <c r="O80" s="212">
        <f>H80*Prices!E$2</f>
        <v>0</v>
      </c>
      <c r="P80" s="212">
        <f t="shared" si="11"/>
        <v>0</v>
      </c>
      <c r="Q80" s="212">
        <f>D80*Prices!$A$2</f>
        <v>28515.375</v>
      </c>
      <c r="R80" s="212">
        <f t="shared" si="4"/>
        <v>28600</v>
      </c>
      <c r="S80" s="212">
        <f t="shared" si="5"/>
        <v>57115.375</v>
      </c>
      <c r="T80" s="212">
        <f t="shared" si="6"/>
        <v>47105.375</v>
      </c>
      <c r="U80" s="212">
        <f t="shared" si="7"/>
        <v>10010</v>
      </c>
      <c r="V80" s="213">
        <f>((D80*0.6)/11.664)*Prices!$A$4+E80*38000+F80*51900+G80*60900</f>
        <v>35518.88889</v>
      </c>
      <c r="W80" s="90"/>
      <c r="X80" s="90"/>
      <c r="Y80" s="90"/>
      <c r="Z80" s="90"/>
    </row>
    <row r="81">
      <c r="A81" s="90"/>
      <c r="B81" s="90"/>
      <c r="C81" s="115">
        <f t="shared" si="1"/>
        <v>0</v>
      </c>
      <c r="D81" s="26">
        <f t="shared" si="2"/>
        <v>0</v>
      </c>
      <c r="E81" s="90"/>
      <c r="F81" s="90"/>
      <c r="G81" s="90"/>
      <c r="H81" s="90"/>
      <c r="I81" s="90"/>
      <c r="J81" s="90"/>
      <c r="K81" s="90"/>
      <c r="L81" s="212">
        <f>E81*Prices!B$2</f>
        <v>0</v>
      </c>
      <c r="M81" s="212">
        <f>F81*Prices!C$2</f>
        <v>0</v>
      </c>
      <c r="N81" s="212">
        <f>G81*Prices!D$2</f>
        <v>0</v>
      </c>
      <c r="O81" s="212">
        <f>H81*Prices!E$2</f>
        <v>0</v>
      </c>
      <c r="P81" s="212">
        <f t="shared" si="11"/>
        <v>0</v>
      </c>
      <c r="Q81" s="212">
        <f>D81*Prices!$A$2</f>
        <v>0</v>
      </c>
      <c r="R81" s="212">
        <f t="shared" si="4"/>
        <v>0</v>
      </c>
      <c r="S81" s="212">
        <f t="shared" si="5"/>
        <v>0</v>
      </c>
      <c r="T81" s="212">
        <f t="shared" si="6"/>
        <v>0</v>
      </c>
      <c r="U81" s="212">
        <f t="shared" si="7"/>
        <v>0</v>
      </c>
      <c r="V81" s="213">
        <f>((D81*0.6)/11.664)*Prices!$A$4+E81*38000+F81*51900+G81*60900</f>
        <v>0</v>
      </c>
      <c r="W81" s="90"/>
      <c r="X81" s="90"/>
      <c r="Y81" s="90"/>
      <c r="Z81" s="90"/>
    </row>
    <row r="82">
      <c r="A82" s="90"/>
      <c r="B82" s="90"/>
      <c r="C82" s="115">
        <f t="shared" si="1"/>
        <v>0</v>
      </c>
      <c r="D82" s="26">
        <f t="shared" si="2"/>
        <v>0</v>
      </c>
      <c r="E82" s="90"/>
      <c r="F82" s="90"/>
      <c r="G82" s="90"/>
      <c r="H82" s="90"/>
      <c r="I82" s="90"/>
      <c r="J82" s="90"/>
      <c r="K82" s="90"/>
      <c r="L82" s="212">
        <f>E82*Prices!B$2</f>
        <v>0</v>
      </c>
      <c r="M82" s="212">
        <f>F82*Prices!C$2</f>
        <v>0</v>
      </c>
      <c r="N82" s="212">
        <f>G82*Prices!D$2</f>
        <v>0</v>
      </c>
      <c r="O82" s="212">
        <f>H82*Prices!E$2</f>
        <v>0</v>
      </c>
      <c r="P82" s="212">
        <f t="shared" si="11"/>
        <v>0</v>
      </c>
      <c r="Q82" s="212">
        <f>D82*Prices!$A$2</f>
        <v>0</v>
      </c>
      <c r="R82" s="212">
        <f t="shared" si="4"/>
        <v>0</v>
      </c>
      <c r="S82" s="212">
        <f t="shared" si="5"/>
        <v>0</v>
      </c>
      <c r="T82" s="212">
        <f t="shared" si="6"/>
        <v>0</v>
      </c>
      <c r="U82" s="212">
        <f t="shared" si="7"/>
        <v>0</v>
      </c>
      <c r="V82" s="213">
        <f>((D82*0.6)/11.664)*Prices!$A$4+E82*38000+F82*51900+G82*60900</f>
        <v>0</v>
      </c>
      <c r="W82" s="90"/>
      <c r="X82" s="90"/>
      <c r="Y82" s="90"/>
      <c r="Z82" s="90"/>
    </row>
    <row r="83">
      <c r="A83" s="90"/>
      <c r="B83" s="90"/>
      <c r="C83" s="115">
        <f t="shared" si="1"/>
        <v>0</v>
      </c>
      <c r="D83" s="26">
        <f t="shared" si="2"/>
        <v>0</v>
      </c>
      <c r="E83" s="90"/>
      <c r="F83" s="90"/>
      <c r="G83" s="90"/>
      <c r="H83" s="90"/>
      <c r="I83" s="90"/>
      <c r="J83" s="90"/>
      <c r="K83" s="90"/>
      <c r="L83" s="212">
        <f>E83*Prices!B$2</f>
        <v>0</v>
      </c>
      <c r="M83" s="212">
        <f>F83*Prices!C$2</f>
        <v>0</v>
      </c>
      <c r="N83" s="212">
        <f>G83*Prices!D$2</f>
        <v>0</v>
      </c>
      <c r="O83" s="212">
        <f>H83*Prices!E$2</f>
        <v>0</v>
      </c>
      <c r="P83" s="212">
        <f t="shared" si="11"/>
        <v>0</v>
      </c>
      <c r="Q83" s="212">
        <f>D83*Prices!$A$2</f>
        <v>0</v>
      </c>
      <c r="R83" s="212">
        <f t="shared" si="4"/>
        <v>0</v>
      </c>
      <c r="S83" s="212">
        <f t="shared" si="5"/>
        <v>0</v>
      </c>
      <c r="T83" s="212">
        <f t="shared" si="6"/>
        <v>0</v>
      </c>
      <c r="U83" s="212">
        <f t="shared" si="7"/>
        <v>0</v>
      </c>
      <c r="V83" s="213">
        <f>((D83*0.6)/11.664)*Prices!$A$4+E83*38000+F83*51900+G83*60900</f>
        <v>0</v>
      </c>
      <c r="W83" s="90"/>
      <c r="X83" s="90"/>
      <c r="Y83" s="90"/>
      <c r="Z83" s="90"/>
    </row>
    <row r="84">
      <c r="A84" s="90"/>
      <c r="B84" s="90"/>
      <c r="C84" s="115">
        <f t="shared" si="1"/>
        <v>0</v>
      </c>
      <c r="D84" s="26">
        <f t="shared" si="2"/>
        <v>0</v>
      </c>
      <c r="E84" s="90"/>
      <c r="F84" s="90"/>
      <c r="G84" s="90"/>
      <c r="H84" s="90"/>
      <c r="I84" s="90"/>
      <c r="J84" s="90"/>
      <c r="K84" s="90"/>
      <c r="L84" s="212">
        <f>E84*Prices!B$2</f>
        <v>0</v>
      </c>
      <c r="M84" s="212">
        <f>F84*Prices!C$2</f>
        <v>0</v>
      </c>
      <c r="N84" s="212">
        <f>G84*Prices!D$2</f>
        <v>0</v>
      </c>
      <c r="O84" s="212">
        <f>H84*Prices!E$2</f>
        <v>0</v>
      </c>
      <c r="P84" s="212">
        <f t="shared" si="11"/>
        <v>0</v>
      </c>
      <c r="Q84" s="212">
        <f>D84*Prices!$A$2</f>
        <v>0</v>
      </c>
      <c r="R84" s="212">
        <f t="shared" si="4"/>
        <v>0</v>
      </c>
      <c r="S84" s="212">
        <f t="shared" si="5"/>
        <v>0</v>
      </c>
      <c r="T84" s="212">
        <f t="shared" si="6"/>
        <v>0</v>
      </c>
      <c r="U84" s="212">
        <f t="shared" si="7"/>
        <v>0</v>
      </c>
      <c r="V84" s="213">
        <f>((D84*0.6)/11.664)*Prices!$A$4+E84*38000+F84*51900+G84*60900</f>
        <v>0</v>
      </c>
      <c r="W84" s="90"/>
      <c r="X84" s="90"/>
      <c r="Y84" s="90"/>
      <c r="Z84" s="90"/>
    </row>
    <row r="85">
      <c r="A85" s="90"/>
      <c r="B85" s="90"/>
      <c r="C85" s="115">
        <f t="shared" si="1"/>
        <v>0</v>
      </c>
      <c r="D85" s="26">
        <f t="shared" si="2"/>
        <v>0</v>
      </c>
      <c r="E85" s="90"/>
      <c r="F85" s="90"/>
      <c r="G85" s="90"/>
      <c r="H85" s="90"/>
      <c r="I85" s="90"/>
      <c r="J85" s="90"/>
      <c r="K85" s="90"/>
      <c r="L85" s="212">
        <f>E85*Prices!B$2</f>
        <v>0</v>
      </c>
      <c r="M85" s="212">
        <f>F85*Prices!C$2</f>
        <v>0</v>
      </c>
      <c r="N85" s="212">
        <f>G85*Prices!D$2</f>
        <v>0</v>
      </c>
      <c r="O85" s="212">
        <f>H85*Prices!E$2</f>
        <v>0</v>
      </c>
      <c r="P85" s="212">
        <f t="shared" si="11"/>
        <v>0</v>
      </c>
      <c r="Q85" s="212">
        <f>D85*Prices!$A$2</f>
        <v>0</v>
      </c>
      <c r="R85" s="212">
        <f t="shared" si="4"/>
        <v>0</v>
      </c>
      <c r="S85" s="212">
        <f t="shared" si="5"/>
        <v>0</v>
      </c>
      <c r="T85" s="212">
        <f t="shared" si="6"/>
        <v>0</v>
      </c>
      <c r="U85" s="212">
        <f t="shared" si="7"/>
        <v>0</v>
      </c>
      <c r="V85" s="213">
        <f>((D85*0.6)/11.664)*Prices!$A$4+E85*38000+F85*51900+G85*60900</f>
        <v>0</v>
      </c>
      <c r="W85" s="90"/>
      <c r="X85" s="90"/>
      <c r="Y85" s="90"/>
      <c r="Z85" s="90"/>
    </row>
    <row r="86">
      <c r="A86" s="90"/>
      <c r="B86" s="90"/>
      <c r="C86" s="115">
        <f t="shared" si="1"/>
        <v>0</v>
      </c>
      <c r="D86" s="26">
        <f t="shared" si="2"/>
        <v>0</v>
      </c>
      <c r="E86" s="90"/>
      <c r="F86" s="90"/>
      <c r="G86" s="90"/>
      <c r="H86" s="90"/>
      <c r="I86" s="90"/>
      <c r="J86" s="90"/>
      <c r="K86" s="90"/>
      <c r="L86" s="212">
        <f>E86*Prices!B$2</f>
        <v>0</v>
      </c>
      <c r="M86" s="212">
        <f>F86*Prices!C$2</f>
        <v>0</v>
      </c>
      <c r="N86" s="212">
        <f>G86*Prices!D$2</f>
        <v>0</v>
      </c>
      <c r="O86" s="212">
        <f>H86*Prices!E$2</f>
        <v>0</v>
      </c>
      <c r="P86" s="212">
        <f t="shared" si="11"/>
        <v>0</v>
      </c>
      <c r="Q86" s="212">
        <f>D86*Prices!$A$2</f>
        <v>0</v>
      </c>
      <c r="R86" s="212">
        <f t="shared" si="4"/>
        <v>0</v>
      </c>
      <c r="S86" s="212">
        <f t="shared" si="5"/>
        <v>0</v>
      </c>
      <c r="T86" s="212">
        <f t="shared" si="6"/>
        <v>0</v>
      </c>
      <c r="U86" s="212">
        <f t="shared" si="7"/>
        <v>0</v>
      </c>
      <c r="V86" s="213">
        <f>((D86*0.6)/11.664)*Prices!$A$4+E86*38000+F86*51900+G86*60900</f>
        <v>0</v>
      </c>
      <c r="W86" s="90"/>
      <c r="X86" s="90"/>
      <c r="Y86" s="90"/>
      <c r="Z86" s="90"/>
    </row>
    <row r="87">
      <c r="A87" s="90"/>
      <c r="B87" s="90"/>
      <c r="C87" s="115">
        <f t="shared" si="1"/>
        <v>0</v>
      </c>
      <c r="D87" s="26">
        <f t="shared" si="2"/>
        <v>0</v>
      </c>
      <c r="E87" s="90"/>
      <c r="F87" s="90"/>
      <c r="G87" s="90"/>
      <c r="H87" s="90"/>
      <c r="I87" s="90"/>
      <c r="J87" s="90"/>
      <c r="K87" s="90"/>
      <c r="L87" s="212">
        <f>E87*Prices!B$2</f>
        <v>0</v>
      </c>
      <c r="M87" s="212">
        <f>F87*Prices!C$2</f>
        <v>0</v>
      </c>
      <c r="N87" s="212">
        <f>G87*Prices!D$2</f>
        <v>0</v>
      </c>
      <c r="O87" s="212">
        <f>H87*Prices!E$2</f>
        <v>0</v>
      </c>
      <c r="P87" s="212">
        <f t="shared" si="11"/>
        <v>0</v>
      </c>
      <c r="Q87" s="212">
        <f>D87*Prices!$A$2</f>
        <v>0</v>
      </c>
      <c r="R87" s="212">
        <f t="shared" si="4"/>
        <v>0</v>
      </c>
      <c r="S87" s="212">
        <f t="shared" si="5"/>
        <v>0</v>
      </c>
      <c r="T87" s="212">
        <f t="shared" si="6"/>
        <v>0</v>
      </c>
      <c r="U87" s="212">
        <f t="shared" si="7"/>
        <v>0</v>
      </c>
      <c r="V87" s="213">
        <f>((D87*0.6)/11.664)*Prices!$A$4+E87*38000+F87*51900+G87*60900</f>
        <v>0</v>
      </c>
      <c r="W87" s="90"/>
      <c r="X87" s="90"/>
      <c r="Y87" s="90"/>
      <c r="Z87" s="90"/>
    </row>
    <row r="88">
      <c r="A88" s="90"/>
      <c r="B88" s="90"/>
      <c r="C88" s="115">
        <f t="shared" si="1"/>
        <v>0</v>
      </c>
      <c r="D88" s="26">
        <f t="shared" si="2"/>
        <v>0</v>
      </c>
      <c r="E88" s="90"/>
      <c r="F88" s="90"/>
      <c r="G88" s="90"/>
      <c r="H88" s="90"/>
      <c r="I88" s="90"/>
      <c r="J88" s="90"/>
      <c r="K88" s="90"/>
      <c r="L88" s="212">
        <f>E88*Prices!B$2</f>
        <v>0</v>
      </c>
      <c r="M88" s="212">
        <f>F88*Prices!C$2</f>
        <v>0</v>
      </c>
      <c r="N88" s="212">
        <f>G88*Prices!D$2</f>
        <v>0</v>
      </c>
      <c r="O88" s="212">
        <f>H88*Prices!E$2</f>
        <v>0</v>
      </c>
      <c r="P88" s="212">
        <f t="shared" si="11"/>
        <v>0</v>
      </c>
      <c r="Q88" s="212">
        <f>D88*Prices!$A$2</f>
        <v>0</v>
      </c>
      <c r="R88" s="212">
        <f t="shared" si="4"/>
        <v>0</v>
      </c>
      <c r="S88" s="212">
        <f t="shared" si="5"/>
        <v>0</v>
      </c>
      <c r="T88" s="212">
        <f t="shared" si="6"/>
        <v>0</v>
      </c>
      <c r="U88" s="212">
        <f t="shared" si="7"/>
        <v>0</v>
      </c>
      <c r="V88" s="213">
        <f>((D88*0.6)/11.664)*Prices!$A$4+E88*38000+F88*51900+G88*60900</f>
        <v>0</v>
      </c>
      <c r="W88" s="90"/>
      <c r="X88" s="90"/>
      <c r="Y88" s="90"/>
      <c r="Z88" s="90"/>
    </row>
    <row r="89">
      <c r="A89" s="90"/>
      <c r="B89" s="90"/>
      <c r="C89" s="115">
        <f t="shared" si="1"/>
        <v>0</v>
      </c>
      <c r="D89" s="26">
        <f t="shared" si="2"/>
        <v>0</v>
      </c>
      <c r="E89" s="90"/>
      <c r="F89" s="90"/>
      <c r="G89" s="90"/>
      <c r="H89" s="90"/>
      <c r="I89" s="90"/>
      <c r="J89" s="90"/>
      <c r="K89" s="90"/>
      <c r="L89" s="212">
        <f>E89*Prices!B$2</f>
        <v>0</v>
      </c>
      <c r="M89" s="212">
        <f>F89*Prices!C$2</f>
        <v>0</v>
      </c>
      <c r="N89" s="212">
        <f>G89*Prices!D$2</f>
        <v>0</v>
      </c>
      <c r="O89" s="212">
        <f>H89*Prices!E$2</f>
        <v>0</v>
      </c>
      <c r="P89" s="212">
        <f t="shared" si="11"/>
        <v>0</v>
      </c>
      <c r="Q89" s="212">
        <f>D89*Prices!$A$2</f>
        <v>0</v>
      </c>
      <c r="R89" s="212">
        <f t="shared" si="4"/>
        <v>0</v>
      </c>
      <c r="S89" s="212">
        <f t="shared" si="5"/>
        <v>0</v>
      </c>
      <c r="T89" s="212">
        <f t="shared" si="6"/>
        <v>0</v>
      </c>
      <c r="U89" s="212">
        <f t="shared" si="7"/>
        <v>0</v>
      </c>
      <c r="V89" s="213">
        <f>((D89*0.6)/11.664)*Prices!$A$4+E89*38000+F89*51900+G89*60900</f>
        <v>0</v>
      </c>
      <c r="W89" s="90"/>
      <c r="X89" s="90"/>
      <c r="Y89" s="90"/>
      <c r="Z89" s="90"/>
    </row>
    <row r="90">
      <c r="A90" s="90"/>
      <c r="B90" s="90"/>
      <c r="C90" s="115">
        <f t="shared" si="1"/>
        <v>0</v>
      </c>
      <c r="D90" s="26">
        <f t="shared" si="2"/>
        <v>0</v>
      </c>
      <c r="E90" s="90"/>
      <c r="F90" s="90"/>
      <c r="G90" s="90"/>
      <c r="H90" s="90"/>
      <c r="I90" s="90"/>
      <c r="J90" s="90"/>
      <c r="K90" s="90"/>
      <c r="L90" s="212">
        <f>E90*Prices!B$2</f>
        <v>0</v>
      </c>
      <c r="M90" s="212">
        <f>F90*Prices!C$2</f>
        <v>0</v>
      </c>
      <c r="N90" s="212">
        <f>G90*Prices!D$2</f>
        <v>0</v>
      </c>
      <c r="O90" s="212">
        <f>H90*Prices!E$2</f>
        <v>0</v>
      </c>
      <c r="P90" s="212">
        <f t="shared" si="11"/>
        <v>0</v>
      </c>
      <c r="Q90" s="212">
        <f>D90*Prices!$A$2</f>
        <v>0</v>
      </c>
      <c r="R90" s="212">
        <f t="shared" si="4"/>
        <v>0</v>
      </c>
      <c r="S90" s="212">
        <f t="shared" si="5"/>
        <v>0</v>
      </c>
      <c r="T90" s="212">
        <f t="shared" si="6"/>
        <v>0</v>
      </c>
      <c r="U90" s="212">
        <f t="shared" si="7"/>
        <v>0</v>
      </c>
      <c r="V90" s="213">
        <f>((D90*0.6)/11.664)*Prices!$A$4+E90*38000+F90*51900+G90*60900</f>
        <v>0</v>
      </c>
      <c r="W90" s="90"/>
      <c r="X90" s="90"/>
      <c r="Y90" s="90"/>
      <c r="Z90" s="90"/>
    </row>
    <row r="91">
      <c r="A91" s="90"/>
      <c r="B91" s="90"/>
      <c r="C91" s="115">
        <f t="shared" si="1"/>
        <v>0</v>
      </c>
      <c r="D91" s="26">
        <f t="shared" si="2"/>
        <v>0</v>
      </c>
      <c r="E91" s="90"/>
      <c r="F91" s="90"/>
      <c r="G91" s="90"/>
      <c r="H91" s="90"/>
      <c r="I91" s="90"/>
      <c r="J91" s="90"/>
      <c r="K91" s="90"/>
      <c r="L91" s="212">
        <f>E91*Prices!B$2</f>
        <v>0</v>
      </c>
      <c r="M91" s="212">
        <f>F91*Prices!C$2</f>
        <v>0</v>
      </c>
      <c r="N91" s="212">
        <f>G91*Prices!D$2</f>
        <v>0</v>
      </c>
      <c r="O91" s="212">
        <f>H91*Prices!E$2</f>
        <v>0</v>
      </c>
      <c r="P91" s="212">
        <f t="shared" si="11"/>
        <v>0</v>
      </c>
      <c r="Q91" s="212">
        <f>D91*Prices!$A$2</f>
        <v>0</v>
      </c>
      <c r="R91" s="212">
        <f t="shared" si="4"/>
        <v>0</v>
      </c>
      <c r="S91" s="212">
        <f t="shared" si="5"/>
        <v>0</v>
      </c>
      <c r="T91" s="212">
        <f t="shared" si="6"/>
        <v>0</v>
      </c>
      <c r="U91" s="212">
        <f t="shared" si="7"/>
        <v>0</v>
      </c>
      <c r="V91" s="213">
        <f>((D91*0.6)/11.664)*Prices!$A$4+E91*38000+F91*51900+G91*60900</f>
        <v>0</v>
      </c>
      <c r="W91" s="90"/>
      <c r="X91" s="90"/>
      <c r="Y91" s="90"/>
      <c r="Z91" s="90"/>
    </row>
    <row r="92">
      <c r="A92" s="90"/>
      <c r="B92" s="90"/>
      <c r="C92" s="115">
        <f t="shared" si="1"/>
        <v>0</v>
      </c>
      <c r="D92" s="26">
        <f t="shared" si="2"/>
        <v>0</v>
      </c>
      <c r="E92" s="90"/>
      <c r="F92" s="90"/>
      <c r="G92" s="90"/>
      <c r="H92" s="90"/>
      <c r="I92" s="90"/>
      <c r="J92" s="90"/>
      <c r="K92" s="90"/>
      <c r="L92" s="212">
        <f>E92*Prices!B$2</f>
        <v>0</v>
      </c>
      <c r="M92" s="212">
        <f>F92*Prices!C$2</f>
        <v>0</v>
      </c>
      <c r="N92" s="212">
        <f>G92*Prices!D$2</f>
        <v>0</v>
      </c>
      <c r="O92" s="212">
        <f>H92*Prices!E$2</f>
        <v>0</v>
      </c>
      <c r="P92" s="212">
        <f t="shared" si="11"/>
        <v>0</v>
      </c>
      <c r="Q92" s="212">
        <f>D92*Prices!$A$2</f>
        <v>0</v>
      </c>
      <c r="R92" s="212">
        <f t="shared" si="4"/>
        <v>0</v>
      </c>
      <c r="S92" s="212">
        <f t="shared" si="5"/>
        <v>0</v>
      </c>
      <c r="T92" s="212">
        <f t="shared" si="6"/>
        <v>0</v>
      </c>
      <c r="U92" s="212">
        <f t="shared" si="7"/>
        <v>0</v>
      </c>
      <c r="V92" s="213">
        <f>((D92*0.6)/11.664)*Prices!$A$4+E92*38000+F92*51900+G92*60900</f>
        <v>0</v>
      </c>
      <c r="W92" s="90"/>
      <c r="X92" s="90"/>
      <c r="Y92" s="90"/>
      <c r="Z92" s="90"/>
    </row>
    <row r="93">
      <c r="A93" s="90"/>
      <c r="B93" s="90"/>
      <c r="C93" s="115">
        <f t="shared" si="1"/>
        <v>0</v>
      </c>
      <c r="D93" s="26">
        <f t="shared" si="2"/>
        <v>0</v>
      </c>
      <c r="E93" s="90"/>
      <c r="F93" s="90"/>
      <c r="G93" s="90"/>
      <c r="H93" s="90"/>
      <c r="I93" s="90"/>
      <c r="J93" s="90"/>
      <c r="K93" s="90"/>
      <c r="L93" s="212">
        <f>E93*Prices!B$2</f>
        <v>0</v>
      </c>
      <c r="M93" s="212">
        <f>F93*Prices!C$2</f>
        <v>0</v>
      </c>
      <c r="N93" s="212">
        <f>G93*Prices!D$2</f>
        <v>0</v>
      </c>
      <c r="O93" s="212">
        <f>H93*Prices!E$2</f>
        <v>0</v>
      </c>
      <c r="P93" s="212">
        <f t="shared" si="11"/>
        <v>0</v>
      </c>
      <c r="Q93" s="212">
        <f>D93*Prices!$A$2</f>
        <v>0</v>
      </c>
      <c r="R93" s="212">
        <f t="shared" si="4"/>
        <v>0</v>
      </c>
      <c r="S93" s="212">
        <f t="shared" si="5"/>
        <v>0</v>
      </c>
      <c r="T93" s="212">
        <f t="shared" si="6"/>
        <v>0</v>
      </c>
      <c r="U93" s="212">
        <f t="shared" si="7"/>
        <v>0</v>
      </c>
      <c r="V93" s="213">
        <f>((D93*0.6)/11.664)*Prices!$A$4+E93*38000+F93*51900+G93*60900</f>
        <v>0</v>
      </c>
      <c r="W93" s="90"/>
      <c r="X93" s="90"/>
      <c r="Y93" s="90"/>
      <c r="Z93" s="90"/>
    </row>
    <row r="94">
      <c r="A94" s="90"/>
      <c r="B94" s="90"/>
      <c r="C94" s="115">
        <f t="shared" si="1"/>
        <v>0</v>
      </c>
      <c r="D94" s="26">
        <f t="shared" si="2"/>
        <v>0</v>
      </c>
      <c r="E94" s="90"/>
      <c r="F94" s="90"/>
      <c r="G94" s="90"/>
      <c r="H94" s="90"/>
      <c r="I94" s="90"/>
      <c r="J94" s="90"/>
      <c r="K94" s="90"/>
      <c r="L94" s="212">
        <f>E94*Prices!B$2</f>
        <v>0</v>
      </c>
      <c r="M94" s="212">
        <f>F94*Prices!C$2</f>
        <v>0</v>
      </c>
      <c r="N94" s="212">
        <f>G94*Prices!D$2</f>
        <v>0</v>
      </c>
      <c r="O94" s="212">
        <f>H94*Prices!E$2</f>
        <v>0</v>
      </c>
      <c r="P94" s="212">
        <f t="shared" si="11"/>
        <v>0</v>
      </c>
      <c r="Q94" s="212">
        <f>D94*Prices!$A$2</f>
        <v>0</v>
      </c>
      <c r="R94" s="212">
        <f t="shared" si="4"/>
        <v>0</v>
      </c>
      <c r="S94" s="212">
        <f t="shared" si="5"/>
        <v>0</v>
      </c>
      <c r="T94" s="212">
        <f t="shared" si="6"/>
        <v>0</v>
      </c>
      <c r="U94" s="212">
        <f t="shared" si="7"/>
        <v>0</v>
      </c>
      <c r="V94" s="213">
        <f>((D94*0.6)/11.664)*Prices!$A$4+E94*38000+F94*51900+G94*60900</f>
        <v>0</v>
      </c>
      <c r="W94" s="90"/>
      <c r="X94" s="90"/>
      <c r="Y94" s="90"/>
      <c r="Z94" s="90"/>
    </row>
    <row r="95">
      <c r="A95" s="90"/>
      <c r="B95" s="90"/>
      <c r="C95" s="115">
        <f t="shared" si="1"/>
        <v>0</v>
      </c>
      <c r="D95" s="26">
        <f t="shared" si="2"/>
        <v>0</v>
      </c>
      <c r="E95" s="90"/>
      <c r="F95" s="90"/>
      <c r="G95" s="90"/>
      <c r="H95" s="90"/>
      <c r="I95" s="90"/>
      <c r="J95" s="90"/>
      <c r="K95" s="90"/>
      <c r="L95" s="212">
        <f>E95*Prices!B$2</f>
        <v>0</v>
      </c>
      <c r="M95" s="212">
        <f>F95*Prices!C$2</f>
        <v>0</v>
      </c>
      <c r="N95" s="212">
        <f>G95*Prices!D$2</f>
        <v>0</v>
      </c>
      <c r="O95" s="212">
        <f>H95*Prices!E$2</f>
        <v>0</v>
      </c>
      <c r="P95" s="212">
        <f t="shared" si="11"/>
        <v>0</v>
      </c>
      <c r="Q95" s="212">
        <f>D95*Prices!$A$2</f>
        <v>0</v>
      </c>
      <c r="R95" s="212">
        <f t="shared" si="4"/>
        <v>0</v>
      </c>
      <c r="S95" s="212">
        <f t="shared" si="5"/>
        <v>0</v>
      </c>
      <c r="T95" s="212">
        <f t="shared" si="6"/>
        <v>0</v>
      </c>
      <c r="U95" s="212">
        <f t="shared" si="7"/>
        <v>0</v>
      </c>
      <c r="V95" s="213">
        <f>((D95*0.6)/11.664)*Prices!$A$4+E95*38000+F95*51900+G95*60900</f>
        <v>0</v>
      </c>
      <c r="W95" s="90"/>
      <c r="X95" s="90"/>
      <c r="Y95" s="90"/>
      <c r="Z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212">
        <f>E96*Prices!B$2</f>
        <v>0</v>
      </c>
      <c r="M96" s="212">
        <f>F96*Prices!C$2</f>
        <v>0</v>
      </c>
      <c r="N96" s="212">
        <f>G96*Prices!D$2</f>
        <v>0</v>
      </c>
      <c r="O96" s="212">
        <f>H96*Prices!E$2</f>
        <v>0</v>
      </c>
      <c r="P96" s="212">
        <f t="shared" si="11"/>
        <v>0</v>
      </c>
      <c r="Q96" s="212">
        <f>D96*Prices!$A$2</f>
        <v>0</v>
      </c>
      <c r="R96" s="212">
        <f t="shared" si="4"/>
        <v>0</v>
      </c>
      <c r="S96" s="212">
        <f t="shared" si="5"/>
        <v>0</v>
      </c>
      <c r="T96" s="212">
        <f t="shared" si="6"/>
        <v>0</v>
      </c>
      <c r="U96" s="212">
        <f t="shared" si="7"/>
        <v>0</v>
      </c>
      <c r="V96" s="213">
        <f>((D96*0.6)/11.664)*Prices!$A$4+E96*38000+F96*51900+G96*60900</f>
        <v>0</v>
      </c>
      <c r="W96" s="90"/>
      <c r="X96" s="90"/>
      <c r="Y96" s="90"/>
      <c r="Z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212">
        <f>E97*Prices!B$2</f>
        <v>0</v>
      </c>
      <c r="M97" s="212">
        <f>F97*Prices!C$2</f>
        <v>0</v>
      </c>
      <c r="N97" s="212">
        <f>G97*Prices!D$2</f>
        <v>0</v>
      </c>
      <c r="O97" s="212">
        <f>H97*Prices!E$2</f>
        <v>0</v>
      </c>
      <c r="P97" s="212">
        <f t="shared" si="11"/>
        <v>0</v>
      </c>
      <c r="Q97" s="212">
        <f>D97*Prices!$A$2</f>
        <v>0</v>
      </c>
      <c r="R97" s="212">
        <f t="shared" si="4"/>
        <v>0</v>
      </c>
      <c r="S97" s="212">
        <f t="shared" si="5"/>
        <v>0</v>
      </c>
      <c r="T97" s="212">
        <f t="shared" si="6"/>
        <v>0</v>
      </c>
      <c r="U97" s="212">
        <f t="shared" si="7"/>
        <v>0</v>
      </c>
      <c r="V97" s="213">
        <f>((D97*0.6)/11.664)*Prices!$A$4+E97*38000+F97*51900+G97*60900</f>
        <v>0</v>
      </c>
      <c r="W97" s="90"/>
      <c r="X97" s="90"/>
      <c r="Y97" s="90"/>
      <c r="Z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212">
        <f>E98*Prices!B$2</f>
        <v>0</v>
      </c>
      <c r="M98" s="212">
        <f>F98*Prices!C$2</f>
        <v>0</v>
      </c>
      <c r="N98" s="212">
        <f>G98*Prices!D$2</f>
        <v>0</v>
      </c>
      <c r="O98" s="212">
        <f>H98*Prices!E$2</f>
        <v>0</v>
      </c>
      <c r="P98" s="212">
        <f t="shared" si="11"/>
        <v>0</v>
      </c>
      <c r="Q98" s="212">
        <f>D98*Prices!$A$2</f>
        <v>0</v>
      </c>
      <c r="R98" s="212">
        <f t="shared" si="4"/>
        <v>0</v>
      </c>
      <c r="S98" s="212">
        <f t="shared" si="5"/>
        <v>0</v>
      </c>
      <c r="T98" s="212">
        <f t="shared" si="6"/>
        <v>0</v>
      </c>
      <c r="U98" s="212">
        <f t="shared" si="7"/>
        <v>0</v>
      </c>
      <c r="V98" s="213">
        <f>((D98*0.6)/11.664)*Prices!$A$4+E98*38000+F98*51900+G98*60900</f>
        <v>0</v>
      </c>
      <c r="W98" s="90"/>
      <c r="X98" s="90"/>
      <c r="Y98" s="90"/>
      <c r="Z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212">
        <f>E99*Prices!B$2</f>
        <v>0</v>
      </c>
      <c r="M99" s="212">
        <f>F99*Prices!C$2</f>
        <v>0</v>
      </c>
      <c r="N99" s="212">
        <f>G99*Prices!D$2</f>
        <v>0</v>
      </c>
      <c r="O99" s="212">
        <f>H99*Prices!E$2</f>
        <v>0</v>
      </c>
      <c r="P99" s="212">
        <f t="shared" si="11"/>
        <v>0</v>
      </c>
      <c r="Q99" s="212">
        <f>D99*Prices!$A$2</f>
        <v>0</v>
      </c>
      <c r="R99" s="212">
        <f t="shared" si="4"/>
        <v>0</v>
      </c>
      <c r="S99" s="212">
        <f t="shared" si="5"/>
        <v>0</v>
      </c>
      <c r="T99" s="212">
        <f t="shared" si="6"/>
        <v>0</v>
      </c>
      <c r="U99" s="212">
        <f t="shared" si="7"/>
        <v>0</v>
      </c>
      <c r="V99" s="213">
        <f>((D99*0.6)/11.664)*Prices!$A$4+E99*38000+F99*51900+G99*60900</f>
        <v>0</v>
      </c>
      <c r="W99" s="90"/>
      <c r="X99" s="90"/>
      <c r="Y99" s="90"/>
      <c r="Z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212">
        <f>E100*Prices!B$2</f>
        <v>0</v>
      </c>
      <c r="M100" s="212">
        <f>F100*Prices!C$2</f>
        <v>0</v>
      </c>
      <c r="N100" s="212">
        <f>G100*Prices!D$2</f>
        <v>0</v>
      </c>
      <c r="O100" s="212">
        <f>H100*Prices!E$2</f>
        <v>0</v>
      </c>
      <c r="P100" s="212">
        <f t="shared" si="11"/>
        <v>0</v>
      </c>
      <c r="Q100" s="212">
        <f>D100*Prices!$A$2</f>
        <v>0</v>
      </c>
      <c r="R100" s="212">
        <f t="shared" si="4"/>
        <v>0</v>
      </c>
      <c r="S100" s="212">
        <f t="shared" si="5"/>
        <v>0</v>
      </c>
      <c r="T100" s="212">
        <f t="shared" si="6"/>
        <v>0</v>
      </c>
      <c r="U100" s="212">
        <f t="shared" si="7"/>
        <v>0</v>
      </c>
      <c r="V100" s="213">
        <f>((D100*0.6)/11.664)*Prices!$A$4+E100*38000+F100*51900+G100*60900</f>
        <v>0</v>
      </c>
      <c r="W100" s="90"/>
      <c r="X100" s="90"/>
      <c r="Y100" s="90"/>
      <c r="Z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</sheetData>
  <conditionalFormatting sqref="U2:U1000">
    <cfRule type="containsText" dxfId="4" priority="1" operator="containsText" text="Available">
      <formula>NOT(ISERROR(SEARCH(("Available"),(U2))))</formula>
    </cfRule>
  </conditionalFormatting>
  <conditionalFormatting sqref="U2:U1000">
    <cfRule type="containsText" dxfId="5" priority="2" operator="containsText" text="Sold">
      <formula>NOT(ISERROR(SEARCH(("Sold"),(U2))))</formula>
    </cfRule>
  </conditionalFormatting>
  <conditionalFormatting sqref="U2:U1000">
    <cfRule type="containsText" dxfId="6" priority="3" operator="containsText" text="Return">
      <formula>NOT(ISERROR(SEARCH(("Return"),(U2))))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4.29"/>
    <col customWidth="1" min="3" max="3" width="15.0"/>
    <col customWidth="1" min="4" max="4" width="14.29"/>
    <col customWidth="1" min="5" max="5" width="11.57"/>
    <col customWidth="1" min="6" max="26" width="8.71"/>
  </cols>
  <sheetData>
    <row r="1" ht="18.75" customHeight="1">
      <c r="A1" s="214" t="s">
        <v>32</v>
      </c>
      <c r="B1" s="171" t="s">
        <v>65</v>
      </c>
      <c r="C1" s="171" t="s">
        <v>6</v>
      </c>
      <c r="D1" s="171" t="s">
        <v>66</v>
      </c>
      <c r="E1" s="171" t="s">
        <v>8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8.75" customHeight="1">
      <c r="A2" s="214">
        <v>17850.0</v>
      </c>
      <c r="B2" s="214">
        <v>110000.0</v>
      </c>
      <c r="C2" s="214">
        <v>160000.0</v>
      </c>
      <c r="D2" s="214">
        <v>195000.0</v>
      </c>
      <c r="E2" s="214">
        <v>350000.0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8.75" customHeight="1">
      <c r="A3" s="214">
        <v>17850.0</v>
      </c>
      <c r="B3" s="214">
        <v>110000.0</v>
      </c>
      <c r="C3" s="214">
        <v>160000.0</v>
      </c>
      <c r="D3" s="214">
        <v>195000.0</v>
      </c>
      <c r="E3" s="214">
        <v>350000.0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.75" customHeight="1">
      <c r="A4" s="214">
        <v>312000.0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12">
        <f>A4*0.6/11.664</f>
        <v>16049.38272</v>
      </c>
      <c r="B5" s="12">
        <f>A4/11.664</f>
        <v>26748.97119</v>
      </c>
      <c r="C5" s="12">
        <f>A5+1700</f>
        <v>17749.38272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8.75" customHeight="1">
      <c r="A6" s="12">
        <f>A3-A5</f>
        <v>1800.617284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8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8.75" customHeight="1">
      <c r="A8" s="12" t="s">
        <v>160</v>
      </c>
      <c r="B8" s="12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8.75" customHeight="1">
      <c r="A9" s="12" t="s">
        <v>0</v>
      </c>
      <c r="B9" s="12">
        <v>25.0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8.75" customHeight="1">
      <c r="A10" s="12" t="s">
        <v>72</v>
      </c>
      <c r="B10" s="12">
        <v>27.5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8.75" customHeight="1">
      <c r="A11" s="12" t="s">
        <v>161</v>
      </c>
      <c r="B11" s="12">
        <v>30.0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8.75" customHeight="1">
      <c r="A12" s="12" t="s">
        <v>162</v>
      </c>
      <c r="B12" s="12">
        <v>32.5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8.75" customHeight="1">
      <c r="A13" s="12" t="s">
        <v>163</v>
      </c>
      <c r="B13" s="12">
        <v>35.0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8.75" customHeight="1">
      <c r="A14" s="12" t="s">
        <v>164</v>
      </c>
      <c r="B14" s="12">
        <v>37.5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8.75" customHeight="1">
      <c r="A15" s="12" t="s">
        <v>165</v>
      </c>
      <c r="B15" s="12">
        <v>40.0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8.75" customHeight="1">
      <c r="A16" s="12" t="s">
        <v>31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8.75" customHeight="1">
      <c r="A17" s="12" t="s">
        <v>166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8.75" customHeight="1">
      <c r="A18" s="12" t="s">
        <v>167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8.75" customHeight="1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8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8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8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8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8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8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8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8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8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8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8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8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8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8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8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8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8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8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8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8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8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8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8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8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8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8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8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8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8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8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8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8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8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8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8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8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8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8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8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8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8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8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8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8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8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8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8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8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8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8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8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8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8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8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8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8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8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8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8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8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8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8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8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8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8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8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8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8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8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8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8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8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8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8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8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8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8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8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8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8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8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8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8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8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8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8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8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8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8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8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8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8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8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8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8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8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8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8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8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8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8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8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8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8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8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8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8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8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8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8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8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8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8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8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8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8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8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8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8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8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8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8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8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8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8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8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8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8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8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8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8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8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8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8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8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8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8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8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8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8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8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8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8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8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8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8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8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8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8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8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8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8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8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8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8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8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8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8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8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8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8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8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8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8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8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8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8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8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8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8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8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8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8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8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8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8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8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8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8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8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8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8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8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8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8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8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8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8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8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8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8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8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8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8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8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8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8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8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8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8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8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8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8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8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8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8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8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8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8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8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8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8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8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8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8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8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8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8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8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8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8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8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8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8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8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8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8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8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8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8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8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8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8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8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8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8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8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8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8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8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8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8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8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8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8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8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8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8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8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8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8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8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8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8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8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8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8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8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8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8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8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8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8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8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8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8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8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8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8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8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8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8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8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8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8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8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8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8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8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8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8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8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8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8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8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8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8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8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8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8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8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8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8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8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8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8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8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8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8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8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8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8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8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8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8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8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8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8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8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8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8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8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8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8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8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8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8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8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8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8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8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8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8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8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8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8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8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8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8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8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8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8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8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8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8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8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8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8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8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8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8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8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8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8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8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8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8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8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8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8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8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8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8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8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8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8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8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8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8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8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8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8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8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8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8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8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8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8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8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8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8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8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8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8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8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8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8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8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8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8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8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8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8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8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8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8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8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8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8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8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8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8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8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8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8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8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8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8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8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8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8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8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8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8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8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8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8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8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8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8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8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8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8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8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8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8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8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8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8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8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8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8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8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8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8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8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8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8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8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8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8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8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8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8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8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8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8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8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8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8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8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8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8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8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8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8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8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8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8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8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8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8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8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8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8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8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8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8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8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8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8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8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8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8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8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8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8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8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8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8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8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8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8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8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8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8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8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8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8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8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8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8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8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8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8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8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8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8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8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8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8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8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8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8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8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8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8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8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8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8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8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8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8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8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8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8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8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8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8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8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8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8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8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8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8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8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8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8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8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8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8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8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8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8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8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8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8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8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8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8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8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8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8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8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8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8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8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8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8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8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8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8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8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8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8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8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8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8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8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8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8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8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8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8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8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8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8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8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8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8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8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8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8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8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8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8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8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8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8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8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8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8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8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8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8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8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8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8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8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8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8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8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8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8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8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8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8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8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8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8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8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8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8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8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8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8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8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8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8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8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8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8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8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8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8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8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8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8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8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8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8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8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8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8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8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8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8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8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8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8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8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8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8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8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8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8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8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8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8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8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8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8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8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8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8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8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8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8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8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8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8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8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8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8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8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8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8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8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8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8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8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8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8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8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8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8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8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8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8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8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8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8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8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8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8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8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8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8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8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8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8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8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8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8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8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8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8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8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8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8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8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8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8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8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8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8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8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8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8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8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8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8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8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8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8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8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8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8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8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8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8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8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8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8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8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8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8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8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8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8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8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8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8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8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8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8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8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8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8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8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8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8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8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8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8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8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8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8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8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8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8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8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8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8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8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8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8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8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8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8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8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8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8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8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8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8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8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8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8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8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8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8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8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8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8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8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8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8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8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8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8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8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8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8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8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8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8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8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8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8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8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8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8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8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8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8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8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8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8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8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8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8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8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8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8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8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8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8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8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8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8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8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8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8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8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8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8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8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8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8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8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8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8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8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8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8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8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8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8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8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8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8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8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8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8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8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8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8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8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8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8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8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8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8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8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8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8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8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8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8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8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8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8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8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8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8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8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8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8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8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8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8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8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8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8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8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8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8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8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8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8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8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8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8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8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8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8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8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8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8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8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8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8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8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8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8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8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8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8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8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8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8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8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8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8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8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8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8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8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8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8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8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8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8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8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8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8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8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8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8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8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8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8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8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8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8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8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8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8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8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8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8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8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8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8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8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8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8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8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8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8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8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8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8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8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8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8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8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8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8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8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8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8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8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8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8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8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8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8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8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8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8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8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8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8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8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8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8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8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8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8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8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8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8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8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8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8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8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8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8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8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8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8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8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8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8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8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8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8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8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8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8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8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8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8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8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8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8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8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8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8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8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8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8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8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8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8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8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8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3" width="22.0"/>
    <col customWidth="1" min="4" max="4" width="10.57"/>
    <col customWidth="1" min="5" max="5" width="15.57"/>
    <col customWidth="1" min="6" max="6" width="14.29"/>
    <col customWidth="1" min="7" max="7" width="15.0"/>
    <col customWidth="1" min="8" max="8" width="14.29"/>
    <col customWidth="1" min="9" max="9" width="11.57"/>
    <col customWidth="1" min="10" max="10" width="7.43"/>
    <col customWidth="1" min="11" max="11" width="9.86"/>
    <col customWidth="1" min="12" max="12" width="8.14"/>
    <col customWidth="1" min="13" max="13" width="16.71"/>
    <col customWidth="1" min="14" max="14" width="12.86"/>
    <col customWidth="1" min="15" max="15" width="20.86"/>
    <col customWidth="1" min="16" max="16" width="21.71"/>
    <col customWidth="1" min="17" max="17" width="8.71"/>
    <col customWidth="1" min="18" max="18" width="11.71"/>
    <col customWidth="1" min="19" max="19" width="12.71"/>
    <col customWidth="1" min="20" max="20" width="8.71"/>
    <col customWidth="1" min="21" max="21" width="15.0"/>
    <col customWidth="1" min="22" max="22" width="15.57"/>
    <col customWidth="1" min="23" max="24" width="8.71"/>
    <col customWidth="1" min="25" max="25" width="20.0"/>
    <col customWidth="1" min="26" max="27" width="8.71"/>
  </cols>
  <sheetData>
    <row r="1" ht="18.75" customHeight="1">
      <c r="A1" s="30" t="s">
        <v>21</v>
      </c>
      <c r="B1" s="214" t="s">
        <v>168</v>
      </c>
      <c r="C1" s="214"/>
      <c r="D1" s="214" t="s">
        <v>169</v>
      </c>
      <c r="E1" s="214" t="s">
        <v>170</v>
      </c>
      <c r="F1" s="201" t="s">
        <v>65</v>
      </c>
      <c r="G1" s="201" t="s">
        <v>6</v>
      </c>
      <c r="H1" s="201" t="s">
        <v>66</v>
      </c>
      <c r="I1" s="201" t="s">
        <v>8</v>
      </c>
      <c r="J1" s="201" t="s">
        <v>9</v>
      </c>
      <c r="K1" s="201" t="s">
        <v>10</v>
      </c>
      <c r="L1" s="201" t="s">
        <v>11</v>
      </c>
      <c r="M1" s="201" t="s">
        <v>171</v>
      </c>
      <c r="N1" s="201" t="s">
        <v>172</v>
      </c>
      <c r="O1" s="201" t="s">
        <v>173</v>
      </c>
      <c r="P1" s="201" t="s">
        <v>174</v>
      </c>
      <c r="Q1" s="214" t="s">
        <v>169</v>
      </c>
      <c r="Z1" s="12"/>
      <c r="AA1" s="12"/>
    </row>
    <row r="2" ht="18.75" customHeight="1">
      <c r="A2" s="30" t="str">
        <f t="shared" ref="A2:A123" si="1">B2&amp;D2</f>
        <v>Jagganath41</v>
      </c>
      <c r="B2" s="215" t="s">
        <v>163</v>
      </c>
      <c r="C2" s="215"/>
      <c r="D2" s="12">
        <v>41.0</v>
      </c>
      <c r="E2" s="59">
        <f t="shared" ref="E2:E123" si="2">VLOOKUP(D2,INDIRECT("'"&amp;B2&amp;"'!$A$2:$S$999"), 2, 0)</f>
        <v>22.63</v>
      </c>
      <c r="F2" s="59">
        <f t="shared" ref="F2:F123" si="3">VLOOKUP(D2,INDIRECT("'"&amp;B2&amp;"'!$A$2:$S$999"), 5, 0)</f>
        <v>3.97</v>
      </c>
      <c r="G2" s="59" t="str">
        <f t="shared" ref="G2:G123" si="4">VLOOKUP(D2,INDIRECT("'"&amp;B2&amp;"'!$A$2:$S$999"), 6, 0)</f>
        <v/>
      </c>
      <c r="H2" s="59" t="str">
        <f t="shared" ref="H2:H123" si="5">VLOOKUP(D2,INDIRECT("'"&amp;B2&amp;"'!$A$2:$S$999"), 7, 0)</f>
        <v/>
      </c>
      <c r="I2" s="59" t="str">
        <f t="shared" ref="I2:I123" si="6">VLOOKUP(D2,INDIRECT("'"&amp;B2&amp;"'!$A$2:$S$999"), 8, 0)</f>
        <v/>
      </c>
      <c r="J2" s="59" t="str">
        <f t="shared" ref="J2:J123" si="7">VLOOKUP(D2,INDIRECT("'"&amp;B2&amp;"'!$A$2:$S$999"), 9, 0)</f>
        <v/>
      </c>
      <c r="K2" s="59" t="str">
        <f t="shared" ref="K2:K123" si="8">VLOOKUP(D2,INDIRECT("'"&amp;B2&amp;"'!$A$2:$S$999"), 10, 0)</f>
        <v/>
      </c>
      <c r="L2" s="59">
        <f t="shared" ref="L2:L123" si="9">VLOOKUP(D2,INDIRECT("'"&amp;B2&amp;"'!$A$2:$S$999"), 11, 0)</f>
        <v>12.58</v>
      </c>
      <c r="M2" s="12"/>
      <c r="N2" s="12"/>
      <c r="O2" s="12"/>
      <c r="P2" s="12" t="s">
        <v>175</v>
      </c>
      <c r="Q2" s="12">
        <f t="shared" ref="Q2:Q123" si="10">D2</f>
        <v>41</v>
      </c>
      <c r="R2" s="12"/>
      <c r="S2" s="12"/>
      <c r="T2" s="12"/>
      <c r="Z2" s="12"/>
      <c r="AA2" s="12"/>
    </row>
    <row r="3" ht="18.75" customHeight="1">
      <c r="A3" s="30" t="str">
        <f t="shared" si="1"/>
        <v>Jagganath42</v>
      </c>
      <c r="B3" s="215" t="s">
        <v>163</v>
      </c>
      <c r="C3" s="215"/>
      <c r="D3" s="12">
        <v>42.0</v>
      </c>
      <c r="E3" s="59">
        <f t="shared" si="2"/>
        <v>9.19</v>
      </c>
      <c r="F3" s="59">
        <f t="shared" si="3"/>
        <v>1.44</v>
      </c>
      <c r="G3" s="59" t="str">
        <f t="shared" si="4"/>
        <v/>
      </c>
      <c r="H3" s="59" t="str">
        <f t="shared" si="5"/>
        <v/>
      </c>
      <c r="I3" s="59" t="str">
        <f t="shared" si="6"/>
        <v/>
      </c>
      <c r="J3" s="59" t="str">
        <f t="shared" si="7"/>
        <v/>
      </c>
      <c r="K3" s="59" t="str">
        <f t="shared" si="8"/>
        <v/>
      </c>
      <c r="L3" s="59">
        <f t="shared" si="9"/>
        <v>5.52</v>
      </c>
      <c r="M3" s="12"/>
      <c r="N3" s="12"/>
      <c r="O3" s="12"/>
      <c r="P3" s="12" t="s">
        <v>176</v>
      </c>
      <c r="Q3" s="12">
        <f t="shared" si="10"/>
        <v>42</v>
      </c>
      <c r="R3" s="12"/>
      <c r="S3" s="12"/>
      <c r="T3" s="12"/>
      <c r="U3" s="12"/>
      <c r="V3" s="12"/>
      <c r="W3" s="12"/>
      <c r="X3" s="12"/>
      <c r="Y3" s="12"/>
      <c r="Z3" s="12"/>
      <c r="AA3" s="12" t="s">
        <v>177</v>
      </c>
      <c r="AB3" s="12" t="s">
        <v>178</v>
      </c>
    </row>
    <row r="4" ht="18.75" customHeight="1">
      <c r="A4" s="30" t="str">
        <f t="shared" si="1"/>
        <v>Jagganath15</v>
      </c>
      <c r="B4" s="215" t="s">
        <v>163</v>
      </c>
      <c r="C4" s="215"/>
      <c r="D4" s="12">
        <v>15.0</v>
      </c>
      <c r="E4" s="59">
        <f t="shared" si="2"/>
        <v>3.17</v>
      </c>
      <c r="F4" s="59">
        <f t="shared" si="3"/>
        <v>0.83</v>
      </c>
      <c r="G4" s="59" t="str">
        <f t="shared" si="4"/>
        <v/>
      </c>
      <c r="H4" s="59" t="str">
        <f t="shared" si="5"/>
        <v/>
      </c>
      <c r="I4" s="59" t="str">
        <f t="shared" si="6"/>
        <v/>
      </c>
      <c r="J4" s="59" t="str">
        <f t="shared" si="7"/>
        <v/>
      </c>
      <c r="K4" s="59" t="str">
        <f t="shared" si="8"/>
        <v/>
      </c>
      <c r="L4" s="59" t="str">
        <f t="shared" si="9"/>
        <v/>
      </c>
      <c r="M4" s="12">
        <f t="shared" ref="M4:M123" si="11">IF((SUM(F4:H4)&lt;0.42),$AA$4,((SUM(F4:H4)*$AA$5)))</f>
        <v>102.09</v>
      </c>
      <c r="N4" s="12">
        <f t="shared" ref="N4:N123" si="12">IF((SUM(F4:H4)&lt;0.42),$AB$4,((SUM(F4:H4)*$AB$5)))</f>
        <v>409.19</v>
      </c>
      <c r="O4" s="12">
        <f t="shared" ref="O4:O123" si="13">IF((SUM(F4:H4)&lt;0.42),$Z$4,((SUM(F4:H4)*$Z$5)))</f>
        <v>511.28</v>
      </c>
      <c r="P4" s="12" t="s">
        <v>179</v>
      </c>
      <c r="Q4" s="12">
        <f t="shared" si="10"/>
        <v>15</v>
      </c>
      <c r="R4" s="12"/>
      <c r="S4" s="12"/>
      <c r="U4" s="12" t="s">
        <v>180</v>
      </c>
      <c r="V4" s="12">
        <f>SUM(M2:M99)</f>
        <v>9647.14</v>
      </c>
      <c r="W4" s="12">
        <v>12000.0</v>
      </c>
      <c r="X4" s="12"/>
      <c r="Y4" s="12" t="s">
        <v>181</v>
      </c>
      <c r="Z4" s="12">
        <v>264.0</v>
      </c>
      <c r="AA4" s="12">
        <v>53.0</v>
      </c>
      <c r="AB4" s="12">
        <v>211.0</v>
      </c>
    </row>
    <row r="5" ht="18.75" customHeight="1">
      <c r="A5" s="30" t="str">
        <f t="shared" si="1"/>
        <v>Jagganath4</v>
      </c>
      <c r="B5" s="215" t="s">
        <v>163</v>
      </c>
      <c r="C5" s="215"/>
      <c r="D5" s="12">
        <v>4.0</v>
      </c>
      <c r="E5" s="59">
        <f t="shared" si="2"/>
        <v>2.97</v>
      </c>
      <c r="F5" s="59">
        <f t="shared" si="3"/>
        <v>0.85</v>
      </c>
      <c r="G5" s="59" t="str">
        <f t="shared" si="4"/>
        <v/>
      </c>
      <c r="H5" s="59" t="str">
        <f t="shared" si="5"/>
        <v/>
      </c>
      <c r="I5" s="59" t="str">
        <f t="shared" si="6"/>
        <v/>
      </c>
      <c r="J5" s="59" t="str">
        <f t="shared" si="7"/>
        <v/>
      </c>
      <c r="K5" s="59" t="str">
        <f t="shared" si="8"/>
        <v/>
      </c>
      <c r="L5" s="59" t="str">
        <f t="shared" si="9"/>
        <v/>
      </c>
      <c r="M5" s="12">
        <f t="shared" si="11"/>
        <v>104.55</v>
      </c>
      <c r="N5" s="12">
        <f t="shared" si="12"/>
        <v>419.05</v>
      </c>
      <c r="O5" s="12">
        <f t="shared" si="13"/>
        <v>523.6</v>
      </c>
      <c r="P5" s="12" t="s">
        <v>182</v>
      </c>
      <c r="Q5" s="12">
        <f t="shared" si="10"/>
        <v>4</v>
      </c>
      <c r="U5" s="12" t="s">
        <v>183</v>
      </c>
      <c r="V5" s="12">
        <f>SUM(N2:N99)</f>
        <v>38599.74</v>
      </c>
      <c r="W5" s="12"/>
      <c r="X5" s="12"/>
      <c r="Y5" s="12" t="s">
        <v>184</v>
      </c>
      <c r="Z5" s="12">
        <v>616.0</v>
      </c>
      <c r="AA5" s="12">
        <v>123.0</v>
      </c>
      <c r="AB5" s="12">
        <v>493.0</v>
      </c>
    </row>
    <row r="6" ht="18.75" customHeight="1">
      <c r="A6" s="30" t="str">
        <f t="shared" si="1"/>
        <v>Ladies Ring255</v>
      </c>
      <c r="B6" s="215" t="s">
        <v>0</v>
      </c>
      <c r="C6" s="215"/>
      <c r="D6" s="12">
        <v>255.0</v>
      </c>
      <c r="E6" s="59">
        <f t="shared" si="2"/>
        <v>3.85</v>
      </c>
      <c r="F6" s="59">
        <f t="shared" si="3"/>
        <v>0.78</v>
      </c>
      <c r="G6" s="59" t="str">
        <f t="shared" si="4"/>
        <v/>
      </c>
      <c r="H6" s="59" t="str">
        <f t="shared" si="5"/>
        <v/>
      </c>
      <c r="I6" s="59" t="str">
        <f t="shared" si="6"/>
        <v/>
      </c>
      <c r="J6" s="59" t="str">
        <f t="shared" si="7"/>
        <v/>
      </c>
      <c r="K6" s="59" t="str">
        <f t="shared" si="8"/>
        <v/>
      </c>
      <c r="L6" s="59" t="str">
        <f t="shared" si="9"/>
        <v/>
      </c>
      <c r="M6" s="12">
        <f t="shared" si="11"/>
        <v>95.94</v>
      </c>
      <c r="N6" s="12">
        <f t="shared" si="12"/>
        <v>384.54</v>
      </c>
      <c r="O6" s="12">
        <f t="shared" si="13"/>
        <v>480.48</v>
      </c>
      <c r="P6" s="12" t="s">
        <v>185</v>
      </c>
      <c r="Q6" s="12">
        <f t="shared" si="10"/>
        <v>255</v>
      </c>
      <c r="R6" s="12"/>
      <c r="S6" s="12"/>
      <c r="T6" s="12"/>
      <c r="U6" s="12" t="s">
        <v>186</v>
      </c>
      <c r="V6" s="12">
        <f>SUM(V4:V5)</f>
        <v>48246.88</v>
      </c>
      <c r="W6" s="12"/>
      <c r="X6" s="12"/>
      <c r="Y6" s="12" t="s">
        <v>187</v>
      </c>
      <c r="Z6" s="12">
        <v>1100.0</v>
      </c>
      <c r="AA6" s="12">
        <v>220.0</v>
      </c>
      <c r="AB6" s="12">
        <v>880.0</v>
      </c>
    </row>
    <row r="7" ht="18.75" customHeight="1">
      <c r="A7" s="30" t="str">
        <f t="shared" si="1"/>
        <v>Ladies Ring309</v>
      </c>
      <c r="B7" s="215" t="s">
        <v>0</v>
      </c>
      <c r="C7" s="215"/>
      <c r="D7" s="12">
        <v>309.0</v>
      </c>
      <c r="E7" s="59">
        <f t="shared" si="2"/>
        <v>4.386</v>
      </c>
      <c r="F7" s="59">
        <f t="shared" si="3"/>
        <v>0.72</v>
      </c>
      <c r="G7" s="59" t="str">
        <f t="shared" si="4"/>
        <v/>
      </c>
      <c r="H7" s="59" t="str">
        <f t="shared" si="5"/>
        <v/>
      </c>
      <c r="I7" s="59" t="str">
        <f t="shared" si="6"/>
        <v/>
      </c>
      <c r="J7" s="59" t="str">
        <f t="shared" si="7"/>
        <v/>
      </c>
      <c r="K7" s="59" t="str">
        <f t="shared" si="8"/>
        <v/>
      </c>
      <c r="L7" s="59" t="str">
        <f t="shared" si="9"/>
        <v/>
      </c>
      <c r="M7" s="12">
        <f t="shared" si="11"/>
        <v>88.56</v>
      </c>
      <c r="N7" s="12">
        <f t="shared" si="12"/>
        <v>354.96</v>
      </c>
      <c r="O7" s="12">
        <f t="shared" si="13"/>
        <v>443.52</v>
      </c>
      <c r="P7" s="12" t="s">
        <v>188</v>
      </c>
      <c r="Q7" s="12">
        <f t="shared" si="10"/>
        <v>309</v>
      </c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8.75" customHeight="1">
      <c r="A8" s="30" t="str">
        <f t="shared" si="1"/>
        <v>Ladies Ring157</v>
      </c>
      <c r="B8" s="215" t="s">
        <v>0</v>
      </c>
      <c r="C8" s="215"/>
      <c r="D8" s="12">
        <v>157.0</v>
      </c>
      <c r="E8" s="59">
        <f t="shared" si="2"/>
        <v>4.814</v>
      </c>
      <c r="F8" s="59">
        <f t="shared" si="3"/>
        <v>0.98</v>
      </c>
      <c r="G8" s="59" t="str">
        <f t="shared" si="4"/>
        <v/>
      </c>
      <c r="H8" s="59" t="str">
        <f t="shared" si="5"/>
        <v/>
      </c>
      <c r="I8" s="59" t="str">
        <f t="shared" si="6"/>
        <v/>
      </c>
      <c r="J8" s="59" t="str">
        <f t="shared" si="7"/>
        <v/>
      </c>
      <c r="K8" s="59" t="str">
        <f t="shared" si="8"/>
        <v/>
      </c>
      <c r="L8" s="59" t="str">
        <f t="shared" si="9"/>
        <v/>
      </c>
      <c r="M8" s="12">
        <f t="shared" si="11"/>
        <v>120.54</v>
      </c>
      <c r="N8" s="12">
        <f t="shared" si="12"/>
        <v>483.14</v>
      </c>
      <c r="O8" s="12">
        <f t="shared" si="13"/>
        <v>603.68</v>
      </c>
      <c r="P8" s="12" t="s">
        <v>189</v>
      </c>
      <c r="Q8" s="12">
        <f t="shared" si="10"/>
        <v>157</v>
      </c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8.75" customHeight="1">
      <c r="A9" s="30" t="str">
        <f t="shared" si="1"/>
        <v>Ladies Ring294</v>
      </c>
      <c r="B9" s="215" t="s">
        <v>0</v>
      </c>
      <c r="C9" s="215"/>
      <c r="D9" s="12">
        <v>294.0</v>
      </c>
      <c r="E9" s="59">
        <f t="shared" si="2"/>
        <v>6.332</v>
      </c>
      <c r="F9" s="59">
        <f t="shared" si="3"/>
        <v>1.04</v>
      </c>
      <c r="G9" s="59" t="str">
        <f t="shared" si="4"/>
        <v/>
      </c>
      <c r="H9" s="59" t="str">
        <f t="shared" si="5"/>
        <v/>
      </c>
      <c r="I9" s="59" t="str">
        <f t="shared" si="6"/>
        <v/>
      </c>
      <c r="J9" s="59" t="str">
        <f t="shared" si="7"/>
        <v/>
      </c>
      <c r="K9" s="59" t="str">
        <f t="shared" si="8"/>
        <v/>
      </c>
      <c r="L9" s="59" t="str">
        <f t="shared" si="9"/>
        <v/>
      </c>
      <c r="M9" s="12">
        <f t="shared" si="11"/>
        <v>127.92</v>
      </c>
      <c r="N9" s="12">
        <f t="shared" si="12"/>
        <v>512.72</v>
      </c>
      <c r="O9" s="12">
        <f t="shared" si="13"/>
        <v>640.64</v>
      </c>
      <c r="P9" s="12" t="s">
        <v>190</v>
      </c>
      <c r="Q9" s="12">
        <f t="shared" si="10"/>
        <v>294</v>
      </c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8.75" customHeight="1">
      <c r="A10" s="30" t="str">
        <f t="shared" si="1"/>
        <v>Ladies Ring338</v>
      </c>
      <c r="B10" s="215" t="s">
        <v>0</v>
      </c>
      <c r="C10" s="215"/>
      <c r="D10" s="12">
        <v>338.0</v>
      </c>
      <c r="E10" s="59">
        <f t="shared" si="2"/>
        <v>2.952</v>
      </c>
      <c r="F10" s="59">
        <f t="shared" si="3"/>
        <v>0.49</v>
      </c>
      <c r="G10" s="59" t="str">
        <f t="shared" si="4"/>
        <v/>
      </c>
      <c r="H10" s="59" t="str">
        <f t="shared" si="5"/>
        <v/>
      </c>
      <c r="I10" s="59" t="str">
        <f t="shared" si="6"/>
        <v/>
      </c>
      <c r="J10" s="59" t="str">
        <f t="shared" si="7"/>
        <v/>
      </c>
      <c r="K10" s="59" t="str">
        <f t="shared" si="8"/>
        <v/>
      </c>
      <c r="L10" s="59" t="str">
        <f t="shared" si="9"/>
        <v/>
      </c>
      <c r="M10" s="12">
        <f t="shared" si="11"/>
        <v>60.27</v>
      </c>
      <c r="N10" s="12">
        <f t="shared" si="12"/>
        <v>241.57</v>
      </c>
      <c r="O10" s="12">
        <f t="shared" si="13"/>
        <v>301.84</v>
      </c>
      <c r="P10" s="12" t="s">
        <v>191</v>
      </c>
      <c r="Q10" s="12">
        <f t="shared" si="10"/>
        <v>338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8.75" customHeight="1">
      <c r="A11" s="30" t="str">
        <f t="shared" si="1"/>
        <v>Jagganath7</v>
      </c>
      <c r="B11" s="215" t="s">
        <v>163</v>
      </c>
      <c r="C11" s="215"/>
      <c r="D11" s="12">
        <v>7.0</v>
      </c>
      <c r="E11" s="59">
        <f t="shared" si="2"/>
        <v>3.55</v>
      </c>
      <c r="F11" s="59">
        <f t="shared" si="3"/>
        <v>0.83</v>
      </c>
      <c r="G11" s="59" t="str">
        <f t="shared" si="4"/>
        <v/>
      </c>
      <c r="H11" s="59" t="str">
        <f t="shared" si="5"/>
        <v/>
      </c>
      <c r="I11" s="59" t="str">
        <f t="shared" si="6"/>
        <v/>
      </c>
      <c r="J11" s="59" t="str">
        <f t="shared" si="7"/>
        <v/>
      </c>
      <c r="K11" s="59" t="str">
        <f t="shared" si="8"/>
        <v/>
      </c>
      <c r="L11" s="59" t="str">
        <f t="shared" si="9"/>
        <v/>
      </c>
      <c r="M11" s="12">
        <f t="shared" si="11"/>
        <v>102.09</v>
      </c>
      <c r="N11" s="12">
        <f t="shared" si="12"/>
        <v>409.19</v>
      </c>
      <c r="O11" s="12">
        <f t="shared" si="13"/>
        <v>511.28</v>
      </c>
      <c r="P11" s="12" t="s">
        <v>192</v>
      </c>
      <c r="Q11" s="12">
        <f t="shared" si="10"/>
        <v>7</v>
      </c>
      <c r="U11" s="12"/>
      <c r="V11" s="12"/>
      <c r="W11" s="12"/>
      <c r="X11" s="12"/>
      <c r="Y11" s="12"/>
      <c r="Z11" s="12"/>
      <c r="AA11" s="12"/>
    </row>
    <row r="12" ht="18.75" customHeight="1">
      <c r="A12" s="30" t="str">
        <f t="shared" si="1"/>
        <v>Jagganath14</v>
      </c>
      <c r="B12" s="215" t="s">
        <v>163</v>
      </c>
      <c r="C12" s="215"/>
      <c r="D12" s="12">
        <v>14.0</v>
      </c>
      <c r="E12" s="59">
        <f t="shared" si="2"/>
        <v>3.18</v>
      </c>
      <c r="F12" s="59">
        <f t="shared" si="3"/>
        <v>0.85</v>
      </c>
      <c r="G12" s="59" t="str">
        <f t="shared" si="4"/>
        <v/>
      </c>
      <c r="H12" s="59" t="str">
        <f t="shared" si="5"/>
        <v/>
      </c>
      <c r="I12" s="59" t="str">
        <f t="shared" si="6"/>
        <v/>
      </c>
      <c r="J12" s="59" t="str">
        <f t="shared" si="7"/>
        <v/>
      </c>
      <c r="K12" s="59" t="str">
        <f t="shared" si="8"/>
        <v/>
      </c>
      <c r="L12" s="59" t="str">
        <f t="shared" si="9"/>
        <v/>
      </c>
      <c r="M12" s="12">
        <f t="shared" si="11"/>
        <v>104.55</v>
      </c>
      <c r="N12" s="12">
        <f t="shared" si="12"/>
        <v>419.05</v>
      </c>
      <c r="O12" s="12">
        <f t="shared" si="13"/>
        <v>523.6</v>
      </c>
      <c r="P12" s="12" t="s">
        <v>193</v>
      </c>
      <c r="Q12" s="12">
        <f t="shared" si="10"/>
        <v>14</v>
      </c>
      <c r="R12" s="12"/>
      <c r="S12" s="12"/>
      <c r="U12" s="12"/>
      <c r="V12" s="12"/>
      <c r="W12" s="12"/>
      <c r="X12" s="12"/>
      <c r="Y12" s="12"/>
      <c r="Z12" s="12"/>
      <c r="AA12" s="12"/>
    </row>
    <row r="13" ht="18.75" customHeight="1">
      <c r="A13" s="30" t="str">
        <f t="shared" si="1"/>
        <v>Jagganath1</v>
      </c>
      <c r="B13" s="215" t="s">
        <v>163</v>
      </c>
      <c r="C13" s="215"/>
      <c r="D13" s="12">
        <v>1.0</v>
      </c>
      <c r="E13" s="59">
        <f t="shared" si="2"/>
        <v>3.23</v>
      </c>
      <c r="F13" s="59">
        <f t="shared" si="3"/>
        <v>0.81</v>
      </c>
      <c r="G13" s="59" t="str">
        <f t="shared" si="4"/>
        <v/>
      </c>
      <c r="H13" s="59" t="str">
        <f t="shared" si="5"/>
        <v/>
      </c>
      <c r="I13" s="59" t="str">
        <f t="shared" si="6"/>
        <v/>
      </c>
      <c r="J13" s="59" t="str">
        <f t="shared" si="7"/>
        <v/>
      </c>
      <c r="K13" s="59" t="str">
        <f t="shared" si="8"/>
        <v/>
      </c>
      <c r="L13" s="59" t="str">
        <f t="shared" si="9"/>
        <v/>
      </c>
      <c r="M13" s="12">
        <f t="shared" si="11"/>
        <v>99.63</v>
      </c>
      <c r="N13" s="12">
        <f t="shared" si="12"/>
        <v>399.33</v>
      </c>
      <c r="O13" s="12">
        <f t="shared" si="13"/>
        <v>498.96</v>
      </c>
      <c r="P13" s="12" t="s">
        <v>194</v>
      </c>
      <c r="Q13" s="12">
        <f t="shared" si="10"/>
        <v>1</v>
      </c>
      <c r="U13" s="12"/>
      <c r="V13" s="12"/>
      <c r="W13" s="12"/>
      <c r="X13" s="12"/>
      <c r="Y13" s="12"/>
      <c r="Z13" s="12"/>
      <c r="AA13" s="12"/>
    </row>
    <row r="14" ht="18.75" customHeight="1">
      <c r="A14" s="30" t="str">
        <f t="shared" si="1"/>
        <v>Ladies Ring329</v>
      </c>
      <c r="B14" s="215" t="s">
        <v>0</v>
      </c>
      <c r="C14" s="215"/>
      <c r="D14" s="12">
        <v>329.0</v>
      </c>
      <c r="E14" s="59">
        <f t="shared" si="2"/>
        <v>4.447</v>
      </c>
      <c r="F14" s="59">
        <f t="shared" si="3"/>
        <v>0.67</v>
      </c>
      <c r="G14" s="59" t="str">
        <f t="shared" si="4"/>
        <v/>
      </c>
      <c r="H14" s="59" t="str">
        <f t="shared" si="5"/>
        <v/>
      </c>
      <c r="I14" s="59" t="str">
        <f t="shared" si="6"/>
        <v/>
      </c>
      <c r="J14" s="59" t="str">
        <f t="shared" si="7"/>
        <v/>
      </c>
      <c r="K14" s="59" t="str">
        <f t="shared" si="8"/>
        <v/>
      </c>
      <c r="L14" s="59" t="str">
        <f t="shared" si="9"/>
        <v/>
      </c>
      <c r="M14" s="12">
        <f t="shared" si="11"/>
        <v>82.41</v>
      </c>
      <c r="N14" s="12">
        <f t="shared" si="12"/>
        <v>330.31</v>
      </c>
      <c r="O14" s="12">
        <f t="shared" si="13"/>
        <v>412.72</v>
      </c>
      <c r="P14" s="12" t="s">
        <v>195</v>
      </c>
      <c r="Q14" s="12">
        <f t="shared" si="10"/>
        <v>329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8.75" customHeight="1">
      <c r="A15" s="30" t="str">
        <f t="shared" si="1"/>
        <v>Ladies Ring313</v>
      </c>
      <c r="B15" s="215" t="s">
        <v>0</v>
      </c>
      <c r="C15" s="215"/>
      <c r="D15" s="12">
        <v>313.0</v>
      </c>
      <c r="E15" s="59">
        <f t="shared" si="2"/>
        <v>3.744</v>
      </c>
      <c r="F15" s="59">
        <f t="shared" si="3"/>
        <v>1.03</v>
      </c>
      <c r="G15" s="59" t="str">
        <f t="shared" si="4"/>
        <v/>
      </c>
      <c r="H15" s="59" t="str">
        <f t="shared" si="5"/>
        <v/>
      </c>
      <c r="I15" s="59" t="str">
        <f t="shared" si="6"/>
        <v/>
      </c>
      <c r="J15" s="59" t="str">
        <f t="shared" si="7"/>
        <v/>
      </c>
      <c r="K15" s="59" t="str">
        <f t="shared" si="8"/>
        <v/>
      </c>
      <c r="L15" s="59" t="str">
        <f t="shared" si="9"/>
        <v/>
      </c>
      <c r="M15" s="12">
        <f t="shared" si="11"/>
        <v>126.69</v>
      </c>
      <c r="N15" s="12">
        <f t="shared" si="12"/>
        <v>507.79</v>
      </c>
      <c r="O15" s="12">
        <f t="shared" si="13"/>
        <v>634.48</v>
      </c>
      <c r="P15" s="12" t="s">
        <v>196</v>
      </c>
      <c r="Q15" s="12">
        <f t="shared" si="10"/>
        <v>313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8.75" customHeight="1">
      <c r="A16" s="30" t="str">
        <f t="shared" si="1"/>
        <v>Ladies Ring199</v>
      </c>
      <c r="B16" s="215" t="s">
        <v>0</v>
      </c>
      <c r="C16" s="215"/>
      <c r="D16" s="12">
        <v>199.0</v>
      </c>
      <c r="E16" s="59">
        <f t="shared" si="2"/>
        <v>3.166</v>
      </c>
      <c r="F16" s="59">
        <f t="shared" si="3"/>
        <v>0.89</v>
      </c>
      <c r="G16" s="59">
        <f t="shared" si="4"/>
        <v>0.08</v>
      </c>
      <c r="H16" s="59" t="str">
        <f t="shared" si="5"/>
        <v/>
      </c>
      <c r="I16" s="59" t="str">
        <f t="shared" si="6"/>
        <v/>
      </c>
      <c r="J16" s="59" t="str">
        <f t="shared" si="7"/>
        <v/>
      </c>
      <c r="K16" s="59" t="str">
        <f t="shared" si="8"/>
        <v/>
      </c>
      <c r="L16" s="59" t="str">
        <f t="shared" si="9"/>
        <v/>
      </c>
      <c r="M16" s="12">
        <f t="shared" si="11"/>
        <v>119.31</v>
      </c>
      <c r="N16" s="12">
        <f t="shared" si="12"/>
        <v>478.21</v>
      </c>
      <c r="O16" s="12">
        <f t="shared" si="13"/>
        <v>597.52</v>
      </c>
      <c r="P16" s="12" t="s">
        <v>197</v>
      </c>
      <c r="Q16" s="12">
        <f t="shared" si="10"/>
        <v>199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8.75" customHeight="1">
      <c r="A17" s="30" t="str">
        <f t="shared" si="1"/>
        <v>Ladies Ring228</v>
      </c>
      <c r="B17" s="215" t="s">
        <v>0</v>
      </c>
      <c r="C17" s="215"/>
      <c r="D17" s="12">
        <v>228.0</v>
      </c>
      <c r="E17" s="59">
        <f t="shared" si="2"/>
        <v>5.27</v>
      </c>
      <c r="F17" s="59">
        <f t="shared" si="3"/>
        <v>0.71</v>
      </c>
      <c r="G17" s="59" t="str">
        <f t="shared" si="4"/>
        <v/>
      </c>
      <c r="H17" s="59" t="str">
        <f t="shared" si="5"/>
        <v/>
      </c>
      <c r="I17" s="59" t="str">
        <f t="shared" si="6"/>
        <v/>
      </c>
      <c r="J17" s="59" t="str">
        <f t="shared" si="7"/>
        <v/>
      </c>
      <c r="K17" s="59" t="str">
        <f t="shared" si="8"/>
        <v/>
      </c>
      <c r="L17" s="59" t="str">
        <f t="shared" si="9"/>
        <v/>
      </c>
      <c r="M17" s="12">
        <f t="shared" si="11"/>
        <v>87.33</v>
      </c>
      <c r="N17" s="12">
        <f t="shared" si="12"/>
        <v>350.03</v>
      </c>
      <c r="O17" s="12">
        <f t="shared" si="13"/>
        <v>437.36</v>
      </c>
      <c r="P17" s="12" t="s">
        <v>198</v>
      </c>
      <c r="Q17" s="12">
        <f t="shared" si="10"/>
        <v>228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8.75" customHeight="1">
      <c r="A18" s="30" t="str">
        <f t="shared" si="1"/>
        <v>Ladies Ring337</v>
      </c>
      <c r="B18" s="215" t="s">
        <v>0</v>
      </c>
      <c r="C18" s="215"/>
      <c r="D18" s="12">
        <v>337.0</v>
      </c>
      <c r="E18" s="59">
        <f t="shared" si="2"/>
        <v>3.442</v>
      </c>
      <c r="F18" s="59">
        <f t="shared" si="3"/>
        <v>0.54</v>
      </c>
      <c r="G18" s="59" t="str">
        <f t="shared" si="4"/>
        <v/>
      </c>
      <c r="H18" s="59" t="str">
        <f t="shared" si="5"/>
        <v/>
      </c>
      <c r="I18" s="59" t="str">
        <f t="shared" si="6"/>
        <v/>
      </c>
      <c r="J18" s="59" t="str">
        <f t="shared" si="7"/>
        <v/>
      </c>
      <c r="K18" s="59" t="str">
        <f t="shared" si="8"/>
        <v/>
      </c>
      <c r="L18" s="59" t="str">
        <f t="shared" si="9"/>
        <v/>
      </c>
      <c r="M18" s="12">
        <f t="shared" si="11"/>
        <v>66.42</v>
      </c>
      <c r="N18" s="12">
        <f t="shared" si="12"/>
        <v>266.22</v>
      </c>
      <c r="O18" s="12">
        <f t="shared" si="13"/>
        <v>332.64</v>
      </c>
      <c r="P18" s="12" t="s">
        <v>199</v>
      </c>
      <c r="Q18" s="12">
        <f t="shared" si="10"/>
        <v>337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8.75" customHeight="1">
      <c r="A19" s="30" t="str">
        <f t="shared" si="1"/>
        <v>Ladies Ring12</v>
      </c>
      <c r="B19" s="215" t="s">
        <v>0</v>
      </c>
      <c r="C19" s="215">
        <v>1419.0</v>
      </c>
      <c r="D19" s="12">
        <v>12.0</v>
      </c>
      <c r="E19" s="59">
        <f t="shared" si="2"/>
        <v>1.568</v>
      </c>
      <c r="F19" s="59">
        <f t="shared" si="3"/>
        <v>0.36</v>
      </c>
      <c r="G19" s="59" t="str">
        <f t="shared" si="4"/>
        <v/>
      </c>
      <c r="H19" s="59" t="str">
        <f t="shared" si="5"/>
        <v/>
      </c>
      <c r="I19" s="59" t="str">
        <f t="shared" si="6"/>
        <v/>
      </c>
      <c r="J19" s="59" t="str">
        <f t="shared" si="7"/>
        <v/>
      </c>
      <c r="K19" s="59" t="str">
        <f t="shared" si="8"/>
        <v/>
      </c>
      <c r="L19" s="59" t="str">
        <f t="shared" si="9"/>
        <v/>
      </c>
      <c r="M19" s="12">
        <f t="shared" si="11"/>
        <v>53</v>
      </c>
      <c r="N19" s="12">
        <f t="shared" si="12"/>
        <v>211</v>
      </c>
      <c r="O19" s="12">
        <f t="shared" si="13"/>
        <v>264</v>
      </c>
      <c r="P19" s="12" t="s">
        <v>200</v>
      </c>
      <c r="Q19" s="12">
        <f t="shared" si="10"/>
        <v>12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8.75" customHeight="1">
      <c r="A20" s="30" t="str">
        <f t="shared" si="1"/>
        <v>Ladies Ring163</v>
      </c>
      <c r="B20" s="215" t="s">
        <v>0</v>
      </c>
      <c r="C20" s="215">
        <v>2242.0</v>
      </c>
      <c r="D20" s="12">
        <v>163.0</v>
      </c>
      <c r="E20" s="59">
        <f t="shared" si="2"/>
        <v>3.82</v>
      </c>
      <c r="F20" s="59">
        <f t="shared" si="3"/>
        <v>0.2</v>
      </c>
      <c r="G20" s="59" t="str">
        <f t="shared" si="4"/>
        <v/>
      </c>
      <c r="H20" s="59" t="str">
        <f t="shared" si="5"/>
        <v/>
      </c>
      <c r="I20" s="59" t="str">
        <f t="shared" si="6"/>
        <v/>
      </c>
      <c r="J20" s="59" t="str">
        <f t="shared" si="7"/>
        <v/>
      </c>
      <c r="K20" s="59" t="str">
        <f t="shared" si="8"/>
        <v/>
      </c>
      <c r="L20" s="59" t="str">
        <f t="shared" si="9"/>
        <v/>
      </c>
      <c r="M20" s="12">
        <f t="shared" si="11"/>
        <v>53</v>
      </c>
      <c r="N20" s="12">
        <f t="shared" si="12"/>
        <v>211</v>
      </c>
      <c r="O20" s="12">
        <f t="shared" si="13"/>
        <v>264</v>
      </c>
      <c r="P20" s="12" t="s">
        <v>201</v>
      </c>
      <c r="Q20" s="12">
        <f t="shared" si="10"/>
        <v>163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8.75" customHeight="1">
      <c r="A21" s="30" t="str">
        <f t="shared" si="1"/>
        <v>Ladies Ring289</v>
      </c>
      <c r="B21" s="215" t="s">
        <v>0</v>
      </c>
      <c r="C21" s="215">
        <v>4647.0</v>
      </c>
      <c r="D21" s="12">
        <v>289.0</v>
      </c>
      <c r="E21" s="59">
        <f t="shared" si="2"/>
        <v>2.386</v>
      </c>
      <c r="F21" s="59">
        <f t="shared" si="3"/>
        <v>0.22</v>
      </c>
      <c r="G21" s="59" t="str">
        <f t="shared" si="4"/>
        <v/>
      </c>
      <c r="H21" s="59" t="str">
        <f t="shared" si="5"/>
        <v/>
      </c>
      <c r="I21" s="59" t="str">
        <f t="shared" si="6"/>
        <v/>
      </c>
      <c r="J21" s="59" t="str">
        <f t="shared" si="7"/>
        <v/>
      </c>
      <c r="K21" s="59" t="str">
        <f t="shared" si="8"/>
        <v/>
      </c>
      <c r="L21" s="59" t="str">
        <f t="shared" si="9"/>
        <v/>
      </c>
      <c r="M21" s="12">
        <f t="shared" si="11"/>
        <v>53</v>
      </c>
      <c r="N21" s="12">
        <f t="shared" si="12"/>
        <v>211</v>
      </c>
      <c r="O21" s="12">
        <f t="shared" si="13"/>
        <v>264</v>
      </c>
      <c r="P21" s="12" t="s">
        <v>202</v>
      </c>
      <c r="Q21" s="12">
        <f t="shared" si="10"/>
        <v>289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8.75" customHeight="1">
      <c r="A22" s="30" t="str">
        <f t="shared" si="1"/>
        <v>Ladies Ring270</v>
      </c>
      <c r="B22" s="215" t="s">
        <v>0</v>
      </c>
      <c r="C22" s="215">
        <v>3451.0</v>
      </c>
      <c r="D22" s="12">
        <v>270.0</v>
      </c>
      <c r="E22" s="59">
        <f t="shared" si="2"/>
        <v>1.512</v>
      </c>
      <c r="F22" s="59">
        <f t="shared" si="3"/>
        <v>0.19</v>
      </c>
      <c r="G22" s="59" t="str">
        <f t="shared" si="4"/>
        <v/>
      </c>
      <c r="H22" s="59" t="str">
        <f t="shared" si="5"/>
        <v/>
      </c>
      <c r="I22" s="59" t="str">
        <f t="shared" si="6"/>
        <v/>
      </c>
      <c r="J22" s="59" t="str">
        <f t="shared" si="7"/>
        <v/>
      </c>
      <c r="K22" s="59" t="str">
        <f t="shared" si="8"/>
        <v/>
      </c>
      <c r="L22" s="59" t="str">
        <f t="shared" si="9"/>
        <v/>
      </c>
      <c r="M22" s="12">
        <f t="shared" si="11"/>
        <v>53</v>
      </c>
      <c r="N22" s="12">
        <f t="shared" si="12"/>
        <v>211</v>
      </c>
      <c r="O22" s="12">
        <f t="shared" si="13"/>
        <v>264</v>
      </c>
      <c r="P22" s="12" t="s">
        <v>203</v>
      </c>
      <c r="Q22" s="12">
        <f t="shared" si="10"/>
        <v>270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8.75" customHeight="1">
      <c r="A23" s="30" t="str">
        <f t="shared" si="1"/>
        <v>Ladies Ring75</v>
      </c>
      <c r="B23" s="215" t="s">
        <v>0</v>
      </c>
      <c r="C23" s="215">
        <v>1818.0</v>
      </c>
      <c r="D23" s="12">
        <v>75.0</v>
      </c>
      <c r="E23" s="59">
        <f t="shared" si="2"/>
        <v>2.398</v>
      </c>
      <c r="F23" s="59">
        <f t="shared" si="3"/>
        <v>0.26</v>
      </c>
      <c r="G23" s="59" t="str">
        <f t="shared" si="4"/>
        <v/>
      </c>
      <c r="H23" s="59" t="str">
        <f t="shared" si="5"/>
        <v/>
      </c>
      <c r="I23" s="59" t="str">
        <f t="shared" si="6"/>
        <v/>
      </c>
      <c r="J23" s="59" t="str">
        <f t="shared" si="7"/>
        <v/>
      </c>
      <c r="K23" s="59" t="str">
        <f t="shared" si="8"/>
        <v/>
      </c>
      <c r="L23" s="59" t="str">
        <f t="shared" si="9"/>
        <v/>
      </c>
      <c r="M23" s="12">
        <f t="shared" si="11"/>
        <v>53</v>
      </c>
      <c r="N23" s="12">
        <f t="shared" si="12"/>
        <v>211</v>
      </c>
      <c r="O23" s="12">
        <f t="shared" si="13"/>
        <v>264</v>
      </c>
      <c r="P23" s="12" t="s">
        <v>204</v>
      </c>
      <c r="Q23" s="12">
        <f t="shared" si="10"/>
        <v>75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8.75" customHeight="1">
      <c r="A24" s="30" t="str">
        <f t="shared" si="1"/>
        <v>Ladies Ring312</v>
      </c>
      <c r="B24" s="215" t="s">
        <v>0</v>
      </c>
      <c r="C24" s="215">
        <v>2296.0</v>
      </c>
      <c r="D24" s="12">
        <v>312.0</v>
      </c>
      <c r="E24" s="59">
        <f t="shared" si="2"/>
        <v>2.414</v>
      </c>
      <c r="F24" s="59">
        <f t="shared" si="3"/>
        <v>0.28</v>
      </c>
      <c r="G24" s="59" t="str">
        <f t="shared" si="4"/>
        <v/>
      </c>
      <c r="H24" s="59" t="str">
        <f t="shared" si="5"/>
        <v/>
      </c>
      <c r="I24" s="59" t="str">
        <f t="shared" si="6"/>
        <v/>
      </c>
      <c r="J24" s="59" t="str">
        <f t="shared" si="7"/>
        <v/>
      </c>
      <c r="K24" s="59" t="str">
        <f t="shared" si="8"/>
        <v/>
      </c>
      <c r="L24" s="59" t="str">
        <f t="shared" si="9"/>
        <v/>
      </c>
      <c r="M24" s="12">
        <f t="shared" si="11"/>
        <v>53</v>
      </c>
      <c r="N24" s="12">
        <f t="shared" si="12"/>
        <v>211</v>
      </c>
      <c r="O24" s="12">
        <f t="shared" si="13"/>
        <v>264</v>
      </c>
      <c r="P24" s="12" t="s">
        <v>205</v>
      </c>
      <c r="Q24" s="12">
        <f t="shared" si="10"/>
        <v>312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8.75" customHeight="1">
      <c r="A25" s="30" t="str">
        <f t="shared" si="1"/>
        <v>Ladies Ring269</v>
      </c>
      <c r="B25" s="215" t="s">
        <v>0</v>
      </c>
      <c r="C25" s="215">
        <v>2936.0</v>
      </c>
      <c r="D25" s="12">
        <v>269.0</v>
      </c>
      <c r="E25" s="59">
        <f t="shared" si="2"/>
        <v>2.86</v>
      </c>
      <c r="F25" s="59">
        <f t="shared" si="3"/>
        <v>0.35</v>
      </c>
      <c r="G25" s="59" t="str">
        <f t="shared" si="4"/>
        <v/>
      </c>
      <c r="H25" s="59" t="str">
        <f t="shared" si="5"/>
        <v/>
      </c>
      <c r="I25" s="59" t="str">
        <f t="shared" si="6"/>
        <v/>
      </c>
      <c r="J25" s="59" t="str">
        <f t="shared" si="7"/>
        <v/>
      </c>
      <c r="K25" s="59" t="str">
        <f t="shared" si="8"/>
        <v/>
      </c>
      <c r="L25" s="59" t="str">
        <f t="shared" si="9"/>
        <v/>
      </c>
      <c r="M25" s="12">
        <f t="shared" si="11"/>
        <v>53</v>
      </c>
      <c r="N25" s="12">
        <f t="shared" si="12"/>
        <v>211</v>
      </c>
      <c r="O25" s="12">
        <f t="shared" si="13"/>
        <v>264</v>
      </c>
      <c r="P25" s="12" t="s">
        <v>206</v>
      </c>
      <c r="Q25" s="12">
        <f t="shared" si="10"/>
        <v>269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8.75" customHeight="1">
      <c r="A26" s="30" t="str">
        <f t="shared" si="1"/>
        <v>Ladies Ring344</v>
      </c>
      <c r="B26" s="215" t="s">
        <v>0</v>
      </c>
      <c r="C26" s="215">
        <v>3063.0</v>
      </c>
      <c r="D26" s="12">
        <v>344.0</v>
      </c>
      <c r="E26" s="59">
        <f t="shared" si="2"/>
        <v>1.974</v>
      </c>
      <c r="F26" s="59">
        <f t="shared" si="3"/>
        <v>0.13</v>
      </c>
      <c r="G26" s="59" t="str">
        <f t="shared" si="4"/>
        <v/>
      </c>
      <c r="H26" s="59" t="str">
        <f t="shared" si="5"/>
        <v/>
      </c>
      <c r="I26" s="59" t="str">
        <f t="shared" si="6"/>
        <v/>
      </c>
      <c r="J26" s="59" t="str">
        <f t="shared" si="7"/>
        <v/>
      </c>
      <c r="K26" s="59" t="str">
        <f t="shared" si="8"/>
        <v/>
      </c>
      <c r="L26" s="59" t="str">
        <f t="shared" si="9"/>
        <v/>
      </c>
      <c r="M26" s="12">
        <f t="shared" si="11"/>
        <v>53</v>
      </c>
      <c r="N26" s="12">
        <f t="shared" si="12"/>
        <v>211</v>
      </c>
      <c r="O26" s="12">
        <f t="shared" si="13"/>
        <v>264</v>
      </c>
      <c r="P26" s="12" t="s">
        <v>207</v>
      </c>
      <c r="Q26" s="12">
        <f t="shared" si="10"/>
        <v>344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8.75" customHeight="1">
      <c r="A27" s="30" t="str">
        <f t="shared" si="1"/>
        <v>Ladies Ring342</v>
      </c>
      <c r="B27" s="215" t="s">
        <v>0</v>
      </c>
      <c r="C27" s="215">
        <v>3110.0</v>
      </c>
      <c r="D27" s="12">
        <v>342.0</v>
      </c>
      <c r="E27" s="59">
        <f t="shared" si="2"/>
        <v>1.64</v>
      </c>
      <c r="F27" s="59">
        <f t="shared" si="3"/>
        <v>0.15</v>
      </c>
      <c r="G27" s="59" t="str">
        <f t="shared" si="4"/>
        <v/>
      </c>
      <c r="H27" s="59" t="str">
        <f t="shared" si="5"/>
        <v/>
      </c>
      <c r="I27" s="59" t="str">
        <f t="shared" si="6"/>
        <v/>
      </c>
      <c r="J27" s="59" t="str">
        <f t="shared" si="7"/>
        <v/>
      </c>
      <c r="K27" s="59" t="str">
        <f t="shared" si="8"/>
        <v/>
      </c>
      <c r="L27" s="59" t="str">
        <f t="shared" si="9"/>
        <v/>
      </c>
      <c r="M27" s="12">
        <f t="shared" si="11"/>
        <v>53</v>
      </c>
      <c r="N27" s="12">
        <f t="shared" si="12"/>
        <v>211</v>
      </c>
      <c r="O27" s="12">
        <f t="shared" si="13"/>
        <v>264</v>
      </c>
      <c r="P27" s="12" t="s">
        <v>208</v>
      </c>
      <c r="Q27" s="12">
        <f t="shared" si="10"/>
        <v>342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8.75" customHeight="1">
      <c r="A28" s="30" t="str">
        <f t="shared" si="1"/>
        <v>Ladies Ring341</v>
      </c>
      <c r="B28" s="215" t="s">
        <v>0</v>
      </c>
      <c r="C28" s="215">
        <v>2714.0</v>
      </c>
      <c r="D28" s="12">
        <v>341.0</v>
      </c>
      <c r="E28" s="59">
        <f t="shared" si="2"/>
        <v>1.264</v>
      </c>
      <c r="F28" s="59">
        <f t="shared" si="3"/>
        <v>0.23</v>
      </c>
      <c r="G28" s="59" t="str">
        <f t="shared" si="4"/>
        <v/>
      </c>
      <c r="H28" s="59" t="str">
        <f t="shared" si="5"/>
        <v/>
      </c>
      <c r="I28" s="59" t="str">
        <f t="shared" si="6"/>
        <v/>
      </c>
      <c r="J28" s="59" t="str">
        <f t="shared" si="7"/>
        <v/>
      </c>
      <c r="K28" s="59" t="str">
        <f t="shared" si="8"/>
        <v/>
      </c>
      <c r="L28" s="59" t="str">
        <f t="shared" si="9"/>
        <v/>
      </c>
      <c r="M28" s="12">
        <f t="shared" si="11"/>
        <v>53</v>
      </c>
      <c r="N28" s="12">
        <f t="shared" si="12"/>
        <v>211</v>
      </c>
      <c r="O28" s="12">
        <f t="shared" si="13"/>
        <v>264</v>
      </c>
      <c r="P28" s="12" t="s">
        <v>209</v>
      </c>
      <c r="Q28" s="12">
        <f t="shared" si="10"/>
        <v>341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8.75" customHeight="1">
      <c r="A29" s="30" t="str">
        <f t="shared" si="1"/>
        <v>Ladies Ring261</v>
      </c>
      <c r="B29" s="215" t="s">
        <v>0</v>
      </c>
      <c r="C29" s="215">
        <v>2543.0</v>
      </c>
      <c r="D29" s="12">
        <v>261.0</v>
      </c>
      <c r="E29" s="59">
        <f t="shared" si="2"/>
        <v>1.82</v>
      </c>
      <c r="F29" s="59">
        <f t="shared" si="3"/>
        <v>0.25</v>
      </c>
      <c r="G29" s="59" t="str">
        <f t="shared" si="4"/>
        <v/>
      </c>
      <c r="H29" s="59" t="str">
        <f t="shared" si="5"/>
        <v/>
      </c>
      <c r="I29" s="59" t="str">
        <f t="shared" si="6"/>
        <v/>
      </c>
      <c r="J29" s="59" t="str">
        <f t="shared" si="7"/>
        <v/>
      </c>
      <c r="K29" s="59" t="str">
        <f t="shared" si="8"/>
        <v/>
      </c>
      <c r="L29" s="59" t="str">
        <f t="shared" si="9"/>
        <v/>
      </c>
      <c r="M29" s="12">
        <f t="shared" si="11"/>
        <v>53</v>
      </c>
      <c r="N29" s="12">
        <f t="shared" si="12"/>
        <v>211</v>
      </c>
      <c r="O29" s="12">
        <f t="shared" si="13"/>
        <v>264</v>
      </c>
      <c r="P29" s="12" t="s">
        <v>210</v>
      </c>
      <c r="Q29" s="12">
        <f t="shared" si="10"/>
        <v>261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8.75" customHeight="1">
      <c r="A30" s="30" t="str">
        <f t="shared" si="1"/>
        <v>Ladies Ring249</v>
      </c>
      <c r="B30" s="215" t="s">
        <v>0</v>
      </c>
      <c r="C30" s="215">
        <v>3384.0</v>
      </c>
      <c r="D30" s="12">
        <v>249.0</v>
      </c>
      <c r="E30" s="59">
        <f t="shared" si="2"/>
        <v>3.12</v>
      </c>
      <c r="F30" s="59">
        <f t="shared" si="3"/>
        <v>0.31</v>
      </c>
      <c r="G30" s="59" t="str">
        <f t="shared" si="4"/>
        <v/>
      </c>
      <c r="H30" s="59" t="str">
        <f t="shared" si="5"/>
        <v/>
      </c>
      <c r="I30" s="59" t="str">
        <f t="shared" si="6"/>
        <v/>
      </c>
      <c r="J30" s="59" t="str">
        <f t="shared" si="7"/>
        <v/>
      </c>
      <c r="K30" s="59" t="str">
        <f t="shared" si="8"/>
        <v/>
      </c>
      <c r="L30" s="59">
        <f t="shared" si="9"/>
        <v>4.99</v>
      </c>
      <c r="M30" s="12">
        <f t="shared" si="11"/>
        <v>53</v>
      </c>
      <c r="N30" s="12">
        <f t="shared" si="12"/>
        <v>211</v>
      </c>
      <c r="O30" s="12">
        <f t="shared" si="13"/>
        <v>264</v>
      </c>
      <c r="P30" s="12" t="s">
        <v>211</v>
      </c>
      <c r="Q30" s="12">
        <f t="shared" si="10"/>
        <v>249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8.75" customHeight="1">
      <c r="A31" s="30" t="str">
        <f t="shared" si="1"/>
        <v>Ladies Ring195</v>
      </c>
      <c r="B31" s="215" t="s">
        <v>0</v>
      </c>
      <c r="C31" s="215">
        <v>2139.0</v>
      </c>
      <c r="D31" s="12">
        <v>195.0</v>
      </c>
      <c r="E31" s="59">
        <f t="shared" si="2"/>
        <v>2.248</v>
      </c>
      <c r="F31" s="59">
        <f t="shared" si="3"/>
        <v>0.31</v>
      </c>
      <c r="G31" s="59" t="str">
        <f t="shared" si="4"/>
        <v/>
      </c>
      <c r="H31" s="59" t="str">
        <f t="shared" si="5"/>
        <v/>
      </c>
      <c r="I31" s="59" t="str">
        <f t="shared" si="6"/>
        <v/>
      </c>
      <c r="J31" s="59" t="str">
        <f t="shared" si="7"/>
        <v/>
      </c>
      <c r="K31" s="59" t="str">
        <f t="shared" si="8"/>
        <v/>
      </c>
      <c r="L31" s="59" t="str">
        <f t="shared" si="9"/>
        <v/>
      </c>
      <c r="M31" s="12">
        <f t="shared" si="11"/>
        <v>53</v>
      </c>
      <c r="N31" s="12">
        <f t="shared" si="12"/>
        <v>211</v>
      </c>
      <c r="O31" s="12">
        <f t="shared" si="13"/>
        <v>264</v>
      </c>
      <c r="P31" s="12" t="s">
        <v>212</v>
      </c>
      <c r="Q31" s="12">
        <f t="shared" si="10"/>
        <v>195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8.75" customHeight="1">
      <c r="A32" s="30" t="str">
        <f t="shared" si="1"/>
        <v>Ladies Ring340</v>
      </c>
      <c r="B32" s="215" t="s">
        <v>0</v>
      </c>
      <c r="C32" s="215">
        <v>3151.0</v>
      </c>
      <c r="D32" s="12">
        <v>340.0</v>
      </c>
      <c r="E32" s="59">
        <f t="shared" si="2"/>
        <v>1.77</v>
      </c>
      <c r="F32" s="59">
        <f t="shared" si="3"/>
        <v>0.1</v>
      </c>
      <c r="G32" s="59" t="str">
        <f t="shared" si="4"/>
        <v/>
      </c>
      <c r="H32" s="59" t="str">
        <f t="shared" si="5"/>
        <v/>
      </c>
      <c r="I32" s="59" t="str">
        <f t="shared" si="6"/>
        <v/>
      </c>
      <c r="J32" s="59" t="str">
        <f t="shared" si="7"/>
        <v/>
      </c>
      <c r="K32" s="59" t="str">
        <f t="shared" si="8"/>
        <v/>
      </c>
      <c r="L32" s="59" t="str">
        <f t="shared" si="9"/>
        <v/>
      </c>
      <c r="M32" s="12">
        <f t="shared" si="11"/>
        <v>53</v>
      </c>
      <c r="N32" s="12">
        <f t="shared" si="12"/>
        <v>211</v>
      </c>
      <c r="O32" s="12">
        <f t="shared" si="13"/>
        <v>264</v>
      </c>
      <c r="P32" s="12" t="s">
        <v>213</v>
      </c>
      <c r="Q32" s="12">
        <f t="shared" si="10"/>
        <v>340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8.75" customHeight="1">
      <c r="A33" s="30" t="str">
        <f t="shared" si="1"/>
        <v>Ladies Ring6</v>
      </c>
      <c r="B33" s="215" t="s">
        <v>0</v>
      </c>
      <c r="C33" s="215">
        <v>1029.0</v>
      </c>
      <c r="D33" s="12">
        <v>6.0</v>
      </c>
      <c r="E33" s="59">
        <f t="shared" si="2"/>
        <v>1.95</v>
      </c>
      <c r="F33" s="59">
        <f t="shared" si="3"/>
        <v>0.33</v>
      </c>
      <c r="G33" s="59" t="str">
        <f t="shared" si="4"/>
        <v/>
      </c>
      <c r="H33" s="59" t="str">
        <f t="shared" si="5"/>
        <v/>
      </c>
      <c r="I33" s="59" t="str">
        <f t="shared" si="6"/>
        <v/>
      </c>
      <c r="J33" s="59" t="str">
        <f t="shared" si="7"/>
        <v/>
      </c>
      <c r="K33" s="59" t="str">
        <f t="shared" si="8"/>
        <v/>
      </c>
      <c r="L33" s="59" t="str">
        <f t="shared" si="9"/>
        <v/>
      </c>
      <c r="M33" s="12">
        <f t="shared" si="11"/>
        <v>53</v>
      </c>
      <c r="N33" s="12">
        <f t="shared" si="12"/>
        <v>211</v>
      </c>
      <c r="O33" s="12">
        <f t="shared" si="13"/>
        <v>264</v>
      </c>
      <c r="P33" s="12" t="s">
        <v>214</v>
      </c>
      <c r="Q33" s="12">
        <f t="shared" si="10"/>
        <v>6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8.75" customHeight="1">
      <c r="A34" s="30" t="str">
        <f t="shared" si="1"/>
        <v>Ladies Ring229</v>
      </c>
      <c r="B34" s="215" t="s">
        <v>0</v>
      </c>
      <c r="C34" s="215">
        <v>2831.0</v>
      </c>
      <c r="D34" s="12">
        <v>229.0</v>
      </c>
      <c r="E34" s="59">
        <f t="shared" si="2"/>
        <v>2.134</v>
      </c>
      <c r="F34" s="59">
        <f t="shared" si="3"/>
        <v>0.38</v>
      </c>
      <c r="G34" s="59" t="str">
        <f t="shared" si="4"/>
        <v/>
      </c>
      <c r="H34" s="59" t="str">
        <f t="shared" si="5"/>
        <v/>
      </c>
      <c r="I34" s="59" t="str">
        <f t="shared" si="6"/>
        <v/>
      </c>
      <c r="J34" s="59" t="str">
        <f t="shared" si="7"/>
        <v/>
      </c>
      <c r="K34" s="59" t="str">
        <f t="shared" si="8"/>
        <v/>
      </c>
      <c r="L34" s="59" t="str">
        <f t="shared" si="9"/>
        <v/>
      </c>
      <c r="M34" s="12">
        <f t="shared" si="11"/>
        <v>53</v>
      </c>
      <c r="N34" s="12">
        <f t="shared" si="12"/>
        <v>211</v>
      </c>
      <c r="O34" s="12">
        <f t="shared" si="13"/>
        <v>264</v>
      </c>
      <c r="P34" s="12" t="s">
        <v>215</v>
      </c>
      <c r="Q34" s="12">
        <f t="shared" si="10"/>
        <v>229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8.75" customHeight="1">
      <c r="A35" s="30" t="str">
        <f t="shared" si="1"/>
        <v>Ladies Ring264</v>
      </c>
      <c r="B35" s="215" t="s">
        <v>0</v>
      </c>
      <c r="C35" s="215">
        <v>3480.0</v>
      </c>
      <c r="D35" s="12">
        <v>264.0</v>
      </c>
      <c r="E35" s="59">
        <f t="shared" si="2"/>
        <v>1.554</v>
      </c>
      <c r="F35" s="59">
        <f t="shared" si="3"/>
        <v>0.28</v>
      </c>
      <c r="G35" s="59" t="str">
        <f t="shared" si="4"/>
        <v/>
      </c>
      <c r="H35" s="59" t="str">
        <f t="shared" si="5"/>
        <v/>
      </c>
      <c r="I35" s="59" t="str">
        <f t="shared" si="6"/>
        <v/>
      </c>
      <c r="J35" s="59" t="str">
        <f t="shared" si="7"/>
        <v/>
      </c>
      <c r="K35" s="59" t="str">
        <f t="shared" si="8"/>
        <v/>
      </c>
      <c r="L35" s="59" t="str">
        <f t="shared" si="9"/>
        <v/>
      </c>
      <c r="M35" s="12">
        <f t="shared" si="11"/>
        <v>53</v>
      </c>
      <c r="N35" s="12">
        <f t="shared" si="12"/>
        <v>211</v>
      </c>
      <c r="O35" s="12">
        <f t="shared" si="13"/>
        <v>264</v>
      </c>
      <c r="P35" s="12" t="s">
        <v>216</v>
      </c>
      <c r="Q35" s="12">
        <f t="shared" si="10"/>
        <v>264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8.75" customHeight="1">
      <c r="A36" s="30" t="str">
        <f t="shared" si="1"/>
        <v>Ladies Ring68</v>
      </c>
      <c r="B36" s="215" t="s">
        <v>0</v>
      </c>
      <c r="C36" s="215">
        <v>2009.0</v>
      </c>
      <c r="D36" s="12">
        <v>68.0</v>
      </c>
      <c r="E36" s="59">
        <f t="shared" si="2"/>
        <v>1.92</v>
      </c>
      <c r="F36" s="59">
        <f t="shared" si="3"/>
        <v>0.3</v>
      </c>
      <c r="G36" s="59" t="str">
        <f t="shared" si="4"/>
        <v/>
      </c>
      <c r="H36" s="59" t="str">
        <f t="shared" si="5"/>
        <v/>
      </c>
      <c r="I36" s="59" t="str">
        <f t="shared" si="6"/>
        <v/>
      </c>
      <c r="J36" s="59" t="str">
        <f t="shared" si="7"/>
        <v/>
      </c>
      <c r="K36" s="59" t="str">
        <f t="shared" si="8"/>
        <v/>
      </c>
      <c r="L36" s="59" t="str">
        <f t="shared" si="9"/>
        <v/>
      </c>
      <c r="M36" s="12">
        <f t="shared" si="11"/>
        <v>53</v>
      </c>
      <c r="N36" s="12">
        <f t="shared" si="12"/>
        <v>211</v>
      </c>
      <c r="O36" s="12">
        <f t="shared" si="13"/>
        <v>264</v>
      </c>
      <c r="P36" s="12" t="s">
        <v>217</v>
      </c>
      <c r="Q36" s="12">
        <f t="shared" si="10"/>
        <v>68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8.75" customHeight="1">
      <c r="A37" s="30" t="str">
        <f t="shared" si="1"/>
        <v>Ladies Ring70</v>
      </c>
      <c r="B37" s="215" t="s">
        <v>0</v>
      </c>
      <c r="C37" s="215">
        <v>485.0</v>
      </c>
      <c r="D37" s="12">
        <v>70.0</v>
      </c>
      <c r="E37" s="59">
        <f t="shared" si="2"/>
        <v>2.4</v>
      </c>
      <c r="F37" s="59">
        <f t="shared" si="3"/>
        <v>0.21</v>
      </c>
      <c r="G37" s="59" t="str">
        <f t="shared" si="4"/>
        <v/>
      </c>
      <c r="H37" s="59" t="str">
        <f t="shared" si="5"/>
        <v/>
      </c>
      <c r="I37" s="59" t="str">
        <f t="shared" si="6"/>
        <v/>
      </c>
      <c r="J37" s="59" t="str">
        <f t="shared" si="7"/>
        <v/>
      </c>
      <c r="K37" s="59" t="str">
        <f t="shared" si="8"/>
        <v/>
      </c>
      <c r="L37" s="59" t="str">
        <f t="shared" si="9"/>
        <v/>
      </c>
      <c r="M37" s="12">
        <f t="shared" si="11"/>
        <v>53</v>
      </c>
      <c r="N37" s="12">
        <f t="shared" si="12"/>
        <v>211</v>
      </c>
      <c r="O37" s="12">
        <f t="shared" si="13"/>
        <v>264</v>
      </c>
      <c r="P37" s="12" t="s">
        <v>218</v>
      </c>
      <c r="Q37" s="12">
        <f t="shared" si="10"/>
        <v>70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8.75" customHeight="1">
      <c r="A38" s="30" t="str">
        <f t="shared" si="1"/>
        <v>Ladies Ring239</v>
      </c>
      <c r="B38" s="215" t="s">
        <v>0</v>
      </c>
      <c r="C38" s="215">
        <v>3076.0</v>
      </c>
      <c r="D38" s="12">
        <v>239.0</v>
      </c>
      <c r="E38" s="59">
        <f t="shared" si="2"/>
        <v>3.338</v>
      </c>
      <c r="F38" s="59">
        <f t="shared" si="3"/>
        <v>0.41</v>
      </c>
      <c r="G38" s="59" t="str">
        <f t="shared" si="4"/>
        <v/>
      </c>
      <c r="H38" s="59" t="str">
        <f t="shared" si="5"/>
        <v/>
      </c>
      <c r="I38" s="59" t="str">
        <f t="shared" si="6"/>
        <v/>
      </c>
      <c r="J38" s="59" t="str">
        <f t="shared" si="7"/>
        <v/>
      </c>
      <c r="K38" s="59" t="str">
        <f t="shared" si="8"/>
        <v/>
      </c>
      <c r="L38" s="59" t="str">
        <f t="shared" si="9"/>
        <v/>
      </c>
      <c r="M38" s="12">
        <f t="shared" si="11"/>
        <v>53</v>
      </c>
      <c r="N38" s="12">
        <f t="shared" si="12"/>
        <v>211</v>
      </c>
      <c r="O38" s="12">
        <f t="shared" si="13"/>
        <v>264</v>
      </c>
      <c r="P38" s="12" t="s">
        <v>219</v>
      </c>
      <c r="Q38" s="12">
        <f t="shared" si="10"/>
        <v>239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8.75" customHeight="1">
      <c r="A39" s="30" t="str">
        <f t="shared" si="1"/>
        <v>Ladies Ring272</v>
      </c>
      <c r="B39" s="215" t="s">
        <v>0</v>
      </c>
      <c r="C39" s="215">
        <v>2589.0</v>
      </c>
      <c r="D39" s="12">
        <v>272.0</v>
      </c>
      <c r="E39" s="59">
        <f t="shared" si="2"/>
        <v>3.268</v>
      </c>
      <c r="F39" s="59">
        <f t="shared" si="3"/>
        <v>0.41</v>
      </c>
      <c r="G39" s="59" t="str">
        <f t="shared" si="4"/>
        <v/>
      </c>
      <c r="H39" s="59" t="str">
        <f t="shared" si="5"/>
        <v/>
      </c>
      <c r="I39" s="59" t="str">
        <f t="shared" si="6"/>
        <v/>
      </c>
      <c r="J39" s="59" t="str">
        <f t="shared" si="7"/>
        <v/>
      </c>
      <c r="K39" s="59" t="str">
        <f t="shared" si="8"/>
        <v/>
      </c>
      <c r="L39" s="59" t="str">
        <f t="shared" si="9"/>
        <v/>
      </c>
      <c r="M39" s="12">
        <f t="shared" si="11"/>
        <v>53</v>
      </c>
      <c r="N39" s="12">
        <f t="shared" si="12"/>
        <v>211</v>
      </c>
      <c r="O39" s="12">
        <f t="shared" si="13"/>
        <v>264</v>
      </c>
      <c r="P39" s="12" t="s">
        <v>220</v>
      </c>
      <c r="Q39" s="12">
        <f t="shared" si="10"/>
        <v>272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8.75" customHeight="1">
      <c r="A40" s="30" t="str">
        <f t="shared" si="1"/>
        <v>Ladies Ring78</v>
      </c>
      <c r="B40" s="215" t="s">
        <v>0</v>
      </c>
      <c r="C40" s="215">
        <v>1038.0</v>
      </c>
      <c r="D40" s="12">
        <v>78.0</v>
      </c>
      <c r="E40" s="59">
        <f t="shared" si="2"/>
        <v>3.13</v>
      </c>
      <c r="F40" s="59">
        <f t="shared" si="3"/>
        <v>0.25</v>
      </c>
      <c r="G40" s="59" t="str">
        <f t="shared" si="4"/>
        <v/>
      </c>
      <c r="H40" s="59" t="str">
        <f t="shared" si="5"/>
        <v/>
      </c>
      <c r="I40" s="59" t="str">
        <f t="shared" si="6"/>
        <v/>
      </c>
      <c r="J40" s="59" t="str">
        <f t="shared" si="7"/>
        <v/>
      </c>
      <c r="K40" s="59" t="str">
        <f t="shared" si="8"/>
        <v/>
      </c>
      <c r="L40" s="59" t="str">
        <f t="shared" si="9"/>
        <v/>
      </c>
      <c r="M40" s="12">
        <f t="shared" si="11"/>
        <v>53</v>
      </c>
      <c r="N40" s="12">
        <f t="shared" si="12"/>
        <v>211</v>
      </c>
      <c r="O40" s="12">
        <f t="shared" si="13"/>
        <v>264</v>
      </c>
      <c r="P40" s="12" t="s">
        <v>221</v>
      </c>
      <c r="Q40" s="12">
        <f t="shared" si="10"/>
        <v>78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8.75" customHeight="1">
      <c r="A41" s="30" t="str">
        <f t="shared" si="1"/>
        <v>Ladies Ring27</v>
      </c>
      <c r="B41" s="215" t="s">
        <v>0</v>
      </c>
      <c r="C41" s="215">
        <v>1828.0</v>
      </c>
      <c r="D41" s="12">
        <v>27.0</v>
      </c>
      <c r="E41" s="59">
        <f t="shared" si="2"/>
        <v>2.76</v>
      </c>
      <c r="F41" s="59">
        <f t="shared" si="3"/>
        <v>0.33</v>
      </c>
      <c r="G41" s="59" t="str">
        <f t="shared" si="4"/>
        <v/>
      </c>
      <c r="H41" s="59" t="str">
        <f t="shared" si="5"/>
        <v/>
      </c>
      <c r="I41" s="59" t="str">
        <f t="shared" si="6"/>
        <v/>
      </c>
      <c r="J41" s="59" t="str">
        <f t="shared" si="7"/>
        <v/>
      </c>
      <c r="K41" s="59" t="str">
        <f t="shared" si="8"/>
        <v/>
      </c>
      <c r="L41" s="59" t="str">
        <f t="shared" si="9"/>
        <v/>
      </c>
      <c r="M41" s="12">
        <f t="shared" si="11"/>
        <v>53</v>
      </c>
      <c r="N41" s="12">
        <f t="shared" si="12"/>
        <v>211</v>
      </c>
      <c r="O41" s="12">
        <f t="shared" si="13"/>
        <v>264</v>
      </c>
      <c r="P41" s="12" t="s">
        <v>222</v>
      </c>
      <c r="Q41" s="12">
        <f t="shared" si="10"/>
        <v>27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8.75" customHeight="1">
      <c r="A42" s="30" t="str">
        <f t="shared" si="1"/>
        <v>Ladies Ring248</v>
      </c>
      <c r="B42" s="215" t="s">
        <v>0</v>
      </c>
      <c r="C42" s="215">
        <v>3253.0</v>
      </c>
      <c r="D42" s="12">
        <v>248.0</v>
      </c>
      <c r="E42" s="59">
        <f t="shared" si="2"/>
        <v>2.296</v>
      </c>
      <c r="F42" s="59">
        <f t="shared" si="3"/>
        <v>0.22</v>
      </c>
      <c r="G42" s="59" t="str">
        <f t="shared" si="4"/>
        <v/>
      </c>
      <c r="H42" s="59" t="str">
        <f t="shared" si="5"/>
        <v/>
      </c>
      <c r="I42" s="59" t="str">
        <f t="shared" si="6"/>
        <v/>
      </c>
      <c r="J42" s="59" t="str">
        <f t="shared" si="7"/>
        <v/>
      </c>
      <c r="K42" s="59" t="str">
        <f t="shared" si="8"/>
        <v/>
      </c>
      <c r="L42" s="59" t="str">
        <f t="shared" si="9"/>
        <v/>
      </c>
      <c r="M42" s="12">
        <f t="shared" si="11"/>
        <v>53</v>
      </c>
      <c r="N42" s="12">
        <f t="shared" si="12"/>
        <v>211</v>
      </c>
      <c r="O42" s="12">
        <f t="shared" si="13"/>
        <v>264</v>
      </c>
      <c r="P42" s="12" t="s">
        <v>223</v>
      </c>
      <c r="Q42" s="12">
        <f t="shared" si="10"/>
        <v>248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8.75" customHeight="1">
      <c r="A43" s="30" t="str">
        <f t="shared" si="1"/>
        <v>Ladies Ring303</v>
      </c>
      <c r="B43" s="215" t="s">
        <v>0</v>
      </c>
      <c r="C43" s="215">
        <v>1048.0</v>
      </c>
      <c r="D43" s="12">
        <v>303.0</v>
      </c>
      <c r="E43" s="59">
        <f t="shared" si="2"/>
        <v>3.75</v>
      </c>
      <c r="F43" s="59">
        <f t="shared" si="3"/>
        <v>0.1</v>
      </c>
      <c r="G43" s="59" t="str">
        <f t="shared" si="4"/>
        <v/>
      </c>
      <c r="H43" s="59" t="str">
        <f t="shared" si="5"/>
        <v/>
      </c>
      <c r="I43" s="59" t="str">
        <f t="shared" si="6"/>
        <v/>
      </c>
      <c r="J43" s="59" t="str">
        <f t="shared" si="7"/>
        <v/>
      </c>
      <c r="K43" s="59" t="str">
        <f t="shared" si="8"/>
        <v/>
      </c>
      <c r="L43" s="59" t="str">
        <f t="shared" si="9"/>
        <v/>
      </c>
      <c r="M43" s="12">
        <f t="shared" si="11"/>
        <v>53</v>
      </c>
      <c r="N43" s="12">
        <f t="shared" si="12"/>
        <v>211</v>
      </c>
      <c r="O43" s="12">
        <f t="shared" si="13"/>
        <v>264</v>
      </c>
      <c r="P43" s="12" t="s">
        <v>224</v>
      </c>
      <c r="Q43" s="12">
        <f t="shared" si="10"/>
        <v>303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8.75" customHeight="1">
      <c r="A44" s="30" t="str">
        <f t="shared" si="1"/>
        <v>Ladies Ring268</v>
      </c>
      <c r="B44" s="215" t="s">
        <v>0</v>
      </c>
      <c r="C44" s="215">
        <v>3467.0</v>
      </c>
      <c r="D44" s="12">
        <v>268.0</v>
      </c>
      <c r="E44" s="59">
        <f t="shared" si="2"/>
        <v>1.512</v>
      </c>
      <c r="F44" s="59">
        <f t="shared" si="3"/>
        <v>0.19</v>
      </c>
      <c r="G44" s="59" t="str">
        <f t="shared" si="4"/>
        <v/>
      </c>
      <c r="H44" s="59" t="str">
        <f t="shared" si="5"/>
        <v/>
      </c>
      <c r="I44" s="59" t="str">
        <f t="shared" si="6"/>
        <v/>
      </c>
      <c r="J44" s="59" t="str">
        <f t="shared" si="7"/>
        <v/>
      </c>
      <c r="K44" s="59" t="str">
        <f t="shared" si="8"/>
        <v/>
      </c>
      <c r="L44" s="59" t="str">
        <f t="shared" si="9"/>
        <v/>
      </c>
      <c r="M44" s="12">
        <f t="shared" si="11"/>
        <v>53</v>
      </c>
      <c r="N44" s="12">
        <f t="shared" si="12"/>
        <v>211</v>
      </c>
      <c r="O44" s="12">
        <f t="shared" si="13"/>
        <v>264</v>
      </c>
      <c r="P44" s="12" t="s">
        <v>225</v>
      </c>
      <c r="Q44" s="12">
        <f t="shared" si="10"/>
        <v>268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8.75" customHeight="1">
      <c r="A45" s="30" t="str">
        <f t="shared" si="1"/>
        <v>Ladies Ring316</v>
      </c>
      <c r="B45" s="215" t="s">
        <v>0</v>
      </c>
      <c r="C45" s="215">
        <v>2384.0</v>
      </c>
      <c r="D45" s="12">
        <v>316.0</v>
      </c>
      <c r="E45" s="59">
        <f t="shared" si="2"/>
        <v>3.506</v>
      </c>
      <c r="F45" s="59">
        <f t="shared" si="3"/>
        <v>0.27</v>
      </c>
      <c r="G45" s="59" t="str">
        <f t="shared" si="4"/>
        <v/>
      </c>
      <c r="H45" s="59" t="str">
        <f t="shared" si="5"/>
        <v/>
      </c>
      <c r="I45" s="59" t="str">
        <f t="shared" si="6"/>
        <v/>
      </c>
      <c r="J45" s="59" t="str">
        <f t="shared" si="7"/>
        <v/>
      </c>
      <c r="K45" s="59" t="str">
        <f t="shared" si="8"/>
        <v/>
      </c>
      <c r="L45" s="59" t="str">
        <f t="shared" si="9"/>
        <v/>
      </c>
      <c r="M45" s="12">
        <f t="shared" si="11"/>
        <v>53</v>
      </c>
      <c r="N45" s="12">
        <f t="shared" si="12"/>
        <v>211</v>
      </c>
      <c r="O45" s="12">
        <f t="shared" si="13"/>
        <v>264</v>
      </c>
      <c r="P45" s="12" t="s">
        <v>226</v>
      </c>
      <c r="Q45" s="12">
        <f t="shared" si="10"/>
        <v>316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8.75" customHeight="1">
      <c r="A46" s="30" t="str">
        <f t="shared" si="1"/>
        <v>Ladies Ring260</v>
      </c>
      <c r="B46" s="215" t="s">
        <v>0</v>
      </c>
      <c r="C46" s="215">
        <v>1448.0</v>
      </c>
      <c r="D46" s="12">
        <v>260.0</v>
      </c>
      <c r="E46" s="59">
        <f t="shared" si="2"/>
        <v>1.82</v>
      </c>
      <c r="F46" s="59">
        <f t="shared" si="3"/>
        <v>0.33</v>
      </c>
      <c r="G46" s="59" t="str">
        <f t="shared" si="4"/>
        <v/>
      </c>
      <c r="H46" s="59" t="str">
        <f t="shared" si="5"/>
        <v/>
      </c>
      <c r="I46" s="59" t="str">
        <f t="shared" si="6"/>
        <v/>
      </c>
      <c r="J46" s="59" t="str">
        <f t="shared" si="7"/>
        <v/>
      </c>
      <c r="K46" s="59" t="str">
        <f t="shared" si="8"/>
        <v/>
      </c>
      <c r="L46" s="59" t="str">
        <f t="shared" si="9"/>
        <v/>
      </c>
      <c r="M46" s="12">
        <f t="shared" si="11"/>
        <v>53</v>
      </c>
      <c r="N46" s="12">
        <f t="shared" si="12"/>
        <v>211</v>
      </c>
      <c r="O46" s="12">
        <f t="shared" si="13"/>
        <v>264</v>
      </c>
      <c r="P46" s="12" t="s">
        <v>227</v>
      </c>
      <c r="Q46" s="12">
        <f t="shared" si="10"/>
        <v>260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8.75" customHeight="1">
      <c r="A47" s="30" t="str">
        <f t="shared" si="1"/>
        <v>Ladies Ring346</v>
      </c>
      <c r="B47" s="215" t="s">
        <v>0</v>
      </c>
      <c r="C47" s="215">
        <v>2739.0</v>
      </c>
      <c r="D47" s="12">
        <v>346.0</v>
      </c>
      <c r="E47" s="59">
        <f t="shared" si="2"/>
        <v>1.708</v>
      </c>
      <c r="F47" s="59">
        <f t="shared" si="3"/>
        <v>0.16</v>
      </c>
      <c r="G47" s="59" t="str">
        <f t="shared" si="4"/>
        <v/>
      </c>
      <c r="H47" s="59" t="str">
        <f t="shared" si="5"/>
        <v/>
      </c>
      <c r="I47" s="59" t="str">
        <f t="shared" si="6"/>
        <v/>
      </c>
      <c r="J47" s="59" t="str">
        <f t="shared" si="7"/>
        <v/>
      </c>
      <c r="K47" s="59" t="str">
        <f t="shared" si="8"/>
        <v/>
      </c>
      <c r="L47" s="59" t="str">
        <f t="shared" si="9"/>
        <v/>
      </c>
      <c r="M47" s="12">
        <f t="shared" si="11"/>
        <v>53</v>
      </c>
      <c r="N47" s="12">
        <f t="shared" si="12"/>
        <v>211</v>
      </c>
      <c r="O47" s="12">
        <f t="shared" si="13"/>
        <v>264</v>
      </c>
      <c r="P47" s="12" t="s">
        <v>228</v>
      </c>
      <c r="Q47" s="12">
        <f t="shared" si="10"/>
        <v>346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8.75" customHeight="1">
      <c r="A48" s="30" t="str">
        <f t="shared" si="1"/>
        <v>Ladies Ring345</v>
      </c>
      <c r="B48" s="215" t="s">
        <v>0</v>
      </c>
      <c r="C48" s="215">
        <v>3044.0</v>
      </c>
      <c r="D48" s="12">
        <v>345.0</v>
      </c>
      <c r="E48" s="59">
        <f t="shared" si="2"/>
        <v>2.394</v>
      </c>
      <c r="F48" s="59">
        <f t="shared" si="3"/>
        <v>0.13</v>
      </c>
      <c r="G48" s="59" t="str">
        <f t="shared" si="4"/>
        <v/>
      </c>
      <c r="H48" s="59" t="str">
        <f t="shared" si="5"/>
        <v/>
      </c>
      <c r="I48" s="59" t="str">
        <f t="shared" si="6"/>
        <v/>
      </c>
      <c r="J48" s="59" t="str">
        <f t="shared" si="7"/>
        <v/>
      </c>
      <c r="K48" s="59" t="str">
        <f t="shared" si="8"/>
        <v/>
      </c>
      <c r="L48" s="59" t="str">
        <f t="shared" si="9"/>
        <v/>
      </c>
      <c r="M48" s="12">
        <f t="shared" si="11"/>
        <v>53</v>
      </c>
      <c r="N48" s="12">
        <f t="shared" si="12"/>
        <v>211</v>
      </c>
      <c r="O48" s="12">
        <f t="shared" si="13"/>
        <v>264</v>
      </c>
      <c r="P48" s="12" t="s">
        <v>229</v>
      </c>
      <c r="Q48" s="12">
        <f t="shared" si="10"/>
        <v>345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8.75" customHeight="1">
      <c r="A49" s="30" t="str">
        <f t="shared" si="1"/>
        <v>Ladies Ring182</v>
      </c>
      <c r="B49" s="215" t="s">
        <v>0</v>
      </c>
      <c r="C49" s="215">
        <v>2495.0</v>
      </c>
      <c r="D49" s="12">
        <v>182.0</v>
      </c>
      <c r="E49" s="59">
        <f t="shared" si="2"/>
        <v>4.214</v>
      </c>
      <c r="F49" s="59">
        <f t="shared" si="3"/>
        <v>0.4</v>
      </c>
      <c r="G49" s="59" t="str">
        <f t="shared" si="4"/>
        <v/>
      </c>
      <c r="H49" s="59" t="str">
        <f t="shared" si="5"/>
        <v/>
      </c>
      <c r="I49" s="59" t="str">
        <f t="shared" si="6"/>
        <v/>
      </c>
      <c r="J49" s="59" t="str">
        <f t="shared" si="7"/>
        <v/>
      </c>
      <c r="K49" s="59" t="str">
        <f t="shared" si="8"/>
        <v/>
      </c>
      <c r="L49" s="59">
        <f t="shared" si="9"/>
        <v>6.53</v>
      </c>
      <c r="M49" s="12">
        <f t="shared" si="11"/>
        <v>53</v>
      </c>
      <c r="N49" s="12">
        <f t="shared" si="12"/>
        <v>211</v>
      </c>
      <c r="O49" s="12">
        <f t="shared" si="13"/>
        <v>264</v>
      </c>
      <c r="P49" s="12" t="s">
        <v>230</v>
      </c>
      <c r="Q49" s="12">
        <f t="shared" si="10"/>
        <v>182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8.75" customHeight="1">
      <c r="A50" s="30" t="str">
        <f t="shared" si="1"/>
        <v>Ladies Ring253</v>
      </c>
      <c r="B50" s="215" t="s">
        <v>0</v>
      </c>
      <c r="C50" s="215">
        <v>3372.0</v>
      </c>
      <c r="D50" s="12">
        <v>253.0</v>
      </c>
      <c r="E50" s="59">
        <f t="shared" si="2"/>
        <v>2.924</v>
      </c>
      <c r="F50" s="59">
        <f t="shared" si="3"/>
        <v>0.31</v>
      </c>
      <c r="G50" s="59" t="str">
        <f t="shared" si="4"/>
        <v/>
      </c>
      <c r="H50" s="59" t="str">
        <f t="shared" si="5"/>
        <v/>
      </c>
      <c r="I50" s="59" t="str">
        <f t="shared" si="6"/>
        <v/>
      </c>
      <c r="J50" s="59" t="str">
        <f t="shared" si="7"/>
        <v/>
      </c>
      <c r="K50" s="59" t="str">
        <f t="shared" si="8"/>
        <v/>
      </c>
      <c r="L50" s="59">
        <f t="shared" si="9"/>
        <v>2.07</v>
      </c>
      <c r="M50" s="12">
        <f t="shared" si="11"/>
        <v>53</v>
      </c>
      <c r="N50" s="12">
        <f t="shared" si="12"/>
        <v>211</v>
      </c>
      <c r="O50" s="12">
        <f t="shared" si="13"/>
        <v>264</v>
      </c>
      <c r="P50" s="12" t="s">
        <v>231</v>
      </c>
      <c r="Q50" s="12">
        <f t="shared" si="10"/>
        <v>253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8.75" customHeight="1">
      <c r="A51" s="30" t="str">
        <f t="shared" si="1"/>
        <v>Ladies Ring276</v>
      </c>
      <c r="B51" s="215" t="s">
        <v>0</v>
      </c>
      <c r="C51" s="215">
        <v>3435.0</v>
      </c>
      <c r="D51" s="12">
        <v>276.0</v>
      </c>
      <c r="E51" s="59">
        <f t="shared" si="2"/>
        <v>2.758</v>
      </c>
      <c r="F51" s="59">
        <f t="shared" si="3"/>
        <v>0.25</v>
      </c>
      <c r="G51" s="59" t="str">
        <f t="shared" si="4"/>
        <v/>
      </c>
      <c r="H51" s="59" t="str">
        <f t="shared" si="5"/>
        <v/>
      </c>
      <c r="I51" s="59" t="str">
        <f t="shared" si="6"/>
        <v/>
      </c>
      <c r="J51" s="59" t="str">
        <f t="shared" si="7"/>
        <v/>
      </c>
      <c r="K51" s="59" t="str">
        <f t="shared" si="8"/>
        <v/>
      </c>
      <c r="L51" s="59">
        <f t="shared" si="9"/>
        <v>1.41</v>
      </c>
      <c r="M51" s="12">
        <f t="shared" si="11"/>
        <v>53</v>
      </c>
      <c r="N51" s="12">
        <f t="shared" si="12"/>
        <v>211</v>
      </c>
      <c r="O51" s="12">
        <f t="shared" si="13"/>
        <v>264</v>
      </c>
      <c r="P51" s="12" t="s">
        <v>232</v>
      </c>
      <c r="Q51" s="12">
        <f t="shared" si="10"/>
        <v>276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8.75" customHeight="1">
      <c r="A52" s="30" t="str">
        <f t="shared" si="1"/>
        <v>Ladies Ring166</v>
      </c>
      <c r="B52" s="215" t="s">
        <v>0</v>
      </c>
      <c r="C52" s="215">
        <v>862.0</v>
      </c>
      <c r="D52" s="12">
        <v>166.0</v>
      </c>
      <c r="E52" s="59">
        <f t="shared" si="2"/>
        <v>3.422</v>
      </c>
      <c r="F52" s="59">
        <f t="shared" si="3"/>
        <v>0.25</v>
      </c>
      <c r="G52" s="59" t="str">
        <f t="shared" si="4"/>
        <v/>
      </c>
      <c r="H52" s="59" t="str">
        <f t="shared" si="5"/>
        <v/>
      </c>
      <c r="I52" s="59" t="str">
        <f t="shared" si="6"/>
        <v/>
      </c>
      <c r="J52" s="59" t="str">
        <f t="shared" si="7"/>
        <v/>
      </c>
      <c r="K52" s="59">
        <f t="shared" si="8"/>
        <v>0.89</v>
      </c>
      <c r="L52" s="59" t="str">
        <f t="shared" si="9"/>
        <v/>
      </c>
      <c r="M52" s="12">
        <f t="shared" si="11"/>
        <v>53</v>
      </c>
      <c r="N52" s="12">
        <f t="shared" si="12"/>
        <v>211</v>
      </c>
      <c r="O52" s="12">
        <f t="shared" si="13"/>
        <v>264</v>
      </c>
      <c r="P52" s="12" t="s">
        <v>233</v>
      </c>
      <c r="Q52" s="12">
        <f t="shared" si="10"/>
        <v>166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8.75" customHeight="1">
      <c r="A53" s="30" t="str">
        <f t="shared" si="1"/>
        <v>Ladies Ring79</v>
      </c>
      <c r="B53" s="215" t="s">
        <v>0</v>
      </c>
      <c r="C53" s="215">
        <v>1423.0</v>
      </c>
      <c r="D53" s="12">
        <v>79.0</v>
      </c>
      <c r="E53" s="59">
        <f t="shared" si="2"/>
        <v>2.844</v>
      </c>
      <c r="F53" s="59">
        <f t="shared" si="3"/>
        <v>0.18</v>
      </c>
      <c r="G53" s="59" t="str">
        <f t="shared" si="4"/>
        <v/>
      </c>
      <c r="H53" s="59" t="str">
        <f t="shared" si="5"/>
        <v/>
      </c>
      <c r="I53" s="59" t="str">
        <f t="shared" si="6"/>
        <v/>
      </c>
      <c r="J53" s="59" t="str">
        <f t="shared" si="7"/>
        <v/>
      </c>
      <c r="K53" s="59" t="str">
        <f t="shared" si="8"/>
        <v/>
      </c>
      <c r="L53" s="59" t="str">
        <f t="shared" si="9"/>
        <v/>
      </c>
      <c r="M53" s="12">
        <f t="shared" si="11"/>
        <v>53</v>
      </c>
      <c r="N53" s="12">
        <f t="shared" si="12"/>
        <v>211</v>
      </c>
      <c r="O53" s="12">
        <f t="shared" si="13"/>
        <v>264</v>
      </c>
      <c r="P53" s="12" t="s">
        <v>234</v>
      </c>
      <c r="Q53" s="12">
        <f t="shared" si="10"/>
        <v>79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8.75" customHeight="1">
      <c r="A54" s="30" t="str">
        <f t="shared" si="1"/>
        <v>Ladies Ring209</v>
      </c>
      <c r="B54" s="215" t="s">
        <v>0</v>
      </c>
      <c r="C54" s="215">
        <v>3145.0</v>
      </c>
      <c r="D54" s="12">
        <v>209.0</v>
      </c>
      <c r="E54" s="59">
        <f t="shared" si="2"/>
        <v>3.292</v>
      </c>
      <c r="F54" s="59">
        <f t="shared" si="3"/>
        <v>0.39</v>
      </c>
      <c r="G54" s="59" t="str">
        <f t="shared" si="4"/>
        <v/>
      </c>
      <c r="H54" s="59" t="str">
        <f t="shared" si="5"/>
        <v/>
      </c>
      <c r="I54" s="59" t="str">
        <f t="shared" si="6"/>
        <v/>
      </c>
      <c r="J54" s="59" t="str">
        <f t="shared" si="7"/>
        <v/>
      </c>
      <c r="K54" s="59" t="str">
        <f t="shared" si="8"/>
        <v/>
      </c>
      <c r="L54" s="59" t="str">
        <f t="shared" si="9"/>
        <v/>
      </c>
      <c r="M54" s="12">
        <f t="shared" si="11"/>
        <v>53</v>
      </c>
      <c r="N54" s="12">
        <f t="shared" si="12"/>
        <v>211</v>
      </c>
      <c r="O54" s="12">
        <f t="shared" si="13"/>
        <v>264</v>
      </c>
      <c r="P54" s="12" t="s">
        <v>235</v>
      </c>
      <c r="Q54" s="12">
        <f t="shared" si="10"/>
        <v>209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8.75" customHeight="1">
      <c r="A55" s="30" t="str">
        <f t="shared" si="1"/>
        <v>Ladies Ring194</v>
      </c>
      <c r="B55" s="215" t="s">
        <v>0</v>
      </c>
      <c r="C55" s="215">
        <v>2896.0</v>
      </c>
      <c r="D55" s="12">
        <v>194.0</v>
      </c>
      <c r="E55" s="59">
        <f t="shared" si="2"/>
        <v>2.244</v>
      </c>
      <c r="F55" s="59">
        <f t="shared" si="3"/>
        <v>0.17</v>
      </c>
      <c r="G55" s="59" t="str">
        <f t="shared" si="4"/>
        <v/>
      </c>
      <c r="H55" s="59" t="str">
        <f t="shared" si="5"/>
        <v/>
      </c>
      <c r="I55" s="59" t="str">
        <f t="shared" si="6"/>
        <v/>
      </c>
      <c r="J55" s="59" t="str">
        <f t="shared" si="7"/>
        <v/>
      </c>
      <c r="K55" s="59" t="str">
        <f t="shared" si="8"/>
        <v/>
      </c>
      <c r="L55" s="59">
        <f t="shared" si="9"/>
        <v>0.41</v>
      </c>
      <c r="M55" s="12">
        <f t="shared" si="11"/>
        <v>53</v>
      </c>
      <c r="N55" s="12">
        <f t="shared" si="12"/>
        <v>211</v>
      </c>
      <c r="O55" s="12">
        <f t="shared" si="13"/>
        <v>264</v>
      </c>
      <c r="P55" s="12" t="s">
        <v>236</v>
      </c>
      <c r="Q55" s="12">
        <f t="shared" si="10"/>
        <v>194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8.75" customHeight="1">
      <c r="A56" s="30" t="str">
        <f t="shared" si="1"/>
        <v>Ladies Ring168</v>
      </c>
      <c r="B56" s="215" t="s">
        <v>0</v>
      </c>
      <c r="C56" s="215">
        <v>2202.0</v>
      </c>
      <c r="D56" s="12">
        <v>168.0</v>
      </c>
      <c r="E56" s="59">
        <f t="shared" si="2"/>
        <v>1.814</v>
      </c>
      <c r="F56" s="59">
        <f t="shared" si="3"/>
        <v>0.13</v>
      </c>
      <c r="G56" s="59" t="str">
        <f t="shared" si="4"/>
        <v/>
      </c>
      <c r="H56" s="59" t="str">
        <f t="shared" si="5"/>
        <v/>
      </c>
      <c r="I56" s="59" t="str">
        <f t="shared" si="6"/>
        <v/>
      </c>
      <c r="J56" s="59" t="str">
        <f t="shared" si="7"/>
        <v/>
      </c>
      <c r="K56" s="59" t="str">
        <f t="shared" si="8"/>
        <v/>
      </c>
      <c r="L56" s="59" t="str">
        <f t="shared" si="9"/>
        <v/>
      </c>
      <c r="M56" s="12">
        <f t="shared" si="11"/>
        <v>53</v>
      </c>
      <c r="N56" s="12">
        <f t="shared" si="12"/>
        <v>211</v>
      </c>
      <c r="O56" s="12">
        <f t="shared" si="13"/>
        <v>264</v>
      </c>
      <c r="P56" s="12" t="s">
        <v>237</v>
      </c>
      <c r="Q56" s="12">
        <f t="shared" si="10"/>
        <v>168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8.75" customHeight="1">
      <c r="A57" s="30" t="str">
        <f t="shared" si="1"/>
        <v>Ladies Ring244</v>
      </c>
      <c r="B57" s="215" t="s">
        <v>0</v>
      </c>
      <c r="C57" s="215">
        <v>3127.0</v>
      </c>
      <c r="D57" s="12">
        <v>244.0</v>
      </c>
      <c r="E57" s="59">
        <f t="shared" si="2"/>
        <v>2.54</v>
      </c>
      <c r="F57" s="59">
        <f t="shared" si="3"/>
        <v>0.4</v>
      </c>
      <c r="G57" s="59" t="str">
        <f t="shared" si="4"/>
        <v/>
      </c>
      <c r="H57" s="59" t="str">
        <f t="shared" si="5"/>
        <v/>
      </c>
      <c r="I57" s="59" t="str">
        <f t="shared" si="6"/>
        <v/>
      </c>
      <c r="J57" s="59" t="str">
        <f t="shared" si="7"/>
        <v/>
      </c>
      <c r="K57" s="59" t="str">
        <f t="shared" si="8"/>
        <v/>
      </c>
      <c r="L57" s="59" t="str">
        <f t="shared" si="9"/>
        <v/>
      </c>
      <c r="M57" s="12">
        <f t="shared" si="11"/>
        <v>53</v>
      </c>
      <c r="N57" s="12">
        <f t="shared" si="12"/>
        <v>211</v>
      </c>
      <c r="O57" s="12">
        <f t="shared" si="13"/>
        <v>264</v>
      </c>
      <c r="P57" s="12" t="s">
        <v>238</v>
      </c>
      <c r="Q57" s="12">
        <f t="shared" si="10"/>
        <v>244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8.75" customHeight="1">
      <c r="A58" s="30" t="str">
        <f t="shared" si="1"/>
        <v>Ladies Ring311</v>
      </c>
      <c r="B58" s="215" t="s">
        <v>0</v>
      </c>
      <c r="C58" s="215">
        <v>1613.0</v>
      </c>
      <c r="D58" s="12">
        <v>311.0</v>
      </c>
      <c r="E58" s="59">
        <f t="shared" si="2"/>
        <v>2.516</v>
      </c>
      <c r="F58" s="59">
        <f t="shared" si="3"/>
        <v>0.25</v>
      </c>
      <c r="G58" s="59" t="str">
        <f t="shared" si="4"/>
        <v/>
      </c>
      <c r="H58" s="59" t="str">
        <f t="shared" si="5"/>
        <v/>
      </c>
      <c r="I58" s="59" t="str">
        <f t="shared" si="6"/>
        <v/>
      </c>
      <c r="J58" s="59" t="str">
        <f t="shared" si="7"/>
        <v/>
      </c>
      <c r="K58" s="59" t="str">
        <f t="shared" si="8"/>
        <v/>
      </c>
      <c r="L58" s="59" t="str">
        <f t="shared" si="9"/>
        <v/>
      </c>
      <c r="M58" s="12">
        <f t="shared" si="11"/>
        <v>53</v>
      </c>
      <c r="N58" s="12">
        <f t="shared" si="12"/>
        <v>211</v>
      </c>
      <c r="O58" s="12">
        <f t="shared" si="13"/>
        <v>264</v>
      </c>
      <c r="P58" s="12" t="s">
        <v>239</v>
      </c>
      <c r="Q58" s="12">
        <f t="shared" si="10"/>
        <v>311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8.75" customHeight="1">
      <c r="A59" s="30" t="str">
        <f t="shared" si="1"/>
        <v>Ladies Ring333</v>
      </c>
      <c r="B59" s="215" t="s">
        <v>0</v>
      </c>
      <c r="C59" s="215">
        <v>3918.0</v>
      </c>
      <c r="D59" s="12">
        <v>333.0</v>
      </c>
      <c r="E59" s="59">
        <f t="shared" si="2"/>
        <v>2.004</v>
      </c>
      <c r="F59" s="59">
        <f t="shared" si="3"/>
        <v>0.4</v>
      </c>
      <c r="G59" s="59" t="str">
        <f t="shared" si="4"/>
        <v/>
      </c>
      <c r="H59" s="59" t="str">
        <f t="shared" si="5"/>
        <v/>
      </c>
      <c r="I59" s="59" t="str">
        <f t="shared" si="6"/>
        <v/>
      </c>
      <c r="J59" s="59" t="str">
        <f t="shared" si="7"/>
        <v/>
      </c>
      <c r="K59" s="59" t="str">
        <f t="shared" si="8"/>
        <v/>
      </c>
      <c r="L59" s="59">
        <f t="shared" si="9"/>
        <v>1.68</v>
      </c>
      <c r="M59" s="12">
        <f t="shared" si="11"/>
        <v>53</v>
      </c>
      <c r="N59" s="12">
        <f t="shared" si="12"/>
        <v>211</v>
      </c>
      <c r="O59" s="12">
        <f t="shared" si="13"/>
        <v>264</v>
      </c>
      <c r="P59" s="12" t="s">
        <v>240</v>
      </c>
      <c r="Q59" s="12">
        <f t="shared" si="10"/>
        <v>333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8.75" customHeight="1">
      <c r="A60" s="30" t="str">
        <f t="shared" si="1"/>
        <v>Ladies Ring308</v>
      </c>
      <c r="B60" s="215" t="s">
        <v>0</v>
      </c>
      <c r="C60" s="12"/>
      <c r="D60" s="12">
        <v>308.0</v>
      </c>
      <c r="E60" s="59">
        <f t="shared" si="2"/>
        <v>3.14</v>
      </c>
      <c r="F60" s="59">
        <f t="shared" si="3"/>
        <v>0.32</v>
      </c>
      <c r="G60" s="59" t="str">
        <f t="shared" si="4"/>
        <v/>
      </c>
      <c r="H60" s="59" t="str">
        <f t="shared" si="5"/>
        <v/>
      </c>
      <c r="I60" s="59" t="str">
        <f t="shared" si="6"/>
        <v/>
      </c>
      <c r="J60" s="59" t="str">
        <f t="shared" si="7"/>
        <v/>
      </c>
      <c r="K60" s="59">
        <f t="shared" si="8"/>
        <v>2.5</v>
      </c>
      <c r="L60" s="59" t="str">
        <f t="shared" si="9"/>
        <v/>
      </c>
      <c r="M60" s="12">
        <f t="shared" si="11"/>
        <v>53</v>
      </c>
      <c r="N60" s="12">
        <f t="shared" si="12"/>
        <v>211</v>
      </c>
      <c r="O60" s="12">
        <f t="shared" si="13"/>
        <v>264</v>
      </c>
      <c r="P60" s="12" t="s">
        <v>241</v>
      </c>
      <c r="Q60" s="12">
        <f t="shared" si="10"/>
        <v>308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8.75" customHeight="1">
      <c r="A61" s="30" t="str">
        <f t="shared" si="1"/>
        <v>Jagganath17</v>
      </c>
      <c r="B61" s="215" t="s">
        <v>163</v>
      </c>
      <c r="C61" s="12"/>
      <c r="D61" s="12">
        <v>17.0</v>
      </c>
      <c r="E61" s="59">
        <f t="shared" si="2"/>
        <v>2.7</v>
      </c>
      <c r="F61" s="59">
        <f t="shared" si="3"/>
        <v>0.38</v>
      </c>
      <c r="G61" s="59" t="str">
        <f t="shared" si="4"/>
        <v/>
      </c>
      <c r="H61" s="59" t="str">
        <f t="shared" si="5"/>
        <v/>
      </c>
      <c r="I61" s="59" t="str">
        <f t="shared" si="6"/>
        <v/>
      </c>
      <c r="J61" s="59" t="str">
        <f t="shared" si="7"/>
        <v/>
      </c>
      <c r="K61" s="59" t="str">
        <f t="shared" si="8"/>
        <v/>
      </c>
      <c r="L61" s="59" t="str">
        <f t="shared" si="9"/>
        <v/>
      </c>
      <c r="M61" s="12">
        <f t="shared" si="11"/>
        <v>53</v>
      </c>
      <c r="N61" s="12">
        <f t="shared" si="12"/>
        <v>211</v>
      </c>
      <c r="O61" s="12">
        <f t="shared" si="13"/>
        <v>264</v>
      </c>
      <c r="P61" s="12" t="s">
        <v>242</v>
      </c>
      <c r="Q61" s="12">
        <f t="shared" si="10"/>
        <v>17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8.75" customHeight="1">
      <c r="A62" s="30" t="str">
        <f t="shared" si="1"/>
        <v>Ladies Ring343</v>
      </c>
      <c r="B62" s="215" t="s">
        <v>0</v>
      </c>
      <c r="C62" s="215">
        <v>3171.0</v>
      </c>
      <c r="D62" s="12">
        <v>343.0</v>
      </c>
      <c r="E62" s="59">
        <f t="shared" si="2"/>
        <v>1.746</v>
      </c>
      <c r="F62" s="59">
        <f t="shared" si="3"/>
        <v>0.22</v>
      </c>
      <c r="G62" s="59" t="str">
        <f t="shared" si="4"/>
        <v/>
      </c>
      <c r="H62" s="59" t="str">
        <f t="shared" si="5"/>
        <v/>
      </c>
      <c r="I62" s="59" t="str">
        <f t="shared" si="6"/>
        <v/>
      </c>
      <c r="J62" s="59" t="str">
        <f t="shared" si="7"/>
        <v/>
      </c>
      <c r="K62" s="59" t="str">
        <f t="shared" si="8"/>
        <v/>
      </c>
      <c r="L62" s="59" t="str">
        <f t="shared" si="9"/>
        <v/>
      </c>
      <c r="M62" s="12">
        <f t="shared" si="11"/>
        <v>53</v>
      </c>
      <c r="N62" s="12">
        <f t="shared" si="12"/>
        <v>211</v>
      </c>
      <c r="O62" s="12">
        <f t="shared" si="13"/>
        <v>264</v>
      </c>
      <c r="P62" s="12" t="s">
        <v>243</v>
      </c>
      <c r="Q62" s="12">
        <f t="shared" si="10"/>
        <v>343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8.75" customHeight="1">
      <c r="A63" s="30" t="str">
        <f t="shared" si="1"/>
        <v>Ladies Ring193</v>
      </c>
      <c r="B63" s="215" t="s">
        <v>0</v>
      </c>
      <c r="C63" s="215">
        <v>2243.0</v>
      </c>
      <c r="D63" s="12">
        <v>193.0</v>
      </c>
      <c r="E63" s="59">
        <f t="shared" si="2"/>
        <v>3.05</v>
      </c>
      <c r="F63" s="59">
        <f t="shared" si="3"/>
        <v>0.25</v>
      </c>
      <c r="G63" s="59" t="str">
        <f t="shared" si="4"/>
        <v/>
      </c>
      <c r="H63" s="59" t="str">
        <f t="shared" si="5"/>
        <v/>
      </c>
      <c r="I63" s="59" t="str">
        <f t="shared" si="6"/>
        <v/>
      </c>
      <c r="J63" s="59" t="str">
        <f t="shared" si="7"/>
        <v/>
      </c>
      <c r="K63" s="59" t="str">
        <f t="shared" si="8"/>
        <v/>
      </c>
      <c r="L63" s="59" t="str">
        <f t="shared" si="9"/>
        <v/>
      </c>
      <c r="M63" s="12">
        <f t="shared" si="11"/>
        <v>53</v>
      </c>
      <c r="N63" s="12">
        <f t="shared" si="12"/>
        <v>211</v>
      </c>
      <c r="O63" s="12">
        <f t="shared" si="13"/>
        <v>264</v>
      </c>
      <c r="P63" s="12" t="s">
        <v>244</v>
      </c>
      <c r="Q63" s="12">
        <f t="shared" si="10"/>
        <v>193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8.75" customHeight="1">
      <c r="A64" s="30" t="str">
        <f t="shared" si="1"/>
        <v>Locket109</v>
      </c>
      <c r="B64" s="215" t="s">
        <v>162</v>
      </c>
      <c r="C64" s="215"/>
      <c r="D64" s="12">
        <v>109.0</v>
      </c>
      <c r="E64" s="59">
        <f t="shared" si="2"/>
        <v>0.88</v>
      </c>
      <c r="F64" s="59">
        <f t="shared" si="3"/>
        <v>0.24</v>
      </c>
      <c r="G64" s="59" t="str">
        <f t="shared" si="4"/>
        <v/>
      </c>
      <c r="H64" s="59" t="str">
        <f t="shared" si="5"/>
        <v/>
      </c>
      <c r="I64" s="59" t="str">
        <f t="shared" si="6"/>
        <v/>
      </c>
      <c r="J64" s="59" t="str">
        <f t="shared" si="7"/>
        <v/>
      </c>
      <c r="K64" s="59" t="str">
        <f t="shared" si="8"/>
        <v/>
      </c>
      <c r="L64" s="59" t="str">
        <f t="shared" si="9"/>
        <v/>
      </c>
      <c r="M64" s="12">
        <f t="shared" si="11"/>
        <v>53</v>
      </c>
      <c r="N64" s="12">
        <f t="shared" si="12"/>
        <v>211</v>
      </c>
      <c r="O64" s="12">
        <f t="shared" si="13"/>
        <v>264</v>
      </c>
      <c r="P64" s="12" t="s">
        <v>245</v>
      </c>
      <c r="Q64" s="12">
        <f t="shared" si="10"/>
        <v>109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8.75" customHeight="1">
      <c r="A65" s="30" t="str">
        <f t="shared" si="1"/>
        <v>Ladies Ring281</v>
      </c>
      <c r="B65" s="215" t="s">
        <v>0</v>
      </c>
      <c r="C65" s="215">
        <v>3653.0</v>
      </c>
      <c r="D65" s="12">
        <v>281.0</v>
      </c>
      <c r="E65" s="59">
        <f t="shared" si="2"/>
        <v>4.546</v>
      </c>
      <c r="F65" s="59">
        <f t="shared" si="3"/>
        <v>0.57</v>
      </c>
      <c r="G65" s="59" t="str">
        <f t="shared" si="4"/>
        <v/>
      </c>
      <c r="H65" s="59" t="str">
        <f t="shared" si="5"/>
        <v/>
      </c>
      <c r="I65" s="59" t="str">
        <f t="shared" si="6"/>
        <v/>
      </c>
      <c r="J65" s="59" t="str">
        <f t="shared" si="7"/>
        <v/>
      </c>
      <c r="K65" s="59" t="str">
        <f t="shared" si="8"/>
        <v/>
      </c>
      <c r="L65" s="59">
        <f t="shared" si="9"/>
        <v>7.15</v>
      </c>
      <c r="M65" s="12">
        <f t="shared" si="11"/>
        <v>70.11</v>
      </c>
      <c r="N65" s="12">
        <f t="shared" si="12"/>
        <v>281.01</v>
      </c>
      <c r="O65" s="12">
        <f t="shared" si="13"/>
        <v>351.12</v>
      </c>
      <c r="P65" s="12" t="s">
        <v>246</v>
      </c>
      <c r="Q65" s="12">
        <f t="shared" si="10"/>
        <v>281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8.75" customHeight="1">
      <c r="A66" s="30" t="str">
        <f t="shared" si="1"/>
        <v>Ladies Ring180</v>
      </c>
      <c r="B66" s="215" t="s">
        <v>0</v>
      </c>
      <c r="C66" s="215">
        <v>2490.0</v>
      </c>
      <c r="D66" s="12">
        <v>180.0</v>
      </c>
      <c r="E66" s="59">
        <f t="shared" si="2"/>
        <v>4.134</v>
      </c>
      <c r="F66" s="59">
        <f t="shared" si="3"/>
        <v>0.48</v>
      </c>
      <c r="G66" s="59" t="str">
        <f t="shared" si="4"/>
        <v/>
      </c>
      <c r="H66" s="59" t="str">
        <f t="shared" si="5"/>
        <v/>
      </c>
      <c r="I66" s="59" t="str">
        <f t="shared" si="6"/>
        <v/>
      </c>
      <c r="J66" s="59" t="str">
        <f t="shared" si="7"/>
        <v/>
      </c>
      <c r="K66" s="59" t="str">
        <f t="shared" si="8"/>
        <v/>
      </c>
      <c r="L66" s="59">
        <f t="shared" si="9"/>
        <v>8.25</v>
      </c>
      <c r="M66" s="12">
        <f t="shared" si="11"/>
        <v>59.04</v>
      </c>
      <c r="N66" s="12">
        <f t="shared" si="12"/>
        <v>236.64</v>
      </c>
      <c r="O66" s="12">
        <f t="shared" si="13"/>
        <v>295.68</v>
      </c>
      <c r="P66" s="12" t="s">
        <v>247</v>
      </c>
      <c r="Q66" s="12">
        <f t="shared" si="10"/>
        <v>180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8.75" customHeight="1">
      <c r="A67" s="30" t="str">
        <f t="shared" si="1"/>
        <v>Ladies Ring283</v>
      </c>
      <c r="B67" s="215" t="s">
        <v>0</v>
      </c>
      <c r="C67" s="215">
        <v>3667.0</v>
      </c>
      <c r="D67" s="12">
        <v>283.0</v>
      </c>
      <c r="E67" s="59">
        <f t="shared" si="2"/>
        <v>6.588</v>
      </c>
      <c r="F67" s="59">
        <f t="shared" si="3"/>
        <v>1.06</v>
      </c>
      <c r="G67" s="59" t="str">
        <f t="shared" si="4"/>
        <v/>
      </c>
      <c r="H67" s="59" t="str">
        <f t="shared" si="5"/>
        <v/>
      </c>
      <c r="I67" s="59" t="str">
        <f t="shared" si="6"/>
        <v/>
      </c>
      <c r="J67" s="59" t="str">
        <f t="shared" si="7"/>
        <v/>
      </c>
      <c r="K67" s="59" t="str">
        <f t="shared" si="8"/>
        <v/>
      </c>
      <c r="L67" s="59">
        <f t="shared" si="9"/>
        <v>5.5</v>
      </c>
      <c r="M67" s="12">
        <f t="shared" si="11"/>
        <v>130.38</v>
      </c>
      <c r="N67" s="12">
        <f t="shared" si="12"/>
        <v>522.58</v>
      </c>
      <c r="O67" s="12">
        <f t="shared" si="13"/>
        <v>652.96</v>
      </c>
      <c r="P67" s="12" t="s">
        <v>248</v>
      </c>
      <c r="Q67" s="12">
        <f t="shared" si="10"/>
        <v>283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8.75" customHeight="1">
      <c r="A68" s="30" t="str">
        <f t="shared" si="1"/>
        <v>Ladies Ring234</v>
      </c>
      <c r="B68" s="215" t="s">
        <v>0</v>
      </c>
      <c r="C68" s="215">
        <v>2533.0</v>
      </c>
      <c r="D68" s="12">
        <v>234.0</v>
      </c>
      <c r="E68" s="59">
        <f t="shared" si="2"/>
        <v>5.252</v>
      </c>
      <c r="F68" s="59">
        <f t="shared" si="3"/>
        <v>1.06</v>
      </c>
      <c r="G68" s="59" t="str">
        <f t="shared" si="4"/>
        <v/>
      </c>
      <c r="H68" s="59" t="str">
        <f t="shared" si="5"/>
        <v/>
      </c>
      <c r="I68" s="59" t="str">
        <f t="shared" si="6"/>
        <v/>
      </c>
      <c r="J68" s="59" t="str">
        <f t="shared" si="7"/>
        <v/>
      </c>
      <c r="K68" s="59" t="str">
        <f t="shared" si="8"/>
        <v/>
      </c>
      <c r="L68" s="59">
        <f t="shared" si="9"/>
        <v>5.3</v>
      </c>
      <c r="M68" s="12">
        <f t="shared" si="11"/>
        <v>130.38</v>
      </c>
      <c r="N68" s="12">
        <f t="shared" si="12"/>
        <v>522.58</v>
      </c>
      <c r="O68" s="12">
        <f t="shared" si="13"/>
        <v>652.96</v>
      </c>
      <c r="P68" s="12" t="s">
        <v>249</v>
      </c>
      <c r="Q68" s="12">
        <f t="shared" si="10"/>
        <v>234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8.75" customHeight="1">
      <c r="A69" s="30" t="str">
        <f t="shared" si="1"/>
        <v>Ladies Ring29</v>
      </c>
      <c r="B69" s="215" t="s">
        <v>0</v>
      </c>
      <c r="C69" s="215">
        <v>1464.0</v>
      </c>
      <c r="D69" s="12">
        <v>29.0</v>
      </c>
      <c r="E69" s="59">
        <f t="shared" si="2"/>
        <v>9.384</v>
      </c>
      <c r="F69" s="59">
        <f t="shared" si="3"/>
        <v>1.38</v>
      </c>
      <c r="G69" s="59" t="str">
        <f t="shared" si="4"/>
        <v/>
      </c>
      <c r="H69" s="59" t="str">
        <f t="shared" si="5"/>
        <v/>
      </c>
      <c r="I69" s="59" t="str">
        <f t="shared" si="6"/>
        <v/>
      </c>
      <c r="J69" s="59" t="str">
        <f t="shared" si="7"/>
        <v/>
      </c>
      <c r="K69" s="59" t="str">
        <f t="shared" si="8"/>
        <v/>
      </c>
      <c r="L69" s="59">
        <f t="shared" si="9"/>
        <v>8</v>
      </c>
      <c r="M69" s="12">
        <f t="shared" si="11"/>
        <v>169.74</v>
      </c>
      <c r="N69" s="12">
        <f t="shared" si="12"/>
        <v>680.34</v>
      </c>
      <c r="O69" s="12">
        <f t="shared" si="13"/>
        <v>850.08</v>
      </c>
      <c r="P69" s="12" t="s">
        <v>250</v>
      </c>
      <c r="Q69" s="12">
        <f t="shared" si="10"/>
        <v>29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8.75" customHeight="1">
      <c r="A70" s="30" t="str">
        <f t="shared" si="1"/>
        <v>Ladies Ring107</v>
      </c>
      <c r="B70" s="215" t="s">
        <v>0</v>
      </c>
      <c r="C70" s="215">
        <v>1858.0</v>
      </c>
      <c r="D70" s="12">
        <v>107.0</v>
      </c>
      <c r="E70" s="59">
        <f t="shared" si="2"/>
        <v>5.354</v>
      </c>
      <c r="F70" s="59">
        <f t="shared" si="3"/>
        <v>0.94</v>
      </c>
      <c r="G70" s="59" t="str">
        <f t="shared" si="4"/>
        <v/>
      </c>
      <c r="H70" s="59" t="str">
        <f t="shared" si="5"/>
        <v/>
      </c>
      <c r="I70" s="59" t="str">
        <f t="shared" si="6"/>
        <v/>
      </c>
      <c r="J70" s="59" t="str">
        <f t="shared" si="7"/>
        <v/>
      </c>
      <c r="K70" s="59" t="str">
        <f t="shared" si="8"/>
        <v/>
      </c>
      <c r="L70" s="59">
        <f t="shared" si="9"/>
        <v>3.69</v>
      </c>
      <c r="M70" s="12">
        <f t="shared" si="11"/>
        <v>115.62</v>
      </c>
      <c r="N70" s="12">
        <f t="shared" si="12"/>
        <v>463.42</v>
      </c>
      <c r="O70" s="12">
        <f t="shared" si="13"/>
        <v>579.04</v>
      </c>
      <c r="P70" s="12" t="s">
        <v>251</v>
      </c>
      <c r="Q70" s="12">
        <f t="shared" si="10"/>
        <v>107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8.75" customHeight="1">
      <c r="A71" s="30" t="str">
        <f t="shared" si="1"/>
        <v>Ladies Ring213</v>
      </c>
      <c r="B71" s="215" t="s">
        <v>0</v>
      </c>
      <c r="C71" s="215">
        <v>1437.0</v>
      </c>
      <c r="D71" s="12">
        <v>213.0</v>
      </c>
      <c r="E71" s="59">
        <f t="shared" si="2"/>
        <v>1.872</v>
      </c>
      <c r="F71" s="59" t="str">
        <f t="shared" si="3"/>
        <v/>
      </c>
      <c r="G71" s="59">
        <f t="shared" si="4"/>
        <v>0.44</v>
      </c>
      <c r="H71" s="59" t="str">
        <f t="shared" si="5"/>
        <v/>
      </c>
      <c r="I71" s="59" t="str">
        <f t="shared" si="6"/>
        <v/>
      </c>
      <c r="J71" s="59" t="str">
        <f t="shared" si="7"/>
        <v/>
      </c>
      <c r="K71" s="59" t="str">
        <f t="shared" si="8"/>
        <v/>
      </c>
      <c r="L71" s="59" t="str">
        <f t="shared" si="9"/>
        <v/>
      </c>
      <c r="M71" s="12">
        <f t="shared" si="11"/>
        <v>54.12</v>
      </c>
      <c r="N71" s="12">
        <f t="shared" si="12"/>
        <v>216.92</v>
      </c>
      <c r="O71" s="12">
        <f t="shared" si="13"/>
        <v>271.04</v>
      </c>
      <c r="P71" s="12" t="s">
        <v>252</v>
      </c>
      <c r="Q71" s="12">
        <f t="shared" si="10"/>
        <v>213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8.75" customHeight="1">
      <c r="A72" s="30" t="str">
        <f t="shared" si="1"/>
        <v>Ladies Ring241</v>
      </c>
      <c r="B72" s="215" t="s">
        <v>0</v>
      </c>
      <c r="C72" s="215"/>
      <c r="D72" s="12">
        <v>241.0</v>
      </c>
      <c r="E72" s="59">
        <f t="shared" si="2"/>
        <v>4.28</v>
      </c>
      <c r="F72" s="59">
        <f t="shared" si="3"/>
        <v>0.45</v>
      </c>
      <c r="G72" s="59" t="str">
        <f t="shared" si="4"/>
        <v/>
      </c>
      <c r="H72" s="59" t="str">
        <f t="shared" si="5"/>
        <v/>
      </c>
      <c r="I72" s="59" t="str">
        <f t="shared" si="6"/>
        <v/>
      </c>
      <c r="J72" s="59" t="str">
        <f t="shared" si="7"/>
        <v/>
      </c>
      <c r="K72" s="59" t="str">
        <f t="shared" si="8"/>
        <v/>
      </c>
      <c r="L72" s="59">
        <f t="shared" si="9"/>
        <v>3.7</v>
      </c>
      <c r="M72" s="12">
        <f t="shared" si="11"/>
        <v>55.35</v>
      </c>
      <c r="N72" s="12">
        <f t="shared" si="12"/>
        <v>221.85</v>
      </c>
      <c r="O72" s="12">
        <f t="shared" si="13"/>
        <v>277.2</v>
      </c>
      <c r="P72" s="12" t="s">
        <v>253</v>
      </c>
      <c r="Q72" s="12">
        <f t="shared" si="10"/>
        <v>241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8.75" customHeight="1">
      <c r="A73" s="30" t="str">
        <f t="shared" si="1"/>
        <v>Ladies Ring307</v>
      </c>
      <c r="B73" s="215" t="s">
        <v>0</v>
      </c>
      <c r="C73" s="215">
        <v>1966.0</v>
      </c>
      <c r="D73" s="12">
        <v>307.0</v>
      </c>
      <c r="E73" s="59">
        <f t="shared" si="2"/>
        <v>3.91</v>
      </c>
      <c r="F73" s="59">
        <f t="shared" si="3"/>
        <v>0.5</v>
      </c>
      <c r="G73" s="59" t="str">
        <f t="shared" si="4"/>
        <v/>
      </c>
      <c r="H73" s="59" t="str">
        <f t="shared" si="5"/>
        <v/>
      </c>
      <c r="I73" s="59" t="str">
        <f t="shared" si="6"/>
        <v/>
      </c>
      <c r="J73" s="59" t="str">
        <f t="shared" si="7"/>
        <v/>
      </c>
      <c r="K73" s="59" t="str">
        <f t="shared" si="8"/>
        <v/>
      </c>
      <c r="L73" s="59">
        <f t="shared" si="9"/>
        <v>3.6</v>
      </c>
      <c r="M73" s="12">
        <f t="shared" si="11"/>
        <v>61.5</v>
      </c>
      <c r="N73" s="12">
        <f t="shared" si="12"/>
        <v>246.5</v>
      </c>
      <c r="O73" s="12">
        <f t="shared" si="13"/>
        <v>308</v>
      </c>
      <c r="P73" s="12" t="s">
        <v>254</v>
      </c>
      <c r="Q73" s="12">
        <f t="shared" si="10"/>
        <v>307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8.75" customHeight="1">
      <c r="A74" s="30" t="str">
        <f t="shared" si="1"/>
        <v>Ladies Ring182</v>
      </c>
      <c r="B74" s="215" t="s">
        <v>0</v>
      </c>
      <c r="C74" s="215">
        <v>2495.0</v>
      </c>
      <c r="D74" s="12">
        <v>182.0</v>
      </c>
      <c r="E74" s="59">
        <f t="shared" si="2"/>
        <v>4.214</v>
      </c>
      <c r="F74" s="59">
        <f t="shared" si="3"/>
        <v>0.4</v>
      </c>
      <c r="G74" s="59" t="str">
        <f t="shared" si="4"/>
        <v/>
      </c>
      <c r="H74" s="59" t="str">
        <f t="shared" si="5"/>
        <v/>
      </c>
      <c r="I74" s="59" t="str">
        <f t="shared" si="6"/>
        <v/>
      </c>
      <c r="J74" s="59" t="str">
        <f t="shared" si="7"/>
        <v/>
      </c>
      <c r="K74" s="59" t="str">
        <f t="shared" si="8"/>
        <v/>
      </c>
      <c r="L74" s="59">
        <f t="shared" si="9"/>
        <v>6.53</v>
      </c>
      <c r="M74" s="12">
        <f t="shared" si="11"/>
        <v>53</v>
      </c>
      <c r="N74" s="12">
        <f t="shared" si="12"/>
        <v>211</v>
      </c>
      <c r="O74" s="12">
        <f t="shared" si="13"/>
        <v>264</v>
      </c>
      <c r="P74" s="12" t="s">
        <v>255</v>
      </c>
      <c r="Q74" s="12">
        <f t="shared" si="10"/>
        <v>182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8.75" customHeight="1">
      <c r="A75" s="30" t="str">
        <f t="shared" si="1"/>
        <v>Ladies Ring278</v>
      </c>
      <c r="B75" s="215" t="s">
        <v>0</v>
      </c>
      <c r="C75" s="215">
        <v>3654.0</v>
      </c>
      <c r="D75" s="12">
        <v>278.0</v>
      </c>
      <c r="E75" s="59">
        <f t="shared" si="2"/>
        <v>4.716</v>
      </c>
      <c r="F75" s="59">
        <f t="shared" si="3"/>
        <v>0.57</v>
      </c>
      <c r="G75" s="59" t="str">
        <f t="shared" si="4"/>
        <v/>
      </c>
      <c r="H75" s="59" t="str">
        <f t="shared" si="5"/>
        <v/>
      </c>
      <c r="I75" s="59" t="str">
        <f t="shared" si="6"/>
        <v/>
      </c>
      <c r="J75" s="59" t="str">
        <f t="shared" si="7"/>
        <v/>
      </c>
      <c r="K75" s="59" t="str">
        <f t="shared" si="8"/>
        <v/>
      </c>
      <c r="L75" s="59">
        <f t="shared" si="9"/>
        <v>7.6</v>
      </c>
      <c r="M75" s="12">
        <f t="shared" si="11"/>
        <v>70.11</v>
      </c>
      <c r="N75" s="12">
        <f t="shared" si="12"/>
        <v>281.01</v>
      </c>
      <c r="O75" s="12">
        <f t="shared" si="13"/>
        <v>351.12</v>
      </c>
      <c r="P75" s="12" t="s">
        <v>256</v>
      </c>
      <c r="Q75" s="12">
        <f t="shared" si="10"/>
        <v>278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8.75" customHeight="1">
      <c r="A76" s="30" t="str">
        <f t="shared" si="1"/>
        <v>Ladies Ring104</v>
      </c>
      <c r="B76" s="215" t="s">
        <v>0</v>
      </c>
      <c r="C76" s="215">
        <v>1890.0</v>
      </c>
      <c r="D76" s="12">
        <v>104.0</v>
      </c>
      <c r="E76" s="59">
        <f t="shared" si="2"/>
        <v>3.94</v>
      </c>
      <c r="F76" s="59">
        <f t="shared" si="3"/>
        <v>0.59</v>
      </c>
      <c r="G76" s="59" t="str">
        <f t="shared" si="4"/>
        <v/>
      </c>
      <c r="H76" s="59" t="str">
        <f t="shared" si="5"/>
        <v/>
      </c>
      <c r="I76" s="59" t="str">
        <f t="shared" si="6"/>
        <v/>
      </c>
      <c r="J76" s="59" t="str">
        <f t="shared" si="7"/>
        <v/>
      </c>
      <c r="K76" s="59" t="str">
        <f t="shared" si="8"/>
        <v/>
      </c>
      <c r="L76" s="59">
        <f t="shared" si="9"/>
        <v>6.01</v>
      </c>
      <c r="M76" s="12">
        <f t="shared" si="11"/>
        <v>72.57</v>
      </c>
      <c r="N76" s="12">
        <f t="shared" si="12"/>
        <v>290.87</v>
      </c>
      <c r="O76" s="12">
        <f t="shared" si="13"/>
        <v>363.44</v>
      </c>
      <c r="P76" s="12" t="s">
        <v>257</v>
      </c>
      <c r="Q76" s="12">
        <f t="shared" si="10"/>
        <v>104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8.75" customHeight="1">
      <c r="A77" s="30" t="str">
        <f t="shared" si="1"/>
        <v>Ladies Ring232</v>
      </c>
      <c r="B77" s="215" t="s">
        <v>0</v>
      </c>
      <c r="C77" s="215">
        <v>2779.0</v>
      </c>
      <c r="D77" s="12">
        <v>232.0</v>
      </c>
      <c r="E77" s="59">
        <f t="shared" si="2"/>
        <v>9.382</v>
      </c>
      <c r="F77" s="59">
        <f t="shared" si="3"/>
        <v>1.59</v>
      </c>
      <c r="G77" s="59" t="str">
        <f t="shared" si="4"/>
        <v/>
      </c>
      <c r="H77" s="59" t="str">
        <f t="shared" si="5"/>
        <v/>
      </c>
      <c r="I77" s="59" t="str">
        <f t="shared" si="6"/>
        <v/>
      </c>
      <c r="J77" s="59" t="str">
        <f t="shared" si="7"/>
        <v/>
      </c>
      <c r="K77" s="59" t="str">
        <f t="shared" si="8"/>
        <v/>
      </c>
      <c r="L77" s="59">
        <f t="shared" si="9"/>
        <v>7.1</v>
      </c>
      <c r="M77" s="12">
        <f t="shared" si="11"/>
        <v>195.57</v>
      </c>
      <c r="N77" s="12">
        <f t="shared" si="12"/>
        <v>783.87</v>
      </c>
      <c r="O77" s="12">
        <f t="shared" si="13"/>
        <v>979.44</v>
      </c>
      <c r="P77" s="12" t="s">
        <v>258</v>
      </c>
      <c r="Q77" s="12">
        <f t="shared" si="10"/>
        <v>232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8.75" customHeight="1">
      <c r="A78" s="30" t="str">
        <f t="shared" si="1"/>
        <v>Ladies Ring240</v>
      </c>
      <c r="B78" s="215" t="s">
        <v>0</v>
      </c>
      <c r="C78" s="215"/>
      <c r="D78" s="12">
        <v>240.0</v>
      </c>
      <c r="E78" s="59">
        <f t="shared" si="2"/>
        <v>5.238</v>
      </c>
      <c r="F78" s="59">
        <f t="shared" si="3"/>
        <v>0.86</v>
      </c>
      <c r="G78" s="59" t="str">
        <f t="shared" si="4"/>
        <v/>
      </c>
      <c r="H78" s="59" t="str">
        <f t="shared" si="5"/>
        <v/>
      </c>
      <c r="I78" s="59" t="str">
        <f t="shared" si="6"/>
        <v/>
      </c>
      <c r="J78" s="59" t="str">
        <f t="shared" si="7"/>
        <v/>
      </c>
      <c r="K78" s="59" t="str">
        <f t="shared" si="8"/>
        <v/>
      </c>
      <c r="L78" s="59">
        <f t="shared" si="9"/>
        <v>4.25</v>
      </c>
      <c r="M78" s="12">
        <f t="shared" si="11"/>
        <v>105.78</v>
      </c>
      <c r="N78" s="12">
        <f t="shared" si="12"/>
        <v>423.98</v>
      </c>
      <c r="O78" s="12">
        <f t="shared" si="13"/>
        <v>529.76</v>
      </c>
      <c r="P78" s="12" t="s">
        <v>259</v>
      </c>
      <c r="Q78" s="12">
        <f t="shared" si="10"/>
        <v>240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8.75" customHeight="1">
      <c r="A79" s="30" t="str">
        <f t="shared" si="1"/>
        <v>Ladies Ring46</v>
      </c>
      <c r="B79" s="215" t="s">
        <v>0</v>
      </c>
      <c r="C79" s="215">
        <v>1997.0</v>
      </c>
      <c r="D79" s="12">
        <v>46.0</v>
      </c>
      <c r="E79" s="59">
        <f t="shared" si="2"/>
        <v>10.44</v>
      </c>
      <c r="F79" s="59">
        <f t="shared" si="3"/>
        <v>1.97</v>
      </c>
      <c r="G79" s="59" t="str">
        <f t="shared" si="4"/>
        <v/>
      </c>
      <c r="H79" s="59" t="str">
        <f t="shared" si="5"/>
        <v/>
      </c>
      <c r="I79" s="59" t="str">
        <f t="shared" si="6"/>
        <v/>
      </c>
      <c r="J79" s="59" t="str">
        <f t="shared" si="7"/>
        <v/>
      </c>
      <c r="K79" s="59" t="str">
        <f t="shared" si="8"/>
        <v/>
      </c>
      <c r="L79" s="59">
        <f t="shared" si="9"/>
        <v>6.3</v>
      </c>
      <c r="M79" s="12">
        <f t="shared" si="11"/>
        <v>242.31</v>
      </c>
      <c r="N79" s="12">
        <f t="shared" si="12"/>
        <v>971.21</v>
      </c>
      <c r="O79" s="12">
        <f t="shared" si="13"/>
        <v>1213.52</v>
      </c>
      <c r="P79" s="12" t="s">
        <v>260</v>
      </c>
      <c r="Q79" s="12">
        <f t="shared" si="10"/>
        <v>46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8.75" customHeight="1">
      <c r="A80" s="140" t="str">
        <f t="shared" si="1"/>
        <v>Ladies Ring190</v>
      </c>
      <c r="B80" s="216" t="s">
        <v>0</v>
      </c>
      <c r="C80" s="216">
        <v>2898.0</v>
      </c>
      <c r="D80" s="217">
        <v>190.0</v>
      </c>
      <c r="E80" s="218">
        <f t="shared" si="2"/>
        <v>4.144</v>
      </c>
      <c r="F80" s="218">
        <f t="shared" si="3"/>
        <v>0.53</v>
      </c>
      <c r="G80" s="218" t="str">
        <f t="shared" si="4"/>
        <v/>
      </c>
      <c r="H80" s="218" t="str">
        <f t="shared" si="5"/>
        <v/>
      </c>
      <c r="I80" s="218" t="str">
        <f t="shared" si="6"/>
        <v/>
      </c>
      <c r="J80" s="218" t="str">
        <f t="shared" si="7"/>
        <v/>
      </c>
      <c r="K80" s="218" t="str">
        <f t="shared" si="8"/>
        <v/>
      </c>
      <c r="L80" s="218">
        <f t="shared" si="9"/>
        <v>6.75</v>
      </c>
      <c r="M80" s="217">
        <f t="shared" si="11"/>
        <v>65.19</v>
      </c>
      <c r="N80" s="217">
        <f t="shared" si="12"/>
        <v>261.29</v>
      </c>
      <c r="O80" s="217">
        <f t="shared" si="13"/>
        <v>326.48</v>
      </c>
      <c r="P80" s="217" t="s">
        <v>261</v>
      </c>
      <c r="Q80" s="217">
        <f t="shared" si="10"/>
        <v>190</v>
      </c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140"/>
    </row>
    <row r="81" ht="18.75" customHeight="1">
      <c r="A81" s="30" t="str">
        <f t="shared" si="1"/>
        <v>Jagganath34</v>
      </c>
      <c r="B81" s="215" t="s">
        <v>163</v>
      </c>
      <c r="C81" s="215"/>
      <c r="D81" s="12">
        <v>34.0</v>
      </c>
      <c r="E81" s="59">
        <f t="shared" si="2"/>
        <v>16.42</v>
      </c>
      <c r="F81" s="59">
        <f t="shared" si="3"/>
        <v>4.02</v>
      </c>
      <c r="G81" s="59" t="str">
        <f t="shared" si="4"/>
        <v/>
      </c>
      <c r="H81" s="59" t="str">
        <f t="shared" si="5"/>
        <v/>
      </c>
      <c r="I81" s="59" t="str">
        <f t="shared" si="6"/>
        <v/>
      </c>
      <c r="J81" s="59" t="str">
        <f t="shared" si="7"/>
        <v/>
      </c>
      <c r="K81" s="59">
        <f t="shared" si="8"/>
        <v>3.7</v>
      </c>
      <c r="L81" s="59" t="str">
        <f t="shared" si="9"/>
        <v/>
      </c>
      <c r="M81" s="12">
        <f t="shared" si="11"/>
        <v>494.46</v>
      </c>
      <c r="N81" s="12">
        <f t="shared" si="12"/>
        <v>1981.86</v>
      </c>
      <c r="O81" s="12">
        <f t="shared" si="13"/>
        <v>2476.32</v>
      </c>
      <c r="P81" s="12"/>
      <c r="Q81" s="12">
        <f t="shared" si="10"/>
        <v>34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8.75" customHeight="1">
      <c r="A82" s="30" t="str">
        <f t="shared" si="1"/>
        <v>Jagganath35</v>
      </c>
      <c r="B82" s="215" t="s">
        <v>163</v>
      </c>
      <c r="C82" s="215"/>
      <c r="D82" s="12">
        <v>35.0</v>
      </c>
      <c r="E82" s="59">
        <f t="shared" si="2"/>
        <v>6.68</v>
      </c>
      <c r="F82" s="59">
        <f t="shared" si="3"/>
        <v>2.42</v>
      </c>
      <c r="G82" s="59" t="str">
        <f t="shared" si="4"/>
        <v/>
      </c>
      <c r="H82" s="59" t="str">
        <f t="shared" si="5"/>
        <v/>
      </c>
      <c r="I82" s="59" t="str">
        <f t="shared" si="6"/>
        <v/>
      </c>
      <c r="J82" s="59" t="str">
        <f t="shared" si="7"/>
        <v/>
      </c>
      <c r="K82" s="59">
        <f t="shared" si="8"/>
        <v>5.18</v>
      </c>
      <c r="L82" s="59" t="str">
        <f t="shared" si="9"/>
        <v/>
      </c>
      <c r="M82" s="12">
        <f t="shared" si="11"/>
        <v>297.66</v>
      </c>
      <c r="N82" s="12">
        <f t="shared" si="12"/>
        <v>1193.06</v>
      </c>
      <c r="O82" s="12">
        <f t="shared" si="13"/>
        <v>1490.72</v>
      </c>
      <c r="P82" s="12"/>
      <c r="Q82" s="12">
        <f t="shared" si="10"/>
        <v>35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8.75" customHeight="1">
      <c r="A83" s="30" t="str">
        <f t="shared" si="1"/>
        <v>Jagganath39</v>
      </c>
      <c r="B83" s="215" t="s">
        <v>163</v>
      </c>
      <c r="C83" s="215"/>
      <c r="D83" s="12">
        <v>39.0</v>
      </c>
      <c r="E83" s="59">
        <f t="shared" si="2"/>
        <v>17.24</v>
      </c>
      <c r="F83" s="59">
        <f t="shared" si="3"/>
        <v>4.2</v>
      </c>
      <c r="G83" s="59" t="str">
        <f t="shared" si="4"/>
        <v/>
      </c>
      <c r="H83" s="59" t="str">
        <f t="shared" si="5"/>
        <v/>
      </c>
      <c r="I83" s="59" t="str">
        <f t="shared" si="6"/>
        <v/>
      </c>
      <c r="J83" s="59" t="str">
        <f t="shared" si="7"/>
        <v/>
      </c>
      <c r="K83" s="59">
        <f t="shared" si="8"/>
        <v>4.219</v>
      </c>
      <c r="L83" s="59" t="str">
        <f t="shared" si="9"/>
        <v/>
      </c>
      <c r="M83" s="12">
        <f t="shared" si="11"/>
        <v>516.6</v>
      </c>
      <c r="N83" s="12">
        <f t="shared" si="12"/>
        <v>2070.6</v>
      </c>
      <c r="O83" s="12">
        <f t="shared" si="13"/>
        <v>2587.2</v>
      </c>
      <c r="P83" s="12"/>
      <c r="Q83" s="12">
        <f t="shared" si="10"/>
        <v>39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8.75" customHeight="1">
      <c r="A84" s="30" t="str">
        <f t="shared" si="1"/>
        <v>Jagganath40</v>
      </c>
      <c r="B84" s="215" t="s">
        <v>163</v>
      </c>
      <c r="C84" s="215"/>
      <c r="D84" s="12">
        <v>40.0</v>
      </c>
      <c r="E84" s="59">
        <f t="shared" si="2"/>
        <v>5.94</v>
      </c>
      <c r="F84" s="59">
        <f t="shared" si="3"/>
        <v>1.12</v>
      </c>
      <c r="G84" s="59" t="str">
        <f t="shared" si="4"/>
        <v/>
      </c>
      <c r="H84" s="59" t="str">
        <f t="shared" si="5"/>
        <v/>
      </c>
      <c r="I84" s="59" t="str">
        <f t="shared" si="6"/>
        <v/>
      </c>
      <c r="J84" s="59" t="str">
        <f t="shared" si="7"/>
        <v/>
      </c>
      <c r="K84" s="59">
        <f t="shared" si="8"/>
        <v>3.36</v>
      </c>
      <c r="L84" s="59" t="str">
        <f t="shared" si="9"/>
        <v/>
      </c>
      <c r="M84" s="12">
        <f t="shared" si="11"/>
        <v>137.76</v>
      </c>
      <c r="N84" s="12">
        <f t="shared" si="12"/>
        <v>552.16</v>
      </c>
      <c r="O84" s="12">
        <f t="shared" si="13"/>
        <v>689.92</v>
      </c>
      <c r="P84" s="12"/>
      <c r="Q84" s="12">
        <f t="shared" si="10"/>
        <v>40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8.75" customHeight="1">
      <c r="A85" s="30" t="str">
        <f t="shared" si="1"/>
        <v>Jagganath43</v>
      </c>
      <c r="B85" s="215" t="s">
        <v>163</v>
      </c>
      <c r="C85" s="215"/>
      <c r="D85" s="12">
        <v>43.0</v>
      </c>
      <c r="E85" s="59">
        <f t="shared" si="2"/>
        <v>31.08</v>
      </c>
      <c r="F85" s="59">
        <f t="shared" si="3"/>
        <v>4.15</v>
      </c>
      <c r="G85" s="59" t="str">
        <f t="shared" si="4"/>
        <v/>
      </c>
      <c r="H85" s="59" t="str">
        <f t="shared" si="5"/>
        <v/>
      </c>
      <c r="I85" s="59" t="str">
        <f t="shared" si="6"/>
        <v/>
      </c>
      <c r="J85" s="59" t="str">
        <f t="shared" si="7"/>
        <v/>
      </c>
      <c r="K85" s="59" t="str">
        <f t="shared" si="8"/>
        <v/>
      </c>
      <c r="L85" s="59" t="str">
        <f t="shared" si="9"/>
        <v/>
      </c>
      <c r="M85" s="12">
        <f t="shared" si="11"/>
        <v>510.45</v>
      </c>
      <c r="N85" s="12">
        <f t="shared" si="12"/>
        <v>2045.95</v>
      </c>
      <c r="O85" s="12">
        <f t="shared" si="13"/>
        <v>2556.4</v>
      </c>
      <c r="P85" s="12"/>
      <c r="Q85" s="12">
        <f t="shared" si="10"/>
        <v>43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8.75" customHeight="1">
      <c r="A86" s="30" t="str">
        <f t="shared" si="1"/>
        <v>Jagganath44</v>
      </c>
      <c r="B86" s="215" t="s">
        <v>163</v>
      </c>
      <c r="C86" s="215"/>
      <c r="D86" s="12">
        <v>44.0</v>
      </c>
      <c r="E86" s="59">
        <f t="shared" si="2"/>
        <v>9.252</v>
      </c>
      <c r="F86" s="59">
        <f t="shared" si="3"/>
        <v>1.24</v>
      </c>
      <c r="G86" s="59" t="str">
        <f t="shared" si="4"/>
        <v/>
      </c>
      <c r="H86" s="59" t="str">
        <f t="shared" si="5"/>
        <v/>
      </c>
      <c r="I86" s="59" t="str">
        <f t="shared" si="6"/>
        <v/>
      </c>
      <c r="J86" s="59" t="str">
        <f t="shared" si="7"/>
        <v/>
      </c>
      <c r="K86" s="59" t="str">
        <f t="shared" si="8"/>
        <v/>
      </c>
      <c r="L86" s="59" t="str">
        <f t="shared" si="9"/>
        <v/>
      </c>
      <c r="M86" s="12">
        <f t="shared" si="11"/>
        <v>152.52</v>
      </c>
      <c r="N86" s="12">
        <f t="shared" si="12"/>
        <v>611.32</v>
      </c>
      <c r="O86" s="12">
        <f t="shared" si="13"/>
        <v>763.84</v>
      </c>
      <c r="P86" s="12"/>
      <c r="Q86" s="12">
        <f t="shared" si="10"/>
        <v>44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8.75" customHeight="1">
      <c r="A87" s="30" t="str">
        <f t="shared" si="1"/>
        <v>Necklace1</v>
      </c>
      <c r="B87" s="215" t="s">
        <v>164</v>
      </c>
      <c r="C87" s="215"/>
      <c r="D87" s="12">
        <v>1.0</v>
      </c>
      <c r="E87" s="59">
        <f t="shared" si="2"/>
        <v>23.132</v>
      </c>
      <c r="F87" s="59">
        <f t="shared" si="3"/>
        <v>6.1</v>
      </c>
      <c r="G87" s="59" t="str">
        <f t="shared" si="4"/>
        <v/>
      </c>
      <c r="H87" s="59" t="str">
        <f t="shared" si="5"/>
        <v/>
      </c>
      <c r="I87" s="59" t="str">
        <f t="shared" si="6"/>
        <v/>
      </c>
      <c r="J87" s="59" t="str">
        <f t="shared" si="7"/>
        <v/>
      </c>
      <c r="K87" s="59" t="str">
        <f t="shared" si="8"/>
        <v/>
      </c>
      <c r="L87" s="59">
        <f t="shared" si="9"/>
        <v>2.79</v>
      </c>
      <c r="M87" s="12">
        <f t="shared" si="11"/>
        <v>750.3</v>
      </c>
      <c r="N87" s="12">
        <f t="shared" si="12"/>
        <v>3007.3</v>
      </c>
      <c r="O87" s="12">
        <f t="shared" si="13"/>
        <v>3757.6</v>
      </c>
      <c r="P87" s="12"/>
      <c r="Q87" s="12">
        <f t="shared" si="10"/>
        <v>1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8.75" customHeight="1">
      <c r="A88" s="140" t="str">
        <f t="shared" si="1"/>
        <v>Top95</v>
      </c>
      <c r="B88" s="216" t="s">
        <v>161</v>
      </c>
      <c r="C88" s="216"/>
      <c r="D88" s="217">
        <v>95.0</v>
      </c>
      <c r="E88" s="218">
        <f t="shared" si="2"/>
        <v>10.478</v>
      </c>
      <c r="F88" s="218">
        <f t="shared" si="3"/>
        <v>1.99</v>
      </c>
      <c r="G88" s="218" t="str">
        <f t="shared" si="4"/>
        <v/>
      </c>
      <c r="H88" s="218" t="str">
        <f t="shared" si="5"/>
        <v/>
      </c>
      <c r="I88" s="218" t="str">
        <f t="shared" si="6"/>
        <v/>
      </c>
      <c r="J88" s="218" t="str">
        <f t="shared" si="7"/>
        <v/>
      </c>
      <c r="K88" s="218" t="str">
        <f t="shared" si="8"/>
        <v/>
      </c>
      <c r="L88" s="218">
        <f t="shared" si="9"/>
        <v>5.4</v>
      </c>
      <c r="M88" s="217">
        <f t="shared" si="11"/>
        <v>244.77</v>
      </c>
      <c r="N88" s="217">
        <f t="shared" si="12"/>
        <v>981.07</v>
      </c>
      <c r="O88" s="217">
        <f t="shared" si="13"/>
        <v>1225.84</v>
      </c>
      <c r="P88" s="217"/>
      <c r="Q88" s="217">
        <f t="shared" si="10"/>
        <v>95</v>
      </c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140"/>
    </row>
    <row r="89" ht="18.75" customHeight="1">
      <c r="A89" s="30" t="str">
        <f t="shared" si="1"/>
        <v>Jagganath16</v>
      </c>
      <c r="B89" s="215" t="s">
        <v>163</v>
      </c>
      <c r="C89" s="215"/>
      <c r="D89" s="12">
        <v>16.0</v>
      </c>
      <c r="E89" s="59">
        <f t="shared" si="2"/>
        <v>3.78</v>
      </c>
      <c r="F89" s="59">
        <f t="shared" si="3"/>
        <v>0.68</v>
      </c>
      <c r="G89" s="59" t="str">
        <f t="shared" si="4"/>
        <v/>
      </c>
      <c r="H89" s="59" t="str">
        <f t="shared" si="5"/>
        <v/>
      </c>
      <c r="I89" s="59" t="str">
        <f t="shared" si="6"/>
        <v/>
      </c>
      <c r="J89" s="59" t="str">
        <f t="shared" si="7"/>
        <v/>
      </c>
      <c r="K89" s="59" t="str">
        <f t="shared" si="8"/>
        <v/>
      </c>
      <c r="L89" s="59" t="str">
        <f t="shared" si="9"/>
        <v/>
      </c>
      <c r="M89" s="12">
        <f t="shared" si="11"/>
        <v>83.64</v>
      </c>
      <c r="N89" s="12">
        <f t="shared" si="12"/>
        <v>335.24</v>
      </c>
      <c r="O89" s="12">
        <f t="shared" si="13"/>
        <v>418.88</v>
      </c>
      <c r="P89" s="12" t="s">
        <v>262</v>
      </c>
      <c r="Q89" s="12">
        <f t="shared" si="10"/>
        <v>16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8.75" customHeight="1">
      <c r="A90" s="30" t="str">
        <f t="shared" si="1"/>
        <v>Ladies Ring35</v>
      </c>
      <c r="B90" s="215" t="s">
        <v>0</v>
      </c>
      <c r="C90" s="12"/>
      <c r="D90" s="12">
        <v>35.0</v>
      </c>
      <c r="E90" s="12">
        <f t="shared" si="2"/>
        <v>4.31</v>
      </c>
      <c r="F90" s="12">
        <f t="shared" si="3"/>
        <v>0.6</v>
      </c>
      <c r="G90" s="12" t="str">
        <f t="shared" si="4"/>
        <v/>
      </c>
      <c r="H90" s="12" t="str">
        <f t="shared" si="5"/>
        <v/>
      </c>
      <c r="I90" s="12" t="str">
        <f t="shared" si="6"/>
        <v/>
      </c>
      <c r="J90" s="12" t="str">
        <f t="shared" si="7"/>
        <v/>
      </c>
      <c r="K90" s="12">
        <f t="shared" si="8"/>
        <v>0.7</v>
      </c>
      <c r="L90" s="12" t="str">
        <f t="shared" si="9"/>
        <v/>
      </c>
      <c r="M90" s="12">
        <f t="shared" si="11"/>
        <v>73.8</v>
      </c>
      <c r="N90" s="12">
        <f t="shared" si="12"/>
        <v>295.8</v>
      </c>
      <c r="O90" s="12">
        <f t="shared" si="13"/>
        <v>369.6</v>
      </c>
      <c r="P90" s="12" t="s">
        <v>263</v>
      </c>
      <c r="Q90" s="12">
        <f t="shared" si="10"/>
        <v>35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8.75" customHeight="1">
      <c r="A91" s="30" t="str">
        <f t="shared" si="1"/>
        <v>Ladies Ring150</v>
      </c>
      <c r="B91" s="215" t="s">
        <v>0</v>
      </c>
      <c r="C91" s="12"/>
      <c r="D91" s="12">
        <v>150.0</v>
      </c>
      <c r="E91" s="12">
        <f t="shared" si="2"/>
        <v>6.882</v>
      </c>
      <c r="F91" s="12">
        <f t="shared" si="3"/>
        <v>1.15</v>
      </c>
      <c r="G91" s="12" t="str">
        <f t="shared" si="4"/>
        <v/>
      </c>
      <c r="H91" s="12" t="str">
        <f t="shared" si="5"/>
        <v/>
      </c>
      <c r="I91" s="12" t="str">
        <f t="shared" si="6"/>
        <v/>
      </c>
      <c r="J91" s="12" t="str">
        <f t="shared" si="7"/>
        <v/>
      </c>
      <c r="K91" s="12" t="str">
        <f t="shared" si="8"/>
        <v/>
      </c>
      <c r="L91" s="12">
        <f t="shared" si="9"/>
        <v>2.39</v>
      </c>
      <c r="M91" s="12">
        <f t="shared" si="11"/>
        <v>141.45</v>
      </c>
      <c r="N91" s="12">
        <f t="shared" si="12"/>
        <v>566.95</v>
      </c>
      <c r="O91" s="12">
        <f t="shared" si="13"/>
        <v>708.4</v>
      </c>
      <c r="P91" s="12" t="s">
        <v>264</v>
      </c>
      <c r="Q91" s="12">
        <f t="shared" si="10"/>
        <v>150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8.75" customHeight="1">
      <c r="A92" s="30" t="str">
        <f t="shared" si="1"/>
        <v>Ladies Ring330</v>
      </c>
      <c r="B92" s="215" t="s">
        <v>0</v>
      </c>
      <c r="C92" s="12"/>
      <c r="D92" s="12">
        <v>330.0</v>
      </c>
      <c r="E92" s="12">
        <f t="shared" si="2"/>
        <v>3.234</v>
      </c>
      <c r="F92" s="12">
        <f t="shared" si="3"/>
        <v>0.73</v>
      </c>
      <c r="G92" s="12" t="str">
        <f t="shared" si="4"/>
        <v/>
      </c>
      <c r="H92" s="12" t="str">
        <f t="shared" si="5"/>
        <v/>
      </c>
      <c r="I92" s="12" t="str">
        <f t="shared" si="6"/>
        <v/>
      </c>
      <c r="J92" s="12" t="str">
        <f t="shared" si="7"/>
        <v/>
      </c>
      <c r="K92" s="12" t="str">
        <f t="shared" si="8"/>
        <v/>
      </c>
      <c r="L92" s="12" t="str">
        <f t="shared" si="9"/>
        <v/>
      </c>
      <c r="M92" s="12">
        <f t="shared" si="11"/>
        <v>89.79</v>
      </c>
      <c r="N92" s="12">
        <f t="shared" si="12"/>
        <v>359.89</v>
      </c>
      <c r="O92" s="12">
        <f t="shared" si="13"/>
        <v>449.68</v>
      </c>
      <c r="P92" s="12" t="s">
        <v>265</v>
      </c>
      <c r="Q92" s="12">
        <f t="shared" si="10"/>
        <v>330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8.75" customHeight="1">
      <c r="A93" s="30" t="str">
        <f t="shared" si="1"/>
        <v>Ladies Ring339</v>
      </c>
      <c r="B93" s="215" t="s">
        <v>0</v>
      </c>
      <c r="C93" s="12"/>
      <c r="D93" s="12">
        <v>339.0</v>
      </c>
      <c r="E93" s="12">
        <f t="shared" si="2"/>
        <v>2.554</v>
      </c>
      <c r="F93" s="12">
        <f t="shared" si="3"/>
        <v>0.48</v>
      </c>
      <c r="G93" s="12" t="str">
        <f t="shared" si="4"/>
        <v/>
      </c>
      <c r="H93" s="12" t="str">
        <f t="shared" si="5"/>
        <v/>
      </c>
      <c r="I93" s="12" t="str">
        <f t="shared" si="6"/>
        <v/>
      </c>
      <c r="J93" s="12" t="str">
        <f t="shared" si="7"/>
        <v/>
      </c>
      <c r="K93" s="12" t="str">
        <f t="shared" si="8"/>
        <v/>
      </c>
      <c r="L93" s="12" t="str">
        <f t="shared" si="9"/>
        <v/>
      </c>
      <c r="M93" s="12">
        <f t="shared" si="11"/>
        <v>59.04</v>
      </c>
      <c r="N93" s="12">
        <f t="shared" si="12"/>
        <v>236.64</v>
      </c>
      <c r="O93" s="12">
        <f t="shared" si="13"/>
        <v>295.68</v>
      </c>
      <c r="P93" s="12" t="s">
        <v>266</v>
      </c>
      <c r="Q93" s="12">
        <f t="shared" si="10"/>
        <v>339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8.75" customHeight="1">
      <c r="A94" s="30" t="str">
        <f t="shared" si="1"/>
        <v>Ladies Ring332</v>
      </c>
      <c r="B94" s="215" t="s">
        <v>0</v>
      </c>
      <c r="C94" s="12"/>
      <c r="D94" s="12">
        <v>332.0</v>
      </c>
      <c r="E94" s="12">
        <f t="shared" si="2"/>
        <v>2.522</v>
      </c>
      <c r="F94" s="12">
        <f t="shared" si="3"/>
        <v>0.54</v>
      </c>
      <c r="G94" s="12" t="str">
        <f t="shared" si="4"/>
        <v/>
      </c>
      <c r="H94" s="12" t="str">
        <f t="shared" si="5"/>
        <v/>
      </c>
      <c r="I94" s="12" t="str">
        <f t="shared" si="6"/>
        <v/>
      </c>
      <c r="J94" s="12" t="str">
        <f t="shared" si="7"/>
        <v/>
      </c>
      <c r="K94" s="12" t="str">
        <f t="shared" si="8"/>
        <v/>
      </c>
      <c r="L94" s="12" t="str">
        <f t="shared" si="9"/>
        <v/>
      </c>
      <c r="M94" s="12">
        <f t="shared" si="11"/>
        <v>66.42</v>
      </c>
      <c r="N94" s="12">
        <f t="shared" si="12"/>
        <v>266.22</v>
      </c>
      <c r="O94" s="12">
        <f t="shared" si="13"/>
        <v>332.64</v>
      </c>
      <c r="P94" s="12" t="s">
        <v>267</v>
      </c>
      <c r="Q94" s="12">
        <f t="shared" si="10"/>
        <v>332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8.75" customHeight="1">
      <c r="A95" s="30" t="str">
        <f t="shared" si="1"/>
        <v>Ladies Ring304</v>
      </c>
      <c r="B95" s="215" t="s">
        <v>0</v>
      </c>
      <c r="C95" s="12"/>
      <c r="D95" s="12">
        <v>304.0</v>
      </c>
      <c r="E95" s="12">
        <f t="shared" si="2"/>
        <v>4.216</v>
      </c>
      <c r="F95" s="12">
        <f t="shared" si="3"/>
        <v>0.5</v>
      </c>
      <c r="G95" s="12" t="str">
        <f t="shared" si="4"/>
        <v/>
      </c>
      <c r="H95" s="12" t="str">
        <f t="shared" si="5"/>
        <v/>
      </c>
      <c r="I95" s="12" t="str">
        <f t="shared" si="6"/>
        <v/>
      </c>
      <c r="J95" s="12" t="str">
        <f t="shared" si="7"/>
        <v/>
      </c>
      <c r="K95" s="12" t="str">
        <f t="shared" si="8"/>
        <v/>
      </c>
      <c r="L95" s="12" t="str">
        <f t="shared" si="9"/>
        <v/>
      </c>
      <c r="M95" s="12">
        <f t="shared" si="11"/>
        <v>61.5</v>
      </c>
      <c r="N95" s="12">
        <f t="shared" si="12"/>
        <v>246.5</v>
      </c>
      <c r="O95" s="12">
        <f t="shared" si="13"/>
        <v>308</v>
      </c>
      <c r="P95" s="12" t="s">
        <v>268</v>
      </c>
      <c r="Q95" s="12">
        <f t="shared" si="10"/>
        <v>304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8.75" customHeight="1">
      <c r="A96" s="30" t="str">
        <f t="shared" si="1"/>
        <v>Ladies Ring155</v>
      </c>
      <c r="B96" s="215" t="s">
        <v>0</v>
      </c>
      <c r="C96" s="12"/>
      <c r="D96" s="12">
        <v>155.0</v>
      </c>
      <c r="E96" s="12">
        <f t="shared" si="2"/>
        <v>7.258</v>
      </c>
      <c r="F96" s="12">
        <f t="shared" si="3"/>
        <v>1.61</v>
      </c>
      <c r="G96" s="12" t="str">
        <f t="shared" si="4"/>
        <v/>
      </c>
      <c r="H96" s="12" t="str">
        <f t="shared" si="5"/>
        <v/>
      </c>
      <c r="I96" s="12" t="str">
        <f t="shared" si="6"/>
        <v/>
      </c>
      <c r="J96" s="12" t="str">
        <f t="shared" si="7"/>
        <v/>
      </c>
      <c r="K96" s="12" t="str">
        <f t="shared" si="8"/>
        <v/>
      </c>
      <c r="L96" s="12">
        <f t="shared" si="9"/>
        <v>2.4</v>
      </c>
      <c r="M96" s="12">
        <f t="shared" si="11"/>
        <v>198.03</v>
      </c>
      <c r="N96" s="12">
        <f t="shared" si="12"/>
        <v>793.73</v>
      </c>
      <c r="O96" s="12">
        <f t="shared" si="13"/>
        <v>991.76</v>
      </c>
      <c r="P96" s="12" t="s">
        <v>269</v>
      </c>
      <c r="Q96" s="12">
        <f t="shared" si="10"/>
        <v>155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8.75" customHeight="1">
      <c r="A97" s="30" t="str">
        <f t="shared" si="1"/>
        <v>Ladies Ring354</v>
      </c>
      <c r="B97" s="215" t="s">
        <v>0</v>
      </c>
      <c r="C97" s="12"/>
      <c r="D97" s="12">
        <v>354.0</v>
      </c>
      <c r="E97" s="12">
        <f t="shared" si="2"/>
        <v>3.168</v>
      </c>
      <c r="F97" s="12">
        <f t="shared" si="3"/>
        <v>0.51</v>
      </c>
      <c r="G97" s="12" t="str">
        <f t="shared" si="4"/>
        <v/>
      </c>
      <c r="H97" s="12" t="str">
        <f t="shared" si="5"/>
        <v/>
      </c>
      <c r="I97" s="12" t="str">
        <f t="shared" si="6"/>
        <v/>
      </c>
      <c r="J97" s="12" t="str">
        <f t="shared" si="7"/>
        <v/>
      </c>
      <c r="K97" s="12" t="str">
        <f t="shared" si="8"/>
        <v/>
      </c>
      <c r="L97" s="12" t="str">
        <f t="shared" si="9"/>
        <v/>
      </c>
      <c r="M97" s="12">
        <f t="shared" si="11"/>
        <v>62.73</v>
      </c>
      <c r="N97" s="12">
        <f t="shared" si="12"/>
        <v>251.43</v>
      </c>
      <c r="O97" s="12">
        <f t="shared" si="13"/>
        <v>314.16</v>
      </c>
      <c r="P97" s="12" t="s">
        <v>270</v>
      </c>
      <c r="Q97" s="12">
        <f t="shared" si="10"/>
        <v>354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8.75" customHeight="1">
      <c r="A98" s="30" t="str">
        <f t="shared" si="1"/>
        <v>Ladies Ring227</v>
      </c>
      <c r="B98" s="215" t="s">
        <v>0</v>
      </c>
      <c r="C98" s="12"/>
      <c r="D98" s="12">
        <v>227.0</v>
      </c>
      <c r="E98" s="12">
        <f t="shared" si="2"/>
        <v>2.47</v>
      </c>
      <c r="F98" s="12">
        <f t="shared" si="3"/>
        <v>0.54</v>
      </c>
      <c r="G98" s="12" t="str">
        <f t="shared" si="4"/>
        <v/>
      </c>
      <c r="H98" s="12" t="str">
        <f t="shared" si="5"/>
        <v/>
      </c>
      <c r="I98" s="12" t="str">
        <f t="shared" si="6"/>
        <v/>
      </c>
      <c r="J98" s="12" t="str">
        <f t="shared" si="7"/>
        <v/>
      </c>
      <c r="K98" s="12" t="str">
        <f t="shared" si="8"/>
        <v/>
      </c>
      <c r="L98" s="12" t="str">
        <f t="shared" si="9"/>
        <v/>
      </c>
      <c r="M98" s="12">
        <f t="shared" si="11"/>
        <v>66.42</v>
      </c>
      <c r="N98" s="12">
        <f t="shared" si="12"/>
        <v>266.22</v>
      </c>
      <c r="O98" s="12">
        <f t="shared" si="13"/>
        <v>332.64</v>
      </c>
      <c r="P98" s="12" t="s">
        <v>271</v>
      </c>
      <c r="Q98" s="12">
        <f t="shared" si="10"/>
        <v>227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8.75" customHeight="1">
      <c r="A99" s="30" t="str">
        <f t="shared" si="1"/>
        <v>Ladies Ring301</v>
      </c>
      <c r="B99" s="215" t="s">
        <v>0</v>
      </c>
      <c r="C99" s="12"/>
      <c r="D99" s="12">
        <v>301.0</v>
      </c>
      <c r="E99" s="12">
        <f t="shared" si="2"/>
        <v>3.358</v>
      </c>
      <c r="F99" s="12">
        <f t="shared" si="3"/>
        <v>0.51</v>
      </c>
      <c r="G99" s="12" t="str">
        <f t="shared" si="4"/>
        <v/>
      </c>
      <c r="H99" s="12" t="str">
        <f t="shared" si="5"/>
        <v/>
      </c>
      <c r="I99" s="12" t="str">
        <f t="shared" si="6"/>
        <v/>
      </c>
      <c r="J99" s="12" t="str">
        <f t="shared" si="7"/>
        <v/>
      </c>
      <c r="K99" s="12" t="str">
        <f t="shared" si="8"/>
        <v/>
      </c>
      <c r="L99" s="12" t="str">
        <f t="shared" si="9"/>
        <v/>
      </c>
      <c r="M99" s="12">
        <f t="shared" si="11"/>
        <v>62.73</v>
      </c>
      <c r="N99" s="12">
        <f t="shared" si="12"/>
        <v>251.43</v>
      </c>
      <c r="O99" s="12">
        <f t="shared" si="13"/>
        <v>314.16</v>
      </c>
      <c r="P99" s="12" t="s">
        <v>272</v>
      </c>
      <c r="Q99" s="12">
        <f t="shared" si="10"/>
        <v>301</v>
      </c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8.75" customHeight="1">
      <c r="A100" s="30" t="str">
        <f t="shared" si="1"/>
        <v>Ladies Ring245</v>
      </c>
      <c r="B100" s="215" t="s">
        <v>0</v>
      </c>
      <c r="C100" s="12"/>
      <c r="D100" s="12">
        <v>245.0</v>
      </c>
      <c r="E100" s="12">
        <f t="shared" si="2"/>
        <v>5.64</v>
      </c>
      <c r="F100" s="12">
        <f t="shared" si="3"/>
        <v>0.76</v>
      </c>
      <c r="G100" s="12" t="str">
        <f t="shared" si="4"/>
        <v/>
      </c>
      <c r="H100" s="12" t="str">
        <f t="shared" si="5"/>
        <v/>
      </c>
      <c r="I100" s="12" t="str">
        <f t="shared" si="6"/>
        <v/>
      </c>
      <c r="J100" s="12" t="str">
        <f t="shared" si="7"/>
        <v/>
      </c>
      <c r="K100" s="12" t="str">
        <f t="shared" si="8"/>
        <v/>
      </c>
      <c r="L100" s="12" t="str">
        <f t="shared" si="9"/>
        <v/>
      </c>
      <c r="M100" s="12">
        <f t="shared" si="11"/>
        <v>93.48</v>
      </c>
      <c r="N100" s="12">
        <f t="shared" si="12"/>
        <v>374.68</v>
      </c>
      <c r="O100" s="12">
        <f t="shared" si="13"/>
        <v>468.16</v>
      </c>
      <c r="P100" s="12" t="s">
        <v>273</v>
      </c>
      <c r="Q100" s="12">
        <f t="shared" si="10"/>
        <v>245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8.75" customHeight="1">
      <c r="A101" s="30" t="str">
        <f t="shared" si="1"/>
        <v>Ladies Ring359</v>
      </c>
      <c r="B101" s="215" t="s">
        <v>0</v>
      </c>
      <c r="C101" s="12"/>
      <c r="D101" s="12">
        <v>359.0</v>
      </c>
      <c r="E101" s="12">
        <f t="shared" si="2"/>
        <v>2.604</v>
      </c>
      <c r="F101" s="12">
        <f t="shared" si="3"/>
        <v>0.76</v>
      </c>
      <c r="G101" s="12">
        <f t="shared" si="4"/>
        <v>0.07</v>
      </c>
      <c r="H101" s="12" t="str">
        <f t="shared" si="5"/>
        <v/>
      </c>
      <c r="I101" s="12" t="str">
        <f t="shared" si="6"/>
        <v/>
      </c>
      <c r="J101" s="12" t="str">
        <f t="shared" si="7"/>
        <v/>
      </c>
      <c r="K101" s="12" t="str">
        <f t="shared" si="8"/>
        <v/>
      </c>
      <c r="L101" s="12" t="str">
        <f t="shared" si="9"/>
        <v/>
      </c>
      <c r="M101" s="12">
        <f t="shared" si="11"/>
        <v>102.09</v>
      </c>
      <c r="N101" s="12">
        <f t="shared" si="12"/>
        <v>409.19</v>
      </c>
      <c r="O101" s="12">
        <f t="shared" si="13"/>
        <v>511.28</v>
      </c>
      <c r="P101" s="12" t="s">
        <v>274</v>
      </c>
      <c r="Q101" s="12">
        <f t="shared" si="10"/>
        <v>359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8.75" customHeight="1">
      <c r="A102" s="30" t="str">
        <f t="shared" si="1"/>
        <v>Ladies Ring242</v>
      </c>
      <c r="B102" s="215" t="s">
        <v>0</v>
      </c>
      <c r="C102" s="12"/>
      <c r="D102" s="12">
        <v>242.0</v>
      </c>
      <c r="E102" s="12">
        <f t="shared" si="2"/>
        <v>4.114</v>
      </c>
      <c r="F102" s="12" t="str">
        <f t="shared" si="3"/>
        <v/>
      </c>
      <c r="G102" s="12">
        <f t="shared" si="4"/>
        <v>0.93</v>
      </c>
      <c r="H102" s="12" t="str">
        <f t="shared" si="5"/>
        <v/>
      </c>
      <c r="I102" s="12" t="str">
        <f t="shared" si="6"/>
        <v/>
      </c>
      <c r="J102" s="12" t="str">
        <f t="shared" si="7"/>
        <v/>
      </c>
      <c r="K102" s="12" t="str">
        <f t="shared" si="8"/>
        <v/>
      </c>
      <c r="L102" s="12" t="str">
        <f t="shared" si="9"/>
        <v/>
      </c>
      <c r="M102" s="12">
        <f t="shared" si="11"/>
        <v>114.39</v>
      </c>
      <c r="N102" s="12">
        <f t="shared" si="12"/>
        <v>458.49</v>
      </c>
      <c r="O102" s="12">
        <f t="shared" si="13"/>
        <v>572.88</v>
      </c>
      <c r="P102" s="12" t="s">
        <v>275</v>
      </c>
      <c r="Q102" s="12">
        <f t="shared" si="10"/>
        <v>242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8.75" customHeight="1">
      <c r="A103" s="30" t="str">
        <f t="shared" si="1"/>
        <v>Ladies Ring217</v>
      </c>
      <c r="B103" s="215" t="s">
        <v>0</v>
      </c>
      <c r="C103" s="12"/>
      <c r="D103" s="12">
        <v>217.0</v>
      </c>
      <c r="E103" s="12">
        <f t="shared" si="2"/>
        <v>4.14</v>
      </c>
      <c r="F103" s="12">
        <f t="shared" si="3"/>
        <v>0.6</v>
      </c>
      <c r="G103" s="12" t="str">
        <f t="shared" si="4"/>
        <v/>
      </c>
      <c r="H103" s="12" t="str">
        <f t="shared" si="5"/>
        <v/>
      </c>
      <c r="I103" s="12" t="str">
        <f t="shared" si="6"/>
        <v/>
      </c>
      <c r="J103" s="12" t="str">
        <f t="shared" si="7"/>
        <v/>
      </c>
      <c r="K103" s="12" t="str">
        <f t="shared" si="8"/>
        <v/>
      </c>
      <c r="L103" s="12" t="str">
        <f t="shared" si="9"/>
        <v/>
      </c>
      <c r="M103" s="12">
        <f t="shared" si="11"/>
        <v>73.8</v>
      </c>
      <c r="N103" s="12">
        <f t="shared" si="12"/>
        <v>295.8</v>
      </c>
      <c r="O103" s="12">
        <f t="shared" si="13"/>
        <v>369.6</v>
      </c>
      <c r="P103" s="12" t="s">
        <v>276</v>
      </c>
      <c r="Q103" s="12">
        <f t="shared" si="10"/>
        <v>217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8.75" customHeight="1">
      <c r="A104" s="30" t="str">
        <f t="shared" si="1"/>
        <v>Ladies Ring275</v>
      </c>
      <c r="B104" s="215" t="s">
        <v>0</v>
      </c>
      <c r="C104" s="12"/>
      <c r="D104" s="12">
        <v>275.0</v>
      </c>
      <c r="E104" s="12">
        <f t="shared" si="2"/>
        <v>1.96</v>
      </c>
      <c r="F104" s="12">
        <f t="shared" si="3"/>
        <v>0.19</v>
      </c>
      <c r="G104" s="12" t="str">
        <f t="shared" si="4"/>
        <v/>
      </c>
      <c r="H104" s="12" t="str">
        <f t="shared" si="5"/>
        <v/>
      </c>
      <c r="I104" s="12" t="str">
        <f t="shared" si="6"/>
        <v/>
      </c>
      <c r="J104" s="12" t="str">
        <f t="shared" si="7"/>
        <v/>
      </c>
      <c r="K104" s="12" t="str">
        <f t="shared" si="8"/>
        <v/>
      </c>
      <c r="L104" s="12" t="str">
        <f t="shared" si="9"/>
        <v/>
      </c>
      <c r="M104" s="12">
        <f t="shared" si="11"/>
        <v>53</v>
      </c>
      <c r="N104" s="12">
        <f t="shared" si="12"/>
        <v>211</v>
      </c>
      <c r="O104" s="12">
        <f t="shared" si="13"/>
        <v>264</v>
      </c>
      <c r="P104" s="12" t="s">
        <v>277</v>
      </c>
      <c r="Q104" s="12">
        <f t="shared" si="10"/>
        <v>275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8.75" customHeight="1">
      <c r="A105" s="30" t="str">
        <f t="shared" si="1"/>
        <v>Ladies Ring160</v>
      </c>
      <c r="B105" s="215" t="s">
        <v>0</v>
      </c>
      <c r="C105" s="12"/>
      <c r="D105" s="12">
        <v>160.0</v>
      </c>
      <c r="E105" s="12">
        <f t="shared" si="2"/>
        <v>7.54</v>
      </c>
      <c r="F105" s="12">
        <f t="shared" si="3"/>
        <v>1.66</v>
      </c>
      <c r="G105" s="12" t="str">
        <f t="shared" si="4"/>
        <v/>
      </c>
      <c r="H105" s="12" t="str">
        <f t="shared" si="5"/>
        <v/>
      </c>
      <c r="I105" s="12" t="str">
        <f t="shared" si="6"/>
        <v/>
      </c>
      <c r="J105" s="12" t="str">
        <f t="shared" si="7"/>
        <v/>
      </c>
      <c r="K105" s="12" t="str">
        <f t="shared" si="8"/>
        <v/>
      </c>
      <c r="L105" s="12">
        <f t="shared" si="9"/>
        <v>4.24</v>
      </c>
      <c r="M105" s="12">
        <f t="shared" si="11"/>
        <v>204.18</v>
      </c>
      <c r="N105" s="12">
        <f t="shared" si="12"/>
        <v>818.38</v>
      </c>
      <c r="O105" s="12">
        <f t="shared" si="13"/>
        <v>1022.56</v>
      </c>
      <c r="P105" s="12" t="s">
        <v>278</v>
      </c>
      <c r="Q105" s="12">
        <f t="shared" si="10"/>
        <v>160</v>
      </c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8.75" customHeight="1">
      <c r="A106" s="30" t="str">
        <f t="shared" si="1"/>
        <v>Ladies Ring117</v>
      </c>
      <c r="B106" s="215" t="s">
        <v>0</v>
      </c>
      <c r="C106" s="12"/>
      <c r="D106" s="12">
        <v>117.0</v>
      </c>
      <c r="E106" s="12">
        <f t="shared" si="2"/>
        <v>8.124</v>
      </c>
      <c r="F106" s="12">
        <f t="shared" si="3"/>
        <v>1.73</v>
      </c>
      <c r="G106" s="12" t="str">
        <f t="shared" si="4"/>
        <v/>
      </c>
      <c r="H106" s="12" t="str">
        <f t="shared" si="5"/>
        <v/>
      </c>
      <c r="I106" s="12" t="str">
        <f t="shared" si="6"/>
        <v/>
      </c>
      <c r="J106" s="12" t="str">
        <f t="shared" si="7"/>
        <v/>
      </c>
      <c r="K106" s="12">
        <f t="shared" si="8"/>
        <v>4.9</v>
      </c>
      <c r="L106" s="12" t="str">
        <f t="shared" si="9"/>
        <v/>
      </c>
      <c r="M106" s="12">
        <f t="shared" si="11"/>
        <v>212.79</v>
      </c>
      <c r="N106" s="12">
        <f t="shared" si="12"/>
        <v>852.89</v>
      </c>
      <c r="O106" s="12">
        <f t="shared" si="13"/>
        <v>1065.68</v>
      </c>
      <c r="P106" s="12" t="s">
        <v>279</v>
      </c>
      <c r="Q106" s="12">
        <f t="shared" si="10"/>
        <v>117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8.75" customHeight="1">
      <c r="A107" s="30" t="str">
        <f t="shared" si="1"/>
        <v>Ladies Ring356</v>
      </c>
      <c r="B107" s="215" t="s">
        <v>0</v>
      </c>
      <c r="C107" s="12"/>
      <c r="D107" s="12">
        <v>356.0</v>
      </c>
      <c r="E107" s="12">
        <f t="shared" si="2"/>
        <v>2.998</v>
      </c>
      <c r="F107" s="12">
        <f t="shared" si="3"/>
        <v>0.81</v>
      </c>
      <c r="G107" s="12" t="str">
        <f t="shared" si="4"/>
        <v/>
      </c>
      <c r="H107" s="12" t="str">
        <f t="shared" si="5"/>
        <v/>
      </c>
      <c r="I107" s="12" t="str">
        <f t="shared" si="6"/>
        <v/>
      </c>
      <c r="J107" s="12" t="str">
        <f t="shared" si="7"/>
        <v/>
      </c>
      <c r="K107" s="12" t="str">
        <f t="shared" si="8"/>
        <v/>
      </c>
      <c r="L107" s="12" t="str">
        <f t="shared" si="9"/>
        <v/>
      </c>
      <c r="M107" s="12">
        <f t="shared" si="11"/>
        <v>99.63</v>
      </c>
      <c r="N107" s="12">
        <f t="shared" si="12"/>
        <v>399.33</v>
      </c>
      <c r="O107" s="12">
        <f t="shared" si="13"/>
        <v>498.96</v>
      </c>
      <c r="P107" s="12" t="s">
        <v>280</v>
      </c>
      <c r="Q107" s="12">
        <f t="shared" si="10"/>
        <v>356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8.75" customHeight="1">
      <c r="A108" s="30" t="str">
        <f t="shared" si="1"/>
        <v>Ladies Ring326</v>
      </c>
      <c r="B108" s="215" t="s">
        <v>0</v>
      </c>
      <c r="C108" s="12"/>
      <c r="D108" s="12">
        <v>326.0</v>
      </c>
      <c r="E108" s="12">
        <f t="shared" si="2"/>
        <v>3.332</v>
      </c>
      <c r="F108" s="12">
        <f t="shared" si="3"/>
        <v>0.54</v>
      </c>
      <c r="G108" s="12" t="str">
        <f t="shared" si="4"/>
        <v/>
      </c>
      <c r="H108" s="12" t="str">
        <f t="shared" si="5"/>
        <v/>
      </c>
      <c r="I108" s="12" t="str">
        <f t="shared" si="6"/>
        <v/>
      </c>
      <c r="J108" s="12" t="str">
        <f t="shared" si="7"/>
        <v/>
      </c>
      <c r="K108" s="12" t="str">
        <f t="shared" si="8"/>
        <v/>
      </c>
      <c r="L108" s="12" t="str">
        <f t="shared" si="9"/>
        <v/>
      </c>
      <c r="M108" s="12">
        <f t="shared" si="11"/>
        <v>66.42</v>
      </c>
      <c r="N108" s="12">
        <f t="shared" si="12"/>
        <v>266.22</v>
      </c>
      <c r="O108" s="12">
        <f t="shared" si="13"/>
        <v>332.64</v>
      </c>
      <c r="P108" s="12" t="s">
        <v>281</v>
      </c>
      <c r="Q108" s="12">
        <f t="shared" si="10"/>
        <v>326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8.75" customHeight="1">
      <c r="A109" s="30" t="str">
        <f t="shared" si="1"/>
        <v>Ladies Ring123</v>
      </c>
      <c r="B109" s="215" t="s">
        <v>0</v>
      </c>
      <c r="C109" s="12"/>
      <c r="D109" s="12">
        <v>123.0</v>
      </c>
      <c r="E109" s="12">
        <f t="shared" si="2"/>
        <v>4.3</v>
      </c>
      <c r="F109" s="12">
        <f t="shared" si="3"/>
        <v>0.33</v>
      </c>
      <c r="G109" s="12" t="str">
        <f t="shared" si="4"/>
        <v/>
      </c>
      <c r="H109" s="12" t="str">
        <f t="shared" si="5"/>
        <v/>
      </c>
      <c r="I109" s="12" t="str">
        <f t="shared" si="6"/>
        <v/>
      </c>
      <c r="J109" s="12" t="str">
        <f t="shared" si="7"/>
        <v/>
      </c>
      <c r="K109" s="12">
        <f t="shared" si="8"/>
        <v>1.19</v>
      </c>
      <c r="L109" s="12" t="str">
        <f t="shared" si="9"/>
        <v/>
      </c>
      <c r="M109" s="12">
        <f t="shared" si="11"/>
        <v>53</v>
      </c>
      <c r="N109" s="12">
        <f t="shared" si="12"/>
        <v>211</v>
      </c>
      <c r="O109" s="12">
        <f t="shared" si="13"/>
        <v>264</v>
      </c>
      <c r="P109" s="12" t="s">
        <v>282</v>
      </c>
      <c r="Q109" s="12">
        <f t="shared" si="10"/>
        <v>123</v>
      </c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8.75" customHeight="1">
      <c r="A110" s="30" t="str">
        <f t="shared" si="1"/>
        <v>Ladies Ring362</v>
      </c>
      <c r="B110" s="215" t="s">
        <v>0</v>
      </c>
      <c r="C110" s="12"/>
      <c r="D110" s="12">
        <v>362.0</v>
      </c>
      <c r="E110" s="12">
        <f t="shared" si="2"/>
        <v>1.494</v>
      </c>
      <c r="F110" s="12">
        <f t="shared" si="3"/>
        <v>0.18</v>
      </c>
      <c r="G110" s="12" t="str">
        <f t="shared" si="4"/>
        <v/>
      </c>
      <c r="H110" s="12" t="str">
        <f t="shared" si="5"/>
        <v/>
      </c>
      <c r="I110" s="12" t="str">
        <f t="shared" si="6"/>
        <v/>
      </c>
      <c r="J110" s="12" t="str">
        <f t="shared" si="7"/>
        <v/>
      </c>
      <c r="K110" s="12" t="str">
        <f t="shared" si="8"/>
        <v/>
      </c>
      <c r="L110" s="12" t="str">
        <f t="shared" si="9"/>
        <v/>
      </c>
      <c r="M110" s="12">
        <f t="shared" si="11"/>
        <v>53</v>
      </c>
      <c r="N110" s="12">
        <f t="shared" si="12"/>
        <v>211</v>
      </c>
      <c r="O110" s="12">
        <f t="shared" si="13"/>
        <v>264</v>
      </c>
      <c r="P110" s="12" t="s">
        <v>283</v>
      </c>
      <c r="Q110" s="12">
        <f t="shared" si="10"/>
        <v>362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8.75" customHeight="1">
      <c r="A111" s="30" t="str">
        <f t="shared" si="1"/>
        <v>Ladies Ring351</v>
      </c>
      <c r="B111" s="215" t="s">
        <v>0</v>
      </c>
      <c r="C111" s="12"/>
      <c r="D111" s="12">
        <v>351.0</v>
      </c>
      <c r="E111" s="12">
        <f t="shared" si="2"/>
        <v>2.98</v>
      </c>
      <c r="F111" s="12">
        <f t="shared" si="3"/>
        <v>0.5</v>
      </c>
      <c r="G111" s="12" t="str">
        <f t="shared" si="4"/>
        <v/>
      </c>
      <c r="H111" s="12" t="str">
        <f t="shared" si="5"/>
        <v/>
      </c>
      <c r="I111" s="12" t="str">
        <f t="shared" si="6"/>
        <v/>
      </c>
      <c r="J111" s="12" t="str">
        <f t="shared" si="7"/>
        <v/>
      </c>
      <c r="K111" s="12" t="str">
        <f t="shared" si="8"/>
        <v/>
      </c>
      <c r="L111" s="12" t="str">
        <f t="shared" si="9"/>
        <v/>
      </c>
      <c r="M111" s="12">
        <f t="shared" si="11"/>
        <v>61.5</v>
      </c>
      <c r="N111" s="12">
        <f t="shared" si="12"/>
        <v>246.5</v>
      </c>
      <c r="O111" s="12">
        <f t="shared" si="13"/>
        <v>308</v>
      </c>
      <c r="P111" s="12" t="s">
        <v>284</v>
      </c>
      <c r="Q111" s="12">
        <f t="shared" si="10"/>
        <v>351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8.75" customHeight="1">
      <c r="A112" s="30" t="str">
        <f t="shared" si="1"/>
        <v>Ladies Ring251</v>
      </c>
      <c r="B112" s="215" t="s">
        <v>0</v>
      </c>
      <c r="C112" s="12"/>
      <c r="D112" s="12">
        <v>251.0</v>
      </c>
      <c r="E112" s="12">
        <f t="shared" si="2"/>
        <v>2.532</v>
      </c>
      <c r="F112" s="12">
        <f t="shared" si="3"/>
        <v>0.46</v>
      </c>
      <c r="G112" s="12" t="str">
        <f t="shared" si="4"/>
        <v/>
      </c>
      <c r="H112" s="12" t="str">
        <f t="shared" si="5"/>
        <v/>
      </c>
      <c r="I112" s="12" t="str">
        <f t="shared" si="6"/>
        <v/>
      </c>
      <c r="J112" s="12" t="str">
        <f t="shared" si="7"/>
        <v/>
      </c>
      <c r="K112" s="12">
        <f t="shared" si="8"/>
        <v>0.63</v>
      </c>
      <c r="L112" s="12" t="str">
        <f t="shared" si="9"/>
        <v/>
      </c>
      <c r="M112" s="12">
        <f t="shared" si="11"/>
        <v>56.58</v>
      </c>
      <c r="N112" s="12">
        <f t="shared" si="12"/>
        <v>226.78</v>
      </c>
      <c r="O112" s="12">
        <f t="shared" si="13"/>
        <v>283.36</v>
      </c>
      <c r="P112" s="12" t="s">
        <v>285</v>
      </c>
      <c r="Q112" s="12">
        <f t="shared" si="10"/>
        <v>251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8.75" customHeight="1">
      <c r="A113" s="30" t="str">
        <f t="shared" si="1"/>
        <v>Ladies Ring315</v>
      </c>
      <c r="B113" s="215" t="s">
        <v>0</v>
      </c>
      <c r="C113" s="12"/>
      <c r="D113" s="12">
        <v>315.0</v>
      </c>
      <c r="E113" s="12">
        <f t="shared" si="2"/>
        <v>2.538</v>
      </c>
      <c r="F113" s="12">
        <f t="shared" si="3"/>
        <v>0.31</v>
      </c>
      <c r="G113" s="12" t="str">
        <f t="shared" si="4"/>
        <v/>
      </c>
      <c r="H113" s="12" t="str">
        <f t="shared" si="5"/>
        <v/>
      </c>
      <c r="I113" s="12" t="str">
        <f t="shared" si="6"/>
        <v/>
      </c>
      <c r="J113" s="12" t="str">
        <f t="shared" si="7"/>
        <v/>
      </c>
      <c r="K113" s="12" t="str">
        <f t="shared" si="8"/>
        <v/>
      </c>
      <c r="L113" s="12" t="str">
        <f t="shared" si="9"/>
        <v/>
      </c>
      <c r="M113" s="12">
        <f t="shared" si="11"/>
        <v>53</v>
      </c>
      <c r="N113" s="12">
        <f t="shared" si="12"/>
        <v>211</v>
      </c>
      <c r="O113" s="12">
        <f t="shared" si="13"/>
        <v>264</v>
      </c>
      <c r="P113" s="12" t="s">
        <v>286</v>
      </c>
      <c r="Q113" s="12">
        <f t="shared" si="10"/>
        <v>315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8.75" customHeight="1">
      <c r="A114" s="30" t="str">
        <f t="shared" si="1"/>
        <v>Ladies Ring99</v>
      </c>
      <c r="B114" s="215" t="s">
        <v>0</v>
      </c>
      <c r="C114" s="12"/>
      <c r="D114" s="12">
        <v>99.0</v>
      </c>
      <c r="E114" s="12">
        <f t="shared" si="2"/>
        <v>3.242</v>
      </c>
      <c r="F114" s="12">
        <f t="shared" si="3"/>
        <v>1.17</v>
      </c>
      <c r="G114" s="12">
        <f t="shared" si="4"/>
        <v>0.07</v>
      </c>
      <c r="H114" s="12" t="str">
        <f t="shared" si="5"/>
        <v/>
      </c>
      <c r="I114" s="12" t="str">
        <f t="shared" si="6"/>
        <v/>
      </c>
      <c r="J114" s="12" t="str">
        <f t="shared" si="7"/>
        <v/>
      </c>
      <c r="K114" s="12" t="str">
        <f t="shared" si="8"/>
        <v/>
      </c>
      <c r="L114" s="12" t="str">
        <f t="shared" si="9"/>
        <v/>
      </c>
      <c r="M114" s="12">
        <f t="shared" si="11"/>
        <v>152.52</v>
      </c>
      <c r="N114" s="12">
        <f t="shared" si="12"/>
        <v>611.32</v>
      </c>
      <c r="O114" s="12">
        <f t="shared" si="13"/>
        <v>763.84</v>
      </c>
      <c r="P114" s="12" t="s">
        <v>287</v>
      </c>
      <c r="Q114" s="12">
        <f t="shared" si="10"/>
        <v>99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8.75" customHeight="1">
      <c r="A115" s="30" t="str">
        <f t="shared" si="1"/>
        <v>Ladies Ring207</v>
      </c>
      <c r="B115" s="215" t="s">
        <v>0</v>
      </c>
      <c r="C115" s="12"/>
      <c r="D115" s="12">
        <v>207.0</v>
      </c>
      <c r="E115" s="12">
        <f t="shared" si="2"/>
        <v>3.332</v>
      </c>
      <c r="F115" s="12">
        <f t="shared" si="3"/>
        <v>0.89</v>
      </c>
      <c r="G115" s="12" t="str">
        <f t="shared" si="4"/>
        <v/>
      </c>
      <c r="H115" s="12" t="str">
        <f t="shared" si="5"/>
        <v/>
      </c>
      <c r="I115" s="12" t="str">
        <f t="shared" si="6"/>
        <v/>
      </c>
      <c r="J115" s="12" t="str">
        <f t="shared" si="7"/>
        <v/>
      </c>
      <c r="K115" s="12" t="str">
        <f t="shared" si="8"/>
        <v/>
      </c>
      <c r="L115" s="12" t="str">
        <f t="shared" si="9"/>
        <v/>
      </c>
      <c r="M115" s="12">
        <f t="shared" si="11"/>
        <v>109.47</v>
      </c>
      <c r="N115" s="12">
        <f t="shared" si="12"/>
        <v>438.77</v>
      </c>
      <c r="O115" s="12">
        <f t="shared" si="13"/>
        <v>548.24</v>
      </c>
      <c r="P115" s="12" t="s">
        <v>288</v>
      </c>
      <c r="Q115" s="12">
        <f t="shared" si="10"/>
        <v>207</v>
      </c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8.75" customHeight="1">
      <c r="A116" s="30" t="str">
        <f t="shared" si="1"/>
        <v>Ladies Ring11</v>
      </c>
      <c r="B116" s="215" t="s">
        <v>0</v>
      </c>
      <c r="C116" s="12"/>
      <c r="D116" s="12">
        <v>11.0</v>
      </c>
      <c r="E116" s="12">
        <f t="shared" si="2"/>
        <v>3.66</v>
      </c>
      <c r="F116" s="12">
        <f t="shared" si="3"/>
        <v>0.69</v>
      </c>
      <c r="G116" s="12" t="str">
        <f t="shared" si="4"/>
        <v/>
      </c>
      <c r="H116" s="12" t="str">
        <f t="shared" si="5"/>
        <v/>
      </c>
      <c r="I116" s="12" t="str">
        <f t="shared" si="6"/>
        <v/>
      </c>
      <c r="J116" s="12" t="str">
        <f t="shared" si="7"/>
        <v/>
      </c>
      <c r="K116" s="12" t="str">
        <f t="shared" si="8"/>
        <v/>
      </c>
      <c r="L116" s="12" t="str">
        <f t="shared" si="9"/>
        <v/>
      </c>
      <c r="M116" s="12">
        <f t="shared" si="11"/>
        <v>84.87</v>
      </c>
      <c r="N116" s="12">
        <f t="shared" si="12"/>
        <v>340.17</v>
      </c>
      <c r="O116" s="12">
        <f t="shared" si="13"/>
        <v>425.04</v>
      </c>
      <c r="P116" s="12" t="s">
        <v>289</v>
      </c>
      <c r="Q116" s="12">
        <f t="shared" si="10"/>
        <v>11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8.75" customHeight="1">
      <c r="A117" s="30" t="str">
        <f t="shared" si="1"/>
        <v>Ladies Ring116</v>
      </c>
      <c r="B117" s="215" t="s">
        <v>0</v>
      </c>
      <c r="C117" s="12"/>
      <c r="D117" s="12">
        <v>116.0</v>
      </c>
      <c r="E117" s="12">
        <f t="shared" si="2"/>
        <v>4.96</v>
      </c>
      <c r="F117" s="12">
        <f t="shared" si="3"/>
        <v>0.87</v>
      </c>
      <c r="G117" s="12" t="str">
        <f t="shared" si="4"/>
        <v/>
      </c>
      <c r="H117" s="12" t="str">
        <f t="shared" si="5"/>
        <v/>
      </c>
      <c r="I117" s="12" t="str">
        <f t="shared" si="6"/>
        <v/>
      </c>
      <c r="J117" s="12" t="str">
        <f t="shared" si="7"/>
        <v/>
      </c>
      <c r="K117" s="12" t="str">
        <f t="shared" si="8"/>
        <v/>
      </c>
      <c r="L117" s="12">
        <f t="shared" si="9"/>
        <v>2.8</v>
      </c>
      <c r="M117" s="12">
        <f t="shared" si="11"/>
        <v>107.01</v>
      </c>
      <c r="N117" s="12">
        <f t="shared" si="12"/>
        <v>428.91</v>
      </c>
      <c r="O117" s="12">
        <f t="shared" si="13"/>
        <v>535.92</v>
      </c>
      <c r="P117" s="12" t="s">
        <v>290</v>
      </c>
      <c r="Q117" s="12">
        <f t="shared" si="10"/>
        <v>116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8.75" customHeight="1">
      <c r="A118" s="30" t="str">
        <f t="shared" si="1"/>
        <v>Ladies Ring197</v>
      </c>
      <c r="B118" s="215" t="s">
        <v>0</v>
      </c>
      <c r="C118" s="12"/>
      <c r="D118" s="12">
        <v>197.0</v>
      </c>
      <c r="E118" s="12">
        <f t="shared" si="2"/>
        <v>3.644</v>
      </c>
      <c r="F118" s="12">
        <f t="shared" si="3"/>
        <v>1</v>
      </c>
      <c r="G118" s="12">
        <f t="shared" si="4"/>
        <v>0.08</v>
      </c>
      <c r="H118" s="12" t="str">
        <f t="shared" si="5"/>
        <v/>
      </c>
      <c r="I118" s="12" t="str">
        <f t="shared" si="6"/>
        <v/>
      </c>
      <c r="J118" s="12" t="str">
        <f t="shared" si="7"/>
        <v/>
      </c>
      <c r="K118" s="12" t="str">
        <f t="shared" si="8"/>
        <v/>
      </c>
      <c r="L118" s="12" t="str">
        <f t="shared" si="9"/>
        <v/>
      </c>
      <c r="M118" s="12">
        <f t="shared" si="11"/>
        <v>132.84</v>
      </c>
      <c r="N118" s="12">
        <f t="shared" si="12"/>
        <v>532.44</v>
      </c>
      <c r="O118" s="12">
        <f t="shared" si="13"/>
        <v>665.28</v>
      </c>
      <c r="P118" s="12" t="s">
        <v>291</v>
      </c>
      <c r="Q118" s="12">
        <f t="shared" si="10"/>
        <v>197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8.75" customHeight="1">
      <c r="A119" s="30" t="str">
        <f t="shared" si="1"/>
        <v>Ladies Ring208</v>
      </c>
      <c r="B119" s="215" t="s">
        <v>0</v>
      </c>
      <c r="C119" s="12"/>
      <c r="D119" s="12">
        <v>208.0</v>
      </c>
      <c r="E119" s="12">
        <f t="shared" si="2"/>
        <v>3.3</v>
      </c>
      <c r="F119" s="12">
        <f t="shared" si="3"/>
        <v>0.96</v>
      </c>
      <c r="G119" s="12" t="str">
        <f t="shared" si="4"/>
        <v/>
      </c>
      <c r="H119" s="12" t="str">
        <f t="shared" si="5"/>
        <v/>
      </c>
      <c r="I119" s="12" t="str">
        <f t="shared" si="6"/>
        <v/>
      </c>
      <c r="J119" s="12" t="str">
        <f t="shared" si="7"/>
        <v/>
      </c>
      <c r="K119" s="12" t="str">
        <f t="shared" si="8"/>
        <v/>
      </c>
      <c r="L119" s="12" t="str">
        <f t="shared" si="9"/>
        <v/>
      </c>
      <c r="M119" s="12">
        <f t="shared" si="11"/>
        <v>118.08</v>
      </c>
      <c r="N119" s="12">
        <f t="shared" si="12"/>
        <v>473.28</v>
      </c>
      <c r="O119" s="12">
        <f t="shared" si="13"/>
        <v>591.36</v>
      </c>
      <c r="P119" s="12" t="s">
        <v>292</v>
      </c>
      <c r="Q119" s="12">
        <f t="shared" si="10"/>
        <v>208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8.75" customHeight="1">
      <c r="A120" s="30" t="str">
        <f t="shared" si="1"/>
        <v>Ladies Ring357</v>
      </c>
      <c r="B120" s="215" t="s">
        <v>0</v>
      </c>
      <c r="C120" s="12"/>
      <c r="D120" s="12">
        <v>357.0</v>
      </c>
      <c r="E120" s="12">
        <f t="shared" si="2"/>
        <v>2.226</v>
      </c>
      <c r="F120" s="12">
        <f t="shared" si="3"/>
        <v>0.44</v>
      </c>
      <c r="G120" s="12">
        <f t="shared" si="4"/>
        <v>0.08</v>
      </c>
      <c r="H120" s="12" t="str">
        <f t="shared" si="5"/>
        <v/>
      </c>
      <c r="I120" s="12" t="str">
        <f t="shared" si="6"/>
        <v/>
      </c>
      <c r="J120" s="12" t="str">
        <f t="shared" si="7"/>
        <v/>
      </c>
      <c r="K120" s="12" t="str">
        <f t="shared" si="8"/>
        <v/>
      </c>
      <c r="L120" s="12" t="str">
        <f t="shared" si="9"/>
        <v/>
      </c>
      <c r="M120" s="12">
        <f t="shared" si="11"/>
        <v>63.96</v>
      </c>
      <c r="N120" s="12">
        <f t="shared" si="12"/>
        <v>256.36</v>
      </c>
      <c r="O120" s="12">
        <f t="shared" si="13"/>
        <v>320.32</v>
      </c>
      <c r="P120" s="12" t="s">
        <v>293</v>
      </c>
      <c r="Q120" s="12">
        <f t="shared" si="10"/>
        <v>357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8.75" customHeight="1">
      <c r="A121" s="30" t="str">
        <f t="shared" si="1"/>
        <v>Ladies Ring361</v>
      </c>
      <c r="B121" s="215" t="s">
        <v>0</v>
      </c>
      <c r="C121" s="12"/>
      <c r="D121" s="12">
        <v>361.0</v>
      </c>
      <c r="E121" s="12">
        <f t="shared" si="2"/>
        <v>2.25</v>
      </c>
      <c r="F121" s="12">
        <f t="shared" si="3"/>
        <v>0.65</v>
      </c>
      <c r="G121" s="12" t="str">
        <f t="shared" si="4"/>
        <v/>
      </c>
      <c r="H121" s="12" t="str">
        <f t="shared" si="5"/>
        <v/>
      </c>
      <c r="I121" s="12" t="str">
        <f t="shared" si="6"/>
        <v/>
      </c>
      <c r="J121" s="12" t="str">
        <f t="shared" si="7"/>
        <v/>
      </c>
      <c r="K121" s="12" t="str">
        <f t="shared" si="8"/>
        <v/>
      </c>
      <c r="L121" s="12" t="str">
        <f t="shared" si="9"/>
        <v/>
      </c>
      <c r="M121" s="12">
        <f t="shared" si="11"/>
        <v>79.95</v>
      </c>
      <c r="N121" s="12">
        <f t="shared" si="12"/>
        <v>320.45</v>
      </c>
      <c r="O121" s="12">
        <f t="shared" si="13"/>
        <v>400.4</v>
      </c>
      <c r="P121" s="12" t="s">
        <v>294</v>
      </c>
      <c r="Q121" s="12">
        <f t="shared" si="10"/>
        <v>361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8.75" customHeight="1">
      <c r="A122" s="30" t="str">
        <f t="shared" si="1"/>
        <v>Ladies Ring165</v>
      </c>
      <c r="B122" s="215" t="s">
        <v>0</v>
      </c>
      <c r="C122" s="12"/>
      <c r="D122" s="12">
        <v>165.0</v>
      </c>
      <c r="E122" s="12">
        <f t="shared" si="2"/>
        <v>1.562</v>
      </c>
      <c r="F122" s="12">
        <f t="shared" si="3"/>
        <v>0.49</v>
      </c>
      <c r="G122" s="12" t="str">
        <f t="shared" si="4"/>
        <v/>
      </c>
      <c r="H122" s="12" t="str">
        <f t="shared" si="5"/>
        <v/>
      </c>
      <c r="I122" s="12" t="str">
        <f t="shared" si="6"/>
        <v/>
      </c>
      <c r="J122" s="12" t="str">
        <f t="shared" si="7"/>
        <v/>
      </c>
      <c r="K122" s="12" t="str">
        <f t="shared" si="8"/>
        <v/>
      </c>
      <c r="L122" s="12" t="str">
        <f t="shared" si="9"/>
        <v/>
      </c>
      <c r="M122" s="12">
        <f t="shared" si="11"/>
        <v>60.27</v>
      </c>
      <c r="N122" s="12">
        <f t="shared" si="12"/>
        <v>241.57</v>
      </c>
      <c r="O122" s="12">
        <f t="shared" si="13"/>
        <v>301.84</v>
      </c>
      <c r="P122" s="12" t="s">
        <v>295</v>
      </c>
      <c r="Q122" s="12">
        <f t="shared" si="10"/>
        <v>165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8.75" customHeight="1">
      <c r="A123" s="30" t="str">
        <f t="shared" si="1"/>
        <v>Ladies Ring1</v>
      </c>
      <c r="B123" s="215" t="s">
        <v>0</v>
      </c>
      <c r="C123" s="12"/>
      <c r="D123" s="12">
        <v>1.0</v>
      </c>
      <c r="E123" s="12">
        <f t="shared" si="2"/>
        <v>6.06</v>
      </c>
      <c r="F123" s="12">
        <f t="shared" si="3"/>
        <v>0.54</v>
      </c>
      <c r="G123" s="12" t="str">
        <f t="shared" si="4"/>
        <v/>
      </c>
      <c r="H123" s="12" t="str">
        <f t="shared" si="5"/>
        <v/>
      </c>
      <c r="I123" s="12" t="str">
        <f t="shared" si="6"/>
        <v/>
      </c>
      <c r="J123" s="12" t="str">
        <f t="shared" si="7"/>
        <v/>
      </c>
      <c r="K123" s="12" t="str">
        <f t="shared" si="8"/>
        <v/>
      </c>
      <c r="L123" s="12" t="str">
        <f t="shared" si="9"/>
        <v/>
      </c>
      <c r="M123" s="12">
        <f t="shared" si="11"/>
        <v>66.42</v>
      </c>
      <c r="N123" s="12">
        <f t="shared" si="12"/>
        <v>266.22</v>
      </c>
      <c r="O123" s="12">
        <f t="shared" si="13"/>
        <v>332.64</v>
      </c>
      <c r="P123" s="12" t="s">
        <v>296</v>
      </c>
      <c r="Q123" s="12">
        <f t="shared" si="10"/>
        <v>1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8.75" customHeigh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8.75" customHeight="1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>
        <f>SUM(N89:N124)</f>
        <v>12971.8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8.75" customHeight="1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8.75" customHeight="1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8.75" customHeight="1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8.75" customHeight="1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8.75" customHeight="1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8.75" customHeight="1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8.75" customHeight="1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8.75" customHeight="1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8.75" customHeight="1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8.75" customHeight="1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8.75" customHeigh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8.75" customHeight="1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8.75" customHeight="1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8.75" customHeight="1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8.75" customHeigh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8.75" customHeight="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8.75" customHeight="1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8.75" customHeight="1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8.75" customHeight="1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8.75" customHeight="1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8.75" customHeigh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8.75" customHeight="1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8.75" customHeight="1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8.75" customHeight="1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8.75" customHeigh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8.75" customHeight="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8.75" customHeigh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8.75" customHeight="1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8.75" customHeight="1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8.75" customHeight="1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8.75" customHeight="1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8.75" customHeight="1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8.75" customHeight="1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8.75" customHeight="1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8.75" customHeight="1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8.75" customHeight="1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8.75" customHeight="1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8.75" customHeight="1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8.75" customHeight="1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8.75" customHeight="1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8.75" customHeight="1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8.75" customHeight="1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8.75" customHeigh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8.75" customHeight="1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8.75" customHeight="1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8.75" customHeight="1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8.75" customHeight="1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8.75" customHeight="1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8.75" customHeight="1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8.75" customHeight="1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8.75" customHeight="1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8.75" customHeight="1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8.75" customHeight="1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8.75" customHeight="1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8.75" customHeight="1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8.75" customHeight="1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8.75" customHeight="1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8.75" customHeight="1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8.75" customHeight="1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8.75" customHeight="1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8.75" customHeight="1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8.75" customHeight="1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8.75" customHeight="1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8.75" customHeight="1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8.75" customHeight="1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8.75" customHeight="1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8.75" customHeight="1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8.75" customHeight="1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8.75" customHeight="1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8.75" customHeight="1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8.75" customHeight="1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8.75" customHeight="1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8.75" customHeight="1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8.75" customHeight="1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8.75" customHeight="1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8.75" customHeight="1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8.75" customHeight="1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8.75" customHeight="1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8.75" customHeight="1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8.75" customHeight="1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8.75" customHeight="1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8.75" customHeight="1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8.75" customHeight="1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8.75" customHeight="1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8.75" customHeight="1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8.75" customHeight="1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8.75" customHeight="1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8.75" customHeight="1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8.75" customHeight="1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8.75" customHeight="1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8.75" customHeight="1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8.75" customHeight="1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8.75" customHeight="1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8.75" customHeight="1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8.75" customHeight="1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8.75" customHeight="1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8.75" customHeight="1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8.75" customHeight="1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8.75" customHeight="1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8.75" customHeight="1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8.75" customHeight="1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8.75" customHeight="1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8.75" customHeight="1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8.75" customHeight="1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8.75" customHeight="1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8.75" customHeight="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8.75" customHeight="1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8.75" customHeight="1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8.75" customHeight="1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8.75" customHeight="1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8.75" customHeight="1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8.75" customHeight="1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8.75" customHeight="1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8.75" customHeight="1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8.75" customHeight="1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8.75" customHeight="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8.75" customHeight="1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8.75" customHeight="1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8.75" customHeight="1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8.75" customHeight="1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8.75" customHeight="1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8.75" customHeight="1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8.75" customHeight="1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8.75" customHeight="1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8.75" customHeight="1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8.75" customHeight="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8.75" customHeight="1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8.75" customHeight="1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8.75" customHeight="1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8.75" customHeight="1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8.75" customHeight="1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8.75" customHeight="1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8.75" customHeight="1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8.75" customHeight="1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8.75" customHeight="1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8.75" customHeight="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8.75" customHeight="1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8.75" customHeight="1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8.75" customHeight="1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8.75" customHeight="1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8.75" customHeight="1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8.75" customHeight="1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8.75" customHeight="1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8.75" customHeight="1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8.75" customHeight="1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8.75" customHeight="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8.75" customHeight="1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8.75" customHeight="1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8.75" customHeight="1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8.75" customHeight="1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8.75" customHeight="1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8.75" customHeight="1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8.75" customHeight="1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8.75" customHeight="1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8.75" customHeight="1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8.75" customHeight="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8.75" customHeight="1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8.75" customHeight="1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8.75" customHeight="1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8.75" customHeight="1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8.75" customHeight="1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8.75" customHeight="1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8.75" customHeight="1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8.75" customHeight="1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8.75" customHeight="1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8.75" customHeight="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8.75" customHeight="1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8.75" customHeight="1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8.75" customHeight="1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8.75" customHeight="1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8.75" customHeight="1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8.75" customHeight="1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8.75" customHeight="1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8.75" customHeight="1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8.75" customHeight="1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8.75" customHeight="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8.75" customHeight="1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8.75" customHeight="1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8.75" customHeight="1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8.75" customHeight="1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8.75" customHeight="1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8.75" customHeight="1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8.75" customHeight="1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8.75" customHeight="1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8.75" customHeight="1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8.75" customHeight="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8.75" customHeight="1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8.75" customHeight="1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18.75" customHeight="1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18.75" customHeight="1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18.75" customHeight="1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18.75" customHeight="1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18.75" customHeight="1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18.75" customHeight="1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18.75" customHeight="1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18.75" customHeight="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18.75" customHeight="1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18.75" customHeight="1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18.75" customHeight="1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18.75" customHeight="1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18.75" customHeight="1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18.75" customHeight="1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18.75" customHeight="1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18.75" customHeight="1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18.75" customHeight="1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18.75" customHeight="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18.75" customHeight="1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18.75" customHeight="1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18.75" customHeight="1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18.75" customHeight="1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18.75" customHeight="1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18.75" customHeight="1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18.75" customHeight="1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18.75" customHeight="1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18.75" customHeight="1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18.75" customHeight="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18.75" customHeight="1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18.75" customHeight="1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18.75" customHeight="1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18.75" customHeight="1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18.75" customHeight="1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18.75" customHeight="1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18.75" customHeight="1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18.75" customHeight="1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18.75" customHeight="1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18.75" customHeight="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18.75" customHeight="1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18.75" customHeight="1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18.75" customHeight="1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18.75" customHeight="1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18.75" customHeight="1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18.75" customHeight="1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18.75" customHeight="1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18.75" customHeight="1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18.75" customHeight="1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18.75" customHeight="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18.75" customHeight="1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18.75" customHeight="1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18.75" customHeight="1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18.75" customHeight="1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18.75" customHeight="1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18.75" customHeight="1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18.75" customHeight="1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18.75" customHeight="1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18.75" customHeight="1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18.75" customHeight="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18.75" customHeight="1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18.75" customHeight="1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18.75" customHeight="1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18.75" customHeight="1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18.75" customHeight="1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18.75" customHeight="1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18.75" customHeight="1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18.75" customHeight="1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18.75" customHeight="1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18.75" customHeight="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18.75" customHeight="1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18.75" customHeight="1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18.75" customHeight="1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18.75" customHeight="1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18.75" customHeight="1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18.75" customHeight="1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18.75" customHeight="1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18.75" customHeight="1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18.75" customHeight="1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18.75" customHeight="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18.75" customHeight="1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18.75" customHeight="1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18.75" customHeight="1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18.75" customHeight="1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18.75" customHeight="1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18.75" customHeight="1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18.75" customHeight="1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18.75" customHeight="1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18.75" customHeight="1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18.75" customHeight="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18.75" customHeight="1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18.75" customHeight="1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18.75" customHeight="1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18.75" customHeight="1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18.75" customHeight="1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18.75" customHeight="1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18.75" customHeight="1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8.75" customHeight="1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8.75" customHeight="1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8.75" customHeight="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8.75" customHeight="1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8.75" customHeight="1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18.75" customHeight="1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8.75" customHeight="1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8.75" customHeight="1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8.75" customHeight="1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8.75" customHeight="1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8.75" customHeight="1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8.75" customHeight="1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8.75" customHeight="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8.75" customHeight="1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8.75" customHeight="1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8.75" customHeight="1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8.75" customHeight="1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8.75" customHeight="1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8.75" customHeight="1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8.75" customHeight="1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8.75" customHeight="1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8.75" customHeight="1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8.75" customHeight="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8.75" customHeight="1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8.75" customHeight="1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8.75" customHeight="1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8.75" customHeight="1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8.75" customHeight="1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8.75" customHeight="1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8.75" customHeight="1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8.75" customHeight="1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8.75" customHeight="1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8.75" customHeight="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8.75" customHeight="1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8.75" customHeight="1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8.75" customHeight="1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8.75" customHeight="1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8.75" customHeight="1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8.75" customHeight="1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8.75" customHeight="1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8.75" customHeight="1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8.75" customHeight="1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8.75" customHeight="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8.75" customHeight="1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8.75" customHeight="1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8.75" customHeight="1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8.75" customHeight="1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8.75" customHeight="1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8.75" customHeight="1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8.75" customHeight="1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8.75" customHeight="1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8.75" customHeight="1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8.75" customHeight="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8.75" customHeight="1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8.75" customHeight="1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8.75" customHeight="1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8.75" customHeight="1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8.75" customHeight="1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8.75" customHeight="1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8.75" customHeight="1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8.75" customHeight="1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8.75" customHeight="1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8.75" customHeight="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8.75" customHeight="1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8.75" customHeight="1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8.75" customHeight="1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8.75" customHeight="1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8.75" customHeight="1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8.75" customHeight="1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8.75" customHeight="1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8.75" customHeight="1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8.75" customHeight="1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8.75" customHeight="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8.75" customHeight="1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8.75" customHeight="1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8.75" customHeight="1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8.75" customHeight="1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8.75" customHeight="1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8.75" customHeight="1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8.75" customHeight="1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8.75" customHeight="1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8.75" customHeight="1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8.75" customHeight="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8.75" customHeight="1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8.75" customHeight="1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8.75" customHeight="1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8.75" customHeight="1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8.75" customHeight="1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8.75" customHeight="1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8.75" customHeight="1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8.75" customHeight="1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8.75" customHeight="1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8.75" customHeight="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8.75" customHeight="1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8.75" customHeight="1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8.75" customHeight="1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8.75" customHeight="1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8.75" customHeight="1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8.75" customHeight="1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8.75" customHeight="1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8.75" customHeight="1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8.75" customHeight="1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8.75" customHeight="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8.75" customHeight="1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8.75" customHeight="1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8.75" customHeight="1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8.75" customHeight="1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8.75" customHeight="1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8.75" customHeight="1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8.75" customHeight="1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8.75" customHeight="1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8.75" customHeight="1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8.75" customHeight="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8.75" customHeight="1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8.75" customHeight="1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8.75" customHeight="1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8.75" customHeight="1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8.75" customHeight="1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8.75" customHeight="1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8.75" customHeight="1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8.75" customHeight="1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8.75" customHeight="1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8.75" customHeight="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8.75" customHeight="1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8.75" customHeight="1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8.75" customHeight="1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8.75" customHeight="1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8.75" customHeight="1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8.75" customHeight="1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8.75" customHeight="1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8.75" customHeight="1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8.75" customHeight="1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8.75" customHeight="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8.75" customHeight="1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8.75" customHeight="1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8.75" customHeight="1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8.75" customHeight="1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8.75" customHeight="1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8.75" customHeight="1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8.75" customHeight="1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8.75" customHeight="1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8.75" customHeight="1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8.75" customHeight="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8.75" customHeight="1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8.75" customHeight="1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8.75" customHeight="1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8.75" customHeight="1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8.75" customHeight="1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8.75" customHeight="1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8.75" customHeight="1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8.75" customHeight="1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8.75" customHeight="1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8.75" customHeight="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8.75" customHeight="1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8.75" customHeight="1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8.75" customHeight="1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8.75" customHeight="1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8.75" customHeight="1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8.75" customHeight="1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8.75" customHeight="1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8.75" customHeight="1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8.75" customHeight="1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8.75" customHeight="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8.75" customHeight="1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8.75" customHeight="1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8.75" customHeight="1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8.75" customHeight="1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8.75" customHeight="1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8.75" customHeight="1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8.75" customHeight="1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8.75" customHeight="1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8.75" customHeight="1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8.75" customHeight="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8.75" customHeight="1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8.75" customHeight="1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8.75" customHeight="1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8.75" customHeight="1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8.75" customHeight="1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8.75" customHeight="1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8.75" customHeight="1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8.75" customHeight="1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8.75" customHeight="1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8.75" customHeight="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8.75" customHeight="1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8.75" customHeight="1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8.75" customHeight="1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8.75" customHeight="1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8.75" customHeight="1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8.75" customHeight="1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8.75" customHeight="1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8.75" customHeight="1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8.75" customHeight="1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8.75" customHeight="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8.75" customHeight="1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8.75" customHeight="1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8.75" customHeight="1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8.75" customHeight="1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8.75" customHeight="1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8.75" customHeight="1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8.75" customHeight="1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8.75" customHeight="1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8.75" customHeight="1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8.75" customHeight="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8.75" customHeight="1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8.75" customHeight="1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8.75" customHeight="1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8.75" customHeight="1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8.75" customHeight="1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8.75" customHeight="1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8.75" customHeight="1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8.75" customHeight="1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8.75" customHeight="1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8.75" customHeight="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8.75" customHeight="1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8.75" customHeight="1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8.75" customHeight="1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8.75" customHeight="1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8.75" customHeight="1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8.75" customHeight="1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8.75" customHeight="1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8.75" customHeight="1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8.75" customHeight="1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8.75" customHeight="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8.75" customHeight="1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8.75" customHeight="1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8.75" customHeight="1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8.75" customHeight="1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8.75" customHeight="1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8.75" customHeight="1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8.75" customHeight="1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8.75" customHeight="1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8.75" customHeight="1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8.75" customHeight="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8.75" customHeight="1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8.75" customHeight="1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8.75" customHeight="1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8.75" customHeight="1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8.75" customHeight="1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8.75" customHeight="1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8.75" customHeight="1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8.75" customHeight="1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8.75" customHeight="1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8.75" customHeight="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8.75" customHeight="1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8.75" customHeight="1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8.75" customHeight="1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8.75" customHeight="1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8.75" customHeight="1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8.75" customHeight="1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8.75" customHeight="1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8.75" customHeight="1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8.75" customHeight="1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8.75" customHeight="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8.75" customHeight="1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8.75" customHeight="1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8.75" customHeight="1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8.75" customHeight="1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8.75" customHeight="1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8.75" customHeight="1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8.75" customHeight="1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8.75" customHeight="1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8.75" customHeight="1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8.75" customHeight="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8.75" customHeight="1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8.75" customHeight="1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8.75" customHeight="1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8.75" customHeight="1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8.75" customHeight="1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8.75" customHeight="1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8.75" customHeight="1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8.75" customHeight="1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8.75" customHeight="1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8.75" customHeight="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8.75" customHeight="1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8.75" customHeight="1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8.75" customHeight="1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8.75" customHeight="1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8.75" customHeight="1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8.75" customHeight="1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8.75" customHeight="1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8.75" customHeight="1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8.75" customHeight="1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8.75" customHeight="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8.75" customHeight="1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8.75" customHeight="1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8.75" customHeight="1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8.75" customHeight="1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8.75" customHeight="1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8.75" customHeight="1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8.75" customHeight="1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8.75" customHeight="1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8.75" customHeight="1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8.75" customHeight="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8.75" customHeight="1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8.75" customHeight="1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8.75" customHeight="1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8.75" customHeight="1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8.75" customHeight="1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8.75" customHeight="1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8.75" customHeight="1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8.75" customHeight="1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8.75" customHeight="1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8.75" customHeight="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8.75" customHeight="1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8.75" customHeight="1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8.75" customHeight="1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8.75" customHeight="1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8.75" customHeight="1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8.75" customHeight="1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8.75" customHeight="1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8.75" customHeight="1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8.75" customHeight="1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8.75" customHeight="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8.75" customHeight="1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8.75" customHeight="1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8.75" customHeight="1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8.75" customHeight="1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8.75" customHeight="1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8.75" customHeight="1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8.75" customHeight="1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8.75" customHeight="1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8.75" customHeight="1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8.75" customHeight="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8.75" customHeight="1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8.75" customHeight="1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8.75" customHeight="1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8.75" customHeight="1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8.75" customHeight="1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8.75" customHeight="1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8.75" customHeight="1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8.75" customHeight="1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8.75" customHeight="1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8.75" customHeight="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8.75" customHeight="1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8.75" customHeight="1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8.75" customHeight="1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8.75" customHeight="1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8.75" customHeight="1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8.75" customHeight="1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8.75" customHeight="1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8.75" customHeight="1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8.75" customHeight="1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8.75" customHeight="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8.75" customHeight="1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8.75" customHeight="1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8.75" customHeight="1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8.75" customHeight="1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8.75" customHeight="1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8.75" customHeight="1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8.75" customHeight="1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8.75" customHeight="1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8.75" customHeight="1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8.75" customHeight="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8.75" customHeight="1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8.75" customHeight="1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8.75" customHeight="1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8.75" customHeight="1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8.75" customHeight="1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8.75" customHeight="1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8.75" customHeight="1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8.75" customHeight="1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8.75" customHeight="1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8.75" customHeight="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8.75" customHeight="1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8.75" customHeight="1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8.75" customHeight="1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8.75" customHeight="1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8.75" customHeight="1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8.75" customHeight="1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8.75" customHeight="1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8.75" customHeight="1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8.75" customHeight="1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8.75" customHeight="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8.75" customHeight="1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8.75" customHeight="1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8.75" customHeight="1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8.75" customHeight="1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8.75" customHeight="1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8.75" customHeight="1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8.75" customHeight="1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8.75" customHeight="1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8.75" customHeight="1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8.75" customHeight="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8.75" customHeight="1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8.75" customHeight="1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8.75" customHeight="1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8.75" customHeight="1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8.75" customHeight="1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8.75" customHeight="1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8.75" customHeight="1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8.75" customHeight="1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8.75" customHeight="1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8.75" customHeight="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8.75" customHeight="1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8.75" customHeight="1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8.75" customHeight="1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8.75" customHeight="1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8.75" customHeight="1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8.75" customHeight="1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8.75" customHeight="1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8.75" customHeight="1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8.75" customHeight="1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8.75" customHeight="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8.75" customHeight="1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8.75" customHeight="1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8.75" customHeight="1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8.75" customHeight="1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8.75" customHeight="1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8.75" customHeight="1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8.75" customHeight="1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8.75" customHeight="1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8.75" customHeight="1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8.75" customHeight="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8.75" customHeight="1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8.75" customHeight="1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8.75" customHeight="1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8.75" customHeight="1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8.75" customHeight="1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8.75" customHeight="1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8.75" customHeight="1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8.75" customHeight="1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8.75" customHeight="1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8.75" customHeight="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8.75" customHeight="1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8.75" customHeight="1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8.75" customHeight="1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8.75" customHeight="1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8.75" customHeight="1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8.75" customHeight="1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8.75" customHeight="1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8.75" customHeight="1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8.75" customHeight="1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8.75" customHeight="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8.75" customHeight="1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8.75" customHeight="1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8.75" customHeight="1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8.75" customHeight="1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8.75" customHeight="1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8.75" customHeight="1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8.75" customHeight="1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8.75" customHeight="1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8.75" customHeight="1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8.75" customHeight="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8.75" customHeight="1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8.75" customHeight="1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8.75" customHeight="1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8.75" customHeight="1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8.75" customHeight="1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8.75" customHeight="1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8.75" customHeight="1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8.75" customHeight="1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8.75" customHeight="1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8.75" customHeight="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8.75" customHeight="1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8.75" customHeight="1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8.75" customHeight="1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8.75" customHeight="1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8.75" customHeight="1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8.75" customHeight="1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8.75" customHeight="1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8.75" customHeight="1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8.75" customHeight="1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8.75" customHeight="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8.75" customHeight="1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8.75" customHeight="1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8.75" customHeight="1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8.75" customHeight="1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8.75" customHeight="1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8.75" customHeight="1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8.75" customHeight="1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8.75" customHeight="1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8.75" customHeight="1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8.75" customHeight="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8.75" customHeight="1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8.75" customHeight="1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8.75" customHeight="1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8.75" customHeight="1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8.75" customHeight="1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8.75" customHeight="1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8.75" customHeight="1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8.75" customHeight="1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8.75" customHeight="1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8.75" customHeight="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8.75" customHeight="1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8.75" customHeight="1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8.75" customHeight="1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8.75" customHeight="1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8.75" customHeight="1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8.75" customHeight="1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8.75" customHeight="1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8.75" customHeight="1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8.75" customHeight="1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8.75" customHeight="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8.75" customHeight="1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8.75" customHeight="1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8.75" customHeight="1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8.75" customHeight="1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8.75" customHeight="1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8.75" customHeight="1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8.75" customHeight="1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8.75" customHeight="1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8.75" customHeight="1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8.75" customHeight="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8.75" customHeight="1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8.75" customHeight="1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8.75" customHeight="1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8.75" customHeight="1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8.75" customHeight="1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8.75" customHeight="1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8.75" customHeight="1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8.75" customHeight="1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8.75" customHeight="1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8.75" customHeight="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8.75" customHeight="1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8.75" customHeight="1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8.75" customHeight="1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8.75" customHeight="1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8.75" customHeight="1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8.75" customHeight="1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8.75" customHeight="1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8.75" customHeight="1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8.75" customHeight="1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8.75" customHeight="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8.75" customHeight="1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8.75" customHeight="1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8.75" customHeight="1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8.75" customHeight="1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8.75" customHeight="1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8.75" customHeight="1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8.75" customHeight="1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8.75" customHeight="1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8.75" customHeight="1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8.75" customHeight="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8.75" customHeight="1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8.75" customHeight="1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8.75" customHeight="1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8.75" customHeight="1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8.75" customHeight="1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8.75" customHeight="1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8.75" customHeight="1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8.75" customHeight="1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8.75" customHeight="1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8.75" customHeight="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8.75" customHeight="1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8.75" customHeight="1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8.75" customHeight="1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8.75" customHeight="1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8.75" customHeight="1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8.75" customHeight="1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8.75" customHeight="1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8.75" customHeight="1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8.75" customHeight="1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8.75" customHeight="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8.75" customHeight="1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8.75" customHeight="1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8.75" customHeight="1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8.75" customHeight="1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8.75" customHeight="1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8.75" customHeight="1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8.75" customHeight="1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8.75" customHeight="1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8.75" customHeight="1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8.75" customHeight="1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8.75" customHeight="1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8.75" customHeight="1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8.75" customHeight="1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8.75" customHeight="1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8.75" customHeight="1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8.75" customHeight="1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8.75" customHeight="1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8.75" customHeight="1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8.75" customHeight="1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8.75" customHeight="1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8.75" customHeight="1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8.75" customHeight="1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8.75" customHeight="1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8.75" customHeight="1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8.75" customHeight="1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8.75" customHeight="1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8.75" customHeight="1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8.75" customHeight="1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8.75" customHeight="1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8.75" customHeight="1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8.75" customHeight="1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8.75" customHeight="1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8.75" customHeight="1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8.75" customHeight="1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8.75" customHeight="1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8.75" customHeight="1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8.75" customHeight="1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8.75" customHeight="1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8.75" customHeight="1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autoFilter ref="$A$1:$T$79"/>
  <dataValidations>
    <dataValidation type="decimal" allowBlank="1" showErrorMessage="1" sqref="C1:C1000">
      <formula1>0.0</formula1>
      <formula2>9.9999999999E10</formula2>
    </dataValidation>
    <dataValidation type="list" allowBlank="1" showErrorMessage="1" sqref="B2:B123">
      <formula1>Prices!$A$9:$A$18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14"/>
    <col customWidth="1" min="3" max="3" width="12.71"/>
    <col customWidth="1" min="4" max="4" width="10.14"/>
    <col customWidth="1" min="5" max="5" width="10.57"/>
    <col customWidth="1" min="6" max="6" width="10.14"/>
    <col customWidth="1" min="7" max="7" width="8.29"/>
    <col customWidth="1" min="8" max="8" width="5.43"/>
    <col customWidth="1" min="9" max="9" width="7.29"/>
    <col customWidth="1" min="10" max="10" width="5.86"/>
    <col customWidth="1" min="11" max="26" width="8.71"/>
  </cols>
  <sheetData>
    <row r="1">
      <c r="A1" s="30" t="s">
        <v>297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>
      <c r="A2" s="219" t="s">
        <v>4</v>
      </c>
      <c r="B2" s="219" t="s">
        <v>63</v>
      </c>
      <c r="C2" s="219" t="s">
        <v>64</v>
      </c>
      <c r="D2" s="219" t="s">
        <v>65</v>
      </c>
      <c r="E2" s="219" t="s">
        <v>6</v>
      </c>
      <c r="F2" s="219" t="s">
        <v>66</v>
      </c>
      <c r="G2" s="219" t="s">
        <v>8</v>
      </c>
      <c r="H2" s="219" t="s">
        <v>9</v>
      </c>
      <c r="I2" s="219" t="s">
        <v>10</v>
      </c>
      <c r="J2" s="219" t="s">
        <v>11</v>
      </c>
      <c r="O2" s="30" t="s">
        <v>80</v>
      </c>
    </row>
    <row r="3">
      <c r="A3" s="30">
        <f>SUMIF('Gents Ring'!$U2:$U999,'Stock Sheet'!$O2,'Gents Ring'!B2:B999)</f>
        <v>167.911</v>
      </c>
      <c r="B3" s="30">
        <f>SUMIF('Gents Ring'!$U2:$U999,'Stock Sheet'!$O2,'Gents Ring'!C2:C999)</f>
        <v>41.97775</v>
      </c>
      <c r="C3" s="30">
        <f>SUMIF('Gents Ring'!$U2:$U999,'Stock Sheet'!$O2,'Gents Ring'!D2:D999)</f>
        <v>209.88875</v>
      </c>
      <c r="D3" s="30">
        <f>SUMIF('Gents Ring'!$U2:$U999,'Stock Sheet'!$O2,'Gents Ring'!E2:E999)</f>
        <v>9.53</v>
      </c>
      <c r="E3" s="30">
        <f>SUMIF('Gents Ring'!$U2:$U999,'Stock Sheet'!$O2,'Gents Ring'!F2:F999)</f>
        <v>2.17</v>
      </c>
      <c r="F3" s="30">
        <f>SUMIF('Gents Ring'!$U2:$U999,'Stock Sheet'!$O2,'Gents Ring'!G2:G999)</f>
        <v>2.12</v>
      </c>
      <c r="G3" s="30">
        <f>SUMIF('Gents Ring'!$U2:$U999,'Stock Sheet'!$O2,'Gents Ring'!H2:H999)</f>
        <v>3.77</v>
      </c>
      <c r="H3" s="30">
        <f>SUMIF('Gents Ring'!$U2:$U999,'Stock Sheet'!$O2,'Gents Ring'!I2:I999)</f>
        <v>0</v>
      </c>
      <c r="I3" s="30">
        <f>SUMIF('Gents Ring'!$U2:$U999,'Stock Sheet'!$O2,'Gents Ring'!J2:J999)</f>
        <v>0</v>
      </c>
      <c r="J3" s="30">
        <f>SUMIF('Gents Ring'!$U2:$U999,'Stock Sheet'!$O2,'Gents Ring'!K2:K999)</f>
        <v>0</v>
      </c>
      <c r="K3" s="30">
        <f>COUNTIF('Gents Ring'!$U$2:$U$999,'Stock Sheet'!O2)</f>
        <v>32</v>
      </c>
      <c r="O3" s="30" t="s">
        <v>82</v>
      </c>
    </row>
    <row r="5">
      <c r="A5" s="30" t="s">
        <v>298</v>
      </c>
      <c r="B5" s="30"/>
      <c r="C5" s="30"/>
      <c r="D5" s="30"/>
      <c r="E5" s="30"/>
      <c r="F5" s="30"/>
      <c r="G5" s="30"/>
      <c r="H5" s="30"/>
      <c r="I5" s="30"/>
      <c r="J5" s="30"/>
    </row>
    <row r="6">
      <c r="A6" s="219" t="s">
        <v>4</v>
      </c>
      <c r="B6" s="219" t="s">
        <v>63</v>
      </c>
      <c r="C6" s="219" t="s">
        <v>64</v>
      </c>
      <c r="D6" s="219" t="s">
        <v>65</v>
      </c>
      <c r="E6" s="219" t="s">
        <v>6</v>
      </c>
      <c r="F6" s="219" t="s">
        <v>66</v>
      </c>
      <c r="G6" s="219" t="s">
        <v>8</v>
      </c>
      <c r="H6" s="219" t="s">
        <v>9</v>
      </c>
      <c r="I6" s="219" t="s">
        <v>10</v>
      </c>
      <c r="J6" s="219" t="s">
        <v>11</v>
      </c>
    </row>
    <row r="7">
      <c r="A7" s="30">
        <f>SUMIF('Ladies Ring'!$U$2:$U$1002,'Stock Sheet'!$O$2,'Ladies Ring'!B$2:B$1002)</f>
        <v>585.974</v>
      </c>
      <c r="B7" s="30">
        <f>SUMIF('Ladies Ring'!$U$2:$U$1002,'Stock Sheet'!$O$2,'Ladies Ring'!C$2:C$1002)</f>
        <v>146.4935</v>
      </c>
      <c r="C7" s="30">
        <f>SUMIF('Ladies Ring'!$U$2:$U$1002,'Stock Sheet'!$O$2,'Ladies Ring'!D$2:D$1002)</f>
        <v>732.4675</v>
      </c>
      <c r="D7" s="30">
        <f>SUMIF('Ladies Ring'!$U$2:$U$1002,'Stock Sheet'!$O$2,'Ladies Ring'!E$2:E$1002)</f>
        <v>89.56</v>
      </c>
      <c r="E7" s="30">
        <f>SUMIF('Ladies Ring'!$U$2:$U$1002,'Stock Sheet'!$O$2,'Ladies Ring'!F$2:F$1002)</f>
        <v>10.16</v>
      </c>
      <c r="F7" s="30">
        <f>SUMIF('Ladies Ring'!$U$2:$U$1002,'Stock Sheet'!$O$2,'Ladies Ring'!G$2:G$1002)</f>
        <v>0.91</v>
      </c>
      <c r="G7" s="30">
        <f>SUMIF('Ladies Ring'!$U$2:$U$1002,'Stock Sheet'!$O$2,'Ladies Ring'!H$2:H$1002)</f>
        <v>2.61</v>
      </c>
      <c r="H7" s="30">
        <f>SUMIF('Ladies Ring'!$U$2:$U$1002,'Stock Sheet'!$O$2,'Ladies Ring'!I$2:I$1002)</f>
        <v>0</v>
      </c>
      <c r="I7" s="30">
        <f>SUMIF('Ladies Ring'!$U$2:$U$1002,'Stock Sheet'!$O$2,'Ladies Ring'!J$2:J$1002)</f>
        <v>9.41</v>
      </c>
      <c r="J7" s="30">
        <f>SUMIF('Ladies Ring'!$U$2:$U$1002,'Stock Sheet'!$O$2,'Ladies Ring'!K$2:K$1002)</f>
        <v>105.37</v>
      </c>
      <c r="K7" s="30">
        <f>COUNTIF('Ladies Ring'!$U$2:$U$998,'Stock Sheet'!$O$2)</f>
        <v>158</v>
      </c>
    </row>
    <row r="9">
      <c r="A9" s="30" t="s">
        <v>299</v>
      </c>
      <c r="B9" s="30"/>
      <c r="C9" s="30"/>
      <c r="D9" s="30"/>
      <c r="E9" s="30"/>
      <c r="F9" s="30"/>
      <c r="G9" s="30"/>
      <c r="H9" s="30"/>
      <c r="I9" s="30"/>
      <c r="J9" s="30"/>
    </row>
    <row r="10">
      <c r="A10" s="219" t="s">
        <v>4</v>
      </c>
      <c r="B10" s="219" t="s">
        <v>63</v>
      </c>
      <c r="C10" s="219" t="s">
        <v>64</v>
      </c>
      <c r="D10" s="219" t="s">
        <v>65</v>
      </c>
      <c r="E10" s="219" t="s">
        <v>6</v>
      </c>
      <c r="F10" s="219" t="s">
        <v>66</v>
      </c>
      <c r="G10" s="219" t="s">
        <v>8</v>
      </c>
      <c r="H10" s="219" t="s">
        <v>9</v>
      </c>
      <c r="I10" s="219" t="s">
        <v>10</v>
      </c>
      <c r="J10" s="219" t="s">
        <v>11</v>
      </c>
    </row>
    <row r="11">
      <c r="A11" s="30">
        <f>SUMIF(Top!$U$2:$U$1004,'Stock Sheet'!$O$2,Top!B$2:B$1004)</f>
        <v>398.206</v>
      </c>
      <c r="B11" s="30">
        <f>SUMIF(Top!$U$2:$U$1004,'Stock Sheet'!$O$2,Top!C$2:C$1004)</f>
        <v>99.5515</v>
      </c>
      <c r="C11" s="30">
        <f>SUMIF(Top!$U$2:$U$1004,'Stock Sheet'!$O$2,Top!D$2:D$1004)</f>
        <v>497.7575</v>
      </c>
      <c r="D11" s="30">
        <f>SUMIF(Top!$U$2:$U$1004,'Stock Sheet'!$O$2,Top!E$2:E$1004)</f>
        <v>76.24</v>
      </c>
      <c r="E11" s="30">
        <f>SUMIF(Top!$U$2:$U$1004,'Stock Sheet'!$O$2,Top!F$2:F$1004)</f>
        <v>12.33</v>
      </c>
      <c r="F11" s="30">
        <f>SUMIF(Top!$U$2:$U$1004,'Stock Sheet'!$O$2,Top!G$2:G$1004)</f>
        <v>0.32</v>
      </c>
      <c r="G11" s="30">
        <f>SUMIF(Top!$U$2:$U$1004,'Stock Sheet'!$O$2,Top!H$2:H$1004)</f>
        <v>0</v>
      </c>
      <c r="H11" s="30">
        <f>SUMIF(Top!$U$2:$U$1004,'Stock Sheet'!$O$2,Top!I$2:I$1004)</f>
        <v>21.82</v>
      </c>
      <c r="I11" s="30">
        <f>SUMIF(Top!$U$2:$U$1004,'Stock Sheet'!$O$2,Top!J$2:J$1004)</f>
        <v>28.99</v>
      </c>
      <c r="J11" s="30">
        <f>SUMIF(Top!$U$2:$U$1004,'Stock Sheet'!$O$2,Top!K$2:K$1004)</f>
        <v>74.72</v>
      </c>
      <c r="K11" s="30">
        <f>COUNTIF(Top!$U$2:$U$1000,'Stock Sheet'!$O$2)</f>
        <v>89</v>
      </c>
    </row>
    <row r="13">
      <c r="A13" s="30" t="s">
        <v>300</v>
      </c>
      <c r="B13" s="30"/>
      <c r="C13" s="30"/>
      <c r="D13" s="30"/>
      <c r="E13" s="30"/>
      <c r="F13" s="30"/>
      <c r="G13" s="30"/>
      <c r="H13" s="30"/>
      <c r="I13" s="30"/>
      <c r="J13" s="30"/>
    </row>
    <row r="14">
      <c r="A14" s="219" t="s">
        <v>4</v>
      </c>
      <c r="B14" s="219" t="s">
        <v>63</v>
      </c>
      <c r="C14" s="219" t="s">
        <v>64</v>
      </c>
      <c r="D14" s="219" t="s">
        <v>65</v>
      </c>
      <c r="E14" s="219" t="s">
        <v>6</v>
      </c>
      <c r="F14" s="219" t="s">
        <v>66</v>
      </c>
      <c r="G14" s="219" t="s">
        <v>8</v>
      </c>
      <c r="H14" s="219" t="s">
        <v>9</v>
      </c>
      <c r="I14" s="219" t="s">
        <v>10</v>
      </c>
      <c r="J14" s="219" t="s">
        <v>11</v>
      </c>
    </row>
    <row r="15">
      <c r="A15" s="30">
        <f>SUMIF(Locket!$U$2:$U$1003,'Stock Sheet'!$O$2,Locket!B$2:B$1003)</f>
        <v>235.411</v>
      </c>
      <c r="B15" s="30">
        <f>SUMIF(Locket!$U$2:$U$1003,'Stock Sheet'!$O$2,Locket!C$2:C$1003)</f>
        <v>58.85275</v>
      </c>
      <c r="C15" s="30">
        <f>SUMIF(Locket!$U$2:$U$1003,'Stock Sheet'!$O$2,Locket!D$2:D$1003)</f>
        <v>294.26375</v>
      </c>
      <c r="D15" s="30">
        <f>SUMIF(Locket!$U$2:$U$1003,'Stock Sheet'!$O$2,Locket!E$2:E$1003)</f>
        <v>51.105</v>
      </c>
      <c r="E15" s="30">
        <f>SUMIF(Locket!$U$2:$U$1003,'Stock Sheet'!$O$2,Locket!F$2:F$1003)</f>
        <v>1.04</v>
      </c>
      <c r="F15" s="30">
        <f>SUMIF(Locket!$U$2:$U$1003,'Stock Sheet'!$O$2,Locket!G$2:G$1003)</f>
        <v>1.47</v>
      </c>
      <c r="G15" s="30">
        <f>SUMIF(Locket!$U$2:$U$1003,'Stock Sheet'!$O$2,Locket!H$2:H$1003)</f>
        <v>0</v>
      </c>
      <c r="H15" s="30">
        <f>SUMIF(Locket!$U$2:$U$1003,'Stock Sheet'!$O$2,Locket!I$2:I$1003)</f>
        <v>8.19</v>
      </c>
      <c r="I15" s="30">
        <f>SUMIF(Locket!$U$2:$U$1003,'Stock Sheet'!$O$2,Locket!J$2:J$1003)</f>
        <v>3.4</v>
      </c>
      <c r="J15" s="30">
        <f>SUMIF(Locket!$U$2:$U$1003,'Stock Sheet'!$O$2,Locket!K$2:K$1003)</f>
        <v>75.45</v>
      </c>
      <c r="K15" s="30">
        <f>COUNTIF(Locket!$U$2:$U$999,'Stock Sheet'!$O$2)</f>
        <v>56</v>
      </c>
    </row>
    <row r="17" ht="15.75" customHeight="1">
      <c r="A17" s="30" t="s">
        <v>301</v>
      </c>
      <c r="B17" s="30"/>
      <c r="C17" s="30"/>
      <c r="D17" s="30"/>
      <c r="E17" s="30"/>
      <c r="F17" s="30"/>
      <c r="G17" s="30"/>
      <c r="H17" s="30"/>
      <c r="I17" s="30"/>
      <c r="J17" s="30"/>
    </row>
    <row r="18" ht="15.75" customHeight="1">
      <c r="A18" s="219" t="s">
        <v>4</v>
      </c>
      <c r="B18" s="219" t="s">
        <v>63</v>
      </c>
      <c r="C18" s="219" t="s">
        <v>64</v>
      </c>
      <c r="D18" s="219" t="s">
        <v>65</v>
      </c>
      <c r="E18" s="219" t="s">
        <v>6</v>
      </c>
      <c r="F18" s="219" t="s">
        <v>66</v>
      </c>
      <c r="G18" s="219" t="s">
        <v>8</v>
      </c>
      <c r="H18" s="219" t="s">
        <v>9</v>
      </c>
      <c r="I18" s="219" t="s">
        <v>10</v>
      </c>
      <c r="J18" s="219" t="s">
        <v>11</v>
      </c>
    </row>
    <row r="19" ht="15.75" customHeight="1">
      <c r="A19" s="30">
        <f>SUMIF(Necklace!$U$2:$U$1003,'Stock Sheet'!$O$2,Necklace!B$2:B$1003)</f>
        <v>23.132</v>
      </c>
      <c r="B19" s="30">
        <f>SUMIF(Necklace!$U$2:$U$1003,'Stock Sheet'!$O$2,Necklace!C$2:C$1003)</f>
        <v>5.783</v>
      </c>
      <c r="C19" s="30">
        <f>SUMIF(Necklace!$U$2:$U$1003,'Stock Sheet'!$O$2,Necklace!D$2:D$1003)</f>
        <v>28.915</v>
      </c>
      <c r="D19" s="30">
        <f>SUMIF(Necklace!$U$2:$U$1003,'Stock Sheet'!$O$2,Necklace!E$2:E$1003)</f>
        <v>6.1</v>
      </c>
      <c r="E19" s="30">
        <f>SUMIF(Necklace!$U$2:$U$1003,'Stock Sheet'!$O$2,Necklace!F$2:F$1003)</f>
        <v>0</v>
      </c>
      <c r="F19" s="30">
        <f>SUMIF(Necklace!$U$2:$U$1003,'Stock Sheet'!$O$2,Necklace!G$2:G$1003)</f>
        <v>0</v>
      </c>
      <c r="G19" s="30">
        <f>SUMIF(Necklace!$U$2:$U$1003,'Stock Sheet'!$O$2,Necklace!H$2:H$1003)</f>
        <v>0</v>
      </c>
      <c r="H19" s="30">
        <f>SUMIF(Necklace!$U$2:$U$1003,'Stock Sheet'!$O$2,Necklace!I$2:I$1003)</f>
        <v>0</v>
      </c>
      <c r="I19" s="30">
        <f>SUMIF(Necklace!$U$2:$U$1003,'Stock Sheet'!$O$2,Necklace!J$2:J$1003)</f>
        <v>0</v>
      </c>
      <c r="J19" s="30">
        <f>SUMIF(Necklace!$U$2:$U$1003,'Stock Sheet'!$O$2,Necklace!K$2:K$1003)</f>
        <v>2.79</v>
      </c>
      <c r="K19" s="30">
        <f>COUNTIF(Necklace!$U$2:$U$999,'Stock Sheet'!$O$2)</f>
        <v>1</v>
      </c>
    </row>
    <row r="20" ht="15.75" customHeight="1"/>
    <row r="21" ht="15.75" customHeight="1">
      <c r="A21" s="30" t="s">
        <v>302</v>
      </c>
      <c r="B21" s="30"/>
      <c r="C21" s="30"/>
      <c r="D21" s="30"/>
      <c r="E21" s="30"/>
      <c r="F21" s="30"/>
      <c r="G21" s="30"/>
      <c r="H21" s="30"/>
      <c r="I21" s="30"/>
      <c r="J21" s="30"/>
    </row>
    <row r="22" ht="15.75" customHeight="1">
      <c r="A22" s="219" t="s">
        <v>4</v>
      </c>
      <c r="B22" s="219" t="s">
        <v>63</v>
      </c>
      <c r="C22" s="219" t="s">
        <v>64</v>
      </c>
      <c r="D22" s="219" t="s">
        <v>65</v>
      </c>
      <c r="E22" s="219" t="s">
        <v>6</v>
      </c>
      <c r="F22" s="219" t="s">
        <v>66</v>
      </c>
      <c r="G22" s="219" t="s">
        <v>8</v>
      </c>
      <c r="H22" s="219" t="s">
        <v>9</v>
      </c>
      <c r="I22" s="219" t="s">
        <v>10</v>
      </c>
      <c r="J22" s="219" t="s">
        <v>11</v>
      </c>
    </row>
    <row r="23" ht="15.75" customHeight="1">
      <c r="A23" s="30">
        <f>SUMIF(Chura!$U$2:$U$1003,'Stock Sheet'!$O$2,Chura!B$2:B$1003)</f>
        <v>33.17</v>
      </c>
      <c r="B23" s="30">
        <f>SUMIF(Chura!$U$2:$U$1003,'Stock Sheet'!$O$2,Chura!C$2:C$1003)</f>
        <v>8.2925</v>
      </c>
      <c r="C23" s="30">
        <f>SUMIF(Chura!$U$2:$U$1003,'Stock Sheet'!$O$2,Chura!D$2:D$1003)</f>
        <v>41.4625</v>
      </c>
      <c r="D23" s="30">
        <f>SUMIF(Chura!$U$2:$U$1003,'Stock Sheet'!$O$2,Chura!E$2:E$1003)</f>
        <v>4.59</v>
      </c>
      <c r="E23" s="30">
        <f>SUMIF(Chura!$U$2:$U$1003,'Stock Sheet'!$O$2,Chura!F$2:F$1003)</f>
        <v>0</v>
      </c>
      <c r="F23" s="30">
        <f>SUMIF(Chura!$U$2:$U$1003,'Stock Sheet'!$O$2,Chura!G$2:G$1003)</f>
        <v>0</v>
      </c>
      <c r="G23" s="30">
        <f>SUMIF(Chura!$U$2:$U$1003,'Stock Sheet'!$O$2,Chura!H$2:H$1003)</f>
        <v>0</v>
      </c>
      <c r="H23" s="30">
        <f>SUMIF(Chura!$U$2:$U$1003,'Stock Sheet'!$O$2,Chura!I$2:I$1003)</f>
        <v>0</v>
      </c>
      <c r="I23" s="30">
        <f>SUMIF(Chura!$U$2:$U$1003,'Stock Sheet'!$O$2,Chura!J$2:J$1003)</f>
        <v>0</v>
      </c>
      <c r="J23" s="30">
        <f>SUMIF(Chura!$U$2:$U$1003,'Stock Sheet'!$O$2,Chura!K$2:K$1003)</f>
        <v>0</v>
      </c>
      <c r="K23" s="30">
        <f>COUNTIF(Chura!$U$2:$U$999,'Stock Sheet'!$O$2)</f>
        <v>1</v>
      </c>
    </row>
    <row r="24" ht="15.75" customHeight="1"/>
    <row r="25" ht="15.75" customHeight="1">
      <c r="A25" s="30" t="s">
        <v>303</v>
      </c>
      <c r="B25" s="30"/>
      <c r="C25" s="30"/>
      <c r="D25" s="30"/>
      <c r="E25" s="30"/>
      <c r="F25" s="30"/>
      <c r="G25" s="30"/>
      <c r="H25" s="30"/>
      <c r="I25" s="30"/>
      <c r="J25" s="30"/>
    </row>
    <row r="26" ht="15.75" customHeight="1">
      <c r="A26" s="219" t="s">
        <v>4</v>
      </c>
      <c r="B26" s="219" t="s">
        <v>63</v>
      </c>
      <c r="C26" s="219" t="s">
        <v>64</v>
      </c>
      <c r="D26" s="219" t="s">
        <v>65</v>
      </c>
      <c r="E26" s="219" t="s">
        <v>6</v>
      </c>
      <c r="F26" s="219" t="s">
        <v>66</v>
      </c>
      <c r="G26" s="219" t="s">
        <v>8</v>
      </c>
      <c r="H26" s="219" t="s">
        <v>9</v>
      </c>
      <c r="I26" s="219" t="s">
        <v>10</v>
      </c>
      <c r="J26" s="219" t="s">
        <v>11</v>
      </c>
    </row>
    <row r="27" ht="15.75" customHeight="1">
      <c r="A27" s="30">
        <f>SUMIF(Jagganath!$U$2:$U$1003,'Stock Sheet'!$O$2,Jagganath!B$2:B$1003)</f>
        <v>223.63</v>
      </c>
      <c r="B27" s="30">
        <f>SUMIF(Jagganath!$U$2:$U$1003,'Stock Sheet'!$O$2,Jagganath!C$2:C$1003)</f>
        <v>55.9075</v>
      </c>
      <c r="C27" s="30">
        <f>SUMIF(Jagganath!$U$2:$U$1003,'Stock Sheet'!$O$2,Jagganath!D$2:D$1003)</f>
        <v>279.5375</v>
      </c>
      <c r="D27" s="30">
        <f>SUMIF(Jagganath!$U$2:$U$1003,'Stock Sheet'!$O$2,Jagganath!E$2:E$1003)</f>
        <v>43.16</v>
      </c>
      <c r="E27" s="30">
        <f>SUMIF(Jagganath!$U$2:$U$1003,'Stock Sheet'!$O$2,Jagganath!F$2:F$1003)</f>
        <v>0</v>
      </c>
      <c r="F27" s="30">
        <f>SUMIF(Jagganath!$U$2:$U$1003,'Stock Sheet'!$O$2,Jagganath!G$2:G$1003)</f>
        <v>0</v>
      </c>
      <c r="G27" s="30">
        <f>SUMIF(Jagganath!$U$2:$U$1003,'Stock Sheet'!$O$2,Jagganath!H$2:H$1003)</f>
        <v>0</v>
      </c>
      <c r="H27" s="30">
        <f>SUMIF(Jagganath!$U$2:$U$1003,'Stock Sheet'!$O$2,Jagganath!I$2:I$1003)</f>
        <v>0</v>
      </c>
      <c r="I27" s="30">
        <f>SUMIF(Jagganath!$U$2:$U$1003,'Stock Sheet'!$O$2,Jagganath!J$2:J$1003)</f>
        <v>16.459</v>
      </c>
      <c r="J27" s="30">
        <f>SUMIF(Jagganath!$U$2:$U$1003,'Stock Sheet'!$O$2,Jagganath!K$2:K$1003)</f>
        <v>31.45</v>
      </c>
      <c r="K27" s="30">
        <f>COUNTIF(Jagganath!$U$2:$U$999,'Stock Sheet'!$O$2)</f>
        <v>29</v>
      </c>
    </row>
    <row r="28" ht="15.75" customHeight="1"/>
    <row r="29" ht="15.75" customHeight="1">
      <c r="A29" s="30" t="s">
        <v>304</v>
      </c>
      <c r="B29" s="30"/>
      <c r="C29" s="30"/>
      <c r="D29" s="30"/>
      <c r="E29" s="30"/>
      <c r="F29" s="30"/>
      <c r="G29" s="30"/>
      <c r="H29" s="30"/>
      <c r="I29" s="30"/>
      <c r="J29" s="30"/>
    </row>
    <row r="30" ht="15.75" customHeight="1">
      <c r="A30" s="219" t="s">
        <v>4</v>
      </c>
      <c r="B30" s="219" t="s">
        <v>63</v>
      </c>
      <c r="C30" s="219" t="s">
        <v>64</v>
      </c>
      <c r="D30" s="219" t="s">
        <v>65</v>
      </c>
      <c r="E30" s="219" t="s">
        <v>6</v>
      </c>
      <c r="F30" s="219" t="s">
        <v>66</v>
      </c>
      <c r="G30" s="219" t="s">
        <v>8</v>
      </c>
      <c r="H30" s="219" t="s">
        <v>9</v>
      </c>
      <c r="I30" s="219" t="s">
        <v>10</v>
      </c>
      <c r="J30" s="219" t="s">
        <v>11</v>
      </c>
    </row>
    <row r="31" ht="15.75" customHeight="1">
      <c r="A31" s="30">
        <f>SUMIF(Prithivi!$U$2:$U$997,'Stock Sheet'!$O$2,Prithivi!B$2:B$997)</f>
        <v>21.655</v>
      </c>
      <c r="B31" s="30">
        <f>SUMIF(Prithivi!$U$2:$U$997,'Stock Sheet'!$O$2,Prithivi!C$2:C$997)</f>
        <v>5.41375</v>
      </c>
      <c r="C31" s="30">
        <f>SUMIF(Prithivi!$U$2:$U$997,'Stock Sheet'!$O$2,Prithivi!D$2:D$997)</f>
        <v>27.06875</v>
      </c>
      <c r="D31" s="30">
        <f>SUMIF(Prithivi!$U$2:$U$997,'Stock Sheet'!$O$2,Prithivi!E$2:E$997)</f>
        <v>2</v>
      </c>
      <c r="E31" s="30">
        <f>SUMIF(Prithivi!$U$2:$U$997,'Stock Sheet'!$O$2,Prithivi!F$2:F$997)</f>
        <v>0</v>
      </c>
      <c r="F31" s="30">
        <f>SUMIF(Prithivi!$U$2:$U$997,'Stock Sheet'!$O$2,Prithivi!G$2:G$997)</f>
        <v>0</v>
      </c>
      <c r="G31" s="30">
        <f>SUMIF(Prithivi!$U$2:$U$997,'Stock Sheet'!$O$2,Prithivi!H$2:H$997)</f>
        <v>0</v>
      </c>
      <c r="H31" s="30">
        <f>SUMIF(Prithivi!$U$2:$U$997,'Stock Sheet'!$O$2,Prithivi!I$2:I$997)</f>
        <v>0</v>
      </c>
      <c r="I31" s="30">
        <f>SUMIF(Prithivi!$U$2:$U$997,'Stock Sheet'!$O$2,Prithivi!J$2:J$997)</f>
        <v>0</v>
      </c>
      <c r="J31" s="30">
        <f>SUMIF(Prithivi!$U$2:$U$997,'Stock Sheet'!$O$2,Prithivi!K$2:K$997)</f>
        <v>0</v>
      </c>
      <c r="K31" s="30">
        <f>COUNTIF(Prithivi!$U$2:$U$993,'Stock Sheet'!$O$2)</f>
        <v>5</v>
      </c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ht="15.75" customHeight="1">
      <c r="K33" s="30"/>
    </row>
    <row r="34" ht="15.75" customHeight="1">
      <c r="A34" s="30" t="s">
        <v>15</v>
      </c>
    </row>
    <row r="35" ht="15.75" customHeight="1">
      <c r="B35" s="30" t="s">
        <v>32</v>
      </c>
      <c r="C35" s="30" t="s">
        <v>37</v>
      </c>
      <c r="D35" s="219" t="s">
        <v>65</v>
      </c>
      <c r="E35" s="219" t="s">
        <v>6</v>
      </c>
      <c r="F35" s="219" t="s">
        <v>66</v>
      </c>
      <c r="G35" s="219" t="s">
        <v>8</v>
      </c>
      <c r="H35" s="219" t="s">
        <v>9</v>
      </c>
      <c r="I35" s="219" t="s">
        <v>10</v>
      </c>
      <c r="J35" s="219" t="s">
        <v>11</v>
      </c>
    </row>
    <row r="36" ht="15.75" customHeight="1">
      <c r="A36" s="30" t="s">
        <v>43</v>
      </c>
      <c r="B36" s="30">
        <f>A3+A7+A11+A15+A19+A23+A27+A31</f>
        <v>1689.089</v>
      </c>
      <c r="C36" s="30">
        <f>D3+E3+F3+G3+D7+E7+F7+G7+G11+F11+E11+D11+D15+E15+F15+G15+D19+E19+F19+G19+G23+F23+E23+D23+D27+E27+F27+G27+D31+E31+F31+G31</f>
        <v>319.185</v>
      </c>
      <c r="D36" s="30">
        <f t="shared" ref="D36:J36" si="1">SUM(D3+D7+D11+D15+D19+D23+D27+D31)</f>
        <v>282.285</v>
      </c>
      <c r="E36" s="30">
        <f t="shared" si="1"/>
        <v>25.7</v>
      </c>
      <c r="F36" s="30">
        <f t="shared" si="1"/>
        <v>4.82</v>
      </c>
      <c r="G36" s="30">
        <f t="shared" si="1"/>
        <v>6.38</v>
      </c>
      <c r="H36" s="30">
        <f t="shared" si="1"/>
        <v>30.01</v>
      </c>
      <c r="I36" s="30">
        <f t="shared" si="1"/>
        <v>58.259</v>
      </c>
      <c r="J36" s="30">
        <f t="shared" si="1"/>
        <v>289.78</v>
      </c>
    </row>
    <row r="37" ht="15.75" customHeight="1">
      <c r="A37" s="30" t="s">
        <v>305</v>
      </c>
      <c r="B37" s="30">
        <f>B36*60%</f>
        <v>1013.4534</v>
      </c>
    </row>
    <row r="38" ht="15.75" customHeight="1"/>
    <row r="39" ht="15.75" customHeight="1">
      <c r="A39" s="30" t="s">
        <v>43</v>
      </c>
      <c r="B39" s="30">
        <f>(B36+(B36*0.25))*Prices!A2</f>
        <v>37687798.31</v>
      </c>
      <c r="C39" s="30">
        <f>C36*58000</f>
        <v>18512730</v>
      </c>
      <c r="D39" s="30">
        <f t="shared" ref="D39:D40" si="2">C39+B39</f>
        <v>56200528.31</v>
      </c>
      <c r="E39" s="30"/>
    </row>
    <row r="40" ht="15.75" customHeight="1">
      <c r="A40" s="30" t="s">
        <v>305</v>
      </c>
      <c r="B40" s="30">
        <f>B37*Prices!B5</f>
        <v>27108835.8</v>
      </c>
      <c r="C40" s="30">
        <f>C36*38000</f>
        <v>12129030</v>
      </c>
      <c r="D40" s="30">
        <f t="shared" si="2"/>
        <v>39237865.8</v>
      </c>
      <c r="E40" s="30"/>
      <c r="F40" s="30"/>
    </row>
    <row r="41" ht="15.75" customHeight="1">
      <c r="C41" s="30"/>
      <c r="F41" s="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2021-10-02T12:54:36Z</dcterms:created>
  <dc:creator>Sakriya Bajracharya</dc:creator>
</cp:coreProperties>
</file>